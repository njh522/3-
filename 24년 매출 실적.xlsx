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22\Data\영업팀\⑤월마감현황(송나래)_대외비\2024년 마감현황\"/>
    </mc:Choice>
  </mc:AlternateContent>
  <xr:revisionPtr revIDLastSave="0" documentId="13_ncr:1_{BD17DFE1-81F4-44C5-9114-7F979A7B1428}" xr6:coauthVersionLast="47" xr6:coauthVersionMax="47" xr10:uidLastSave="{00000000-0000-0000-0000-000000000000}"/>
  <bookViews>
    <workbookView xWindow="330" yWindow="90" windowWidth="28470" windowHeight="15090" xr2:uid="{00000000-000D-0000-FFFF-FFFF00000000}"/>
  </bookViews>
  <sheets>
    <sheet name="24년(세부_실적)" sheetId="1" r:id="rId1"/>
    <sheet name="매출내역" sheetId="4" r:id="rId2"/>
    <sheet name="기본" sheetId="5" r:id="rId3"/>
  </sheets>
  <definedNames>
    <definedName name="_xlnm._FilterDatabase" localSheetId="0" hidden="1">'24년(세부_실적)'!$A$7:$BG$1166</definedName>
    <definedName name="_xlnm._FilterDatabase" localSheetId="2" hidden="1">기본!$D$12:$E$74</definedName>
    <definedName name="_xlnm._FilterDatabase" localSheetId="1" hidden="1">매출내역!$B$2:$H$3603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84" i="1" l="1"/>
  <c r="AX84" i="1"/>
  <c r="AV84" i="1"/>
  <c r="AT84" i="1"/>
  <c r="AZ84" i="1" s="1"/>
  <c r="AQ84" i="1"/>
  <c r="BA84" i="1" s="1"/>
  <c r="AP84" i="1"/>
  <c r="AN84" i="1"/>
  <c r="AL84" i="1"/>
  <c r="AR84" i="1" s="1"/>
  <c r="BB84" i="1" s="1"/>
  <c r="AG84" i="1"/>
  <c r="AF84" i="1"/>
  <c r="AD84" i="1"/>
  <c r="AB84" i="1"/>
  <c r="AH84" i="1" s="1"/>
  <c r="Y84" i="1"/>
  <c r="AI84" i="1" s="1"/>
  <c r="Q84" i="1" s="1"/>
  <c r="X84" i="1"/>
  <c r="V84" i="1"/>
  <c r="T84" i="1"/>
  <c r="Z84" i="1" s="1"/>
  <c r="AJ84" i="1" s="1"/>
  <c r="R84" i="1" l="1"/>
  <c r="AY792" i="1" l="1"/>
  <c r="AX792" i="1"/>
  <c r="AV792" i="1"/>
  <c r="AT792" i="1"/>
  <c r="AQ792" i="1"/>
  <c r="BA792" i="1" s="1"/>
  <c r="AP792" i="1"/>
  <c r="AN792" i="1"/>
  <c r="AL792" i="1"/>
  <c r="AG792" i="1"/>
  <c r="AF792" i="1"/>
  <c r="AD792" i="1"/>
  <c r="AB792" i="1"/>
  <c r="Y792" i="1"/>
  <c r="AI792" i="1" s="1"/>
  <c r="Q792" i="1" s="1"/>
  <c r="X792" i="1"/>
  <c r="V792" i="1"/>
  <c r="T792" i="1"/>
  <c r="AY793" i="1"/>
  <c r="AX793" i="1"/>
  <c r="AV793" i="1"/>
  <c r="AT793" i="1"/>
  <c r="AQ793" i="1"/>
  <c r="BA793" i="1" s="1"/>
  <c r="AP793" i="1"/>
  <c r="AN793" i="1"/>
  <c r="AL793" i="1"/>
  <c r="AG793" i="1"/>
  <c r="AF793" i="1"/>
  <c r="AD793" i="1"/>
  <c r="AB793" i="1"/>
  <c r="Y793" i="1"/>
  <c r="AI793" i="1" s="1"/>
  <c r="Q793" i="1" s="1"/>
  <c r="X793" i="1"/>
  <c r="V793" i="1"/>
  <c r="T793" i="1"/>
  <c r="AY805" i="1"/>
  <c r="AX805" i="1"/>
  <c r="AV805" i="1"/>
  <c r="AT805" i="1"/>
  <c r="AQ805" i="1"/>
  <c r="BA805" i="1" s="1"/>
  <c r="AP805" i="1"/>
  <c r="AN805" i="1"/>
  <c r="AL805" i="1"/>
  <c r="AG805" i="1"/>
  <c r="AF805" i="1"/>
  <c r="AD805" i="1"/>
  <c r="AB805" i="1"/>
  <c r="Y805" i="1"/>
  <c r="AI805" i="1" s="1"/>
  <c r="Q805" i="1" s="1"/>
  <c r="X805" i="1"/>
  <c r="V805" i="1"/>
  <c r="T805" i="1"/>
  <c r="AQ804" i="1"/>
  <c r="AY296" i="1"/>
  <c r="AQ296" i="1"/>
  <c r="C4290" i="4"/>
  <c r="C4289" i="4"/>
  <c r="C4288" i="4"/>
  <c r="C4287" i="4"/>
  <c r="C4286" i="4"/>
  <c r="C4285" i="4"/>
  <c r="C4284" i="4"/>
  <c r="C4283" i="4"/>
  <c r="C4282" i="4"/>
  <c r="C4281" i="4"/>
  <c r="C4280" i="4"/>
  <c r="C4279" i="4"/>
  <c r="C4278" i="4"/>
  <c r="C4277" i="4"/>
  <c r="C4276" i="4"/>
  <c r="C4275" i="4"/>
  <c r="C4274" i="4"/>
  <c r="C4273" i="4"/>
  <c r="C4272" i="4"/>
  <c r="C4271" i="4"/>
  <c r="C4270" i="4"/>
  <c r="C4269" i="4"/>
  <c r="C4268" i="4"/>
  <c r="C4267" i="4"/>
  <c r="C4266" i="4"/>
  <c r="C4265" i="4"/>
  <c r="C4264" i="4"/>
  <c r="C4263" i="4"/>
  <c r="C4262" i="4"/>
  <c r="C4261" i="4"/>
  <c r="C4260" i="4"/>
  <c r="C4259" i="4"/>
  <c r="C4258" i="4"/>
  <c r="C4257" i="4"/>
  <c r="C4256" i="4"/>
  <c r="C4255" i="4"/>
  <c r="C4254" i="4"/>
  <c r="C4253" i="4"/>
  <c r="C4252" i="4"/>
  <c r="C4251" i="4"/>
  <c r="C4250" i="4"/>
  <c r="C4249" i="4"/>
  <c r="C4248" i="4"/>
  <c r="C4247" i="4"/>
  <c r="C4246" i="4"/>
  <c r="C4245" i="4"/>
  <c r="C4244" i="4"/>
  <c r="C4243" i="4"/>
  <c r="C4242" i="4"/>
  <c r="C4241" i="4"/>
  <c r="C4240" i="4"/>
  <c r="C4239" i="4"/>
  <c r="C4238" i="4"/>
  <c r="C4237" i="4"/>
  <c r="C4236" i="4"/>
  <c r="C4235" i="4"/>
  <c r="C4234" i="4"/>
  <c r="C4233" i="4"/>
  <c r="C4232" i="4"/>
  <c r="C4231" i="4"/>
  <c r="C4230" i="4"/>
  <c r="C4229" i="4"/>
  <c r="C4228" i="4"/>
  <c r="C4227" i="4"/>
  <c r="C4226" i="4"/>
  <c r="C4225" i="4"/>
  <c r="C4224" i="4"/>
  <c r="C4223" i="4"/>
  <c r="C4222" i="4"/>
  <c r="C4221" i="4"/>
  <c r="C4220" i="4"/>
  <c r="C4219" i="4"/>
  <c r="C4218" i="4"/>
  <c r="C4217" i="4"/>
  <c r="C4216" i="4"/>
  <c r="C4215" i="4"/>
  <c r="C4214" i="4"/>
  <c r="C4213" i="4"/>
  <c r="C4212" i="4"/>
  <c r="C4211" i="4"/>
  <c r="C4210" i="4"/>
  <c r="C4209" i="4"/>
  <c r="C4208" i="4"/>
  <c r="C4207" i="4"/>
  <c r="C4206" i="4"/>
  <c r="C4205" i="4"/>
  <c r="C4204" i="4"/>
  <c r="C4203" i="4"/>
  <c r="C4202" i="4"/>
  <c r="C4201" i="4"/>
  <c r="C4200" i="4"/>
  <c r="C4199" i="4"/>
  <c r="C4198" i="4"/>
  <c r="C4197" i="4"/>
  <c r="C4196" i="4"/>
  <c r="C4195" i="4"/>
  <c r="C4194" i="4"/>
  <c r="C4193" i="4"/>
  <c r="C4192" i="4"/>
  <c r="C4191" i="4"/>
  <c r="C4190" i="4"/>
  <c r="C4189" i="4"/>
  <c r="C4188" i="4"/>
  <c r="C4187" i="4"/>
  <c r="C4186" i="4"/>
  <c r="C4185" i="4"/>
  <c r="C4184" i="4"/>
  <c r="C4183" i="4"/>
  <c r="C4182" i="4"/>
  <c r="C4181" i="4"/>
  <c r="C4180" i="4"/>
  <c r="C4179" i="4"/>
  <c r="C4178" i="4"/>
  <c r="C4177" i="4"/>
  <c r="C4176" i="4"/>
  <c r="C4175" i="4"/>
  <c r="C4174" i="4"/>
  <c r="C4173" i="4"/>
  <c r="C4172" i="4"/>
  <c r="C4171" i="4"/>
  <c r="C4170" i="4"/>
  <c r="C4169" i="4"/>
  <c r="C4168" i="4"/>
  <c r="C4167" i="4"/>
  <c r="C4166" i="4"/>
  <c r="C4165" i="4"/>
  <c r="C4164" i="4"/>
  <c r="C4163" i="4"/>
  <c r="C4162" i="4"/>
  <c r="C4161" i="4"/>
  <c r="C4160" i="4"/>
  <c r="C4159" i="4"/>
  <c r="C4158" i="4"/>
  <c r="C4157" i="4"/>
  <c r="C4156" i="4"/>
  <c r="C4155" i="4"/>
  <c r="C4154" i="4"/>
  <c r="C4153" i="4"/>
  <c r="C4152" i="4"/>
  <c r="C4151" i="4"/>
  <c r="C4150" i="4"/>
  <c r="C4149" i="4"/>
  <c r="C4148" i="4"/>
  <c r="C4147" i="4"/>
  <c r="C4146" i="4"/>
  <c r="C4145" i="4"/>
  <c r="C4144" i="4"/>
  <c r="C4143" i="4"/>
  <c r="C4142" i="4"/>
  <c r="C4141" i="4"/>
  <c r="C4140" i="4"/>
  <c r="C4139" i="4"/>
  <c r="C4138" i="4"/>
  <c r="C4137" i="4"/>
  <c r="C4136" i="4"/>
  <c r="C4135" i="4"/>
  <c r="C4134" i="4"/>
  <c r="C4133" i="4"/>
  <c r="C4132" i="4"/>
  <c r="C4131" i="4"/>
  <c r="C4130" i="4"/>
  <c r="C4129" i="4"/>
  <c r="C4128" i="4"/>
  <c r="C4127" i="4"/>
  <c r="C4126" i="4"/>
  <c r="C4125" i="4"/>
  <c r="C4124" i="4"/>
  <c r="C4123" i="4"/>
  <c r="C4122" i="4"/>
  <c r="C4121" i="4"/>
  <c r="C4120" i="4"/>
  <c r="C4119" i="4"/>
  <c r="C4118" i="4"/>
  <c r="C4117" i="4"/>
  <c r="C4116" i="4"/>
  <c r="C4115" i="4"/>
  <c r="C4114" i="4"/>
  <c r="C4113" i="4"/>
  <c r="C4112" i="4"/>
  <c r="C4111" i="4"/>
  <c r="C4110" i="4"/>
  <c r="C4109" i="4"/>
  <c r="C4108" i="4"/>
  <c r="C4107" i="4"/>
  <c r="C4106" i="4"/>
  <c r="C4105" i="4"/>
  <c r="C4104" i="4"/>
  <c r="C4103" i="4"/>
  <c r="C4102" i="4"/>
  <c r="C4101" i="4"/>
  <c r="C4100" i="4"/>
  <c r="C4099" i="4"/>
  <c r="C4098" i="4"/>
  <c r="C4097" i="4"/>
  <c r="C4096" i="4"/>
  <c r="C4095" i="4"/>
  <c r="C4094" i="4"/>
  <c r="C4093" i="4"/>
  <c r="C4092" i="4"/>
  <c r="C4091" i="4"/>
  <c r="C4090" i="4"/>
  <c r="C4089" i="4"/>
  <c r="C4088" i="4"/>
  <c r="C4087" i="4"/>
  <c r="C4086" i="4"/>
  <c r="C4085" i="4"/>
  <c r="C4084" i="4"/>
  <c r="C4083" i="4"/>
  <c r="C4082" i="4"/>
  <c r="C4081" i="4"/>
  <c r="C4080" i="4"/>
  <c r="C4079" i="4"/>
  <c r="C4078" i="4"/>
  <c r="C4077" i="4"/>
  <c r="C4076" i="4"/>
  <c r="C4075" i="4"/>
  <c r="C4074" i="4"/>
  <c r="C4073" i="4"/>
  <c r="C4072" i="4"/>
  <c r="C4071" i="4"/>
  <c r="C4070" i="4"/>
  <c r="C4069" i="4"/>
  <c r="C4068" i="4"/>
  <c r="C4067" i="4"/>
  <c r="C4066" i="4"/>
  <c r="C4065" i="4"/>
  <c r="C4064" i="4"/>
  <c r="C4063" i="4"/>
  <c r="C4062" i="4"/>
  <c r="C4061" i="4"/>
  <c r="C4060" i="4"/>
  <c r="C4059" i="4"/>
  <c r="C4058" i="4"/>
  <c r="C4057" i="4"/>
  <c r="C4056" i="4"/>
  <c r="C4055" i="4"/>
  <c r="C4054" i="4"/>
  <c r="C4053" i="4"/>
  <c r="C4052" i="4"/>
  <c r="C4051" i="4"/>
  <c r="C4050" i="4"/>
  <c r="C4049" i="4"/>
  <c r="C4048" i="4"/>
  <c r="C4047" i="4"/>
  <c r="C4046" i="4"/>
  <c r="C4045" i="4"/>
  <c r="C4044" i="4"/>
  <c r="C4043" i="4"/>
  <c r="C4042" i="4"/>
  <c r="C4041" i="4"/>
  <c r="C4040" i="4"/>
  <c r="C4039" i="4"/>
  <c r="C4038" i="4"/>
  <c r="C4037" i="4"/>
  <c r="C4036" i="4"/>
  <c r="C4035" i="4"/>
  <c r="C4034" i="4"/>
  <c r="C4033" i="4"/>
  <c r="C4032" i="4"/>
  <c r="C4031" i="4"/>
  <c r="C4030" i="4"/>
  <c r="C4029" i="4"/>
  <c r="C4028" i="4"/>
  <c r="C4027" i="4"/>
  <c r="C4026" i="4"/>
  <c r="C4025" i="4"/>
  <c r="C4024" i="4"/>
  <c r="C4023" i="4"/>
  <c r="C4022" i="4"/>
  <c r="C4021" i="4"/>
  <c r="C4020" i="4"/>
  <c r="C4019" i="4"/>
  <c r="C4018" i="4"/>
  <c r="C4017" i="4"/>
  <c r="C4016" i="4"/>
  <c r="C4015" i="4"/>
  <c r="C4014" i="4"/>
  <c r="C4013" i="4"/>
  <c r="C4012" i="4"/>
  <c r="C4011" i="4"/>
  <c r="C4010" i="4"/>
  <c r="C4009" i="4"/>
  <c r="C4008" i="4"/>
  <c r="C4007" i="4"/>
  <c r="C4006" i="4"/>
  <c r="C4005" i="4"/>
  <c r="C4004" i="4"/>
  <c r="C4003" i="4"/>
  <c r="C4002" i="4"/>
  <c r="C4001" i="4"/>
  <c r="C4000" i="4"/>
  <c r="C3999" i="4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AZ792" i="1" l="1"/>
  <c r="Z792" i="1"/>
  <c r="AJ792" i="1" s="1"/>
  <c r="AH792" i="1"/>
  <c r="AR792" i="1"/>
  <c r="BB792" i="1" s="1"/>
  <c r="Z793" i="1"/>
  <c r="AH793" i="1"/>
  <c r="AR793" i="1"/>
  <c r="AZ793" i="1"/>
  <c r="Z805" i="1"/>
  <c r="AH805" i="1"/>
  <c r="AZ805" i="1"/>
  <c r="AR805" i="1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R792" i="1" l="1"/>
  <c r="BB793" i="1"/>
  <c r="AJ793" i="1"/>
  <c r="AJ805" i="1"/>
  <c r="BB805" i="1"/>
  <c r="AY333" i="1"/>
  <c r="AX333" i="1"/>
  <c r="AV333" i="1"/>
  <c r="AT333" i="1"/>
  <c r="AQ333" i="1"/>
  <c r="AP333" i="1"/>
  <c r="AN333" i="1"/>
  <c r="AL333" i="1"/>
  <c r="AG333" i="1"/>
  <c r="AF333" i="1"/>
  <c r="AD333" i="1"/>
  <c r="AB333" i="1"/>
  <c r="Y333" i="1"/>
  <c r="X333" i="1"/>
  <c r="V333" i="1"/>
  <c r="T333" i="1"/>
  <c r="AX296" i="1"/>
  <c r="AV296" i="1"/>
  <c r="AT296" i="1"/>
  <c r="AP296" i="1"/>
  <c r="AN296" i="1"/>
  <c r="AL296" i="1"/>
  <c r="AG296" i="1"/>
  <c r="AF296" i="1"/>
  <c r="AD296" i="1"/>
  <c r="AB296" i="1"/>
  <c r="Y296" i="1"/>
  <c r="X296" i="1"/>
  <c r="V296" i="1"/>
  <c r="T296" i="1"/>
  <c r="AU327" i="1"/>
  <c r="AY756" i="1"/>
  <c r="AX756" i="1"/>
  <c r="AV756" i="1"/>
  <c r="AT756" i="1"/>
  <c r="AQ756" i="1"/>
  <c r="BA756" i="1" s="1"/>
  <c r="AP756" i="1"/>
  <c r="AN756" i="1"/>
  <c r="AL756" i="1"/>
  <c r="AG756" i="1"/>
  <c r="AF756" i="1"/>
  <c r="AD756" i="1"/>
  <c r="AB756" i="1"/>
  <c r="Y756" i="1"/>
  <c r="X756" i="1"/>
  <c r="V756" i="1"/>
  <c r="T756" i="1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R793" i="1" l="1"/>
  <c r="R805" i="1"/>
  <c r="Z756" i="1"/>
  <c r="AH756" i="1"/>
  <c r="AR756" i="1"/>
  <c r="AI333" i="1"/>
  <c r="BA333" i="1"/>
  <c r="AZ333" i="1"/>
  <c r="Z333" i="1"/>
  <c r="AH333" i="1"/>
  <c r="AR333" i="1"/>
  <c r="AI296" i="1"/>
  <c r="BA296" i="1"/>
  <c r="Z296" i="1"/>
  <c r="AH296" i="1"/>
  <c r="AR296" i="1"/>
  <c r="AZ296" i="1"/>
  <c r="AI756" i="1"/>
  <c r="Q756" i="1" s="1"/>
  <c r="AZ756" i="1"/>
  <c r="AY332" i="1"/>
  <c r="AX332" i="1"/>
  <c r="AV332" i="1"/>
  <c r="AT332" i="1"/>
  <c r="AQ332" i="1"/>
  <c r="BA332" i="1" s="1"/>
  <c r="AP332" i="1"/>
  <c r="AN332" i="1"/>
  <c r="AL332" i="1"/>
  <c r="AG332" i="1"/>
  <c r="AF332" i="1"/>
  <c r="AD332" i="1"/>
  <c r="AB332" i="1"/>
  <c r="Y332" i="1"/>
  <c r="AI332" i="1" s="1"/>
  <c r="Q332" i="1" s="1"/>
  <c r="X332" i="1"/>
  <c r="V332" i="1"/>
  <c r="T332" i="1"/>
  <c r="AY331" i="1"/>
  <c r="AX331" i="1"/>
  <c r="AV331" i="1"/>
  <c r="AT331" i="1"/>
  <c r="AQ331" i="1"/>
  <c r="AP331" i="1"/>
  <c r="AN331" i="1"/>
  <c r="AL331" i="1"/>
  <c r="AG331" i="1"/>
  <c r="AF331" i="1"/>
  <c r="AD331" i="1"/>
  <c r="AB331" i="1"/>
  <c r="Y331" i="1"/>
  <c r="AI331" i="1" s="1"/>
  <c r="X331" i="1"/>
  <c r="V331" i="1"/>
  <c r="T331" i="1"/>
  <c r="AY703" i="1"/>
  <c r="AY628" i="1"/>
  <c r="AX628" i="1"/>
  <c r="AV628" i="1"/>
  <c r="AT628" i="1"/>
  <c r="AQ628" i="1"/>
  <c r="BA628" i="1" s="1"/>
  <c r="AP628" i="1"/>
  <c r="AN628" i="1"/>
  <c r="AL628" i="1"/>
  <c r="AG628" i="1"/>
  <c r="AF628" i="1"/>
  <c r="AD628" i="1"/>
  <c r="AB628" i="1"/>
  <c r="Y628" i="1"/>
  <c r="AI628" i="1" s="1"/>
  <c r="Q628" i="1" s="1"/>
  <c r="X628" i="1"/>
  <c r="V628" i="1"/>
  <c r="T628" i="1"/>
  <c r="Q333" i="1" l="1"/>
  <c r="BB756" i="1"/>
  <c r="AJ333" i="1"/>
  <c r="AJ756" i="1"/>
  <c r="R756" i="1" s="1"/>
  <c r="BB333" i="1"/>
  <c r="AJ296" i="1"/>
  <c r="BB296" i="1"/>
  <c r="Q296" i="1"/>
  <c r="Z332" i="1"/>
  <c r="AH332" i="1"/>
  <c r="AR332" i="1"/>
  <c r="AZ332" i="1"/>
  <c r="BA331" i="1"/>
  <c r="Q331" i="1" s="1"/>
  <c r="AZ331" i="1"/>
  <c r="Z331" i="1"/>
  <c r="AH331" i="1"/>
  <c r="AR331" i="1"/>
  <c r="Z628" i="1"/>
  <c r="AH628" i="1"/>
  <c r="AR628" i="1"/>
  <c r="AZ628" i="1"/>
  <c r="R333" i="1" l="1"/>
  <c r="BB332" i="1"/>
  <c r="R296" i="1"/>
  <c r="AJ332" i="1"/>
  <c r="R332" i="1" s="1"/>
  <c r="BB331" i="1"/>
  <c r="AJ331" i="1"/>
  <c r="BB628" i="1"/>
  <c r="AJ628" i="1"/>
  <c r="R628" i="1" s="1"/>
  <c r="R331" i="1" l="1"/>
  <c r="H1" i="4" l="1"/>
  <c r="G1" i="4"/>
  <c r="C3244" i="4" l="1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 l="1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 l="1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 l="1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 l="1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 l="1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 l="1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 l="1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 l="1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AY65" i="1" l="1"/>
  <c r="AX65" i="1"/>
  <c r="AV65" i="1"/>
  <c r="AT65" i="1"/>
  <c r="AQ65" i="1"/>
  <c r="AP65" i="1"/>
  <c r="AN65" i="1"/>
  <c r="AL65" i="1"/>
  <c r="AG65" i="1"/>
  <c r="AF65" i="1"/>
  <c r="AD65" i="1"/>
  <c r="AB65" i="1"/>
  <c r="Y65" i="1"/>
  <c r="X65" i="1"/>
  <c r="V65" i="1"/>
  <c r="T65" i="1"/>
  <c r="AY60" i="1"/>
  <c r="AX60" i="1"/>
  <c r="AV60" i="1"/>
  <c r="AT60" i="1"/>
  <c r="AQ60" i="1"/>
  <c r="AP60" i="1"/>
  <c r="AN60" i="1"/>
  <c r="AL60" i="1"/>
  <c r="AR60" i="1" s="1"/>
  <c r="AG60" i="1"/>
  <c r="AF60" i="1"/>
  <c r="AD60" i="1"/>
  <c r="AB60" i="1"/>
  <c r="Y60" i="1"/>
  <c r="AI60" i="1" s="1"/>
  <c r="X60" i="1"/>
  <c r="V60" i="1"/>
  <c r="T60" i="1"/>
  <c r="AH65" i="1" l="1"/>
  <c r="AR65" i="1"/>
  <c r="AZ60" i="1"/>
  <c r="BB60" i="1" s="1"/>
  <c r="AZ65" i="1"/>
  <c r="BA60" i="1"/>
  <c r="Q60" i="1" s="1"/>
  <c r="BA65" i="1"/>
  <c r="AI65" i="1"/>
  <c r="Z65" i="1"/>
  <c r="AJ65" i="1" s="1"/>
  <c r="Z60" i="1"/>
  <c r="AH60" i="1"/>
  <c r="BB65" i="1" l="1"/>
  <c r="Q65" i="1"/>
  <c r="R65" i="1"/>
  <c r="AJ60" i="1"/>
  <c r="R60" i="1" s="1"/>
  <c r="AY1163" i="1" l="1"/>
  <c r="AX1163" i="1"/>
  <c r="AV1163" i="1"/>
  <c r="AT1163" i="1"/>
  <c r="AQ1163" i="1"/>
  <c r="AP1163" i="1"/>
  <c r="AN1163" i="1"/>
  <c r="AL1163" i="1"/>
  <c r="AG1163" i="1"/>
  <c r="AF1163" i="1"/>
  <c r="AD1163" i="1"/>
  <c r="AB1163" i="1"/>
  <c r="Y1163" i="1"/>
  <c r="AI1163" i="1" s="1"/>
  <c r="X1163" i="1"/>
  <c r="V1163" i="1"/>
  <c r="T1163" i="1"/>
  <c r="Z1163" i="1" s="1"/>
  <c r="S796" i="1"/>
  <c r="AW796" i="1"/>
  <c r="AU796" i="1"/>
  <c r="AS796" i="1"/>
  <c r="AO796" i="1"/>
  <c r="AM796" i="1"/>
  <c r="AK796" i="1"/>
  <c r="AE796" i="1"/>
  <c r="AC796" i="1"/>
  <c r="AA796" i="1"/>
  <c r="W796" i="1"/>
  <c r="U796" i="1"/>
  <c r="AY795" i="1"/>
  <c r="AX795" i="1"/>
  <c r="AV795" i="1"/>
  <c r="AT795" i="1"/>
  <c r="AQ795" i="1"/>
  <c r="BA795" i="1" s="1"/>
  <c r="AP795" i="1"/>
  <c r="AN795" i="1"/>
  <c r="AL795" i="1"/>
  <c r="AG795" i="1"/>
  <c r="AF795" i="1"/>
  <c r="AD795" i="1"/>
  <c r="AB795" i="1"/>
  <c r="Y795" i="1"/>
  <c r="AI795" i="1" s="1"/>
  <c r="X795" i="1"/>
  <c r="V795" i="1"/>
  <c r="T795" i="1"/>
  <c r="AY794" i="1"/>
  <c r="AX794" i="1"/>
  <c r="AV794" i="1"/>
  <c r="AT794" i="1"/>
  <c r="AQ794" i="1"/>
  <c r="AP794" i="1"/>
  <c r="AN794" i="1"/>
  <c r="AL794" i="1"/>
  <c r="AR794" i="1" s="1"/>
  <c r="AG794" i="1"/>
  <c r="AF794" i="1"/>
  <c r="AD794" i="1"/>
  <c r="AB794" i="1"/>
  <c r="Y794" i="1"/>
  <c r="X794" i="1"/>
  <c r="V794" i="1"/>
  <c r="T794" i="1"/>
  <c r="Z794" i="1" s="1"/>
  <c r="AY791" i="1"/>
  <c r="AX791" i="1"/>
  <c r="AV791" i="1"/>
  <c r="AT791" i="1"/>
  <c r="AQ791" i="1"/>
  <c r="BA791" i="1" s="1"/>
  <c r="AP791" i="1"/>
  <c r="AN791" i="1"/>
  <c r="AL791" i="1"/>
  <c r="AG791" i="1"/>
  <c r="AF791" i="1"/>
  <c r="AD791" i="1"/>
  <c r="AB791" i="1"/>
  <c r="Y791" i="1"/>
  <c r="X791" i="1"/>
  <c r="V791" i="1"/>
  <c r="T791" i="1"/>
  <c r="AY790" i="1"/>
  <c r="AX790" i="1"/>
  <c r="AV790" i="1"/>
  <c r="AT790" i="1"/>
  <c r="AQ790" i="1"/>
  <c r="AP790" i="1"/>
  <c r="AN790" i="1"/>
  <c r="AL790" i="1"/>
  <c r="AG790" i="1"/>
  <c r="AF790" i="1"/>
  <c r="AD790" i="1"/>
  <c r="AB790" i="1"/>
  <c r="Y790" i="1"/>
  <c r="X790" i="1"/>
  <c r="V790" i="1"/>
  <c r="T790" i="1"/>
  <c r="AY789" i="1"/>
  <c r="AX789" i="1"/>
  <c r="AV789" i="1"/>
  <c r="AT789" i="1"/>
  <c r="AQ789" i="1"/>
  <c r="BA789" i="1" s="1"/>
  <c r="AP789" i="1"/>
  <c r="AN789" i="1"/>
  <c r="AL789" i="1"/>
  <c r="AG789" i="1"/>
  <c r="AF789" i="1"/>
  <c r="AD789" i="1"/>
  <c r="AB789" i="1"/>
  <c r="Y789" i="1"/>
  <c r="AI789" i="1" s="1"/>
  <c r="Q789" i="1" s="1"/>
  <c r="X789" i="1"/>
  <c r="V789" i="1"/>
  <c r="T789" i="1"/>
  <c r="AY788" i="1"/>
  <c r="AX788" i="1"/>
  <c r="AV788" i="1"/>
  <c r="AT788" i="1"/>
  <c r="AQ788" i="1"/>
  <c r="AP788" i="1"/>
  <c r="AN788" i="1"/>
  <c r="AL788" i="1"/>
  <c r="AG788" i="1"/>
  <c r="AG796" i="1" s="1"/>
  <c r="AF788" i="1"/>
  <c r="AD788" i="1"/>
  <c r="AB788" i="1"/>
  <c r="Y788" i="1"/>
  <c r="Y796" i="1" s="1"/>
  <c r="X788" i="1"/>
  <c r="V788" i="1"/>
  <c r="T788" i="1"/>
  <c r="AZ794" i="1" l="1"/>
  <c r="AH1163" i="1"/>
  <c r="AJ1163" i="1"/>
  <c r="AH794" i="1"/>
  <c r="AJ794" i="1" s="1"/>
  <c r="BA1163" i="1"/>
  <c r="BB794" i="1"/>
  <c r="AZ1163" i="1"/>
  <c r="AQ796" i="1"/>
  <c r="Q1163" i="1"/>
  <c r="AR1163" i="1"/>
  <c r="Z788" i="1"/>
  <c r="Z790" i="1"/>
  <c r="AH790" i="1"/>
  <c r="AR790" i="1"/>
  <c r="AZ790" i="1"/>
  <c r="Z791" i="1"/>
  <c r="AH791" i="1"/>
  <c r="AR791" i="1"/>
  <c r="AZ791" i="1"/>
  <c r="AI794" i="1"/>
  <c r="Q795" i="1"/>
  <c r="AB796" i="1"/>
  <c r="AL796" i="1"/>
  <c r="V796" i="1"/>
  <c r="AD796" i="1"/>
  <c r="AN796" i="1"/>
  <c r="AV796" i="1"/>
  <c r="Z789" i="1"/>
  <c r="AH789" i="1"/>
  <c r="Z795" i="1"/>
  <c r="AH795" i="1"/>
  <c r="BA788" i="1"/>
  <c r="AT796" i="1"/>
  <c r="X796" i="1"/>
  <c r="AF796" i="1"/>
  <c r="AP796" i="1"/>
  <c r="AX796" i="1"/>
  <c r="AR789" i="1"/>
  <c r="AZ789" i="1"/>
  <c r="AI790" i="1"/>
  <c r="BA790" i="1"/>
  <c r="AI791" i="1"/>
  <c r="Q791" i="1" s="1"/>
  <c r="AR795" i="1"/>
  <c r="AZ795" i="1"/>
  <c r="BA794" i="1"/>
  <c r="AR788" i="1"/>
  <c r="AY796" i="1"/>
  <c r="AH788" i="1"/>
  <c r="AZ788" i="1"/>
  <c r="T796" i="1"/>
  <c r="AI788" i="1"/>
  <c r="Q794" i="1" l="1"/>
  <c r="BB1163" i="1"/>
  <c r="R1163" i="1" s="1"/>
  <c r="R794" i="1"/>
  <c r="AJ795" i="1"/>
  <c r="BB791" i="1"/>
  <c r="BB790" i="1"/>
  <c r="BA796" i="1"/>
  <c r="Q790" i="1"/>
  <c r="AJ791" i="1"/>
  <c r="AJ790" i="1"/>
  <c r="BB795" i="1"/>
  <c r="AJ789" i="1"/>
  <c r="AH796" i="1"/>
  <c r="Z796" i="1"/>
  <c r="BB789" i="1"/>
  <c r="AZ796" i="1"/>
  <c r="BB788" i="1"/>
  <c r="AR796" i="1"/>
  <c r="AJ788" i="1"/>
  <c r="Q788" i="1"/>
  <c r="Q796" i="1" s="1"/>
  <c r="AI796" i="1"/>
  <c r="R795" i="1" l="1"/>
  <c r="R790" i="1"/>
  <c r="R791" i="1"/>
  <c r="BB796" i="1"/>
  <c r="R789" i="1"/>
  <c r="R788" i="1"/>
  <c r="AJ796" i="1"/>
  <c r="R796" i="1" l="1"/>
  <c r="AN1166" i="1"/>
  <c r="AW1165" i="1" l="1"/>
  <c r="AU1165" i="1"/>
  <c r="AS1165" i="1"/>
  <c r="AO1165" i="1"/>
  <c r="AM1165" i="1"/>
  <c r="AK1165" i="1"/>
  <c r="AE1165" i="1"/>
  <c r="AC1165" i="1"/>
  <c r="AA1165" i="1"/>
  <c r="W1165" i="1"/>
  <c r="U1165" i="1"/>
  <c r="S1165" i="1"/>
  <c r="AY1164" i="1"/>
  <c r="AX1164" i="1"/>
  <c r="AV1164" i="1"/>
  <c r="AT1164" i="1"/>
  <c r="AQ1164" i="1"/>
  <c r="BA1164" i="1" s="1"/>
  <c r="AP1164" i="1"/>
  <c r="AN1164" i="1"/>
  <c r="AL1164" i="1"/>
  <c r="AG1164" i="1"/>
  <c r="AF1164" i="1"/>
  <c r="AD1164" i="1"/>
  <c r="AB1164" i="1"/>
  <c r="Y1164" i="1"/>
  <c r="AI1164" i="1" s="1"/>
  <c r="X1164" i="1"/>
  <c r="V1164" i="1"/>
  <c r="T1164" i="1"/>
  <c r="AY1162" i="1"/>
  <c r="AY1165" i="1" s="1"/>
  <c r="AX1162" i="1"/>
  <c r="AV1162" i="1"/>
  <c r="AT1162" i="1"/>
  <c r="AQ1162" i="1"/>
  <c r="AP1162" i="1"/>
  <c r="AN1162" i="1"/>
  <c r="AL1162" i="1"/>
  <c r="AG1162" i="1"/>
  <c r="AG1165" i="1" s="1"/>
  <c r="AF1162" i="1"/>
  <c r="AD1162" i="1"/>
  <c r="AB1162" i="1"/>
  <c r="AB1165" i="1" s="1"/>
  <c r="Y1162" i="1"/>
  <c r="Y1165" i="1" s="1"/>
  <c r="X1162" i="1"/>
  <c r="V1162" i="1"/>
  <c r="T1162" i="1"/>
  <c r="T1165" i="1" s="1"/>
  <c r="AY453" i="1"/>
  <c r="AX453" i="1"/>
  <c r="AV453" i="1"/>
  <c r="AT453" i="1"/>
  <c r="AQ453" i="1"/>
  <c r="AP453" i="1"/>
  <c r="AN453" i="1"/>
  <c r="AL453" i="1"/>
  <c r="AG453" i="1"/>
  <c r="AF453" i="1"/>
  <c r="AD453" i="1"/>
  <c r="AB453" i="1"/>
  <c r="Y453" i="1"/>
  <c r="AI453" i="1" s="1"/>
  <c r="X453" i="1"/>
  <c r="V453" i="1"/>
  <c r="T453" i="1"/>
  <c r="AY603" i="1"/>
  <c r="AX603" i="1"/>
  <c r="AV603" i="1"/>
  <c r="AT603" i="1"/>
  <c r="AQ603" i="1"/>
  <c r="AP603" i="1"/>
  <c r="AN603" i="1"/>
  <c r="AL603" i="1"/>
  <c r="AG603" i="1"/>
  <c r="AF603" i="1"/>
  <c r="AD603" i="1"/>
  <c r="AB603" i="1"/>
  <c r="Y603" i="1"/>
  <c r="X603" i="1"/>
  <c r="V603" i="1"/>
  <c r="T603" i="1"/>
  <c r="BA453" i="1" l="1"/>
  <c r="Q453" i="1" s="1"/>
  <c r="BA1162" i="1"/>
  <c r="BA1165" i="1" s="1"/>
  <c r="AL1165" i="1"/>
  <c r="Q1164" i="1"/>
  <c r="AV1165" i="1"/>
  <c r="AF1165" i="1"/>
  <c r="AP1165" i="1"/>
  <c r="AX1165" i="1"/>
  <c r="AR1164" i="1"/>
  <c r="AZ1164" i="1"/>
  <c r="AQ1165" i="1"/>
  <c r="AN1165" i="1"/>
  <c r="AT1165" i="1"/>
  <c r="X1165" i="1"/>
  <c r="V1165" i="1"/>
  <c r="AD1165" i="1"/>
  <c r="Z1164" i="1"/>
  <c r="AH1164" i="1"/>
  <c r="AR1162" i="1"/>
  <c r="AH1162" i="1"/>
  <c r="AZ1162" i="1"/>
  <c r="AI1162" i="1"/>
  <c r="Z1162" i="1"/>
  <c r="Z453" i="1"/>
  <c r="AH453" i="1"/>
  <c r="AZ453" i="1"/>
  <c r="AR453" i="1"/>
  <c r="Z603" i="1"/>
  <c r="AH603" i="1"/>
  <c r="AR603" i="1"/>
  <c r="AZ603" i="1"/>
  <c r="AI603" i="1"/>
  <c r="BA603" i="1"/>
  <c r="BB1164" i="1" l="1"/>
  <c r="AZ1165" i="1"/>
  <c r="AJ1164" i="1"/>
  <c r="AH1165" i="1"/>
  <c r="Q1162" i="1"/>
  <c r="Q1165" i="1" s="1"/>
  <c r="AI1165" i="1"/>
  <c r="Z1165" i="1"/>
  <c r="AJ1162" i="1"/>
  <c r="BB1162" i="1"/>
  <c r="AR1165" i="1"/>
  <c r="Q603" i="1"/>
  <c r="BB453" i="1"/>
  <c r="AJ453" i="1"/>
  <c r="BB603" i="1"/>
  <c r="AJ603" i="1"/>
  <c r="BB1165" i="1" l="1"/>
  <c r="R1164" i="1"/>
  <c r="R1162" i="1"/>
  <c r="AJ1165" i="1"/>
  <c r="R603" i="1"/>
  <c r="R453" i="1"/>
  <c r="R1165" i="1" l="1"/>
  <c r="T733" i="1"/>
  <c r="V733" i="1"/>
  <c r="X733" i="1"/>
  <c r="Y733" i="1"/>
  <c r="AB733" i="1"/>
  <c r="AD733" i="1"/>
  <c r="AF733" i="1"/>
  <c r="AG733" i="1"/>
  <c r="AL733" i="1"/>
  <c r="AN733" i="1"/>
  <c r="AP733" i="1"/>
  <c r="AQ733" i="1"/>
  <c r="AY83" i="1"/>
  <c r="AX83" i="1"/>
  <c r="AV83" i="1"/>
  <c r="AT83" i="1"/>
  <c r="AQ83" i="1"/>
  <c r="AP83" i="1"/>
  <c r="AN83" i="1"/>
  <c r="AL83" i="1"/>
  <c r="AG83" i="1"/>
  <c r="AF83" i="1"/>
  <c r="AD83" i="1"/>
  <c r="AB83" i="1"/>
  <c r="Y83" i="1"/>
  <c r="AI83" i="1" s="1"/>
  <c r="X83" i="1"/>
  <c r="V83" i="1"/>
  <c r="T83" i="1"/>
  <c r="AY82" i="1"/>
  <c r="AX82" i="1"/>
  <c r="AV82" i="1"/>
  <c r="AT82" i="1"/>
  <c r="AQ82" i="1"/>
  <c r="AP82" i="1"/>
  <c r="AN82" i="1"/>
  <c r="AL82" i="1"/>
  <c r="AG82" i="1"/>
  <c r="AF82" i="1"/>
  <c r="AD82" i="1"/>
  <c r="AB82" i="1"/>
  <c r="Y82" i="1"/>
  <c r="AI82" i="1" s="1"/>
  <c r="X82" i="1"/>
  <c r="V82" i="1"/>
  <c r="T82" i="1"/>
  <c r="BA83" i="1" l="1"/>
  <c r="BA82" i="1"/>
  <c r="Q82" i="1" s="1"/>
  <c r="Z733" i="1"/>
  <c r="Z83" i="1"/>
  <c r="AH83" i="1"/>
  <c r="AZ83" i="1"/>
  <c r="AZ82" i="1"/>
  <c r="AH733" i="1"/>
  <c r="AI733" i="1"/>
  <c r="AR733" i="1"/>
  <c r="Q83" i="1"/>
  <c r="AR83" i="1"/>
  <c r="AR82" i="1"/>
  <c r="AH82" i="1"/>
  <c r="Z82" i="1"/>
  <c r="AJ733" i="1" l="1"/>
  <c r="AJ83" i="1"/>
  <c r="BB82" i="1"/>
  <c r="BB83" i="1"/>
  <c r="AJ82" i="1"/>
  <c r="AQ81" i="1"/>
  <c r="AY189" i="1"/>
  <c r="AX189" i="1"/>
  <c r="AV189" i="1"/>
  <c r="AT189" i="1"/>
  <c r="AQ189" i="1"/>
  <c r="AP189" i="1"/>
  <c r="AN189" i="1"/>
  <c r="AL189" i="1"/>
  <c r="AG189" i="1"/>
  <c r="AF189" i="1"/>
  <c r="AD189" i="1"/>
  <c r="AB189" i="1"/>
  <c r="Y189" i="1"/>
  <c r="X189" i="1"/>
  <c r="V189" i="1"/>
  <c r="T189" i="1"/>
  <c r="AY188" i="1"/>
  <c r="AX188" i="1"/>
  <c r="AV188" i="1"/>
  <c r="AT188" i="1"/>
  <c r="AQ188" i="1"/>
  <c r="AP188" i="1"/>
  <c r="AN188" i="1"/>
  <c r="AL188" i="1"/>
  <c r="AG188" i="1"/>
  <c r="AF188" i="1"/>
  <c r="AD188" i="1"/>
  <c r="AB188" i="1"/>
  <c r="Y188" i="1"/>
  <c r="AI188" i="1" s="1"/>
  <c r="X188" i="1"/>
  <c r="V188" i="1"/>
  <c r="T188" i="1"/>
  <c r="AI189" i="1" l="1"/>
  <c r="BA188" i="1"/>
  <c r="Q188" i="1" s="1"/>
  <c r="R82" i="1"/>
  <c r="R83" i="1"/>
  <c r="BA189" i="1"/>
  <c r="Q189" i="1" s="1"/>
  <c r="Z188" i="1"/>
  <c r="AH188" i="1"/>
  <c r="AZ188" i="1"/>
  <c r="Z189" i="1"/>
  <c r="AH189" i="1"/>
  <c r="AZ189" i="1"/>
  <c r="AR189" i="1"/>
  <c r="AR188" i="1"/>
  <c r="AY277" i="1"/>
  <c r="AX277" i="1"/>
  <c r="AV277" i="1"/>
  <c r="AT277" i="1"/>
  <c r="AQ277" i="1"/>
  <c r="AP277" i="1"/>
  <c r="AN277" i="1"/>
  <c r="AL277" i="1"/>
  <c r="AG277" i="1"/>
  <c r="AF277" i="1"/>
  <c r="AD277" i="1"/>
  <c r="AB277" i="1"/>
  <c r="Y277" i="1"/>
  <c r="AI277" i="1" s="1"/>
  <c r="X277" i="1"/>
  <c r="V277" i="1"/>
  <c r="T277" i="1"/>
  <c r="AY278" i="1"/>
  <c r="AX278" i="1"/>
  <c r="AV278" i="1"/>
  <c r="AT278" i="1"/>
  <c r="AQ278" i="1"/>
  <c r="BA278" i="1" s="1"/>
  <c r="AP278" i="1"/>
  <c r="AN278" i="1"/>
  <c r="AL278" i="1"/>
  <c r="AG278" i="1"/>
  <c r="AF278" i="1"/>
  <c r="AD278" i="1"/>
  <c r="AB278" i="1"/>
  <c r="Y278" i="1"/>
  <c r="X278" i="1"/>
  <c r="V278" i="1"/>
  <c r="T278" i="1"/>
  <c r="AY279" i="1"/>
  <c r="AX279" i="1"/>
  <c r="AV279" i="1"/>
  <c r="AT279" i="1"/>
  <c r="AQ279" i="1"/>
  <c r="AP279" i="1"/>
  <c r="AN279" i="1"/>
  <c r="AL279" i="1"/>
  <c r="AG279" i="1"/>
  <c r="AF279" i="1"/>
  <c r="AD279" i="1"/>
  <c r="AB279" i="1"/>
  <c r="Y279" i="1"/>
  <c r="AI279" i="1" s="1"/>
  <c r="X279" i="1"/>
  <c r="V279" i="1"/>
  <c r="T279" i="1"/>
  <c r="AY280" i="1"/>
  <c r="AX280" i="1"/>
  <c r="AV280" i="1"/>
  <c r="AT280" i="1"/>
  <c r="AQ280" i="1"/>
  <c r="BA280" i="1" s="1"/>
  <c r="AP280" i="1"/>
  <c r="AN280" i="1"/>
  <c r="AL280" i="1"/>
  <c r="AG280" i="1"/>
  <c r="AF280" i="1"/>
  <c r="AD280" i="1"/>
  <c r="AB280" i="1"/>
  <c r="Y280" i="1"/>
  <c r="AI280" i="1" s="1"/>
  <c r="Q280" i="1" s="1"/>
  <c r="X280" i="1"/>
  <c r="V280" i="1"/>
  <c r="T280" i="1"/>
  <c r="AY281" i="1"/>
  <c r="AX281" i="1"/>
  <c r="AV281" i="1"/>
  <c r="AT281" i="1"/>
  <c r="AQ281" i="1"/>
  <c r="BA281" i="1" s="1"/>
  <c r="AP281" i="1"/>
  <c r="AN281" i="1"/>
  <c r="AL281" i="1"/>
  <c r="AG281" i="1"/>
  <c r="AF281" i="1"/>
  <c r="AD281" i="1"/>
  <c r="AB281" i="1"/>
  <c r="Y281" i="1"/>
  <c r="AI281" i="1" s="1"/>
  <c r="X281" i="1"/>
  <c r="V281" i="1"/>
  <c r="T281" i="1"/>
  <c r="AY282" i="1"/>
  <c r="AX282" i="1"/>
  <c r="AV282" i="1"/>
  <c r="AT282" i="1"/>
  <c r="AQ282" i="1"/>
  <c r="AP282" i="1"/>
  <c r="AN282" i="1"/>
  <c r="AL282" i="1"/>
  <c r="AG282" i="1"/>
  <c r="AF282" i="1"/>
  <c r="AD282" i="1"/>
  <c r="AB282" i="1"/>
  <c r="Y282" i="1"/>
  <c r="AI282" i="1" s="1"/>
  <c r="X282" i="1"/>
  <c r="V282" i="1"/>
  <c r="T282" i="1"/>
  <c r="AY283" i="1"/>
  <c r="AX283" i="1"/>
  <c r="AV283" i="1"/>
  <c r="AT283" i="1"/>
  <c r="AQ283" i="1"/>
  <c r="BA283" i="1" s="1"/>
  <c r="AP283" i="1"/>
  <c r="AN283" i="1"/>
  <c r="AL283" i="1"/>
  <c r="AG283" i="1"/>
  <c r="AF283" i="1"/>
  <c r="AD283" i="1"/>
  <c r="AB283" i="1"/>
  <c r="Y283" i="1"/>
  <c r="AI283" i="1" s="1"/>
  <c r="Q283" i="1" s="1"/>
  <c r="X283" i="1"/>
  <c r="V283" i="1"/>
  <c r="T283" i="1"/>
  <c r="AY284" i="1"/>
  <c r="AX284" i="1"/>
  <c r="AV284" i="1"/>
  <c r="AT284" i="1"/>
  <c r="AQ284" i="1"/>
  <c r="BA284" i="1" s="1"/>
  <c r="AP284" i="1"/>
  <c r="AN284" i="1"/>
  <c r="AL284" i="1"/>
  <c r="AG284" i="1"/>
  <c r="AF284" i="1"/>
  <c r="AD284" i="1"/>
  <c r="AB284" i="1"/>
  <c r="Y284" i="1"/>
  <c r="AI284" i="1" s="1"/>
  <c r="X284" i="1"/>
  <c r="V284" i="1"/>
  <c r="T284" i="1"/>
  <c r="AY285" i="1"/>
  <c r="AX285" i="1"/>
  <c r="AV285" i="1"/>
  <c r="AT285" i="1"/>
  <c r="AQ285" i="1"/>
  <c r="BA285" i="1" s="1"/>
  <c r="AP285" i="1"/>
  <c r="AN285" i="1"/>
  <c r="AL285" i="1"/>
  <c r="AG285" i="1"/>
  <c r="AF285" i="1"/>
  <c r="AD285" i="1"/>
  <c r="AB285" i="1"/>
  <c r="Y285" i="1"/>
  <c r="AI285" i="1" s="1"/>
  <c r="X285" i="1"/>
  <c r="V285" i="1"/>
  <c r="T285" i="1"/>
  <c r="AL1166" i="1"/>
  <c r="AY594" i="1"/>
  <c r="AX594" i="1"/>
  <c r="AV594" i="1"/>
  <c r="AT594" i="1"/>
  <c r="AQ594" i="1"/>
  <c r="BA594" i="1" s="1"/>
  <c r="AP594" i="1"/>
  <c r="AN594" i="1"/>
  <c r="AL594" i="1"/>
  <c r="AG594" i="1"/>
  <c r="AF594" i="1"/>
  <c r="AD594" i="1"/>
  <c r="AB594" i="1"/>
  <c r="Y594" i="1"/>
  <c r="X594" i="1"/>
  <c r="V594" i="1"/>
  <c r="T594" i="1"/>
  <c r="BA277" i="1" l="1"/>
  <c r="Q277" i="1" s="1"/>
  <c r="BA282" i="1"/>
  <c r="Q282" i="1" s="1"/>
  <c r="AI278" i="1"/>
  <c r="Q278" i="1" s="1"/>
  <c r="AJ188" i="1"/>
  <c r="AJ189" i="1"/>
  <c r="BB188" i="1"/>
  <c r="AR277" i="1"/>
  <c r="AZ277" i="1"/>
  <c r="BB189" i="1"/>
  <c r="R189" i="1" s="1"/>
  <c r="Q285" i="1"/>
  <c r="Q284" i="1"/>
  <c r="Q281" i="1"/>
  <c r="Z277" i="1"/>
  <c r="AH277" i="1"/>
  <c r="Z279" i="1"/>
  <c r="AH279" i="1"/>
  <c r="AR279" i="1"/>
  <c r="AZ279" i="1"/>
  <c r="Z278" i="1"/>
  <c r="AH278" i="1"/>
  <c r="AR278" i="1"/>
  <c r="AZ278" i="1"/>
  <c r="Z594" i="1"/>
  <c r="AR594" i="1"/>
  <c r="AZ594" i="1"/>
  <c r="BA279" i="1"/>
  <c r="Q279" i="1" s="1"/>
  <c r="Z280" i="1"/>
  <c r="AH280" i="1"/>
  <c r="AR280" i="1"/>
  <c r="AZ280" i="1"/>
  <c r="Z282" i="1"/>
  <c r="AH282" i="1"/>
  <c r="AR282" i="1"/>
  <c r="Z281" i="1"/>
  <c r="AH281" i="1"/>
  <c r="AR281" i="1"/>
  <c r="AZ281" i="1"/>
  <c r="AZ282" i="1"/>
  <c r="Z283" i="1"/>
  <c r="AH283" i="1"/>
  <c r="AR283" i="1"/>
  <c r="AZ283" i="1"/>
  <c r="Z285" i="1"/>
  <c r="AH285" i="1"/>
  <c r="AR285" i="1"/>
  <c r="Z284" i="1"/>
  <c r="AH284" i="1"/>
  <c r="AR284" i="1"/>
  <c r="AZ284" i="1"/>
  <c r="AZ285" i="1"/>
  <c r="AI594" i="1"/>
  <c r="Q594" i="1" s="1"/>
  <c r="AH594" i="1"/>
  <c r="R188" i="1" l="1"/>
  <c r="BB277" i="1"/>
  <c r="AJ277" i="1"/>
  <c r="AJ278" i="1"/>
  <c r="AJ279" i="1"/>
  <c r="BB278" i="1"/>
  <c r="BB279" i="1"/>
  <c r="BB594" i="1"/>
  <c r="AJ281" i="1"/>
  <c r="AJ594" i="1"/>
  <c r="BB282" i="1"/>
  <c r="BB280" i="1"/>
  <c r="AJ280" i="1"/>
  <c r="BB281" i="1"/>
  <c r="AJ282" i="1"/>
  <c r="R282" i="1" s="1"/>
  <c r="AJ283" i="1"/>
  <c r="AJ284" i="1"/>
  <c r="BB285" i="1"/>
  <c r="BB283" i="1"/>
  <c r="BB284" i="1"/>
  <c r="AJ285" i="1"/>
  <c r="AY934" i="1"/>
  <c r="AX934" i="1"/>
  <c r="AV934" i="1"/>
  <c r="AT934" i="1"/>
  <c r="AQ934" i="1"/>
  <c r="BA934" i="1" s="1"/>
  <c r="AP934" i="1"/>
  <c r="AN934" i="1"/>
  <c r="AL934" i="1"/>
  <c r="AG934" i="1"/>
  <c r="AF934" i="1"/>
  <c r="AD934" i="1"/>
  <c r="AB934" i="1"/>
  <c r="Y934" i="1"/>
  <c r="AI934" i="1" s="1"/>
  <c r="Q934" i="1" s="1"/>
  <c r="X934" i="1"/>
  <c r="V934" i="1"/>
  <c r="T934" i="1"/>
  <c r="AY927" i="1"/>
  <c r="AX927" i="1"/>
  <c r="AV927" i="1"/>
  <c r="AT927" i="1"/>
  <c r="AQ927" i="1"/>
  <c r="AP927" i="1"/>
  <c r="AN927" i="1"/>
  <c r="AL927" i="1"/>
  <c r="AG927" i="1"/>
  <c r="AF927" i="1"/>
  <c r="AD927" i="1"/>
  <c r="AB927" i="1"/>
  <c r="Y927" i="1"/>
  <c r="X927" i="1"/>
  <c r="V927" i="1"/>
  <c r="T927" i="1"/>
  <c r="AQ311" i="1"/>
  <c r="AQ309" i="1"/>
  <c r="AY311" i="1"/>
  <c r="AY309" i="1"/>
  <c r="AY54" i="1"/>
  <c r="AX54" i="1"/>
  <c r="AV54" i="1"/>
  <c r="AT54" i="1"/>
  <c r="AQ54" i="1"/>
  <c r="BA54" i="1" s="1"/>
  <c r="AP54" i="1"/>
  <c r="AN54" i="1"/>
  <c r="AL54" i="1"/>
  <c r="AG54" i="1"/>
  <c r="AF54" i="1"/>
  <c r="AD54" i="1"/>
  <c r="AB54" i="1"/>
  <c r="Y54" i="1"/>
  <c r="AI54" i="1" s="1"/>
  <c r="X54" i="1"/>
  <c r="V54" i="1"/>
  <c r="T54" i="1"/>
  <c r="AY56" i="1"/>
  <c r="AX56" i="1"/>
  <c r="AV56" i="1"/>
  <c r="AT56" i="1"/>
  <c r="AQ56" i="1"/>
  <c r="BA56" i="1" s="1"/>
  <c r="AP56" i="1"/>
  <c r="AN56" i="1"/>
  <c r="AL56" i="1"/>
  <c r="AG56" i="1"/>
  <c r="AF56" i="1"/>
  <c r="AD56" i="1"/>
  <c r="AB56" i="1"/>
  <c r="Y56" i="1"/>
  <c r="X56" i="1"/>
  <c r="V56" i="1"/>
  <c r="T56" i="1"/>
  <c r="AY55" i="1"/>
  <c r="AX55" i="1"/>
  <c r="AV55" i="1"/>
  <c r="AT55" i="1"/>
  <c r="AQ55" i="1"/>
  <c r="BA55" i="1" s="1"/>
  <c r="AP55" i="1"/>
  <c r="AN55" i="1"/>
  <c r="AL55" i="1"/>
  <c r="AG55" i="1"/>
  <c r="AF55" i="1"/>
  <c r="AD55" i="1"/>
  <c r="AB55" i="1"/>
  <c r="Y55" i="1"/>
  <c r="X55" i="1"/>
  <c r="V55" i="1"/>
  <c r="T55" i="1"/>
  <c r="AY53" i="1"/>
  <c r="AX53" i="1"/>
  <c r="AV53" i="1"/>
  <c r="AT53" i="1"/>
  <c r="AQ53" i="1"/>
  <c r="AP53" i="1"/>
  <c r="AN53" i="1"/>
  <c r="AL53" i="1"/>
  <c r="AG53" i="1"/>
  <c r="AF53" i="1"/>
  <c r="AD53" i="1"/>
  <c r="AB53" i="1"/>
  <c r="Y53" i="1"/>
  <c r="X53" i="1"/>
  <c r="V53" i="1"/>
  <c r="T53" i="1"/>
  <c r="AQ43" i="1"/>
  <c r="BA53" i="1" l="1"/>
  <c r="R277" i="1"/>
  <c r="AI55" i="1"/>
  <c r="Q55" i="1" s="1"/>
  <c r="AI56" i="1"/>
  <c r="Q56" i="1" s="1"/>
  <c r="Q54" i="1"/>
  <c r="R594" i="1"/>
  <c r="R280" i="1"/>
  <c r="R281" i="1"/>
  <c r="R279" i="1"/>
  <c r="R278" i="1"/>
  <c r="R285" i="1"/>
  <c r="R284" i="1"/>
  <c r="R283" i="1"/>
  <c r="BA927" i="1"/>
  <c r="AI53" i="1"/>
  <c r="Z934" i="1"/>
  <c r="AH934" i="1"/>
  <c r="AR934" i="1"/>
  <c r="AZ934" i="1"/>
  <c r="AZ53" i="1"/>
  <c r="AH56" i="1"/>
  <c r="AZ56" i="1"/>
  <c r="Z54" i="1"/>
  <c r="AH54" i="1"/>
  <c r="AR54" i="1"/>
  <c r="AZ54" i="1"/>
  <c r="Z927" i="1"/>
  <c r="AH927" i="1"/>
  <c r="AR927" i="1"/>
  <c r="AZ927" i="1"/>
  <c r="AI927" i="1"/>
  <c r="AR55" i="1"/>
  <c r="AZ55" i="1"/>
  <c r="Z56" i="1"/>
  <c r="Z53" i="1"/>
  <c r="AH53" i="1"/>
  <c r="AR53" i="1"/>
  <c r="AR56" i="1"/>
  <c r="Z55" i="1"/>
  <c r="AH55" i="1"/>
  <c r="Q53" i="1" l="1"/>
  <c r="BB53" i="1"/>
  <c r="BB54" i="1"/>
  <c r="Q927" i="1"/>
  <c r="BB934" i="1"/>
  <c r="AJ927" i="1"/>
  <c r="AJ54" i="1"/>
  <c r="AJ934" i="1"/>
  <c r="BB927" i="1"/>
  <c r="BB56" i="1"/>
  <c r="AJ56" i="1"/>
  <c r="AJ55" i="1"/>
  <c r="AJ53" i="1"/>
  <c r="BB55" i="1"/>
  <c r="R54" i="1" l="1"/>
  <c r="R53" i="1"/>
  <c r="R934" i="1"/>
  <c r="R56" i="1"/>
  <c r="R55" i="1"/>
  <c r="R927" i="1"/>
  <c r="AF1166" i="1"/>
  <c r="AY52" i="1"/>
  <c r="AX52" i="1"/>
  <c r="AV52" i="1"/>
  <c r="AT52" i="1"/>
  <c r="AQ52" i="1"/>
  <c r="AP52" i="1"/>
  <c r="AN52" i="1"/>
  <c r="AL52" i="1"/>
  <c r="AG52" i="1"/>
  <c r="AF52" i="1"/>
  <c r="AD52" i="1"/>
  <c r="AB52" i="1"/>
  <c r="Y52" i="1"/>
  <c r="X52" i="1"/>
  <c r="V52" i="1"/>
  <c r="T52" i="1"/>
  <c r="AY51" i="1"/>
  <c r="AX51" i="1"/>
  <c r="AV51" i="1"/>
  <c r="AT51" i="1"/>
  <c r="AQ51" i="1"/>
  <c r="BA51" i="1" s="1"/>
  <c r="AP51" i="1"/>
  <c r="AN51" i="1"/>
  <c r="AL51" i="1"/>
  <c r="AG51" i="1"/>
  <c r="AF51" i="1"/>
  <c r="AD51" i="1"/>
  <c r="AB51" i="1"/>
  <c r="Y51" i="1"/>
  <c r="X51" i="1"/>
  <c r="V51" i="1"/>
  <c r="T51" i="1"/>
  <c r="AY50" i="1"/>
  <c r="AX50" i="1"/>
  <c r="AV50" i="1"/>
  <c r="AT50" i="1"/>
  <c r="AQ50" i="1"/>
  <c r="AP50" i="1"/>
  <c r="AN50" i="1"/>
  <c r="AL50" i="1"/>
  <c r="AG50" i="1"/>
  <c r="AF50" i="1"/>
  <c r="AD50" i="1"/>
  <c r="AB50" i="1"/>
  <c r="Y50" i="1"/>
  <c r="X50" i="1"/>
  <c r="V50" i="1"/>
  <c r="T50" i="1"/>
  <c r="AI50" i="1" l="1"/>
  <c r="BA52" i="1"/>
  <c r="AH50" i="1"/>
  <c r="AR50" i="1"/>
  <c r="AZ51" i="1"/>
  <c r="Z52" i="1"/>
  <c r="AZ52" i="1"/>
  <c r="AR52" i="1"/>
  <c r="BA50" i="1"/>
  <c r="Q50" i="1" s="1"/>
  <c r="AI51" i="1"/>
  <c r="Q51" i="1" s="1"/>
  <c r="Z50" i="1"/>
  <c r="AZ50" i="1"/>
  <c r="BB50" i="1" s="1"/>
  <c r="AR51" i="1"/>
  <c r="AI52" i="1"/>
  <c r="Q52" i="1" s="1"/>
  <c r="AH52" i="1"/>
  <c r="Z51" i="1"/>
  <c r="AH51" i="1"/>
  <c r="AJ50" i="1" l="1"/>
  <c r="BB51" i="1"/>
  <c r="BB52" i="1"/>
  <c r="AJ52" i="1"/>
  <c r="R50" i="1"/>
  <c r="AJ51" i="1"/>
  <c r="R51" i="1" s="1"/>
  <c r="AY581" i="1"/>
  <c r="AX581" i="1"/>
  <c r="AV581" i="1"/>
  <c r="AT581" i="1"/>
  <c r="AQ581" i="1"/>
  <c r="AP581" i="1"/>
  <c r="AN581" i="1"/>
  <c r="AL581" i="1"/>
  <c r="AG581" i="1"/>
  <c r="AF581" i="1"/>
  <c r="AD581" i="1"/>
  <c r="AB581" i="1"/>
  <c r="Y581" i="1"/>
  <c r="X581" i="1"/>
  <c r="V581" i="1"/>
  <c r="T581" i="1"/>
  <c r="AY80" i="1"/>
  <c r="AX80" i="1"/>
  <c r="AV80" i="1"/>
  <c r="AT80" i="1"/>
  <c r="AQ80" i="1"/>
  <c r="AP80" i="1"/>
  <c r="AN80" i="1"/>
  <c r="AL80" i="1"/>
  <c r="AG80" i="1"/>
  <c r="AF80" i="1"/>
  <c r="AD80" i="1"/>
  <c r="AB80" i="1"/>
  <c r="Y80" i="1"/>
  <c r="X80" i="1"/>
  <c r="V80" i="1"/>
  <c r="T80" i="1"/>
  <c r="AY274" i="1"/>
  <c r="AX274" i="1"/>
  <c r="AV274" i="1"/>
  <c r="AT274" i="1"/>
  <c r="AQ274" i="1"/>
  <c r="AP274" i="1"/>
  <c r="AN274" i="1"/>
  <c r="AL274" i="1"/>
  <c r="AG274" i="1"/>
  <c r="AF274" i="1"/>
  <c r="AD274" i="1"/>
  <c r="AB274" i="1"/>
  <c r="Y274" i="1"/>
  <c r="X274" i="1"/>
  <c r="V274" i="1"/>
  <c r="T274" i="1"/>
  <c r="AY273" i="1"/>
  <c r="AX273" i="1"/>
  <c r="AV273" i="1"/>
  <c r="AT273" i="1"/>
  <c r="AQ273" i="1"/>
  <c r="AP273" i="1"/>
  <c r="AN273" i="1"/>
  <c r="AL273" i="1"/>
  <c r="AG273" i="1"/>
  <c r="AF273" i="1"/>
  <c r="AD273" i="1"/>
  <c r="AB273" i="1"/>
  <c r="Y273" i="1"/>
  <c r="X273" i="1"/>
  <c r="V273" i="1"/>
  <c r="T273" i="1"/>
  <c r="AD1166" i="1"/>
  <c r="AY604" i="1"/>
  <c r="AX604" i="1"/>
  <c r="AV604" i="1"/>
  <c r="AT604" i="1"/>
  <c r="AQ604" i="1"/>
  <c r="BA604" i="1" s="1"/>
  <c r="AP604" i="1"/>
  <c r="AN604" i="1"/>
  <c r="AL604" i="1"/>
  <c r="AG604" i="1"/>
  <c r="AF604" i="1"/>
  <c r="AD604" i="1"/>
  <c r="AB604" i="1"/>
  <c r="Y604" i="1"/>
  <c r="X604" i="1"/>
  <c r="V604" i="1"/>
  <c r="T604" i="1"/>
  <c r="AY1066" i="1"/>
  <c r="AX1066" i="1"/>
  <c r="AV1066" i="1"/>
  <c r="AT1066" i="1"/>
  <c r="AQ1066" i="1"/>
  <c r="AP1066" i="1"/>
  <c r="AN1066" i="1"/>
  <c r="AL1066" i="1"/>
  <c r="AG1066" i="1"/>
  <c r="AF1066" i="1"/>
  <c r="AD1066" i="1"/>
  <c r="AB1066" i="1"/>
  <c r="Y1066" i="1"/>
  <c r="X1066" i="1"/>
  <c r="V1066" i="1"/>
  <c r="T1066" i="1"/>
  <c r="AY1065" i="1"/>
  <c r="AX1065" i="1"/>
  <c r="AV1065" i="1"/>
  <c r="AT1065" i="1"/>
  <c r="AQ1065" i="1"/>
  <c r="AP1065" i="1"/>
  <c r="AN1065" i="1"/>
  <c r="AL1065" i="1"/>
  <c r="AG1065" i="1"/>
  <c r="AF1065" i="1"/>
  <c r="AD1065" i="1"/>
  <c r="AB1065" i="1"/>
  <c r="Y1065" i="1"/>
  <c r="X1065" i="1"/>
  <c r="V1065" i="1"/>
  <c r="T1065" i="1"/>
  <c r="AY181" i="1"/>
  <c r="AX181" i="1"/>
  <c r="AV181" i="1"/>
  <c r="AT181" i="1"/>
  <c r="AQ181" i="1"/>
  <c r="BA181" i="1" s="1"/>
  <c r="AP181" i="1"/>
  <c r="AN181" i="1"/>
  <c r="AL181" i="1"/>
  <c r="AG181" i="1"/>
  <c r="AF181" i="1"/>
  <c r="AD181" i="1"/>
  <c r="AB181" i="1"/>
  <c r="Y181" i="1"/>
  <c r="AI181" i="1" s="1"/>
  <c r="X181" i="1"/>
  <c r="V181" i="1"/>
  <c r="T181" i="1"/>
  <c r="AY178" i="1"/>
  <c r="AX178" i="1"/>
  <c r="AV178" i="1"/>
  <c r="AT178" i="1"/>
  <c r="AQ178" i="1"/>
  <c r="AP178" i="1"/>
  <c r="AN178" i="1"/>
  <c r="AL178" i="1"/>
  <c r="AG178" i="1"/>
  <c r="AF178" i="1"/>
  <c r="AD178" i="1"/>
  <c r="AB178" i="1"/>
  <c r="Y178" i="1"/>
  <c r="AI178" i="1" s="1"/>
  <c r="X178" i="1"/>
  <c r="V178" i="1"/>
  <c r="T178" i="1"/>
  <c r="AY176" i="1"/>
  <c r="AX176" i="1"/>
  <c r="AV176" i="1"/>
  <c r="AT176" i="1"/>
  <c r="AQ176" i="1"/>
  <c r="BA176" i="1" s="1"/>
  <c r="AP176" i="1"/>
  <c r="AN176" i="1"/>
  <c r="AL176" i="1"/>
  <c r="AG176" i="1"/>
  <c r="AF176" i="1"/>
  <c r="AD176" i="1"/>
  <c r="AB176" i="1"/>
  <c r="Y176" i="1"/>
  <c r="X176" i="1"/>
  <c r="V176" i="1"/>
  <c r="T176" i="1"/>
  <c r="AY343" i="1"/>
  <c r="AX343" i="1"/>
  <c r="AV343" i="1"/>
  <c r="AT343" i="1"/>
  <c r="AQ343" i="1"/>
  <c r="BA343" i="1" s="1"/>
  <c r="AP343" i="1"/>
  <c r="AN343" i="1"/>
  <c r="AL343" i="1"/>
  <c r="AG343" i="1"/>
  <c r="AF343" i="1"/>
  <c r="AD343" i="1"/>
  <c r="AB343" i="1"/>
  <c r="Y343" i="1"/>
  <c r="AI343" i="1" s="1"/>
  <c r="X343" i="1"/>
  <c r="V343" i="1"/>
  <c r="T343" i="1"/>
  <c r="AB1166" i="1"/>
  <c r="AY641" i="1"/>
  <c r="AX641" i="1"/>
  <c r="AV641" i="1"/>
  <c r="AT641" i="1"/>
  <c r="AQ641" i="1"/>
  <c r="BA641" i="1" s="1"/>
  <c r="AP641" i="1"/>
  <c r="AN641" i="1"/>
  <c r="AL641" i="1"/>
  <c r="AG641" i="1"/>
  <c r="AF641" i="1"/>
  <c r="AD641" i="1"/>
  <c r="AB641" i="1"/>
  <c r="Y641" i="1"/>
  <c r="X641" i="1"/>
  <c r="V641" i="1"/>
  <c r="T641" i="1"/>
  <c r="AY1046" i="1"/>
  <c r="AX1046" i="1"/>
  <c r="AV1046" i="1"/>
  <c r="AT1046" i="1"/>
  <c r="AQ1046" i="1"/>
  <c r="BA1046" i="1" s="1"/>
  <c r="AP1046" i="1"/>
  <c r="AN1046" i="1"/>
  <c r="AL1046" i="1"/>
  <c r="AG1046" i="1"/>
  <c r="AF1046" i="1"/>
  <c r="AD1046" i="1"/>
  <c r="AB1046" i="1"/>
  <c r="Y1046" i="1"/>
  <c r="X1046" i="1"/>
  <c r="V1046" i="1"/>
  <c r="T1046" i="1"/>
  <c r="AY308" i="1"/>
  <c r="AX308" i="1"/>
  <c r="AV308" i="1"/>
  <c r="AT308" i="1"/>
  <c r="AQ308" i="1"/>
  <c r="AP308" i="1"/>
  <c r="AN308" i="1"/>
  <c r="AL308" i="1"/>
  <c r="AG308" i="1"/>
  <c r="AF308" i="1"/>
  <c r="AD308" i="1"/>
  <c r="AB308" i="1"/>
  <c r="Y308" i="1"/>
  <c r="X308" i="1"/>
  <c r="V308" i="1"/>
  <c r="T308" i="1"/>
  <c r="AX309" i="1"/>
  <c r="AV309" i="1"/>
  <c r="AT309" i="1"/>
  <c r="BA309" i="1"/>
  <c r="AP309" i="1"/>
  <c r="AN309" i="1"/>
  <c r="AL309" i="1"/>
  <c r="AG309" i="1"/>
  <c r="AF309" i="1"/>
  <c r="AD309" i="1"/>
  <c r="AB309" i="1"/>
  <c r="Y309" i="1"/>
  <c r="X309" i="1"/>
  <c r="V309" i="1"/>
  <c r="T309" i="1"/>
  <c r="AY195" i="1"/>
  <c r="AX195" i="1"/>
  <c r="AV195" i="1"/>
  <c r="AT195" i="1"/>
  <c r="AQ195" i="1"/>
  <c r="AP195" i="1"/>
  <c r="AN195" i="1"/>
  <c r="AL195" i="1"/>
  <c r="AG195" i="1"/>
  <c r="AF195" i="1"/>
  <c r="AD195" i="1"/>
  <c r="AB195" i="1"/>
  <c r="Y195" i="1"/>
  <c r="X195" i="1"/>
  <c r="V195" i="1"/>
  <c r="T195" i="1"/>
  <c r="AY340" i="1"/>
  <c r="AX340" i="1"/>
  <c r="AV340" i="1"/>
  <c r="AT340" i="1"/>
  <c r="AQ340" i="1"/>
  <c r="AP340" i="1"/>
  <c r="AN340" i="1"/>
  <c r="AL340" i="1"/>
  <c r="AG340" i="1"/>
  <c r="AF340" i="1"/>
  <c r="AD340" i="1"/>
  <c r="AB340" i="1"/>
  <c r="Y340" i="1"/>
  <c r="X340" i="1"/>
  <c r="V340" i="1"/>
  <c r="T340" i="1"/>
  <c r="AY271" i="1"/>
  <c r="AX271" i="1"/>
  <c r="AV271" i="1"/>
  <c r="AT271" i="1"/>
  <c r="AQ271" i="1"/>
  <c r="AP271" i="1"/>
  <c r="AN271" i="1"/>
  <c r="AL271" i="1"/>
  <c r="AG271" i="1"/>
  <c r="AF271" i="1"/>
  <c r="AD271" i="1"/>
  <c r="AB271" i="1"/>
  <c r="Y271" i="1"/>
  <c r="X271" i="1"/>
  <c r="V271" i="1"/>
  <c r="T271" i="1"/>
  <c r="AY272" i="1"/>
  <c r="AX272" i="1"/>
  <c r="AV272" i="1"/>
  <c r="AT272" i="1"/>
  <c r="AQ272" i="1"/>
  <c r="AP272" i="1"/>
  <c r="AN272" i="1"/>
  <c r="AL272" i="1"/>
  <c r="AG272" i="1"/>
  <c r="AF272" i="1"/>
  <c r="AD272" i="1"/>
  <c r="AB272" i="1"/>
  <c r="Y272" i="1"/>
  <c r="X272" i="1"/>
  <c r="V272" i="1"/>
  <c r="T272" i="1"/>
  <c r="AY804" i="1"/>
  <c r="AX804" i="1"/>
  <c r="AV804" i="1"/>
  <c r="AT804" i="1"/>
  <c r="AP804" i="1"/>
  <c r="AN804" i="1"/>
  <c r="AL804" i="1"/>
  <c r="AG804" i="1"/>
  <c r="AF804" i="1"/>
  <c r="AD804" i="1"/>
  <c r="AB804" i="1"/>
  <c r="Y804" i="1"/>
  <c r="AI804" i="1" s="1"/>
  <c r="X804" i="1"/>
  <c r="V804" i="1"/>
  <c r="T804" i="1"/>
  <c r="AY1152" i="1"/>
  <c r="AX1152" i="1"/>
  <c r="AV1152" i="1"/>
  <c r="AT1152" i="1"/>
  <c r="AQ1152" i="1"/>
  <c r="AP1152" i="1"/>
  <c r="AN1152" i="1"/>
  <c r="AL1152" i="1"/>
  <c r="AG1152" i="1"/>
  <c r="AF1152" i="1"/>
  <c r="AD1152" i="1"/>
  <c r="AB1152" i="1"/>
  <c r="Y1152" i="1"/>
  <c r="X1152" i="1"/>
  <c r="V1152" i="1"/>
  <c r="T1152" i="1"/>
  <c r="AI1066" i="1" l="1"/>
  <c r="BA804" i="1"/>
  <c r="Q804" i="1" s="1"/>
  <c r="BA195" i="1"/>
  <c r="AI340" i="1"/>
  <c r="BA1065" i="1"/>
  <c r="BA272" i="1"/>
  <c r="BA271" i="1"/>
  <c r="BA1152" i="1"/>
  <c r="R52" i="1"/>
  <c r="AR581" i="1"/>
  <c r="BA178" i="1"/>
  <c r="Q178" i="1" s="1"/>
  <c r="AI176" i="1"/>
  <c r="Q176" i="1" s="1"/>
  <c r="BA1066" i="1"/>
  <c r="Q1066" i="1" s="1"/>
  <c r="Q343" i="1"/>
  <c r="Q181" i="1"/>
  <c r="BA340" i="1"/>
  <c r="AI309" i="1"/>
  <c r="Q309" i="1" s="1"/>
  <c r="BA308" i="1"/>
  <c r="AI581" i="1"/>
  <c r="AR80" i="1"/>
  <c r="BA581" i="1"/>
  <c r="AZ581" i="1"/>
  <c r="AI604" i="1"/>
  <c r="Q604" i="1" s="1"/>
  <c r="AH581" i="1"/>
  <c r="Z581" i="1"/>
  <c r="AI80" i="1"/>
  <c r="Z80" i="1"/>
  <c r="AH80" i="1"/>
  <c r="BA80" i="1"/>
  <c r="BA273" i="1"/>
  <c r="AZ80" i="1"/>
  <c r="AI273" i="1"/>
  <c r="Z274" i="1"/>
  <c r="AZ274" i="1"/>
  <c r="AH274" i="1"/>
  <c r="AR274" i="1"/>
  <c r="Z273" i="1"/>
  <c r="AH273" i="1"/>
  <c r="AR273" i="1"/>
  <c r="AZ273" i="1"/>
  <c r="AI274" i="1"/>
  <c r="BA274" i="1"/>
  <c r="AR604" i="1"/>
  <c r="AZ604" i="1"/>
  <c r="AH604" i="1"/>
  <c r="Z604" i="1"/>
  <c r="Z1066" i="1"/>
  <c r="AH1066" i="1"/>
  <c r="AR1066" i="1"/>
  <c r="AZ1066" i="1"/>
  <c r="Z1065" i="1"/>
  <c r="AH1065" i="1"/>
  <c r="AR1065" i="1"/>
  <c r="AZ1065" i="1"/>
  <c r="AI1065" i="1"/>
  <c r="Z181" i="1"/>
  <c r="AR181" i="1"/>
  <c r="AZ181" i="1"/>
  <c r="AI1046" i="1"/>
  <c r="Q1046" i="1" s="1"/>
  <c r="AI272" i="1"/>
  <c r="AH181" i="1"/>
  <c r="AZ176" i="1"/>
  <c r="Z178" i="1"/>
  <c r="AH178" i="1"/>
  <c r="AR178" i="1"/>
  <c r="AZ178" i="1"/>
  <c r="AR343" i="1"/>
  <c r="AZ343" i="1"/>
  <c r="Z176" i="1"/>
  <c r="AH176" i="1"/>
  <c r="AR176" i="1"/>
  <c r="AI308" i="1"/>
  <c r="AH343" i="1"/>
  <c r="Z343" i="1"/>
  <c r="Z804" i="1"/>
  <c r="AH1046" i="1"/>
  <c r="AR1046" i="1"/>
  <c r="AZ1046" i="1"/>
  <c r="AI641" i="1"/>
  <c r="Q641" i="1" s="1"/>
  <c r="Z641" i="1"/>
  <c r="AR641" i="1"/>
  <c r="AZ641" i="1"/>
  <c r="AH641" i="1"/>
  <c r="Z1046" i="1"/>
  <c r="AR195" i="1"/>
  <c r="AZ195" i="1"/>
  <c r="AI195" i="1"/>
  <c r="Q195" i="1" s="1"/>
  <c r="AR309" i="1"/>
  <c r="AZ309" i="1"/>
  <c r="AH308" i="1"/>
  <c r="AR308" i="1"/>
  <c r="AZ308" i="1"/>
  <c r="AH309" i="1"/>
  <c r="Z309" i="1"/>
  <c r="Z308" i="1"/>
  <c r="AI271" i="1"/>
  <c r="Z195" i="1"/>
  <c r="AH195" i="1"/>
  <c r="AI1152" i="1"/>
  <c r="AR804" i="1"/>
  <c r="AR1152" i="1"/>
  <c r="AZ1152" i="1"/>
  <c r="AZ272" i="1"/>
  <c r="AH340" i="1"/>
  <c r="AR340" i="1"/>
  <c r="AZ340" i="1"/>
  <c r="Z1152" i="1"/>
  <c r="AZ804" i="1"/>
  <c r="Z340" i="1"/>
  <c r="AR271" i="1"/>
  <c r="AZ271" i="1"/>
  <c r="AH271" i="1"/>
  <c r="Z272" i="1"/>
  <c r="Z271" i="1"/>
  <c r="AH272" i="1"/>
  <c r="AR272" i="1"/>
  <c r="AH804" i="1"/>
  <c r="AH1152" i="1"/>
  <c r="AY425" i="1"/>
  <c r="AX425" i="1"/>
  <c r="AV425" i="1"/>
  <c r="AT425" i="1"/>
  <c r="AQ425" i="1"/>
  <c r="AP425" i="1"/>
  <c r="AN425" i="1"/>
  <c r="AL425" i="1"/>
  <c r="AG425" i="1"/>
  <c r="AF425" i="1"/>
  <c r="AD425" i="1"/>
  <c r="AB425" i="1"/>
  <c r="Y425" i="1"/>
  <c r="X425" i="1"/>
  <c r="V425" i="1"/>
  <c r="T425" i="1"/>
  <c r="AY403" i="1"/>
  <c r="AX403" i="1"/>
  <c r="AV403" i="1"/>
  <c r="AT403" i="1"/>
  <c r="AQ403" i="1"/>
  <c r="AP403" i="1"/>
  <c r="AN403" i="1"/>
  <c r="AL403" i="1"/>
  <c r="AG403" i="1"/>
  <c r="AF403" i="1"/>
  <c r="AD403" i="1"/>
  <c r="AB403" i="1"/>
  <c r="Y403" i="1"/>
  <c r="AI403" i="1" s="1"/>
  <c r="X403" i="1"/>
  <c r="V403" i="1"/>
  <c r="T403" i="1"/>
  <c r="T398" i="1"/>
  <c r="AY398" i="1"/>
  <c r="AX398" i="1"/>
  <c r="AV398" i="1"/>
  <c r="AT398" i="1"/>
  <c r="AQ398" i="1"/>
  <c r="AP398" i="1"/>
  <c r="AN398" i="1"/>
  <c r="AL398" i="1"/>
  <c r="AG398" i="1"/>
  <c r="AF398" i="1"/>
  <c r="AD398" i="1"/>
  <c r="AB398" i="1"/>
  <c r="Y398" i="1"/>
  <c r="X398" i="1"/>
  <c r="V398" i="1"/>
  <c r="AY930" i="1"/>
  <c r="AX930" i="1"/>
  <c r="AV930" i="1"/>
  <c r="AT930" i="1"/>
  <c r="AQ930" i="1"/>
  <c r="AP930" i="1"/>
  <c r="AN930" i="1"/>
  <c r="AL930" i="1"/>
  <c r="AG930" i="1"/>
  <c r="AF930" i="1"/>
  <c r="AD930" i="1"/>
  <c r="AB930" i="1"/>
  <c r="Y930" i="1"/>
  <c r="X930" i="1"/>
  <c r="V930" i="1"/>
  <c r="T930" i="1"/>
  <c r="AY931" i="1"/>
  <c r="AX931" i="1"/>
  <c r="AV931" i="1"/>
  <c r="AT931" i="1"/>
  <c r="AQ931" i="1"/>
  <c r="BA931" i="1" s="1"/>
  <c r="AP931" i="1"/>
  <c r="AN931" i="1"/>
  <c r="AL931" i="1"/>
  <c r="AG931" i="1"/>
  <c r="AF931" i="1"/>
  <c r="AD931" i="1"/>
  <c r="AB931" i="1"/>
  <c r="Y931" i="1"/>
  <c r="X931" i="1"/>
  <c r="V931" i="1"/>
  <c r="T931" i="1"/>
  <c r="AY924" i="1"/>
  <c r="AX924" i="1"/>
  <c r="AV924" i="1"/>
  <c r="AT924" i="1"/>
  <c r="AQ924" i="1"/>
  <c r="AP924" i="1"/>
  <c r="AN924" i="1"/>
  <c r="AL924" i="1"/>
  <c r="AG924" i="1"/>
  <c r="AF924" i="1"/>
  <c r="AD924" i="1"/>
  <c r="AB924" i="1"/>
  <c r="Y924" i="1"/>
  <c r="X924" i="1"/>
  <c r="V924" i="1"/>
  <c r="T924" i="1"/>
  <c r="AY925" i="1"/>
  <c r="AX925" i="1"/>
  <c r="AV925" i="1"/>
  <c r="AT925" i="1"/>
  <c r="AQ925" i="1"/>
  <c r="AP925" i="1"/>
  <c r="AN925" i="1"/>
  <c r="AL925" i="1"/>
  <c r="AG925" i="1"/>
  <c r="AF925" i="1"/>
  <c r="AD925" i="1"/>
  <c r="AB925" i="1"/>
  <c r="Y925" i="1"/>
  <c r="X925" i="1"/>
  <c r="V925" i="1"/>
  <c r="T925" i="1"/>
  <c r="AX311" i="1"/>
  <c r="AV311" i="1"/>
  <c r="AT311" i="1"/>
  <c r="BA311" i="1"/>
  <c r="AP311" i="1"/>
  <c r="AN311" i="1"/>
  <c r="AL311" i="1"/>
  <c r="AG311" i="1"/>
  <c r="AF311" i="1"/>
  <c r="AD311" i="1"/>
  <c r="AB311" i="1"/>
  <c r="Y311" i="1"/>
  <c r="X311" i="1"/>
  <c r="V311" i="1"/>
  <c r="T311" i="1"/>
  <c r="Y289" i="1"/>
  <c r="V276" i="1"/>
  <c r="AY276" i="1"/>
  <c r="AX276" i="1"/>
  <c r="AV276" i="1"/>
  <c r="AT276" i="1"/>
  <c r="AQ276" i="1"/>
  <c r="AP276" i="1"/>
  <c r="AN276" i="1"/>
  <c r="AL276" i="1"/>
  <c r="AG276" i="1"/>
  <c r="AF276" i="1"/>
  <c r="AD276" i="1"/>
  <c r="AB276" i="1"/>
  <c r="Y276" i="1"/>
  <c r="X276" i="1"/>
  <c r="T276" i="1"/>
  <c r="Q340" i="1" l="1"/>
  <c r="Q1152" i="1"/>
  <c r="Q272" i="1"/>
  <c r="Q1065" i="1"/>
  <c r="Q271" i="1"/>
  <c r="AZ403" i="1"/>
  <c r="BA425" i="1"/>
  <c r="AI924" i="1"/>
  <c r="BB581" i="1"/>
  <c r="AJ581" i="1"/>
  <c r="BB80" i="1"/>
  <c r="AI425" i="1"/>
  <c r="BA925" i="1"/>
  <c r="AI931" i="1"/>
  <c r="Q931" i="1" s="1"/>
  <c r="BA276" i="1"/>
  <c r="Q308" i="1"/>
  <c r="BA930" i="1"/>
  <c r="AJ1046" i="1"/>
  <c r="AH425" i="1"/>
  <c r="AI925" i="1"/>
  <c r="BA924" i="1"/>
  <c r="BA403" i="1"/>
  <c r="Q403" i="1" s="1"/>
  <c r="AI276" i="1"/>
  <c r="AI398" i="1"/>
  <c r="AJ80" i="1"/>
  <c r="Q80" i="1"/>
  <c r="Q581" i="1"/>
  <c r="BB274" i="1"/>
  <c r="Q273" i="1"/>
  <c r="BB273" i="1"/>
  <c r="AJ274" i="1"/>
  <c r="AJ604" i="1"/>
  <c r="Q274" i="1"/>
  <c r="AJ273" i="1"/>
  <c r="BB604" i="1"/>
  <c r="AJ181" i="1"/>
  <c r="AJ1066" i="1"/>
  <c r="BB1066" i="1"/>
  <c r="BB178" i="1"/>
  <c r="BB1065" i="1"/>
  <c r="BB176" i="1"/>
  <c r="BB343" i="1"/>
  <c r="AJ1065" i="1"/>
  <c r="BB181" i="1"/>
  <c r="AJ804" i="1"/>
  <c r="AJ178" i="1"/>
  <c r="AJ176" i="1"/>
  <c r="AJ340" i="1"/>
  <c r="AJ343" i="1"/>
  <c r="AJ1152" i="1"/>
  <c r="AJ641" i="1"/>
  <c r="BB641" i="1"/>
  <c r="BB1046" i="1"/>
  <c r="BB309" i="1"/>
  <c r="AH925" i="1"/>
  <c r="Z425" i="1"/>
  <c r="BB195" i="1"/>
  <c r="AJ308" i="1"/>
  <c r="AJ271" i="1"/>
  <c r="BB272" i="1"/>
  <c r="BB340" i="1"/>
  <c r="BB1152" i="1"/>
  <c r="R1152" i="1" s="1"/>
  <c r="BB308" i="1"/>
  <c r="AI311" i="1"/>
  <c r="Q311" i="1" s="1"/>
  <c r="AJ309" i="1"/>
  <c r="AJ195" i="1"/>
  <c r="AI930" i="1"/>
  <c r="AR403" i="1"/>
  <c r="AJ272" i="1"/>
  <c r="AR425" i="1"/>
  <c r="AZ425" i="1"/>
  <c r="BB804" i="1"/>
  <c r="BB271" i="1"/>
  <c r="AH403" i="1"/>
  <c r="AR930" i="1"/>
  <c r="AZ930" i="1"/>
  <c r="Z403" i="1"/>
  <c r="AH276" i="1"/>
  <c r="AR276" i="1"/>
  <c r="AZ276" i="1"/>
  <c r="Z311" i="1"/>
  <c r="AH311" i="1"/>
  <c r="AR311" i="1"/>
  <c r="AZ311" i="1"/>
  <c r="AR925" i="1"/>
  <c r="AZ925" i="1"/>
  <c r="Z931" i="1"/>
  <c r="AH931" i="1"/>
  <c r="BA398" i="1"/>
  <c r="Z398" i="1"/>
  <c r="Z276" i="1"/>
  <c r="Z930" i="1"/>
  <c r="AH930" i="1"/>
  <c r="AR931" i="1"/>
  <c r="AZ931" i="1"/>
  <c r="AH398" i="1"/>
  <c r="AR398" i="1"/>
  <c r="AZ398" i="1"/>
  <c r="AH924" i="1"/>
  <c r="AR924" i="1"/>
  <c r="AZ924" i="1"/>
  <c r="Z925" i="1"/>
  <c r="Z924" i="1"/>
  <c r="V1166" i="1"/>
  <c r="AY301" i="1"/>
  <c r="AX301" i="1"/>
  <c r="AV301" i="1"/>
  <c r="AT301" i="1"/>
  <c r="AQ301" i="1"/>
  <c r="AP301" i="1"/>
  <c r="AN301" i="1"/>
  <c r="AL301" i="1"/>
  <c r="AG301" i="1"/>
  <c r="AF301" i="1"/>
  <c r="AD301" i="1"/>
  <c r="AB301" i="1"/>
  <c r="Y301" i="1"/>
  <c r="X301" i="1"/>
  <c r="V301" i="1"/>
  <c r="T301" i="1"/>
  <c r="AY291" i="1"/>
  <c r="AX291" i="1"/>
  <c r="AV291" i="1"/>
  <c r="AT291" i="1"/>
  <c r="AQ291" i="1"/>
  <c r="AP291" i="1"/>
  <c r="AN291" i="1"/>
  <c r="AL291" i="1"/>
  <c r="AG291" i="1"/>
  <c r="AF291" i="1"/>
  <c r="AD291" i="1"/>
  <c r="AB291" i="1"/>
  <c r="Y291" i="1"/>
  <c r="X291" i="1"/>
  <c r="V291" i="1"/>
  <c r="T291" i="1"/>
  <c r="AY324" i="1"/>
  <c r="AX324" i="1"/>
  <c r="AV324" i="1"/>
  <c r="AT324" i="1"/>
  <c r="AQ324" i="1"/>
  <c r="AP324" i="1"/>
  <c r="AN324" i="1"/>
  <c r="AL324" i="1"/>
  <c r="AG324" i="1"/>
  <c r="AF324" i="1"/>
  <c r="AD324" i="1"/>
  <c r="AB324" i="1"/>
  <c r="Y324" i="1"/>
  <c r="X324" i="1"/>
  <c r="V324" i="1"/>
  <c r="T324" i="1"/>
  <c r="AY288" i="1"/>
  <c r="AX288" i="1"/>
  <c r="AV288" i="1"/>
  <c r="AT288" i="1"/>
  <c r="AQ288" i="1"/>
  <c r="AP288" i="1"/>
  <c r="AN288" i="1"/>
  <c r="AL288" i="1"/>
  <c r="AG288" i="1"/>
  <c r="AF288" i="1"/>
  <c r="AD288" i="1"/>
  <c r="AB288" i="1"/>
  <c r="Y288" i="1"/>
  <c r="X288" i="1"/>
  <c r="V288" i="1"/>
  <c r="T288" i="1"/>
  <c r="AY916" i="1"/>
  <c r="AX916" i="1"/>
  <c r="AV916" i="1"/>
  <c r="AT916" i="1"/>
  <c r="AQ916" i="1"/>
  <c r="AP916" i="1"/>
  <c r="AN916" i="1"/>
  <c r="AL916" i="1"/>
  <c r="AG916" i="1"/>
  <c r="AF916" i="1"/>
  <c r="AD916" i="1"/>
  <c r="AB916" i="1"/>
  <c r="Y916" i="1"/>
  <c r="X916" i="1"/>
  <c r="V916" i="1"/>
  <c r="T916" i="1"/>
  <c r="Y62" i="1"/>
  <c r="U417" i="1"/>
  <c r="Q425" i="1" l="1"/>
  <c r="Q930" i="1"/>
  <c r="R80" i="1"/>
  <c r="Q924" i="1"/>
  <c r="R581" i="1"/>
  <c r="R1046" i="1"/>
  <c r="Q925" i="1"/>
  <c r="Q276" i="1"/>
  <c r="AJ398" i="1"/>
  <c r="AI288" i="1"/>
  <c r="AI301" i="1"/>
  <c r="R273" i="1"/>
  <c r="R274" i="1"/>
  <c r="BA291" i="1"/>
  <c r="R181" i="1"/>
  <c r="Q398" i="1"/>
  <c r="BA288" i="1"/>
  <c r="BA301" i="1"/>
  <c r="R604" i="1"/>
  <c r="R1066" i="1"/>
  <c r="BA916" i="1"/>
  <c r="R178" i="1"/>
  <c r="R1065" i="1"/>
  <c r="R343" i="1"/>
  <c r="R176" i="1"/>
  <c r="R804" i="1"/>
  <c r="R340" i="1"/>
  <c r="AJ425" i="1"/>
  <c r="R641" i="1"/>
  <c r="R309" i="1"/>
  <c r="AJ276" i="1"/>
  <c r="R195" i="1"/>
  <c r="AI291" i="1"/>
  <c r="R308" i="1"/>
  <c r="R271" i="1"/>
  <c r="R272" i="1"/>
  <c r="AJ311" i="1"/>
  <c r="BB925" i="1"/>
  <c r="AJ403" i="1"/>
  <c r="BB425" i="1"/>
  <c r="BB930" i="1"/>
  <c r="BB403" i="1"/>
  <c r="AJ925" i="1"/>
  <c r="AJ931" i="1"/>
  <c r="AI324" i="1"/>
  <c r="BB276" i="1"/>
  <c r="AZ324" i="1"/>
  <c r="AR301" i="1"/>
  <c r="BB311" i="1"/>
  <c r="AZ288" i="1"/>
  <c r="AZ301" i="1"/>
  <c r="AJ930" i="1"/>
  <c r="BB931" i="1"/>
  <c r="Z288" i="1"/>
  <c r="AJ924" i="1"/>
  <c r="BB398" i="1"/>
  <c r="BA324" i="1"/>
  <c r="BB924" i="1"/>
  <c r="AH301" i="1"/>
  <c r="AI916" i="1"/>
  <c r="AH916" i="1"/>
  <c r="AR916" i="1"/>
  <c r="AH324" i="1"/>
  <c r="AR324" i="1"/>
  <c r="AZ916" i="1"/>
  <c r="Z301" i="1"/>
  <c r="AH291" i="1"/>
  <c r="AR291" i="1"/>
  <c r="AZ291" i="1"/>
  <c r="Z291" i="1"/>
  <c r="AR288" i="1"/>
  <c r="AH288" i="1"/>
  <c r="Z324" i="1"/>
  <c r="Z916" i="1"/>
  <c r="T1166" i="1"/>
  <c r="AY747" i="1"/>
  <c r="AX747" i="1"/>
  <c r="AV747" i="1"/>
  <c r="AT747" i="1"/>
  <c r="AQ747" i="1"/>
  <c r="AP747" i="1"/>
  <c r="AN747" i="1"/>
  <c r="AL747" i="1"/>
  <c r="AG747" i="1"/>
  <c r="AF747" i="1"/>
  <c r="AD747" i="1"/>
  <c r="AB747" i="1"/>
  <c r="Y747" i="1"/>
  <c r="X747" i="1"/>
  <c r="V747" i="1"/>
  <c r="T747" i="1"/>
  <c r="AY640" i="1"/>
  <c r="AX640" i="1"/>
  <c r="AV640" i="1"/>
  <c r="AT640" i="1"/>
  <c r="AQ640" i="1"/>
  <c r="AP640" i="1"/>
  <c r="AN640" i="1"/>
  <c r="AL640" i="1"/>
  <c r="AG640" i="1"/>
  <c r="AF640" i="1"/>
  <c r="AD640" i="1"/>
  <c r="AB640" i="1"/>
  <c r="Y640" i="1"/>
  <c r="X640" i="1"/>
  <c r="V640" i="1"/>
  <c r="T640" i="1"/>
  <c r="AY616" i="1"/>
  <c r="AX616" i="1"/>
  <c r="AV616" i="1"/>
  <c r="AT616" i="1"/>
  <c r="AQ616" i="1"/>
  <c r="AP616" i="1"/>
  <c r="AN616" i="1"/>
  <c r="AL616" i="1"/>
  <c r="AG616" i="1"/>
  <c r="AF616" i="1"/>
  <c r="AD616" i="1"/>
  <c r="AB616" i="1"/>
  <c r="Y616" i="1"/>
  <c r="X616" i="1"/>
  <c r="V616" i="1"/>
  <c r="T616" i="1"/>
  <c r="AY580" i="1"/>
  <c r="AX580" i="1"/>
  <c r="AV580" i="1"/>
  <c r="AT580" i="1"/>
  <c r="AQ580" i="1"/>
  <c r="AP580" i="1"/>
  <c r="AN580" i="1"/>
  <c r="AL580" i="1"/>
  <c r="AG580" i="1"/>
  <c r="AF580" i="1"/>
  <c r="AD580" i="1"/>
  <c r="AB580" i="1"/>
  <c r="Y580" i="1"/>
  <c r="X580" i="1"/>
  <c r="V580" i="1"/>
  <c r="T580" i="1"/>
  <c r="BA580" i="1" l="1"/>
  <c r="Q288" i="1"/>
  <c r="Q301" i="1"/>
  <c r="R398" i="1"/>
  <c r="Q291" i="1"/>
  <c r="BA616" i="1"/>
  <c r="AI616" i="1"/>
  <c r="BA640" i="1"/>
  <c r="Q916" i="1"/>
  <c r="AI747" i="1"/>
  <c r="AI580" i="1"/>
  <c r="BA747" i="1"/>
  <c r="BB301" i="1"/>
  <c r="R425" i="1"/>
  <c r="R276" i="1"/>
  <c r="R925" i="1"/>
  <c r="R931" i="1"/>
  <c r="R311" i="1"/>
  <c r="AI640" i="1"/>
  <c r="R930" i="1"/>
  <c r="R403" i="1"/>
  <c r="Q324" i="1"/>
  <c r="AJ916" i="1"/>
  <c r="R924" i="1"/>
  <c r="BB324" i="1"/>
  <c r="AJ288" i="1"/>
  <c r="BB288" i="1"/>
  <c r="BB916" i="1"/>
  <c r="AJ301" i="1"/>
  <c r="Z747" i="1"/>
  <c r="AH747" i="1"/>
  <c r="AR747" i="1"/>
  <c r="AJ324" i="1"/>
  <c r="Z616" i="1"/>
  <c r="AJ291" i="1"/>
  <c r="BB291" i="1"/>
  <c r="AZ747" i="1"/>
  <c r="Z580" i="1"/>
  <c r="AH580" i="1"/>
  <c r="AR580" i="1"/>
  <c r="AZ580" i="1"/>
  <c r="AH616" i="1"/>
  <c r="AR616" i="1"/>
  <c r="AZ616" i="1"/>
  <c r="Z640" i="1"/>
  <c r="AH640" i="1"/>
  <c r="AR640" i="1"/>
  <c r="AZ640" i="1"/>
  <c r="AY270" i="1"/>
  <c r="AX270" i="1"/>
  <c r="AV270" i="1"/>
  <c r="AT270" i="1"/>
  <c r="AQ270" i="1"/>
  <c r="AP270" i="1"/>
  <c r="AN270" i="1"/>
  <c r="AL270" i="1"/>
  <c r="AG270" i="1"/>
  <c r="AF270" i="1"/>
  <c r="AD270" i="1"/>
  <c r="AB270" i="1"/>
  <c r="Y270" i="1"/>
  <c r="X270" i="1"/>
  <c r="V270" i="1"/>
  <c r="T270" i="1"/>
  <c r="AY269" i="1"/>
  <c r="AX269" i="1"/>
  <c r="AV269" i="1"/>
  <c r="AT269" i="1"/>
  <c r="AQ269" i="1"/>
  <c r="AP269" i="1"/>
  <c r="AN269" i="1"/>
  <c r="AL269" i="1"/>
  <c r="AG269" i="1"/>
  <c r="AF269" i="1"/>
  <c r="AD269" i="1"/>
  <c r="AB269" i="1"/>
  <c r="Y269" i="1"/>
  <c r="X269" i="1"/>
  <c r="V269" i="1"/>
  <c r="T269" i="1"/>
  <c r="AY62" i="1"/>
  <c r="AX62" i="1"/>
  <c r="AV62" i="1"/>
  <c r="AT62" i="1"/>
  <c r="AQ62" i="1"/>
  <c r="AP62" i="1"/>
  <c r="AN62" i="1"/>
  <c r="AL62" i="1"/>
  <c r="AG62" i="1"/>
  <c r="AI62" i="1" s="1"/>
  <c r="AF62" i="1"/>
  <c r="AD62" i="1"/>
  <c r="AB62" i="1"/>
  <c r="X62" i="1"/>
  <c r="V62" i="1"/>
  <c r="T62" i="1"/>
  <c r="AY59" i="1"/>
  <c r="AX59" i="1"/>
  <c r="AV59" i="1"/>
  <c r="AT59" i="1"/>
  <c r="AQ59" i="1"/>
  <c r="AP59" i="1"/>
  <c r="AN59" i="1"/>
  <c r="AL59" i="1"/>
  <c r="AG59" i="1"/>
  <c r="AF59" i="1"/>
  <c r="AD59" i="1"/>
  <c r="AB59" i="1"/>
  <c r="Y59" i="1"/>
  <c r="X59" i="1"/>
  <c r="V59" i="1"/>
  <c r="T59" i="1"/>
  <c r="Y1107" i="1"/>
  <c r="AG1075" i="1"/>
  <c r="AG1073" i="1"/>
  <c r="AG1071" i="1"/>
  <c r="Y1080" i="1"/>
  <c r="Y1052" i="1"/>
  <c r="AG921" i="1"/>
  <c r="Y292" i="1"/>
  <c r="AG175" i="1"/>
  <c r="AG43" i="1"/>
  <c r="Q580" i="1" l="1"/>
  <c r="BA269" i="1"/>
  <c r="Q640" i="1"/>
  <c r="Q616" i="1"/>
  <c r="BA59" i="1"/>
  <c r="Q747" i="1"/>
  <c r="R301" i="1"/>
  <c r="BA62" i="1"/>
  <c r="Q62" i="1" s="1"/>
  <c r="R916" i="1"/>
  <c r="AI59" i="1"/>
  <c r="R288" i="1"/>
  <c r="BA270" i="1"/>
  <c r="R324" i="1"/>
  <c r="AJ616" i="1"/>
  <c r="BB747" i="1"/>
  <c r="AJ747" i="1"/>
  <c r="BB616" i="1"/>
  <c r="AI270" i="1"/>
  <c r="R291" i="1"/>
  <c r="BB580" i="1"/>
  <c r="AJ580" i="1"/>
  <c r="BB640" i="1"/>
  <c r="AJ640" i="1"/>
  <c r="AI269" i="1"/>
  <c r="Z59" i="1"/>
  <c r="AH59" i="1"/>
  <c r="AR59" i="1"/>
  <c r="AZ59" i="1"/>
  <c r="Z269" i="1"/>
  <c r="AH269" i="1"/>
  <c r="AR269" i="1"/>
  <c r="AZ269" i="1"/>
  <c r="Z270" i="1"/>
  <c r="AH270" i="1"/>
  <c r="AR270" i="1"/>
  <c r="AZ270" i="1"/>
  <c r="Z62" i="1"/>
  <c r="AH62" i="1"/>
  <c r="AR62" i="1"/>
  <c r="AZ62" i="1"/>
  <c r="S24" i="1"/>
  <c r="S28" i="1"/>
  <c r="S67" i="1"/>
  <c r="S105" i="1"/>
  <c r="S110" i="1"/>
  <c r="S138" i="1"/>
  <c r="S144" i="1"/>
  <c r="S197" i="1"/>
  <c r="S214" i="1"/>
  <c r="S228" i="1"/>
  <c r="S231" i="1"/>
  <c r="S236" i="1"/>
  <c r="S355" i="1"/>
  <c r="S382" i="1"/>
  <c r="S399" i="1"/>
  <c r="S451" i="1"/>
  <c r="S458" i="1"/>
  <c r="S462" i="1"/>
  <c r="S487" i="1"/>
  <c r="S507" i="1"/>
  <c r="S510" i="1"/>
  <c r="S514" i="1"/>
  <c r="S519" i="1"/>
  <c r="S525" i="1"/>
  <c r="S537" i="1"/>
  <c r="S539" i="1"/>
  <c r="S644" i="1"/>
  <c r="S669" i="1"/>
  <c r="S767" i="1"/>
  <c r="S771" i="1"/>
  <c r="AY658" i="1"/>
  <c r="AX658" i="1"/>
  <c r="AV658" i="1"/>
  <c r="AT658" i="1"/>
  <c r="AQ658" i="1"/>
  <c r="AP658" i="1"/>
  <c r="AN658" i="1"/>
  <c r="AL658" i="1"/>
  <c r="AG658" i="1"/>
  <c r="AF658" i="1"/>
  <c r="AD658" i="1"/>
  <c r="AB658" i="1"/>
  <c r="Y658" i="1"/>
  <c r="X658" i="1"/>
  <c r="V658" i="1"/>
  <c r="T658" i="1"/>
  <c r="AY385" i="1"/>
  <c r="AX385" i="1"/>
  <c r="AV385" i="1"/>
  <c r="AT385" i="1"/>
  <c r="AQ385" i="1"/>
  <c r="AP385" i="1"/>
  <c r="AN385" i="1"/>
  <c r="AL385" i="1"/>
  <c r="AG385" i="1"/>
  <c r="AF385" i="1"/>
  <c r="AD385" i="1"/>
  <c r="AB385" i="1"/>
  <c r="X385" i="1"/>
  <c r="V385" i="1"/>
  <c r="AY386" i="1"/>
  <c r="AX386" i="1"/>
  <c r="AV386" i="1"/>
  <c r="AT386" i="1"/>
  <c r="AQ386" i="1"/>
  <c r="AP386" i="1"/>
  <c r="AN386" i="1"/>
  <c r="AL386" i="1"/>
  <c r="AG386" i="1"/>
  <c r="AF386" i="1"/>
  <c r="AD386" i="1"/>
  <c r="AB386" i="1"/>
  <c r="X386" i="1"/>
  <c r="V386" i="1"/>
  <c r="U382" i="1"/>
  <c r="W382" i="1"/>
  <c r="AA382" i="1"/>
  <c r="AC382" i="1"/>
  <c r="AE382" i="1"/>
  <c r="AK382" i="1"/>
  <c r="AM382" i="1"/>
  <c r="AO382" i="1"/>
  <c r="AS382" i="1"/>
  <c r="AU382" i="1"/>
  <c r="AW382" i="1"/>
  <c r="AY381" i="1"/>
  <c r="AX381" i="1"/>
  <c r="AV381" i="1"/>
  <c r="AT381" i="1"/>
  <c r="AQ381" i="1"/>
  <c r="AP381" i="1"/>
  <c r="AN381" i="1"/>
  <c r="AL381" i="1"/>
  <c r="AG381" i="1"/>
  <c r="AF381" i="1"/>
  <c r="AD381" i="1"/>
  <c r="AB381" i="1"/>
  <c r="X381" i="1"/>
  <c r="V381" i="1"/>
  <c r="U399" i="1"/>
  <c r="W399" i="1"/>
  <c r="AA399" i="1"/>
  <c r="AC399" i="1"/>
  <c r="AE399" i="1"/>
  <c r="AK399" i="1"/>
  <c r="AM399" i="1"/>
  <c r="AO399" i="1"/>
  <c r="AS399" i="1"/>
  <c r="AU399" i="1"/>
  <c r="AW399" i="1"/>
  <c r="AY1115" i="1"/>
  <c r="AX1115" i="1"/>
  <c r="AV1115" i="1"/>
  <c r="AT1115" i="1"/>
  <c r="AQ1115" i="1"/>
  <c r="AP1115" i="1"/>
  <c r="AN1115" i="1"/>
  <c r="AL1115" i="1"/>
  <c r="AG1115" i="1"/>
  <c r="AF1115" i="1"/>
  <c r="AD1115" i="1"/>
  <c r="AB1115" i="1"/>
  <c r="Y1115" i="1"/>
  <c r="X1115" i="1"/>
  <c r="V1115" i="1"/>
  <c r="T1115" i="1"/>
  <c r="AY1107" i="1"/>
  <c r="AX1107" i="1"/>
  <c r="AV1107" i="1"/>
  <c r="AT1107" i="1"/>
  <c r="AQ1107" i="1"/>
  <c r="AP1107" i="1"/>
  <c r="AN1107" i="1"/>
  <c r="AL1107" i="1"/>
  <c r="AG1107" i="1"/>
  <c r="AI1107" i="1" s="1"/>
  <c r="AF1107" i="1"/>
  <c r="AD1107" i="1"/>
  <c r="AB1107" i="1"/>
  <c r="X1107" i="1"/>
  <c r="V1107" i="1"/>
  <c r="T1107" i="1"/>
  <c r="AY937" i="1"/>
  <c r="AX937" i="1"/>
  <c r="AV937" i="1"/>
  <c r="AT937" i="1"/>
  <c r="AQ937" i="1"/>
  <c r="AP937" i="1"/>
  <c r="AN937" i="1"/>
  <c r="AL937" i="1"/>
  <c r="AG937" i="1"/>
  <c r="AF937" i="1"/>
  <c r="AD937" i="1"/>
  <c r="AB937" i="1"/>
  <c r="Y937" i="1"/>
  <c r="X937" i="1"/>
  <c r="V937" i="1"/>
  <c r="T937" i="1"/>
  <c r="AY921" i="1"/>
  <c r="AX921" i="1"/>
  <c r="AV921" i="1"/>
  <c r="AT921" i="1"/>
  <c r="AQ921" i="1"/>
  <c r="AP921" i="1"/>
  <c r="AN921" i="1"/>
  <c r="AL921" i="1"/>
  <c r="AF921" i="1"/>
  <c r="AD921" i="1"/>
  <c r="AB921" i="1"/>
  <c r="Y921" i="1"/>
  <c r="X921" i="1"/>
  <c r="V921" i="1"/>
  <c r="T921" i="1"/>
  <c r="AY1051" i="1"/>
  <c r="AX1051" i="1"/>
  <c r="AV1051" i="1"/>
  <c r="AT1051" i="1"/>
  <c r="AQ1051" i="1"/>
  <c r="AP1051" i="1"/>
  <c r="AN1051" i="1"/>
  <c r="AL1051" i="1"/>
  <c r="AG1051" i="1"/>
  <c r="AF1051" i="1"/>
  <c r="AD1051" i="1"/>
  <c r="AB1051" i="1"/>
  <c r="Y1051" i="1"/>
  <c r="X1051" i="1"/>
  <c r="V1051" i="1"/>
  <c r="T1051" i="1"/>
  <c r="AY61" i="1"/>
  <c r="AX61" i="1"/>
  <c r="AV61" i="1"/>
  <c r="AT61" i="1"/>
  <c r="AQ61" i="1"/>
  <c r="AP61" i="1"/>
  <c r="AN61" i="1"/>
  <c r="AL61" i="1"/>
  <c r="AG61" i="1"/>
  <c r="AF61" i="1"/>
  <c r="AD61" i="1"/>
  <c r="AB61" i="1"/>
  <c r="X61" i="1"/>
  <c r="V61" i="1"/>
  <c r="Q269" i="1" l="1"/>
  <c r="AI1115" i="1"/>
  <c r="BA385" i="1"/>
  <c r="Q59" i="1"/>
  <c r="Q270" i="1"/>
  <c r="R616" i="1"/>
  <c r="R747" i="1"/>
  <c r="R640" i="1"/>
  <c r="R580" i="1"/>
  <c r="BB62" i="1"/>
  <c r="BB270" i="1"/>
  <c r="BB269" i="1"/>
  <c r="BB59" i="1"/>
  <c r="AZ1107" i="1"/>
  <c r="AJ62" i="1"/>
  <c r="AJ270" i="1"/>
  <c r="AJ269" i="1"/>
  <c r="AJ59" i="1"/>
  <c r="AH1107" i="1"/>
  <c r="AR1107" i="1"/>
  <c r="BA1051" i="1"/>
  <c r="AI1051" i="1"/>
  <c r="AI937" i="1"/>
  <c r="BA658" i="1"/>
  <c r="AI658" i="1"/>
  <c r="S540" i="1"/>
  <c r="S515" i="1"/>
  <c r="S229" i="1"/>
  <c r="S772" i="1"/>
  <c r="S139" i="1"/>
  <c r="S459" i="1"/>
  <c r="S29" i="1"/>
  <c r="AR1051" i="1"/>
  <c r="AR1115" i="1"/>
  <c r="AZ1051" i="1"/>
  <c r="AZ1115" i="1"/>
  <c r="Z1107" i="1"/>
  <c r="BA1107" i="1"/>
  <c r="Q1107" i="1" s="1"/>
  <c r="Z1115" i="1"/>
  <c r="AH1115" i="1"/>
  <c r="BA1115" i="1"/>
  <c r="AH385" i="1"/>
  <c r="AR385" i="1"/>
  <c r="AZ385" i="1"/>
  <c r="AZ658" i="1"/>
  <c r="AR658" i="1"/>
  <c r="AH658" i="1"/>
  <c r="Z658" i="1"/>
  <c r="BA386" i="1"/>
  <c r="AH386" i="1"/>
  <c r="AR386" i="1"/>
  <c r="AZ381" i="1"/>
  <c r="AZ386" i="1"/>
  <c r="BA381" i="1"/>
  <c r="AH381" i="1"/>
  <c r="AR381" i="1"/>
  <c r="Z937" i="1"/>
  <c r="AH937" i="1"/>
  <c r="AZ937" i="1"/>
  <c r="Z1051" i="1"/>
  <c r="AH1051" i="1"/>
  <c r="BA937" i="1"/>
  <c r="AR937" i="1"/>
  <c r="BA921" i="1"/>
  <c r="AI921" i="1"/>
  <c r="AZ921" i="1"/>
  <c r="AR921" i="1"/>
  <c r="AH921" i="1"/>
  <c r="Z921" i="1"/>
  <c r="BA61" i="1"/>
  <c r="AH61" i="1"/>
  <c r="AR61" i="1"/>
  <c r="AZ61" i="1"/>
  <c r="Q1115" i="1" l="1"/>
  <c r="Q937" i="1"/>
  <c r="BB381" i="1"/>
  <c r="R270" i="1"/>
  <c r="R269" i="1"/>
  <c r="BB1115" i="1"/>
  <c r="BB1107" i="1"/>
  <c r="R62" i="1"/>
  <c r="R59" i="1"/>
  <c r="Q1051" i="1"/>
  <c r="Q658" i="1"/>
  <c r="S237" i="1"/>
  <c r="BB1051" i="1"/>
  <c r="BB937" i="1"/>
  <c r="AJ1107" i="1"/>
  <c r="AJ1115" i="1"/>
  <c r="AJ921" i="1"/>
  <c r="Q921" i="1"/>
  <c r="AJ658" i="1"/>
  <c r="BB385" i="1"/>
  <c r="BB658" i="1"/>
  <c r="BB386" i="1"/>
  <c r="AJ937" i="1"/>
  <c r="AJ1051" i="1"/>
  <c r="BB921" i="1"/>
  <c r="BB61" i="1"/>
  <c r="AY348" i="1"/>
  <c r="AQ348" i="1"/>
  <c r="AP348" i="1"/>
  <c r="AN348" i="1"/>
  <c r="AL348" i="1"/>
  <c r="AG348" i="1"/>
  <c r="AF348" i="1"/>
  <c r="AD348" i="1"/>
  <c r="AB348" i="1"/>
  <c r="X348" i="1"/>
  <c r="V348" i="1"/>
  <c r="AY350" i="1"/>
  <c r="AQ350" i="1"/>
  <c r="AP350" i="1"/>
  <c r="AN350" i="1"/>
  <c r="AL350" i="1"/>
  <c r="AG350" i="1"/>
  <c r="AF350" i="1"/>
  <c r="AD350" i="1"/>
  <c r="AB350" i="1"/>
  <c r="X350" i="1"/>
  <c r="V350" i="1"/>
  <c r="AY349" i="1"/>
  <c r="AQ349" i="1"/>
  <c r="AP349" i="1"/>
  <c r="AN349" i="1"/>
  <c r="AL349" i="1"/>
  <c r="AG349" i="1"/>
  <c r="AF349" i="1"/>
  <c r="AD349" i="1"/>
  <c r="AB349" i="1"/>
  <c r="X349" i="1"/>
  <c r="V349" i="1"/>
  <c r="AY637" i="1"/>
  <c r="AX637" i="1"/>
  <c r="AV637" i="1"/>
  <c r="AT637" i="1"/>
  <c r="AQ637" i="1"/>
  <c r="AP637" i="1"/>
  <c r="AN637" i="1"/>
  <c r="AL637" i="1"/>
  <c r="AG637" i="1"/>
  <c r="AF637" i="1"/>
  <c r="AD637" i="1"/>
  <c r="AB637" i="1"/>
  <c r="Y637" i="1"/>
  <c r="X637" i="1"/>
  <c r="V637" i="1"/>
  <c r="T637" i="1"/>
  <c r="AY713" i="1"/>
  <c r="AY1112" i="1"/>
  <c r="AX1112" i="1"/>
  <c r="AV1112" i="1"/>
  <c r="AT1112" i="1"/>
  <c r="AQ1112" i="1"/>
  <c r="AP1112" i="1"/>
  <c r="AN1112" i="1"/>
  <c r="AL1112" i="1"/>
  <c r="AG1112" i="1"/>
  <c r="AF1112" i="1"/>
  <c r="AD1112" i="1"/>
  <c r="AB1112" i="1"/>
  <c r="Y1112" i="1"/>
  <c r="AI1112" i="1" s="1"/>
  <c r="X1112" i="1"/>
  <c r="V1112" i="1"/>
  <c r="T1112" i="1"/>
  <c r="AY1113" i="1"/>
  <c r="AX1113" i="1"/>
  <c r="AV1113" i="1"/>
  <c r="AT1113" i="1"/>
  <c r="AQ1113" i="1"/>
  <c r="AP1113" i="1"/>
  <c r="AN1113" i="1"/>
  <c r="AL1113" i="1"/>
  <c r="AG1113" i="1"/>
  <c r="AF1113" i="1"/>
  <c r="AD1113" i="1"/>
  <c r="AB1113" i="1"/>
  <c r="Y1113" i="1"/>
  <c r="X1113" i="1"/>
  <c r="V1113" i="1"/>
  <c r="T1113" i="1"/>
  <c r="AY923" i="1"/>
  <c r="AX923" i="1"/>
  <c r="AV923" i="1"/>
  <c r="AT923" i="1"/>
  <c r="AQ923" i="1"/>
  <c r="AP923" i="1"/>
  <c r="AN923" i="1"/>
  <c r="AL923" i="1"/>
  <c r="AG923" i="1"/>
  <c r="AF923" i="1"/>
  <c r="AD923" i="1"/>
  <c r="AB923" i="1"/>
  <c r="Y923" i="1"/>
  <c r="AI923" i="1" s="1"/>
  <c r="X923" i="1"/>
  <c r="V923" i="1"/>
  <c r="T923" i="1"/>
  <c r="AY917" i="1"/>
  <c r="AX917" i="1"/>
  <c r="AV917" i="1"/>
  <c r="AT917" i="1"/>
  <c r="AQ917" i="1"/>
  <c r="AP917" i="1"/>
  <c r="AN917" i="1"/>
  <c r="AL917" i="1"/>
  <c r="AG917" i="1"/>
  <c r="AF917" i="1"/>
  <c r="AD917" i="1"/>
  <c r="AB917" i="1"/>
  <c r="Y917" i="1"/>
  <c r="X917" i="1"/>
  <c r="V917" i="1"/>
  <c r="T917" i="1"/>
  <c r="AY1085" i="1"/>
  <c r="AY57" i="1"/>
  <c r="AX57" i="1"/>
  <c r="AV57" i="1"/>
  <c r="AT57" i="1"/>
  <c r="AQ57" i="1"/>
  <c r="AP57" i="1"/>
  <c r="AN57" i="1"/>
  <c r="AL57" i="1"/>
  <c r="AG57" i="1"/>
  <c r="AF57" i="1"/>
  <c r="AD57" i="1"/>
  <c r="AB57" i="1"/>
  <c r="X57" i="1"/>
  <c r="V57" i="1"/>
  <c r="AY58" i="1"/>
  <c r="AX58" i="1"/>
  <c r="AV58" i="1"/>
  <c r="AT58" i="1"/>
  <c r="AQ58" i="1"/>
  <c r="AP58" i="1"/>
  <c r="AN58" i="1"/>
  <c r="AL58" i="1"/>
  <c r="AG58" i="1"/>
  <c r="AF58" i="1"/>
  <c r="AD58" i="1"/>
  <c r="AB58" i="1"/>
  <c r="X58" i="1"/>
  <c r="V58" i="1"/>
  <c r="AY184" i="1"/>
  <c r="AX184" i="1"/>
  <c r="AV184" i="1"/>
  <c r="AT184" i="1"/>
  <c r="AQ184" i="1"/>
  <c r="AP184" i="1"/>
  <c r="AN184" i="1"/>
  <c r="AL184" i="1"/>
  <c r="AG184" i="1"/>
  <c r="AF184" i="1"/>
  <c r="AD184" i="1"/>
  <c r="AB184" i="1"/>
  <c r="X184" i="1"/>
  <c r="V184" i="1"/>
  <c r="AY314" i="1"/>
  <c r="AQ314" i="1"/>
  <c r="AP314" i="1"/>
  <c r="AN314" i="1"/>
  <c r="AL314" i="1"/>
  <c r="AG314" i="1"/>
  <c r="AF314" i="1"/>
  <c r="AD314" i="1"/>
  <c r="AB314" i="1"/>
  <c r="X314" i="1"/>
  <c r="V314" i="1"/>
  <c r="AY313" i="1"/>
  <c r="AQ313" i="1"/>
  <c r="AP313" i="1"/>
  <c r="AN313" i="1"/>
  <c r="AL313" i="1"/>
  <c r="AG313" i="1"/>
  <c r="AF313" i="1"/>
  <c r="AD313" i="1"/>
  <c r="AB313" i="1"/>
  <c r="X313" i="1"/>
  <c r="V313" i="1"/>
  <c r="AY312" i="1"/>
  <c r="AQ312" i="1"/>
  <c r="AP312" i="1"/>
  <c r="AN312" i="1"/>
  <c r="AL312" i="1"/>
  <c r="AG312" i="1"/>
  <c r="AF312" i="1"/>
  <c r="AD312" i="1"/>
  <c r="AB312" i="1"/>
  <c r="X312" i="1"/>
  <c r="V312" i="1"/>
  <c r="AY310" i="1"/>
  <c r="AQ310" i="1"/>
  <c r="AP310" i="1"/>
  <c r="AN310" i="1"/>
  <c r="AL310" i="1"/>
  <c r="AG310" i="1"/>
  <c r="AF310" i="1"/>
  <c r="AD310" i="1"/>
  <c r="AB310" i="1"/>
  <c r="X310" i="1"/>
  <c r="V310" i="1"/>
  <c r="AY307" i="1"/>
  <c r="AQ307" i="1"/>
  <c r="AP307" i="1"/>
  <c r="AN307" i="1"/>
  <c r="AL307" i="1"/>
  <c r="AG307" i="1"/>
  <c r="AF307" i="1"/>
  <c r="AD307" i="1"/>
  <c r="AB307" i="1"/>
  <c r="X307" i="1"/>
  <c r="V307" i="1"/>
  <c r="AY306" i="1"/>
  <c r="AQ306" i="1"/>
  <c r="AP306" i="1"/>
  <c r="AN306" i="1"/>
  <c r="AL306" i="1"/>
  <c r="AG306" i="1"/>
  <c r="AF306" i="1"/>
  <c r="AD306" i="1"/>
  <c r="AB306" i="1"/>
  <c r="X306" i="1"/>
  <c r="V306" i="1"/>
  <c r="AY305" i="1"/>
  <c r="AQ305" i="1"/>
  <c r="AP305" i="1"/>
  <c r="AN305" i="1"/>
  <c r="AL305" i="1"/>
  <c r="AG305" i="1"/>
  <c r="AF305" i="1"/>
  <c r="AD305" i="1"/>
  <c r="AB305" i="1"/>
  <c r="X305" i="1"/>
  <c r="V305" i="1"/>
  <c r="AY304" i="1"/>
  <c r="AQ304" i="1"/>
  <c r="AP304" i="1"/>
  <c r="AN304" i="1"/>
  <c r="AL304" i="1"/>
  <c r="AG304" i="1"/>
  <c r="AF304" i="1"/>
  <c r="AD304" i="1"/>
  <c r="AB304" i="1"/>
  <c r="X304" i="1"/>
  <c r="V304" i="1"/>
  <c r="AI637" i="1" l="1"/>
  <c r="AI917" i="1"/>
  <c r="R1115" i="1"/>
  <c r="R1107" i="1"/>
  <c r="R937" i="1"/>
  <c r="BA923" i="1"/>
  <c r="Q923" i="1" s="1"/>
  <c r="BA58" i="1"/>
  <c r="AI1113" i="1"/>
  <c r="R1051" i="1"/>
  <c r="BA57" i="1"/>
  <c r="AH348" i="1"/>
  <c r="BA348" i="1"/>
  <c r="Z1113" i="1"/>
  <c r="AH1113" i="1"/>
  <c r="Z917" i="1"/>
  <c r="AH917" i="1"/>
  <c r="AZ917" i="1"/>
  <c r="R658" i="1"/>
  <c r="BA1113" i="1"/>
  <c r="AH57" i="1"/>
  <c r="BA637" i="1"/>
  <c r="Q637" i="1" s="1"/>
  <c r="R921" i="1"/>
  <c r="BA917" i="1"/>
  <c r="AR348" i="1"/>
  <c r="AR1113" i="1"/>
  <c r="AH350" i="1"/>
  <c r="AR305" i="1"/>
  <c r="AR350" i="1"/>
  <c r="AR306" i="1"/>
  <c r="AR313" i="1"/>
  <c r="AR307" i="1"/>
  <c r="AR314" i="1"/>
  <c r="AR304" i="1"/>
  <c r="AR310" i="1"/>
  <c r="AH349" i="1"/>
  <c r="AR349" i="1"/>
  <c r="BA349" i="1"/>
  <c r="AT348" i="1"/>
  <c r="AX348" i="1"/>
  <c r="AV348" i="1"/>
  <c r="AH307" i="1"/>
  <c r="AH314" i="1"/>
  <c r="BA350" i="1"/>
  <c r="AZ637" i="1"/>
  <c r="Z637" i="1"/>
  <c r="AH637" i="1"/>
  <c r="AR637" i="1"/>
  <c r="AZ1113" i="1"/>
  <c r="AZ1112" i="1"/>
  <c r="BA1112" i="1"/>
  <c r="Q1112" i="1" s="1"/>
  <c r="Z1112" i="1"/>
  <c r="AH1112" i="1"/>
  <c r="AR1112" i="1"/>
  <c r="AZ923" i="1"/>
  <c r="BA307" i="1"/>
  <c r="AH313" i="1"/>
  <c r="BA314" i="1"/>
  <c r="Z923" i="1"/>
  <c r="AH923" i="1"/>
  <c r="AR923" i="1"/>
  <c r="BA312" i="1"/>
  <c r="AZ184" i="1"/>
  <c r="AR917" i="1"/>
  <c r="AR58" i="1"/>
  <c r="AH310" i="1"/>
  <c r="BA313" i="1"/>
  <c r="AH58" i="1"/>
  <c r="AZ58" i="1"/>
  <c r="AZ57" i="1"/>
  <c r="AR57" i="1"/>
  <c r="BA184" i="1"/>
  <c r="AH184" i="1"/>
  <c r="AR184" i="1"/>
  <c r="BA310" i="1"/>
  <c r="BA306" i="1"/>
  <c r="BA304" i="1"/>
  <c r="AX306" i="1"/>
  <c r="AT306" i="1"/>
  <c r="AV306" i="1"/>
  <c r="AT305" i="1"/>
  <c r="AH312" i="1"/>
  <c r="AR312" i="1"/>
  <c r="AH306" i="1"/>
  <c r="BA305" i="1"/>
  <c r="AH304" i="1"/>
  <c r="AH305" i="1"/>
  <c r="Q917" i="1" l="1"/>
  <c r="BB917" i="1"/>
  <c r="Q1113" i="1"/>
  <c r="BB1113" i="1"/>
  <c r="AJ1113" i="1"/>
  <c r="AJ917" i="1"/>
  <c r="AJ637" i="1"/>
  <c r="AJ923" i="1"/>
  <c r="BB923" i="1"/>
  <c r="BB57" i="1"/>
  <c r="AV349" i="1"/>
  <c r="AT349" i="1"/>
  <c r="AX349" i="1"/>
  <c r="AV350" i="1"/>
  <c r="AX350" i="1"/>
  <c r="AT350" i="1"/>
  <c r="AZ348" i="1"/>
  <c r="BB348" i="1" s="1"/>
  <c r="BB184" i="1"/>
  <c r="BB637" i="1"/>
  <c r="BB1112" i="1"/>
  <c r="AJ1112" i="1"/>
  <c r="BB58" i="1"/>
  <c r="AZ306" i="1"/>
  <c r="BB306" i="1" s="1"/>
  <c r="AT312" i="1"/>
  <c r="AX312" i="1"/>
  <c r="AV312" i="1"/>
  <c r="AX305" i="1"/>
  <c r="AV305" i="1"/>
  <c r="AX310" i="1"/>
  <c r="AV310" i="1"/>
  <c r="AT310" i="1"/>
  <c r="AV307" i="1"/>
  <c r="AX307" i="1"/>
  <c r="AT307" i="1"/>
  <c r="AT304" i="1"/>
  <c r="AV304" i="1"/>
  <c r="AX304" i="1"/>
  <c r="AT314" i="1"/>
  <c r="AX314" i="1"/>
  <c r="AV314" i="1"/>
  <c r="AT313" i="1"/>
  <c r="AX313" i="1"/>
  <c r="AV313" i="1"/>
  <c r="AY636" i="1"/>
  <c r="AX636" i="1"/>
  <c r="AV636" i="1"/>
  <c r="AT636" i="1"/>
  <c r="AQ636" i="1"/>
  <c r="AP636" i="1"/>
  <c r="AN636" i="1"/>
  <c r="AL636" i="1"/>
  <c r="AG636" i="1"/>
  <c r="AF636" i="1"/>
  <c r="AD636" i="1"/>
  <c r="AB636" i="1"/>
  <c r="Y636" i="1"/>
  <c r="AI636" i="1" s="1"/>
  <c r="X636" i="1"/>
  <c r="V636" i="1"/>
  <c r="T636" i="1"/>
  <c r="U67" i="1"/>
  <c r="W67" i="1"/>
  <c r="AA67" i="1"/>
  <c r="AC67" i="1"/>
  <c r="AE67" i="1"/>
  <c r="AK67" i="1"/>
  <c r="AM67" i="1"/>
  <c r="AO67" i="1"/>
  <c r="AS67" i="1"/>
  <c r="AU67" i="1"/>
  <c r="AW67" i="1"/>
  <c r="AY63" i="1"/>
  <c r="AX63" i="1"/>
  <c r="AV63" i="1"/>
  <c r="AT63" i="1"/>
  <c r="AQ63" i="1"/>
  <c r="AP63" i="1"/>
  <c r="AN63" i="1"/>
  <c r="AL63" i="1"/>
  <c r="AG63" i="1"/>
  <c r="AF63" i="1"/>
  <c r="AD63" i="1"/>
  <c r="AB63" i="1"/>
  <c r="X63" i="1"/>
  <c r="V63" i="1"/>
  <c r="AY64" i="1"/>
  <c r="AX64" i="1"/>
  <c r="AV64" i="1"/>
  <c r="AT64" i="1"/>
  <c r="AQ64" i="1"/>
  <c r="AP64" i="1"/>
  <c r="AN64" i="1"/>
  <c r="AL64" i="1"/>
  <c r="AG64" i="1"/>
  <c r="AF64" i="1"/>
  <c r="AD64" i="1"/>
  <c r="AB64" i="1"/>
  <c r="X64" i="1"/>
  <c r="V64" i="1"/>
  <c r="AY66" i="1"/>
  <c r="AX66" i="1"/>
  <c r="AV66" i="1"/>
  <c r="AT66" i="1"/>
  <c r="AQ66" i="1"/>
  <c r="AP66" i="1"/>
  <c r="AN66" i="1"/>
  <c r="AL66" i="1"/>
  <c r="AG66" i="1"/>
  <c r="AF66" i="1"/>
  <c r="AD66" i="1"/>
  <c r="AB66" i="1"/>
  <c r="X66" i="1"/>
  <c r="V66" i="1"/>
  <c r="AT175" i="1"/>
  <c r="AY182" i="1"/>
  <c r="AX182" i="1"/>
  <c r="AV182" i="1"/>
  <c r="AT182" i="1"/>
  <c r="AQ182" i="1"/>
  <c r="AP182" i="1"/>
  <c r="AN182" i="1"/>
  <c r="AL182" i="1"/>
  <c r="AG182" i="1"/>
  <c r="AF182" i="1"/>
  <c r="AD182" i="1"/>
  <c r="AB182" i="1"/>
  <c r="X182" i="1"/>
  <c r="V182" i="1"/>
  <c r="AY183" i="1"/>
  <c r="AX183" i="1"/>
  <c r="AV183" i="1"/>
  <c r="AT183" i="1"/>
  <c r="AQ183" i="1"/>
  <c r="AP183" i="1"/>
  <c r="AN183" i="1"/>
  <c r="AL183" i="1"/>
  <c r="AG183" i="1"/>
  <c r="AF183" i="1"/>
  <c r="AD183" i="1"/>
  <c r="AB183" i="1"/>
  <c r="X183" i="1"/>
  <c r="V183" i="1"/>
  <c r="AY179" i="1"/>
  <c r="AX179" i="1"/>
  <c r="AV179" i="1"/>
  <c r="AT179" i="1"/>
  <c r="AQ179" i="1"/>
  <c r="AP179" i="1"/>
  <c r="AN179" i="1"/>
  <c r="AL179" i="1"/>
  <c r="AG179" i="1"/>
  <c r="AF179" i="1"/>
  <c r="AD179" i="1"/>
  <c r="AB179" i="1"/>
  <c r="X179" i="1"/>
  <c r="V179" i="1"/>
  <c r="AY1116" i="1"/>
  <c r="AX1116" i="1"/>
  <c r="AV1116" i="1"/>
  <c r="AT1116" i="1"/>
  <c r="AQ1116" i="1"/>
  <c r="AP1116" i="1"/>
  <c r="AN1116" i="1"/>
  <c r="AL1116" i="1"/>
  <c r="AG1116" i="1"/>
  <c r="AF1116" i="1"/>
  <c r="AD1116" i="1"/>
  <c r="AB1116" i="1"/>
  <c r="Y1116" i="1"/>
  <c r="X1116" i="1"/>
  <c r="V1116" i="1"/>
  <c r="T1116" i="1"/>
  <c r="AY47" i="1"/>
  <c r="AX47" i="1"/>
  <c r="AV47" i="1"/>
  <c r="AT47" i="1"/>
  <c r="AQ47" i="1"/>
  <c r="AP47" i="1"/>
  <c r="AN47" i="1"/>
  <c r="AL47" i="1"/>
  <c r="AG47" i="1"/>
  <c r="AF47" i="1"/>
  <c r="AD47" i="1"/>
  <c r="AB47" i="1"/>
  <c r="X47" i="1"/>
  <c r="V47" i="1"/>
  <c r="BA636" i="1" l="1"/>
  <c r="Q636" i="1" s="1"/>
  <c r="R917" i="1"/>
  <c r="BA182" i="1"/>
  <c r="R1113" i="1"/>
  <c r="BA1116" i="1"/>
  <c r="AI1116" i="1"/>
  <c r="Z636" i="1"/>
  <c r="AH636" i="1"/>
  <c r="AR636" i="1"/>
  <c r="AZ636" i="1"/>
  <c r="BA66" i="1"/>
  <c r="AH47" i="1"/>
  <c r="AR47" i="1"/>
  <c r="AR1116" i="1"/>
  <c r="R637" i="1"/>
  <c r="BA64" i="1"/>
  <c r="AR64" i="1"/>
  <c r="Z1116" i="1"/>
  <c r="AH1116" i="1"/>
  <c r="R923" i="1"/>
  <c r="AZ305" i="1"/>
  <c r="BB305" i="1" s="1"/>
  <c r="AZ1116" i="1"/>
  <c r="AZ182" i="1"/>
  <c r="AZ314" i="1"/>
  <c r="BB314" i="1" s="1"/>
  <c r="AZ307" i="1"/>
  <c r="BB307" i="1" s="1"/>
  <c r="AZ66" i="1"/>
  <c r="AZ350" i="1"/>
  <c r="BB350" i="1" s="1"/>
  <c r="AZ349" i="1"/>
  <c r="BB349" i="1" s="1"/>
  <c r="R1112" i="1"/>
  <c r="AH64" i="1"/>
  <c r="AZ63" i="1"/>
  <c r="AH182" i="1"/>
  <c r="AZ310" i="1"/>
  <c r="BB310" i="1" s="1"/>
  <c r="AZ312" i="1"/>
  <c r="BB312" i="1" s="1"/>
  <c r="AZ304" i="1"/>
  <c r="BB304" i="1" s="1"/>
  <c r="AZ313" i="1"/>
  <c r="BB313" i="1" s="1"/>
  <c r="AH63" i="1"/>
  <c r="AR66" i="1"/>
  <c r="BA183" i="1"/>
  <c r="AR182" i="1"/>
  <c r="BA63" i="1"/>
  <c r="AZ64" i="1"/>
  <c r="AR63" i="1"/>
  <c r="AH66" i="1"/>
  <c r="BA179" i="1"/>
  <c r="AH183" i="1"/>
  <c r="AR183" i="1"/>
  <c r="AZ183" i="1"/>
  <c r="AH179" i="1"/>
  <c r="AR179" i="1"/>
  <c r="AZ179" i="1"/>
  <c r="BA47" i="1"/>
  <c r="AZ47" i="1"/>
  <c r="AY1083" i="1"/>
  <c r="AY1080" i="1"/>
  <c r="AY1074" i="1"/>
  <c r="AY1078" i="1"/>
  <c r="AY1072" i="1"/>
  <c r="AY1064" i="1"/>
  <c r="AY190" i="1"/>
  <c r="AX190" i="1"/>
  <c r="AV190" i="1"/>
  <c r="AT190" i="1"/>
  <c r="AQ190" i="1"/>
  <c r="AP190" i="1"/>
  <c r="AN190" i="1"/>
  <c r="AL190" i="1"/>
  <c r="AG190" i="1"/>
  <c r="AF190" i="1"/>
  <c r="AD190" i="1"/>
  <c r="AB190" i="1"/>
  <c r="X190" i="1"/>
  <c r="V190" i="1"/>
  <c r="AY156" i="1"/>
  <c r="AX156" i="1"/>
  <c r="AV156" i="1"/>
  <c r="AT156" i="1"/>
  <c r="AQ156" i="1"/>
  <c r="AP156" i="1"/>
  <c r="AN156" i="1"/>
  <c r="AL156" i="1"/>
  <c r="AG156" i="1"/>
  <c r="AF156" i="1"/>
  <c r="AD156" i="1"/>
  <c r="AB156" i="1"/>
  <c r="X156" i="1"/>
  <c r="V156" i="1"/>
  <c r="AY300" i="1"/>
  <c r="AX300" i="1"/>
  <c r="AV300" i="1"/>
  <c r="AT300" i="1"/>
  <c r="AQ300" i="1"/>
  <c r="AP300" i="1"/>
  <c r="AN300" i="1"/>
  <c r="AL300" i="1"/>
  <c r="AG300" i="1"/>
  <c r="AF300" i="1"/>
  <c r="AD300" i="1"/>
  <c r="AB300" i="1"/>
  <c r="X300" i="1"/>
  <c r="V300" i="1"/>
  <c r="AY290" i="1"/>
  <c r="AX290" i="1"/>
  <c r="AV290" i="1"/>
  <c r="AT290" i="1"/>
  <c r="AQ290" i="1"/>
  <c r="BA290" i="1" s="1"/>
  <c r="AP290" i="1"/>
  <c r="AN290" i="1"/>
  <c r="AL290" i="1"/>
  <c r="AG290" i="1"/>
  <c r="AF290" i="1"/>
  <c r="AD290" i="1"/>
  <c r="AB290" i="1"/>
  <c r="X290" i="1"/>
  <c r="V290" i="1"/>
  <c r="AY712" i="1"/>
  <c r="AX712" i="1"/>
  <c r="AV712" i="1"/>
  <c r="AT712" i="1"/>
  <c r="AQ712" i="1"/>
  <c r="AP712" i="1"/>
  <c r="AN712" i="1"/>
  <c r="AL712" i="1"/>
  <c r="AG712" i="1"/>
  <c r="AF712" i="1"/>
  <c r="AD712" i="1"/>
  <c r="AB712" i="1"/>
  <c r="Y712" i="1"/>
  <c r="X712" i="1"/>
  <c r="V712" i="1"/>
  <c r="T712" i="1"/>
  <c r="AX713" i="1"/>
  <c r="AV713" i="1"/>
  <c r="AT713" i="1"/>
  <c r="AQ713" i="1"/>
  <c r="BA713" i="1" s="1"/>
  <c r="AP713" i="1"/>
  <c r="AN713" i="1"/>
  <c r="AL713" i="1"/>
  <c r="AG713" i="1"/>
  <c r="AF713" i="1"/>
  <c r="AD713" i="1"/>
  <c r="AB713" i="1"/>
  <c r="X713" i="1"/>
  <c r="V713" i="1"/>
  <c r="AY1108" i="1"/>
  <c r="AX1108" i="1"/>
  <c r="AV1108" i="1"/>
  <c r="AT1108" i="1"/>
  <c r="AQ1108" i="1"/>
  <c r="AP1108" i="1"/>
  <c r="AN1108" i="1"/>
  <c r="AL1108" i="1"/>
  <c r="AG1108" i="1"/>
  <c r="AF1108" i="1"/>
  <c r="AD1108" i="1"/>
  <c r="AB1108" i="1"/>
  <c r="Y1108" i="1"/>
  <c r="X1108" i="1"/>
  <c r="V1108" i="1"/>
  <c r="T1108" i="1"/>
  <c r="AY938" i="1"/>
  <c r="AX938" i="1"/>
  <c r="AV938" i="1"/>
  <c r="AT938" i="1"/>
  <c r="AQ938" i="1"/>
  <c r="AP938" i="1"/>
  <c r="AN938" i="1"/>
  <c r="AL938" i="1"/>
  <c r="AG938" i="1"/>
  <c r="AF938" i="1"/>
  <c r="AD938" i="1"/>
  <c r="AB938" i="1"/>
  <c r="Y938" i="1"/>
  <c r="AI938" i="1" s="1"/>
  <c r="X938" i="1"/>
  <c r="V938" i="1"/>
  <c r="T938" i="1"/>
  <c r="AY932" i="1"/>
  <c r="AX932" i="1"/>
  <c r="AV932" i="1"/>
  <c r="AT932" i="1"/>
  <c r="AQ932" i="1"/>
  <c r="AP932" i="1"/>
  <c r="AN932" i="1"/>
  <c r="AL932" i="1"/>
  <c r="AG932" i="1"/>
  <c r="AF932" i="1"/>
  <c r="AD932" i="1"/>
  <c r="AB932" i="1"/>
  <c r="Y932" i="1"/>
  <c r="AI932" i="1" s="1"/>
  <c r="X932" i="1"/>
  <c r="V932" i="1"/>
  <c r="T932" i="1"/>
  <c r="AY919" i="1"/>
  <c r="AX919" i="1"/>
  <c r="AV919" i="1"/>
  <c r="AT919" i="1"/>
  <c r="AQ919" i="1"/>
  <c r="AP919" i="1"/>
  <c r="AN919" i="1"/>
  <c r="AL919" i="1"/>
  <c r="AG919" i="1"/>
  <c r="AF919" i="1"/>
  <c r="AD919" i="1"/>
  <c r="AB919" i="1"/>
  <c r="Y919" i="1"/>
  <c r="X919" i="1"/>
  <c r="V919" i="1"/>
  <c r="T919" i="1"/>
  <c r="AY915" i="1"/>
  <c r="AX915" i="1"/>
  <c r="AV915" i="1"/>
  <c r="AT915" i="1"/>
  <c r="AQ915" i="1"/>
  <c r="AP915" i="1"/>
  <c r="AN915" i="1"/>
  <c r="AL915" i="1"/>
  <c r="AG915" i="1"/>
  <c r="AF915" i="1"/>
  <c r="AD915" i="1"/>
  <c r="AB915" i="1"/>
  <c r="Y915" i="1"/>
  <c r="AI915" i="1" s="1"/>
  <c r="X915" i="1"/>
  <c r="V915" i="1"/>
  <c r="T915" i="1"/>
  <c r="AY1088" i="1"/>
  <c r="AX1088" i="1"/>
  <c r="AV1088" i="1"/>
  <c r="AT1088" i="1"/>
  <c r="AQ1088" i="1"/>
  <c r="AP1088" i="1"/>
  <c r="AN1088" i="1"/>
  <c r="AL1088" i="1"/>
  <c r="AG1088" i="1"/>
  <c r="AF1088" i="1"/>
  <c r="AD1088" i="1"/>
  <c r="AB1088" i="1"/>
  <c r="Y1088" i="1"/>
  <c r="X1088" i="1"/>
  <c r="V1088" i="1"/>
  <c r="T1088" i="1"/>
  <c r="AX1085" i="1"/>
  <c r="AV1085" i="1"/>
  <c r="AT1085" i="1"/>
  <c r="AQ1085" i="1"/>
  <c r="BA1085" i="1" s="1"/>
  <c r="AP1085" i="1"/>
  <c r="AN1085" i="1"/>
  <c r="AL1085" i="1"/>
  <c r="AG1085" i="1"/>
  <c r="AF1085" i="1"/>
  <c r="AD1085" i="1"/>
  <c r="AB1085" i="1"/>
  <c r="Y1085" i="1"/>
  <c r="X1085" i="1"/>
  <c r="V1085" i="1"/>
  <c r="T1085" i="1"/>
  <c r="AQ1083" i="1"/>
  <c r="AX1083" i="1"/>
  <c r="AV1083" i="1"/>
  <c r="AT1083" i="1"/>
  <c r="AP1083" i="1"/>
  <c r="AN1083" i="1"/>
  <c r="AL1083" i="1"/>
  <c r="AG1083" i="1"/>
  <c r="AF1083" i="1"/>
  <c r="AD1083" i="1"/>
  <c r="AB1083" i="1"/>
  <c r="Y1083" i="1"/>
  <c r="X1083" i="1"/>
  <c r="V1083" i="1"/>
  <c r="T1083" i="1"/>
  <c r="AQ1080" i="1"/>
  <c r="AX1080" i="1"/>
  <c r="AV1080" i="1"/>
  <c r="AT1080" i="1"/>
  <c r="AP1080" i="1"/>
  <c r="AN1080" i="1"/>
  <c r="AL1080" i="1"/>
  <c r="AG1080" i="1"/>
  <c r="AF1080" i="1"/>
  <c r="AD1080" i="1"/>
  <c r="AB1080" i="1"/>
  <c r="X1080" i="1"/>
  <c r="V1080" i="1"/>
  <c r="T1080" i="1"/>
  <c r="AQ1078" i="1"/>
  <c r="AX1078" i="1"/>
  <c r="AV1078" i="1"/>
  <c r="AT1078" i="1"/>
  <c r="AP1078" i="1"/>
  <c r="AN1078" i="1"/>
  <c r="AL1078" i="1"/>
  <c r="AG1078" i="1"/>
  <c r="AF1078" i="1"/>
  <c r="AD1078" i="1"/>
  <c r="AB1078" i="1"/>
  <c r="Y1078" i="1"/>
  <c r="AI1078" i="1" s="1"/>
  <c r="X1078" i="1"/>
  <c r="V1078" i="1"/>
  <c r="T1078" i="1"/>
  <c r="AQ1074" i="1"/>
  <c r="AY1075" i="1"/>
  <c r="AX1075" i="1"/>
  <c r="AV1075" i="1"/>
  <c r="AT1075" i="1"/>
  <c r="AQ1075" i="1"/>
  <c r="AP1075" i="1"/>
  <c r="AN1075" i="1"/>
  <c r="AL1075" i="1"/>
  <c r="AF1075" i="1"/>
  <c r="AD1075" i="1"/>
  <c r="AB1075" i="1"/>
  <c r="Y1075" i="1"/>
  <c r="AI1075" i="1" s="1"/>
  <c r="X1075" i="1"/>
  <c r="V1075" i="1"/>
  <c r="T1075" i="1"/>
  <c r="AQ1072" i="1"/>
  <c r="AY1073" i="1"/>
  <c r="AX1073" i="1"/>
  <c r="AV1073" i="1"/>
  <c r="AT1073" i="1"/>
  <c r="AQ1073" i="1"/>
  <c r="AP1073" i="1"/>
  <c r="AN1073" i="1"/>
  <c r="AL1073" i="1"/>
  <c r="AF1073" i="1"/>
  <c r="AD1073" i="1"/>
  <c r="AB1073" i="1"/>
  <c r="Y1073" i="1"/>
  <c r="AI1073" i="1" s="1"/>
  <c r="X1073" i="1"/>
  <c r="V1073" i="1"/>
  <c r="T1073" i="1"/>
  <c r="AY1070" i="1"/>
  <c r="AX1070" i="1"/>
  <c r="AV1070" i="1"/>
  <c r="AT1070" i="1"/>
  <c r="AQ1070" i="1"/>
  <c r="AP1070" i="1"/>
  <c r="AN1070" i="1"/>
  <c r="AL1070" i="1"/>
  <c r="AG1070" i="1"/>
  <c r="AF1070" i="1"/>
  <c r="AD1070" i="1"/>
  <c r="AB1070" i="1"/>
  <c r="Y1070" i="1"/>
  <c r="X1070" i="1"/>
  <c r="V1070" i="1"/>
  <c r="T1070" i="1"/>
  <c r="AY829" i="1"/>
  <c r="AX829" i="1"/>
  <c r="AV829" i="1"/>
  <c r="AT829" i="1"/>
  <c r="AQ829" i="1"/>
  <c r="AP829" i="1"/>
  <c r="AN829" i="1"/>
  <c r="AL829" i="1"/>
  <c r="AG829" i="1"/>
  <c r="AF829" i="1"/>
  <c r="AD829" i="1"/>
  <c r="AB829" i="1"/>
  <c r="Y829" i="1"/>
  <c r="X829" i="1"/>
  <c r="V829" i="1"/>
  <c r="T829" i="1"/>
  <c r="AG883" i="1"/>
  <c r="AG875" i="1"/>
  <c r="U885" i="1"/>
  <c r="W885" i="1"/>
  <c r="AA885" i="1"/>
  <c r="AC885" i="1"/>
  <c r="AE885" i="1"/>
  <c r="AK885" i="1"/>
  <c r="AM885" i="1"/>
  <c r="AO885" i="1"/>
  <c r="AS885" i="1"/>
  <c r="AU885" i="1"/>
  <c r="AW885" i="1"/>
  <c r="S885" i="1"/>
  <c r="AQ883" i="1"/>
  <c r="AY884" i="1"/>
  <c r="AX884" i="1"/>
  <c r="AV884" i="1"/>
  <c r="AT884" i="1"/>
  <c r="AQ884" i="1"/>
  <c r="AP884" i="1"/>
  <c r="AN884" i="1"/>
  <c r="AL884" i="1"/>
  <c r="AG884" i="1"/>
  <c r="AF884" i="1"/>
  <c r="AD884" i="1"/>
  <c r="AB884" i="1"/>
  <c r="Y884" i="1"/>
  <c r="X884" i="1"/>
  <c r="V884" i="1"/>
  <c r="T884" i="1"/>
  <c r="AY882" i="1"/>
  <c r="AX882" i="1"/>
  <c r="AV882" i="1"/>
  <c r="AT882" i="1"/>
  <c r="AQ882" i="1"/>
  <c r="AP882" i="1"/>
  <c r="AN882" i="1"/>
  <c r="AL882" i="1"/>
  <c r="AG882" i="1"/>
  <c r="AF882" i="1"/>
  <c r="AD882" i="1"/>
  <c r="AB882" i="1"/>
  <c r="Y882" i="1"/>
  <c r="X882" i="1"/>
  <c r="V882" i="1"/>
  <c r="T882" i="1"/>
  <c r="AY880" i="1"/>
  <c r="AX880" i="1"/>
  <c r="AV880" i="1"/>
  <c r="AT880" i="1"/>
  <c r="AQ880" i="1"/>
  <c r="BA880" i="1" s="1"/>
  <c r="AP880" i="1"/>
  <c r="AN880" i="1"/>
  <c r="AL880" i="1"/>
  <c r="AG880" i="1"/>
  <c r="AF880" i="1"/>
  <c r="AD880" i="1"/>
  <c r="AB880" i="1"/>
  <c r="Y880" i="1"/>
  <c r="X880" i="1"/>
  <c r="V880" i="1"/>
  <c r="T880" i="1"/>
  <c r="AQ875" i="1"/>
  <c r="AY876" i="1"/>
  <c r="AX876" i="1"/>
  <c r="AV876" i="1"/>
  <c r="AT876" i="1"/>
  <c r="AQ876" i="1"/>
  <c r="AP876" i="1"/>
  <c r="AN876" i="1"/>
  <c r="AL876" i="1"/>
  <c r="AG876" i="1"/>
  <c r="AF876" i="1"/>
  <c r="AD876" i="1"/>
  <c r="AB876" i="1"/>
  <c r="Y876" i="1"/>
  <c r="AI876" i="1" s="1"/>
  <c r="X876" i="1"/>
  <c r="V876" i="1"/>
  <c r="T876" i="1"/>
  <c r="AY49" i="1"/>
  <c r="AX49" i="1"/>
  <c r="AV49" i="1"/>
  <c r="AT49" i="1"/>
  <c r="AQ49" i="1"/>
  <c r="AP49" i="1"/>
  <c r="AN49" i="1"/>
  <c r="AL49" i="1"/>
  <c r="AG49" i="1"/>
  <c r="AF49" i="1"/>
  <c r="AD49" i="1"/>
  <c r="AB49" i="1"/>
  <c r="X49" i="1"/>
  <c r="V49" i="1"/>
  <c r="AY48" i="1"/>
  <c r="AX48" i="1"/>
  <c r="AV48" i="1"/>
  <c r="AT48" i="1"/>
  <c r="AQ48" i="1"/>
  <c r="AP48" i="1"/>
  <c r="AN48" i="1"/>
  <c r="AL48" i="1"/>
  <c r="AG48" i="1"/>
  <c r="AF48" i="1"/>
  <c r="AD48" i="1"/>
  <c r="AB48" i="1"/>
  <c r="X48" i="1"/>
  <c r="V48" i="1"/>
  <c r="U1154" i="1"/>
  <c r="W1154" i="1"/>
  <c r="AA1154" i="1"/>
  <c r="AC1154" i="1"/>
  <c r="AE1154" i="1"/>
  <c r="AK1154" i="1"/>
  <c r="AM1154" i="1"/>
  <c r="AO1154" i="1"/>
  <c r="AS1154" i="1"/>
  <c r="AU1154" i="1"/>
  <c r="AW1154" i="1"/>
  <c r="S1154" i="1"/>
  <c r="AY1153" i="1"/>
  <c r="AX1153" i="1"/>
  <c r="AV1153" i="1"/>
  <c r="AT1153" i="1"/>
  <c r="AQ1153" i="1"/>
  <c r="AP1153" i="1"/>
  <c r="AN1153" i="1"/>
  <c r="AL1153" i="1"/>
  <c r="AG1153" i="1"/>
  <c r="AF1153" i="1"/>
  <c r="AD1153" i="1"/>
  <c r="AB1153" i="1"/>
  <c r="Y1153" i="1"/>
  <c r="X1153" i="1"/>
  <c r="V1153" i="1"/>
  <c r="T1153" i="1"/>
  <c r="AI712" i="1" l="1"/>
  <c r="AI1088" i="1"/>
  <c r="AI880" i="1"/>
  <c r="Q880" i="1" s="1"/>
  <c r="BA1088" i="1"/>
  <c r="BA1070" i="1"/>
  <c r="AI1085" i="1"/>
  <c r="Q1085" i="1" s="1"/>
  <c r="BA712" i="1"/>
  <c r="Q712" i="1" s="1"/>
  <c r="AI882" i="1"/>
  <c r="BA1073" i="1"/>
  <c r="Q1073" i="1" s="1"/>
  <c r="BA932" i="1"/>
  <c r="Q932" i="1" s="1"/>
  <c r="AI1070" i="1"/>
  <c r="BA1075" i="1"/>
  <c r="Q1075" i="1" s="1"/>
  <c r="BA938" i="1"/>
  <c r="Q938" i="1" s="1"/>
  <c r="AH1080" i="1"/>
  <c r="AH300" i="1"/>
  <c r="Q1116" i="1"/>
  <c r="AI1108" i="1"/>
  <c r="BA829" i="1"/>
  <c r="BB182" i="1"/>
  <c r="AI919" i="1"/>
  <c r="BA48" i="1"/>
  <c r="AI884" i="1"/>
  <c r="BA919" i="1"/>
  <c r="BB47" i="1"/>
  <c r="BB64" i="1"/>
  <c r="BB636" i="1"/>
  <c r="BA1108" i="1"/>
  <c r="AJ636" i="1"/>
  <c r="AJ1116" i="1"/>
  <c r="BB1116" i="1"/>
  <c r="Z1070" i="1"/>
  <c r="AZ1108" i="1"/>
  <c r="BA882" i="1"/>
  <c r="BB66" i="1"/>
  <c r="BA300" i="1"/>
  <c r="BA884" i="1"/>
  <c r="BA190" i="1"/>
  <c r="BA1153" i="1"/>
  <c r="AI1080" i="1"/>
  <c r="BB63" i="1"/>
  <c r="BA49" i="1"/>
  <c r="AZ48" i="1"/>
  <c r="AZ49" i="1"/>
  <c r="BB183" i="1"/>
  <c r="BB179" i="1"/>
  <c r="BA156" i="1"/>
  <c r="AZ190" i="1"/>
  <c r="AI829" i="1"/>
  <c r="BA1083" i="1"/>
  <c r="AH1108" i="1"/>
  <c r="AH713" i="1"/>
  <c r="AR713" i="1"/>
  <c r="AZ713" i="1"/>
  <c r="AH712" i="1"/>
  <c r="AZ712" i="1"/>
  <c r="AZ290" i="1"/>
  <c r="AZ300" i="1"/>
  <c r="AZ156" i="1"/>
  <c r="AH190" i="1"/>
  <c r="AR190" i="1"/>
  <c r="AH156" i="1"/>
  <c r="AR156" i="1"/>
  <c r="AR300" i="1"/>
  <c r="AR290" i="1"/>
  <c r="AH290" i="1"/>
  <c r="AR712" i="1"/>
  <c r="Z712" i="1"/>
  <c r="AR1108" i="1"/>
  <c r="Z1108" i="1"/>
  <c r="BA1078" i="1"/>
  <c r="Q1078" i="1" s="1"/>
  <c r="AZ1080" i="1"/>
  <c r="BA1080" i="1"/>
  <c r="AR1078" i="1"/>
  <c r="Z1080" i="1"/>
  <c r="AH1083" i="1"/>
  <c r="AZ1083" i="1"/>
  <c r="Z1153" i="1"/>
  <c r="Z1085" i="1"/>
  <c r="AZ1085" i="1"/>
  <c r="Z1088" i="1"/>
  <c r="AZ1088" i="1"/>
  <c r="Z915" i="1"/>
  <c r="AR915" i="1"/>
  <c r="AZ915" i="1"/>
  <c r="AZ932" i="1"/>
  <c r="AZ938" i="1"/>
  <c r="AR938" i="1"/>
  <c r="AH938" i="1"/>
  <c r="Z938" i="1"/>
  <c r="BA915" i="1"/>
  <c r="Q915" i="1" s="1"/>
  <c r="BA876" i="1"/>
  <c r="Q876" i="1" s="1"/>
  <c r="AR932" i="1"/>
  <c r="AH932" i="1"/>
  <c r="Z932" i="1"/>
  <c r="AH919" i="1"/>
  <c r="AZ919" i="1"/>
  <c r="AR919" i="1"/>
  <c r="Z919" i="1"/>
  <c r="AH915" i="1"/>
  <c r="AR1088" i="1"/>
  <c r="AH1088" i="1"/>
  <c r="AR1085" i="1"/>
  <c r="AH1085" i="1"/>
  <c r="AI1083" i="1"/>
  <c r="AR1083" i="1"/>
  <c r="Z1083" i="1"/>
  <c r="AZ1070" i="1"/>
  <c r="Z1075" i="1"/>
  <c r="AZ1075" i="1"/>
  <c r="AH1078" i="1"/>
  <c r="AR1080" i="1"/>
  <c r="AZ1078" i="1"/>
  <c r="Z1078" i="1"/>
  <c r="Z1073" i="1"/>
  <c r="AH1073" i="1"/>
  <c r="AR1073" i="1"/>
  <c r="AR1075" i="1"/>
  <c r="AH1075" i="1"/>
  <c r="AZ1073" i="1"/>
  <c r="AR1070" i="1"/>
  <c r="AH1070" i="1"/>
  <c r="AH829" i="1"/>
  <c r="AR829" i="1"/>
  <c r="AZ829" i="1"/>
  <c r="Z884" i="1"/>
  <c r="AH884" i="1"/>
  <c r="AZ884" i="1"/>
  <c r="AI1153" i="1"/>
  <c r="AZ1153" i="1"/>
  <c r="Z829" i="1"/>
  <c r="AR884" i="1"/>
  <c r="AH48" i="1"/>
  <c r="Z880" i="1"/>
  <c r="Z882" i="1"/>
  <c r="AH882" i="1"/>
  <c r="AR882" i="1"/>
  <c r="AZ882" i="1"/>
  <c r="AR876" i="1"/>
  <c r="AZ876" i="1"/>
  <c r="AH880" i="1"/>
  <c r="AR880" i="1"/>
  <c r="AZ880" i="1"/>
  <c r="Z876" i="1"/>
  <c r="AH876" i="1"/>
  <c r="AR49" i="1"/>
  <c r="AR48" i="1"/>
  <c r="AH49" i="1"/>
  <c r="AR1153" i="1"/>
  <c r="AH1153" i="1"/>
  <c r="AY165" i="1"/>
  <c r="AX165" i="1"/>
  <c r="AV165" i="1"/>
  <c r="AT165" i="1"/>
  <c r="AQ165" i="1"/>
  <c r="AP165" i="1"/>
  <c r="AN165" i="1"/>
  <c r="AL165" i="1"/>
  <c r="AG165" i="1"/>
  <c r="AF165" i="1"/>
  <c r="AD165" i="1"/>
  <c r="AB165" i="1"/>
  <c r="X165" i="1"/>
  <c r="V165" i="1"/>
  <c r="AY43" i="1"/>
  <c r="AX43" i="1"/>
  <c r="AV43" i="1"/>
  <c r="AT43" i="1"/>
  <c r="AP43" i="1"/>
  <c r="AN43" i="1"/>
  <c r="AL43" i="1"/>
  <c r="AF43" i="1"/>
  <c r="AD43" i="1"/>
  <c r="AB43" i="1"/>
  <c r="X43" i="1"/>
  <c r="V43" i="1"/>
  <c r="AY42" i="1"/>
  <c r="AX42" i="1"/>
  <c r="AV42" i="1"/>
  <c r="AT42" i="1"/>
  <c r="AQ42" i="1"/>
  <c r="AP42" i="1"/>
  <c r="AN42" i="1"/>
  <c r="AL42" i="1"/>
  <c r="AG42" i="1"/>
  <c r="AF42" i="1"/>
  <c r="AD42" i="1"/>
  <c r="AB42" i="1"/>
  <c r="X42" i="1"/>
  <c r="V42" i="1"/>
  <c r="AY600" i="1"/>
  <c r="AX600" i="1"/>
  <c r="AV600" i="1"/>
  <c r="AT600" i="1"/>
  <c r="AQ600" i="1"/>
  <c r="AP600" i="1"/>
  <c r="AN600" i="1"/>
  <c r="AL600" i="1"/>
  <c r="AG600" i="1"/>
  <c r="AF600" i="1"/>
  <c r="AD600" i="1"/>
  <c r="AB600" i="1"/>
  <c r="Y600" i="1"/>
  <c r="X600" i="1"/>
  <c r="V600" i="1"/>
  <c r="T600" i="1"/>
  <c r="AY584" i="1"/>
  <c r="AX584" i="1"/>
  <c r="AV584" i="1"/>
  <c r="AT584" i="1"/>
  <c r="AQ584" i="1"/>
  <c r="AP584" i="1"/>
  <c r="AN584" i="1"/>
  <c r="AL584" i="1"/>
  <c r="AG584" i="1"/>
  <c r="AF584" i="1"/>
  <c r="AD584" i="1"/>
  <c r="AB584" i="1"/>
  <c r="Y584" i="1"/>
  <c r="X584" i="1"/>
  <c r="V584" i="1"/>
  <c r="T584" i="1"/>
  <c r="AY546" i="1"/>
  <c r="AX546" i="1"/>
  <c r="AV546" i="1"/>
  <c r="AT546" i="1"/>
  <c r="AQ546" i="1"/>
  <c r="AP546" i="1"/>
  <c r="AN546" i="1"/>
  <c r="AL546" i="1"/>
  <c r="AG546" i="1"/>
  <c r="AF546" i="1"/>
  <c r="AD546" i="1"/>
  <c r="AB546" i="1"/>
  <c r="X546" i="1"/>
  <c r="V546" i="1"/>
  <c r="Q1088" i="1" l="1"/>
  <c r="Q1070" i="1"/>
  <c r="BB1073" i="1"/>
  <c r="Q882" i="1"/>
  <c r="BB1085" i="1"/>
  <c r="Q829" i="1"/>
  <c r="Q1108" i="1"/>
  <c r="BA584" i="1"/>
  <c r="AI600" i="1"/>
  <c r="BA546" i="1"/>
  <c r="BB932" i="1"/>
  <c r="Q919" i="1"/>
  <c r="BB1108" i="1"/>
  <c r="Q884" i="1"/>
  <c r="BB1088" i="1"/>
  <c r="R636" i="1"/>
  <c r="AH546" i="1"/>
  <c r="R1116" i="1"/>
  <c r="AJ1153" i="1"/>
  <c r="Q1153" i="1"/>
  <c r="AJ1070" i="1"/>
  <c r="BB190" i="1"/>
  <c r="Q1080" i="1"/>
  <c r="BB1070" i="1"/>
  <c r="BA600" i="1"/>
  <c r="AJ1108" i="1"/>
  <c r="AI584" i="1"/>
  <c r="AJ915" i="1"/>
  <c r="BB48" i="1"/>
  <c r="BB49" i="1"/>
  <c r="BB713" i="1"/>
  <c r="BA42" i="1"/>
  <c r="Q1083" i="1"/>
  <c r="BB938" i="1"/>
  <c r="AJ1085" i="1"/>
  <c r="AJ1080" i="1"/>
  <c r="BB290" i="1"/>
  <c r="BB712" i="1"/>
  <c r="BB300" i="1"/>
  <c r="BB1080" i="1"/>
  <c r="BB156" i="1"/>
  <c r="AJ829" i="1"/>
  <c r="AJ712" i="1"/>
  <c r="AJ1083" i="1"/>
  <c r="BB1153" i="1"/>
  <c r="AJ1088" i="1"/>
  <c r="BB915" i="1"/>
  <c r="BB1078" i="1"/>
  <c r="BB1083" i="1"/>
  <c r="AJ919" i="1"/>
  <c r="AJ932" i="1"/>
  <c r="BB919" i="1"/>
  <c r="AJ938" i="1"/>
  <c r="BA43" i="1"/>
  <c r="BB1075" i="1"/>
  <c r="BB829" i="1"/>
  <c r="AR546" i="1"/>
  <c r="AZ546" i="1"/>
  <c r="AR42" i="1"/>
  <c r="AZ42" i="1"/>
  <c r="AJ1078" i="1"/>
  <c r="AJ1075" i="1"/>
  <c r="AJ1073" i="1"/>
  <c r="R1073" i="1" s="1"/>
  <c r="AJ884" i="1"/>
  <c r="BB880" i="1"/>
  <c r="AJ882" i="1"/>
  <c r="BB884" i="1"/>
  <c r="AJ880" i="1"/>
  <c r="BB882" i="1"/>
  <c r="AZ600" i="1"/>
  <c r="AH42" i="1"/>
  <c r="AZ165" i="1"/>
  <c r="BB876" i="1"/>
  <c r="BA165" i="1"/>
  <c r="AJ876" i="1"/>
  <c r="AZ584" i="1"/>
  <c r="Z600" i="1"/>
  <c r="AH600" i="1"/>
  <c r="AH43" i="1"/>
  <c r="AZ43" i="1"/>
  <c r="AH165" i="1"/>
  <c r="AR165" i="1"/>
  <c r="AR43" i="1"/>
  <c r="AR600" i="1"/>
  <c r="AR584" i="1"/>
  <c r="AH584" i="1"/>
  <c r="Z584" i="1"/>
  <c r="AY940" i="1"/>
  <c r="AX940" i="1"/>
  <c r="AV940" i="1"/>
  <c r="AT940" i="1"/>
  <c r="AQ940" i="1"/>
  <c r="AP940" i="1"/>
  <c r="AN940" i="1"/>
  <c r="AL940" i="1"/>
  <c r="AG940" i="1"/>
  <c r="AF940" i="1"/>
  <c r="AD940" i="1"/>
  <c r="AB940" i="1"/>
  <c r="Y940" i="1"/>
  <c r="X940" i="1"/>
  <c r="V940" i="1"/>
  <c r="T940" i="1"/>
  <c r="AY941" i="1"/>
  <c r="AX941" i="1"/>
  <c r="AV941" i="1"/>
  <c r="AT941" i="1"/>
  <c r="AQ941" i="1"/>
  <c r="AP941" i="1"/>
  <c r="AN941" i="1"/>
  <c r="AL941" i="1"/>
  <c r="AG941" i="1"/>
  <c r="AF941" i="1"/>
  <c r="AD941" i="1"/>
  <c r="AB941" i="1"/>
  <c r="Y941" i="1"/>
  <c r="X941" i="1"/>
  <c r="V941" i="1"/>
  <c r="T941" i="1"/>
  <c r="AY933" i="1"/>
  <c r="AX933" i="1"/>
  <c r="AV933" i="1"/>
  <c r="AT933" i="1"/>
  <c r="AQ933" i="1"/>
  <c r="AP933" i="1"/>
  <c r="AN933" i="1"/>
  <c r="AL933" i="1"/>
  <c r="AG933" i="1"/>
  <c r="AF933" i="1"/>
  <c r="AD933" i="1"/>
  <c r="AB933" i="1"/>
  <c r="Y933" i="1"/>
  <c r="X933" i="1"/>
  <c r="V933" i="1"/>
  <c r="T933" i="1"/>
  <c r="AY935" i="1"/>
  <c r="AX935" i="1"/>
  <c r="AV935" i="1"/>
  <c r="AT935" i="1"/>
  <c r="AQ935" i="1"/>
  <c r="AP935" i="1"/>
  <c r="AN935" i="1"/>
  <c r="AL935" i="1"/>
  <c r="AG935" i="1"/>
  <c r="AF935" i="1"/>
  <c r="AD935" i="1"/>
  <c r="AB935" i="1"/>
  <c r="Y935" i="1"/>
  <c r="X935" i="1"/>
  <c r="V935" i="1"/>
  <c r="T935" i="1"/>
  <c r="AY926" i="1"/>
  <c r="AX926" i="1"/>
  <c r="AV926" i="1"/>
  <c r="AT926" i="1"/>
  <c r="AQ926" i="1"/>
  <c r="AP926" i="1"/>
  <c r="AN926" i="1"/>
  <c r="AL926" i="1"/>
  <c r="AG926" i="1"/>
  <c r="AF926" i="1"/>
  <c r="AD926" i="1"/>
  <c r="AB926" i="1"/>
  <c r="Y926" i="1"/>
  <c r="X926" i="1"/>
  <c r="V926" i="1"/>
  <c r="T926" i="1"/>
  <c r="AY928" i="1"/>
  <c r="AX928" i="1"/>
  <c r="AV928" i="1"/>
  <c r="AT928" i="1"/>
  <c r="AQ928" i="1"/>
  <c r="AP928" i="1"/>
  <c r="AN928" i="1"/>
  <c r="AL928" i="1"/>
  <c r="AG928" i="1"/>
  <c r="AF928" i="1"/>
  <c r="AD928" i="1"/>
  <c r="AB928" i="1"/>
  <c r="Y928" i="1"/>
  <c r="X928" i="1"/>
  <c r="V928" i="1"/>
  <c r="T928" i="1"/>
  <c r="AY922" i="1"/>
  <c r="AX922" i="1"/>
  <c r="AV922" i="1"/>
  <c r="AT922" i="1"/>
  <c r="AQ922" i="1"/>
  <c r="AP922" i="1"/>
  <c r="AN922" i="1"/>
  <c r="AL922" i="1"/>
  <c r="AG922" i="1"/>
  <c r="AF922" i="1"/>
  <c r="AD922" i="1"/>
  <c r="AB922" i="1"/>
  <c r="Y922" i="1"/>
  <c r="X922" i="1"/>
  <c r="V922" i="1"/>
  <c r="T922" i="1"/>
  <c r="AY818" i="1"/>
  <c r="AX818" i="1"/>
  <c r="AV818" i="1"/>
  <c r="AT818" i="1"/>
  <c r="AQ818" i="1"/>
  <c r="BA818" i="1" s="1"/>
  <c r="AP818" i="1"/>
  <c r="AN818" i="1"/>
  <c r="AL818" i="1"/>
  <c r="AG818" i="1"/>
  <c r="AF818" i="1"/>
  <c r="AD818" i="1"/>
  <c r="AB818" i="1"/>
  <c r="Y818" i="1"/>
  <c r="X818" i="1"/>
  <c r="V818" i="1"/>
  <c r="T818" i="1"/>
  <c r="AY175" i="1"/>
  <c r="AX175" i="1"/>
  <c r="AV175" i="1"/>
  <c r="AQ175" i="1"/>
  <c r="AP175" i="1"/>
  <c r="AN175" i="1"/>
  <c r="AL175" i="1"/>
  <c r="AF175" i="1"/>
  <c r="AD175" i="1"/>
  <c r="AB175" i="1"/>
  <c r="X175" i="1"/>
  <c r="V175" i="1"/>
  <c r="AY177" i="1"/>
  <c r="AX177" i="1"/>
  <c r="AV177" i="1"/>
  <c r="AT177" i="1"/>
  <c r="AQ177" i="1"/>
  <c r="AP177" i="1"/>
  <c r="AN177" i="1"/>
  <c r="AL177" i="1"/>
  <c r="AG177" i="1"/>
  <c r="AF177" i="1"/>
  <c r="AD177" i="1"/>
  <c r="AB177" i="1"/>
  <c r="X177" i="1"/>
  <c r="V177" i="1"/>
  <c r="AY180" i="1"/>
  <c r="AX180" i="1"/>
  <c r="AV180" i="1"/>
  <c r="AT180" i="1"/>
  <c r="AQ180" i="1"/>
  <c r="AP180" i="1"/>
  <c r="AN180" i="1"/>
  <c r="AL180" i="1"/>
  <c r="AG180" i="1"/>
  <c r="AF180" i="1"/>
  <c r="AD180" i="1"/>
  <c r="AB180" i="1"/>
  <c r="X180" i="1"/>
  <c r="V180" i="1"/>
  <c r="W355" i="1"/>
  <c r="AA355" i="1"/>
  <c r="AC355" i="1"/>
  <c r="AE355" i="1"/>
  <c r="AK355" i="1"/>
  <c r="AM355" i="1"/>
  <c r="AO355" i="1"/>
  <c r="AS355" i="1"/>
  <c r="AU355" i="1"/>
  <c r="AW355" i="1"/>
  <c r="AY352" i="1"/>
  <c r="AX352" i="1"/>
  <c r="AV352" i="1"/>
  <c r="AT352" i="1"/>
  <c r="AQ352" i="1"/>
  <c r="AP352" i="1"/>
  <c r="AN352" i="1"/>
  <c r="AL352" i="1"/>
  <c r="AG352" i="1"/>
  <c r="AF352" i="1"/>
  <c r="AD352" i="1"/>
  <c r="AB352" i="1"/>
  <c r="X352" i="1"/>
  <c r="V352" i="1"/>
  <c r="AY351" i="1"/>
  <c r="AX351" i="1"/>
  <c r="AV351" i="1"/>
  <c r="AT351" i="1"/>
  <c r="AQ351" i="1"/>
  <c r="AP351" i="1"/>
  <c r="AN351" i="1"/>
  <c r="AL351" i="1"/>
  <c r="AG351" i="1"/>
  <c r="AF351" i="1"/>
  <c r="AD351" i="1"/>
  <c r="AB351" i="1"/>
  <c r="X351" i="1"/>
  <c r="V351" i="1"/>
  <c r="AY354" i="1"/>
  <c r="AX354" i="1"/>
  <c r="AV354" i="1"/>
  <c r="AT354" i="1"/>
  <c r="AQ354" i="1"/>
  <c r="AP354" i="1"/>
  <c r="AN354" i="1"/>
  <c r="AL354" i="1"/>
  <c r="AG354" i="1"/>
  <c r="AF354" i="1"/>
  <c r="AD354" i="1"/>
  <c r="AB354" i="1"/>
  <c r="X354" i="1"/>
  <c r="V354" i="1"/>
  <c r="AY353" i="1"/>
  <c r="AX353" i="1"/>
  <c r="AV353" i="1"/>
  <c r="AT353" i="1"/>
  <c r="AQ353" i="1"/>
  <c r="AP353" i="1"/>
  <c r="AN353" i="1"/>
  <c r="AL353" i="1"/>
  <c r="AG353" i="1"/>
  <c r="AF353" i="1"/>
  <c r="AD353" i="1"/>
  <c r="AB353" i="1"/>
  <c r="X353" i="1"/>
  <c r="V353" i="1"/>
  <c r="BA354" i="1" l="1"/>
  <c r="BA928" i="1"/>
  <c r="R932" i="1"/>
  <c r="R1085" i="1"/>
  <c r="Q600" i="1"/>
  <c r="AI818" i="1"/>
  <c r="Q818" i="1" s="1"/>
  <c r="Q584" i="1"/>
  <c r="R1088" i="1"/>
  <c r="R1108" i="1"/>
  <c r="BA941" i="1"/>
  <c r="AI933" i="1"/>
  <c r="BA933" i="1"/>
  <c r="AI941" i="1"/>
  <c r="R1080" i="1"/>
  <c r="BA935" i="1"/>
  <c r="BA922" i="1"/>
  <c r="AI926" i="1"/>
  <c r="R1153" i="1"/>
  <c r="R1070" i="1"/>
  <c r="R829" i="1"/>
  <c r="R1078" i="1"/>
  <c r="R915" i="1"/>
  <c r="BA926" i="1"/>
  <c r="AI922" i="1"/>
  <c r="AI928" i="1"/>
  <c r="R1083" i="1"/>
  <c r="R712" i="1"/>
  <c r="BA180" i="1"/>
  <c r="BA175" i="1"/>
  <c r="R938" i="1"/>
  <c r="AZ175" i="1"/>
  <c r="BB42" i="1"/>
  <c r="AZ928" i="1"/>
  <c r="Z933" i="1"/>
  <c r="AH933" i="1"/>
  <c r="AZ941" i="1"/>
  <c r="R919" i="1"/>
  <c r="BA351" i="1"/>
  <c r="AI935" i="1"/>
  <c r="R1075" i="1"/>
  <c r="BA177" i="1"/>
  <c r="BB165" i="1"/>
  <c r="BB546" i="1"/>
  <c r="Z818" i="1"/>
  <c r="AH818" i="1"/>
  <c r="AZ818" i="1"/>
  <c r="Z928" i="1"/>
  <c r="AH928" i="1"/>
  <c r="R884" i="1"/>
  <c r="R880" i="1"/>
  <c r="R882" i="1"/>
  <c r="Z940" i="1"/>
  <c r="AH940" i="1"/>
  <c r="AZ940" i="1"/>
  <c r="AH180" i="1"/>
  <c r="AZ180" i="1"/>
  <c r="AH175" i="1"/>
  <c r="AZ933" i="1"/>
  <c r="Z941" i="1"/>
  <c r="AH941" i="1"/>
  <c r="BB600" i="1"/>
  <c r="R876" i="1"/>
  <c r="AR175" i="1"/>
  <c r="BA353" i="1"/>
  <c r="BB584" i="1"/>
  <c r="AI940" i="1"/>
  <c r="AJ600" i="1"/>
  <c r="BB43" i="1"/>
  <c r="AJ584" i="1"/>
  <c r="AR940" i="1"/>
  <c r="BA940" i="1"/>
  <c r="Z926" i="1"/>
  <c r="AH926" i="1"/>
  <c r="AZ935" i="1"/>
  <c r="AR941" i="1"/>
  <c r="AR935" i="1"/>
  <c r="AR933" i="1"/>
  <c r="AZ926" i="1"/>
  <c r="Z935" i="1"/>
  <c r="AH935" i="1"/>
  <c r="AR928" i="1"/>
  <c r="AR926" i="1"/>
  <c r="AR922" i="1"/>
  <c r="AZ922" i="1"/>
  <c r="AH353" i="1"/>
  <c r="AH354" i="1"/>
  <c r="AH351" i="1"/>
  <c r="AH352" i="1"/>
  <c r="AH922" i="1"/>
  <c r="Z922" i="1"/>
  <c r="AZ353" i="1"/>
  <c r="BA352" i="1"/>
  <c r="AZ351" i="1"/>
  <c r="AR818" i="1"/>
  <c r="AZ352" i="1"/>
  <c r="AR352" i="1"/>
  <c r="AR180" i="1"/>
  <c r="AH177" i="1"/>
  <c r="AR177" i="1"/>
  <c r="AZ177" i="1"/>
  <c r="AR353" i="1"/>
  <c r="AR351" i="1"/>
  <c r="AR354" i="1"/>
  <c r="AZ354" i="1"/>
  <c r="Q928" i="1" l="1"/>
  <c r="BB175" i="1"/>
  <c r="Q922" i="1"/>
  <c r="Q935" i="1"/>
  <c r="Q933" i="1"/>
  <c r="Q941" i="1"/>
  <c r="Q926" i="1"/>
  <c r="BB928" i="1"/>
  <c r="BB941" i="1"/>
  <c r="BB933" i="1"/>
  <c r="AJ933" i="1"/>
  <c r="AJ818" i="1"/>
  <c r="BB180" i="1"/>
  <c r="BB818" i="1"/>
  <c r="AJ928" i="1"/>
  <c r="AJ940" i="1"/>
  <c r="Q940" i="1"/>
  <c r="BB940" i="1"/>
  <c r="AJ941" i="1"/>
  <c r="R600" i="1"/>
  <c r="R584" i="1"/>
  <c r="BB935" i="1"/>
  <c r="BB926" i="1"/>
  <c r="AJ935" i="1"/>
  <c r="AJ926" i="1"/>
  <c r="BB922" i="1"/>
  <c r="AJ922" i="1"/>
  <c r="BB353" i="1"/>
  <c r="BB177" i="1"/>
  <c r="BB352" i="1"/>
  <c r="BB351" i="1"/>
  <c r="BB354" i="1"/>
  <c r="AY664" i="1"/>
  <c r="AX664" i="1"/>
  <c r="AV664" i="1"/>
  <c r="AT664" i="1"/>
  <c r="AQ664" i="1"/>
  <c r="AP664" i="1"/>
  <c r="AN664" i="1"/>
  <c r="AL664" i="1"/>
  <c r="AG664" i="1"/>
  <c r="AF664" i="1"/>
  <c r="AD664" i="1"/>
  <c r="AB664" i="1"/>
  <c r="Y664" i="1"/>
  <c r="X664" i="1"/>
  <c r="V664" i="1"/>
  <c r="T664" i="1"/>
  <c r="AQ1067" i="1"/>
  <c r="AI664" i="1" l="1"/>
  <c r="R928" i="1"/>
  <c r="R941" i="1"/>
  <c r="R933" i="1"/>
  <c r="R940" i="1"/>
  <c r="R818" i="1"/>
  <c r="AZ664" i="1"/>
  <c r="R926" i="1"/>
  <c r="R935" i="1"/>
  <c r="BA664" i="1"/>
  <c r="R922" i="1"/>
  <c r="AH664" i="1"/>
  <c r="Z664" i="1"/>
  <c r="AR664" i="1"/>
  <c r="AG1095" i="1"/>
  <c r="AY881" i="1"/>
  <c r="AX881" i="1"/>
  <c r="AV881" i="1"/>
  <c r="AT881" i="1"/>
  <c r="AQ881" i="1"/>
  <c r="AP881" i="1"/>
  <c r="AN881" i="1"/>
  <c r="AL881" i="1"/>
  <c r="AG881" i="1"/>
  <c r="AF881" i="1"/>
  <c r="AD881" i="1"/>
  <c r="AB881" i="1"/>
  <c r="Y881" i="1"/>
  <c r="X881" i="1"/>
  <c r="V881" i="1"/>
  <c r="T881" i="1"/>
  <c r="AY883" i="1"/>
  <c r="BA883" i="1" s="1"/>
  <c r="AX883" i="1"/>
  <c r="AV883" i="1"/>
  <c r="AT883" i="1"/>
  <c r="AP883" i="1"/>
  <c r="AN883" i="1"/>
  <c r="AL883" i="1"/>
  <c r="AF883" i="1"/>
  <c r="AD883" i="1"/>
  <c r="AB883" i="1"/>
  <c r="Y883" i="1"/>
  <c r="AI883" i="1" s="1"/>
  <c r="X883" i="1"/>
  <c r="V883" i="1"/>
  <c r="T883" i="1"/>
  <c r="AY879" i="1"/>
  <c r="AX879" i="1"/>
  <c r="AV879" i="1"/>
  <c r="AT879" i="1"/>
  <c r="AQ879" i="1"/>
  <c r="AP879" i="1"/>
  <c r="AN879" i="1"/>
  <c r="AL879" i="1"/>
  <c r="AG879" i="1"/>
  <c r="AF879" i="1"/>
  <c r="AD879" i="1"/>
  <c r="AB879" i="1"/>
  <c r="Y879" i="1"/>
  <c r="X879" i="1"/>
  <c r="V879" i="1"/>
  <c r="T879" i="1"/>
  <c r="AY874" i="1"/>
  <c r="AX874" i="1"/>
  <c r="AV874" i="1"/>
  <c r="AT874" i="1"/>
  <c r="AQ874" i="1"/>
  <c r="BA874" i="1" s="1"/>
  <c r="AP874" i="1"/>
  <c r="AN874" i="1"/>
  <c r="AL874" i="1"/>
  <c r="AG874" i="1"/>
  <c r="AF874" i="1"/>
  <c r="AD874" i="1"/>
  <c r="AB874" i="1"/>
  <c r="Y874" i="1"/>
  <c r="X874" i="1"/>
  <c r="V874" i="1"/>
  <c r="T874" i="1"/>
  <c r="AQ303" i="1"/>
  <c r="Q664" i="1" l="1"/>
  <c r="AI874" i="1"/>
  <c r="Q874" i="1" s="1"/>
  <c r="AI881" i="1"/>
  <c r="BA881" i="1"/>
  <c r="Z874" i="1"/>
  <c r="AH874" i="1"/>
  <c r="AZ874" i="1"/>
  <c r="BB664" i="1"/>
  <c r="AI879" i="1"/>
  <c r="Z881" i="1"/>
  <c r="AH881" i="1"/>
  <c r="AZ881" i="1"/>
  <c r="AJ664" i="1"/>
  <c r="AZ879" i="1"/>
  <c r="Q883" i="1"/>
  <c r="AR874" i="1"/>
  <c r="AR879" i="1"/>
  <c r="BA879" i="1"/>
  <c r="AR881" i="1"/>
  <c r="Z883" i="1"/>
  <c r="AH883" i="1"/>
  <c r="AR883" i="1"/>
  <c r="AZ883" i="1"/>
  <c r="Z879" i="1"/>
  <c r="AH879" i="1"/>
  <c r="U669" i="1"/>
  <c r="W669" i="1"/>
  <c r="AA669" i="1"/>
  <c r="AC669" i="1"/>
  <c r="AE669" i="1"/>
  <c r="AK669" i="1"/>
  <c r="AM669" i="1"/>
  <c r="AO669" i="1"/>
  <c r="AS669" i="1"/>
  <c r="AU669" i="1"/>
  <c r="AW669" i="1"/>
  <c r="AY668" i="1"/>
  <c r="AX668" i="1"/>
  <c r="AV668" i="1"/>
  <c r="AT668" i="1"/>
  <c r="AQ668" i="1"/>
  <c r="AP668" i="1"/>
  <c r="AN668" i="1"/>
  <c r="AL668" i="1"/>
  <c r="AG668" i="1"/>
  <c r="AF668" i="1"/>
  <c r="AD668" i="1"/>
  <c r="AB668" i="1"/>
  <c r="X668" i="1"/>
  <c r="V668" i="1"/>
  <c r="AY582" i="1"/>
  <c r="AX582" i="1"/>
  <c r="AV582" i="1"/>
  <c r="AT582" i="1"/>
  <c r="AQ582" i="1"/>
  <c r="BA582" i="1" s="1"/>
  <c r="AP582" i="1"/>
  <c r="AN582" i="1"/>
  <c r="AL582" i="1"/>
  <c r="AG582" i="1"/>
  <c r="AF582" i="1"/>
  <c r="AD582" i="1"/>
  <c r="AB582" i="1"/>
  <c r="Y582" i="1"/>
  <c r="X582" i="1"/>
  <c r="V582" i="1"/>
  <c r="T582" i="1"/>
  <c r="AG1117" i="1"/>
  <c r="AY1110" i="1"/>
  <c r="AX1110" i="1"/>
  <c r="AV1110" i="1"/>
  <c r="AT1110" i="1"/>
  <c r="AQ1110" i="1"/>
  <c r="AP1110" i="1"/>
  <c r="AN1110" i="1"/>
  <c r="AL1110" i="1"/>
  <c r="AG1110" i="1"/>
  <c r="AF1110" i="1"/>
  <c r="AD1110" i="1"/>
  <c r="AB1110" i="1"/>
  <c r="Y1110" i="1"/>
  <c r="X1110" i="1"/>
  <c r="V1110" i="1"/>
  <c r="T1110" i="1"/>
  <c r="AY1109" i="1"/>
  <c r="AX1109" i="1"/>
  <c r="AV1109" i="1"/>
  <c r="AT1109" i="1"/>
  <c r="AQ1109" i="1"/>
  <c r="AP1109" i="1"/>
  <c r="AN1109" i="1"/>
  <c r="AL1109" i="1"/>
  <c r="AG1109" i="1"/>
  <c r="AF1109" i="1"/>
  <c r="AD1109" i="1"/>
  <c r="AB1109" i="1"/>
  <c r="Y1109" i="1"/>
  <c r="X1109" i="1"/>
  <c r="V1109" i="1"/>
  <c r="T1109" i="1"/>
  <c r="AY1114" i="1"/>
  <c r="AX1114" i="1"/>
  <c r="AV1114" i="1"/>
  <c r="AT1114" i="1"/>
  <c r="AQ1114" i="1"/>
  <c r="AP1114" i="1"/>
  <c r="AN1114" i="1"/>
  <c r="AL1114" i="1"/>
  <c r="AG1114" i="1"/>
  <c r="AF1114" i="1"/>
  <c r="AD1114" i="1"/>
  <c r="AB1114" i="1"/>
  <c r="Y1114" i="1"/>
  <c r="X1114" i="1"/>
  <c r="V1114" i="1"/>
  <c r="T1114" i="1"/>
  <c r="AY1111" i="1"/>
  <c r="AX1111" i="1"/>
  <c r="AV1111" i="1"/>
  <c r="AT1111" i="1"/>
  <c r="AQ1111" i="1"/>
  <c r="AP1111" i="1"/>
  <c r="AN1111" i="1"/>
  <c r="AL1111" i="1"/>
  <c r="AG1111" i="1"/>
  <c r="AF1111" i="1"/>
  <c r="AD1111" i="1"/>
  <c r="AB1111" i="1"/>
  <c r="Y1111" i="1"/>
  <c r="X1111" i="1"/>
  <c r="V1111" i="1"/>
  <c r="T1111" i="1"/>
  <c r="AX1064" i="1"/>
  <c r="AV1064" i="1"/>
  <c r="AT1064" i="1"/>
  <c r="AQ1064" i="1"/>
  <c r="AP1064" i="1"/>
  <c r="AN1064" i="1"/>
  <c r="AL1064" i="1"/>
  <c r="AG1064" i="1"/>
  <c r="AF1064" i="1"/>
  <c r="AD1064" i="1"/>
  <c r="AB1064" i="1"/>
  <c r="Y1064" i="1"/>
  <c r="X1064" i="1"/>
  <c r="V1064" i="1"/>
  <c r="T1064" i="1"/>
  <c r="AY1068" i="1"/>
  <c r="AX1068" i="1"/>
  <c r="AV1068" i="1"/>
  <c r="AT1068" i="1"/>
  <c r="AQ1068" i="1"/>
  <c r="AP1068" i="1"/>
  <c r="AN1068" i="1"/>
  <c r="AL1068" i="1"/>
  <c r="AG1068" i="1"/>
  <c r="AF1068" i="1"/>
  <c r="AD1068" i="1"/>
  <c r="AB1068" i="1"/>
  <c r="Y1068" i="1"/>
  <c r="X1068" i="1"/>
  <c r="V1068" i="1"/>
  <c r="T1068" i="1"/>
  <c r="AY1067" i="1"/>
  <c r="AX1067" i="1"/>
  <c r="AV1067" i="1"/>
  <c r="AT1067" i="1"/>
  <c r="AP1067" i="1"/>
  <c r="AN1067" i="1"/>
  <c r="AL1067" i="1"/>
  <c r="AG1067" i="1"/>
  <c r="AF1067" i="1"/>
  <c r="AD1067" i="1"/>
  <c r="AB1067" i="1"/>
  <c r="Y1067" i="1"/>
  <c r="X1067" i="1"/>
  <c r="V1067" i="1"/>
  <c r="T1067" i="1"/>
  <c r="AY1063" i="1"/>
  <c r="AX1063" i="1"/>
  <c r="AV1063" i="1"/>
  <c r="AT1063" i="1"/>
  <c r="AQ1063" i="1"/>
  <c r="AP1063" i="1"/>
  <c r="AN1063" i="1"/>
  <c r="AL1063" i="1"/>
  <c r="AG1063" i="1"/>
  <c r="AF1063" i="1"/>
  <c r="AD1063" i="1"/>
  <c r="AB1063" i="1"/>
  <c r="Y1063" i="1"/>
  <c r="X1063" i="1"/>
  <c r="V1063" i="1"/>
  <c r="T1063" i="1"/>
  <c r="AY1062" i="1"/>
  <c r="AX1062" i="1"/>
  <c r="AV1062" i="1"/>
  <c r="AT1062" i="1"/>
  <c r="AQ1062" i="1"/>
  <c r="AP1062" i="1"/>
  <c r="AN1062" i="1"/>
  <c r="AL1062" i="1"/>
  <c r="AG1062" i="1"/>
  <c r="AF1062" i="1"/>
  <c r="AD1062" i="1"/>
  <c r="AB1062" i="1"/>
  <c r="Y1062" i="1"/>
  <c r="X1062" i="1"/>
  <c r="V1062" i="1"/>
  <c r="T1062" i="1"/>
  <c r="AY1061" i="1"/>
  <c r="AX1061" i="1"/>
  <c r="AV1061" i="1"/>
  <c r="AT1061" i="1"/>
  <c r="AQ1061" i="1"/>
  <c r="AP1061" i="1"/>
  <c r="AN1061" i="1"/>
  <c r="AL1061" i="1"/>
  <c r="AG1061" i="1"/>
  <c r="AF1061" i="1"/>
  <c r="AD1061" i="1"/>
  <c r="AB1061" i="1"/>
  <c r="Y1061" i="1"/>
  <c r="X1061" i="1"/>
  <c r="V1061" i="1"/>
  <c r="T1061" i="1"/>
  <c r="AF939" i="1"/>
  <c r="AY939" i="1"/>
  <c r="AX939" i="1"/>
  <c r="AV939" i="1"/>
  <c r="AT939" i="1"/>
  <c r="AQ939" i="1"/>
  <c r="AP939" i="1"/>
  <c r="AN939" i="1"/>
  <c r="AL939" i="1"/>
  <c r="AG939" i="1"/>
  <c r="AD939" i="1"/>
  <c r="AB939" i="1"/>
  <c r="Y939" i="1"/>
  <c r="X939" i="1"/>
  <c r="V939" i="1"/>
  <c r="T939" i="1"/>
  <c r="AG1091" i="1"/>
  <c r="AG1092" i="1"/>
  <c r="AY1091" i="1"/>
  <c r="AX1091" i="1"/>
  <c r="AV1091" i="1"/>
  <c r="AT1091" i="1"/>
  <c r="AQ1091" i="1"/>
  <c r="AP1091" i="1"/>
  <c r="AN1091" i="1"/>
  <c r="AL1091" i="1"/>
  <c r="AF1091" i="1"/>
  <c r="AD1091" i="1"/>
  <c r="AB1091" i="1"/>
  <c r="Y1091" i="1"/>
  <c r="X1091" i="1"/>
  <c r="V1091" i="1"/>
  <c r="T1091" i="1"/>
  <c r="AY379" i="1"/>
  <c r="AX379" i="1"/>
  <c r="AV379" i="1"/>
  <c r="AT379" i="1"/>
  <c r="AQ379" i="1"/>
  <c r="AP379" i="1"/>
  <c r="AN379" i="1"/>
  <c r="AL379" i="1"/>
  <c r="AG379" i="1"/>
  <c r="AF379" i="1"/>
  <c r="AD379" i="1"/>
  <c r="AB379" i="1"/>
  <c r="X379" i="1"/>
  <c r="V379" i="1"/>
  <c r="AY380" i="1"/>
  <c r="AX380" i="1"/>
  <c r="AV380" i="1"/>
  <c r="AT380" i="1"/>
  <c r="AQ380" i="1"/>
  <c r="AP380" i="1"/>
  <c r="AN380" i="1"/>
  <c r="AL380" i="1"/>
  <c r="AG380" i="1"/>
  <c r="AF380" i="1"/>
  <c r="AD380" i="1"/>
  <c r="AB380" i="1"/>
  <c r="X380" i="1"/>
  <c r="V380" i="1"/>
  <c r="BA1109" i="1" l="1"/>
  <c r="BA1068" i="1"/>
  <c r="BA1091" i="1"/>
  <c r="BA1062" i="1"/>
  <c r="AI582" i="1"/>
  <c r="Q582" i="1" s="1"/>
  <c r="Z1064" i="1"/>
  <c r="BA1111" i="1"/>
  <c r="BA1110" i="1"/>
  <c r="AI1109" i="1"/>
  <c r="Q1109" i="1" s="1"/>
  <c r="AI1114" i="1"/>
  <c r="AI1062" i="1"/>
  <c r="Q881" i="1"/>
  <c r="BA379" i="1"/>
  <c r="BB874" i="1"/>
  <c r="Z1068" i="1"/>
  <c r="AZ1114" i="1"/>
  <c r="AH1109" i="1"/>
  <c r="AJ874" i="1"/>
  <c r="R874" i="1" s="1"/>
  <c r="R664" i="1"/>
  <c r="AZ668" i="1"/>
  <c r="BA1114" i="1"/>
  <c r="BA668" i="1"/>
  <c r="AZ1109" i="1"/>
  <c r="AJ881" i="1"/>
  <c r="AH1091" i="1"/>
  <c r="Z1061" i="1"/>
  <c r="Z1062" i="1"/>
  <c r="Z1063" i="1"/>
  <c r="Z1067" i="1"/>
  <c r="AR1109" i="1"/>
  <c r="AR1110" i="1"/>
  <c r="AR668" i="1"/>
  <c r="BA939" i="1"/>
  <c r="BB879" i="1"/>
  <c r="BB883" i="1"/>
  <c r="AR1064" i="1"/>
  <c r="Q879" i="1"/>
  <c r="BB881" i="1"/>
  <c r="AJ883" i="1"/>
  <c r="AJ879" i="1"/>
  <c r="AH668" i="1"/>
  <c r="Z1091" i="1"/>
  <c r="AZ1064" i="1"/>
  <c r="Z1111" i="1"/>
  <c r="AZ1111" i="1"/>
  <c r="AI1110" i="1"/>
  <c r="AR582" i="1"/>
  <c r="AZ582" i="1"/>
  <c r="BA1061" i="1"/>
  <c r="BA1063" i="1"/>
  <c r="AZ1110" i="1"/>
  <c r="AI1064" i="1"/>
  <c r="AR379" i="1"/>
  <c r="AZ379" i="1"/>
  <c r="AZ1091" i="1"/>
  <c r="BA1064" i="1"/>
  <c r="AI1111" i="1"/>
  <c r="AH582" i="1"/>
  <c r="Z582" i="1"/>
  <c r="AH1111" i="1"/>
  <c r="AH1110" i="1"/>
  <c r="Z1114" i="1"/>
  <c r="Z1109" i="1"/>
  <c r="Z1110" i="1"/>
  <c r="BA380" i="1"/>
  <c r="AR1111" i="1"/>
  <c r="AH1114" i="1"/>
  <c r="AR1114" i="1"/>
  <c r="AI1068" i="1"/>
  <c r="AR1062" i="1"/>
  <c r="AZ1062" i="1"/>
  <c r="AR1068" i="1"/>
  <c r="AZ1068" i="1"/>
  <c r="AR380" i="1"/>
  <c r="AH1068" i="1"/>
  <c r="AH1063" i="1"/>
  <c r="AI1067" i="1"/>
  <c r="AH1064" i="1"/>
  <c r="AI1063" i="1"/>
  <c r="AH1062" i="1"/>
  <c r="AI1061" i="1"/>
  <c r="AH1061" i="1"/>
  <c r="AR1091" i="1"/>
  <c r="AR1063" i="1"/>
  <c r="AZ1063" i="1"/>
  <c r="BA1067" i="1"/>
  <c r="AI939" i="1"/>
  <c r="AR1061" i="1"/>
  <c r="AZ1061" i="1"/>
  <c r="AH1067" i="1"/>
  <c r="AR1067" i="1"/>
  <c r="AZ1067" i="1"/>
  <c r="Z939" i="1"/>
  <c r="AH939" i="1"/>
  <c r="AR939" i="1"/>
  <c r="AZ939" i="1"/>
  <c r="AI1091" i="1"/>
  <c r="AZ380" i="1"/>
  <c r="AH379" i="1"/>
  <c r="AH380" i="1"/>
  <c r="AY593" i="1"/>
  <c r="AX593" i="1"/>
  <c r="AV593" i="1"/>
  <c r="AT593" i="1"/>
  <c r="AQ593" i="1"/>
  <c r="AP593" i="1"/>
  <c r="AN593" i="1"/>
  <c r="AL593" i="1"/>
  <c r="AG593" i="1"/>
  <c r="AF593" i="1"/>
  <c r="AD593" i="1"/>
  <c r="AB593" i="1"/>
  <c r="Y593" i="1"/>
  <c r="X593" i="1"/>
  <c r="V593" i="1"/>
  <c r="T593" i="1"/>
  <c r="AG1089" i="1"/>
  <c r="U834" i="1"/>
  <c r="W834" i="1"/>
  <c r="AA834" i="1"/>
  <c r="AC834" i="1"/>
  <c r="AE834" i="1"/>
  <c r="AK834" i="1"/>
  <c r="AM834" i="1"/>
  <c r="AO834" i="1"/>
  <c r="AS834" i="1"/>
  <c r="AU834" i="1"/>
  <c r="AW834" i="1"/>
  <c r="S834" i="1"/>
  <c r="AY832" i="1"/>
  <c r="AX832" i="1"/>
  <c r="AV832" i="1"/>
  <c r="AT832" i="1"/>
  <c r="AQ832" i="1"/>
  <c r="AP832" i="1"/>
  <c r="AN832" i="1"/>
  <c r="AL832" i="1"/>
  <c r="AG832" i="1"/>
  <c r="AF832" i="1"/>
  <c r="AD832" i="1"/>
  <c r="AB832" i="1"/>
  <c r="Y832" i="1"/>
  <c r="X832" i="1"/>
  <c r="V832" i="1"/>
  <c r="T832" i="1"/>
  <c r="AY833" i="1"/>
  <c r="AX833" i="1"/>
  <c r="AV833" i="1"/>
  <c r="AT833" i="1"/>
  <c r="AQ833" i="1"/>
  <c r="AP833" i="1"/>
  <c r="AN833" i="1"/>
  <c r="AL833" i="1"/>
  <c r="AG833" i="1"/>
  <c r="AF833" i="1"/>
  <c r="AD833" i="1"/>
  <c r="AB833" i="1"/>
  <c r="Y833" i="1"/>
  <c r="X833" i="1"/>
  <c r="V833" i="1"/>
  <c r="T833" i="1"/>
  <c r="AY811" i="1"/>
  <c r="AX811" i="1"/>
  <c r="AV811" i="1"/>
  <c r="AT811" i="1"/>
  <c r="AQ811" i="1"/>
  <c r="AP811" i="1"/>
  <c r="AN811" i="1"/>
  <c r="AL811" i="1"/>
  <c r="AG811" i="1"/>
  <c r="AF811" i="1"/>
  <c r="AD811" i="1"/>
  <c r="AB811" i="1"/>
  <c r="Y811" i="1"/>
  <c r="X811" i="1"/>
  <c r="V811" i="1"/>
  <c r="T811" i="1"/>
  <c r="AD1151" i="1"/>
  <c r="AD1154" i="1" s="1"/>
  <c r="AY1151" i="1"/>
  <c r="AY1154" i="1" s="1"/>
  <c r="AX1151" i="1"/>
  <c r="AX1154" i="1" s="1"/>
  <c r="AV1151" i="1"/>
  <c r="AV1154" i="1" s="1"/>
  <c r="AT1151" i="1"/>
  <c r="AT1154" i="1" s="1"/>
  <c r="AQ1151" i="1"/>
  <c r="AP1151" i="1"/>
  <c r="AP1154" i="1" s="1"/>
  <c r="AN1151" i="1"/>
  <c r="AN1154" i="1" s="1"/>
  <c r="AL1151" i="1"/>
  <c r="AL1154" i="1" s="1"/>
  <c r="AG1151" i="1"/>
  <c r="AG1154" i="1" s="1"/>
  <c r="AF1151" i="1"/>
  <c r="AF1154" i="1" s="1"/>
  <c r="AB1151" i="1"/>
  <c r="AB1154" i="1" s="1"/>
  <c r="Y1151" i="1"/>
  <c r="X1151" i="1"/>
  <c r="X1154" i="1" s="1"/>
  <c r="V1151" i="1"/>
  <c r="V1154" i="1" s="1"/>
  <c r="T1151" i="1"/>
  <c r="T1154" i="1" s="1"/>
  <c r="Q1068" i="1" l="1"/>
  <c r="Q1091" i="1"/>
  <c r="Q1062" i="1"/>
  <c r="Q1110" i="1"/>
  <c r="Q1111" i="1"/>
  <c r="BB668" i="1"/>
  <c r="Q1114" i="1"/>
  <c r="AI832" i="1"/>
  <c r="AJ1064" i="1"/>
  <c r="BB1111" i="1"/>
  <c r="AJ1091" i="1"/>
  <c r="AJ1109" i="1"/>
  <c r="BA811" i="1"/>
  <c r="BA833" i="1"/>
  <c r="AJ1111" i="1"/>
  <c r="AJ1068" i="1"/>
  <c r="BB1114" i="1"/>
  <c r="BB1110" i="1"/>
  <c r="AJ1062" i="1"/>
  <c r="BB1109" i="1"/>
  <c r="AJ1063" i="1"/>
  <c r="AJ1110" i="1"/>
  <c r="BB379" i="1"/>
  <c r="Q939" i="1"/>
  <c r="BB1091" i="1"/>
  <c r="AJ1067" i="1"/>
  <c r="AJ1061" i="1"/>
  <c r="Q1067" i="1"/>
  <c r="AI1151" i="1"/>
  <c r="AI1154" i="1" s="1"/>
  <c r="Y1154" i="1"/>
  <c r="BB1064" i="1"/>
  <c r="BA1151" i="1"/>
  <c r="BA1154" i="1" s="1"/>
  <c r="AQ1154" i="1"/>
  <c r="R879" i="1"/>
  <c r="BB380" i="1"/>
  <c r="R883" i="1"/>
  <c r="Q1063" i="1"/>
  <c r="Q1061" i="1"/>
  <c r="R881" i="1"/>
  <c r="AJ582" i="1"/>
  <c r="BB582" i="1"/>
  <c r="AZ832" i="1"/>
  <c r="Q1064" i="1"/>
  <c r="Z1151" i="1"/>
  <c r="Z1154" i="1" s="1"/>
  <c r="BB1061" i="1"/>
  <c r="BA832" i="1"/>
  <c r="AR832" i="1"/>
  <c r="AJ1114" i="1"/>
  <c r="AI811" i="1"/>
  <c r="BB1062" i="1"/>
  <c r="BB1068" i="1"/>
  <c r="BB1067" i="1"/>
  <c r="BB1063" i="1"/>
  <c r="AH832" i="1"/>
  <c r="AJ939" i="1"/>
  <c r="BB939" i="1"/>
  <c r="AI593" i="1"/>
  <c r="BA593" i="1"/>
  <c r="AR593" i="1"/>
  <c r="AZ593" i="1"/>
  <c r="AI833" i="1"/>
  <c r="AH593" i="1"/>
  <c r="Z593" i="1"/>
  <c r="Z832" i="1"/>
  <c r="Z833" i="1"/>
  <c r="AH833" i="1"/>
  <c r="AR833" i="1"/>
  <c r="AZ833" i="1"/>
  <c r="AR811" i="1"/>
  <c r="AZ811" i="1"/>
  <c r="Z811" i="1"/>
  <c r="AH811" i="1"/>
  <c r="AH1151" i="1"/>
  <c r="AH1154" i="1" s="1"/>
  <c r="AR1151" i="1"/>
  <c r="AR1154" i="1" s="1"/>
  <c r="AZ1151" i="1"/>
  <c r="AZ1154" i="1" s="1"/>
  <c r="AY758" i="1"/>
  <c r="AX758" i="1"/>
  <c r="AV758" i="1"/>
  <c r="AT758" i="1"/>
  <c r="AQ758" i="1"/>
  <c r="AP758" i="1"/>
  <c r="AN758" i="1"/>
  <c r="AL758" i="1"/>
  <c r="AG758" i="1"/>
  <c r="AF758" i="1"/>
  <c r="AD758" i="1"/>
  <c r="AB758" i="1"/>
  <c r="X758" i="1"/>
  <c r="V758" i="1"/>
  <c r="AY601" i="1"/>
  <c r="AX601" i="1"/>
  <c r="AV601" i="1"/>
  <c r="AT601" i="1"/>
  <c r="AQ601" i="1"/>
  <c r="AP601" i="1"/>
  <c r="AN601" i="1"/>
  <c r="AL601" i="1"/>
  <c r="AG601" i="1"/>
  <c r="AF601" i="1"/>
  <c r="AD601" i="1"/>
  <c r="AB601" i="1"/>
  <c r="Y601" i="1"/>
  <c r="X601" i="1"/>
  <c r="V601" i="1"/>
  <c r="T601" i="1"/>
  <c r="AY577" i="1"/>
  <c r="AX577" i="1"/>
  <c r="AV577" i="1"/>
  <c r="AT577" i="1"/>
  <c r="AQ577" i="1"/>
  <c r="AP577" i="1"/>
  <c r="AN577" i="1"/>
  <c r="AL577" i="1"/>
  <c r="AG577" i="1"/>
  <c r="AF577" i="1"/>
  <c r="AD577" i="1"/>
  <c r="AB577" i="1"/>
  <c r="Y577" i="1"/>
  <c r="X577" i="1"/>
  <c r="V577" i="1"/>
  <c r="T577" i="1"/>
  <c r="AY576" i="1"/>
  <c r="AX576" i="1"/>
  <c r="AV576" i="1"/>
  <c r="AT576" i="1"/>
  <c r="AQ576" i="1"/>
  <c r="AP576" i="1"/>
  <c r="AN576" i="1"/>
  <c r="AL576" i="1"/>
  <c r="AG576" i="1"/>
  <c r="AF576" i="1"/>
  <c r="AD576" i="1"/>
  <c r="AB576" i="1"/>
  <c r="Y576" i="1"/>
  <c r="X576" i="1"/>
  <c r="V576" i="1"/>
  <c r="T576" i="1"/>
  <c r="AY579" i="1"/>
  <c r="AX579" i="1"/>
  <c r="AV579" i="1"/>
  <c r="AT579" i="1"/>
  <c r="AQ579" i="1"/>
  <c r="AP579" i="1"/>
  <c r="AN579" i="1"/>
  <c r="AL579" i="1"/>
  <c r="AG579" i="1"/>
  <c r="AF579" i="1"/>
  <c r="AD579" i="1"/>
  <c r="AB579" i="1"/>
  <c r="Y579" i="1"/>
  <c r="X579" i="1"/>
  <c r="V579" i="1"/>
  <c r="T579" i="1"/>
  <c r="AY578" i="1"/>
  <c r="AX578" i="1"/>
  <c r="AV578" i="1"/>
  <c r="AT578" i="1"/>
  <c r="AQ578" i="1"/>
  <c r="AP578" i="1"/>
  <c r="AN578" i="1"/>
  <c r="AL578" i="1"/>
  <c r="AG578" i="1"/>
  <c r="AF578" i="1"/>
  <c r="AD578" i="1"/>
  <c r="AB578" i="1"/>
  <c r="Y578" i="1"/>
  <c r="X578" i="1"/>
  <c r="V578" i="1"/>
  <c r="T578" i="1"/>
  <c r="AY936" i="1"/>
  <c r="AX936" i="1"/>
  <c r="AV936" i="1"/>
  <c r="AT936" i="1"/>
  <c r="AQ936" i="1"/>
  <c r="AP936" i="1"/>
  <c r="AN936" i="1"/>
  <c r="AL936" i="1"/>
  <c r="AG936" i="1"/>
  <c r="AF936" i="1"/>
  <c r="AD936" i="1"/>
  <c r="AB936" i="1"/>
  <c r="Y936" i="1"/>
  <c r="X936" i="1"/>
  <c r="V936" i="1"/>
  <c r="T936" i="1"/>
  <c r="AY929" i="1"/>
  <c r="AX929" i="1"/>
  <c r="AV929" i="1"/>
  <c r="AT929" i="1"/>
  <c r="AQ929" i="1"/>
  <c r="AP929" i="1"/>
  <c r="AN929" i="1"/>
  <c r="AL929" i="1"/>
  <c r="AG929" i="1"/>
  <c r="AF929" i="1"/>
  <c r="AD929" i="1"/>
  <c r="AB929" i="1"/>
  <c r="Y929" i="1"/>
  <c r="X929" i="1"/>
  <c r="V929" i="1"/>
  <c r="T929" i="1"/>
  <c r="AY920" i="1"/>
  <c r="AX920" i="1"/>
  <c r="AV920" i="1"/>
  <c r="AT920" i="1"/>
  <c r="AQ920" i="1"/>
  <c r="AP920" i="1"/>
  <c r="AN920" i="1"/>
  <c r="AL920" i="1"/>
  <c r="AG920" i="1"/>
  <c r="AF920" i="1"/>
  <c r="AD920" i="1"/>
  <c r="AB920" i="1"/>
  <c r="Y920" i="1"/>
  <c r="X920" i="1"/>
  <c r="V920" i="1"/>
  <c r="T920" i="1"/>
  <c r="R1064" i="1" l="1"/>
  <c r="Q832" i="1"/>
  <c r="R1111" i="1"/>
  <c r="BA601" i="1"/>
  <c r="R1091" i="1"/>
  <c r="R1109" i="1"/>
  <c r="R1068" i="1"/>
  <c r="Q811" i="1"/>
  <c r="BA577" i="1"/>
  <c r="R1110" i="1"/>
  <c r="Q833" i="1"/>
  <c r="R1062" i="1"/>
  <c r="BB832" i="1"/>
  <c r="R1063" i="1"/>
  <c r="R1114" i="1"/>
  <c r="Q1151" i="1"/>
  <c r="Q1154" i="1" s="1"/>
  <c r="R1061" i="1"/>
  <c r="R1067" i="1"/>
  <c r="R582" i="1"/>
  <c r="AI576" i="1"/>
  <c r="BA936" i="1"/>
  <c r="BA758" i="1"/>
  <c r="BA578" i="1"/>
  <c r="BA576" i="1"/>
  <c r="R939" i="1"/>
  <c r="BB833" i="1"/>
  <c r="BA920" i="1"/>
  <c r="BA929" i="1"/>
  <c r="BB593" i="1"/>
  <c r="Q593" i="1"/>
  <c r="AJ593" i="1"/>
  <c r="AI936" i="1"/>
  <c r="AI929" i="1"/>
  <c r="AJ832" i="1"/>
  <c r="AJ833" i="1"/>
  <c r="BB811" i="1"/>
  <c r="AJ811" i="1"/>
  <c r="AJ1151" i="1"/>
  <c r="AJ1154" i="1" s="1"/>
  <c r="BA579" i="1"/>
  <c r="AH920" i="1"/>
  <c r="AZ920" i="1"/>
  <c r="AH929" i="1"/>
  <c r="AZ929" i="1"/>
  <c r="AZ936" i="1"/>
  <c r="Z920" i="1"/>
  <c r="AR920" i="1"/>
  <c r="Z929" i="1"/>
  <c r="AR929" i="1"/>
  <c r="Z936" i="1"/>
  <c r="AR936" i="1"/>
  <c r="AR601" i="1"/>
  <c r="AZ601" i="1"/>
  <c r="BB1151" i="1"/>
  <c r="BB1154" i="1" s="1"/>
  <c r="AH758" i="1"/>
  <c r="AR758" i="1"/>
  <c r="AZ758" i="1"/>
  <c r="AH936" i="1"/>
  <c r="AI601" i="1"/>
  <c r="AH601" i="1"/>
  <c r="Z601" i="1"/>
  <c r="AI577" i="1"/>
  <c r="Z578" i="1"/>
  <c r="AH578" i="1"/>
  <c r="AR578" i="1"/>
  <c r="AZ578" i="1"/>
  <c r="Z579" i="1"/>
  <c r="Z576" i="1"/>
  <c r="AR576" i="1"/>
  <c r="AZ576" i="1"/>
  <c r="Z577" i="1"/>
  <c r="AR577" i="1"/>
  <c r="AZ577" i="1"/>
  <c r="AI579" i="1"/>
  <c r="AI578" i="1"/>
  <c r="AH579" i="1"/>
  <c r="AH577" i="1"/>
  <c r="AH576" i="1"/>
  <c r="AR579" i="1"/>
  <c r="AZ579" i="1"/>
  <c r="AI920" i="1"/>
  <c r="AJ936" i="1" l="1"/>
  <c r="Q601" i="1"/>
  <c r="Q920" i="1"/>
  <c r="Q577" i="1"/>
  <c r="Q576" i="1"/>
  <c r="Q936" i="1"/>
  <c r="Q578" i="1"/>
  <c r="R833" i="1"/>
  <c r="R811" i="1"/>
  <c r="Q929" i="1"/>
  <c r="R593" i="1"/>
  <c r="BB929" i="1"/>
  <c r="R832" i="1"/>
  <c r="AJ929" i="1"/>
  <c r="R1151" i="1"/>
  <c r="R1154" i="1" s="1"/>
  <c r="Q579" i="1"/>
  <c r="BB920" i="1"/>
  <c r="BB936" i="1"/>
  <c r="AJ920" i="1"/>
  <c r="BB578" i="1"/>
  <c r="BB601" i="1"/>
  <c r="BB758" i="1"/>
  <c r="AJ579" i="1"/>
  <c r="AJ578" i="1"/>
  <c r="AJ576" i="1"/>
  <c r="AJ601" i="1"/>
  <c r="BB579" i="1"/>
  <c r="BB576" i="1"/>
  <c r="AJ577" i="1"/>
  <c r="BB577" i="1"/>
  <c r="AY730" i="1"/>
  <c r="AX730" i="1"/>
  <c r="AV730" i="1"/>
  <c r="AT730" i="1"/>
  <c r="AQ730" i="1"/>
  <c r="AP730" i="1"/>
  <c r="AN730" i="1"/>
  <c r="AL730" i="1"/>
  <c r="AG730" i="1"/>
  <c r="AF730" i="1"/>
  <c r="AD730" i="1"/>
  <c r="AB730" i="1"/>
  <c r="Y730" i="1"/>
  <c r="X730" i="1"/>
  <c r="V730" i="1"/>
  <c r="T730" i="1"/>
  <c r="AY1087" i="1"/>
  <c r="AX1087" i="1"/>
  <c r="AV1087" i="1"/>
  <c r="AT1087" i="1"/>
  <c r="AQ1087" i="1"/>
  <c r="AP1087" i="1"/>
  <c r="AN1087" i="1"/>
  <c r="AL1087" i="1"/>
  <c r="AG1087" i="1"/>
  <c r="AF1087" i="1"/>
  <c r="AD1087" i="1"/>
  <c r="AB1087" i="1"/>
  <c r="Y1087" i="1"/>
  <c r="X1087" i="1"/>
  <c r="V1087" i="1"/>
  <c r="T1087" i="1"/>
  <c r="AY1060" i="1"/>
  <c r="AX1060" i="1"/>
  <c r="AV1060" i="1"/>
  <c r="AT1060" i="1"/>
  <c r="AQ1060" i="1"/>
  <c r="AP1060" i="1"/>
  <c r="AN1060" i="1"/>
  <c r="AL1060" i="1"/>
  <c r="AG1060" i="1"/>
  <c r="AF1060" i="1"/>
  <c r="AD1060" i="1"/>
  <c r="AB1060" i="1"/>
  <c r="Y1060" i="1"/>
  <c r="X1060" i="1"/>
  <c r="V1060" i="1"/>
  <c r="T1060" i="1"/>
  <c r="AY166" i="1"/>
  <c r="AX166" i="1"/>
  <c r="AV166" i="1"/>
  <c r="AT166" i="1"/>
  <c r="AQ166" i="1"/>
  <c r="AP166" i="1"/>
  <c r="AN166" i="1"/>
  <c r="AL166" i="1"/>
  <c r="AG166" i="1"/>
  <c r="AF166" i="1"/>
  <c r="AD166" i="1"/>
  <c r="AB166" i="1"/>
  <c r="X166" i="1"/>
  <c r="V166" i="1"/>
  <c r="AY449" i="1"/>
  <c r="AX449" i="1"/>
  <c r="AV449" i="1"/>
  <c r="AT449" i="1"/>
  <c r="AQ449" i="1"/>
  <c r="AP449" i="1"/>
  <c r="AN449" i="1"/>
  <c r="AL449" i="1"/>
  <c r="AG449" i="1"/>
  <c r="AF449" i="1"/>
  <c r="AD449" i="1"/>
  <c r="AB449" i="1"/>
  <c r="X449" i="1"/>
  <c r="V449" i="1"/>
  <c r="AI1087" i="1" l="1"/>
  <c r="BA1087" i="1"/>
  <c r="R936" i="1"/>
  <c r="BA1060" i="1"/>
  <c r="R579" i="1"/>
  <c r="BA730" i="1"/>
  <c r="AI730" i="1"/>
  <c r="R929" i="1"/>
  <c r="R920" i="1"/>
  <c r="R578" i="1"/>
  <c r="R601" i="1"/>
  <c r="BA449" i="1"/>
  <c r="AI1060" i="1"/>
  <c r="R576" i="1"/>
  <c r="Z1087" i="1"/>
  <c r="AR1087" i="1"/>
  <c r="AZ1087" i="1"/>
  <c r="AH730" i="1"/>
  <c r="AR730" i="1"/>
  <c r="AZ730" i="1"/>
  <c r="R577" i="1"/>
  <c r="BA166" i="1"/>
  <c r="AH1060" i="1"/>
  <c r="AH1087" i="1"/>
  <c r="Z730" i="1"/>
  <c r="AR1060" i="1"/>
  <c r="AZ1060" i="1"/>
  <c r="Z1060" i="1"/>
  <c r="AR449" i="1"/>
  <c r="AZ449" i="1"/>
  <c r="AH449" i="1"/>
  <c r="AH166" i="1"/>
  <c r="AR166" i="1"/>
  <c r="AZ166" i="1"/>
  <c r="U537" i="1"/>
  <c r="W537" i="1"/>
  <c r="AA537" i="1"/>
  <c r="AC537" i="1"/>
  <c r="AE537" i="1"/>
  <c r="AK537" i="1"/>
  <c r="AM537" i="1"/>
  <c r="AO537" i="1"/>
  <c r="AS537" i="1"/>
  <c r="AU537" i="1"/>
  <c r="AW537" i="1"/>
  <c r="AY536" i="1"/>
  <c r="AX536" i="1"/>
  <c r="AV536" i="1"/>
  <c r="AT536" i="1"/>
  <c r="AQ536" i="1"/>
  <c r="AP536" i="1"/>
  <c r="AN536" i="1"/>
  <c r="AL536" i="1"/>
  <c r="AG536" i="1"/>
  <c r="AF536" i="1"/>
  <c r="AD536" i="1"/>
  <c r="AB536" i="1"/>
  <c r="X536" i="1"/>
  <c r="V536" i="1"/>
  <c r="AY661" i="1"/>
  <c r="AX661" i="1"/>
  <c r="AV661" i="1"/>
  <c r="AT661" i="1"/>
  <c r="AQ661" i="1"/>
  <c r="AP661" i="1"/>
  <c r="AN661" i="1"/>
  <c r="AL661" i="1"/>
  <c r="AG661" i="1"/>
  <c r="AF661" i="1"/>
  <c r="AD661" i="1"/>
  <c r="AB661" i="1"/>
  <c r="Y661" i="1"/>
  <c r="X661" i="1"/>
  <c r="V661" i="1"/>
  <c r="T661" i="1"/>
  <c r="AY733" i="1"/>
  <c r="AX733" i="1"/>
  <c r="AV733" i="1"/>
  <c r="AT733" i="1"/>
  <c r="AY1028" i="1"/>
  <c r="AX1028" i="1"/>
  <c r="AV1028" i="1"/>
  <c r="AT1028" i="1"/>
  <c r="AQ1028" i="1"/>
  <c r="BA1028" i="1" s="1"/>
  <c r="AP1028" i="1"/>
  <c r="AN1028" i="1"/>
  <c r="AL1028" i="1"/>
  <c r="AG1028" i="1"/>
  <c r="AF1028" i="1"/>
  <c r="AD1028" i="1"/>
  <c r="AB1028" i="1"/>
  <c r="Y1028" i="1"/>
  <c r="X1028" i="1"/>
  <c r="V1028" i="1"/>
  <c r="T1028" i="1"/>
  <c r="AY1102" i="1"/>
  <c r="AX1102" i="1"/>
  <c r="AV1102" i="1"/>
  <c r="AT1102" i="1"/>
  <c r="AQ1102" i="1"/>
  <c r="AP1102" i="1"/>
  <c r="AN1102" i="1"/>
  <c r="AL1102" i="1"/>
  <c r="AG1102" i="1"/>
  <c r="AF1102" i="1"/>
  <c r="AD1102" i="1"/>
  <c r="AB1102" i="1"/>
  <c r="Y1102" i="1"/>
  <c r="X1102" i="1"/>
  <c r="V1102" i="1"/>
  <c r="T1102" i="1"/>
  <c r="AY802" i="1"/>
  <c r="AX802" i="1"/>
  <c r="AV802" i="1"/>
  <c r="AT802" i="1"/>
  <c r="AQ802" i="1"/>
  <c r="AP802" i="1"/>
  <c r="AN802" i="1"/>
  <c r="AL802" i="1"/>
  <c r="AG802" i="1"/>
  <c r="AF802" i="1"/>
  <c r="AD802" i="1"/>
  <c r="AB802" i="1"/>
  <c r="Y802" i="1"/>
  <c r="X802" i="1"/>
  <c r="V802" i="1"/>
  <c r="T802" i="1"/>
  <c r="AY347" i="1"/>
  <c r="AX347" i="1"/>
  <c r="AV347" i="1"/>
  <c r="AT347" i="1"/>
  <c r="AQ347" i="1"/>
  <c r="AP347" i="1"/>
  <c r="AN347" i="1"/>
  <c r="AL347" i="1"/>
  <c r="AG347" i="1"/>
  <c r="AF347" i="1"/>
  <c r="AD347" i="1"/>
  <c r="AB347" i="1"/>
  <c r="X347" i="1"/>
  <c r="V347" i="1"/>
  <c r="AY346" i="1"/>
  <c r="AX346" i="1"/>
  <c r="AV346" i="1"/>
  <c r="AT346" i="1"/>
  <c r="AQ346" i="1"/>
  <c r="AP346" i="1"/>
  <c r="AN346" i="1"/>
  <c r="AL346" i="1"/>
  <c r="AG346" i="1"/>
  <c r="AF346" i="1"/>
  <c r="AD346" i="1"/>
  <c r="AB346" i="1"/>
  <c r="X346" i="1"/>
  <c r="V346" i="1"/>
  <c r="Q1087" i="1" l="1"/>
  <c r="AI1028" i="1"/>
  <c r="Q1028" i="1" s="1"/>
  <c r="BA733" i="1"/>
  <c r="BA1102" i="1"/>
  <c r="Q1060" i="1"/>
  <c r="BA536" i="1"/>
  <c r="U355" i="1"/>
  <c r="AJ730" i="1"/>
  <c r="BA661" i="1"/>
  <c r="Q730" i="1"/>
  <c r="BA346" i="1"/>
  <c r="BA802" i="1"/>
  <c r="AI1102" i="1"/>
  <c r="BB730" i="1"/>
  <c r="AR802" i="1"/>
  <c r="BA347" i="1"/>
  <c r="Z1102" i="1"/>
  <c r="AR1102" i="1"/>
  <c r="AZ1102" i="1"/>
  <c r="AR1028" i="1"/>
  <c r="AZ1028" i="1"/>
  <c r="AR661" i="1"/>
  <c r="AZ661" i="1"/>
  <c r="AJ1087" i="1"/>
  <c r="AH536" i="1"/>
  <c r="AR536" i="1"/>
  <c r="AZ536" i="1"/>
  <c r="BB1087" i="1"/>
  <c r="BB1060" i="1"/>
  <c r="AH802" i="1"/>
  <c r="AI661" i="1"/>
  <c r="AI802" i="1"/>
  <c r="AJ1060" i="1"/>
  <c r="AH1102" i="1"/>
  <c r="AH1028" i="1"/>
  <c r="AH661" i="1"/>
  <c r="BB166" i="1"/>
  <c r="BB449" i="1"/>
  <c r="AH347" i="1"/>
  <c r="AZ733" i="1"/>
  <c r="AR347" i="1"/>
  <c r="Z661" i="1"/>
  <c r="Z1028" i="1"/>
  <c r="AZ347" i="1"/>
  <c r="AZ802" i="1"/>
  <c r="Z802" i="1"/>
  <c r="AH346" i="1"/>
  <c r="AR346" i="1"/>
  <c r="AZ346" i="1"/>
  <c r="V410" i="1"/>
  <c r="AY410" i="1"/>
  <c r="AX410" i="1"/>
  <c r="AV410" i="1"/>
  <c r="AT410" i="1"/>
  <c r="AQ410" i="1"/>
  <c r="AP410" i="1"/>
  <c r="AN410" i="1"/>
  <c r="AL410" i="1"/>
  <c r="AG410" i="1"/>
  <c r="AF410" i="1"/>
  <c r="AD410" i="1"/>
  <c r="AB410" i="1"/>
  <c r="X410" i="1"/>
  <c r="Q733" i="1" l="1"/>
  <c r="Q1102" i="1"/>
  <c r="R730" i="1"/>
  <c r="Q661" i="1"/>
  <c r="BA410" i="1"/>
  <c r="Q802" i="1"/>
  <c r="R1060" i="1"/>
  <c r="BB802" i="1"/>
  <c r="BB536" i="1"/>
  <c r="R1087" i="1"/>
  <c r="BB1102" i="1"/>
  <c r="AJ1028" i="1"/>
  <c r="AJ1102" i="1"/>
  <c r="BB1028" i="1"/>
  <c r="BB661" i="1"/>
  <c r="AJ802" i="1"/>
  <c r="AJ661" i="1"/>
  <c r="AH410" i="1"/>
  <c r="BB347" i="1"/>
  <c r="AR410" i="1"/>
  <c r="AZ410" i="1"/>
  <c r="BB733" i="1"/>
  <c r="BB346" i="1"/>
  <c r="R802" i="1" l="1"/>
  <c r="R661" i="1"/>
  <c r="R1102" i="1"/>
  <c r="R1028" i="1"/>
  <c r="BB410" i="1"/>
  <c r="R733" i="1"/>
  <c r="AY1037" i="1"/>
  <c r="AX1037" i="1"/>
  <c r="AV1037" i="1"/>
  <c r="AT1037" i="1"/>
  <c r="AQ1037" i="1"/>
  <c r="BA1037" i="1" s="1"/>
  <c r="AP1037" i="1"/>
  <c r="AN1037" i="1"/>
  <c r="AL1037" i="1"/>
  <c r="AG1037" i="1"/>
  <c r="AF1037" i="1"/>
  <c r="AD1037" i="1"/>
  <c r="AB1037" i="1"/>
  <c r="Y1037" i="1"/>
  <c r="AI1037" i="1" s="1"/>
  <c r="X1037" i="1"/>
  <c r="V1037" i="1"/>
  <c r="T1037" i="1"/>
  <c r="AY1034" i="1"/>
  <c r="AX1034" i="1"/>
  <c r="AV1034" i="1"/>
  <c r="AT1034" i="1"/>
  <c r="AQ1034" i="1"/>
  <c r="AP1034" i="1"/>
  <c r="AN1034" i="1"/>
  <c r="AL1034" i="1"/>
  <c r="AG1034" i="1"/>
  <c r="AF1034" i="1"/>
  <c r="AD1034" i="1"/>
  <c r="AB1034" i="1"/>
  <c r="Y1034" i="1"/>
  <c r="AI1034" i="1" s="1"/>
  <c r="X1034" i="1"/>
  <c r="V1034" i="1"/>
  <c r="T1034" i="1"/>
  <c r="BA1034" i="1" l="1"/>
  <c r="Q1034" i="1" s="1"/>
  <c r="Q1037" i="1"/>
  <c r="Z1034" i="1"/>
  <c r="Z1037" i="1"/>
  <c r="AR1037" i="1"/>
  <c r="AZ1037" i="1"/>
  <c r="AH1034" i="1"/>
  <c r="AH1037" i="1"/>
  <c r="AR1034" i="1"/>
  <c r="AZ1034" i="1"/>
  <c r="AY383" i="1"/>
  <c r="AX383" i="1"/>
  <c r="AV383" i="1"/>
  <c r="AT383" i="1"/>
  <c r="AQ383" i="1"/>
  <c r="AP383" i="1"/>
  <c r="AN383" i="1"/>
  <c r="AL383" i="1"/>
  <c r="AG383" i="1"/>
  <c r="AF383" i="1"/>
  <c r="AD383" i="1"/>
  <c r="AB383" i="1"/>
  <c r="X383" i="1"/>
  <c r="V383" i="1"/>
  <c r="AY384" i="1"/>
  <c r="AX384" i="1"/>
  <c r="AV384" i="1"/>
  <c r="AT384" i="1"/>
  <c r="AQ384" i="1"/>
  <c r="AP384" i="1"/>
  <c r="AN384" i="1"/>
  <c r="AL384" i="1"/>
  <c r="AG384" i="1"/>
  <c r="AF384" i="1"/>
  <c r="AD384" i="1"/>
  <c r="AB384" i="1"/>
  <c r="X384" i="1"/>
  <c r="V384" i="1"/>
  <c r="AY496" i="1"/>
  <c r="AX496" i="1"/>
  <c r="AV496" i="1"/>
  <c r="AT496" i="1"/>
  <c r="AQ496" i="1"/>
  <c r="AP496" i="1"/>
  <c r="AN496" i="1"/>
  <c r="AL496" i="1"/>
  <c r="AG496" i="1"/>
  <c r="AF496" i="1"/>
  <c r="AD496" i="1"/>
  <c r="AB496" i="1"/>
  <c r="X496" i="1"/>
  <c r="V496" i="1"/>
  <c r="AY252" i="1"/>
  <c r="AX252" i="1"/>
  <c r="AV252" i="1"/>
  <c r="AT252" i="1"/>
  <c r="AQ252" i="1"/>
  <c r="AP252" i="1"/>
  <c r="AN252" i="1"/>
  <c r="AL252" i="1"/>
  <c r="AG252" i="1"/>
  <c r="AF252" i="1"/>
  <c r="AD252" i="1"/>
  <c r="AB252" i="1"/>
  <c r="X252" i="1"/>
  <c r="V252" i="1"/>
  <c r="AY251" i="1"/>
  <c r="AX251" i="1"/>
  <c r="AV251" i="1"/>
  <c r="AT251" i="1"/>
  <c r="AQ251" i="1"/>
  <c r="AP251" i="1"/>
  <c r="AN251" i="1"/>
  <c r="AL251" i="1"/>
  <c r="AG251" i="1"/>
  <c r="AF251" i="1"/>
  <c r="AD251" i="1"/>
  <c r="AB251" i="1"/>
  <c r="X251" i="1"/>
  <c r="V251" i="1"/>
  <c r="AY250" i="1"/>
  <c r="AX250" i="1"/>
  <c r="AV250" i="1"/>
  <c r="AT250" i="1"/>
  <c r="AQ250" i="1"/>
  <c r="AP250" i="1"/>
  <c r="AN250" i="1"/>
  <c r="AL250" i="1"/>
  <c r="AG250" i="1"/>
  <c r="AF250" i="1"/>
  <c r="AD250" i="1"/>
  <c r="AB250" i="1"/>
  <c r="X250" i="1"/>
  <c r="V250" i="1"/>
  <c r="AY249" i="1"/>
  <c r="AX249" i="1"/>
  <c r="AV249" i="1"/>
  <c r="AT249" i="1"/>
  <c r="AQ249" i="1"/>
  <c r="AP249" i="1"/>
  <c r="AN249" i="1"/>
  <c r="AL249" i="1"/>
  <c r="AG249" i="1"/>
  <c r="AF249" i="1"/>
  <c r="AD249" i="1"/>
  <c r="AB249" i="1"/>
  <c r="X249" i="1"/>
  <c r="V249" i="1"/>
  <c r="AY246" i="1"/>
  <c r="AX246" i="1"/>
  <c r="AV246" i="1"/>
  <c r="AT246" i="1"/>
  <c r="AQ246" i="1"/>
  <c r="BA246" i="1" s="1"/>
  <c r="AP246" i="1"/>
  <c r="AN246" i="1"/>
  <c r="AL246" i="1"/>
  <c r="AG246" i="1"/>
  <c r="AF246" i="1"/>
  <c r="AD246" i="1"/>
  <c r="AB246" i="1"/>
  <c r="X246" i="1"/>
  <c r="V246" i="1"/>
  <c r="AY247" i="1"/>
  <c r="AX247" i="1"/>
  <c r="AV247" i="1"/>
  <c r="AT247" i="1"/>
  <c r="AQ247" i="1"/>
  <c r="AP247" i="1"/>
  <c r="AN247" i="1"/>
  <c r="AL247" i="1"/>
  <c r="AG247" i="1"/>
  <c r="AF247" i="1"/>
  <c r="AD247" i="1"/>
  <c r="AB247" i="1"/>
  <c r="X247" i="1"/>
  <c r="V247" i="1"/>
  <c r="AY160" i="1"/>
  <c r="AX160" i="1"/>
  <c r="AV160" i="1"/>
  <c r="AT160" i="1"/>
  <c r="AQ160" i="1"/>
  <c r="AP160" i="1"/>
  <c r="AN160" i="1"/>
  <c r="AL160" i="1"/>
  <c r="AG160" i="1"/>
  <c r="AF160" i="1"/>
  <c r="AD160" i="1"/>
  <c r="AB160" i="1"/>
  <c r="X160" i="1"/>
  <c r="V160" i="1"/>
  <c r="T1157" i="1"/>
  <c r="AQ1092" i="1"/>
  <c r="AQ1089" i="1"/>
  <c r="AQ821" i="1"/>
  <c r="AQ426" i="1"/>
  <c r="AQ102" i="1"/>
  <c r="AG1090" i="1"/>
  <c r="AG1056" i="1"/>
  <c r="Y1090" i="1"/>
  <c r="AG821" i="1"/>
  <c r="Y807" i="1"/>
  <c r="AY1166" i="1"/>
  <c r="AQ1166" i="1"/>
  <c r="AR1166" i="1"/>
  <c r="AJ1034" i="1" l="1"/>
  <c r="BA247" i="1"/>
  <c r="BA384" i="1"/>
  <c r="BA496" i="1"/>
  <c r="BA383" i="1"/>
  <c r="BA250" i="1"/>
  <c r="AJ1037" i="1"/>
  <c r="BA252" i="1"/>
  <c r="BA249" i="1"/>
  <c r="BA160" i="1"/>
  <c r="AR247" i="1"/>
  <c r="AZ247" i="1"/>
  <c r="AH247" i="1"/>
  <c r="BB1037" i="1"/>
  <c r="BB1034" i="1"/>
  <c r="BA251" i="1"/>
  <c r="AH383" i="1"/>
  <c r="AR383" i="1"/>
  <c r="AZ383" i="1"/>
  <c r="AH384" i="1"/>
  <c r="AR384" i="1"/>
  <c r="AZ384" i="1"/>
  <c r="AR496" i="1"/>
  <c r="AZ496" i="1"/>
  <c r="AH249" i="1"/>
  <c r="AZ249" i="1"/>
  <c r="AH251" i="1"/>
  <c r="AR251" i="1"/>
  <c r="AZ251" i="1"/>
  <c r="AH496" i="1"/>
  <c r="AR249" i="1"/>
  <c r="AH252" i="1"/>
  <c r="AR246" i="1"/>
  <c r="AZ246" i="1"/>
  <c r="AH250" i="1"/>
  <c r="AR252" i="1"/>
  <c r="AZ252" i="1"/>
  <c r="AR250" i="1"/>
  <c r="AZ250" i="1"/>
  <c r="AH246" i="1"/>
  <c r="AH160" i="1"/>
  <c r="AR160" i="1"/>
  <c r="AZ160" i="1"/>
  <c r="BA1166" i="1"/>
  <c r="AY456" i="1"/>
  <c r="AX456" i="1"/>
  <c r="AV456" i="1"/>
  <c r="AT456" i="1"/>
  <c r="AQ456" i="1"/>
  <c r="AP456" i="1"/>
  <c r="AN456" i="1"/>
  <c r="AL456" i="1"/>
  <c r="AG456" i="1"/>
  <c r="AF456" i="1"/>
  <c r="AD456" i="1"/>
  <c r="AB456" i="1"/>
  <c r="X456" i="1"/>
  <c r="V456" i="1"/>
  <c r="AY630" i="1"/>
  <c r="AX630" i="1"/>
  <c r="AV630" i="1"/>
  <c r="AT630" i="1"/>
  <c r="AQ630" i="1"/>
  <c r="AP630" i="1"/>
  <c r="AN630" i="1"/>
  <c r="AL630" i="1"/>
  <c r="AG630" i="1"/>
  <c r="AF630" i="1"/>
  <c r="AD630" i="1"/>
  <c r="AB630" i="1"/>
  <c r="Y630" i="1"/>
  <c r="X630" i="1"/>
  <c r="V630" i="1"/>
  <c r="T630" i="1"/>
  <c r="AY639" i="1"/>
  <c r="AX639" i="1"/>
  <c r="AV639" i="1"/>
  <c r="AT639" i="1"/>
  <c r="AQ639" i="1"/>
  <c r="AP639" i="1"/>
  <c r="AN639" i="1"/>
  <c r="AL639" i="1"/>
  <c r="AG639" i="1"/>
  <c r="AF639" i="1"/>
  <c r="AD639" i="1"/>
  <c r="AB639" i="1"/>
  <c r="Y639" i="1"/>
  <c r="X639" i="1"/>
  <c r="V639" i="1"/>
  <c r="T639" i="1"/>
  <c r="AY679" i="1"/>
  <c r="AX679" i="1"/>
  <c r="AV679" i="1"/>
  <c r="AT679" i="1"/>
  <c r="AQ679" i="1"/>
  <c r="AP679" i="1"/>
  <c r="AN679" i="1"/>
  <c r="AL679" i="1"/>
  <c r="AG679" i="1"/>
  <c r="AF679" i="1"/>
  <c r="AD679" i="1"/>
  <c r="AB679" i="1"/>
  <c r="X679" i="1"/>
  <c r="V679" i="1"/>
  <c r="AY715" i="1"/>
  <c r="AX715" i="1"/>
  <c r="AV715" i="1"/>
  <c r="AT715" i="1"/>
  <c r="AQ715" i="1"/>
  <c r="AP715" i="1"/>
  <c r="AN715" i="1"/>
  <c r="AL715" i="1"/>
  <c r="AG715" i="1"/>
  <c r="AF715" i="1"/>
  <c r="AD715" i="1"/>
  <c r="AB715" i="1"/>
  <c r="X715" i="1"/>
  <c r="V715" i="1"/>
  <c r="AY1092" i="1"/>
  <c r="AY909" i="1"/>
  <c r="AX909" i="1"/>
  <c r="AV909" i="1"/>
  <c r="AT909" i="1"/>
  <c r="AQ909" i="1"/>
  <c r="AP909" i="1"/>
  <c r="AN909" i="1"/>
  <c r="AL909" i="1"/>
  <c r="AG909" i="1"/>
  <c r="AF909" i="1"/>
  <c r="AD909" i="1"/>
  <c r="AB909" i="1"/>
  <c r="Y909" i="1"/>
  <c r="X909" i="1"/>
  <c r="V909" i="1"/>
  <c r="T909" i="1"/>
  <c r="AY899" i="1"/>
  <c r="AX899" i="1"/>
  <c r="AV899" i="1"/>
  <c r="AT899" i="1"/>
  <c r="AQ899" i="1"/>
  <c r="AP899" i="1"/>
  <c r="AN899" i="1"/>
  <c r="AL899" i="1"/>
  <c r="AG899" i="1"/>
  <c r="AF899" i="1"/>
  <c r="AD899" i="1"/>
  <c r="AB899" i="1"/>
  <c r="Y899" i="1"/>
  <c r="X899" i="1"/>
  <c r="V899" i="1"/>
  <c r="T899" i="1"/>
  <c r="AX426" i="1"/>
  <c r="AY426" i="1"/>
  <c r="BA426" i="1" s="1"/>
  <c r="AV426" i="1"/>
  <c r="AT426" i="1"/>
  <c r="AP426" i="1"/>
  <c r="AN426" i="1"/>
  <c r="AL426" i="1"/>
  <c r="AG426" i="1"/>
  <c r="AF426" i="1"/>
  <c r="AD426" i="1"/>
  <c r="AB426" i="1"/>
  <c r="X426" i="1"/>
  <c r="V426" i="1"/>
  <c r="AX414" i="1"/>
  <c r="AY414" i="1"/>
  <c r="AV414" i="1"/>
  <c r="AT414" i="1"/>
  <c r="AQ414" i="1"/>
  <c r="AP414" i="1"/>
  <c r="AN414" i="1"/>
  <c r="AL414" i="1"/>
  <c r="AG414" i="1"/>
  <c r="AF414" i="1"/>
  <c r="AD414" i="1"/>
  <c r="AB414" i="1"/>
  <c r="X414" i="1"/>
  <c r="V414" i="1"/>
  <c r="R1034" i="1" l="1"/>
  <c r="AI899" i="1"/>
  <c r="BA715" i="1"/>
  <c r="AI909" i="1"/>
  <c r="R1037" i="1"/>
  <c r="BB247" i="1"/>
  <c r="AI639" i="1"/>
  <c r="BB383" i="1"/>
  <c r="BB249" i="1"/>
  <c r="BB496" i="1"/>
  <c r="BB384" i="1"/>
  <c r="BB251" i="1"/>
  <c r="BB250" i="1"/>
  <c r="BB252" i="1"/>
  <c r="BB246" i="1"/>
  <c r="BB160" i="1"/>
  <c r="AZ639" i="1"/>
  <c r="AH630" i="1"/>
  <c r="AR630" i="1"/>
  <c r="AH456" i="1"/>
  <c r="BA630" i="1"/>
  <c r="BA639" i="1"/>
  <c r="BA456" i="1"/>
  <c r="AR456" i="1"/>
  <c r="AI630" i="1"/>
  <c r="Z630" i="1"/>
  <c r="Z909" i="1"/>
  <c r="AZ456" i="1"/>
  <c r="AZ630" i="1"/>
  <c r="AR639" i="1"/>
  <c r="AH639" i="1"/>
  <c r="Z639" i="1"/>
  <c r="Z899" i="1"/>
  <c r="BA909" i="1"/>
  <c r="AR414" i="1"/>
  <c r="AZ715" i="1"/>
  <c r="AH679" i="1"/>
  <c r="BA679" i="1"/>
  <c r="AZ679" i="1"/>
  <c r="AR679" i="1"/>
  <c r="AH715" i="1"/>
  <c r="AR715" i="1"/>
  <c r="AZ909" i="1"/>
  <c r="AR909" i="1"/>
  <c r="AH909" i="1"/>
  <c r="AZ426" i="1"/>
  <c r="BA899" i="1"/>
  <c r="AR899" i="1"/>
  <c r="AZ899" i="1"/>
  <c r="AH899" i="1"/>
  <c r="AR426" i="1"/>
  <c r="AH426" i="1"/>
  <c r="BA414" i="1"/>
  <c r="AZ414" i="1"/>
  <c r="AH414" i="1"/>
  <c r="AY629" i="1"/>
  <c r="AX629" i="1"/>
  <c r="AV629" i="1"/>
  <c r="AT629" i="1"/>
  <c r="AQ629" i="1"/>
  <c r="AP629" i="1"/>
  <c r="AN629" i="1"/>
  <c r="AL629" i="1"/>
  <c r="AG629" i="1"/>
  <c r="AF629" i="1"/>
  <c r="AD629" i="1"/>
  <c r="AB629" i="1"/>
  <c r="Y629" i="1"/>
  <c r="X629" i="1"/>
  <c r="V629" i="1"/>
  <c r="T629" i="1"/>
  <c r="AY587" i="1"/>
  <c r="AX587" i="1"/>
  <c r="AV587" i="1"/>
  <c r="AT587" i="1"/>
  <c r="AQ587" i="1"/>
  <c r="AP587" i="1"/>
  <c r="AN587" i="1"/>
  <c r="AL587" i="1"/>
  <c r="AG587" i="1"/>
  <c r="AF587" i="1"/>
  <c r="AD587" i="1"/>
  <c r="AB587" i="1"/>
  <c r="Y587" i="1"/>
  <c r="X587" i="1"/>
  <c r="V587" i="1"/>
  <c r="T587" i="1"/>
  <c r="AX1092" i="1"/>
  <c r="AV1092" i="1"/>
  <c r="AT1092" i="1"/>
  <c r="AP1092" i="1"/>
  <c r="AN1092" i="1"/>
  <c r="AL1092" i="1"/>
  <c r="AF1092" i="1"/>
  <c r="AD1092" i="1"/>
  <c r="AB1092" i="1"/>
  <c r="Y1092" i="1"/>
  <c r="AI1092" i="1" s="1"/>
  <c r="X1092" i="1"/>
  <c r="V1092" i="1"/>
  <c r="T1092" i="1"/>
  <c r="AY1089" i="1"/>
  <c r="AY819" i="1"/>
  <c r="AX819" i="1"/>
  <c r="AV819" i="1"/>
  <c r="AT819" i="1"/>
  <c r="AQ819" i="1"/>
  <c r="AP819" i="1"/>
  <c r="AN819" i="1"/>
  <c r="AL819" i="1"/>
  <c r="AG819" i="1"/>
  <c r="AF819" i="1"/>
  <c r="AD819" i="1"/>
  <c r="AB819" i="1"/>
  <c r="Y819" i="1"/>
  <c r="X819" i="1"/>
  <c r="V819" i="1"/>
  <c r="T819" i="1"/>
  <c r="AY817" i="1"/>
  <c r="AX817" i="1"/>
  <c r="AV817" i="1"/>
  <c r="AT817" i="1"/>
  <c r="AQ817" i="1"/>
  <c r="AP817" i="1"/>
  <c r="AN817" i="1"/>
  <c r="AL817" i="1"/>
  <c r="AG817" i="1"/>
  <c r="AF817" i="1"/>
  <c r="AD817" i="1"/>
  <c r="AB817" i="1"/>
  <c r="Y817" i="1"/>
  <c r="AI817" i="1" s="1"/>
  <c r="X817" i="1"/>
  <c r="V817" i="1"/>
  <c r="T817" i="1"/>
  <c r="Q899" i="1" l="1"/>
  <c r="Q909" i="1"/>
  <c r="Q639" i="1"/>
  <c r="BB715" i="1"/>
  <c r="AJ899" i="1"/>
  <c r="BA629" i="1"/>
  <c r="AI819" i="1"/>
  <c r="BB630" i="1"/>
  <c r="AJ630" i="1"/>
  <c r="BB639" i="1"/>
  <c r="BB456" i="1"/>
  <c r="AJ639" i="1"/>
  <c r="BA817" i="1"/>
  <c r="Q817" i="1" s="1"/>
  <c r="Q630" i="1"/>
  <c r="AI587" i="1"/>
  <c r="AI629" i="1"/>
  <c r="BB679" i="1"/>
  <c r="AR1092" i="1"/>
  <c r="AJ909" i="1"/>
  <c r="BB414" i="1"/>
  <c r="BB909" i="1"/>
  <c r="BA819" i="1"/>
  <c r="Z629" i="1"/>
  <c r="BB426" i="1"/>
  <c r="BA1092" i="1"/>
  <c r="Q1092" i="1" s="1"/>
  <c r="BB899" i="1"/>
  <c r="AH817" i="1"/>
  <c r="Z819" i="1"/>
  <c r="AH819" i="1"/>
  <c r="Z817" i="1"/>
  <c r="AR817" i="1"/>
  <c r="AZ817" i="1"/>
  <c r="AZ629" i="1"/>
  <c r="AR629" i="1"/>
  <c r="AH629" i="1"/>
  <c r="AZ587" i="1"/>
  <c r="BA587" i="1"/>
  <c r="Z587" i="1"/>
  <c r="AH587" i="1"/>
  <c r="AR587" i="1"/>
  <c r="AZ1092" i="1"/>
  <c r="AH1092" i="1"/>
  <c r="Z1092" i="1"/>
  <c r="AZ819" i="1"/>
  <c r="AR819" i="1"/>
  <c r="R899" i="1" l="1"/>
  <c r="Q629" i="1"/>
  <c r="Q819" i="1"/>
  <c r="R630" i="1"/>
  <c r="R639" i="1"/>
  <c r="AJ1092" i="1"/>
  <c r="BB1092" i="1"/>
  <c r="Q587" i="1"/>
  <c r="AJ817" i="1"/>
  <c r="R909" i="1"/>
  <c r="AJ629" i="1"/>
  <c r="BB819" i="1"/>
  <c r="BB817" i="1"/>
  <c r="AJ819" i="1"/>
  <c r="BB629" i="1"/>
  <c r="BB587" i="1"/>
  <c r="AJ587" i="1"/>
  <c r="AX1089" i="1"/>
  <c r="AV1089" i="1"/>
  <c r="AT1089" i="1"/>
  <c r="BA1089" i="1"/>
  <c r="AP1089" i="1"/>
  <c r="AN1089" i="1"/>
  <c r="AL1089" i="1"/>
  <c r="AF1089" i="1"/>
  <c r="AD1089" i="1"/>
  <c r="AB1089" i="1"/>
  <c r="Y1089" i="1"/>
  <c r="X1089" i="1"/>
  <c r="V1089" i="1"/>
  <c r="T1089" i="1"/>
  <c r="AY1081" i="1"/>
  <c r="AY1059" i="1"/>
  <c r="AY969" i="1"/>
  <c r="AY982" i="1"/>
  <c r="AY967" i="1"/>
  <c r="AY960" i="1"/>
  <c r="AY878" i="1"/>
  <c r="AX878" i="1"/>
  <c r="AV878" i="1"/>
  <c r="AT878" i="1"/>
  <c r="AQ878" i="1"/>
  <c r="AP878" i="1"/>
  <c r="AN878" i="1"/>
  <c r="AL878" i="1"/>
  <c r="AG878" i="1"/>
  <c r="AF878" i="1"/>
  <c r="AD878" i="1"/>
  <c r="AB878" i="1"/>
  <c r="Y878" i="1"/>
  <c r="X878" i="1"/>
  <c r="V878" i="1"/>
  <c r="T878" i="1"/>
  <c r="AY877" i="1"/>
  <c r="AX877" i="1"/>
  <c r="AV877" i="1"/>
  <c r="AT877" i="1"/>
  <c r="AQ877" i="1"/>
  <c r="AP877" i="1"/>
  <c r="AN877" i="1"/>
  <c r="AL877" i="1"/>
  <c r="AG877" i="1"/>
  <c r="AF877" i="1"/>
  <c r="AD877" i="1"/>
  <c r="AB877" i="1"/>
  <c r="Y877" i="1"/>
  <c r="X877" i="1"/>
  <c r="V877" i="1"/>
  <c r="T877" i="1"/>
  <c r="AY801" i="1"/>
  <c r="AX801" i="1"/>
  <c r="AV801" i="1"/>
  <c r="AT801" i="1"/>
  <c r="AQ801" i="1"/>
  <c r="AP801" i="1"/>
  <c r="AN801" i="1"/>
  <c r="AL801" i="1"/>
  <c r="AG801" i="1"/>
  <c r="AF801" i="1"/>
  <c r="AD801" i="1"/>
  <c r="AB801" i="1"/>
  <c r="Y801" i="1"/>
  <c r="X801" i="1"/>
  <c r="V801" i="1"/>
  <c r="T801" i="1"/>
  <c r="AY268" i="1"/>
  <c r="AX268" i="1"/>
  <c r="AV268" i="1"/>
  <c r="AT268" i="1"/>
  <c r="AQ268" i="1"/>
  <c r="AP268" i="1"/>
  <c r="AN268" i="1"/>
  <c r="AL268" i="1"/>
  <c r="AG268" i="1"/>
  <c r="AF268" i="1"/>
  <c r="AD268" i="1"/>
  <c r="AB268" i="1"/>
  <c r="X268" i="1"/>
  <c r="V268" i="1"/>
  <c r="AY267" i="1"/>
  <c r="AX267" i="1"/>
  <c r="AV267" i="1"/>
  <c r="AT267" i="1"/>
  <c r="AQ267" i="1"/>
  <c r="AP267" i="1"/>
  <c r="AN267" i="1"/>
  <c r="AL267" i="1"/>
  <c r="AG267" i="1"/>
  <c r="AF267" i="1"/>
  <c r="AD267" i="1"/>
  <c r="AB267" i="1"/>
  <c r="X267" i="1"/>
  <c r="V267" i="1"/>
  <c r="AY266" i="1"/>
  <c r="AX266" i="1"/>
  <c r="AV266" i="1"/>
  <c r="AT266" i="1"/>
  <c r="AQ266" i="1"/>
  <c r="AP266" i="1"/>
  <c r="AN266" i="1"/>
  <c r="AL266" i="1"/>
  <c r="AG266" i="1"/>
  <c r="AF266" i="1"/>
  <c r="AD266" i="1"/>
  <c r="AB266" i="1"/>
  <c r="X266" i="1"/>
  <c r="V266" i="1"/>
  <c r="AY265" i="1"/>
  <c r="AX265" i="1"/>
  <c r="AV265" i="1"/>
  <c r="AT265" i="1"/>
  <c r="AQ265" i="1"/>
  <c r="AP265" i="1"/>
  <c r="AN265" i="1"/>
  <c r="AL265" i="1"/>
  <c r="AG265" i="1"/>
  <c r="AF265" i="1"/>
  <c r="AD265" i="1"/>
  <c r="AB265" i="1"/>
  <c r="X265" i="1"/>
  <c r="V265" i="1"/>
  <c r="AY101" i="1"/>
  <c r="AX101" i="1"/>
  <c r="AV101" i="1"/>
  <c r="AT101" i="1"/>
  <c r="AQ101" i="1"/>
  <c r="AP101" i="1"/>
  <c r="AN101" i="1"/>
  <c r="AL101" i="1"/>
  <c r="AG101" i="1"/>
  <c r="AF101" i="1"/>
  <c r="AD101" i="1"/>
  <c r="AB101" i="1"/>
  <c r="X101" i="1"/>
  <c r="V101" i="1"/>
  <c r="AY102" i="1"/>
  <c r="AX102" i="1"/>
  <c r="AV102" i="1"/>
  <c r="AT102" i="1"/>
  <c r="AP102" i="1"/>
  <c r="AN102" i="1"/>
  <c r="AL102" i="1"/>
  <c r="AG102" i="1"/>
  <c r="AF102" i="1"/>
  <c r="AD102" i="1"/>
  <c r="AB102" i="1"/>
  <c r="X102" i="1"/>
  <c r="V102" i="1"/>
  <c r="AY96" i="1"/>
  <c r="AX96" i="1"/>
  <c r="AV96" i="1"/>
  <c r="AT96" i="1"/>
  <c r="AQ96" i="1"/>
  <c r="AP96" i="1"/>
  <c r="AN96" i="1"/>
  <c r="AL96" i="1"/>
  <c r="AG96" i="1"/>
  <c r="AF96" i="1"/>
  <c r="AD96" i="1"/>
  <c r="AB96" i="1"/>
  <c r="X96" i="1"/>
  <c r="V96" i="1"/>
  <c r="AY88" i="1"/>
  <c r="AX88" i="1"/>
  <c r="AV88" i="1"/>
  <c r="AT88" i="1"/>
  <c r="AQ88" i="1"/>
  <c r="AP88" i="1"/>
  <c r="AN88" i="1"/>
  <c r="AL88" i="1"/>
  <c r="AG88" i="1"/>
  <c r="AF88" i="1"/>
  <c r="AD88" i="1"/>
  <c r="AB88" i="1"/>
  <c r="X88" i="1"/>
  <c r="V88" i="1"/>
  <c r="AY76" i="1"/>
  <c r="AX76" i="1"/>
  <c r="AV76" i="1"/>
  <c r="AT76" i="1"/>
  <c r="AQ76" i="1"/>
  <c r="AP76" i="1"/>
  <c r="AN76" i="1"/>
  <c r="AL76" i="1"/>
  <c r="AG76" i="1"/>
  <c r="AF76" i="1"/>
  <c r="AD76" i="1"/>
  <c r="AB76" i="1"/>
  <c r="X76" i="1"/>
  <c r="V76" i="1"/>
  <c r="AY73" i="1"/>
  <c r="AX73" i="1"/>
  <c r="AV73" i="1"/>
  <c r="AT73" i="1"/>
  <c r="AQ73" i="1"/>
  <c r="AP73" i="1"/>
  <c r="AN73" i="1"/>
  <c r="AL73" i="1"/>
  <c r="AG73" i="1"/>
  <c r="AF73" i="1"/>
  <c r="AD73" i="1"/>
  <c r="AB73" i="1"/>
  <c r="X73" i="1"/>
  <c r="V73" i="1"/>
  <c r="BA801" i="1" l="1"/>
  <c r="AI878" i="1"/>
  <c r="AH801" i="1"/>
  <c r="AI801" i="1"/>
  <c r="Z801" i="1"/>
  <c r="R1092" i="1"/>
  <c r="AH101" i="1"/>
  <c r="BA88" i="1"/>
  <c r="AH96" i="1"/>
  <c r="Z1089" i="1"/>
  <c r="BA877" i="1"/>
  <c r="R587" i="1"/>
  <c r="BA267" i="1"/>
  <c r="BA268" i="1"/>
  <c r="AI1089" i="1"/>
  <c r="Q1089" i="1" s="1"/>
  <c r="R629" i="1"/>
  <c r="AR88" i="1"/>
  <c r="AR1089" i="1"/>
  <c r="R819" i="1"/>
  <c r="AH88" i="1"/>
  <c r="AH1089" i="1"/>
  <c r="R817" i="1"/>
  <c r="AI877" i="1"/>
  <c r="BA76" i="1"/>
  <c r="BA878" i="1"/>
  <c r="BA265" i="1"/>
  <c r="AZ88" i="1"/>
  <c r="AZ1089" i="1"/>
  <c r="BA101" i="1"/>
  <c r="AR101" i="1"/>
  <c r="AZ101" i="1"/>
  <c r="AH265" i="1"/>
  <c r="AH266" i="1"/>
  <c r="AH267" i="1"/>
  <c r="AR267" i="1"/>
  <c r="AZ801" i="1"/>
  <c r="BA96" i="1"/>
  <c r="AZ73" i="1"/>
  <c r="AH268" i="1"/>
  <c r="Z877" i="1"/>
  <c r="AH877" i="1"/>
  <c r="Z878" i="1"/>
  <c r="AH878" i="1"/>
  <c r="AR878" i="1"/>
  <c r="AZ878" i="1"/>
  <c r="BA102" i="1"/>
  <c r="BA266" i="1"/>
  <c r="AZ877" i="1"/>
  <c r="AR877" i="1"/>
  <c r="AR268" i="1"/>
  <c r="AR801" i="1"/>
  <c r="BA73" i="1"/>
  <c r="AZ267" i="1"/>
  <c r="AZ268" i="1"/>
  <c r="AZ265" i="1"/>
  <c r="AR265" i="1"/>
  <c r="AH102" i="1"/>
  <c r="AR102" i="1"/>
  <c r="AZ266" i="1"/>
  <c r="AR266" i="1"/>
  <c r="AZ76" i="1"/>
  <c r="AZ102" i="1"/>
  <c r="AR96" i="1"/>
  <c r="AZ96" i="1"/>
  <c r="AR76" i="1"/>
  <c r="AH76" i="1"/>
  <c r="AR73" i="1"/>
  <c r="AH73" i="1"/>
  <c r="U458" i="1"/>
  <c r="W458" i="1"/>
  <c r="AA458" i="1"/>
  <c r="AC458" i="1"/>
  <c r="AE458" i="1"/>
  <c r="AK458" i="1"/>
  <c r="AM458" i="1"/>
  <c r="AO458" i="1"/>
  <c r="AS458" i="1"/>
  <c r="AU458" i="1"/>
  <c r="AW458" i="1"/>
  <c r="AY457" i="1"/>
  <c r="AX457" i="1"/>
  <c r="AV457" i="1"/>
  <c r="AT457" i="1"/>
  <c r="AQ457" i="1"/>
  <c r="AP457" i="1"/>
  <c r="AN457" i="1"/>
  <c r="AL457" i="1"/>
  <c r="AG457" i="1"/>
  <c r="AF457" i="1"/>
  <c r="AD457" i="1"/>
  <c r="AB457" i="1"/>
  <c r="X457" i="1"/>
  <c r="V457" i="1"/>
  <c r="AY455" i="1"/>
  <c r="AX455" i="1"/>
  <c r="AV455" i="1"/>
  <c r="AT455" i="1"/>
  <c r="AQ455" i="1"/>
  <c r="AP455" i="1"/>
  <c r="AN455" i="1"/>
  <c r="AL455" i="1"/>
  <c r="AG455" i="1"/>
  <c r="AF455" i="1"/>
  <c r="AD455" i="1"/>
  <c r="AB455" i="1"/>
  <c r="X455" i="1"/>
  <c r="V455" i="1"/>
  <c r="AY619" i="1"/>
  <c r="AX619" i="1"/>
  <c r="AV619" i="1"/>
  <c r="AT619" i="1"/>
  <c r="AQ619" i="1"/>
  <c r="AP619" i="1"/>
  <c r="AN619" i="1"/>
  <c r="AL619" i="1"/>
  <c r="AG619" i="1"/>
  <c r="AF619" i="1"/>
  <c r="AD619" i="1"/>
  <c r="AB619" i="1"/>
  <c r="Y619" i="1"/>
  <c r="X619" i="1"/>
  <c r="V619" i="1"/>
  <c r="T619" i="1"/>
  <c r="AY591" i="1"/>
  <c r="AX591" i="1"/>
  <c r="AV591" i="1"/>
  <c r="AT591" i="1"/>
  <c r="AQ591" i="1"/>
  <c r="AP591" i="1"/>
  <c r="AN591" i="1"/>
  <c r="AL591" i="1"/>
  <c r="AG591" i="1"/>
  <c r="AF591" i="1"/>
  <c r="AD591" i="1"/>
  <c r="AB591" i="1"/>
  <c r="Y591" i="1"/>
  <c r="X591" i="1"/>
  <c r="V591" i="1"/>
  <c r="T591" i="1"/>
  <c r="AY551" i="1"/>
  <c r="AX551" i="1"/>
  <c r="AV551" i="1"/>
  <c r="AT551" i="1"/>
  <c r="AQ551" i="1"/>
  <c r="AP551" i="1"/>
  <c r="AN551" i="1"/>
  <c r="AL551" i="1"/>
  <c r="AG551" i="1"/>
  <c r="AF551" i="1"/>
  <c r="AD551" i="1"/>
  <c r="AB551" i="1"/>
  <c r="X551" i="1"/>
  <c r="V551" i="1"/>
  <c r="AY714" i="1"/>
  <c r="AX714" i="1"/>
  <c r="AV714" i="1"/>
  <c r="AT714" i="1"/>
  <c r="AQ714" i="1"/>
  <c r="AP714" i="1"/>
  <c r="AN714" i="1"/>
  <c r="AL714" i="1"/>
  <c r="AG714" i="1"/>
  <c r="AF714" i="1"/>
  <c r="AD714" i="1"/>
  <c r="AB714" i="1"/>
  <c r="Y714" i="1"/>
  <c r="X714" i="1"/>
  <c r="V714" i="1"/>
  <c r="T714" i="1"/>
  <c r="AQ1081" i="1"/>
  <c r="AQ1059" i="1"/>
  <c r="AY1020" i="1"/>
  <c r="AX1020" i="1"/>
  <c r="AV1020" i="1"/>
  <c r="AT1020" i="1"/>
  <c r="AQ1020" i="1"/>
  <c r="AP1020" i="1"/>
  <c r="AN1020" i="1"/>
  <c r="AL1020" i="1"/>
  <c r="AG1020" i="1"/>
  <c r="AF1020" i="1"/>
  <c r="AD1020" i="1"/>
  <c r="AB1020" i="1"/>
  <c r="Y1020" i="1"/>
  <c r="X1020" i="1"/>
  <c r="V1020" i="1"/>
  <c r="T1020" i="1"/>
  <c r="AY345" i="1"/>
  <c r="AX345" i="1"/>
  <c r="AV345" i="1"/>
  <c r="AT345" i="1"/>
  <c r="AQ345" i="1"/>
  <c r="AP345" i="1"/>
  <c r="AN345" i="1"/>
  <c r="AL345" i="1"/>
  <c r="AG345" i="1"/>
  <c r="AF345" i="1"/>
  <c r="AD345" i="1"/>
  <c r="AB345" i="1"/>
  <c r="X345" i="1"/>
  <c r="V345" i="1"/>
  <c r="AY344" i="1"/>
  <c r="AX344" i="1"/>
  <c r="AV344" i="1"/>
  <c r="AT344" i="1"/>
  <c r="AQ344" i="1"/>
  <c r="AP344" i="1"/>
  <c r="AN344" i="1"/>
  <c r="AL344" i="1"/>
  <c r="AG344" i="1"/>
  <c r="AF344" i="1"/>
  <c r="AD344" i="1"/>
  <c r="AB344" i="1"/>
  <c r="X344" i="1"/>
  <c r="V344" i="1"/>
  <c r="BB102" i="1" l="1"/>
  <c r="BA591" i="1"/>
  <c r="Q801" i="1"/>
  <c r="Q878" i="1"/>
  <c r="AI619" i="1"/>
  <c r="BB1089" i="1"/>
  <c r="AJ1089" i="1"/>
  <c r="BA1020" i="1"/>
  <c r="Q877" i="1"/>
  <c r="AI1020" i="1"/>
  <c r="BB101" i="1"/>
  <c r="BB88" i="1"/>
  <c r="BA345" i="1"/>
  <c r="AJ801" i="1"/>
  <c r="BA714" i="1"/>
  <c r="AI714" i="1"/>
  <c r="AI591" i="1"/>
  <c r="BA619" i="1"/>
  <c r="BA455" i="1"/>
  <c r="BA551" i="1"/>
  <c r="BB267" i="1"/>
  <c r="BA457" i="1"/>
  <c r="BB76" i="1"/>
  <c r="AH1020" i="1"/>
  <c r="AZ551" i="1"/>
  <c r="AH619" i="1"/>
  <c r="AR619" i="1"/>
  <c r="AH455" i="1"/>
  <c r="AH457" i="1"/>
  <c r="Z1020" i="1"/>
  <c r="AR551" i="1"/>
  <c r="AH591" i="1"/>
  <c r="Z619" i="1"/>
  <c r="BB801" i="1"/>
  <c r="BB878" i="1"/>
  <c r="AZ457" i="1"/>
  <c r="AJ877" i="1"/>
  <c r="AJ878" i="1"/>
  <c r="BB877" i="1"/>
  <c r="BB268" i="1"/>
  <c r="AH714" i="1"/>
  <c r="AH345" i="1"/>
  <c r="AZ1020" i="1"/>
  <c r="BB265" i="1"/>
  <c r="AZ714" i="1"/>
  <c r="AZ619" i="1"/>
  <c r="AZ455" i="1"/>
  <c r="BB266" i="1"/>
  <c r="BB96" i="1"/>
  <c r="BB73" i="1"/>
  <c r="AR457" i="1"/>
  <c r="AR455" i="1"/>
  <c r="Z591" i="1"/>
  <c r="AZ591" i="1"/>
  <c r="AR591" i="1"/>
  <c r="AH551" i="1"/>
  <c r="AZ345" i="1"/>
  <c r="BA344" i="1"/>
  <c r="AR714" i="1"/>
  <c r="Z714" i="1"/>
  <c r="AR1020" i="1"/>
  <c r="AH344" i="1"/>
  <c r="AR344" i="1"/>
  <c r="AZ344" i="1"/>
  <c r="AR345" i="1"/>
  <c r="Q591" i="1" l="1"/>
  <c r="Q619" i="1"/>
  <c r="AJ619" i="1"/>
  <c r="BB551" i="1"/>
  <c r="R1089" i="1"/>
  <c r="Q1020" i="1"/>
  <c r="BB619" i="1"/>
  <c r="R801" i="1"/>
  <c r="Q714" i="1"/>
  <c r="AJ591" i="1"/>
  <c r="AJ714" i="1"/>
  <c r="R878" i="1"/>
  <c r="BB1020" i="1"/>
  <c r="BB457" i="1"/>
  <c r="AJ1020" i="1"/>
  <c r="R877" i="1"/>
  <c r="BB714" i="1"/>
  <c r="BB591" i="1"/>
  <c r="BB345" i="1"/>
  <c r="BB455" i="1"/>
  <c r="BB344" i="1"/>
  <c r="AY575" i="1"/>
  <c r="AX575" i="1"/>
  <c r="AV575" i="1"/>
  <c r="AT575" i="1"/>
  <c r="AQ575" i="1"/>
  <c r="AP575" i="1"/>
  <c r="AN575" i="1"/>
  <c r="AL575" i="1"/>
  <c r="AG575" i="1"/>
  <c r="AF575" i="1"/>
  <c r="AD575" i="1"/>
  <c r="AB575" i="1"/>
  <c r="Y575" i="1"/>
  <c r="X575" i="1"/>
  <c r="V575" i="1"/>
  <c r="T575" i="1"/>
  <c r="AY1058" i="1"/>
  <c r="AX1058" i="1"/>
  <c r="AV1058" i="1"/>
  <c r="AT1058" i="1"/>
  <c r="AQ1058" i="1"/>
  <c r="AP1058" i="1"/>
  <c r="AN1058" i="1"/>
  <c r="AL1058" i="1"/>
  <c r="AG1058" i="1"/>
  <c r="AF1058" i="1"/>
  <c r="AD1058" i="1"/>
  <c r="AB1058" i="1"/>
  <c r="Y1058" i="1"/>
  <c r="X1058" i="1"/>
  <c r="V1058" i="1"/>
  <c r="T1058" i="1"/>
  <c r="AX969" i="1"/>
  <c r="AV969" i="1"/>
  <c r="AT969" i="1"/>
  <c r="AQ969" i="1"/>
  <c r="BA969" i="1" s="1"/>
  <c r="AP969" i="1"/>
  <c r="AN969" i="1"/>
  <c r="AL969" i="1"/>
  <c r="AG969" i="1"/>
  <c r="AF969" i="1"/>
  <c r="AD969" i="1"/>
  <c r="AB969" i="1"/>
  <c r="Y969" i="1"/>
  <c r="X969" i="1"/>
  <c r="V969" i="1"/>
  <c r="T969" i="1"/>
  <c r="R619" i="1" l="1"/>
  <c r="AI969" i="1"/>
  <c r="Q969" i="1" s="1"/>
  <c r="AI575" i="1"/>
  <c r="AI1058" i="1"/>
  <c r="R591" i="1"/>
  <c r="R714" i="1"/>
  <c r="BA1058" i="1"/>
  <c r="BA575" i="1"/>
  <c r="R1020" i="1"/>
  <c r="AR575" i="1"/>
  <c r="AZ575" i="1"/>
  <c r="AH575" i="1"/>
  <c r="Z575" i="1"/>
  <c r="Z1058" i="1"/>
  <c r="AH1058" i="1"/>
  <c r="AR1058" i="1"/>
  <c r="AZ1058" i="1"/>
  <c r="AZ969" i="1"/>
  <c r="AR969" i="1"/>
  <c r="Z969" i="1"/>
  <c r="AH969" i="1"/>
  <c r="AY822" i="1"/>
  <c r="AY809" i="1"/>
  <c r="AY803" i="1"/>
  <c r="AQ1039" i="1"/>
  <c r="AG1038" i="1"/>
  <c r="AG1040" i="1"/>
  <c r="AY1039" i="1"/>
  <c r="AX1039" i="1"/>
  <c r="AV1039" i="1"/>
  <c r="AT1039" i="1"/>
  <c r="AP1039" i="1"/>
  <c r="AN1039" i="1"/>
  <c r="AL1039" i="1"/>
  <c r="AG1039" i="1"/>
  <c r="AF1039" i="1"/>
  <c r="AD1039" i="1"/>
  <c r="AB1039" i="1"/>
  <c r="Y1039" i="1"/>
  <c r="X1039" i="1"/>
  <c r="V1039" i="1"/>
  <c r="T1039" i="1"/>
  <c r="AY1030" i="1"/>
  <c r="AX1030" i="1"/>
  <c r="AV1030" i="1"/>
  <c r="AT1030" i="1"/>
  <c r="AQ1030" i="1"/>
  <c r="AP1030" i="1"/>
  <c r="AN1030" i="1"/>
  <c r="AL1030" i="1"/>
  <c r="AG1030" i="1"/>
  <c r="AF1030" i="1"/>
  <c r="AD1030" i="1"/>
  <c r="AB1030" i="1"/>
  <c r="Y1030" i="1"/>
  <c r="X1030" i="1"/>
  <c r="V1030" i="1"/>
  <c r="T1030" i="1"/>
  <c r="AY1023" i="1"/>
  <c r="AX1023" i="1"/>
  <c r="AV1023" i="1"/>
  <c r="AT1023" i="1"/>
  <c r="AQ1023" i="1"/>
  <c r="AP1023" i="1"/>
  <c r="AN1023" i="1"/>
  <c r="AL1023" i="1"/>
  <c r="AG1023" i="1"/>
  <c r="AF1023" i="1"/>
  <c r="AD1023" i="1"/>
  <c r="AB1023" i="1"/>
  <c r="Y1023" i="1"/>
  <c r="X1023" i="1"/>
  <c r="V1023" i="1"/>
  <c r="T1023" i="1"/>
  <c r="AY75" i="1"/>
  <c r="AX75" i="1"/>
  <c r="AV75" i="1"/>
  <c r="AT75" i="1"/>
  <c r="AQ75" i="1"/>
  <c r="AP75" i="1"/>
  <c r="AN75" i="1"/>
  <c r="AL75" i="1"/>
  <c r="AG75" i="1"/>
  <c r="AF75" i="1"/>
  <c r="AD75" i="1"/>
  <c r="AB75" i="1"/>
  <c r="X75" i="1"/>
  <c r="V75" i="1"/>
  <c r="AI1039" i="1" l="1"/>
  <c r="Q575" i="1"/>
  <c r="BA1023" i="1"/>
  <c r="Z1030" i="1"/>
  <c r="BA1030" i="1"/>
  <c r="Q1058" i="1"/>
  <c r="AI1023" i="1"/>
  <c r="AI1030" i="1"/>
  <c r="BA75" i="1"/>
  <c r="BB969" i="1"/>
  <c r="BA1039" i="1"/>
  <c r="AJ1058" i="1"/>
  <c r="AJ575" i="1"/>
  <c r="BB1058" i="1"/>
  <c r="BB575" i="1"/>
  <c r="AJ969" i="1"/>
  <c r="AH75" i="1"/>
  <c r="AZ75" i="1"/>
  <c r="Z1023" i="1"/>
  <c r="AH1023" i="1"/>
  <c r="AR1023" i="1"/>
  <c r="AZ1023" i="1"/>
  <c r="AR1039" i="1"/>
  <c r="AZ1039" i="1"/>
  <c r="Z1039" i="1"/>
  <c r="AH1039" i="1"/>
  <c r="AH1030" i="1"/>
  <c r="AZ1030" i="1"/>
  <c r="AR1030" i="1"/>
  <c r="AR75" i="1"/>
  <c r="AF800" i="1"/>
  <c r="AY742" i="1"/>
  <c r="AX742" i="1"/>
  <c r="AV742" i="1"/>
  <c r="AT742" i="1"/>
  <c r="AQ742" i="1"/>
  <c r="AP742" i="1"/>
  <c r="AN742" i="1"/>
  <c r="AL742" i="1"/>
  <c r="AG742" i="1"/>
  <c r="AF742" i="1"/>
  <c r="AD742" i="1"/>
  <c r="AB742" i="1"/>
  <c r="X742" i="1"/>
  <c r="V742" i="1"/>
  <c r="AX809" i="1"/>
  <c r="AV809" i="1"/>
  <c r="AT809" i="1"/>
  <c r="AQ809" i="1"/>
  <c r="BA809" i="1" s="1"/>
  <c r="AP809" i="1"/>
  <c r="AN809" i="1"/>
  <c r="AL809" i="1"/>
  <c r="AG809" i="1"/>
  <c r="AF809" i="1"/>
  <c r="AD809" i="1"/>
  <c r="AB809" i="1"/>
  <c r="Y809" i="1"/>
  <c r="X809" i="1"/>
  <c r="V809" i="1"/>
  <c r="T809" i="1"/>
  <c r="AX803" i="1"/>
  <c r="AV803" i="1"/>
  <c r="AT803" i="1"/>
  <c r="AQ803" i="1"/>
  <c r="BA803" i="1" s="1"/>
  <c r="AP803" i="1"/>
  <c r="AN803" i="1"/>
  <c r="AL803" i="1"/>
  <c r="AG803" i="1"/>
  <c r="AF803" i="1"/>
  <c r="AD803" i="1"/>
  <c r="AB803" i="1"/>
  <c r="Y803" i="1"/>
  <c r="X803" i="1"/>
  <c r="V803" i="1"/>
  <c r="T803" i="1"/>
  <c r="AG418" i="1"/>
  <c r="AY418" i="1"/>
  <c r="AX418" i="1"/>
  <c r="AV418" i="1"/>
  <c r="AT418" i="1"/>
  <c r="AQ418" i="1"/>
  <c r="AP418" i="1"/>
  <c r="AN418" i="1"/>
  <c r="AL418" i="1"/>
  <c r="AF418" i="1"/>
  <c r="AD418" i="1"/>
  <c r="AB418" i="1"/>
  <c r="X418" i="1"/>
  <c r="V418" i="1"/>
  <c r="AY421" i="1"/>
  <c r="AX421" i="1"/>
  <c r="AV421" i="1"/>
  <c r="AT421" i="1"/>
  <c r="AQ421" i="1"/>
  <c r="AP421" i="1"/>
  <c r="AN421" i="1"/>
  <c r="AL421" i="1"/>
  <c r="AG421" i="1"/>
  <c r="AF421" i="1"/>
  <c r="AD421" i="1"/>
  <c r="AB421" i="1"/>
  <c r="X421" i="1"/>
  <c r="V421" i="1"/>
  <c r="Q1039" i="1" l="1"/>
  <c r="Q1023" i="1"/>
  <c r="Q1030" i="1"/>
  <c r="BA742" i="1"/>
  <c r="AI803" i="1"/>
  <c r="Q803" i="1" s="1"/>
  <c r="BA421" i="1"/>
  <c r="R969" i="1"/>
  <c r="R575" i="1"/>
  <c r="AJ1030" i="1"/>
  <c r="R1058" i="1"/>
  <c r="Z809" i="1"/>
  <c r="AZ809" i="1"/>
  <c r="BB1030" i="1"/>
  <c r="BB1039" i="1"/>
  <c r="AJ1039" i="1"/>
  <c r="AJ1023" i="1"/>
  <c r="AZ421" i="1"/>
  <c r="Z803" i="1"/>
  <c r="AH803" i="1"/>
  <c r="AR803" i="1"/>
  <c r="AZ803" i="1"/>
  <c r="BB75" i="1"/>
  <c r="BB1023" i="1"/>
  <c r="AR809" i="1"/>
  <c r="AZ742" i="1"/>
  <c r="BA418" i="1"/>
  <c r="AR421" i="1"/>
  <c r="AR742" i="1"/>
  <c r="AH742" i="1"/>
  <c r="AI809" i="1"/>
  <c r="Q809" i="1" s="1"/>
  <c r="AH809" i="1"/>
  <c r="AR418" i="1"/>
  <c r="AZ418" i="1"/>
  <c r="AH418" i="1"/>
  <c r="AH421" i="1"/>
  <c r="AY303" i="1"/>
  <c r="AX303" i="1"/>
  <c r="AV303" i="1"/>
  <c r="AT303" i="1"/>
  <c r="AP303" i="1"/>
  <c r="AN303" i="1"/>
  <c r="AL303" i="1"/>
  <c r="AG303" i="1"/>
  <c r="AF303" i="1"/>
  <c r="AD303" i="1"/>
  <c r="AB303" i="1"/>
  <c r="X303" i="1"/>
  <c r="V303" i="1"/>
  <c r="AJ809" i="1" l="1"/>
  <c r="R1030" i="1"/>
  <c r="BB809" i="1"/>
  <c r="R1039" i="1"/>
  <c r="BB421" i="1"/>
  <c r="AJ803" i="1"/>
  <c r="BB803" i="1"/>
  <c r="R1023" i="1"/>
  <c r="BB742" i="1"/>
  <c r="BB418" i="1"/>
  <c r="BA303" i="1"/>
  <c r="AR303" i="1"/>
  <c r="AZ303" i="1"/>
  <c r="AH303" i="1"/>
  <c r="AY635" i="1"/>
  <c r="AX635" i="1"/>
  <c r="AV635" i="1"/>
  <c r="AT635" i="1"/>
  <c r="AQ635" i="1"/>
  <c r="AP635" i="1"/>
  <c r="AN635" i="1"/>
  <c r="AL635" i="1"/>
  <c r="AG635" i="1"/>
  <c r="AF635" i="1"/>
  <c r="AD635" i="1"/>
  <c r="AB635" i="1"/>
  <c r="Y635" i="1"/>
  <c r="X635" i="1"/>
  <c r="V635" i="1"/>
  <c r="T635" i="1"/>
  <c r="AY808" i="1"/>
  <c r="AX808" i="1"/>
  <c r="AV808" i="1"/>
  <c r="AT808" i="1"/>
  <c r="AQ808" i="1"/>
  <c r="AP808" i="1"/>
  <c r="AN808" i="1"/>
  <c r="AL808" i="1"/>
  <c r="AG808" i="1"/>
  <c r="AF808" i="1"/>
  <c r="AD808" i="1"/>
  <c r="AB808" i="1"/>
  <c r="Y808" i="1"/>
  <c r="X808" i="1"/>
  <c r="V808" i="1"/>
  <c r="T808" i="1"/>
  <c r="R809" i="1" l="1"/>
  <c r="BA635" i="1"/>
  <c r="R803" i="1"/>
  <c r="AI808" i="1"/>
  <c r="Z808" i="1"/>
  <c r="AZ808" i="1"/>
  <c r="AR808" i="1"/>
  <c r="AI635" i="1"/>
  <c r="AR635" i="1"/>
  <c r="AZ635" i="1"/>
  <c r="BA808" i="1"/>
  <c r="BB303" i="1"/>
  <c r="AH635" i="1"/>
  <c r="Z635" i="1"/>
  <c r="AH808" i="1"/>
  <c r="AQ419" i="1"/>
  <c r="AY740" i="1"/>
  <c r="AX740" i="1"/>
  <c r="AV740" i="1"/>
  <c r="AT740" i="1"/>
  <c r="AQ740" i="1"/>
  <c r="AP740" i="1"/>
  <c r="AN740" i="1"/>
  <c r="AL740" i="1"/>
  <c r="AG740" i="1"/>
  <c r="AF740" i="1"/>
  <c r="AD740" i="1"/>
  <c r="AB740" i="1"/>
  <c r="X740" i="1"/>
  <c r="V740" i="1"/>
  <c r="AY625" i="1"/>
  <c r="AX625" i="1"/>
  <c r="AV625" i="1"/>
  <c r="AT625" i="1"/>
  <c r="AQ625" i="1"/>
  <c r="AP625" i="1"/>
  <c r="AN625" i="1"/>
  <c r="AL625" i="1"/>
  <c r="AG625" i="1"/>
  <c r="AF625" i="1"/>
  <c r="AD625" i="1"/>
  <c r="AB625" i="1"/>
  <c r="Y625" i="1"/>
  <c r="X625" i="1"/>
  <c r="V625" i="1"/>
  <c r="T625" i="1"/>
  <c r="AY583" i="1"/>
  <c r="AX583" i="1"/>
  <c r="AV583" i="1"/>
  <c r="AT583" i="1"/>
  <c r="AQ583" i="1"/>
  <c r="AP583" i="1"/>
  <c r="AN583" i="1"/>
  <c r="AL583" i="1"/>
  <c r="AG583" i="1"/>
  <c r="AF583" i="1"/>
  <c r="AD583" i="1"/>
  <c r="AB583" i="1"/>
  <c r="Y583" i="1"/>
  <c r="X583" i="1"/>
  <c r="V583" i="1"/>
  <c r="T583" i="1"/>
  <c r="AY718" i="1"/>
  <c r="AX718" i="1"/>
  <c r="AV718" i="1"/>
  <c r="AT718" i="1"/>
  <c r="AQ718" i="1"/>
  <c r="AP718" i="1"/>
  <c r="AN718" i="1"/>
  <c r="AL718" i="1"/>
  <c r="AG718" i="1"/>
  <c r="AF718" i="1"/>
  <c r="AD718" i="1"/>
  <c r="AB718" i="1"/>
  <c r="Y718" i="1"/>
  <c r="X718" i="1"/>
  <c r="V718" i="1"/>
  <c r="T718" i="1"/>
  <c r="AQ822" i="1"/>
  <c r="AG822" i="1"/>
  <c r="AQ807" i="1"/>
  <c r="AG807" i="1"/>
  <c r="AY162" i="1"/>
  <c r="AX162" i="1"/>
  <c r="AV162" i="1"/>
  <c r="AT162" i="1"/>
  <c r="AQ162" i="1"/>
  <c r="AP162" i="1"/>
  <c r="AN162" i="1"/>
  <c r="AL162" i="1"/>
  <c r="AG162" i="1"/>
  <c r="AF162" i="1"/>
  <c r="AD162" i="1"/>
  <c r="AB162" i="1"/>
  <c r="X162" i="1"/>
  <c r="V162" i="1"/>
  <c r="AG419" i="1"/>
  <c r="AY419" i="1"/>
  <c r="AX419" i="1"/>
  <c r="AV419" i="1"/>
  <c r="AT419" i="1"/>
  <c r="AP419" i="1"/>
  <c r="AN419" i="1"/>
  <c r="AL419" i="1"/>
  <c r="AF419" i="1"/>
  <c r="AD419" i="1"/>
  <c r="AB419" i="1"/>
  <c r="X419" i="1"/>
  <c r="V419" i="1"/>
  <c r="Q635" i="1" l="1"/>
  <c r="BA740" i="1"/>
  <c r="BB808" i="1"/>
  <c r="BA419" i="1"/>
  <c r="AI718" i="1"/>
  <c r="BA718" i="1"/>
  <c r="BA583" i="1"/>
  <c r="Q808" i="1"/>
  <c r="Z718" i="1"/>
  <c r="AJ808" i="1"/>
  <c r="AZ718" i="1"/>
  <c r="AH740" i="1"/>
  <c r="AZ740" i="1"/>
  <c r="BA625" i="1"/>
  <c r="AR740" i="1"/>
  <c r="AR718" i="1"/>
  <c r="BB635" i="1"/>
  <c r="AJ635" i="1"/>
  <c r="Z625" i="1"/>
  <c r="AR625" i="1"/>
  <c r="AZ625" i="1"/>
  <c r="AH718" i="1"/>
  <c r="AR419" i="1"/>
  <c r="AZ419" i="1"/>
  <c r="AI625" i="1"/>
  <c r="AH625" i="1"/>
  <c r="Z583" i="1"/>
  <c r="AH583" i="1"/>
  <c r="AR583" i="1"/>
  <c r="AZ583" i="1"/>
  <c r="AI583" i="1"/>
  <c r="BA162" i="1"/>
  <c r="AH419" i="1"/>
  <c r="AR162" i="1"/>
  <c r="AZ162" i="1"/>
  <c r="AH162" i="1"/>
  <c r="AY161" i="1"/>
  <c r="AX161" i="1"/>
  <c r="AV161" i="1"/>
  <c r="AT161" i="1"/>
  <c r="AQ161" i="1"/>
  <c r="AP161" i="1"/>
  <c r="AN161" i="1"/>
  <c r="AL161" i="1"/>
  <c r="AG161" i="1"/>
  <c r="AF161" i="1"/>
  <c r="AD161" i="1"/>
  <c r="AB161" i="1"/>
  <c r="X161" i="1"/>
  <c r="V161" i="1"/>
  <c r="AY157" i="1"/>
  <c r="AX157" i="1"/>
  <c r="AV157" i="1"/>
  <c r="AT157" i="1"/>
  <c r="AQ157" i="1"/>
  <c r="AP157" i="1"/>
  <c r="AN157" i="1"/>
  <c r="AL157" i="1"/>
  <c r="AG157" i="1"/>
  <c r="AF157" i="1"/>
  <c r="AD157" i="1"/>
  <c r="AB157" i="1"/>
  <c r="X157" i="1"/>
  <c r="V157" i="1"/>
  <c r="V158" i="1"/>
  <c r="X158" i="1"/>
  <c r="AB158" i="1"/>
  <c r="AD158" i="1"/>
  <c r="AF158" i="1"/>
  <c r="AG158" i="1"/>
  <c r="AL158" i="1"/>
  <c r="AN158" i="1"/>
  <c r="AP158" i="1"/>
  <c r="AQ158" i="1"/>
  <c r="AT158" i="1"/>
  <c r="AV158" i="1"/>
  <c r="AX158" i="1"/>
  <c r="AY158" i="1"/>
  <c r="Q718" i="1" l="1"/>
  <c r="R808" i="1"/>
  <c r="AJ625" i="1"/>
  <c r="BA161" i="1"/>
  <c r="Q583" i="1"/>
  <c r="BA157" i="1"/>
  <c r="BB740" i="1"/>
  <c r="AJ718" i="1"/>
  <c r="BB718" i="1"/>
  <c r="Q625" i="1"/>
  <c r="R635" i="1"/>
  <c r="BB419" i="1"/>
  <c r="BB625" i="1"/>
  <c r="BB583" i="1"/>
  <c r="AJ583" i="1"/>
  <c r="BB162" i="1"/>
  <c r="AH161" i="1"/>
  <c r="AR161" i="1"/>
  <c r="AZ161" i="1"/>
  <c r="AH158" i="1"/>
  <c r="AR158" i="1"/>
  <c r="AZ158" i="1"/>
  <c r="BA158" i="1"/>
  <c r="AH157" i="1"/>
  <c r="AR157" i="1"/>
  <c r="AZ157" i="1"/>
  <c r="AY826" i="1"/>
  <c r="AX826" i="1"/>
  <c r="AV826" i="1"/>
  <c r="AT826" i="1"/>
  <c r="AQ826" i="1"/>
  <c r="AP826" i="1"/>
  <c r="AN826" i="1"/>
  <c r="AL826" i="1"/>
  <c r="AG826" i="1"/>
  <c r="AF826" i="1"/>
  <c r="AD826" i="1"/>
  <c r="AB826" i="1"/>
  <c r="Y826" i="1"/>
  <c r="X826" i="1"/>
  <c r="V826" i="1"/>
  <c r="T826" i="1"/>
  <c r="AY825" i="1"/>
  <c r="AX825" i="1"/>
  <c r="AV825" i="1"/>
  <c r="AT825" i="1"/>
  <c r="AQ825" i="1"/>
  <c r="AP825" i="1"/>
  <c r="AN825" i="1"/>
  <c r="AL825" i="1"/>
  <c r="AG825" i="1"/>
  <c r="AF825" i="1"/>
  <c r="AD825" i="1"/>
  <c r="AB825" i="1"/>
  <c r="Y825" i="1"/>
  <c r="X825" i="1"/>
  <c r="V825" i="1"/>
  <c r="T825" i="1"/>
  <c r="AY299" i="1"/>
  <c r="AX299" i="1"/>
  <c r="AV299" i="1"/>
  <c r="AT299" i="1"/>
  <c r="AQ299" i="1"/>
  <c r="AP299" i="1"/>
  <c r="AN299" i="1"/>
  <c r="AL299" i="1"/>
  <c r="AG299" i="1"/>
  <c r="AF299" i="1"/>
  <c r="AD299" i="1"/>
  <c r="AB299" i="1"/>
  <c r="Y299" i="1"/>
  <c r="X299" i="1"/>
  <c r="V299" i="1"/>
  <c r="T299" i="1"/>
  <c r="AY298" i="1"/>
  <c r="AX298" i="1"/>
  <c r="AV298" i="1"/>
  <c r="AT298" i="1"/>
  <c r="AQ298" i="1"/>
  <c r="AP298" i="1"/>
  <c r="AN298" i="1"/>
  <c r="AL298" i="1"/>
  <c r="AG298" i="1"/>
  <c r="AF298" i="1"/>
  <c r="AD298" i="1"/>
  <c r="AB298" i="1"/>
  <c r="Y298" i="1"/>
  <c r="X298" i="1"/>
  <c r="V298" i="1"/>
  <c r="T298" i="1"/>
  <c r="AY677" i="1"/>
  <c r="AX677" i="1"/>
  <c r="AV677" i="1"/>
  <c r="AT677" i="1"/>
  <c r="AQ677" i="1"/>
  <c r="AP677" i="1"/>
  <c r="AN677" i="1"/>
  <c r="AL677" i="1"/>
  <c r="AG677" i="1"/>
  <c r="AF677" i="1"/>
  <c r="AD677" i="1"/>
  <c r="AB677" i="1"/>
  <c r="X677" i="1"/>
  <c r="V677" i="1"/>
  <c r="AY955" i="1"/>
  <c r="AX955" i="1"/>
  <c r="AV955" i="1"/>
  <c r="AT955" i="1"/>
  <c r="AQ955" i="1"/>
  <c r="AP955" i="1"/>
  <c r="AN955" i="1"/>
  <c r="AL955" i="1"/>
  <c r="AG955" i="1"/>
  <c r="AF955" i="1"/>
  <c r="AD955" i="1"/>
  <c r="AB955" i="1"/>
  <c r="Y955" i="1"/>
  <c r="X955" i="1"/>
  <c r="V955" i="1"/>
  <c r="T955" i="1"/>
  <c r="Y822" i="1"/>
  <c r="BA955" i="1" l="1"/>
  <c r="BA826" i="1"/>
  <c r="BA299" i="1"/>
  <c r="AI826" i="1"/>
  <c r="R625" i="1"/>
  <c r="BA677" i="1"/>
  <c r="BA298" i="1"/>
  <c r="BB158" i="1"/>
  <c r="R718" i="1"/>
  <c r="AI955" i="1"/>
  <c r="AH826" i="1"/>
  <c r="AR826" i="1"/>
  <c r="AZ825" i="1"/>
  <c r="AZ826" i="1"/>
  <c r="AI825" i="1"/>
  <c r="R583" i="1"/>
  <c r="AI298" i="1"/>
  <c r="AI299" i="1"/>
  <c r="BB161" i="1"/>
  <c r="BA825" i="1"/>
  <c r="AH825" i="1"/>
  <c r="AR825" i="1"/>
  <c r="AH955" i="1"/>
  <c r="AR955" i="1"/>
  <c r="AZ955" i="1"/>
  <c r="AR298" i="1"/>
  <c r="AZ298" i="1"/>
  <c r="Z299" i="1"/>
  <c r="AH299" i="1"/>
  <c r="AR299" i="1"/>
  <c r="AZ299" i="1"/>
  <c r="BB157" i="1"/>
  <c r="AH298" i="1"/>
  <c r="Z826" i="1"/>
  <c r="Z825" i="1"/>
  <c r="Z298" i="1"/>
  <c r="AH677" i="1"/>
  <c r="AR677" i="1"/>
  <c r="AZ677" i="1"/>
  <c r="Z955" i="1"/>
  <c r="AY397" i="1"/>
  <c r="AX397" i="1"/>
  <c r="AV397" i="1"/>
  <c r="AT397" i="1"/>
  <c r="AQ397" i="1"/>
  <c r="AP397" i="1"/>
  <c r="AN397" i="1"/>
  <c r="AL397" i="1"/>
  <c r="AG397" i="1"/>
  <c r="AF397" i="1"/>
  <c r="AD397" i="1"/>
  <c r="AB397" i="1"/>
  <c r="X397" i="1"/>
  <c r="V397" i="1"/>
  <c r="Q955" i="1" l="1"/>
  <c r="Q826" i="1"/>
  <c r="Q299" i="1"/>
  <c r="Q298" i="1"/>
  <c r="BA397" i="1"/>
  <c r="BB825" i="1"/>
  <c r="AJ826" i="1"/>
  <c r="AJ955" i="1"/>
  <c r="BB826" i="1"/>
  <c r="Q825" i="1"/>
  <c r="AJ825" i="1"/>
  <c r="BB298" i="1"/>
  <c r="AJ299" i="1"/>
  <c r="BB955" i="1"/>
  <c r="BB299" i="1"/>
  <c r="AJ298" i="1"/>
  <c r="AH397" i="1"/>
  <c r="AR397" i="1"/>
  <c r="AZ397" i="1"/>
  <c r="BB677" i="1"/>
  <c r="R825" i="1" l="1"/>
  <c r="R955" i="1"/>
  <c r="R826" i="1"/>
  <c r="R298" i="1"/>
  <c r="R299" i="1"/>
  <c r="BB397" i="1"/>
  <c r="AY954" i="1" l="1"/>
  <c r="AX954" i="1"/>
  <c r="AV954" i="1"/>
  <c r="AT954" i="1"/>
  <c r="AQ954" i="1"/>
  <c r="AP954" i="1"/>
  <c r="AN954" i="1"/>
  <c r="AL954" i="1"/>
  <c r="AG954" i="1"/>
  <c r="AF954" i="1"/>
  <c r="AD954" i="1"/>
  <c r="AB954" i="1"/>
  <c r="Y954" i="1"/>
  <c r="X954" i="1"/>
  <c r="V954" i="1"/>
  <c r="T954" i="1"/>
  <c r="BA954" i="1" l="1"/>
  <c r="AI954" i="1"/>
  <c r="AH954" i="1"/>
  <c r="AR954" i="1"/>
  <c r="AZ954" i="1"/>
  <c r="Z954" i="1"/>
  <c r="Q954" i="1" l="1"/>
  <c r="AJ954" i="1"/>
  <c r="BB954" i="1"/>
  <c r="AY97" i="1"/>
  <c r="AX97" i="1"/>
  <c r="AV97" i="1"/>
  <c r="AT97" i="1"/>
  <c r="AQ97" i="1"/>
  <c r="AP97" i="1"/>
  <c r="AN97" i="1"/>
  <c r="AL97" i="1"/>
  <c r="AG97" i="1"/>
  <c r="AF97" i="1"/>
  <c r="AD97" i="1"/>
  <c r="AB97" i="1"/>
  <c r="X97" i="1"/>
  <c r="V97" i="1"/>
  <c r="R954" i="1" l="1"/>
  <c r="BA97" i="1"/>
  <c r="AZ97" i="1"/>
  <c r="AH97" i="1"/>
  <c r="AR97" i="1"/>
  <c r="AY746" i="1"/>
  <c r="AX746" i="1"/>
  <c r="AV746" i="1"/>
  <c r="AT746" i="1"/>
  <c r="AQ746" i="1"/>
  <c r="AP746" i="1"/>
  <c r="AN746" i="1"/>
  <c r="AL746" i="1"/>
  <c r="AG746" i="1"/>
  <c r="AF746" i="1"/>
  <c r="AD746" i="1"/>
  <c r="AB746" i="1"/>
  <c r="X746" i="1"/>
  <c r="V746" i="1"/>
  <c r="AY1029" i="1"/>
  <c r="AX1029" i="1"/>
  <c r="AV1029" i="1"/>
  <c r="AT1029" i="1"/>
  <c r="AQ1029" i="1"/>
  <c r="AP1029" i="1"/>
  <c r="AN1029" i="1"/>
  <c r="AL1029" i="1"/>
  <c r="AG1029" i="1"/>
  <c r="AF1029" i="1"/>
  <c r="AD1029" i="1"/>
  <c r="AB1029" i="1"/>
  <c r="Y1029" i="1"/>
  <c r="X1029" i="1"/>
  <c r="V1029" i="1"/>
  <c r="T1029" i="1"/>
  <c r="AY1027" i="1"/>
  <c r="AX1027" i="1"/>
  <c r="AV1027" i="1"/>
  <c r="AT1027" i="1"/>
  <c r="AQ1027" i="1"/>
  <c r="AP1027" i="1"/>
  <c r="AN1027" i="1"/>
  <c r="AL1027" i="1"/>
  <c r="AG1027" i="1"/>
  <c r="AF1027" i="1"/>
  <c r="AD1027" i="1"/>
  <c r="AB1027" i="1"/>
  <c r="Y1027" i="1"/>
  <c r="X1027" i="1"/>
  <c r="V1027" i="1"/>
  <c r="T1027" i="1"/>
  <c r="AY1024" i="1"/>
  <c r="AX1024" i="1"/>
  <c r="AV1024" i="1"/>
  <c r="AT1024" i="1"/>
  <c r="AQ1024" i="1"/>
  <c r="AP1024" i="1"/>
  <c r="AN1024" i="1"/>
  <c r="AL1024" i="1"/>
  <c r="AG1024" i="1"/>
  <c r="AF1024" i="1"/>
  <c r="AD1024" i="1"/>
  <c r="AB1024" i="1"/>
  <c r="Y1024" i="1"/>
  <c r="X1024" i="1"/>
  <c r="V1024" i="1"/>
  <c r="T1024" i="1"/>
  <c r="BA1024" i="1" l="1"/>
  <c r="BA1027" i="1"/>
  <c r="BA1029" i="1"/>
  <c r="AI1027" i="1"/>
  <c r="BA746" i="1"/>
  <c r="AI1029" i="1"/>
  <c r="AI1024" i="1"/>
  <c r="BB97" i="1"/>
  <c r="AH1024" i="1"/>
  <c r="AR1024" i="1"/>
  <c r="AZ1024" i="1"/>
  <c r="AH1027" i="1"/>
  <c r="AR1027" i="1"/>
  <c r="AZ1027" i="1"/>
  <c r="AH1029" i="1"/>
  <c r="AR1029" i="1"/>
  <c r="AZ1029" i="1"/>
  <c r="AH746" i="1"/>
  <c r="AR746" i="1"/>
  <c r="AZ746" i="1"/>
  <c r="Z1029" i="1"/>
  <c r="Z1027" i="1"/>
  <c r="Z1024" i="1"/>
  <c r="Q1029" i="1" l="1"/>
  <c r="Q1027" i="1"/>
  <c r="Q1024" i="1"/>
  <c r="AJ1027" i="1"/>
  <c r="BB746" i="1"/>
  <c r="BB1024" i="1"/>
  <c r="AJ1029" i="1"/>
  <c r="BB1027" i="1"/>
  <c r="AJ1024" i="1"/>
  <c r="BB1029" i="1"/>
  <c r="AY632" i="1"/>
  <c r="AX632" i="1"/>
  <c r="AV632" i="1"/>
  <c r="AT632" i="1"/>
  <c r="AQ632" i="1"/>
  <c r="AP632" i="1"/>
  <c r="AN632" i="1"/>
  <c r="AL632" i="1"/>
  <c r="AG632" i="1"/>
  <c r="AF632" i="1"/>
  <c r="AD632" i="1"/>
  <c r="AB632" i="1"/>
  <c r="Y632" i="1"/>
  <c r="X632" i="1"/>
  <c r="V632" i="1"/>
  <c r="T632" i="1"/>
  <c r="AY633" i="1"/>
  <c r="AX633" i="1"/>
  <c r="AV633" i="1"/>
  <c r="AT633" i="1"/>
  <c r="AQ633" i="1"/>
  <c r="AP633" i="1"/>
  <c r="AN633" i="1"/>
  <c r="AL633" i="1"/>
  <c r="AG633" i="1"/>
  <c r="AF633" i="1"/>
  <c r="AD633" i="1"/>
  <c r="AB633" i="1"/>
  <c r="Y633" i="1"/>
  <c r="X633" i="1"/>
  <c r="V633" i="1"/>
  <c r="T633" i="1"/>
  <c r="AY572" i="1"/>
  <c r="AX572" i="1"/>
  <c r="AV572" i="1"/>
  <c r="AT572" i="1"/>
  <c r="AQ572" i="1"/>
  <c r="AP572" i="1"/>
  <c r="AN572" i="1"/>
  <c r="AL572" i="1"/>
  <c r="AG572" i="1"/>
  <c r="AF572" i="1"/>
  <c r="AD572" i="1"/>
  <c r="AB572" i="1"/>
  <c r="Y572" i="1"/>
  <c r="X572" i="1"/>
  <c r="V572" i="1"/>
  <c r="T572" i="1"/>
  <c r="AY446" i="1"/>
  <c r="AX446" i="1"/>
  <c r="AV446" i="1"/>
  <c r="AT446" i="1"/>
  <c r="AQ446" i="1"/>
  <c r="AP446" i="1"/>
  <c r="AN446" i="1"/>
  <c r="AL446" i="1"/>
  <c r="AG446" i="1"/>
  <c r="AF446" i="1"/>
  <c r="AD446" i="1"/>
  <c r="AB446" i="1"/>
  <c r="X446" i="1"/>
  <c r="V446" i="1"/>
  <c r="AY447" i="1"/>
  <c r="AX447" i="1"/>
  <c r="AV447" i="1"/>
  <c r="AT447" i="1"/>
  <c r="AQ447" i="1"/>
  <c r="AP447" i="1"/>
  <c r="AN447" i="1"/>
  <c r="AL447" i="1"/>
  <c r="AG447" i="1"/>
  <c r="AF447" i="1"/>
  <c r="AD447" i="1"/>
  <c r="AB447" i="1"/>
  <c r="X447" i="1"/>
  <c r="V447" i="1"/>
  <c r="AY444" i="1"/>
  <c r="AX444" i="1"/>
  <c r="AV444" i="1"/>
  <c r="AT444" i="1"/>
  <c r="AQ444" i="1"/>
  <c r="AP444" i="1"/>
  <c r="AN444" i="1"/>
  <c r="AL444" i="1"/>
  <c r="AG444" i="1"/>
  <c r="AF444" i="1"/>
  <c r="AD444" i="1"/>
  <c r="AB444" i="1"/>
  <c r="X444" i="1"/>
  <c r="V444" i="1"/>
  <c r="AY327" i="1"/>
  <c r="AX327" i="1"/>
  <c r="AV327" i="1"/>
  <c r="AT327" i="1"/>
  <c r="AQ327" i="1"/>
  <c r="AP327" i="1"/>
  <c r="AN327" i="1"/>
  <c r="AL327" i="1"/>
  <c r="AG327" i="1"/>
  <c r="AF327" i="1"/>
  <c r="AD327" i="1"/>
  <c r="AB327" i="1"/>
  <c r="X327" i="1"/>
  <c r="V327" i="1"/>
  <c r="AY325" i="1"/>
  <c r="AX325" i="1"/>
  <c r="AV325" i="1"/>
  <c r="AT325" i="1"/>
  <c r="AQ325" i="1"/>
  <c r="AP325" i="1"/>
  <c r="AN325" i="1"/>
  <c r="AL325" i="1"/>
  <c r="AG325" i="1"/>
  <c r="AF325" i="1"/>
  <c r="AD325" i="1"/>
  <c r="AB325" i="1"/>
  <c r="X325" i="1"/>
  <c r="V325" i="1"/>
  <c r="AY326" i="1"/>
  <c r="AX326" i="1"/>
  <c r="AV326" i="1"/>
  <c r="AT326" i="1"/>
  <c r="AQ326" i="1"/>
  <c r="AP326" i="1"/>
  <c r="AN326" i="1"/>
  <c r="AL326" i="1"/>
  <c r="AG326" i="1"/>
  <c r="AF326" i="1"/>
  <c r="AD326" i="1"/>
  <c r="AB326" i="1"/>
  <c r="X326" i="1"/>
  <c r="V326" i="1"/>
  <c r="AI572" i="1" l="1"/>
  <c r="BA447" i="1"/>
  <c r="BA572" i="1"/>
  <c r="Q572" i="1" s="1"/>
  <c r="BA446" i="1"/>
  <c r="AI633" i="1"/>
  <c r="BA633" i="1"/>
  <c r="BA444" i="1"/>
  <c r="AI632" i="1"/>
  <c r="BA632" i="1"/>
  <c r="R1027" i="1"/>
  <c r="R1029" i="1"/>
  <c r="R1024" i="1"/>
  <c r="BA325" i="1"/>
  <c r="Z633" i="1"/>
  <c r="AH633" i="1"/>
  <c r="BA326" i="1"/>
  <c r="Z572" i="1"/>
  <c r="AR572" i="1"/>
  <c r="AZ572" i="1"/>
  <c r="AH632" i="1"/>
  <c r="AR632" i="1"/>
  <c r="AZ632" i="1"/>
  <c r="AH572" i="1"/>
  <c r="AR633" i="1"/>
  <c r="Z632" i="1"/>
  <c r="AZ633" i="1"/>
  <c r="BA327" i="1"/>
  <c r="AH447" i="1"/>
  <c r="AR447" i="1"/>
  <c r="AZ447" i="1"/>
  <c r="AH446" i="1"/>
  <c r="AR446" i="1"/>
  <c r="AZ446" i="1"/>
  <c r="AH325" i="1"/>
  <c r="AH327" i="1"/>
  <c r="AH444" i="1"/>
  <c r="AR444" i="1"/>
  <c r="AZ444" i="1"/>
  <c r="AR325" i="1"/>
  <c r="AZ325" i="1"/>
  <c r="AR327" i="1"/>
  <c r="AZ327" i="1"/>
  <c r="AH326" i="1"/>
  <c r="AZ326" i="1"/>
  <c r="AR326" i="1"/>
  <c r="Q633" i="1" l="1"/>
  <c r="Q632" i="1"/>
  <c r="AJ632" i="1"/>
  <c r="AJ572" i="1"/>
  <c r="BB633" i="1"/>
  <c r="AJ633" i="1"/>
  <c r="BB632" i="1"/>
  <c r="BB325" i="1"/>
  <c r="BB572" i="1"/>
  <c r="BB326" i="1"/>
  <c r="BB446" i="1"/>
  <c r="BB447" i="1"/>
  <c r="BB327" i="1"/>
  <c r="BB444" i="1"/>
  <c r="R572" i="1" l="1"/>
  <c r="R632" i="1"/>
  <c r="R633" i="1"/>
  <c r="AY295" i="1" l="1"/>
  <c r="AX295" i="1"/>
  <c r="AV295" i="1"/>
  <c r="AT295" i="1"/>
  <c r="AQ295" i="1"/>
  <c r="AP295" i="1"/>
  <c r="AN295" i="1"/>
  <c r="AL295" i="1"/>
  <c r="AG295" i="1"/>
  <c r="AF295" i="1"/>
  <c r="AD295" i="1"/>
  <c r="AB295" i="1"/>
  <c r="Y295" i="1"/>
  <c r="X295" i="1"/>
  <c r="V295" i="1"/>
  <c r="T295" i="1"/>
  <c r="V25" i="1"/>
  <c r="X25" i="1"/>
  <c r="AB25" i="1"/>
  <c r="AD25" i="1"/>
  <c r="AF25" i="1"/>
  <c r="AG25" i="1"/>
  <c r="AL25" i="1"/>
  <c r="AN25" i="1"/>
  <c r="AP25" i="1"/>
  <c r="AQ25" i="1"/>
  <c r="AT25" i="1"/>
  <c r="AV25" i="1"/>
  <c r="AX25" i="1"/>
  <c r="AY25" i="1"/>
  <c r="V26" i="1"/>
  <c r="X26" i="1"/>
  <c r="AB26" i="1"/>
  <c r="AD26" i="1"/>
  <c r="AF26" i="1"/>
  <c r="AG26" i="1"/>
  <c r="AL26" i="1"/>
  <c r="AN26" i="1"/>
  <c r="AP26" i="1"/>
  <c r="AQ26" i="1"/>
  <c r="AT26" i="1"/>
  <c r="AV26" i="1"/>
  <c r="AX26" i="1"/>
  <c r="AY26" i="1"/>
  <c r="AI295" i="1" l="1"/>
  <c r="BA295" i="1"/>
  <c r="BA26" i="1"/>
  <c r="Z295" i="1"/>
  <c r="AH295" i="1"/>
  <c r="AR25" i="1"/>
  <c r="AR295" i="1"/>
  <c r="AZ295" i="1"/>
  <c r="AZ26" i="1"/>
  <c r="AR26" i="1"/>
  <c r="BA25" i="1"/>
  <c r="AH26" i="1"/>
  <c r="AZ25" i="1"/>
  <c r="AH25" i="1"/>
  <c r="Q295" i="1" l="1"/>
  <c r="BB26" i="1"/>
  <c r="AJ295" i="1"/>
  <c r="BB25" i="1"/>
  <c r="BB295" i="1"/>
  <c r="R295" i="1" l="1"/>
  <c r="Y1103" i="1" l="1"/>
  <c r="Y1100" i="1"/>
  <c r="Y1050" i="1"/>
  <c r="Y1045" i="1"/>
  <c r="Y1038" i="1"/>
  <c r="AG1045" i="1"/>
  <c r="Y947" i="1"/>
  <c r="AG827" i="1"/>
  <c r="AQ717" i="1" l="1"/>
  <c r="AQ739" i="1"/>
  <c r="AQ1055" i="1"/>
  <c r="AQ1052" i="1"/>
  <c r="Y1118" i="1"/>
  <c r="AY726" i="1"/>
  <c r="AX726" i="1"/>
  <c r="AV726" i="1"/>
  <c r="AT726" i="1"/>
  <c r="AQ726" i="1"/>
  <c r="AP726" i="1"/>
  <c r="AN726" i="1"/>
  <c r="AL726" i="1"/>
  <c r="AG726" i="1"/>
  <c r="AF726" i="1"/>
  <c r="AD726" i="1"/>
  <c r="AB726" i="1"/>
  <c r="Y726" i="1"/>
  <c r="X726" i="1"/>
  <c r="V726" i="1"/>
  <c r="T726" i="1"/>
  <c r="AY727" i="1"/>
  <c r="AX727" i="1"/>
  <c r="AV727" i="1"/>
  <c r="AT727" i="1"/>
  <c r="AQ727" i="1"/>
  <c r="AP727" i="1"/>
  <c r="AN727" i="1"/>
  <c r="AL727" i="1"/>
  <c r="AG727" i="1"/>
  <c r="AF727" i="1"/>
  <c r="AD727" i="1"/>
  <c r="AB727" i="1"/>
  <c r="Y727" i="1"/>
  <c r="X727" i="1"/>
  <c r="V727" i="1"/>
  <c r="T727" i="1"/>
  <c r="AY728" i="1"/>
  <c r="AX728" i="1"/>
  <c r="AV728" i="1"/>
  <c r="AT728" i="1"/>
  <c r="AQ728" i="1"/>
  <c r="AP728" i="1"/>
  <c r="AN728" i="1"/>
  <c r="AL728" i="1"/>
  <c r="AG728" i="1"/>
  <c r="AF728" i="1"/>
  <c r="AD728" i="1"/>
  <c r="AB728" i="1"/>
  <c r="Y728" i="1"/>
  <c r="X728" i="1"/>
  <c r="V728" i="1"/>
  <c r="T728" i="1"/>
  <c r="AY739" i="1"/>
  <c r="AX739" i="1"/>
  <c r="AV739" i="1"/>
  <c r="AT739" i="1"/>
  <c r="AP739" i="1"/>
  <c r="AN739" i="1"/>
  <c r="AL739" i="1"/>
  <c r="AG739" i="1"/>
  <c r="AF739" i="1"/>
  <c r="AD739" i="1"/>
  <c r="AB739" i="1"/>
  <c r="X739" i="1"/>
  <c r="V739" i="1"/>
  <c r="AY634" i="1"/>
  <c r="AX634" i="1"/>
  <c r="AV634" i="1"/>
  <c r="AT634" i="1"/>
  <c r="AQ634" i="1"/>
  <c r="AP634" i="1"/>
  <c r="AN634" i="1"/>
  <c r="AL634" i="1"/>
  <c r="AG634" i="1"/>
  <c r="AF634" i="1"/>
  <c r="AD634" i="1"/>
  <c r="AB634" i="1"/>
  <c r="Y634" i="1"/>
  <c r="X634" i="1"/>
  <c r="V634" i="1"/>
  <c r="T634" i="1"/>
  <c r="AY631" i="1"/>
  <c r="AX631" i="1"/>
  <c r="AV631" i="1"/>
  <c r="AT631" i="1"/>
  <c r="AQ631" i="1"/>
  <c r="AP631" i="1"/>
  <c r="AN631" i="1"/>
  <c r="AL631" i="1"/>
  <c r="AG631" i="1"/>
  <c r="AF631" i="1"/>
  <c r="AD631" i="1"/>
  <c r="AB631" i="1"/>
  <c r="Y631" i="1"/>
  <c r="X631" i="1"/>
  <c r="V631" i="1"/>
  <c r="T631" i="1"/>
  <c r="AY638" i="1"/>
  <c r="AX638" i="1"/>
  <c r="AV638" i="1"/>
  <c r="AT638" i="1"/>
  <c r="AQ638" i="1"/>
  <c r="AP638" i="1"/>
  <c r="AN638" i="1"/>
  <c r="AL638" i="1"/>
  <c r="AG638" i="1"/>
  <c r="AF638" i="1"/>
  <c r="AD638" i="1"/>
  <c r="AB638" i="1"/>
  <c r="Y638" i="1"/>
  <c r="X638" i="1"/>
  <c r="V638" i="1"/>
  <c r="T638" i="1"/>
  <c r="AY642" i="1"/>
  <c r="AX642" i="1"/>
  <c r="AV642" i="1"/>
  <c r="AT642" i="1"/>
  <c r="AQ642" i="1"/>
  <c r="AP642" i="1"/>
  <c r="AN642" i="1"/>
  <c r="AL642" i="1"/>
  <c r="AG642" i="1"/>
  <c r="AF642" i="1"/>
  <c r="AD642" i="1"/>
  <c r="AB642" i="1"/>
  <c r="Y642" i="1"/>
  <c r="X642" i="1"/>
  <c r="V642" i="1"/>
  <c r="T642" i="1"/>
  <c r="AY1055" i="1"/>
  <c r="AX1055" i="1"/>
  <c r="AV1055" i="1"/>
  <c r="AT1055" i="1"/>
  <c r="AP1055" i="1"/>
  <c r="AN1055" i="1"/>
  <c r="AL1055" i="1"/>
  <c r="AG1055" i="1"/>
  <c r="AF1055" i="1"/>
  <c r="AD1055" i="1"/>
  <c r="AB1055" i="1"/>
  <c r="Y1055" i="1"/>
  <c r="X1055" i="1"/>
  <c r="V1055" i="1"/>
  <c r="T1055" i="1"/>
  <c r="AY806" i="1"/>
  <c r="AX806" i="1"/>
  <c r="AV806" i="1"/>
  <c r="AT806" i="1"/>
  <c r="AQ806" i="1"/>
  <c r="AP806" i="1"/>
  <c r="AN806" i="1"/>
  <c r="AL806" i="1"/>
  <c r="AG806" i="1"/>
  <c r="AF806" i="1"/>
  <c r="AD806" i="1"/>
  <c r="AB806" i="1"/>
  <c r="Y806" i="1"/>
  <c r="X806" i="1"/>
  <c r="V806" i="1"/>
  <c r="T806" i="1"/>
  <c r="AY72" i="1"/>
  <c r="AX72" i="1"/>
  <c r="AV72" i="1"/>
  <c r="AT72" i="1"/>
  <c r="AQ72" i="1"/>
  <c r="AP72" i="1"/>
  <c r="AN72" i="1"/>
  <c r="AL72" i="1"/>
  <c r="AG72" i="1"/>
  <c r="AF72" i="1"/>
  <c r="AD72" i="1"/>
  <c r="AB72" i="1"/>
  <c r="X72" i="1"/>
  <c r="V72" i="1"/>
  <c r="AY420" i="1"/>
  <c r="AX420" i="1"/>
  <c r="AV420" i="1"/>
  <c r="AT420" i="1"/>
  <c r="AQ420" i="1"/>
  <c r="AP420" i="1"/>
  <c r="AN420" i="1"/>
  <c r="AL420" i="1"/>
  <c r="AG420" i="1"/>
  <c r="AF420" i="1"/>
  <c r="AD420" i="1"/>
  <c r="AB420" i="1"/>
  <c r="X420" i="1"/>
  <c r="V420" i="1"/>
  <c r="AI806" i="1" l="1"/>
  <c r="AI634" i="1"/>
  <c r="AI642" i="1"/>
  <c r="BA634" i="1"/>
  <c r="AI638" i="1"/>
  <c r="AI727" i="1"/>
  <c r="BA739" i="1"/>
  <c r="BA1055" i="1"/>
  <c r="AR739" i="1"/>
  <c r="BA728" i="1"/>
  <c r="BA726" i="1"/>
  <c r="BA727" i="1"/>
  <c r="AI728" i="1"/>
  <c r="AI726" i="1"/>
  <c r="AH726" i="1"/>
  <c r="Z726" i="1"/>
  <c r="AZ726" i="1"/>
  <c r="AZ727" i="1"/>
  <c r="Z727" i="1"/>
  <c r="AH727" i="1"/>
  <c r="AR726" i="1"/>
  <c r="AR727" i="1"/>
  <c r="Z728" i="1"/>
  <c r="AR728" i="1"/>
  <c r="AH728" i="1"/>
  <c r="AZ728" i="1"/>
  <c r="AZ739" i="1"/>
  <c r="AI1055" i="1"/>
  <c r="BA642" i="1"/>
  <c r="AH739" i="1"/>
  <c r="BA420" i="1"/>
  <c r="Z638" i="1"/>
  <c r="AH638" i="1"/>
  <c r="AR638" i="1"/>
  <c r="Z634" i="1"/>
  <c r="AH634" i="1"/>
  <c r="AR634" i="1"/>
  <c r="AR1055" i="1"/>
  <c r="AZ1055" i="1"/>
  <c r="Z1055" i="1"/>
  <c r="AH1055" i="1"/>
  <c r="Z631" i="1"/>
  <c r="AH631" i="1"/>
  <c r="AR631" i="1"/>
  <c r="AR642" i="1"/>
  <c r="AI631" i="1"/>
  <c r="BA631" i="1"/>
  <c r="BA638" i="1"/>
  <c r="AZ642" i="1"/>
  <c r="AZ638" i="1"/>
  <c r="AZ634" i="1"/>
  <c r="AZ631" i="1"/>
  <c r="Z642" i="1"/>
  <c r="AH642" i="1"/>
  <c r="AZ420" i="1"/>
  <c r="AH420" i="1"/>
  <c r="Z806" i="1"/>
  <c r="AH806" i="1"/>
  <c r="AR806" i="1"/>
  <c r="AZ72" i="1"/>
  <c r="BA806" i="1"/>
  <c r="AZ806" i="1"/>
  <c r="AR420" i="1"/>
  <c r="BA72" i="1"/>
  <c r="AR72" i="1"/>
  <c r="AH72" i="1"/>
  <c r="BB727" i="1" l="1"/>
  <c r="Q634" i="1"/>
  <c r="BB726" i="1"/>
  <c r="Q642" i="1"/>
  <c r="Q726" i="1"/>
  <c r="Q638" i="1"/>
  <c r="AJ726" i="1"/>
  <c r="BB642" i="1"/>
  <c r="Q727" i="1"/>
  <c r="Q1055" i="1"/>
  <c r="Q728" i="1"/>
  <c r="AJ727" i="1"/>
  <c r="R727" i="1" s="1"/>
  <c r="BB728" i="1"/>
  <c r="AJ728" i="1"/>
  <c r="BB739" i="1"/>
  <c r="BB634" i="1"/>
  <c r="AJ1055" i="1"/>
  <c r="AJ638" i="1"/>
  <c r="BB638" i="1"/>
  <c r="BB72" i="1"/>
  <c r="BB806" i="1"/>
  <c r="AJ634" i="1"/>
  <c r="Q806" i="1"/>
  <c r="BB1055" i="1"/>
  <c r="Q631" i="1"/>
  <c r="BB631" i="1"/>
  <c r="AJ631" i="1"/>
  <c r="AJ642" i="1"/>
  <c r="BB420" i="1"/>
  <c r="AJ806" i="1"/>
  <c r="R726" i="1" l="1"/>
  <c r="R642" i="1"/>
  <c r="R638" i="1"/>
  <c r="R806" i="1"/>
  <c r="R1055" i="1"/>
  <c r="R728" i="1"/>
  <c r="R634" i="1"/>
  <c r="R631" i="1"/>
  <c r="AY422" i="1" l="1"/>
  <c r="AX422" i="1"/>
  <c r="AV422" i="1"/>
  <c r="AT422" i="1"/>
  <c r="AQ422" i="1"/>
  <c r="AP422" i="1"/>
  <c r="AN422" i="1"/>
  <c r="AL422" i="1"/>
  <c r="AG422" i="1"/>
  <c r="AF422" i="1"/>
  <c r="AD422" i="1"/>
  <c r="AB422" i="1"/>
  <c r="X422" i="1"/>
  <c r="V422" i="1"/>
  <c r="BA422" i="1" l="1"/>
  <c r="AZ422" i="1"/>
  <c r="AH422" i="1"/>
  <c r="AR422" i="1"/>
  <c r="AY155" i="1"/>
  <c r="AX155" i="1"/>
  <c r="AV155" i="1"/>
  <c r="AT155" i="1"/>
  <c r="AQ155" i="1"/>
  <c r="AP155" i="1"/>
  <c r="AN155" i="1"/>
  <c r="AL155" i="1"/>
  <c r="AG155" i="1"/>
  <c r="AF155" i="1"/>
  <c r="AD155" i="1"/>
  <c r="AB155" i="1"/>
  <c r="X155" i="1"/>
  <c r="V155" i="1"/>
  <c r="BA155" i="1" l="1"/>
  <c r="BB422" i="1"/>
  <c r="AR155" i="1"/>
  <c r="AZ155" i="1"/>
  <c r="AH155" i="1"/>
  <c r="BB155" i="1" l="1"/>
  <c r="AY500" i="1"/>
  <c r="AX500" i="1"/>
  <c r="AV500" i="1"/>
  <c r="AT500" i="1"/>
  <c r="AQ500" i="1"/>
  <c r="AP500" i="1"/>
  <c r="AN500" i="1"/>
  <c r="AL500" i="1"/>
  <c r="AG500" i="1"/>
  <c r="AF500" i="1"/>
  <c r="AD500" i="1"/>
  <c r="AB500" i="1"/>
  <c r="Y500" i="1"/>
  <c r="X500" i="1"/>
  <c r="V500" i="1"/>
  <c r="T500" i="1"/>
  <c r="AY501" i="1"/>
  <c r="AX501" i="1"/>
  <c r="AV501" i="1"/>
  <c r="AT501" i="1"/>
  <c r="AQ501" i="1"/>
  <c r="AP501" i="1"/>
  <c r="AN501" i="1"/>
  <c r="AL501" i="1"/>
  <c r="AG501" i="1"/>
  <c r="AF501" i="1"/>
  <c r="AD501" i="1"/>
  <c r="AB501" i="1"/>
  <c r="Y501" i="1"/>
  <c r="X501" i="1"/>
  <c r="V501" i="1"/>
  <c r="T501" i="1"/>
  <c r="AY502" i="1"/>
  <c r="AX502" i="1"/>
  <c r="AV502" i="1"/>
  <c r="AT502" i="1"/>
  <c r="AQ502" i="1"/>
  <c r="AP502" i="1"/>
  <c r="AN502" i="1"/>
  <c r="AL502" i="1"/>
  <c r="AG502" i="1"/>
  <c r="AF502" i="1"/>
  <c r="AD502" i="1"/>
  <c r="AB502" i="1"/>
  <c r="Y502" i="1"/>
  <c r="X502" i="1"/>
  <c r="V502" i="1"/>
  <c r="T502" i="1"/>
  <c r="AY743" i="1"/>
  <c r="AX743" i="1"/>
  <c r="AV743" i="1"/>
  <c r="AT743" i="1"/>
  <c r="AQ743" i="1"/>
  <c r="AP743" i="1"/>
  <c r="AN743" i="1"/>
  <c r="AL743" i="1"/>
  <c r="AG743" i="1"/>
  <c r="AF743" i="1"/>
  <c r="AD743" i="1"/>
  <c r="AB743" i="1"/>
  <c r="X743" i="1"/>
  <c r="V743" i="1"/>
  <c r="AY678" i="1"/>
  <c r="AX678" i="1"/>
  <c r="AV678" i="1"/>
  <c r="AT678" i="1"/>
  <c r="AQ678" i="1"/>
  <c r="AP678" i="1"/>
  <c r="AN678" i="1"/>
  <c r="AL678" i="1"/>
  <c r="AG678" i="1"/>
  <c r="AF678" i="1"/>
  <c r="AD678" i="1"/>
  <c r="AB678" i="1"/>
  <c r="X678" i="1"/>
  <c r="V678" i="1"/>
  <c r="AY1052" i="1"/>
  <c r="BA1052" i="1" s="1"/>
  <c r="AX1052" i="1"/>
  <c r="AV1052" i="1"/>
  <c r="AT1052" i="1"/>
  <c r="AP1052" i="1"/>
  <c r="AN1052" i="1"/>
  <c r="AL1052" i="1"/>
  <c r="AG1052" i="1"/>
  <c r="AF1052" i="1"/>
  <c r="AD1052" i="1"/>
  <c r="AB1052" i="1"/>
  <c r="X1052" i="1"/>
  <c r="V1052" i="1"/>
  <c r="T1052" i="1"/>
  <c r="AY1096" i="1"/>
  <c r="AX1096" i="1"/>
  <c r="AV1096" i="1"/>
  <c r="AT1096" i="1"/>
  <c r="AQ1096" i="1"/>
  <c r="AP1096" i="1"/>
  <c r="AN1096" i="1"/>
  <c r="AL1096" i="1"/>
  <c r="AG1096" i="1"/>
  <c r="AF1096" i="1"/>
  <c r="AD1096" i="1"/>
  <c r="AB1096" i="1"/>
  <c r="Y1096" i="1"/>
  <c r="X1096" i="1"/>
  <c r="V1096" i="1"/>
  <c r="T1096" i="1"/>
  <c r="AY807" i="1"/>
  <c r="AY159" i="1"/>
  <c r="AX159" i="1"/>
  <c r="AV159" i="1"/>
  <c r="AT159" i="1"/>
  <c r="AQ159" i="1"/>
  <c r="AP159" i="1"/>
  <c r="AN159" i="1"/>
  <c r="AL159" i="1"/>
  <c r="AG159" i="1"/>
  <c r="AF159" i="1"/>
  <c r="AD159" i="1"/>
  <c r="AB159" i="1"/>
  <c r="X159" i="1"/>
  <c r="V159" i="1"/>
  <c r="AY244" i="1"/>
  <c r="BA159" i="1" l="1"/>
  <c r="AI1096" i="1"/>
  <c r="AI1052" i="1"/>
  <c r="Q1052" i="1" s="1"/>
  <c r="BA500" i="1"/>
  <c r="AI502" i="1"/>
  <c r="AI501" i="1"/>
  <c r="AI500" i="1"/>
  <c r="BA743" i="1"/>
  <c r="AH678" i="1"/>
  <c r="AZ743" i="1"/>
  <c r="BA1096" i="1"/>
  <c r="AZ1052" i="1"/>
  <c r="BA502" i="1"/>
  <c r="BA501" i="1"/>
  <c r="Z1096" i="1"/>
  <c r="AH1096" i="1"/>
  <c r="Z500" i="1"/>
  <c r="AH500" i="1"/>
  <c r="AR500" i="1"/>
  <c r="AZ500" i="1"/>
  <c r="AZ501" i="1"/>
  <c r="Z502" i="1"/>
  <c r="AH502" i="1"/>
  <c r="Z501" i="1"/>
  <c r="AH501" i="1"/>
  <c r="AR501" i="1"/>
  <c r="AR502" i="1"/>
  <c r="AZ502" i="1"/>
  <c r="AH743" i="1"/>
  <c r="AR743" i="1"/>
  <c r="BA678" i="1"/>
  <c r="AR1096" i="1"/>
  <c r="AZ1096" i="1"/>
  <c r="AH1052" i="1"/>
  <c r="AR1052" i="1"/>
  <c r="AZ678" i="1"/>
  <c r="AR678" i="1"/>
  <c r="Z1052" i="1"/>
  <c r="AH159" i="1"/>
  <c r="AR159" i="1"/>
  <c r="AZ159" i="1"/>
  <c r="Q501" i="1" l="1"/>
  <c r="Q1096" i="1"/>
  <c r="Q500" i="1"/>
  <c r="Q502" i="1"/>
  <c r="BB501" i="1"/>
  <c r="BB743" i="1"/>
  <c r="AJ1096" i="1"/>
  <c r="AJ1052" i="1"/>
  <c r="BB1052" i="1"/>
  <c r="BB500" i="1"/>
  <c r="AJ500" i="1"/>
  <c r="AJ501" i="1"/>
  <c r="BB678" i="1"/>
  <c r="BB502" i="1"/>
  <c r="AJ502" i="1"/>
  <c r="BB1096" i="1"/>
  <c r="BB159" i="1"/>
  <c r="R1096" i="1" l="1"/>
  <c r="R501" i="1"/>
  <c r="R1052" i="1"/>
  <c r="R500" i="1"/>
  <c r="R502" i="1"/>
  <c r="AY741" i="1" l="1"/>
  <c r="AX741" i="1"/>
  <c r="AV741" i="1"/>
  <c r="AT741" i="1"/>
  <c r="AQ741" i="1"/>
  <c r="AP741" i="1"/>
  <c r="AN741" i="1"/>
  <c r="AL741" i="1"/>
  <c r="AG741" i="1"/>
  <c r="AF741" i="1"/>
  <c r="AD741" i="1"/>
  <c r="AB741" i="1"/>
  <c r="X741" i="1"/>
  <c r="V741" i="1"/>
  <c r="AY745" i="1"/>
  <c r="AX745" i="1"/>
  <c r="AV745" i="1"/>
  <c r="AT745" i="1"/>
  <c r="AQ745" i="1"/>
  <c r="AP745" i="1"/>
  <c r="AN745" i="1"/>
  <c r="AL745" i="1"/>
  <c r="AG745" i="1"/>
  <c r="AF745" i="1"/>
  <c r="AD745" i="1"/>
  <c r="AB745" i="1"/>
  <c r="X745" i="1"/>
  <c r="V745" i="1"/>
  <c r="AQ624" i="1"/>
  <c r="AY665" i="1"/>
  <c r="AX665" i="1"/>
  <c r="AV665" i="1"/>
  <c r="AT665" i="1"/>
  <c r="AQ665" i="1"/>
  <c r="AP665" i="1"/>
  <c r="AN665" i="1"/>
  <c r="AL665" i="1"/>
  <c r="AG665" i="1"/>
  <c r="AF665" i="1"/>
  <c r="AD665" i="1"/>
  <c r="AB665" i="1"/>
  <c r="Y665" i="1"/>
  <c r="X665" i="1"/>
  <c r="V665" i="1"/>
  <c r="T665" i="1"/>
  <c r="AY666" i="1"/>
  <c r="AX666" i="1"/>
  <c r="AV666" i="1"/>
  <c r="AT666" i="1"/>
  <c r="AQ666" i="1"/>
  <c r="AP666" i="1"/>
  <c r="AN666" i="1"/>
  <c r="AL666" i="1"/>
  <c r="AG666" i="1"/>
  <c r="AF666" i="1"/>
  <c r="AD666" i="1"/>
  <c r="AB666" i="1"/>
  <c r="Y666" i="1"/>
  <c r="X666" i="1"/>
  <c r="V666" i="1"/>
  <c r="T666" i="1"/>
  <c r="AY763" i="1"/>
  <c r="AX763" i="1"/>
  <c r="AV763" i="1"/>
  <c r="AT763" i="1"/>
  <c r="AQ763" i="1"/>
  <c r="AP763" i="1"/>
  <c r="AN763" i="1"/>
  <c r="AL763" i="1"/>
  <c r="AG763" i="1"/>
  <c r="AF763" i="1"/>
  <c r="AD763" i="1"/>
  <c r="AB763" i="1"/>
  <c r="X763" i="1"/>
  <c r="V763" i="1"/>
  <c r="AY624" i="1"/>
  <c r="AX624" i="1"/>
  <c r="AV624" i="1"/>
  <c r="AT624" i="1"/>
  <c r="AP624" i="1"/>
  <c r="AN624" i="1"/>
  <c r="AL624" i="1"/>
  <c r="AG624" i="1"/>
  <c r="AF624" i="1"/>
  <c r="AD624" i="1"/>
  <c r="AB624" i="1"/>
  <c r="Y624" i="1"/>
  <c r="X624" i="1"/>
  <c r="V624" i="1"/>
  <c r="T624" i="1"/>
  <c r="AY717" i="1"/>
  <c r="AX717" i="1"/>
  <c r="AV717" i="1"/>
  <c r="AT717" i="1"/>
  <c r="AP717" i="1"/>
  <c r="AN717" i="1"/>
  <c r="AL717" i="1"/>
  <c r="AG717" i="1"/>
  <c r="AF717" i="1"/>
  <c r="AD717" i="1"/>
  <c r="AB717" i="1"/>
  <c r="Y717" i="1"/>
  <c r="X717" i="1"/>
  <c r="V717" i="1"/>
  <c r="T717" i="1"/>
  <c r="AQ244" i="1"/>
  <c r="AY448" i="1"/>
  <c r="AX448" i="1"/>
  <c r="AV448" i="1"/>
  <c r="AT448" i="1"/>
  <c r="AQ448" i="1"/>
  <c r="AP448" i="1"/>
  <c r="AN448" i="1"/>
  <c r="AL448" i="1"/>
  <c r="AG448" i="1"/>
  <c r="AF448" i="1"/>
  <c r="AD448" i="1"/>
  <c r="AB448" i="1"/>
  <c r="X448" i="1"/>
  <c r="V448" i="1"/>
  <c r="AI666" i="1" l="1"/>
  <c r="AI665" i="1"/>
  <c r="AH666" i="1"/>
  <c r="AR666" i="1"/>
  <c r="Z665" i="1"/>
  <c r="AH665" i="1"/>
  <c r="BA763" i="1"/>
  <c r="AI624" i="1"/>
  <c r="BA624" i="1"/>
  <c r="AI717" i="1"/>
  <c r="BA448" i="1"/>
  <c r="AR741" i="1"/>
  <c r="AZ741" i="1"/>
  <c r="AH763" i="1"/>
  <c r="AR763" i="1"/>
  <c r="BA665" i="1"/>
  <c r="BA745" i="1"/>
  <c r="AR665" i="1"/>
  <c r="AR745" i="1"/>
  <c r="AH741" i="1"/>
  <c r="BA741" i="1"/>
  <c r="AR624" i="1"/>
  <c r="AH745" i="1"/>
  <c r="AZ745" i="1"/>
  <c r="BA666" i="1"/>
  <c r="AZ665" i="1"/>
  <c r="AZ666" i="1"/>
  <c r="Z666" i="1"/>
  <c r="AH624" i="1"/>
  <c r="AZ763" i="1"/>
  <c r="AR717" i="1"/>
  <c r="AZ717" i="1"/>
  <c r="AZ624" i="1"/>
  <c r="Z624" i="1"/>
  <c r="AR448" i="1"/>
  <c r="AZ448" i="1"/>
  <c r="AH717" i="1"/>
  <c r="BA717" i="1"/>
  <c r="Z717" i="1"/>
  <c r="AH448" i="1"/>
  <c r="Q666" i="1" l="1"/>
  <c r="BB666" i="1"/>
  <c r="Q665" i="1"/>
  <c r="AJ666" i="1"/>
  <c r="AJ665" i="1"/>
  <c r="Q624" i="1"/>
  <c r="BB741" i="1"/>
  <c r="BB665" i="1"/>
  <c r="Q717" i="1"/>
  <c r="BB745" i="1"/>
  <c r="BB763" i="1"/>
  <c r="AJ717" i="1"/>
  <c r="BB624" i="1"/>
  <c r="BB717" i="1"/>
  <c r="AJ624" i="1"/>
  <c r="BB448" i="1"/>
  <c r="R666" i="1" l="1"/>
  <c r="R665" i="1"/>
  <c r="R717" i="1"/>
  <c r="R624" i="1"/>
  <c r="AY334" i="1" l="1"/>
  <c r="AY429" i="1"/>
  <c r="AY424" i="1"/>
  <c r="AY810" i="1" l="1"/>
  <c r="AX810" i="1"/>
  <c r="AV810" i="1"/>
  <c r="AT810" i="1"/>
  <c r="AQ810" i="1"/>
  <c r="AP810" i="1"/>
  <c r="AN810" i="1"/>
  <c r="AL810" i="1"/>
  <c r="AG810" i="1"/>
  <c r="AF810" i="1"/>
  <c r="AD810" i="1"/>
  <c r="AB810" i="1"/>
  <c r="Y810" i="1"/>
  <c r="X810" i="1"/>
  <c r="V810" i="1"/>
  <c r="T810" i="1"/>
  <c r="AI810" i="1" l="1"/>
  <c r="AR810" i="1"/>
  <c r="AZ810" i="1"/>
  <c r="Z810" i="1"/>
  <c r="AH810" i="1"/>
  <c r="BA810" i="1"/>
  <c r="Q810" i="1" l="1"/>
  <c r="BB810" i="1"/>
  <c r="AJ810" i="1"/>
  <c r="AY341" i="1"/>
  <c r="AX341" i="1"/>
  <c r="AV341" i="1"/>
  <c r="AT341" i="1"/>
  <c r="AQ341" i="1"/>
  <c r="AP341" i="1"/>
  <c r="AN341" i="1"/>
  <c r="AL341" i="1"/>
  <c r="AG341" i="1"/>
  <c r="AF341" i="1"/>
  <c r="AD341" i="1"/>
  <c r="AB341" i="1"/>
  <c r="X341" i="1"/>
  <c r="V341" i="1"/>
  <c r="AY339" i="1"/>
  <c r="AX339" i="1"/>
  <c r="AV339" i="1"/>
  <c r="AT339" i="1"/>
  <c r="AQ339" i="1"/>
  <c r="AP339" i="1"/>
  <c r="AN339" i="1"/>
  <c r="AL339" i="1"/>
  <c r="AG339" i="1"/>
  <c r="AF339" i="1"/>
  <c r="AD339" i="1"/>
  <c r="AB339" i="1"/>
  <c r="X339" i="1"/>
  <c r="V339" i="1"/>
  <c r="AX334" i="1"/>
  <c r="AV334" i="1"/>
  <c r="AT334" i="1"/>
  <c r="AQ334" i="1"/>
  <c r="AP334" i="1"/>
  <c r="AN334" i="1"/>
  <c r="AL334" i="1"/>
  <c r="AG334" i="1"/>
  <c r="AF334" i="1"/>
  <c r="AD334" i="1"/>
  <c r="AB334" i="1"/>
  <c r="X334" i="1"/>
  <c r="V334" i="1"/>
  <c r="BA334" i="1" l="1"/>
  <c r="R810" i="1"/>
  <c r="BA341" i="1"/>
  <c r="AH334" i="1"/>
  <c r="AH339" i="1"/>
  <c r="AR339" i="1"/>
  <c r="BA339" i="1"/>
  <c r="AH341" i="1"/>
  <c r="AZ341" i="1"/>
  <c r="AZ339" i="1"/>
  <c r="AR341" i="1"/>
  <c r="AR334" i="1"/>
  <c r="AZ334" i="1"/>
  <c r="BB341" i="1" l="1"/>
  <c r="BB339" i="1"/>
  <c r="BB334" i="1"/>
  <c r="AQ568" i="1" l="1"/>
  <c r="AY568" i="1"/>
  <c r="AX568" i="1"/>
  <c r="AV568" i="1"/>
  <c r="AT568" i="1"/>
  <c r="AP568" i="1"/>
  <c r="AN568" i="1"/>
  <c r="AL568" i="1"/>
  <c r="AG568" i="1"/>
  <c r="AF568" i="1"/>
  <c r="AD568" i="1"/>
  <c r="AB568" i="1"/>
  <c r="Y568" i="1"/>
  <c r="X568" i="1"/>
  <c r="V568" i="1"/>
  <c r="T568" i="1"/>
  <c r="AQ550" i="1"/>
  <c r="AY550" i="1"/>
  <c r="AX550" i="1"/>
  <c r="AV550" i="1"/>
  <c r="AT550" i="1"/>
  <c r="AP550" i="1"/>
  <c r="AN550" i="1"/>
  <c r="AL550" i="1"/>
  <c r="AG550" i="1"/>
  <c r="AF550" i="1"/>
  <c r="AD550" i="1"/>
  <c r="AB550" i="1"/>
  <c r="Y550" i="1"/>
  <c r="X550" i="1"/>
  <c r="V550" i="1"/>
  <c r="T550" i="1"/>
  <c r="AI568" i="1" l="1"/>
  <c r="AH550" i="1"/>
  <c r="BA568" i="1"/>
  <c r="AR568" i="1"/>
  <c r="BA550" i="1"/>
  <c r="AI550" i="1"/>
  <c r="Z550" i="1"/>
  <c r="AH568" i="1"/>
  <c r="AZ568" i="1"/>
  <c r="AZ550" i="1"/>
  <c r="Z568" i="1"/>
  <c r="AR550" i="1"/>
  <c r="Q568" i="1" l="1"/>
  <c r="AJ550" i="1"/>
  <c r="Q550" i="1"/>
  <c r="BB568" i="1"/>
  <c r="BB550" i="1"/>
  <c r="AJ568" i="1"/>
  <c r="R550" i="1" l="1"/>
  <c r="R568" i="1"/>
  <c r="AY396" i="1"/>
  <c r="AX396" i="1"/>
  <c r="AV396" i="1"/>
  <c r="AT396" i="1"/>
  <c r="AQ396" i="1"/>
  <c r="AP396" i="1"/>
  <c r="AN396" i="1"/>
  <c r="AL396" i="1"/>
  <c r="AG396" i="1"/>
  <c r="AF396" i="1"/>
  <c r="AD396" i="1"/>
  <c r="AB396" i="1"/>
  <c r="X396" i="1"/>
  <c r="V396" i="1"/>
  <c r="AY395" i="1"/>
  <c r="AX395" i="1"/>
  <c r="AV395" i="1"/>
  <c r="AT395" i="1"/>
  <c r="AQ395" i="1"/>
  <c r="AP395" i="1"/>
  <c r="AN395" i="1"/>
  <c r="AL395" i="1"/>
  <c r="AG395" i="1"/>
  <c r="AF395" i="1"/>
  <c r="AD395" i="1"/>
  <c r="AB395" i="1"/>
  <c r="X395" i="1"/>
  <c r="V395" i="1"/>
  <c r="AY394" i="1"/>
  <c r="AX394" i="1"/>
  <c r="AV394" i="1"/>
  <c r="AT394" i="1"/>
  <c r="AQ394" i="1"/>
  <c r="AP394" i="1"/>
  <c r="AN394" i="1"/>
  <c r="AL394" i="1"/>
  <c r="AG394" i="1"/>
  <c r="AF394" i="1"/>
  <c r="AD394" i="1"/>
  <c r="AB394" i="1"/>
  <c r="X394" i="1"/>
  <c r="V394" i="1"/>
  <c r="AY393" i="1"/>
  <c r="AX393" i="1"/>
  <c r="AV393" i="1"/>
  <c r="AT393" i="1"/>
  <c r="AQ393" i="1"/>
  <c r="AP393" i="1"/>
  <c r="AN393" i="1"/>
  <c r="AL393" i="1"/>
  <c r="AG393" i="1"/>
  <c r="AF393" i="1"/>
  <c r="AD393" i="1"/>
  <c r="AB393" i="1"/>
  <c r="X393" i="1"/>
  <c r="V393" i="1"/>
  <c r="AY392" i="1"/>
  <c r="AX392" i="1"/>
  <c r="AV392" i="1"/>
  <c r="AT392" i="1"/>
  <c r="AQ392" i="1"/>
  <c r="AP392" i="1"/>
  <c r="AN392" i="1"/>
  <c r="AL392" i="1"/>
  <c r="AG392" i="1"/>
  <c r="AF392" i="1"/>
  <c r="AD392" i="1"/>
  <c r="AB392" i="1"/>
  <c r="X392" i="1"/>
  <c r="V392" i="1"/>
  <c r="AY391" i="1"/>
  <c r="AX391" i="1"/>
  <c r="AV391" i="1"/>
  <c r="AT391" i="1"/>
  <c r="AQ391" i="1"/>
  <c r="AP391" i="1"/>
  <c r="AN391" i="1"/>
  <c r="AL391" i="1"/>
  <c r="AG391" i="1"/>
  <c r="AF391" i="1"/>
  <c r="AD391" i="1"/>
  <c r="AB391" i="1"/>
  <c r="X391" i="1"/>
  <c r="V391" i="1"/>
  <c r="AY390" i="1"/>
  <c r="AX390" i="1"/>
  <c r="AV390" i="1"/>
  <c r="AT390" i="1"/>
  <c r="AQ390" i="1"/>
  <c r="AP390" i="1"/>
  <c r="AN390" i="1"/>
  <c r="AL390" i="1"/>
  <c r="AG390" i="1"/>
  <c r="AF390" i="1"/>
  <c r="AD390" i="1"/>
  <c r="AB390" i="1"/>
  <c r="X390" i="1"/>
  <c r="V390" i="1"/>
  <c r="AY389" i="1"/>
  <c r="AX389" i="1"/>
  <c r="AV389" i="1"/>
  <c r="AT389" i="1"/>
  <c r="AQ389" i="1"/>
  <c r="AP389" i="1"/>
  <c r="AN389" i="1"/>
  <c r="AL389" i="1"/>
  <c r="AG389" i="1"/>
  <c r="AF389" i="1"/>
  <c r="AD389" i="1"/>
  <c r="AB389" i="1"/>
  <c r="X389" i="1"/>
  <c r="V389" i="1"/>
  <c r="AY388" i="1"/>
  <c r="AX388" i="1"/>
  <c r="AV388" i="1"/>
  <c r="AT388" i="1"/>
  <c r="AQ388" i="1"/>
  <c r="AP388" i="1"/>
  <c r="AN388" i="1"/>
  <c r="AL388" i="1"/>
  <c r="AG388" i="1"/>
  <c r="AF388" i="1"/>
  <c r="AD388" i="1"/>
  <c r="AB388" i="1"/>
  <c r="X388" i="1"/>
  <c r="V388" i="1"/>
  <c r="AY387" i="1"/>
  <c r="AX387" i="1"/>
  <c r="AV387" i="1"/>
  <c r="AT387" i="1"/>
  <c r="AQ387" i="1"/>
  <c r="AP387" i="1"/>
  <c r="AN387" i="1"/>
  <c r="AL387" i="1"/>
  <c r="AG387" i="1"/>
  <c r="AF387" i="1"/>
  <c r="AD387" i="1"/>
  <c r="AB387" i="1"/>
  <c r="X387" i="1"/>
  <c r="V387" i="1"/>
  <c r="AX807" i="1"/>
  <c r="AV807" i="1"/>
  <c r="AT807" i="1"/>
  <c r="BA807" i="1"/>
  <c r="AP807" i="1"/>
  <c r="AN807" i="1"/>
  <c r="AL807" i="1"/>
  <c r="AF807" i="1"/>
  <c r="AD807" i="1"/>
  <c r="AB807" i="1"/>
  <c r="X807" i="1"/>
  <c r="V807" i="1"/>
  <c r="T807" i="1"/>
  <c r="AB399" i="1" l="1"/>
  <c r="AT399" i="1"/>
  <c r="AL399" i="1"/>
  <c r="X399" i="1"/>
  <c r="AQ399" i="1"/>
  <c r="AG399" i="1"/>
  <c r="AN399" i="1"/>
  <c r="AV399" i="1"/>
  <c r="V399" i="1"/>
  <c r="AF399" i="1"/>
  <c r="AP399" i="1"/>
  <c r="AD399" i="1"/>
  <c r="AX399" i="1"/>
  <c r="AY399" i="1"/>
  <c r="AH807" i="1"/>
  <c r="AR807" i="1"/>
  <c r="BA394" i="1"/>
  <c r="BA392" i="1"/>
  <c r="BA388" i="1"/>
  <c r="BA390" i="1"/>
  <c r="Z807" i="1"/>
  <c r="AZ807" i="1"/>
  <c r="BA396" i="1"/>
  <c r="AH387" i="1"/>
  <c r="AR387" i="1"/>
  <c r="AZ387" i="1"/>
  <c r="AH390" i="1"/>
  <c r="AH395" i="1"/>
  <c r="AR395" i="1"/>
  <c r="AZ395" i="1"/>
  <c r="AR392" i="1"/>
  <c r="AZ392" i="1"/>
  <c r="AR388" i="1"/>
  <c r="AZ388" i="1"/>
  <c r="BA389" i="1"/>
  <c r="AH391" i="1"/>
  <c r="AR391" i="1"/>
  <c r="AZ391" i="1"/>
  <c r="AH394" i="1"/>
  <c r="AR396" i="1"/>
  <c r="AZ396" i="1"/>
  <c r="AI807" i="1"/>
  <c r="BA387" i="1"/>
  <c r="AH389" i="1"/>
  <c r="AR389" i="1"/>
  <c r="AZ389" i="1"/>
  <c r="AH392" i="1"/>
  <c r="AR394" i="1"/>
  <c r="AZ394" i="1"/>
  <c r="BA395" i="1"/>
  <c r="BA393" i="1"/>
  <c r="AH388" i="1"/>
  <c r="AR390" i="1"/>
  <c r="AZ390" i="1"/>
  <c r="BA391" i="1"/>
  <c r="AH393" i="1"/>
  <c r="AR393" i="1"/>
  <c r="AZ393" i="1"/>
  <c r="AH396" i="1"/>
  <c r="AY243" i="1"/>
  <c r="AX243" i="1"/>
  <c r="AV243" i="1"/>
  <c r="AT243" i="1"/>
  <c r="AQ243" i="1"/>
  <c r="AP243" i="1"/>
  <c r="AN243" i="1"/>
  <c r="AL243" i="1"/>
  <c r="AG243" i="1"/>
  <c r="AF243" i="1"/>
  <c r="AD243" i="1"/>
  <c r="AB243" i="1"/>
  <c r="X243" i="1"/>
  <c r="V243" i="1"/>
  <c r="AX244" i="1"/>
  <c r="AV244" i="1"/>
  <c r="AT244" i="1"/>
  <c r="BA244" i="1"/>
  <c r="AP244" i="1"/>
  <c r="AN244" i="1"/>
  <c r="AL244" i="1"/>
  <c r="AG244" i="1"/>
  <c r="AF244" i="1"/>
  <c r="AD244" i="1"/>
  <c r="AB244" i="1"/>
  <c r="X244" i="1"/>
  <c r="V244" i="1"/>
  <c r="Q807" i="1" l="1"/>
  <c r="AR399" i="1"/>
  <c r="AZ399" i="1"/>
  <c r="AH399" i="1"/>
  <c r="BA399" i="1"/>
  <c r="BA243" i="1"/>
  <c r="BB807" i="1"/>
  <c r="AJ807" i="1"/>
  <c r="BB395" i="1"/>
  <c r="BB387" i="1"/>
  <c r="BB393" i="1"/>
  <c r="BB396" i="1"/>
  <c r="BB391" i="1"/>
  <c r="BB392" i="1"/>
  <c r="BB388" i="1"/>
  <c r="BB394" i="1"/>
  <c r="BB389" i="1"/>
  <c r="BB390" i="1"/>
  <c r="AR243" i="1"/>
  <c r="AZ243" i="1"/>
  <c r="AH243" i="1"/>
  <c r="AH244" i="1"/>
  <c r="AR244" i="1"/>
  <c r="AZ244" i="1"/>
  <c r="AY302" i="1"/>
  <c r="AX302" i="1"/>
  <c r="AV302" i="1"/>
  <c r="AT302" i="1"/>
  <c r="AQ302" i="1"/>
  <c r="AP302" i="1"/>
  <c r="AN302" i="1"/>
  <c r="AL302" i="1"/>
  <c r="AG302" i="1"/>
  <c r="AF302" i="1"/>
  <c r="AD302" i="1"/>
  <c r="AB302" i="1"/>
  <c r="X302" i="1"/>
  <c r="V302" i="1"/>
  <c r="AQ427" i="1"/>
  <c r="AY423" i="1"/>
  <c r="AX423" i="1"/>
  <c r="AV423" i="1"/>
  <c r="AT423" i="1"/>
  <c r="AQ423" i="1"/>
  <c r="AP423" i="1"/>
  <c r="AN423" i="1"/>
  <c r="AL423" i="1"/>
  <c r="AG423" i="1"/>
  <c r="AF423" i="1"/>
  <c r="AD423" i="1"/>
  <c r="AB423" i="1"/>
  <c r="X423" i="1"/>
  <c r="V423" i="1"/>
  <c r="AX424" i="1"/>
  <c r="AV424" i="1"/>
  <c r="AT424" i="1"/>
  <c r="AQ424" i="1"/>
  <c r="BA424" i="1" s="1"/>
  <c r="AP424" i="1"/>
  <c r="AN424" i="1"/>
  <c r="AL424" i="1"/>
  <c r="AG424" i="1"/>
  <c r="AF424" i="1"/>
  <c r="AD424" i="1"/>
  <c r="AB424" i="1"/>
  <c r="X424" i="1"/>
  <c r="V424" i="1"/>
  <c r="AQ428" i="1"/>
  <c r="BB399" i="1" l="1"/>
  <c r="BA423" i="1"/>
  <c r="R807" i="1"/>
  <c r="BA302" i="1"/>
  <c r="AZ423" i="1"/>
  <c r="AH302" i="1"/>
  <c r="BB243" i="1"/>
  <c r="BB244" i="1"/>
  <c r="AR302" i="1"/>
  <c r="AZ302" i="1"/>
  <c r="AR423" i="1"/>
  <c r="AH423" i="1"/>
  <c r="AH424" i="1"/>
  <c r="AR424" i="1"/>
  <c r="AZ424" i="1"/>
  <c r="BB423" i="1" l="1"/>
  <c r="BB424" i="1"/>
  <c r="BB302" i="1"/>
  <c r="AY428" i="1" l="1"/>
  <c r="BA428" i="1" s="1"/>
  <c r="AX428" i="1"/>
  <c r="AV428" i="1"/>
  <c r="AT428" i="1"/>
  <c r="AP428" i="1"/>
  <c r="AN428" i="1"/>
  <c r="AL428" i="1"/>
  <c r="AG428" i="1"/>
  <c r="AF428" i="1"/>
  <c r="AD428" i="1"/>
  <c r="AB428" i="1"/>
  <c r="X428" i="1"/>
  <c r="V428" i="1"/>
  <c r="AZ428" i="1" l="1"/>
  <c r="AH428" i="1"/>
  <c r="AR428" i="1"/>
  <c r="AY1118" i="1"/>
  <c r="AY1100" i="1"/>
  <c r="AY1057" i="1"/>
  <c r="AY1056" i="1"/>
  <c r="AY1049" i="1"/>
  <c r="AY1047" i="1"/>
  <c r="AY1043" i="1"/>
  <c r="AY1026" i="1"/>
  <c r="AY964" i="1"/>
  <c r="AY827" i="1"/>
  <c r="AY723" i="1"/>
  <c r="AY711" i="1"/>
  <c r="AY691" i="1"/>
  <c r="AY434" i="1"/>
  <c r="AY427" i="1"/>
  <c r="AY416" i="1"/>
  <c r="AY294" i="1"/>
  <c r="AY98" i="1"/>
  <c r="AY89" i="1"/>
  <c r="AQ1100" i="1"/>
  <c r="AQ1043" i="1"/>
  <c r="AQ1026" i="1"/>
  <c r="AQ827" i="1"/>
  <c r="AQ735" i="1"/>
  <c r="AQ723" i="1"/>
  <c r="AQ711" i="1"/>
  <c r="AQ409" i="1"/>
  <c r="AQ294" i="1"/>
  <c r="AQ100" i="1"/>
  <c r="AQ40" i="1"/>
  <c r="BB428" i="1" l="1"/>
  <c r="AY782" i="1"/>
  <c r="AX782" i="1"/>
  <c r="AV782" i="1"/>
  <c r="AT782" i="1"/>
  <c r="AQ782" i="1"/>
  <c r="AP782" i="1"/>
  <c r="AN782" i="1"/>
  <c r="AL782" i="1"/>
  <c r="AG782" i="1"/>
  <c r="AF782" i="1"/>
  <c r="AD782" i="1"/>
  <c r="AB782" i="1"/>
  <c r="Y782" i="1"/>
  <c r="X782" i="1"/>
  <c r="V782" i="1"/>
  <c r="T782" i="1"/>
  <c r="AY777" i="1"/>
  <c r="AX777" i="1"/>
  <c r="AV777" i="1"/>
  <c r="AT777" i="1"/>
  <c r="AQ777" i="1"/>
  <c r="AP777" i="1"/>
  <c r="AN777" i="1"/>
  <c r="AL777" i="1"/>
  <c r="AG777" i="1"/>
  <c r="AF777" i="1"/>
  <c r="AD777" i="1"/>
  <c r="AB777" i="1"/>
  <c r="Y777" i="1"/>
  <c r="X777" i="1"/>
  <c r="V777" i="1"/>
  <c r="T777" i="1"/>
  <c r="AY567" i="1"/>
  <c r="AX567" i="1"/>
  <c r="AV567" i="1"/>
  <c r="AT567" i="1"/>
  <c r="AQ567" i="1"/>
  <c r="AP567" i="1"/>
  <c r="AN567" i="1"/>
  <c r="AL567" i="1"/>
  <c r="AG567" i="1"/>
  <c r="AF567" i="1"/>
  <c r="AD567" i="1"/>
  <c r="AB567" i="1"/>
  <c r="Y567" i="1"/>
  <c r="X567" i="1"/>
  <c r="V567" i="1"/>
  <c r="T567" i="1"/>
  <c r="AY566" i="1"/>
  <c r="AX566" i="1"/>
  <c r="AV566" i="1"/>
  <c r="AT566" i="1"/>
  <c r="AQ566" i="1"/>
  <c r="AP566" i="1"/>
  <c r="AN566" i="1"/>
  <c r="AL566" i="1"/>
  <c r="AG566" i="1"/>
  <c r="AF566" i="1"/>
  <c r="AD566" i="1"/>
  <c r="AB566" i="1"/>
  <c r="Y566" i="1"/>
  <c r="X566" i="1"/>
  <c r="V566" i="1"/>
  <c r="T566" i="1"/>
  <c r="AY626" i="1"/>
  <c r="AX626" i="1"/>
  <c r="AV626" i="1"/>
  <c r="AT626" i="1"/>
  <c r="AQ626" i="1"/>
  <c r="AP626" i="1"/>
  <c r="AN626" i="1"/>
  <c r="AL626" i="1"/>
  <c r="AG626" i="1"/>
  <c r="AF626" i="1"/>
  <c r="AD626" i="1"/>
  <c r="AB626" i="1"/>
  <c r="Y626" i="1"/>
  <c r="X626" i="1"/>
  <c r="V626" i="1"/>
  <c r="T626" i="1"/>
  <c r="AY627" i="1"/>
  <c r="AX627" i="1"/>
  <c r="AV627" i="1"/>
  <c r="AT627" i="1"/>
  <c r="AQ627" i="1"/>
  <c r="AP627" i="1"/>
  <c r="AN627" i="1"/>
  <c r="AL627" i="1"/>
  <c r="AG627" i="1"/>
  <c r="AF627" i="1"/>
  <c r="AD627" i="1"/>
  <c r="AB627" i="1"/>
  <c r="Y627" i="1"/>
  <c r="X627" i="1"/>
  <c r="V627" i="1"/>
  <c r="T627" i="1"/>
  <c r="AY735" i="1"/>
  <c r="BA735" i="1" s="1"/>
  <c r="AX735" i="1"/>
  <c r="AV735" i="1"/>
  <c r="AT735" i="1"/>
  <c r="AP735" i="1"/>
  <c r="AN735" i="1"/>
  <c r="AL735" i="1"/>
  <c r="AG735" i="1"/>
  <c r="AF735" i="1"/>
  <c r="AD735" i="1"/>
  <c r="AB735" i="1"/>
  <c r="Y735" i="1"/>
  <c r="X735" i="1"/>
  <c r="V735" i="1"/>
  <c r="T735" i="1"/>
  <c r="BA777" i="1" l="1"/>
  <c r="BA782" i="1"/>
  <c r="AI626" i="1"/>
  <c r="AI627" i="1"/>
  <c r="BA626" i="1"/>
  <c r="AI567" i="1"/>
  <c r="BA627" i="1"/>
  <c r="AI777" i="1"/>
  <c r="BA566" i="1"/>
  <c r="Z626" i="1"/>
  <c r="AZ626" i="1"/>
  <c r="AZ566" i="1"/>
  <c r="Z567" i="1"/>
  <c r="AZ782" i="1"/>
  <c r="AI782" i="1"/>
  <c r="AR735" i="1"/>
  <c r="Z566" i="1"/>
  <c r="Z782" i="1"/>
  <c r="AR782" i="1"/>
  <c r="AH782" i="1"/>
  <c r="AI566" i="1"/>
  <c r="Z777" i="1"/>
  <c r="AZ777" i="1"/>
  <c r="AZ567" i="1"/>
  <c r="AR777" i="1"/>
  <c r="AH777" i="1"/>
  <c r="BA567" i="1"/>
  <c r="AZ627" i="1"/>
  <c r="AR567" i="1"/>
  <c r="AH567" i="1"/>
  <c r="AR566" i="1"/>
  <c r="AH566" i="1"/>
  <c r="AR626" i="1"/>
  <c r="AH626" i="1"/>
  <c r="AR627" i="1"/>
  <c r="AI735" i="1"/>
  <c r="Q735" i="1" s="1"/>
  <c r="Z627" i="1"/>
  <c r="AH627" i="1"/>
  <c r="AH735" i="1"/>
  <c r="AZ735" i="1"/>
  <c r="Z735" i="1"/>
  <c r="Q777" i="1" l="1"/>
  <c r="Q782" i="1"/>
  <c r="Q626" i="1"/>
  <c r="Q627" i="1"/>
  <c r="Q567" i="1"/>
  <c r="BB627" i="1"/>
  <c r="BB782" i="1"/>
  <c r="Q566" i="1"/>
  <c r="AJ626" i="1"/>
  <c r="BB566" i="1"/>
  <c r="BB626" i="1"/>
  <c r="AJ567" i="1"/>
  <c r="AJ782" i="1"/>
  <c r="BB777" i="1"/>
  <c r="AJ566" i="1"/>
  <c r="AJ777" i="1"/>
  <c r="BB735" i="1"/>
  <c r="AJ735" i="1"/>
  <c r="BB567" i="1"/>
  <c r="AJ627" i="1"/>
  <c r="R627" i="1" l="1"/>
  <c r="R782" i="1"/>
  <c r="R626" i="1"/>
  <c r="R777" i="1"/>
  <c r="R566" i="1"/>
  <c r="R567" i="1"/>
  <c r="R735" i="1"/>
  <c r="AY409" i="1" l="1"/>
  <c r="BA409" i="1" s="1"/>
  <c r="AX409" i="1"/>
  <c r="AV409" i="1"/>
  <c r="AT409" i="1"/>
  <c r="AP409" i="1"/>
  <c r="AN409" i="1"/>
  <c r="AL409" i="1"/>
  <c r="AG409" i="1"/>
  <c r="AF409" i="1"/>
  <c r="AD409" i="1"/>
  <c r="AB409" i="1"/>
  <c r="X409" i="1"/>
  <c r="V409" i="1"/>
  <c r="AZ409" i="1" l="1"/>
  <c r="AR409" i="1"/>
  <c r="AH409" i="1"/>
  <c r="BB409" i="1" l="1"/>
  <c r="AX711" i="1"/>
  <c r="AV711" i="1"/>
  <c r="AT711" i="1"/>
  <c r="BA711" i="1"/>
  <c r="AP711" i="1"/>
  <c r="AN711" i="1"/>
  <c r="AL711" i="1"/>
  <c r="AG711" i="1"/>
  <c r="AF711" i="1"/>
  <c r="AD711" i="1"/>
  <c r="AB711" i="1"/>
  <c r="X711" i="1"/>
  <c r="V711" i="1"/>
  <c r="AX723" i="1"/>
  <c r="AV723" i="1"/>
  <c r="AT723" i="1"/>
  <c r="BA723" i="1"/>
  <c r="AP723" i="1"/>
  <c r="AN723" i="1"/>
  <c r="AL723" i="1"/>
  <c r="AG723" i="1"/>
  <c r="AF723" i="1"/>
  <c r="AD723" i="1"/>
  <c r="AB723" i="1"/>
  <c r="Y723" i="1"/>
  <c r="X723" i="1"/>
  <c r="V723" i="1"/>
  <c r="T723" i="1"/>
  <c r="AY1053" i="1"/>
  <c r="AX1053" i="1"/>
  <c r="AV1053" i="1"/>
  <c r="AT1053" i="1"/>
  <c r="AQ1053" i="1"/>
  <c r="AP1053" i="1"/>
  <c r="AN1053" i="1"/>
  <c r="AL1053" i="1"/>
  <c r="AG1053" i="1"/>
  <c r="AF1053" i="1"/>
  <c r="AD1053" i="1"/>
  <c r="AB1053" i="1"/>
  <c r="Y1053" i="1"/>
  <c r="AI1053" i="1" s="1"/>
  <c r="X1053" i="1"/>
  <c r="V1053" i="1"/>
  <c r="T1053" i="1"/>
  <c r="AY1042" i="1"/>
  <c r="AX1042" i="1"/>
  <c r="AV1042" i="1"/>
  <c r="AT1042" i="1"/>
  <c r="AQ1042" i="1"/>
  <c r="AP1042" i="1"/>
  <c r="AN1042" i="1"/>
  <c r="AL1042" i="1"/>
  <c r="AG1042" i="1"/>
  <c r="AF1042" i="1"/>
  <c r="AD1042" i="1"/>
  <c r="AB1042" i="1"/>
  <c r="Y1042" i="1"/>
  <c r="X1042" i="1"/>
  <c r="V1042" i="1"/>
  <c r="T1042" i="1"/>
  <c r="AY1036" i="1"/>
  <c r="AX1036" i="1"/>
  <c r="AV1036" i="1"/>
  <c r="AT1036" i="1"/>
  <c r="AQ1036" i="1"/>
  <c r="AP1036" i="1"/>
  <c r="AN1036" i="1"/>
  <c r="AL1036" i="1"/>
  <c r="AG1036" i="1"/>
  <c r="AF1036" i="1"/>
  <c r="AD1036" i="1"/>
  <c r="AB1036" i="1"/>
  <c r="Y1036" i="1"/>
  <c r="X1036" i="1"/>
  <c r="V1036" i="1"/>
  <c r="T1036" i="1"/>
  <c r="AY1035" i="1"/>
  <c r="AX1035" i="1"/>
  <c r="AV1035" i="1"/>
  <c r="AT1035" i="1"/>
  <c r="AQ1035" i="1"/>
  <c r="AP1035" i="1"/>
  <c r="AN1035" i="1"/>
  <c r="AL1035" i="1"/>
  <c r="AG1035" i="1"/>
  <c r="AF1035" i="1"/>
  <c r="AD1035" i="1"/>
  <c r="AB1035" i="1"/>
  <c r="Y1035" i="1"/>
  <c r="X1035" i="1"/>
  <c r="V1035" i="1"/>
  <c r="T1035" i="1"/>
  <c r="AX1026" i="1"/>
  <c r="AV1026" i="1"/>
  <c r="AT1026" i="1"/>
  <c r="BA1026" i="1"/>
  <c r="AP1026" i="1"/>
  <c r="AN1026" i="1"/>
  <c r="AL1026" i="1"/>
  <c r="AG1026" i="1"/>
  <c r="AF1026" i="1"/>
  <c r="AD1026" i="1"/>
  <c r="AB1026" i="1"/>
  <c r="Y1026" i="1"/>
  <c r="X1026" i="1"/>
  <c r="V1026" i="1"/>
  <c r="T1026" i="1"/>
  <c r="AX1100" i="1"/>
  <c r="AV1100" i="1"/>
  <c r="AT1100" i="1"/>
  <c r="BA1100" i="1"/>
  <c r="AP1100" i="1"/>
  <c r="AN1100" i="1"/>
  <c r="AL1100" i="1"/>
  <c r="AG1100" i="1"/>
  <c r="AF1100" i="1"/>
  <c r="AD1100" i="1"/>
  <c r="AB1100" i="1"/>
  <c r="X1100" i="1"/>
  <c r="V1100" i="1"/>
  <c r="T1100" i="1"/>
  <c r="AI1036" i="1" l="1"/>
  <c r="BA1042" i="1"/>
  <c r="BA1035" i="1"/>
  <c r="BA1053" i="1"/>
  <c r="Q1053" i="1" s="1"/>
  <c r="BA1036" i="1"/>
  <c r="Q1036" i="1" s="1"/>
  <c r="AI723" i="1"/>
  <c r="Q723" i="1" s="1"/>
  <c r="AI1026" i="1"/>
  <c r="Q1026" i="1" s="1"/>
  <c r="AI1035" i="1"/>
  <c r="AI1042" i="1"/>
  <c r="AI1100" i="1"/>
  <c r="Q1100" i="1" s="1"/>
  <c r="AZ1100" i="1"/>
  <c r="AZ1042" i="1"/>
  <c r="AH723" i="1"/>
  <c r="AZ723" i="1"/>
  <c r="AZ711" i="1"/>
  <c r="AR1042" i="1"/>
  <c r="AR723" i="1"/>
  <c r="AH711" i="1"/>
  <c r="Z1026" i="1"/>
  <c r="Z1035" i="1"/>
  <c r="AH1035" i="1"/>
  <c r="AR1035" i="1"/>
  <c r="AZ1035" i="1"/>
  <c r="Z1036" i="1"/>
  <c r="AH1036" i="1"/>
  <c r="AR1036" i="1"/>
  <c r="AZ1036" i="1"/>
  <c r="Z1042" i="1"/>
  <c r="AH1042" i="1"/>
  <c r="Z1053" i="1"/>
  <c r="AH1053" i="1"/>
  <c r="AH1100" i="1"/>
  <c r="AZ1053" i="1"/>
  <c r="AR1100" i="1"/>
  <c r="AR1053" i="1"/>
  <c r="AR711" i="1"/>
  <c r="Z723" i="1"/>
  <c r="AH1026" i="1"/>
  <c r="AZ1026" i="1"/>
  <c r="AR1026" i="1"/>
  <c r="Z1100" i="1"/>
  <c r="AL827" i="1"/>
  <c r="AX827" i="1"/>
  <c r="AV827" i="1"/>
  <c r="AT827" i="1"/>
  <c r="BA827" i="1"/>
  <c r="AP827" i="1"/>
  <c r="AN827" i="1"/>
  <c r="AF827" i="1"/>
  <c r="AD827" i="1"/>
  <c r="AB827" i="1"/>
  <c r="Y827" i="1"/>
  <c r="AI827" i="1" s="1"/>
  <c r="X827" i="1"/>
  <c r="V827" i="1"/>
  <c r="T827" i="1"/>
  <c r="AL13" i="1"/>
  <c r="Q1042" i="1" l="1"/>
  <c r="Q1035" i="1"/>
  <c r="BB1042" i="1"/>
  <c r="BB1100" i="1"/>
  <c r="BB711" i="1"/>
  <c r="AJ1026" i="1"/>
  <c r="BB723" i="1"/>
  <c r="AJ723" i="1"/>
  <c r="AJ1042" i="1"/>
  <c r="AJ1100" i="1"/>
  <c r="Z827" i="1"/>
  <c r="AH827" i="1"/>
  <c r="AJ1053" i="1"/>
  <c r="BB1036" i="1"/>
  <c r="BB1035" i="1"/>
  <c r="BB1053" i="1"/>
  <c r="AJ1036" i="1"/>
  <c r="AJ1035" i="1"/>
  <c r="BB1026" i="1"/>
  <c r="AZ827" i="1"/>
  <c r="AR827" i="1"/>
  <c r="Q827" i="1"/>
  <c r="AY759" i="1"/>
  <c r="AX759" i="1"/>
  <c r="AV759" i="1"/>
  <c r="AT759" i="1"/>
  <c r="AQ759" i="1"/>
  <c r="AP759" i="1"/>
  <c r="AN759" i="1"/>
  <c r="AL759" i="1"/>
  <c r="AG759" i="1"/>
  <c r="AF759" i="1"/>
  <c r="AD759" i="1"/>
  <c r="AB759" i="1"/>
  <c r="X759" i="1"/>
  <c r="V759" i="1"/>
  <c r="AY760" i="1"/>
  <c r="AX760" i="1"/>
  <c r="AV760" i="1"/>
  <c r="AT760" i="1"/>
  <c r="AQ760" i="1"/>
  <c r="AP760" i="1"/>
  <c r="AN760" i="1"/>
  <c r="AL760" i="1"/>
  <c r="AG760" i="1"/>
  <c r="AF760" i="1"/>
  <c r="AD760" i="1"/>
  <c r="AB760" i="1"/>
  <c r="X760" i="1"/>
  <c r="V760" i="1"/>
  <c r="AY761" i="1"/>
  <c r="AX761" i="1"/>
  <c r="AV761" i="1"/>
  <c r="AT761" i="1"/>
  <c r="AQ761" i="1"/>
  <c r="AP761" i="1"/>
  <c r="AN761" i="1"/>
  <c r="AL761" i="1"/>
  <c r="AG761" i="1"/>
  <c r="AF761" i="1"/>
  <c r="AD761" i="1"/>
  <c r="AB761" i="1"/>
  <c r="X761" i="1"/>
  <c r="V761" i="1"/>
  <c r="AG445" i="1"/>
  <c r="AQ445" i="1"/>
  <c r="AY445" i="1"/>
  <c r="AX445" i="1"/>
  <c r="AV445" i="1"/>
  <c r="AT445" i="1"/>
  <c r="AP445" i="1"/>
  <c r="AN445" i="1"/>
  <c r="AL445" i="1"/>
  <c r="AF445" i="1"/>
  <c r="AD445" i="1"/>
  <c r="AB445" i="1"/>
  <c r="X445" i="1"/>
  <c r="V445" i="1"/>
  <c r="AY264" i="1"/>
  <c r="AX264" i="1"/>
  <c r="AV264" i="1"/>
  <c r="AT264" i="1"/>
  <c r="AQ264" i="1"/>
  <c r="AP264" i="1"/>
  <c r="AN264" i="1"/>
  <c r="AL264" i="1"/>
  <c r="AG264" i="1"/>
  <c r="AF264" i="1"/>
  <c r="AD264" i="1"/>
  <c r="AB264" i="1"/>
  <c r="X264" i="1"/>
  <c r="V264" i="1"/>
  <c r="AY263" i="1"/>
  <c r="AX263" i="1"/>
  <c r="AV263" i="1"/>
  <c r="AT263" i="1"/>
  <c r="AQ263" i="1"/>
  <c r="AP263" i="1"/>
  <c r="AN263" i="1"/>
  <c r="AL263" i="1"/>
  <c r="AG263" i="1"/>
  <c r="AF263" i="1"/>
  <c r="AD263" i="1"/>
  <c r="AB263" i="1"/>
  <c r="X263" i="1"/>
  <c r="V263" i="1"/>
  <c r="AY261" i="1"/>
  <c r="AX261" i="1"/>
  <c r="AV261" i="1"/>
  <c r="AT261" i="1"/>
  <c r="AQ261" i="1"/>
  <c r="AP261" i="1"/>
  <c r="AN261" i="1"/>
  <c r="AL261" i="1"/>
  <c r="AG261" i="1"/>
  <c r="AF261" i="1"/>
  <c r="AD261" i="1"/>
  <c r="AB261" i="1"/>
  <c r="X261" i="1"/>
  <c r="V261" i="1"/>
  <c r="AY262" i="1"/>
  <c r="AX262" i="1"/>
  <c r="AV262" i="1"/>
  <c r="AT262" i="1"/>
  <c r="AQ262" i="1"/>
  <c r="AP262" i="1"/>
  <c r="AN262" i="1"/>
  <c r="AL262" i="1"/>
  <c r="AG262" i="1"/>
  <c r="AF262" i="1"/>
  <c r="AD262" i="1"/>
  <c r="AB262" i="1"/>
  <c r="X262" i="1"/>
  <c r="V262" i="1"/>
  <c r="AX98" i="1"/>
  <c r="AV98" i="1"/>
  <c r="AT98" i="1"/>
  <c r="AQ98" i="1"/>
  <c r="BA98" i="1" s="1"/>
  <c r="AP98" i="1"/>
  <c r="AN98" i="1"/>
  <c r="AL98" i="1"/>
  <c r="AG98" i="1"/>
  <c r="AF98" i="1"/>
  <c r="AD98" i="1"/>
  <c r="AB98" i="1"/>
  <c r="X98" i="1"/>
  <c r="V98" i="1"/>
  <c r="AX89" i="1"/>
  <c r="AV89" i="1"/>
  <c r="AT89" i="1"/>
  <c r="AQ89" i="1"/>
  <c r="BA89" i="1" s="1"/>
  <c r="AP89" i="1"/>
  <c r="AN89" i="1"/>
  <c r="AL89" i="1"/>
  <c r="AG89" i="1"/>
  <c r="AF89" i="1"/>
  <c r="AD89" i="1"/>
  <c r="AB89" i="1"/>
  <c r="X89" i="1"/>
  <c r="V89" i="1"/>
  <c r="AY40" i="1"/>
  <c r="BA40" i="1" s="1"/>
  <c r="AX40" i="1"/>
  <c r="AV40" i="1"/>
  <c r="AT40" i="1"/>
  <c r="AP40" i="1"/>
  <c r="AN40" i="1"/>
  <c r="AL40" i="1"/>
  <c r="AG40" i="1"/>
  <c r="AF40" i="1"/>
  <c r="AD40" i="1"/>
  <c r="AB40" i="1"/>
  <c r="X40" i="1"/>
  <c r="V40" i="1"/>
  <c r="AY41" i="1"/>
  <c r="AX41" i="1"/>
  <c r="AV41" i="1"/>
  <c r="AT41" i="1"/>
  <c r="AQ41" i="1"/>
  <c r="AP41" i="1"/>
  <c r="AN41" i="1"/>
  <c r="AL41" i="1"/>
  <c r="AG41" i="1"/>
  <c r="AF41" i="1"/>
  <c r="AD41" i="1"/>
  <c r="AB41" i="1"/>
  <c r="X41" i="1"/>
  <c r="V41" i="1"/>
  <c r="BA759" i="1" l="1"/>
  <c r="BA761" i="1"/>
  <c r="R1042" i="1"/>
  <c r="AH89" i="1"/>
  <c r="R1100" i="1"/>
  <c r="R1026" i="1"/>
  <c r="BA264" i="1"/>
  <c r="BA263" i="1"/>
  <c r="BA262" i="1"/>
  <c r="AH264" i="1"/>
  <c r="BA261" i="1"/>
  <c r="BA760" i="1"/>
  <c r="R723" i="1"/>
  <c r="R1053" i="1"/>
  <c r="AH41" i="1"/>
  <c r="R1035" i="1"/>
  <c r="BB827" i="1"/>
  <c r="R1036" i="1"/>
  <c r="AJ827" i="1"/>
  <c r="BA445" i="1"/>
  <c r="AZ41" i="1"/>
  <c r="AH760" i="1"/>
  <c r="AH261" i="1"/>
  <c r="AZ261" i="1"/>
  <c r="AR264" i="1"/>
  <c r="AZ264" i="1"/>
  <c r="AZ760" i="1"/>
  <c r="BA41" i="1"/>
  <c r="AR41" i="1"/>
  <c r="AH761" i="1"/>
  <c r="AH759" i="1"/>
  <c r="AZ759" i="1"/>
  <c r="AR760" i="1"/>
  <c r="AR759" i="1"/>
  <c r="AH445" i="1"/>
  <c r="AH263" i="1"/>
  <c r="AZ263" i="1"/>
  <c r="AZ445" i="1"/>
  <c r="AR761" i="1"/>
  <c r="AZ761" i="1"/>
  <c r="AR445" i="1"/>
  <c r="AR261" i="1"/>
  <c r="AR263" i="1"/>
  <c r="AH98" i="1"/>
  <c r="AR98" i="1"/>
  <c r="AH262" i="1"/>
  <c r="AR262" i="1"/>
  <c r="AZ262" i="1"/>
  <c r="AZ98" i="1"/>
  <c r="AR89" i="1"/>
  <c r="AZ89" i="1"/>
  <c r="AH40" i="1"/>
  <c r="AR40" i="1"/>
  <c r="AZ40" i="1"/>
  <c r="BB261" i="1" l="1"/>
  <c r="R827" i="1"/>
  <c r="BB41" i="1"/>
  <c r="BB760" i="1"/>
  <c r="BB264" i="1"/>
  <c r="BB445" i="1"/>
  <c r="BB759" i="1"/>
  <c r="BB761" i="1"/>
  <c r="BB263" i="1"/>
  <c r="BB98" i="1"/>
  <c r="BB262" i="1"/>
  <c r="BB40" i="1"/>
  <c r="BB89" i="1"/>
  <c r="AY163" i="1" l="1"/>
  <c r="AX163" i="1"/>
  <c r="AV163" i="1"/>
  <c r="AT163" i="1"/>
  <c r="AQ163" i="1"/>
  <c r="AP163" i="1"/>
  <c r="AN163" i="1"/>
  <c r="AL163" i="1"/>
  <c r="AG163" i="1"/>
  <c r="AF163" i="1"/>
  <c r="AD163" i="1"/>
  <c r="AB163" i="1"/>
  <c r="X163" i="1"/>
  <c r="V163" i="1"/>
  <c r="AY241" i="1"/>
  <c r="AX241" i="1"/>
  <c r="AV241" i="1"/>
  <c r="AT241" i="1"/>
  <c r="AQ241" i="1"/>
  <c r="AP241" i="1"/>
  <c r="AN241" i="1"/>
  <c r="AL241" i="1"/>
  <c r="AG241" i="1"/>
  <c r="AF241" i="1"/>
  <c r="AD241" i="1"/>
  <c r="AB241" i="1"/>
  <c r="X241" i="1"/>
  <c r="V241" i="1"/>
  <c r="AY255" i="1"/>
  <c r="AX255" i="1"/>
  <c r="AV255" i="1"/>
  <c r="AT255" i="1"/>
  <c r="AQ255" i="1"/>
  <c r="AP255" i="1"/>
  <c r="AN255" i="1"/>
  <c r="AL255" i="1"/>
  <c r="AG255" i="1"/>
  <c r="AF255" i="1"/>
  <c r="AD255" i="1"/>
  <c r="AB255" i="1"/>
  <c r="X255" i="1"/>
  <c r="V255" i="1"/>
  <c r="AE813" i="1"/>
  <c r="AQ784" i="1"/>
  <c r="AQ779" i="1"/>
  <c r="AE787" i="1"/>
  <c r="AE767" i="1"/>
  <c r="AE644" i="1"/>
  <c r="AE514" i="1"/>
  <c r="AE510" i="1"/>
  <c r="AE507" i="1"/>
  <c r="AE487" i="1"/>
  <c r="AE451" i="1"/>
  <c r="AE228" i="1"/>
  <c r="AE214" i="1"/>
  <c r="AE197" i="1"/>
  <c r="AE144" i="1"/>
  <c r="AA144" i="1"/>
  <c r="AE138" i="1"/>
  <c r="AE105" i="1"/>
  <c r="AE28" i="1"/>
  <c r="AE24" i="1"/>
  <c r="AG784" i="1"/>
  <c r="AG779" i="1"/>
  <c r="AY784" i="1"/>
  <c r="AY779" i="1"/>
  <c r="AX784" i="1"/>
  <c r="AV784" i="1"/>
  <c r="AT784" i="1"/>
  <c r="AP784" i="1"/>
  <c r="AN784" i="1"/>
  <c r="AL784" i="1"/>
  <c r="AF784" i="1"/>
  <c r="AD784" i="1"/>
  <c r="AB784" i="1"/>
  <c r="Y784" i="1"/>
  <c r="X784" i="1"/>
  <c r="V784" i="1"/>
  <c r="T784" i="1"/>
  <c r="AX779" i="1"/>
  <c r="AV779" i="1"/>
  <c r="AT779" i="1"/>
  <c r="AP779" i="1"/>
  <c r="AN779" i="1"/>
  <c r="AL779" i="1"/>
  <c r="AF779" i="1"/>
  <c r="AD779" i="1"/>
  <c r="AB779" i="1"/>
  <c r="Y779" i="1"/>
  <c r="X779" i="1"/>
  <c r="V779" i="1"/>
  <c r="T779" i="1"/>
  <c r="AY692" i="1"/>
  <c r="AX692" i="1"/>
  <c r="AV692" i="1"/>
  <c r="AT692" i="1"/>
  <c r="AQ692" i="1"/>
  <c r="AP692" i="1"/>
  <c r="AN692" i="1"/>
  <c r="AL692" i="1"/>
  <c r="AG692" i="1"/>
  <c r="AF692" i="1"/>
  <c r="AD692" i="1"/>
  <c r="AB692" i="1"/>
  <c r="X692" i="1"/>
  <c r="V692" i="1"/>
  <c r="AG693" i="1"/>
  <c r="AY690" i="1"/>
  <c r="AX690" i="1"/>
  <c r="AV690" i="1"/>
  <c r="AT690" i="1"/>
  <c r="AQ690" i="1"/>
  <c r="AP690" i="1"/>
  <c r="AN690" i="1"/>
  <c r="AL690" i="1"/>
  <c r="AG690" i="1"/>
  <c r="AF690" i="1"/>
  <c r="AD690" i="1"/>
  <c r="AB690" i="1"/>
  <c r="X690" i="1"/>
  <c r="V690" i="1"/>
  <c r="AX691" i="1"/>
  <c r="AV691" i="1"/>
  <c r="AT691" i="1"/>
  <c r="AQ691" i="1"/>
  <c r="AP691" i="1"/>
  <c r="AN691" i="1"/>
  <c r="AL691" i="1"/>
  <c r="AG691" i="1"/>
  <c r="AF691" i="1"/>
  <c r="AD691" i="1"/>
  <c r="AB691" i="1"/>
  <c r="X691" i="1"/>
  <c r="V691" i="1"/>
  <c r="AF606" i="1"/>
  <c r="AG294" i="1"/>
  <c r="AX294" i="1"/>
  <c r="AV294" i="1"/>
  <c r="AT294" i="1"/>
  <c r="AP294" i="1"/>
  <c r="AN294" i="1"/>
  <c r="AL294" i="1"/>
  <c r="AF294" i="1"/>
  <c r="AD294" i="1"/>
  <c r="AB294" i="1"/>
  <c r="X294" i="1"/>
  <c r="V294" i="1"/>
  <c r="BA691" i="1" l="1"/>
  <c r="AZ690" i="1"/>
  <c r="AH294" i="1"/>
  <c r="BA692" i="1"/>
  <c r="AZ692" i="1"/>
  <c r="BA784" i="1"/>
  <c r="AE515" i="1"/>
  <c r="AI784" i="1"/>
  <c r="AE29" i="1"/>
  <c r="AE229" i="1"/>
  <c r="AI779" i="1"/>
  <c r="BA690" i="1"/>
  <c r="AR692" i="1"/>
  <c r="AR690" i="1"/>
  <c r="BA294" i="1"/>
  <c r="BA779" i="1"/>
  <c r="AZ779" i="1"/>
  <c r="AH779" i="1"/>
  <c r="AZ784" i="1"/>
  <c r="AR779" i="1"/>
  <c r="Z779" i="1"/>
  <c r="AH784" i="1"/>
  <c r="AR784" i="1"/>
  <c r="AZ163" i="1"/>
  <c r="BA241" i="1"/>
  <c r="BA163" i="1"/>
  <c r="BA255" i="1"/>
  <c r="AR241" i="1"/>
  <c r="AZ241" i="1"/>
  <c r="AH163" i="1"/>
  <c r="AR163" i="1"/>
  <c r="AH241" i="1"/>
  <c r="AR255" i="1"/>
  <c r="AZ255" i="1"/>
  <c r="AH255" i="1"/>
  <c r="Z784" i="1"/>
  <c r="AH692" i="1"/>
  <c r="AR691" i="1"/>
  <c r="AZ691" i="1"/>
  <c r="AH690" i="1"/>
  <c r="AR294" i="1"/>
  <c r="AZ294" i="1"/>
  <c r="AH691" i="1"/>
  <c r="Q784" i="1" l="1"/>
  <c r="BB690" i="1"/>
  <c r="BB692" i="1"/>
  <c r="AJ779" i="1"/>
  <c r="BB163" i="1"/>
  <c r="BB779" i="1"/>
  <c r="BB784" i="1"/>
  <c r="Q779" i="1"/>
  <c r="AJ784" i="1"/>
  <c r="BB241" i="1"/>
  <c r="BB255" i="1"/>
  <c r="BB691" i="1"/>
  <c r="BB294" i="1"/>
  <c r="R779" i="1" l="1"/>
  <c r="R784" i="1"/>
  <c r="AY749" i="1" l="1"/>
  <c r="AX749" i="1"/>
  <c r="AV749" i="1"/>
  <c r="AT749" i="1"/>
  <c r="AQ749" i="1"/>
  <c r="AP749" i="1"/>
  <c r="AN749" i="1"/>
  <c r="AL749" i="1"/>
  <c r="AG749" i="1"/>
  <c r="AF749" i="1"/>
  <c r="AD749" i="1"/>
  <c r="AB749" i="1"/>
  <c r="X749" i="1"/>
  <c r="V749" i="1"/>
  <c r="AY750" i="1"/>
  <c r="AX750" i="1"/>
  <c r="AV750" i="1"/>
  <c r="AT750" i="1"/>
  <c r="AQ750" i="1"/>
  <c r="AP750" i="1"/>
  <c r="AN750" i="1"/>
  <c r="AL750" i="1"/>
  <c r="AG750" i="1"/>
  <c r="AF750" i="1"/>
  <c r="AD750" i="1"/>
  <c r="AB750" i="1"/>
  <c r="X750" i="1"/>
  <c r="V750" i="1"/>
  <c r="AZ749" i="1" l="1"/>
  <c r="BA749" i="1"/>
  <c r="BA750" i="1"/>
  <c r="AR750" i="1"/>
  <c r="AR749" i="1"/>
  <c r="AH749" i="1"/>
  <c r="AH750" i="1"/>
  <c r="AZ750" i="1"/>
  <c r="BB750" i="1" l="1"/>
  <c r="BB749" i="1"/>
  <c r="AG734" i="1" l="1"/>
  <c r="AY734" i="1"/>
  <c r="AX734" i="1"/>
  <c r="AV734" i="1"/>
  <c r="AT734" i="1"/>
  <c r="AQ734" i="1"/>
  <c r="AP734" i="1"/>
  <c r="AN734" i="1"/>
  <c r="AL734" i="1"/>
  <c r="AF734" i="1"/>
  <c r="AD734" i="1"/>
  <c r="AB734" i="1"/>
  <c r="Y734" i="1"/>
  <c r="X734" i="1"/>
  <c r="V734" i="1"/>
  <c r="T734" i="1"/>
  <c r="AY947" i="1"/>
  <c r="AX947" i="1"/>
  <c r="AV947" i="1"/>
  <c r="AT947" i="1"/>
  <c r="AQ947" i="1"/>
  <c r="AP947" i="1"/>
  <c r="AN947" i="1"/>
  <c r="AL947" i="1"/>
  <c r="AG947" i="1"/>
  <c r="AF947" i="1"/>
  <c r="AD947" i="1"/>
  <c r="AB947" i="1"/>
  <c r="X947" i="1"/>
  <c r="V947" i="1"/>
  <c r="T947" i="1"/>
  <c r="AY497" i="1"/>
  <c r="AQ497" i="1"/>
  <c r="AG497" i="1"/>
  <c r="AX497" i="1"/>
  <c r="AV497" i="1"/>
  <c r="AT497" i="1"/>
  <c r="AP497" i="1"/>
  <c r="AN497" i="1"/>
  <c r="AL497" i="1"/>
  <c r="AF497" i="1"/>
  <c r="AD497" i="1"/>
  <c r="AB497" i="1"/>
  <c r="Y497" i="1"/>
  <c r="X497" i="1"/>
  <c r="V497" i="1"/>
  <c r="T497" i="1"/>
  <c r="BA497" i="1" l="1"/>
  <c r="AH497" i="1"/>
  <c r="AI497" i="1"/>
  <c r="Z497" i="1"/>
  <c r="AH947" i="1"/>
  <c r="BA734" i="1"/>
  <c r="AI947" i="1"/>
  <c r="AI734" i="1"/>
  <c r="AR947" i="1"/>
  <c r="Z947" i="1"/>
  <c r="AZ947" i="1"/>
  <c r="BA947" i="1"/>
  <c r="AR734" i="1"/>
  <c r="AZ734" i="1"/>
  <c r="AZ497" i="1"/>
  <c r="AH734" i="1"/>
  <c r="Z734" i="1"/>
  <c r="AR497" i="1"/>
  <c r="AC105" i="1"/>
  <c r="AQ990" i="1"/>
  <c r="AQ964" i="1"/>
  <c r="AC197" i="1"/>
  <c r="AY71" i="1"/>
  <c r="AX71" i="1"/>
  <c r="AV71" i="1"/>
  <c r="AT71" i="1"/>
  <c r="AQ71" i="1"/>
  <c r="AP71" i="1"/>
  <c r="AN71" i="1"/>
  <c r="AL71" i="1"/>
  <c r="AG71" i="1"/>
  <c r="AF71" i="1"/>
  <c r="AD71" i="1"/>
  <c r="AB71" i="1"/>
  <c r="X71" i="1"/>
  <c r="V71" i="1"/>
  <c r="AY36" i="1"/>
  <c r="AX36" i="1"/>
  <c r="AV36" i="1"/>
  <c r="AT36" i="1"/>
  <c r="AQ36" i="1"/>
  <c r="AP36" i="1"/>
  <c r="AN36" i="1"/>
  <c r="AL36" i="1"/>
  <c r="AG36" i="1"/>
  <c r="AF36" i="1"/>
  <c r="AD36" i="1"/>
  <c r="AB36" i="1"/>
  <c r="X36" i="1"/>
  <c r="V36" i="1"/>
  <c r="AG776" i="1"/>
  <c r="AQ776" i="1"/>
  <c r="AY776" i="1"/>
  <c r="AX776" i="1"/>
  <c r="AV776" i="1"/>
  <c r="AT776" i="1"/>
  <c r="AP776" i="1"/>
  <c r="AN776" i="1"/>
  <c r="AL776" i="1"/>
  <c r="AF776" i="1"/>
  <c r="AD776" i="1"/>
  <c r="AB776" i="1"/>
  <c r="Y776" i="1"/>
  <c r="X776" i="1"/>
  <c r="V776" i="1"/>
  <c r="T776" i="1"/>
  <c r="AG565" i="1"/>
  <c r="AY565" i="1"/>
  <c r="AX565" i="1"/>
  <c r="AV565" i="1"/>
  <c r="AT565" i="1"/>
  <c r="AQ565" i="1"/>
  <c r="AP565" i="1"/>
  <c r="AN565" i="1"/>
  <c r="AL565" i="1"/>
  <c r="AF565" i="1"/>
  <c r="AD565" i="1"/>
  <c r="AB565" i="1"/>
  <c r="Y565" i="1"/>
  <c r="X565" i="1"/>
  <c r="V565" i="1"/>
  <c r="T565" i="1"/>
  <c r="AY614" i="1"/>
  <c r="AX614" i="1"/>
  <c r="AV614" i="1"/>
  <c r="AT614" i="1"/>
  <c r="AQ614" i="1"/>
  <c r="AP614" i="1"/>
  <c r="AN614" i="1"/>
  <c r="AL614" i="1"/>
  <c r="AG614" i="1"/>
  <c r="AF614" i="1"/>
  <c r="AD614" i="1"/>
  <c r="AB614" i="1"/>
  <c r="Y614" i="1"/>
  <c r="X614" i="1"/>
  <c r="V614" i="1"/>
  <c r="T614" i="1"/>
  <c r="AY615" i="1"/>
  <c r="AX615" i="1"/>
  <c r="AV615" i="1"/>
  <c r="AT615" i="1"/>
  <c r="AQ615" i="1"/>
  <c r="AP615" i="1"/>
  <c r="AN615" i="1"/>
  <c r="AL615" i="1"/>
  <c r="AG615" i="1"/>
  <c r="AF615" i="1"/>
  <c r="AD615" i="1"/>
  <c r="AB615" i="1"/>
  <c r="Y615" i="1"/>
  <c r="X615" i="1"/>
  <c r="V615" i="1"/>
  <c r="T615" i="1"/>
  <c r="AG729" i="1"/>
  <c r="AG731" i="1"/>
  <c r="AY729" i="1"/>
  <c r="AQ729" i="1"/>
  <c r="AY731" i="1"/>
  <c r="AQ731" i="1"/>
  <c r="AY732" i="1"/>
  <c r="AX732" i="1"/>
  <c r="AV732" i="1"/>
  <c r="AT732" i="1"/>
  <c r="AQ732" i="1"/>
  <c r="AP732" i="1"/>
  <c r="AN732" i="1"/>
  <c r="AL732" i="1"/>
  <c r="AG732" i="1"/>
  <c r="AF732" i="1"/>
  <c r="AD732" i="1"/>
  <c r="AB732" i="1"/>
  <c r="Y732" i="1"/>
  <c r="X732" i="1"/>
  <c r="V732" i="1"/>
  <c r="T732" i="1"/>
  <c r="AX729" i="1"/>
  <c r="AV729" i="1"/>
  <c r="AT729" i="1"/>
  <c r="AP729" i="1"/>
  <c r="AN729" i="1"/>
  <c r="AL729" i="1"/>
  <c r="AF729" i="1"/>
  <c r="AD729" i="1"/>
  <c r="AB729" i="1"/>
  <c r="Y729" i="1"/>
  <c r="X729" i="1"/>
  <c r="V729" i="1"/>
  <c r="T729" i="1"/>
  <c r="AQ1118" i="1"/>
  <c r="AQ1057" i="1"/>
  <c r="AQ1056" i="1"/>
  <c r="AQ1049" i="1"/>
  <c r="AQ1047" i="1"/>
  <c r="AQ1012" i="1"/>
  <c r="AQ1044" i="1"/>
  <c r="AQ1041" i="1"/>
  <c r="AG1057" i="1"/>
  <c r="BB497" i="1" l="1"/>
  <c r="Q734" i="1"/>
  <c r="AJ497" i="1"/>
  <c r="AJ947" i="1"/>
  <c r="Q497" i="1"/>
  <c r="BB947" i="1"/>
  <c r="AI729" i="1"/>
  <c r="BA565" i="1"/>
  <c r="BA615" i="1"/>
  <c r="BA614" i="1"/>
  <c r="Q947" i="1"/>
  <c r="BB734" i="1"/>
  <c r="BA71" i="1"/>
  <c r="AJ734" i="1"/>
  <c r="AI776" i="1"/>
  <c r="AZ71" i="1"/>
  <c r="AH71" i="1"/>
  <c r="AR71" i="1"/>
  <c r="AI614" i="1"/>
  <c r="AZ729" i="1"/>
  <c r="BA729" i="1"/>
  <c r="AZ776" i="1"/>
  <c r="Z729" i="1"/>
  <c r="AZ614" i="1"/>
  <c r="Z776" i="1"/>
  <c r="AH776" i="1"/>
  <c r="BA776" i="1"/>
  <c r="BA36" i="1"/>
  <c r="AR776" i="1"/>
  <c r="AH36" i="1"/>
  <c r="AR36" i="1"/>
  <c r="AZ36" i="1"/>
  <c r="BA732" i="1"/>
  <c r="AI615" i="1"/>
  <c r="Z565" i="1"/>
  <c r="AI565" i="1"/>
  <c r="AR615" i="1"/>
  <c r="AZ615" i="1"/>
  <c r="AH565" i="1"/>
  <c r="AR614" i="1"/>
  <c r="AR565" i="1"/>
  <c r="AZ565" i="1"/>
  <c r="AH614" i="1"/>
  <c r="Z614" i="1"/>
  <c r="Z615" i="1"/>
  <c r="AH615" i="1"/>
  <c r="AH729" i="1"/>
  <c r="AI732" i="1"/>
  <c r="AR732" i="1"/>
  <c r="AZ732" i="1"/>
  <c r="AR729" i="1"/>
  <c r="AH732" i="1"/>
  <c r="Z732" i="1"/>
  <c r="AJ729" i="1" l="1"/>
  <c r="R947" i="1"/>
  <c r="R734" i="1"/>
  <c r="AJ565" i="1"/>
  <c r="R497" i="1"/>
  <c r="Q776" i="1"/>
  <c r="Q615" i="1"/>
  <c r="Q565" i="1"/>
  <c r="Q614" i="1"/>
  <c r="Q729" i="1"/>
  <c r="BB776" i="1"/>
  <c r="BB614" i="1"/>
  <c r="BB71" i="1"/>
  <c r="AJ776" i="1"/>
  <c r="BB729" i="1"/>
  <c r="BB36" i="1"/>
  <c r="Q732" i="1"/>
  <c r="BB565" i="1"/>
  <c r="BB615" i="1"/>
  <c r="BB732" i="1"/>
  <c r="AJ615" i="1"/>
  <c r="AJ614" i="1"/>
  <c r="AJ732" i="1"/>
  <c r="R729" i="1" l="1"/>
  <c r="R565" i="1"/>
  <c r="R776" i="1"/>
  <c r="R614" i="1"/>
  <c r="R732" i="1"/>
  <c r="R615" i="1"/>
  <c r="AX1057" i="1" l="1"/>
  <c r="AV1057" i="1"/>
  <c r="AT1057" i="1"/>
  <c r="BA1057" i="1"/>
  <c r="AP1057" i="1"/>
  <c r="AN1057" i="1"/>
  <c r="AL1057" i="1"/>
  <c r="AF1057" i="1"/>
  <c r="AD1057" i="1"/>
  <c r="AB1057" i="1"/>
  <c r="Y1057" i="1"/>
  <c r="X1057" i="1"/>
  <c r="V1057" i="1"/>
  <c r="T1057" i="1"/>
  <c r="AX1047" i="1"/>
  <c r="AV1047" i="1"/>
  <c r="AT1047" i="1"/>
  <c r="AP1047" i="1"/>
  <c r="AN1047" i="1"/>
  <c r="AL1047" i="1"/>
  <c r="AG1047" i="1"/>
  <c r="AF1047" i="1"/>
  <c r="AD1047" i="1"/>
  <c r="AB1047" i="1"/>
  <c r="Y1047" i="1"/>
  <c r="X1047" i="1"/>
  <c r="V1047" i="1"/>
  <c r="T1047" i="1"/>
  <c r="AY1041" i="1"/>
  <c r="AX1041" i="1"/>
  <c r="AV1041" i="1"/>
  <c r="AT1041" i="1"/>
  <c r="AP1041" i="1"/>
  <c r="AN1041" i="1"/>
  <c r="AL1041" i="1"/>
  <c r="AG1041" i="1"/>
  <c r="AF1041" i="1"/>
  <c r="AD1041" i="1"/>
  <c r="AB1041" i="1"/>
  <c r="Y1041" i="1"/>
  <c r="X1041" i="1"/>
  <c r="V1041" i="1"/>
  <c r="T1041" i="1"/>
  <c r="AG964" i="1"/>
  <c r="AX964" i="1"/>
  <c r="AV964" i="1"/>
  <c r="AT964" i="1"/>
  <c r="BA964" i="1"/>
  <c r="AP964" i="1"/>
  <c r="AN964" i="1"/>
  <c r="AL964" i="1"/>
  <c r="AF964" i="1"/>
  <c r="AD964" i="1"/>
  <c r="AB964" i="1"/>
  <c r="Y964" i="1"/>
  <c r="X964" i="1"/>
  <c r="V964" i="1"/>
  <c r="T964" i="1"/>
  <c r="AQ908" i="1"/>
  <c r="AG908" i="1"/>
  <c r="AY908" i="1"/>
  <c r="AX908" i="1"/>
  <c r="AV908" i="1"/>
  <c r="AT908" i="1"/>
  <c r="AP908" i="1"/>
  <c r="AN908" i="1"/>
  <c r="AL908" i="1"/>
  <c r="AF908" i="1"/>
  <c r="AD908" i="1"/>
  <c r="AB908" i="1"/>
  <c r="Y908" i="1"/>
  <c r="X908" i="1"/>
  <c r="V908" i="1"/>
  <c r="T908" i="1"/>
  <c r="BA1047" i="1" l="1"/>
  <c r="AI1057" i="1"/>
  <c r="BA1041" i="1"/>
  <c r="AI1041" i="1"/>
  <c r="BA908" i="1"/>
  <c r="AI964" i="1"/>
  <c r="AH1047" i="1"/>
  <c r="AH1057" i="1"/>
  <c r="AH908" i="1"/>
  <c r="Z1041" i="1"/>
  <c r="AI1047" i="1"/>
  <c r="AR1057" i="1"/>
  <c r="AZ1057" i="1"/>
  <c r="Z908" i="1"/>
  <c r="AH1041" i="1"/>
  <c r="AR1041" i="1"/>
  <c r="Z1047" i="1"/>
  <c r="AR1047" i="1"/>
  <c r="Z1057" i="1"/>
  <c r="AZ1047" i="1"/>
  <c r="AZ1041" i="1"/>
  <c r="AR908" i="1"/>
  <c r="AZ908" i="1"/>
  <c r="AR964" i="1"/>
  <c r="AZ964" i="1"/>
  <c r="AH964" i="1"/>
  <c r="Z964" i="1"/>
  <c r="AI908" i="1"/>
  <c r="AJ1047" i="1" l="1"/>
  <c r="Q1057" i="1"/>
  <c r="Q964" i="1"/>
  <c r="Q1041" i="1"/>
  <c r="Q908" i="1"/>
  <c r="Q1047" i="1"/>
  <c r="AJ1057" i="1"/>
  <c r="BB1047" i="1"/>
  <c r="AJ908" i="1"/>
  <c r="AJ1041" i="1"/>
  <c r="BB1057" i="1"/>
  <c r="BB964" i="1"/>
  <c r="BB1041" i="1"/>
  <c r="BB908" i="1"/>
  <c r="AJ964" i="1"/>
  <c r="AA813" i="1"/>
  <c r="AC813" i="1"/>
  <c r="AK813" i="1"/>
  <c r="AM813" i="1"/>
  <c r="AO813" i="1"/>
  <c r="AS813" i="1"/>
  <c r="AU813" i="1"/>
  <c r="AW813" i="1"/>
  <c r="W813" i="1"/>
  <c r="U813" i="1"/>
  <c r="S813" i="1"/>
  <c r="BA731" i="1"/>
  <c r="AX731" i="1"/>
  <c r="AV731" i="1"/>
  <c r="AT731" i="1"/>
  <c r="AP731" i="1"/>
  <c r="AN731" i="1"/>
  <c r="AL731" i="1"/>
  <c r="AF731" i="1"/>
  <c r="AD731" i="1"/>
  <c r="AB731" i="1"/>
  <c r="Y731" i="1"/>
  <c r="X731" i="1"/>
  <c r="V731" i="1"/>
  <c r="T731" i="1"/>
  <c r="AG1050" i="1"/>
  <c r="AY1054" i="1"/>
  <c r="AX1054" i="1"/>
  <c r="AV1054" i="1"/>
  <c r="AT1054" i="1"/>
  <c r="AQ1054" i="1"/>
  <c r="AP1054" i="1"/>
  <c r="AN1054" i="1"/>
  <c r="AL1054" i="1"/>
  <c r="AG1054" i="1"/>
  <c r="AF1054" i="1"/>
  <c r="AD1054" i="1"/>
  <c r="AB1054" i="1"/>
  <c r="Y1054" i="1"/>
  <c r="X1054" i="1"/>
  <c r="V1054" i="1"/>
  <c r="T1054" i="1"/>
  <c r="AX1056" i="1"/>
  <c r="AV1056" i="1"/>
  <c r="AT1056" i="1"/>
  <c r="AP1056" i="1"/>
  <c r="AN1056" i="1"/>
  <c r="AL1056" i="1"/>
  <c r="AF1056" i="1"/>
  <c r="AD1056" i="1"/>
  <c r="AB1056" i="1"/>
  <c r="Y1056" i="1"/>
  <c r="X1056" i="1"/>
  <c r="V1056" i="1"/>
  <c r="T1056" i="1"/>
  <c r="R1057" i="1" l="1"/>
  <c r="R1047" i="1"/>
  <c r="BA1056" i="1"/>
  <c r="BA1054" i="1"/>
  <c r="AI1056" i="1"/>
  <c r="AI731" i="1"/>
  <c r="R1041" i="1"/>
  <c r="R908" i="1"/>
  <c r="Z1056" i="1"/>
  <c r="AZ731" i="1"/>
  <c r="Z1054" i="1"/>
  <c r="AR1054" i="1"/>
  <c r="AZ1054" i="1"/>
  <c r="Z731" i="1"/>
  <c r="AH731" i="1"/>
  <c r="AR731" i="1"/>
  <c r="R964" i="1"/>
  <c r="AI1054" i="1"/>
  <c r="AR1056" i="1"/>
  <c r="AZ1056" i="1"/>
  <c r="AH1056" i="1"/>
  <c r="AH1054" i="1"/>
  <c r="Q731" i="1" l="1"/>
  <c r="AJ1056" i="1"/>
  <c r="Q1056" i="1"/>
  <c r="Q1054" i="1"/>
  <c r="AJ731" i="1"/>
  <c r="AJ1054" i="1"/>
  <c r="BB731" i="1"/>
  <c r="BB1054" i="1"/>
  <c r="BB1056" i="1"/>
  <c r="AY990" i="1"/>
  <c r="AY1012" i="1"/>
  <c r="AY1044" i="1"/>
  <c r="AY1048" i="1"/>
  <c r="AX1048" i="1"/>
  <c r="AV1048" i="1"/>
  <c r="AT1048" i="1"/>
  <c r="AQ1048" i="1"/>
  <c r="AP1048" i="1"/>
  <c r="AN1048" i="1"/>
  <c r="AL1048" i="1"/>
  <c r="AG1048" i="1"/>
  <c r="AF1048" i="1"/>
  <c r="AD1048" i="1"/>
  <c r="AB1048" i="1"/>
  <c r="Y1048" i="1"/>
  <c r="X1048" i="1"/>
  <c r="V1048" i="1"/>
  <c r="T1048" i="1"/>
  <c r="AX1049" i="1"/>
  <c r="AV1049" i="1"/>
  <c r="AT1049" i="1"/>
  <c r="AP1049" i="1"/>
  <c r="AN1049" i="1"/>
  <c r="AL1049" i="1"/>
  <c r="AG1049" i="1"/>
  <c r="AF1049" i="1"/>
  <c r="AD1049" i="1"/>
  <c r="AB1049" i="1"/>
  <c r="Y1049" i="1"/>
  <c r="X1049" i="1"/>
  <c r="V1049" i="1"/>
  <c r="T1049" i="1"/>
  <c r="R1054" i="1" l="1"/>
  <c r="R1056" i="1"/>
  <c r="BA1049" i="1"/>
  <c r="BA1048" i="1"/>
  <c r="R731" i="1"/>
  <c r="AI1048" i="1"/>
  <c r="AI1049" i="1"/>
  <c r="Z1048" i="1"/>
  <c r="AH1048" i="1"/>
  <c r="AR1048" i="1"/>
  <c r="AZ1048" i="1"/>
  <c r="Z1049" i="1"/>
  <c r="AZ1049" i="1"/>
  <c r="AR1049" i="1"/>
  <c r="AH1049" i="1"/>
  <c r="Q1049" i="1" l="1"/>
  <c r="Q1048" i="1"/>
  <c r="AJ1049" i="1"/>
  <c r="AJ1048" i="1"/>
  <c r="BB1048" i="1"/>
  <c r="BB1049" i="1"/>
  <c r="AX1043" i="1"/>
  <c r="AV1043" i="1"/>
  <c r="AT1043" i="1"/>
  <c r="AP1043" i="1"/>
  <c r="AN1043" i="1"/>
  <c r="AL1043" i="1"/>
  <c r="AG1043" i="1"/>
  <c r="AF1043" i="1"/>
  <c r="AD1043" i="1"/>
  <c r="AB1043" i="1"/>
  <c r="Y1043" i="1"/>
  <c r="X1043" i="1"/>
  <c r="V1043" i="1"/>
  <c r="T1043" i="1"/>
  <c r="BA1044" i="1"/>
  <c r="AX1044" i="1"/>
  <c r="AV1044" i="1"/>
  <c r="AT1044" i="1"/>
  <c r="AP1044" i="1"/>
  <c r="AN1044" i="1"/>
  <c r="AL1044" i="1"/>
  <c r="AG1044" i="1"/>
  <c r="AF1044" i="1"/>
  <c r="AD1044" i="1"/>
  <c r="AB1044" i="1"/>
  <c r="Y1044" i="1"/>
  <c r="X1044" i="1"/>
  <c r="V1044" i="1"/>
  <c r="T1044" i="1"/>
  <c r="AG1118" i="1"/>
  <c r="AX1118" i="1"/>
  <c r="AV1118" i="1"/>
  <c r="AT1118" i="1"/>
  <c r="BA1118" i="1"/>
  <c r="AP1118" i="1"/>
  <c r="AN1118" i="1"/>
  <c r="AL1118" i="1"/>
  <c r="AF1118" i="1"/>
  <c r="AD1118" i="1"/>
  <c r="AB1118" i="1"/>
  <c r="X1118" i="1"/>
  <c r="V1118" i="1"/>
  <c r="T1118" i="1"/>
  <c r="Y1012" i="1"/>
  <c r="BA1012" i="1"/>
  <c r="AX1012" i="1"/>
  <c r="AV1012" i="1"/>
  <c r="AT1012" i="1"/>
  <c r="AP1012" i="1"/>
  <c r="AN1012" i="1"/>
  <c r="AL1012" i="1"/>
  <c r="AG1012" i="1"/>
  <c r="AF1012" i="1"/>
  <c r="AD1012" i="1"/>
  <c r="AB1012" i="1"/>
  <c r="X1012" i="1"/>
  <c r="V1012" i="1"/>
  <c r="T1012" i="1"/>
  <c r="AG990" i="1"/>
  <c r="Y990" i="1"/>
  <c r="AX990" i="1"/>
  <c r="AV990" i="1"/>
  <c r="AT990" i="1"/>
  <c r="BA990" i="1"/>
  <c r="AP990" i="1"/>
  <c r="AN990" i="1"/>
  <c r="AL990" i="1"/>
  <c r="AF990" i="1"/>
  <c r="AD990" i="1"/>
  <c r="AB990" i="1"/>
  <c r="X990" i="1"/>
  <c r="V990" i="1"/>
  <c r="T990" i="1"/>
  <c r="AB812" i="1"/>
  <c r="AY812" i="1"/>
  <c r="AX812" i="1"/>
  <c r="AV812" i="1"/>
  <c r="AT812" i="1"/>
  <c r="AQ812" i="1"/>
  <c r="AP812" i="1"/>
  <c r="AN812" i="1"/>
  <c r="AL812" i="1"/>
  <c r="AG812" i="1"/>
  <c r="AF812" i="1"/>
  <c r="AD812" i="1"/>
  <c r="Y812" i="1"/>
  <c r="X812" i="1"/>
  <c r="V812" i="1"/>
  <c r="T812" i="1"/>
  <c r="AG431" i="1"/>
  <c r="AY431" i="1"/>
  <c r="AX431" i="1"/>
  <c r="AV431" i="1"/>
  <c r="AT431" i="1"/>
  <c r="AQ431" i="1"/>
  <c r="AP431" i="1"/>
  <c r="AN431" i="1"/>
  <c r="AL431" i="1"/>
  <c r="AF431" i="1"/>
  <c r="AD431" i="1"/>
  <c r="AB431" i="1"/>
  <c r="X431" i="1"/>
  <c r="V431" i="1"/>
  <c r="AG432" i="1"/>
  <c r="AG427" i="1"/>
  <c r="AR812" i="1" l="1"/>
  <c r="AZ1118" i="1"/>
  <c r="BA1043" i="1"/>
  <c r="AI1012" i="1"/>
  <c r="AI1118" i="1"/>
  <c r="Z1043" i="1"/>
  <c r="AZ1043" i="1"/>
  <c r="AR1118" i="1"/>
  <c r="R1049" i="1"/>
  <c r="BA431" i="1"/>
  <c r="AR1043" i="1"/>
  <c r="BA812" i="1"/>
  <c r="AI812" i="1"/>
  <c r="Z990" i="1"/>
  <c r="Z1118" i="1"/>
  <c r="AI990" i="1"/>
  <c r="R1048" i="1"/>
  <c r="AI1044" i="1"/>
  <c r="AH1118" i="1"/>
  <c r="AI1043" i="1"/>
  <c r="AH812" i="1"/>
  <c r="Z812" i="1"/>
  <c r="AZ812" i="1"/>
  <c r="AR1044" i="1"/>
  <c r="AZ1044" i="1"/>
  <c r="AH1043" i="1"/>
  <c r="Z1044" i="1"/>
  <c r="AH1044" i="1"/>
  <c r="AH1012" i="1"/>
  <c r="AR1012" i="1"/>
  <c r="AZ1012" i="1"/>
  <c r="AR990" i="1"/>
  <c r="AZ990" i="1"/>
  <c r="Z1012" i="1"/>
  <c r="AH990" i="1"/>
  <c r="AH431" i="1"/>
  <c r="AR431" i="1"/>
  <c r="AZ431" i="1"/>
  <c r="AY755" i="1"/>
  <c r="AG755" i="1"/>
  <c r="AJ1118" i="1" l="1"/>
  <c r="BB1118" i="1"/>
  <c r="AJ1043" i="1"/>
  <c r="AJ812" i="1"/>
  <c r="Q1012" i="1"/>
  <c r="Q1118" i="1"/>
  <c r="Q1043" i="1"/>
  <c r="BB1043" i="1"/>
  <c r="Q990" i="1"/>
  <c r="Q1044" i="1"/>
  <c r="Q812" i="1"/>
  <c r="AJ990" i="1"/>
  <c r="AJ1044" i="1"/>
  <c r="BB812" i="1"/>
  <c r="AJ1012" i="1"/>
  <c r="BB1044" i="1"/>
  <c r="BB1012" i="1"/>
  <c r="BB990" i="1"/>
  <c r="BB431" i="1"/>
  <c r="R1118" i="1" l="1"/>
  <c r="R1043" i="1"/>
  <c r="R812" i="1"/>
  <c r="R990" i="1"/>
  <c r="R1044" i="1"/>
  <c r="R1012" i="1"/>
  <c r="AX755" i="1"/>
  <c r="AV755" i="1"/>
  <c r="AT755" i="1"/>
  <c r="AQ755" i="1"/>
  <c r="AP755" i="1"/>
  <c r="AN755" i="1"/>
  <c r="AL755" i="1"/>
  <c r="AF755" i="1"/>
  <c r="AD755" i="1"/>
  <c r="AB755" i="1"/>
  <c r="X755" i="1"/>
  <c r="V755" i="1"/>
  <c r="AY705" i="1"/>
  <c r="AX705" i="1"/>
  <c r="AV705" i="1"/>
  <c r="AT705" i="1"/>
  <c r="AQ705" i="1"/>
  <c r="AP705" i="1"/>
  <c r="AN705" i="1"/>
  <c r="AL705" i="1"/>
  <c r="AG705" i="1"/>
  <c r="AF705" i="1"/>
  <c r="AD705" i="1"/>
  <c r="AB705" i="1"/>
  <c r="X705" i="1"/>
  <c r="V705" i="1"/>
  <c r="AY706" i="1"/>
  <c r="AX706" i="1"/>
  <c r="AV706" i="1"/>
  <c r="AT706" i="1"/>
  <c r="AQ706" i="1"/>
  <c r="AP706" i="1"/>
  <c r="AN706" i="1"/>
  <c r="AL706" i="1"/>
  <c r="AG706" i="1"/>
  <c r="AF706" i="1"/>
  <c r="AD706" i="1"/>
  <c r="AB706" i="1"/>
  <c r="X706" i="1"/>
  <c r="V706" i="1"/>
  <c r="AX427" i="1"/>
  <c r="AV427" i="1"/>
  <c r="AT427" i="1"/>
  <c r="AP427" i="1"/>
  <c r="AN427" i="1"/>
  <c r="AL427" i="1"/>
  <c r="AF427" i="1"/>
  <c r="AD427" i="1"/>
  <c r="AB427" i="1"/>
  <c r="X427" i="1"/>
  <c r="V427" i="1"/>
  <c r="AR427" i="1" l="1"/>
  <c r="BA705" i="1"/>
  <c r="BA755" i="1"/>
  <c r="BA427" i="1"/>
  <c r="BA706" i="1"/>
  <c r="AR705" i="1"/>
  <c r="AZ705" i="1"/>
  <c r="AH427" i="1"/>
  <c r="AH755" i="1"/>
  <c r="AR755" i="1"/>
  <c r="AZ755" i="1"/>
  <c r="AR706" i="1"/>
  <c r="AZ706" i="1"/>
  <c r="AH705" i="1"/>
  <c r="AH706" i="1"/>
  <c r="AZ427" i="1"/>
  <c r="BB705" i="1" l="1"/>
  <c r="BB755" i="1"/>
  <c r="BB706" i="1"/>
  <c r="BB427" i="1"/>
  <c r="AY1169" i="1" l="1"/>
  <c r="AX1169" i="1"/>
  <c r="AV1169" i="1"/>
  <c r="AT1169" i="1"/>
  <c r="AQ1169" i="1"/>
  <c r="AP1169" i="1"/>
  <c r="AN1169" i="1"/>
  <c r="AL1169" i="1"/>
  <c r="AG1169" i="1"/>
  <c r="AF1169" i="1"/>
  <c r="AD1169" i="1"/>
  <c r="AB1169" i="1"/>
  <c r="Y1169" i="1"/>
  <c r="X1169" i="1"/>
  <c r="V1169" i="1"/>
  <c r="T1169" i="1"/>
  <c r="BA1169" i="1" l="1"/>
  <c r="AI1169" i="1"/>
  <c r="Z1169" i="1"/>
  <c r="AR1169" i="1"/>
  <c r="AZ1169" i="1"/>
  <c r="AH1169" i="1"/>
  <c r="AY1171" i="1"/>
  <c r="AX1171" i="1"/>
  <c r="AV1171" i="1"/>
  <c r="AT1171" i="1"/>
  <c r="AQ1171" i="1"/>
  <c r="AP1171" i="1"/>
  <c r="AN1171" i="1"/>
  <c r="AL1171" i="1"/>
  <c r="AG1171" i="1"/>
  <c r="AF1171" i="1"/>
  <c r="AD1171" i="1"/>
  <c r="AB1171" i="1"/>
  <c r="Y1171" i="1"/>
  <c r="X1171" i="1"/>
  <c r="V1171" i="1"/>
  <c r="T1171" i="1"/>
  <c r="Q1169" i="1" l="1"/>
  <c r="BA1171" i="1"/>
  <c r="AI1171" i="1"/>
  <c r="AJ1169" i="1"/>
  <c r="BB1169" i="1"/>
  <c r="Z1171" i="1"/>
  <c r="AH1171" i="1"/>
  <c r="AR1171" i="1"/>
  <c r="AZ1171" i="1"/>
  <c r="Q1171" i="1" l="1"/>
  <c r="R1169" i="1"/>
  <c r="BB1171" i="1"/>
  <c r="AJ1171" i="1"/>
  <c r="R1171" i="1" l="1"/>
  <c r="AY709" i="1"/>
  <c r="AX709" i="1"/>
  <c r="AV709" i="1"/>
  <c r="AT709" i="1"/>
  <c r="AQ709" i="1"/>
  <c r="AP709" i="1"/>
  <c r="AN709" i="1"/>
  <c r="AL709" i="1"/>
  <c r="AG709" i="1"/>
  <c r="AF709" i="1"/>
  <c r="AD709" i="1"/>
  <c r="AB709" i="1"/>
  <c r="X709" i="1"/>
  <c r="V709" i="1"/>
  <c r="AY590" i="1"/>
  <c r="AX590" i="1"/>
  <c r="AV590" i="1"/>
  <c r="AT590" i="1"/>
  <c r="AQ590" i="1"/>
  <c r="AP590" i="1"/>
  <c r="AN590" i="1"/>
  <c r="AL590" i="1"/>
  <c r="AG590" i="1"/>
  <c r="AF590" i="1"/>
  <c r="AD590" i="1"/>
  <c r="AB590" i="1"/>
  <c r="Y590" i="1"/>
  <c r="X590" i="1"/>
  <c r="V590" i="1"/>
  <c r="T590" i="1"/>
  <c r="BA590" i="1" l="1"/>
  <c r="BA709" i="1"/>
  <c r="AI590" i="1"/>
  <c r="AR709" i="1"/>
  <c r="AZ709" i="1"/>
  <c r="AH709" i="1"/>
  <c r="Z590" i="1"/>
  <c r="AH590" i="1"/>
  <c r="AR590" i="1"/>
  <c r="AZ590" i="1"/>
  <c r="AY621" i="1"/>
  <c r="AX621" i="1"/>
  <c r="AV621" i="1"/>
  <c r="AT621" i="1"/>
  <c r="AQ621" i="1"/>
  <c r="AP621" i="1"/>
  <c r="AN621" i="1"/>
  <c r="AL621" i="1"/>
  <c r="AG621" i="1"/>
  <c r="AF621" i="1"/>
  <c r="AD621" i="1"/>
  <c r="AB621" i="1"/>
  <c r="Y621" i="1"/>
  <c r="X621" i="1"/>
  <c r="V621" i="1"/>
  <c r="T621" i="1"/>
  <c r="AY622" i="1"/>
  <c r="AX622" i="1"/>
  <c r="AV622" i="1"/>
  <c r="AT622" i="1"/>
  <c r="AQ622" i="1"/>
  <c r="AP622" i="1"/>
  <c r="AN622" i="1"/>
  <c r="AL622" i="1"/>
  <c r="AG622" i="1"/>
  <c r="AF622" i="1"/>
  <c r="AD622" i="1"/>
  <c r="AB622" i="1"/>
  <c r="Y622" i="1"/>
  <c r="X622" i="1"/>
  <c r="V622" i="1"/>
  <c r="T622" i="1"/>
  <c r="AY623" i="1"/>
  <c r="AX623" i="1"/>
  <c r="AV623" i="1"/>
  <c r="AT623" i="1"/>
  <c r="AQ623" i="1"/>
  <c r="AP623" i="1"/>
  <c r="AN623" i="1"/>
  <c r="AL623" i="1"/>
  <c r="AG623" i="1"/>
  <c r="AF623" i="1"/>
  <c r="AD623" i="1"/>
  <c r="AB623" i="1"/>
  <c r="Y623" i="1"/>
  <c r="X623" i="1"/>
  <c r="V623" i="1"/>
  <c r="T623" i="1"/>
  <c r="AY719" i="1"/>
  <c r="AX719" i="1"/>
  <c r="AV719" i="1"/>
  <c r="AT719" i="1"/>
  <c r="AQ719" i="1"/>
  <c r="AP719" i="1"/>
  <c r="AN719" i="1"/>
  <c r="AL719" i="1"/>
  <c r="AG719" i="1"/>
  <c r="AF719" i="1"/>
  <c r="AD719" i="1"/>
  <c r="AB719" i="1"/>
  <c r="Y719" i="1"/>
  <c r="X719" i="1"/>
  <c r="V719" i="1"/>
  <c r="T719" i="1"/>
  <c r="AY417" i="1"/>
  <c r="AX417" i="1"/>
  <c r="AV417" i="1"/>
  <c r="AT417" i="1"/>
  <c r="AQ417" i="1"/>
  <c r="AP417" i="1"/>
  <c r="AN417" i="1"/>
  <c r="AL417" i="1"/>
  <c r="AG417" i="1"/>
  <c r="AF417" i="1"/>
  <c r="AD417" i="1"/>
  <c r="AB417" i="1"/>
  <c r="X417" i="1"/>
  <c r="V417" i="1"/>
  <c r="Q590" i="1" l="1"/>
  <c r="BA622" i="1"/>
  <c r="BA417" i="1"/>
  <c r="BA719" i="1"/>
  <c r="BA623" i="1"/>
  <c r="AI622" i="1"/>
  <c r="AI621" i="1"/>
  <c r="AI623" i="1"/>
  <c r="BB709" i="1"/>
  <c r="AI719" i="1"/>
  <c r="BA621" i="1"/>
  <c r="BB590" i="1"/>
  <c r="AH417" i="1"/>
  <c r="AR417" i="1"/>
  <c r="AZ417" i="1"/>
  <c r="AH719" i="1"/>
  <c r="AR719" i="1"/>
  <c r="AZ719" i="1"/>
  <c r="AR623" i="1"/>
  <c r="AZ623" i="1"/>
  <c r="AH622" i="1"/>
  <c r="AR622" i="1"/>
  <c r="AZ622" i="1"/>
  <c r="AJ590" i="1"/>
  <c r="Z621" i="1"/>
  <c r="AH621" i="1"/>
  <c r="AR621" i="1"/>
  <c r="AZ621" i="1"/>
  <c r="Z622" i="1"/>
  <c r="Z623" i="1"/>
  <c r="AH623" i="1"/>
  <c r="Z719" i="1"/>
  <c r="AY753" i="1"/>
  <c r="AX753" i="1"/>
  <c r="AV753" i="1"/>
  <c r="AT753" i="1"/>
  <c r="AQ753" i="1"/>
  <c r="AP753" i="1"/>
  <c r="AN753" i="1"/>
  <c r="AL753" i="1"/>
  <c r="AG753" i="1"/>
  <c r="AF753" i="1"/>
  <c r="AD753" i="1"/>
  <c r="AB753" i="1"/>
  <c r="X753" i="1"/>
  <c r="V753" i="1"/>
  <c r="AY754" i="1"/>
  <c r="AX754" i="1"/>
  <c r="AV754" i="1"/>
  <c r="AT754" i="1"/>
  <c r="AQ754" i="1"/>
  <c r="AP754" i="1"/>
  <c r="AN754" i="1"/>
  <c r="AL754" i="1"/>
  <c r="AG754" i="1"/>
  <c r="AF754" i="1"/>
  <c r="AD754" i="1"/>
  <c r="AB754" i="1"/>
  <c r="X754" i="1"/>
  <c r="V754" i="1"/>
  <c r="AY757" i="1"/>
  <c r="AX757" i="1"/>
  <c r="AV757" i="1"/>
  <c r="AT757" i="1"/>
  <c r="AQ757" i="1"/>
  <c r="AP757" i="1"/>
  <c r="AN757" i="1"/>
  <c r="AL757" i="1"/>
  <c r="AG757" i="1"/>
  <c r="AF757" i="1"/>
  <c r="AD757" i="1"/>
  <c r="AB757" i="1"/>
  <c r="X757" i="1"/>
  <c r="V757" i="1"/>
  <c r="AY534" i="1"/>
  <c r="AX534" i="1"/>
  <c r="AV534" i="1"/>
  <c r="AT534" i="1"/>
  <c r="AQ534" i="1"/>
  <c r="AP534" i="1"/>
  <c r="AN534" i="1"/>
  <c r="AL534" i="1"/>
  <c r="AG534" i="1"/>
  <c r="AF534" i="1"/>
  <c r="AD534" i="1"/>
  <c r="AB534" i="1"/>
  <c r="X534" i="1"/>
  <c r="V534" i="1"/>
  <c r="AY433" i="1"/>
  <c r="AX433" i="1"/>
  <c r="AV433" i="1"/>
  <c r="AT433" i="1"/>
  <c r="AQ433" i="1"/>
  <c r="AP433" i="1"/>
  <c r="AN433" i="1"/>
  <c r="AL433" i="1"/>
  <c r="AG433" i="1"/>
  <c r="AF433" i="1"/>
  <c r="AD433" i="1"/>
  <c r="AB433" i="1"/>
  <c r="X433" i="1"/>
  <c r="V433" i="1"/>
  <c r="AX429" i="1"/>
  <c r="AV429" i="1"/>
  <c r="AT429" i="1"/>
  <c r="AQ429" i="1"/>
  <c r="AP429" i="1"/>
  <c r="AN429" i="1"/>
  <c r="AL429" i="1"/>
  <c r="AG429" i="1"/>
  <c r="AF429" i="1"/>
  <c r="AD429" i="1"/>
  <c r="AB429" i="1"/>
  <c r="X429" i="1"/>
  <c r="V429" i="1"/>
  <c r="AY430" i="1"/>
  <c r="AX430" i="1"/>
  <c r="AV430" i="1"/>
  <c r="AT430" i="1"/>
  <c r="AQ430" i="1"/>
  <c r="AP430" i="1"/>
  <c r="AN430" i="1"/>
  <c r="AL430" i="1"/>
  <c r="AG430" i="1"/>
  <c r="AF430" i="1"/>
  <c r="AD430" i="1"/>
  <c r="AB430" i="1"/>
  <c r="X430" i="1"/>
  <c r="V430" i="1"/>
  <c r="AR433" i="1" l="1"/>
  <c r="AZ433" i="1"/>
  <c r="BA754" i="1"/>
  <c r="Q623" i="1"/>
  <c r="Q622" i="1"/>
  <c r="BA534" i="1"/>
  <c r="BA757" i="1"/>
  <c r="BA753" i="1"/>
  <c r="Q719" i="1"/>
  <c r="R590" i="1"/>
  <c r="BA433" i="1"/>
  <c r="Q621" i="1"/>
  <c r="BA429" i="1"/>
  <c r="AJ719" i="1"/>
  <c r="BB621" i="1"/>
  <c r="BB719" i="1"/>
  <c r="AJ622" i="1"/>
  <c r="AH757" i="1"/>
  <c r="AR757" i="1"/>
  <c r="AZ757" i="1"/>
  <c r="AH754" i="1"/>
  <c r="AR754" i="1"/>
  <c r="AZ754" i="1"/>
  <c r="BB417" i="1"/>
  <c r="BB623" i="1"/>
  <c r="BA430" i="1"/>
  <c r="AJ621" i="1"/>
  <c r="BB622" i="1"/>
  <c r="AH534" i="1"/>
  <c r="AJ623" i="1"/>
  <c r="AH429" i="1"/>
  <c r="AR534" i="1"/>
  <c r="AZ534" i="1"/>
  <c r="AH753" i="1"/>
  <c r="AR429" i="1"/>
  <c r="AZ429" i="1"/>
  <c r="AR753" i="1"/>
  <c r="AZ753" i="1"/>
  <c r="AH433" i="1"/>
  <c r="AH430" i="1"/>
  <c r="AR430" i="1"/>
  <c r="AZ430" i="1"/>
  <c r="R622" i="1" l="1"/>
  <c r="R719" i="1"/>
  <c r="BB757" i="1"/>
  <c r="R621" i="1"/>
  <c r="R623" i="1"/>
  <c r="BB754" i="1"/>
  <c r="BB429" i="1"/>
  <c r="BB534" i="1"/>
  <c r="BB753" i="1"/>
  <c r="BB433" i="1"/>
  <c r="BB430" i="1"/>
  <c r="AY800" i="1" l="1"/>
  <c r="AX800" i="1"/>
  <c r="AV800" i="1"/>
  <c r="AT800" i="1"/>
  <c r="AQ800" i="1"/>
  <c r="AP800" i="1"/>
  <c r="AN800" i="1"/>
  <c r="AL800" i="1"/>
  <c r="AG800" i="1"/>
  <c r="AD800" i="1"/>
  <c r="AB800" i="1"/>
  <c r="Y800" i="1"/>
  <c r="X800" i="1"/>
  <c r="V800" i="1"/>
  <c r="T800" i="1"/>
  <c r="AY799" i="1"/>
  <c r="AX799" i="1"/>
  <c r="AV799" i="1"/>
  <c r="AT799" i="1"/>
  <c r="AQ799" i="1"/>
  <c r="AP799" i="1"/>
  <c r="AN799" i="1"/>
  <c r="AL799" i="1"/>
  <c r="AG799" i="1"/>
  <c r="AF799" i="1"/>
  <c r="AD799" i="1"/>
  <c r="AB799" i="1"/>
  <c r="Y799" i="1"/>
  <c r="X799" i="1"/>
  <c r="V799" i="1"/>
  <c r="T799" i="1"/>
  <c r="AY783" i="1"/>
  <c r="AX783" i="1"/>
  <c r="AV783" i="1"/>
  <c r="AT783" i="1"/>
  <c r="AQ783" i="1"/>
  <c r="AP783" i="1"/>
  <c r="AN783" i="1"/>
  <c r="AL783" i="1"/>
  <c r="AG783" i="1"/>
  <c r="AF783" i="1"/>
  <c r="AD783" i="1"/>
  <c r="AB783" i="1"/>
  <c r="Y783" i="1"/>
  <c r="X783" i="1"/>
  <c r="V783" i="1"/>
  <c r="T783" i="1"/>
  <c r="AY781" i="1"/>
  <c r="AX781" i="1"/>
  <c r="AV781" i="1"/>
  <c r="AT781" i="1"/>
  <c r="AQ781" i="1"/>
  <c r="AP781" i="1"/>
  <c r="AN781" i="1"/>
  <c r="AL781" i="1"/>
  <c r="AG781" i="1"/>
  <c r="AF781" i="1"/>
  <c r="AD781" i="1"/>
  <c r="AB781" i="1"/>
  <c r="Y781" i="1"/>
  <c r="X781" i="1"/>
  <c r="V781" i="1"/>
  <c r="T781" i="1"/>
  <c r="AY716" i="1"/>
  <c r="AX716" i="1"/>
  <c r="AV716" i="1"/>
  <c r="AT716" i="1"/>
  <c r="AQ716" i="1"/>
  <c r="AP716" i="1"/>
  <c r="AN716" i="1"/>
  <c r="AL716" i="1"/>
  <c r="AG716" i="1"/>
  <c r="AF716" i="1"/>
  <c r="AD716" i="1"/>
  <c r="AB716" i="1"/>
  <c r="Y716" i="1"/>
  <c r="X716" i="1"/>
  <c r="V716" i="1"/>
  <c r="T716" i="1"/>
  <c r="AY710" i="1"/>
  <c r="AX710" i="1"/>
  <c r="AV710" i="1"/>
  <c r="AT710" i="1"/>
  <c r="AQ710" i="1"/>
  <c r="AP710" i="1"/>
  <c r="AN710" i="1"/>
  <c r="AL710" i="1"/>
  <c r="AG710" i="1"/>
  <c r="AF710" i="1"/>
  <c r="AD710" i="1"/>
  <c r="AB710" i="1"/>
  <c r="Y710" i="1"/>
  <c r="X710" i="1"/>
  <c r="V710" i="1"/>
  <c r="T710" i="1"/>
  <c r="AI783" i="1" l="1"/>
  <c r="BA783" i="1"/>
  <c r="AI799" i="1"/>
  <c r="BA799" i="1"/>
  <c r="AI800" i="1"/>
  <c r="BA710" i="1"/>
  <c r="AI781" i="1"/>
  <c r="AI710" i="1"/>
  <c r="AI716" i="1"/>
  <c r="BA800" i="1"/>
  <c r="BA716" i="1"/>
  <c r="BA781" i="1"/>
  <c r="AR799" i="1"/>
  <c r="AZ799" i="1"/>
  <c r="AH800" i="1"/>
  <c r="Z710" i="1"/>
  <c r="AH710" i="1"/>
  <c r="AR710" i="1"/>
  <c r="AZ710" i="1"/>
  <c r="Z716" i="1"/>
  <c r="AH716" i="1"/>
  <c r="AR716" i="1"/>
  <c r="AZ716" i="1"/>
  <c r="Z781" i="1"/>
  <c r="AH781" i="1"/>
  <c r="AR781" i="1"/>
  <c r="AZ781" i="1"/>
  <c r="AH783" i="1"/>
  <c r="AR783" i="1"/>
  <c r="AH799" i="1"/>
  <c r="AR800" i="1"/>
  <c r="AZ800" i="1"/>
  <c r="Z799" i="1"/>
  <c r="Z800" i="1"/>
  <c r="Z783" i="1"/>
  <c r="AZ783" i="1"/>
  <c r="AY553" i="1"/>
  <c r="AX553" i="1"/>
  <c r="AV553" i="1"/>
  <c r="AT553" i="1"/>
  <c r="AQ553" i="1"/>
  <c r="AP553" i="1"/>
  <c r="AN553" i="1"/>
  <c r="AL553" i="1"/>
  <c r="AG553" i="1"/>
  <c r="AF553" i="1"/>
  <c r="AD553" i="1"/>
  <c r="AB553" i="1"/>
  <c r="Y553" i="1"/>
  <c r="X553" i="1"/>
  <c r="V553" i="1"/>
  <c r="T553" i="1"/>
  <c r="AY517" i="1"/>
  <c r="AX517" i="1"/>
  <c r="AV517" i="1"/>
  <c r="AT517" i="1"/>
  <c r="AQ517" i="1"/>
  <c r="AP517" i="1"/>
  <c r="AN517" i="1"/>
  <c r="AL517" i="1"/>
  <c r="AG517" i="1"/>
  <c r="AF517" i="1"/>
  <c r="AD517" i="1"/>
  <c r="AB517" i="1"/>
  <c r="Y517" i="1"/>
  <c r="X517" i="1"/>
  <c r="V517" i="1"/>
  <c r="T517" i="1"/>
  <c r="AY512" i="1"/>
  <c r="AX512" i="1"/>
  <c r="AV512" i="1"/>
  <c r="AT512" i="1"/>
  <c r="AQ512" i="1"/>
  <c r="AP512" i="1"/>
  <c r="AN512" i="1"/>
  <c r="AL512" i="1"/>
  <c r="AG512" i="1"/>
  <c r="AF512" i="1"/>
  <c r="AD512" i="1"/>
  <c r="AB512" i="1"/>
  <c r="Y512" i="1"/>
  <c r="X512" i="1"/>
  <c r="V512" i="1"/>
  <c r="T512" i="1"/>
  <c r="AY499" i="1"/>
  <c r="AX499" i="1"/>
  <c r="AV499" i="1"/>
  <c r="AT499" i="1"/>
  <c r="AQ499" i="1"/>
  <c r="AP499" i="1"/>
  <c r="AN499" i="1"/>
  <c r="AL499" i="1"/>
  <c r="AG499" i="1"/>
  <c r="AF499" i="1"/>
  <c r="AD499" i="1"/>
  <c r="AB499" i="1"/>
  <c r="Y499" i="1"/>
  <c r="X499" i="1"/>
  <c r="V499" i="1"/>
  <c r="T499" i="1"/>
  <c r="AY498" i="1"/>
  <c r="AX498" i="1"/>
  <c r="AV498" i="1"/>
  <c r="AT498" i="1"/>
  <c r="AQ498" i="1"/>
  <c r="AP498" i="1"/>
  <c r="AN498" i="1"/>
  <c r="AL498" i="1"/>
  <c r="AG498" i="1"/>
  <c r="AF498" i="1"/>
  <c r="AD498" i="1"/>
  <c r="AB498" i="1"/>
  <c r="X498" i="1"/>
  <c r="V498" i="1"/>
  <c r="AY440" i="1"/>
  <c r="AX440" i="1"/>
  <c r="AV440" i="1"/>
  <c r="AT440" i="1"/>
  <c r="AQ440" i="1"/>
  <c r="AP440" i="1"/>
  <c r="AN440" i="1"/>
  <c r="AL440" i="1"/>
  <c r="AG440" i="1"/>
  <c r="AF440" i="1"/>
  <c r="AD440" i="1"/>
  <c r="AB440" i="1"/>
  <c r="X440" i="1"/>
  <c r="V440" i="1"/>
  <c r="X432" i="1"/>
  <c r="AY413" i="1"/>
  <c r="AX413" i="1"/>
  <c r="AV413" i="1"/>
  <c r="AT413" i="1"/>
  <c r="AQ413" i="1"/>
  <c r="AP413" i="1"/>
  <c r="AN413" i="1"/>
  <c r="AL413" i="1"/>
  <c r="AG413" i="1"/>
  <c r="AF413" i="1"/>
  <c r="AD413" i="1"/>
  <c r="AB413" i="1"/>
  <c r="X413" i="1"/>
  <c r="V413" i="1"/>
  <c r="AY432" i="1"/>
  <c r="AX432" i="1"/>
  <c r="AV432" i="1"/>
  <c r="AT432" i="1"/>
  <c r="AQ432" i="1"/>
  <c r="AP432" i="1"/>
  <c r="AN432" i="1"/>
  <c r="AL432" i="1"/>
  <c r="AF432" i="1"/>
  <c r="AD432" i="1"/>
  <c r="AB432" i="1"/>
  <c r="V432" i="1"/>
  <c r="AX416" i="1"/>
  <c r="AV416" i="1"/>
  <c r="AT416" i="1"/>
  <c r="AQ416" i="1"/>
  <c r="AP416" i="1"/>
  <c r="AN416" i="1"/>
  <c r="AL416" i="1"/>
  <c r="AG416" i="1"/>
  <c r="AF416" i="1"/>
  <c r="AD416" i="1"/>
  <c r="AB416" i="1"/>
  <c r="X416" i="1"/>
  <c r="V416" i="1"/>
  <c r="AY415" i="1"/>
  <c r="AX415" i="1"/>
  <c r="AV415" i="1"/>
  <c r="AT415" i="1"/>
  <c r="AQ415" i="1"/>
  <c r="AP415" i="1"/>
  <c r="AN415" i="1"/>
  <c r="AL415" i="1"/>
  <c r="AG415" i="1"/>
  <c r="AF415" i="1"/>
  <c r="AD415" i="1"/>
  <c r="AB415" i="1"/>
  <c r="X415" i="1"/>
  <c r="V415" i="1"/>
  <c r="AY329" i="1"/>
  <c r="AX329" i="1"/>
  <c r="AV329" i="1"/>
  <c r="AT329" i="1"/>
  <c r="AQ329" i="1"/>
  <c r="AP329" i="1"/>
  <c r="AN329" i="1"/>
  <c r="AL329" i="1"/>
  <c r="AG329" i="1"/>
  <c r="AF329" i="1"/>
  <c r="AD329" i="1"/>
  <c r="AB329" i="1"/>
  <c r="X329" i="1"/>
  <c r="V329" i="1"/>
  <c r="AY317" i="1"/>
  <c r="AX317" i="1"/>
  <c r="AV317" i="1"/>
  <c r="AT317" i="1"/>
  <c r="AQ317" i="1"/>
  <c r="AP317" i="1"/>
  <c r="AN317" i="1"/>
  <c r="AL317" i="1"/>
  <c r="AG317" i="1"/>
  <c r="AF317" i="1"/>
  <c r="AD317" i="1"/>
  <c r="AB317" i="1"/>
  <c r="X317" i="1"/>
  <c r="V317" i="1"/>
  <c r="AY315" i="1"/>
  <c r="AX315" i="1"/>
  <c r="AV315" i="1"/>
  <c r="AT315" i="1"/>
  <c r="AQ315" i="1"/>
  <c r="AP315" i="1"/>
  <c r="AN315" i="1"/>
  <c r="AL315" i="1"/>
  <c r="AG315" i="1"/>
  <c r="AF315" i="1"/>
  <c r="AD315" i="1"/>
  <c r="AB315" i="1"/>
  <c r="X315" i="1"/>
  <c r="V315" i="1"/>
  <c r="AY292" i="1"/>
  <c r="AX292" i="1"/>
  <c r="AV292" i="1"/>
  <c r="AT292" i="1"/>
  <c r="AQ292" i="1"/>
  <c r="AP292" i="1"/>
  <c r="AN292" i="1"/>
  <c r="AL292" i="1"/>
  <c r="AG292" i="1"/>
  <c r="AF292" i="1"/>
  <c r="AD292" i="1"/>
  <c r="AB292" i="1"/>
  <c r="X292" i="1"/>
  <c r="V292" i="1"/>
  <c r="Q783" i="1" l="1"/>
  <c r="AR415" i="1"/>
  <c r="AZ413" i="1"/>
  <c r="AJ783" i="1"/>
  <c r="AI512" i="1"/>
  <c r="BA517" i="1"/>
  <c r="BA329" i="1"/>
  <c r="AJ800" i="1"/>
  <c r="AJ799" i="1"/>
  <c r="Q799" i="1"/>
  <c r="Q800" i="1"/>
  <c r="BA499" i="1"/>
  <c r="BA413" i="1"/>
  <c r="Q710" i="1"/>
  <c r="BA498" i="1"/>
  <c r="BA553" i="1"/>
  <c r="BA317" i="1"/>
  <c r="BA415" i="1"/>
  <c r="BA292" i="1"/>
  <c r="Q781" i="1"/>
  <c r="Q716" i="1"/>
  <c r="AI499" i="1"/>
  <c r="AI553" i="1"/>
  <c r="AI517" i="1"/>
  <c r="BA315" i="1"/>
  <c r="BB716" i="1"/>
  <c r="BB710" i="1"/>
  <c r="BB799" i="1"/>
  <c r="BB781" i="1"/>
  <c r="BB783" i="1"/>
  <c r="AR517" i="1"/>
  <c r="AZ517" i="1"/>
  <c r="AH440" i="1"/>
  <c r="AR440" i="1"/>
  <c r="AZ440" i="1"/>
  <c r="BB800" i="1"/>
  <c r="AJ781" i="1"/>
  <c r="AJ716" i="1"/>
  <c r="AJ710" i="1"/>
  <c r="BA416" i="1"/>
  <c r="AR553" i="1"/>
  <c r="Z499" i="1"/>
  <c r="AH499" i="1"/>
  <c r="AR499" i="1"/>
  <c r="AZ499" i="1"/>
  <c r="Z512" i="1"/>
  <c r="AH512" i="1"/>
  <c r="BA512" i="1"/>
  <c r="AZ512" i="1"/>
  <c r="BA440" i="1"/>
  <c r="Z517" i="1"/>
  <c r="AH517" i="1"/>
  <c r="Z553" i="1"/>
  <c r="AH553" i="1"/>
  <c r="BA432" i="1"/>
  <c r="AZ553" i="1"/>
  <c r="AH498" i="1"/>
  <c r="AR498" i="1"/>
  <c r="AZ498" i="1"/>
  <c r="AR512" i="1"/>
  <c r="AR413" i="1"/>
  <c r="AH413" i="1"/>
  <c r="AH415" i="1"/>
  <c r="AZ415" i="1"/>
  <c r="AH416" i="1"/>
  <c r="AR416" i="1"/>
  <c r="AZ416" i="1"/>
  <c r="AH432" i="1"/>
  <c r="AR432" i="1"/>
  <c r="AZ432" i="1"/>
  <c r="AZ315" i="1"/>
  <c r="AZ317" i="1"/>
  <c r="AH329" i="1"/>
  <c r="AR329" i="1"/>
  <c r="AZ329" i="1"/>
  <c r="AH317" i="1"/>
  <c r="AR317" i="1"/>
  <c r="AR292" i="1"/>
  <c r="AZ292" i="1"/>
  <c r="AR315" i="1"/>
  <c r="AH315" i="1"/>
  <c r="AH292" i="1"/>
  <c r="AY103" i="1"/>
  <c r="AX103" i="1"/>
  <c r="AV103" i="1"/>
  <c r="AT103" i="1"/>
  <c r="AQ103" i="1"/>
  <c r="AP103" i="1"/>
  <c r="AN103" i="1"/>
  <c r="AL103" i="1"/>
  <c r="AG103" i="1"/>
  <c r="AF103" i="1"/>
  <c r="AD103" i="1"/>
  <c r="AB103" i="1"/>
  <c r="X103" i="1"/>
  <c r="V103" i="1"/>
  <c r="AY99" i="1"/>
  <c r="AX99" i="1"/>
  <c r="AV99" i="1"/>
  <c r="AT99" i="1"/>
  <c r="AQ99" i="1"/>
  <c r="AP99" i="1"/>
  <c r="AN99" i="1"/>
  <c r="AL99" i="1"/>
  <c r="AG99" i="1"/>
  <c r="AF99" i="1"/>
  <c r="AD99" i="1"/>
  <c r="AB99" i="1"/>
  <c r="X99" i="1"/>
  <c r="V99" i="1"/>
  <c r="AY94" i="1"/>
  <c r="AX94" i="1"/>
  <c r="AV94" i="1"/>
  <c r="AT94" i="1"/>
  <c r="AQ94" i="1"/>
  <c r="AP94" i="1"/>
  <c r="AN94" i="1"/>
  <c r="AL94" i="1"/>
  <c r="AG94" i="1"/>
  <c r="AF94" i="1"/>
  <c r="AD94" i="1"/>
  <c r="AB94" i="1"/>
  <c r="X94" i="1"/>
  <c r="V94" i="1"/>
  <c r="AY17" i="1"/>
  <c r="AX17" i="1"/>
  <c r="AV17" i="1"/>
  <c r="AT17" i="1"/>
  <c r="AQ17" i="1"/>
  <c r="AP17" i="1"/>
  <c r="AN17" i="1"/>
  <c r="AL17" i="1"/>
  <c r="AG17" i="1"/>
  <c r="AF17" i="1"/>
  <c r="AD17" i="1"/>
  <c r="AB17" i="1"/>
  <c r="X17" i="1"/>
  <c r="V17" i="1"/>
  <c r="R800" i="1" l="1"/>
  <c r="R783" i="1"/>
  <c r="R799" i="1"/>
  <c r="Q517" i="1"/>
  <c r="Q499" i="1"/>
  <c r="Q512" i="1"/>
  <c r="Q553" i="1"/>
  <c r="BA99" i="1"/>
  <c r="BB512" i="1"/>
  <c r="R716" i="1"/>
  <c r="R781" i="1"/>
  <c r="R710" i="1"/>
  <c r="BB440" i="1"/>
  <c r="AJ517" i="1"/>
  <c r="AJ499" i="1"/>
  <c r="BB517" i="1"/>
  <c r="AJ512" i="1"/>
  <c r="BB498" i="1"/>
  <c r="BB553" i="1"/>
  <c r="AJ553" i="1"/>
  <c r="BB499" i="1"/>
  <c r="BB416" i="1"/>
  <c r="BB413" i="1"/>
  <c r="BA17" i="1"/>
  <c r="BB315" i="1"/>
  <c r="BB415" i="1"/>
  <c r="BB432" i="1"/>
  <c r="BB292" i="1"/>
  <c r="BB317" i="1"/>
  <c r="BB329" i="1"/>
  <c r="BA103" i="1"/>
  <c r="AR103" i="1"/>
  <c r="AZ103" i="1"/>
  <c r="AH103" i="1"/>
  <c r="BA94" i="1"/>
  <c r="AR94" i="1"/>
  <c r="AZ94" i="1"/>
  <c r="AR99" i="1"/>
  <c r="AZ99" i="1"/>
  <c r="AH99" i="1"/>
  <c r="AH94" i="1"/>
  <c r="AH17" i="1"/>
  <c r="AR17" i="1"/>
  <c r="AZ17" i="1"/>
  <c r="R512" i="1" l="1"/>
  <c r="R517" i="1"/>
  <c r="R499" i="1"/>
  <c r="R553" i="1"/>
  <c r="BB103" i="1"/>
  <c r="BB94" i="1"/>
  <c r="BB99" i="1"/>
  <c r="BB17" i="1"/>
  <c r="W507" i="1" l="1"/>
  <c r="U144" i="1"/>
  <c r="W144" i="1"/>
  <c r="Y866" i="1"/>
  <c r="AG408" i="1"/>
  <c r="AX194" i="1"/>
  <c r="AX143" i="1"/>
  <c r="AX140" i="1"/>
  <c r="AX85" i="1"/>
  <c r="AX77" i="1"/>
  <c r="AX39" i="1"/>
  <c r="AX13" i="1"/>
  <c r="AG1086" i="1" l="1"/>
  <c r="AG1081" i="1"/>
  <c r="AG1076" i="1"/>
  <c r="Y1086" i="1"/>
  <c r="Y1081" i="1"/>
  <c r="Y1076" i="1"/>
  <c r="AY1086" i="1"/>
  <c r="AX1086" i="1"/>
  <c r="AV1086" i="1"/>
  <c r="AT1086" i="1"/>
  <c r="AQ1086" i="1"/>
  <c r="AP1086" i="1"/>
  <c r="AN1086" i="1"/>
  <c r="AL1086" i="1"/>
  <c r="AF1086" i="1"/>
  <c r="AD1086" i="1"/>
  <c r="AB1086" i="1"/>
  <c r="X1086" i="1"/>
  <c r="V1086" i="1"/>
  <c r="T1086" i="1"/>
  <c r="AX1081" i="1"/>
  <c r="AV1081" i="1"/>
  <c r="AT1081" i="1"/>
  <c r="AP1081" i="1"/>
  <c r="AN1081" i="1"/>
  <c r="AL1081" i="1"/>
  <c r="AF1081" i="1"/>
  <c r="AD1081" i="1"/>
  <c r="AB1081" i="1"/>
  <c r="X1081" i="1"/>
  <c r="V1081" i="1"/>
  <c r="T1081" i="1"/>
  <c r="AY1076" i="1"/>
  <c r="AX1076" i="1"/>
  <c r="AV1076" i="1"/>
  <c r="AT1076" i="1"/>
  <c r="AQ1076" i="1"/>
  <c r="AP1076" i="1"/>
  <c r="AN1076" i="1"/>
  <c r="AL1076" i="1"/>
  <c r="AF1076" i="1"/>
  <c r="AD1076" i="1"/>
  <c r="AB1076" i="1"/>
  <c r="X1076" i="1"/>
  <c r="V1076" i="1"/>
  <c r="T1076" i="1"/>
  <c r="AY1071" i="1"/>
  <c r="AX1071" i="1"/>
  <c r="AV1071" i="1"/>
  <c r="AT1071" i="1"/>
  <c r="AQ1071" i="1"/>
  <c r="AP1071" i="1"/>
  <c r="AN1071" i="1"/>
  <c r="AL1071" i="1"/>
  <c r="AF1071" i="1"/>
  <c r="AD1071" i="1"/>
  <c r="AB1071" i="1"/>
  <c r="Y1071" i="1"/>
  <c r="X1071" i="1"/>
  <c r="V1071" i="1"/>
  <c r="T1071" i="1"/>
  <c r="AW514" i="1"/>
  <c r="AI1071" i="1" l="1"/>
  <c r="AI1081" i="1"/>
  <c r="AI1076" i="1"/>
  <c r="AI1086" i="1"/>
  <c r="Z1081" i="1"/>
  <c r="BA1086" i="1"/>
  <c r="AH1081" i="1"/>
  <c r="Z1086" i="1"/>
  <c r="AZ1086" i="1"/>
  <c r="BA1076" i="1"/>
  <c r="BA1081" i="1"/>
  <c r="BA1071" i="1"/>
  <c r="AZ1071" i="1"/>
  <c r="AR1076" i="1"/>
  <c r="AZ1081" i="1"/>
  <c r="AR1086" i="1"/>
  <c r="AH1086" i="1"/>
  <c r="AR1081" i="1"/>
  <c r="AZ1076" i="1"/>
  <c r="AR1071" i="1"/>
  <c r="Z1076" i="1"/>
  <c r="AH1076" i="1"/>
  <c r="Z1071" i="1"/>
  <c r="AH1071" i="1"/>
  <c r="BB1071" i="1" l="1"/>
  <c r="Q1071" i="1"/>
  <c r="AJ1081" i="1"/>
  <c r="Q1076" i="1"/>
  <c r="Q1081" i="1"/>
  <c r="AJ1086" i="1"/>
  <c r="Q1086" i="1"/>
  <c r="BB1086" i="1"/>
  <c r="BB1081" i="1"/>
  <c r="AJ1076" i="1"/>
  <c r="BB1076" i="1"/>
  <c r="AJ1071" i="1"/>
  <c r="R1081" i="1" l="1"/>
  <c r="R1071" i="1"/>
  <c r="R1086" i="1"/>
  <c r="R1076" i="1"/>
  <c r="AY376" i="1"/>
  <c r="AX376" i="1"/>
  <c r="AV376" i="1"/>
  <c r="AT376" i="1"/>
  <c r="AQ376" i="1"/>
  <c r="AP376" i="1"/>
  <c r="AN376" i="1"/>
  <c r="AL376" i="1"/>
  <c r="AG376" i="1"/>
  <c r="AF376" i="1"/>
  <c r="AD376" i="1"/>
  <c r="AB376" i="1"/>
  <c r="X376" i="1"/>
  <c r="V376" i="1"/>
  <c r="AY377" i="1"/>
  <c r="AX377" i="1"/>
  <c r="AV377" i="1"/>
  <c r="AT377" i="1"/>
  <c r="AQ377" i="1"/>
  <c r="AP377" i="1"/>
  <c r="AN377" i="1"/>
  <c r="AL377" i="1"/>
  <c r="AG377" i="1"/>
  <c r="AF377" i="1"/>
  <c r="AD377" i="1"/>
  <c r="AB377" i="1"/>
  <c r="X377" i="1"/>
  <c r="V377" i="1"/>
  <c r="AY378" i="1"/>
  <c r="AX378" i="1"/>
  <c r="AV378" i="1"/>
  <c r="AT378" i="1"/>
  <c r="AQ378" i="1"/>
  <c r="AP378" i="1"/>
  <c r="AN378" i="1"/>
  <c r="AL378" i="1"/>
  <c r="AG378" i="1"/>
  <c r="AF378" i="1"/>
  <c r="AD378" i="1"/>
  <c r="AB378" i="1"/>
  <c r="X378" i="1"/>
  <c r="V378" i="1"/>
  <c r="AY256" i="1"/>
  <c r="AX256" i="1"/>
  <c r="AV256" i="1"/>
  <c r="AT256" i="1"/>
  <c r="AQ256" i="1"/>
  <c r="AP256" i="1"/>
  <c r="AN256" i="1"/>
  <c r="AL256" i="1"/>
  <c r="AG256" i="1"/>
  <c r="AF256" i="1"/>
  <c r="AD256" i="1"/>
  <c r="AB256" i="1"/>
  <c r="X256" i="1"/>
  <c r="V256" i="1"/>
  <c r="AY443" i="1"/>
  <c r="AX443" i="1"/>
  <c r="AV443" i="1"/>
  <c r="AT443" i="1"/>
  <c r="AQ443" i="1"/>
  <c r="AP443" i="1"/>
  <c r="AN443" i="1"/>
  <c r="AL443" i="1"/>
  <c r="AG443" i="1"/>
  <c r="AF443" i="1"/>
  <c r="AD443" i="1"/>
  <c r="AB443" i="1"/>
  <c r="X443" i="1"/>
  <c r="V443" i="1"/>
  <c r="AY342" i="1"/>
  <c r="AX342" i="1"/>
  <c r="AV342" i="1"/>
  <c r="AT342" i="1"/>
  <c r="AQ342" i="1"/>
  <c r="AP342" i="1"/>
  <c r="AN342" i="1"/>
  <c r="AL342" i="1"/>
  <c r="AG342" i="1"/>
  <c r="AF342" i="1"/>
  <c r="AD342" i="1"/>
  <c r="AB342" i="1"/>
  <c r="X342" i="1"/>
  <c r="V342" i="1"/>
  <c r="BA377" i="1" l="1"/>
  <c r="BA378" i="1"/>
  <c r="AZ378" i="1"/>
  <c r="BA376" i="1"/>
  <c r="AZ377" i="1"/>
  <c r="AZ376" i="1"/>
  <c r="AH376" i="1"/>
  <c r="AR376" i="1"/>
  <c r="AR378" i="1"/>
  <c r="AH377" i="1"/>
  <c r="AR377" i="1"/>
  <c r="AH378" i="1"/>
  <c r="AH342" i="1"/>
  <c r="AH443" i="1"/>
  <c r="BA443" i="1"/>
  <c r="AH256" i="1"/>
  <c r="BA256" i="1"/>
  <c r="AZ256" i="1"/>
  <c r="AR256" i="1"/>
  <c r="AZ443" i="1"/>
  <c r="AR443" i="1"/>
  <c r="BA342" i="1"/>
  <c r="AZ342" i="1"/>
  <c r="AR342" i="1"/>
  <c r="AV318" i="1"/>
  <c r="AV316" i="1"/>
  <c r="AX316" i="1"/>
  <c r="AY316" i="1"/>
  <c r="AT316" i="1"/>
  <c r="AQ316" i="1"/>
  <c r="AP316" i="1"/>
  <c r="AN316" i="1"/>
  <c r="AL316" i="1"/>
  <c r="AG316" i="1"/>
  <c r="AF316" i="1"/>
  <c r="AD316" i="1"/>
  <c r="AB316" i="1"/>
  <c r="X316" i="1"/>
  <c r="V316" i="1"/>
  <c r="AY318" i="1"/>
  <c r="AX318" i="1"/>
  <c r="AT318" i="1"/>
  <c r="AQ318" i="1"/>
  <c r="AP318" i="1"/>
  <c r="AN318" i="1"/>
  <c r="AL318" i="1"/>
  <c r="AG318" i="1"/>
  <c r="AF318" i="1"/>
  <c r="AD318" i="1"/>
  <c r="AB318" i="1"/>
  <c r="X318" i="1"/>
  <c r="V318" i="1"/>
  <c r="AY871" i="1"/>
  <c r="AX871" i="1"/>
  <c r="AV871" i="1"/>
  <c r="AT871" i="1"/>
  <c r="AQ871" i="1"/>
  <c r="AP871" i="1"/>
  <c r="AN871" i="1"/>
  <c r="AL871" i="1"/>
  <c r="AG871" i="1"/>
  <c r="AF871" i="1"/>
  <c r="AD871" i="1"/>
  <c r="AB871" i="1"/>
  <c r="Y871" i="1"/>
  <c r="X871" i="1"/>
  <c r="V871" i="1"/>
  <c r="T871" i="1"/>
  <c r="AY869" i="1"/>
  <c r="AX869" i="1"/>
  <c r="AV869" i="1"/>
  <c r="AT869" i="1"/>
  <c r="AQ869" i="1"/>
  <c r="AP869" i="1"/>
  <c r="AN869" i="1"/>
  <c r="AL869" i="1"/>
  <c r="AG869" i="1"/>
  <c r="AF869" i="1"/>
  <c r="AD869" i="1"/>
  <c r="AB869" i="1"/>
  <c r="Y869" i="1"/>
  <c r="X869" i="1"/>
  <c r="V869" i="1"/>
  <c r="T869" i="1"/>
  <c r="BB377" i="1" l="1"/>
  <c r="AI871" i="1"/>
  <c r="BB378" i="1"/>
  <c r="Z869" i="1"/>
  <c r="AH869" i="1"/>
  <c r="Z871" i="1"/>
  <c r="AH871" i="1"/>
  <c r="AR871" i="1"/>
  <c r="AR869" i="1"/>
  <c r="BB376" i="1"/>
  <c r="BB443" i="1"/>
  <c r="BA316" i="1"/>
  <c r="BB256" i="1"/>
  <c r="BB342" i="1"/>
  <c r="AZ318" i="1"/>
  <c r="BA318" i="1"/>
  <c r="AZ316" i="1"/>
  <c r="AR318" i="1"/>
  <c r="AR316" i="1"/>
  <c r="AH318" i="1"/>
  <c r="AH316" i="1"/>
  <c r="BA871" i="1"/>
  <c r="AZ871" i="1"/>
  <c r="AZ869" i="1"/>
  <c r="AI869" i="1"/>
  <c r="BA869" i="1"/>
  <c r="AH1166" i="1"/>
  <c r="AG1069" i="1"/>
  <c r="AY676" i="1"/>
  <c r="AX676" i="1"/>
  <c r="AV676" i="1"/>
  <c r="AT676" i="1"/>
  <c r="AQ676" i="1"/>
  <c r="AP676" i="1"/>
  <c r="AN676" i="1"/>
  <c r="AL676" i="1"/>
  <c r="AG676" i="1"/>
  <c r="AF676" i="1"/>
  <c r="AD676" i="1"/>
  <c r="AB676" i="1"/>
  <c r="X676" i="1"/>
  <c r="V676" i="1"/>
  <c r="BB871" i="1" l="1"/>
  <c r="Q871" i="1"/>
  <c r="AJ871" i="1"/>
  <c r="BB869" i="1"/>
  <c r="AJ869" i="1"/>
  <c r="BB316" i="1"/>
  <c r="AZ676" i="1"/>
  <c r="AR676" i="1"/>
  <c r="BB318" i="1"/>
  <c r="AH676" i="1"/>
  <c r="BA676" i="1"/>
  <c r="Q869" i="1"/>
  <c r="R871" i="1" l="1"/>
  <c r="R869" i="1"/>
  <c r="BB676" i="1"/>
  <c r="AT675" i="1"/>
  <c r="AT100" i="1"/>
  <c r="AQ95" i="1"/>
  <c r="AY93" i="1" l="1"/>
  <c r="AX93" i="1"/>
  <c r="AV93" i="1"/>
  <c r="AT93" i="1"/>
  <c r="AQ93" i="1"/>
  <c r="AP93" i="1"/>
  <c r="AN93" i="1"/>
  <c r="AL93" i="1"/>
  <c r="AG93" i="1"/>
  <c r="AF93" i="1"/>
  <c r="AD93" i="1"/>
  <c r="AB93" i="1"/>
  <c r="X93" i="1"/>
  <c r="V93" i="1"/>
  <c r="AR93" i="1" l="1"/>
  <c r="BA93" i="1"/>
  <c r="AZ93" i="1"/>
  <c r="AH93" i="1"/>
  <c r="AY248" i="1"/>
  <c r="AX248" i="1"/>
  <c r="AV248" i="1"/>
  <c r="AT248" i="1"/>
  <c r="AQ248" i="1"/>
  <c r="AP248" i="1"/>
  <c r="AN248" i="1"/>
  <c r="AL248" i="1"/>
  <c r="AG248" i="1"/>
  <c r="AF248" i="1"/>
  <c r="AD248" i="1"/>
  <c r="AB248" i="1"/>
  <c r="X248" i="1"/>
  <c r="V248" i="1"/>
  <c r="AY245" i="1"/>
  <c r="AX245" i="1"/>
  <c r="AV245" i="1"/>
  <c r="AT245" i="1"/>
  <c r="AQ245" i="1"/>
  <c r="AP245" i="1"/>
  <c r="AN245" i="1"/>
  <c r="AL245" i="1"/>
  <c r="AG245" i="1"/>
  <c r="AF245" i="1"/>
  <c r="AD245" i="1"/>
  <c r="AB245" i="1"/>
  <c r="X245" i="1"/>
  <c r="V245" i="1"/>
  <c r="AY564" i="1"/>
  <c r="AX564" i="1"/>
  <c r="AV564" i="1"/>
  <c r="AT564" i="1"/>
  <c r="AQ564" i="1"/>
  <c r="AP564" i="1"/>
  <c r="AN564" i="1"/>
  <c r="AL564" i="1"/>
  <c r="AG564" i="1"/>
  <c r="AF564" i="1"/>
  <c r="AD564" i="1"/>
  <c r="AB564" i="1"/>
  <c r="Y564" i="1"/>
  <c r="X564" i="1"/>
  <c r="V564" i="1"/>
  <c r="T564" i="1"/>
  <c r="AY574" i="1"/>
  <c r="AX574" i="1"/>
  <c r="AV574" i="1"/>
  <c r="AT574" i="1"/>
  <c r="AQ574" i="1"/>
  <c r="AP574" i="1"/>
  <c r="AN574" i="1"/>
  <c r="AL574" i="1"/>
  <c r="AG574" i="1"/>
  <c r="AF574" i="1"/>
  <c r="AD574" i="1"/>
  <c r="AB574" i="1"/>
  <c r="Y574" i="1"/>
  <c r="X574" i="1"/>
  <c r="V574" i="1"/>
  <c r="T574" i="1"/>
  <c r="AX405" i="1"/>
  <c r="AX412" i="1"/>
  <c r="AX411" i="1"/>
  <c r="AX408" i="1"/>
  <c r="AX407" i="1"/>
  <c r="AX406" i="1"/>
  <c r="AX404" i="1"/>
  <c r="AX402" i="1"/>
  <c r="AX401" i="1"/>
  <c r="AX400" i="1"/>
  <c r="AV412" i="1"/>
  <c r="AV411" i="1"/>
  <c r="AV408" i="1"/>
  <c r="AV407" i="1"/>
  <c r="AV406" i="1"/>
  <c r="AV405" i="1"/>
  <c r="AV404" i="1"/>
  <c r="AV402" i="1"/>
  <c r="AV401" i="1"/>
  <c r="AV400" i="1"/>
  <c r="AT412" i="1"/>
  <c r="AT411" i="1"/>
  <c r="AT408" i="1"/>
  <c r="AT407" i="1"/>
  <c r="AT406" i="1"/>
  <c r="AT405" i="1"/>
  <c r="AT404" i="1"/>
  <c r="AT402" i="1"/>
  <c r="AT401" i="1"/>
  <c r="AT400" i="1"/>
  <c r="AY330" i="1"/>
  <c r="AX330" i="1"/>
  <c r="AV330" i="1"/>
  <c r="AT330" i="1"/>
  <c r="AQ330" i="1"/>
  <c r="AP330" i="1"/>
  <c r="AN330" i="1"/>
  <c r="AL330" i="1"/>
  <c r="AG330" i="1"/>
  <c r="AF330" i="1"/>
  <c r="AD330" i="1"/>
  <c r="AB330" i="1"/>
  <c r="X330" i="1"/>
  <c r="V330" i="1"/>
  <c r="AY95" i="1"/>
  <c r="AX95" i="1"/>
  <c r="AV95" i="1"/>
  <c r="AT95" i="1"/>
  <c r="AP95" i="1"/>
  <c r="AN95" i="1"/>
  <c r="AL95" i="1"/>
  <c r="AG95" i="1"/>
  <c r="AF95" i="1"/>
  <c r="AD95" i="1"/>
  <c r="AB95" i="1"/>
  <c r="X95" i="1"/>
  <c r="V95" i="1"/>
  <c r="AY100" i="1"/>
  <c r="AX100" i="1"/>
  <c r="AV100" i="1"/>
  <c r="AP100" i="1"/>
  <c r="AN100" i="1"/>
  <c r="AL100" i="1"/>
  <c r="AG100" i="1"/>
  <c r="AF100" i="1"/>
  <c r="AD100" i="1"/>
  <c r="AB100" i="1"/>
  <c r="X100" i="1"/>
  <c r="V100" i="1"/>
  <c r="V104" i="1"/>
  <c r="X104" i="1"/>
  <c r="AB104" i="1"/>
  <c r="AD104" i="1"/>
  <c r="AF104" i="1"/>
  <c r="AG104" i="1"/>
  <c r="AL104" i="1"/>
  <c r="AN104" i="1"/>
  <c r="AP104" i="1"/>
  <c r="AQ104" i="1"/>
  <c r="AT104" i="1"/>
  <c r="AV104" i="1"/>
  <c r="AX104" i="1"/>
  <c r="AY104" i="1"/>
  <c r="AY92" i="1"/>
  <c r="AX92" i="1"/>
  <c r="AV92" i="1"/>
  <c r="AT92" i="1"/>
  <c r="AQ92" i="1"/>
  <c r="AP92" i="1"/>
  <c r="AN92" i="1"/>
  <c r="AL92" i="1"/>
  <c r="AG92" i="1"/>
  <c r="AF92" i="1"/>
  <c r="AD92" i="1"/>
  <c r="AB92" i="1"/>
  <c r="X92" i="1"/>
  <c r="V92" i="1"/>
  <c r="AV46" i="1"/>
  <c r="AY45" i="1"/>
  <c r="AX45" i="1"/>
  <c r="AV45" i="1"/>
  <c r="AT45" i="1"/>
  <c r="AQ45" i="1"/>
  <c r="AP45" i="1"/>
  <c r="AN45" i="1"/>
  <c r="AL45" i="1"/>
  <c r="AG45" i="1"/>
  <c r="AF45" i="1"/>
  <c r="AD45" i="1"/>
  <c r="AB45" i="1"/>
  <c r="X45" i="1"/>
  <c r="V45" i="1"/>
  <c r="AT46" i="1"/>
  <c r="AT7" i="1"/>
  <c r="AX7" i="1"/>
  <c r="AV7" i="1"/>
  <c r="AR100" i="1" l="1"/>
  <c r="BA95" i="1"/>
  <c r="AI564" i="1"/>
  <c r="AI574" i="1"/>
  <c r="BA330" i="1"/>
  <c r="BA248" i="1"/>
  <c r="BB93" i="1"/>
  <c r="BA564" i="1"/>
  <c r="AZ407" i="1"/>
  <c r="AR248" i="1"/>
  <c r="BA45" i="1"/>
  <c r="AZ248" i="1"/>
  <c r="AR95" i="1"/>
  <c r="BA574" i="1"/>
  <c r="Z564" i="1"/>
  <c r="AH564" i="1"/>
  <c r="AH245" i="1"/>
  <c r="BA245" i="1"/>
  <c r="BA100" i="1"/>
  <c r="BA92" i="1"/>
  <c r="AZ245" i="1"/>
  <c r="AR245" i="1"/>
  <c r="AH248" i="1"/>
  <c r="AH92" i="1"/>
  <c r="AH95" i="1"/>
  <c r="AR564" i="1"/>
  <c r="AZ564" i="1"/>
  <c r="AZ95" i="1"/>
  <c r="AZ400" i="1"/>
  <c r="Z574" i="1"/>
  <c r="AH574" i="1"/>
  <c r="AZ574" i="1"/>
  <c r="AR574" i="1"/>
  <c r="AH330" i="1"/>
  <c r="AZ330" i="1"/>
  <c r="AR330" i="1"/>
  <c r="AZ100" i="1"/>
  <c r="AR45" i="1"/>
  <c r="AH100" i="1"/>
  <c r="BA104" i="1"/>
  <c r="AR104" i="1"/>
  <c r="AZ104" i="1"/>
  <c r="AH104" i="1"/>
  <c r="AR92" i="1"/>
  <c r="AZ92" i="1"/>
  <c r="AZ45" i="1"/>
  <c r="AH45" i="1"/>
  <c r="Q564" i="1" l="1"/>
  <c r="Q574" i="1"/>
  <c r="BB45" i="1"/>
  <c r="AJ564" i="1"/>
  <c r="BB574" i="1"/>
  <c r="AJ574" i="1"/>
  <c r="BB564" i="1"/>
  <c r="BB248" i="1"/>
  <c r="BB100" i="1"/>
  <c r="BB245" i="1"/>
  <c r="BB95" i="1"/>
  <c r="BB330" i="1"/>
  <c r="BB104" i="1"/>
  <c r="BB92" i="1"/>
  <c r="R564" i="1" l="1"/>
  <c r="R574" i="1"/>
  <c r="AX227" i="1" l="1"/>
  <c r="AV227" i="1"/>
  <c r="AV222" i="1"/>
  <c r="AT153" i="1"/>
  <c r="AY85" i="1"/>
  <c r="AY559" i="1"/>
  <c r="AY1069" i="1" l="1"/>
  <c r="AX1069" i="1"/>
  <c r="AV1069" i="1"/>
  <c r="AT1069" i="1"/>
  <c r="AQ1069" i="1"/>
  <c r="AP1069" i="1"/>
  <c r="AN1069" i="1"/>
  <c r="AL1069" i="1"/>
  <c r="AF1069" i="1"/>
  <c r="AD1069" i="1"/>
  <c r="AB1069" i="1"/>
  <c r="Y1069" i="1"/>
  <c r="X1069" i="1"/>
  <c r="V1069" i="1"/>
  <c r="T1069" i="1"/>
  <c r="AY1090" i="1"/>
  <c r="AX1090" i="1"/>
  <c r="AV1090" i="1"/>
  <c r="AT1090" i="1"/>
  <c r="AQ1090" i="1"/>
  <c r="AP1090" i="1"/>
  <c r="AN1090" i="1"/>
  <c r="AL1090" i="1"/>
  <c r="AF1090" i="1"/>
  <c r="AD1090" i="1"/>
  <c r="AB1090" i="1"/>
  <c r="X1090" i="1"/>
  <c r="V1090" i="1"/>
  <c r="T1090" i="1"/>
  <c r="AY1084" i="1"/>
  <c r="AX1084" i="1"/>
  <c r="AV1084" i="1"/>
  <c r="AT1084" i="1"/>
  <c r="AQ1084" i="1"/>
  <c r="AP1084" i="1"/>
  <c r="AN1084" i="1"/>
  <c r="AL1084" i="1"/>
  <c r="AG1084" i="1"/>
  <c r="AF1084" i="1"/>
  <c r="AD1084" i="1"/>
  <c r="AB1084" i="1"/>
  <c r="Y1084" i="1"/>
  <c r="X1084" i="1"/>
  <c r="V1084" i="1"/>
  <c r="T1084" i="1"/>
  <c r="AY1082" i="1"/>
  <c r="AX1082" i="1"/>
  <c r="AV1082" i="1"/>
  <c r="AT1082" i="1"/>
  <c r="AQ1082" i="1"/>
  <c r="AP1082" i="1"/>
  <c r="AN1082" i="1"/>
  <c r="AL1082" i="1"/>
  <c r="AG1082" i="1"/>
  <c r="AF1082" i="1"/>
  <c r="AD1082" i="1"/>
  <c r="AB1082" i="1"/>
  <c r="Y1082" i="1"/>
  <c r="X1082" i="1"/>
  <c r="V1082" i="1"/>
  <c r="T1082" i="1"/>
  <c r="AY1079" i="1"/>
  <c r="AX1079" i="1"/>
  <c r="AV1079" i="1"/>
  <c r="AT1079" i="1"/>
  <c r="AQ1079" i="1"/>
  <c r="AP1079" i="1"/>
  <c r="AN1079" i="1"/>
  <c r="AL1079" i="1"/>
  <c r="AG1079" i="1"/>
  <c r="AF1079" i="1"/>
  <c r="AD1079" i="1"/>
  <c r="AB1079" i="1"/>
  <c r="Y1079" i="1"/>
  <c r="X1079" i="1"/>
  <c r="V1079" i="1"/>
  <c r="T1079" i="1"/>
  <c r="AY1077" i="1"/>
  <c r="AX1077" i="1"/>
  <c r="AV1077" i="1"/>
  <c r="AT1077" i="1"/>
  <c r="AQ1077" i="1"/>
  <c r="AP1077" i="1"/>
  <c r="AN1077" i="1"/>
  <c r="AL1077" i="1"/>
  <c r="AG1077" i="1"/>
  <c r="AF1077" i="1"/>
  <c r="AD1077" i="1"/>
  <c r="AB1077" i="1"/>
  <c r="Y1077" i="1"/>
  <c r="X1077" i="1"/>
  <c r="V1077" i="1"/>
  <c r="T1077" i="1"/>
  <c r="AX1074" i="1"/>
  <c r="AV1074" i="1"/>
  <c r="AT1074" i="1"/>
  <c r="AP1074" i="1"/>
  <c r="AN1074" i="1"/>
  <c r="AL1074" i="1"/>
  <c r="AG1074" i="1"/>
  <c r="AF1074" i="1"/>
  <c r="AD1074" i="1"/>
  <c r="AB1074" i="1"/>
  <c r="Y1074" i="1"/>
  <c r="X1074" i="1"/>
  <c r="V1074" i="1"/>
  <c r="T1074" i="1"/>
  <c r="AX1072" i="1"/>
  <c r="AV1072" i="1"/>
  <c r="AT1072" i="1"/>
  <c r="AP1072" i="1"/>
  <c r="AN1072" i="1"/>
  <c r="AL1072" i="1"/>
  <c r="AG1072" i="1"/>
  <c r="AF1072" i="1"/>
  <c r="AD1072" i="1"/>
  <c r="AB1072" i="1"/>
  <c r="Y1072" i="1"/>
  <c r="X1072" i="1"/>
  <c r="V1072" i="1"/>
  <c r="T1072" i="1"/>
  <c r="AX1059" i="1"/>
  <c r="AV1059" i="1"/>
  <c r="AT1059" i="1"/>
  <c r="AP1059" i="1"/>
  <c r="AN1059" i="1"/>
  <c r="AL1059" i="1"/>
  <c r="AG1059" i="1"/>
  <c r="AF1059" i="1"/>
  <c r="AD1059" i="1"/>
  <c r="AB1059" i="1"/>
  <c r="Y1059" i="1"/>
  <c r="X1059" i="1"/>
  <c r="V1059" i="1"/>
  <c r="T1059" i="1"/>
  <c r="AY1050" i="1"/>
  <c r="AX1050" i="1"/>
  <c r="AV1050" i="1"/>
  <c r="AT1050" i="1"/>
  <c r="AQ1050" i="1"/>
  <c r="AP1050" i="1"/>
  <c r="AN1050" i="1"/>
  <c r="AL1050" i="1"/>
  <c r="AF1050" i="1"/>
  <c r="AD1050" i="1"/>
  <c r="AB1050" i="1"/>
  <c r="X1050" i="1"/>
  <c r="V1050" i="1"/>
  <c r="T1050" i="1"/>
  <c r="AY1045" i="1"/>
  <c r="AX1045" i="1"/>
  <c r="AV1045" i="1"/>
  <c r="AT1045" i="1"/>
  <c r="AQ1045" i="1"/>
  <c r="AP1045" i="1"/>
  <c r="AN1045" i="1"/>
  <c r="AL1045" i="1"/>
  <c r="AF1045" i="1"/>
  <c r="AD1045" i="1"/>
  <c r="AB1045" i="1"/>
  <c r="X1045" i="1"/>
  <c r="V1045" i="1"/>
  <c r="T1045" i="1"/>
  <c r="AY1040" i="1"/>
  <c r="AX1040" i="1"/>
  <c r="AV1040" i="1"/>
  <c r="AT1040" i="1"/>
  <c r="AQ1040" i="1"/>
  <c r="AP1040" i="1"/>
  <c r="AN1040" i="1"/>
  <c r="AL1040" i="1"/>
  <c r="AF1040" i="1"/>
  <c r="AD1040" i="1"/>
  <c r="AB1040" i="1"/>
  <c r="Y1040" i="1"/>
  <c r="X1040" i="1"/>
  <c r="V1040" i="1"/>
  <c r="T1040" i="1"/>
  <c r="AY1038" i="1"/>
  <c r="AX1038" i="1"/>
  <c r="AV1038" i="1"/>
  <c r="AT1038" i="1"/>
  <c r="AQ1038" i="1"/>
  <c r="AP1038" i="1"/>
  <c r="AN1038" i="1"/>
  <c r="AL1038" i="1"/>
  <c r="AF1038" i="1"/>
  <c r="AD1038" i="1"/>
  <c r="AB1038" i="1"/>
  <c r="X1038" i="1"/>
  <c r="V1038" i="1"/>
  <c r="T1038" i="1"/>
  <c r="AY1033" i="1"/>
  <c r="AX1033" i="1"/>
  <c r="AV1033" i="1"/>
  <c r="AT1033" i="1"/>
  <c r="AQ1033" i="1"/>
  <c r="AP1033" i="1"/>
  <c r="AN1033" i="1"/>
  <c r="AL1033" i="1"/>
  <c r="AG1033" i="1"/>
  <c r="AF1033" i="1"/>
  <c r="AD1033" i="1"/>
  <c r="AB1033" i="1"/>
  <c r="Y1033" i="1"/>
  <c r="X1033" i="1"/>
  <c r="V1033" i="1"/>
  <c r="T1033" i="1"/>
  <c r="AY1032" i="1"/>
  <c r="AX1032" i="1"/>
  <c r="AV1032" i="1"/>
  <c r="AT1032" i="1"/>
  <c r="AQ1032" i="1"/>
  <c r="AP1032" i="1"/>
  <c r="AN1032" i="1"/>
  <c r="AL1032" i="1"/>
  <c r="AG1032" i="1"/>
  <c r="AF1032" i="1"/>
  <c r="AD1032" i="1"/>
  <c r="AB1032" i="1"/>
  <c r="Y1032" i="1"/>
  <c r="X1032" i="1"/>
  <c r="V1032" i="1"/>
  <c r="T1032" i="1"/>
  <c r="AY1031" i="1"/>
  <c r="AX1031" i="1"/>
  <c r="AV1031" i="1"/>
  <c r="AT1031" i="1"/>
  <c r="AQ1031" i="1"/>
  <c r="AP1031" i="1"/>
  <c r="AN1031" i="1"/>
  <c r="AL1031" i="1"/>
  <c r="AG1031" i="1"/>
  <c r="AF1031" i="1"/>
  <c r="AD1031" i="1"/>
  <c r="AB1031" i="1"/>
  <c r="Y1031" i="1"/>
  <c r="X1031" i="1"/>
  <c r="V1031" i="1"/>
  <c r="T1031" i="1"/>
  <c r="AY1025" i="1"/>
  <c r="AX1025" i="1"/>
  <c r="AV1025" i="1"/>
  <c r="AT1025" i="1"/>
  <c r="AQ1025" i="1"/>
  <c r="AP1025" i="1"/>
  <c r="AN1025" i="1"/>
  <c r="AL1025" i="1"/>
  <c r="AG1025" i="1"/>
  <c r="AF1025" i="1"/>
  <c r="AD1025" i="1"/>
  <c r="AB1025" i="1"/>
  <c r="Y1025" i="1"/>
  <c r="X1025" i="1"/>
  <c r="V1025" i="1"/>
  <c r="T1025" i="1"/>
  <c r="AY1022" i="1"/>
  <c r="AX1022" i="1"/>
  <c r="AV1022" i="1"/>
  <c r="AT1022" i="1"/>
  <c r="AQ1022" i="1"/>
  <c r="AP1022" i="1"/>
  <c r="AN1022" i="1"/>
  <c r="AL1022" i="1"/>
  <c r="AG1022" i="1"/>
  <c r="AF1022" i="1"/>
  <c r="AD1022" i="1"/>
  <c r="AB1022" i="1"/>
  <c r="Y1022" i="1"/>
  <c r="X1022" i="1"/>
  <c r="V1022" i="1"/>
  <c r="T1022" i="1"/>
  <c r="Z1059" i="1" l="1"/>
  <c r="AI1069" i="1"/>
  <c r="AI1050" i="1"/>
  <c r="AH1050" i="1"/>
  <c r="AI1090" i="1"/>
  <c r="AI1079" i="1"/>
  <c r="AI1077" i="1"/>
  <c r="AI1074" i="1"/>
  <c r="AI1072" i="1"/>
  <c r="AI1082" i="1"/>
  <c r="AI1084" i="1"/>
  <c r="AI1038" i="1"/>
  <c r="AI1045" i="1"/>
  <c r="BA1022" i="1"/>
  <c r="BA1069" i="1"/>
  <c r="BA1031" i="1"/>
  <c r="Z1069" i="1"/>
  <c r="AH1069" i="1"/>
  <c r="AI1040" i="1"/>
  <c r="AI1025" i="1"/>
  <c r="BA1090" i="1"/>
  <c r="BA1084" i="1"/>
  <c r="BA1082" i="1"/>
  <c r="BA1074" i="1"/>
  <c r="BA1059" i="1"/>
  <c r="BA1050" i="1"/>
  <c r="BA1045" i="1"/>
  <c r="BA1040" i="1"/>
  <c r="BA1038" i="1"/>
  <c r="BA1033" i="1"/>
  <c r="BA1032" i="1"/>
  <c r="BA1079" i="1"/>
  <c r="BA1072" i="1"/>
  <c r="AR1069" i="1"/>
  <c r="AZ1069" i="1"/>
  <c r="AI1032" i="1"/>
  <c r="AI1022" i="1"/>
  <c r="BA1025" i="1"/>
  <c r="AI1031" i="1"/>
  <c r="Z1082" i="1"/>
  <c r="AH1082" i="1"/>
  <c r="AZ1082" i="1"/>
  <c r="AI1059" i="1"/>
  <c r="AI1033" i="1"/>
  <c r="Z1077" i="1"/>
  <c r="AH1077" i="1"/>
  <c r="AR1077" i="1"/>
  <c r="AR1082" i="1"/>
  <c r="AH1022" i="1"/>
  <c r="Z1074" i="1"/>
  <c r="Z1072" i="1"/>
  <c r="AH1072" i="1"/>
  <c r="AR1072" i="1"/>
  <c r="AZ1072" i="1"/>
  <c r="AZ1077" i="1"/>
  <c r="Z1084" i="1"/>
  <c r="AH1084" i="1"/>
  <c r="AH1074" i="1"/>
  <c r="AJ1074" i="1" s="1"/>
  <c r="Z1079" i="1"/>
  <c r="AH1079" i="1"/>
  <c r="AR1084" i="1"/>
  <c r="AZ1084" i="1"/>
  <c r="AH1059" i="1"/>
  <c r="AR1074" i="1"/>
  <c r="AZ1074" i="1"/>
  <c r="BA1077" i="1"/>
  <c r="AR1079" i="1"/>
  <c r="AZ1079" i="1"/>
  <c r="Z1090" i="1"/>
  <c r="AH1090" i="1"/>
  <c r="AR1090" i="1"/>
  <c r="AZ1090" i="1"/>
  <c r="AR1059" i="1"/>
  <c r="AZ1059" i="1"/>
  <c r="Z1022" i="1"/>
  <c r="AR1022" i="1"/>
  <c r="Z1025" i="1"/>
  <c r="AR1025" i="1"/>
  <c r="AH1031" i="1"/>
  <c r="AZ1031" i="1"/>
  <c r="Z1032" i="1"/>
  <c r="AR1032" i="1"/>
  <c r="AZ1032" i="1"/>
  <c r="Z1033" i="1"/>
  <c r="AH1033" i="1"/>
  <c r="AR1033" i="1"/>
  <c r="AZ1033" i="1"/>
  <c r="Z1038" i="1"/>
  <c r="AH1038" i="1"/>
  <c r="AR1038" i="1"/>
  <c r="AZ1038" i="1"/>
  <c r="Z1040" i="1"/>
  <c r="AH1040" i="1"/>
  <c r="AR1040" i="1"/>
  <c r="AZ1040" i="1"/>
  <c r="Z1045" i="1"/>
  <c r="AH1045" i="1"/>
  <c r="AR1045" i="1"/>
  <c r="AZ1045" i="1"/>
  <c r="Z1050" i="1"/>
  <c r="AR1050" i="1"/>
  <c r="AZ1050" i="1"/>
  <c r="AZ1022" i="1"/>
  <c r="AH1025" i="1"/>
  <c r="AZ1025" i="1"/>
  <c r="Z1031" i="1"/>
  <c r="AR1031" i="1"/>
  <c r="AH1032" i="1"/>
  <c r="Q1072" i="1" l="1"/>
  <c r="Q1090" i="1"/>
  <c r="Q1077" i="1"/>
  <c r="Q1074" i="1"/>
  <c r="Q1050" i="1"/>
  <c r="Q1069" i="1"/>
  <c r="Q1079" i="1"/>
  <c r="BB1031" i="1"/>
  <c r="AJ1031" i="1"/>
  <c r="Q1082" i="1"/>
  <c r="Q1038" i="1"/>
  <c r="Q1084" i="1"/>
  <c r="Q1045" i="1"/>
  <c r="Q1031" i="1"/>
  <c r="Q1022" i="1"/>
  <c r="Q1032" i="1"/>
  <c r="Q1040" i="1"/>
  <c r="BB1077" i="1"/>
  <c r="Q1025" i="1"/>
  <c r="AJ1022" i="1"/>
  <c r="Q1059" i="1"/>
  <c r="Q1033" i="1"/>
  <c r="BB1082" i="1"/>
  <c r="AJ1077" i="1"/>
  <c r="BB1069" i="1"/>
  <c r="AJ1082" i="1"/>
  <c r="BB1072" i="1"/>
  <c r="BB1090" i="1"/>
  <c r="AJ1069" i="1"/>
  <c r="AJ1050" i="1"/>
  <c r="AJ1045" i="1"/>
  <c r="AJ1040" i="1"/>
  <c r="AJ1038" i="1"/>
  <c r="AJ1033" i="1"/>
  <c r="BB1059" i="1"/>
  <c r="AJ1090" i="1"/>
  <c r="AJ1059" i="1"/>
  <c r="AJ1079" i="1"/>
  <c r="AJ1084" i="1"/>
  <c r="AJ1072" i="1"/>
  <c r="BB1079" i="1"/>
  <c r="BB1074" i="1"/>
  <c r="R1074" i="1" s="1"/>
  <c r="BB1084" i="1"/>
  <c r="BB1022" i="1"/>
  <c r="BB1050" i="1"/>
  <c r="BB1045" i="1"/>
  <c r="BB1040" i="1"/>
  <c r="BB1038" i="1"/>
  <c r="BB1033" i="1"/>
  <c r="BB1032" i="1"/>
  <c r="BB1025" i="1"/>
  <c r="AJ1032" i="1"/>
  <c r="AJ1025" i="1"/>
  <c r="R1031" i="1" l="1"/>
  <c r="R1050" i="1"/>
  <c r="R1033" i="1"/>
  <c r="R1045" i="1"/>
  <c r="R1077" i="1"/>
  <c r="R1022" i="1"/>
  <c r="R1072" i="1"/>
  <c r="R1090" i="1"/>
  <c r="R1082" i="1"/>
  <c r="R1069" i="1"/>
  <c r="R1059" i="1"/>
  <c r="R1084" i="1"/>
  <c r="R1038" i="1"/>
  <c r="R1079" i="1"/>
  <c r="R1040" i="1"/>
  <c r="R1025" i="1"/>
  <c r="R1032" i="1"/>
  <c r="AP872" i="1" l="1"/>
  <c r="AY872" i="1" l="1"/>
  <c r="AX872" i="1"/>
  <c r="AV872" i="1"/>
  <c r="AT872" i="1"/>
  <c r="AQ872" i="1"/>
  <c r="AN872" i="1"/>
  <c r="AL872" i="1"/>
  <c r="AG872" i="1"/>
  <c r="AF872" i="1"/>
  <c r="AD872" i="1"/>
  <c r="AB872" i="1"/>
  <c r="Y872" i="1"/>
  <c r="X872" i="1"/>
  <c r="V872" i="1"/>
  <c r="T872" i="1"/>
  <c r="AQ870" i="1"/>
  <c r="AY870" i="1"/>
  <c r="AY866" i="1"/>
  <c r="AY875" i="1"/>
  <c r="AX875" i="1"/>
  <c r="AV875" i="1"/>
  <c r="AT875" i="1"/>
  <c r="AP875" i="1"/>
  <c r="AN875" i="1"/>
  <c r="AL875" i="1"/>
  <c r="AF875" i="1"/>
  <c r="AD875" i="1"/>
  <c r="AB875" i="1"/>
  <c r="Y875" i="1"/>
  <c r="X875" i="1"/>
  <c r="V875" i="1"/>
  <c r="T875" i="1"/>
  <c r="AY873" i="1"/>
  <c r="AX873" i="1"/>
  <c r="AV873" i="1"/>
  <c r="AT873" i="1"/>
  <c r="AQ873" i="1"/>
  <c r="AP873" i="1"/>
  <c r="AN873" i="1"/>
  <c r="AL873" i="1"/>
  <c r="AG873" i="1"/>
  <c r="AF873" i="1"/>
  <c r="AD873" i="1"/>
  <c r="AB873" i="1"/>
  <c r="Y873" i="1"/>
  <c r="X873" i="1"/>
  <c r="V873" i="1"/>
  <c r="T873" i="1"/>
  <c r="AX870" i="1"/>
  <c r="AV870" i="1"/>
  <c r="AT870" i="1"/>
  <c r="AP870" i="1"/>
  <c r="AN870" i="1"/>
  <c r="AL870" i="1"/>
  <c r="AG870" i="1"/>
  <c r="AF870" i="1"/>
  <c r="AD870" i="1"/>
  <c r="AB870" i="1"/>
  <c r="Y870" i="1"/>
  <c r="X870" i="1"/>
  <c r="V870" i="1"/>
  <c r="T870" i="1"/>
  <c r="AK864" i="1"/>
  <c r="AP46" i="1"/>
  <c r="AP44" i="1"/>
  <c r="AY472" i="1"/>
  <c r="AX472" i="1"/>
  <c r="AV472" i="1"/>
  <c r="AT472" i="1"/>
  <c r="AQ472" i="1"/>
  <c r="AP472" i="1"/>
  <c r="AN472" i="1"/>
  <c r="AL472" i="1"/>
  <c r="AG472" i="1"/>
  <c r="AF472" i="1"/>
  <c r="AD472" i="1"/>
  <c r="AB472" i="1"/>
  <c r="X472" i="1"/>
  <c r="V472" i="1"/>
  <c r="AP412" i="1"/>
  <c r="AP411" i="1"/>
  <c r="AP408" i="1"/>
  <c r="AP407" i="1"/>
  <c r="AP406" i="1"/>
  <c r="AP405" i="1"/>
  <c r="AP404" i="1"/>
  <c r="AP402" i="1"/>
  <c r="AP401" i="1"/>
  <c r="AP400" i="1"/>
  <c r="AP18" i="1"/>
  <c r="AY18" i="1"/>
  <c r="AX18" i="1"/>
  <c r="AV18" i="1"/>
  <c r="AT18" i="1"/>
  <c r="AQ18" i="1"/>
  <c r="AN18" i="1"/>
  <c r="AL18" i="1"/>
  <c r="AG18" i="1"/>
  <c r="AF18" i="1"/>
  <c r="AD18" i="1"/>
  <c r="AB18" i="1"/>
  <c r="X18" i="1"/>
  <c r="V18" i="1"/>
  <c r="AY91" i="1"/>
  <c r="AX91" i="1"/>
  <c r="AV91" i="1"/>
  <c r="AT91" i="1"/>
  <c r="AQ91" i="1"/>
  <c r="AP91" i="1"/>
  <c r="AN91" i="1"/>
  <c r="AL91" i="1"/>
  <c r="AG91" i="1"/>
  <c r="AF91" i="1"/>
  <c r="AD91" i="1"/>
  <c r="AB91" i="1"/>
  <c r="X91" i="1"/>
  <c r="V91" i="1"/>
  <c r="AY337" i="1"/>
  <c r="AX337" i="1"/>
  <c r="AV337" i="1"/>
  <c r="AT337" i="1"/>
  <c r="AQ337" i="1"/>
  <c r="AP337" i="1"/>
  <c r="AN337" i="1"/>
  <c r="AL337" i="1"/>
  <c r="AG337" i="1"/>
  <c r="AF337" i="1"/>
  <c r="AD337" i="1"/>
  <c r="AB337" i="1"/>
  <c r="X337" i="1"/>
  <c r="V337" i="1"/>
  <c r="AY338" i="1"/>
  <c r="AX338" i="1"/>
  <c r="AV338" i="1"/>
  <c r="AT338" i="1"/>
  <c r="AQ338" i="1"/>
  <c r="AP338" i="1"/>
  <c r="AN338" i="1"/>
  <c r="AL338" i="1"/>
  <c r="AG338" i="1"/>
  <c r="AF338" i="1"/>
  <c r="AD338" i="1"/>
  <c r="AB338" i="1"/>
  <c r="X338" i="1"/>
  <c r="V338" i="1"/>
  <c r="AO451" i="1"/>
  <c r="AP442" i="1"/>
  <c r="AY442" i="1"/>
  <c r="AX442" i="1"/>
  <c r="AV442" i="1"/>
  <c r="AT442" i="1"/>
  <c r="AQ442" i="1"/>
  <c r="AN442" i="1"/>
  <c r="AL442" i="1"/>
  <c r="AG442" i="1"/>
  <c r="AF442" i="1"/>
  <c r="AD442" i="1"/>
  <c r="AB442" i="1"/>
  <c r="X442" i="1"/>
  <c r="V442" i="1"/>
  <c r="AY151" i="1"/>
  <c r="AX151" i="1"/>
  <c r="AV151" i="1"/>
  <c r="AT151" i="1"/>
  <c r="AQ151" i="1"/>
  <c r="AP151" i="1"/>
  <c r="AN151" i="1"/>
  <c r="AL151" i="1"/>
  <c r="AG151" i="1"/>
  <c r="AF151" i="1"/>
  <c r="AD151" i="1"/>
  <c r="AB151" i="1"/>
  <c r="X151" i="1"/>
  <c r="V151" i="1"/>
  <c r="AI873" i="1" l="1"/>
  <c r="BA873" i="1"/>
  <c r="BA872" i="1"/>
  <c r="AI870" i="1"/>
  <c r="BA18" i="1"/>
  <c r="AI872" i="1"/>
  <c r="AI875" i="1"/>
  <c r="BA875" i="1"/>
  <c r="BA870" i="1"/>
  <c r="BA472" i="1"/>
  <c r="BA151" i="1"/>
  <c r="AZ338" i="1"/>
  <c r="BA338" i="1"/>
  <c r="BA337" i="1"/>
  <c r="AR870" i="1"/>
  <c r="AZ875" i="1"/>
  <c r="Z872" i="1"/>
  <c r="AH872" i="1"/>
  <c r="AZ872" i="1"/>
  <c r="AH472" i="1"/>
  <c r="AR472" i="1"/>
  <c r="BA442" i="1"/>
  <c r="AZ18" i="1"/>
  <c r="AZ870" i="1"/>
  <c r="AR91" i="1"/>
  <c r="Z873" i="1"/>
  <c r="AH873" i="1"/>
  <c r="AZ873" i="1"/>
  <c r="AR873" i="1"/>
  <c r="AR875" i="1"/>
  <c r="AR872" i="1"/>
  <c r="AH870" i="1"/>
  <c r="Z875" i="1"/>
  <c r="AH875" i="1"/>
  <c r="Z870" i="1"/>
  <c r="AH337" i="1"/>
  <c r="AH91" i="1"/>
  <c r="AZ91" i="1"/>
  <c r="AR18" i="1"/>
  <c r="AZ472" i="1"/>
  <c r="BA91" i="1"/>
  <c r="AH18" i="1"/>
  <c r="AZ337" i="1"/>
  <c r="AR442" i="1"/>
  <c r="AR338" i="1"/>
  <c r="AH338" i="1"/>
  <c r="AR337" i="1"/>
  <c r="AH151" i="1"/>
  <c r="AZ151" i="1"/>
  <c r="AH442" i="1"/>
  <c r="AZ442" i="1"/>
  <c r="AR151" i="1"/>
  <c r="AY1103" i="1"/>
  <c r="AX1103" i="1"/>
  <c r="AV1103" i="1"/>
  <c r="AT1103" i="1"/>
  <c r="AQ1103" i="1"/>
  <c r="AP1103" i="1"/>
  <c r="AN1103" i="1"/>
  <c r="AL1103" i="1"/>
  <c r="AG1103" i="1"/>
  <c r="AF1103" i="1"/>
  <c r="AD1103" i="1"/>
  <c r="AB1103" i="1"/>
  <c r="X1103" i="1"/>
  <c r="V1103" i="1"/>
  <c r="T1103" i="1"/>
  <c r="AY985" i="1"/>
  <c r="AX985" i="1"/>
  <c r="AV985" i="1"/>
  <c r="AT985" i="1"/>
  <c r="AQ985" i="1"/>
  <c r="AP985" i="1"/>
  <c r="AN985" i="1"/>
  <c r="AL985" i="1"/>
  <c r="AG985" i="1"/>
  <c r="AF985" i="1"/>
  <c r="AD985" i="1"/>
  <c r="AB985" i="1"/>
  <c r="Y985" i="1"/>
  <c r="X985" i="1"/>
  <c r="V985" i="1"/>
  <c r="T985" i="1"/>
  <c r="AY975" i="1"/>
  <c r="AX975" i="1"/>
  <c r="AV975" i="1"/>
  <c r="AT975" i="1"/>
  <c r="AQ975" i="1"/>
  <c r="AP975" i="1"/>
  <c r="AN975" i="1"/>
  <c r="AL975" i="1"/>
  <c r="AG975" i="1"/>
  <c r="AF975" i="1"/>
  <c r="AD975" i="1"/>
  <c r="AB975" i="1"/>
  <c r="Y975" i="1"/>
  <c r="X975" i="1"/>
  <c r="V975" i="1"/>
  <c r="T975" i="1"/>
  <c r="AY971" i="1"/>
  <c r="AX971" i="1"/>
  <c r="AV971" i="1"/>
  <c r="AT971" i="1"/>
  <c r="AQ971" i="1"/>
  <c r="AP971" i="1"/>
  <c r="AN971" i="1"/>
  <c r="AL971" i="1"/>
  <c r="AG971" i="1"/>
  <c r="AF971" i="1"/>
  <c r="AD971" i="1"/>
  <c r="AB971" i="1"/>
  <c r="Y971" i="1"/>
  <c r="X971" i="1"/>
  <c r="V971" i="1"/>
  <c r="T971" i="1"/>
  <c r="AY968" i="1"/>
  <c r="AX968" i="1"/>
  <c r="AV968" i="1"/>
  <c r="AT968" i="1"/>
  <c r="AQ968" i="1"/>
  <c r="AP968" i="1"/>
  <c r="AN968" i="1"/>
  <c r="AL968" i="1"/>
  <c r="AG968" i="1"/>
  <c r="AF968" i="1"/>
  <c r="AD968" i="1"/>
  <c r="AB968" i="1"/>
  <c r="Y968" i="1"/>
  <c r="X968" i="1"/>
  <c r="V968" i="1"/>
  <c r="T968" i="1"/>
  <c r="AY897" i="1"/>
  <c r="AX897" i="1"/>
  <c r="AV897" i="1"/>
  <c r="AT897" i="1"/>
  <c r="AQ897" i="1"/>
  <c r="AP897" i="1"/>
  <c r="AN897" i="1"/>
  <c r="AL897" i="1"/>
  <c r="AG897" i="1"/>
  <c r="AF897" i="1"/>
  <c r="AD897" i="1"/>
  <c r="AB897" i="1"/>
  <c r="Y897" i="1"/>
  <c r="X897" i="1"/>
  <c r="V897" i="1"/>
  <c r="T897" i="1"/>
  <c r="AY254" i="1"/>
  <c r="AX254" i="1"/>
  <c r="AV254" i="1"/>
  <c r="AT254" i="1"/>
  <c r="AQ254" i="1"/>
  <c r="AP254" i="1"/>
  <c r="AN254" i="1"/>
  <c r="AL254" i="1"/>
  <c r="AG254" i="1"/>
  <c r="AF254" i="1"/>
  <c r="AD254" i="1"/>
  <c r="AB254" i="1"/>
  <c r="X254" i="1"/>
  <c r="V254" i="1"/>
  <c r="AN405" i="1"/>
  <c r="AN406" i="1"/>
  <c r="AN407" i="1"/>
  <c r="AN412" i="1"/>
  <c r="AN411" i="1"/>
  <c r="AN408" i="1"/>
  <c r="AN404" i="1"/>
  <c r="AN402" i="1"/>
  <c r="AN401" i="1"/>
  <c r="AN400" i="1"/>
  <c r="AQ411" i="1"/>
  <c r="AQ407" i="1"/>
  <c r="AH1103" i="1" l="1"/>
  <c r="BB151" i="1"/>
  <c r="Q873" i="1"/>
  <c r="Q872" i="1"/>
  <c r="AI968" i="1"/>
  <c r="BA968" i="1"/>
  <c r="AI975" i="1"/>
  <c r="BA975" i="1"/>
  <c r="Q870" i="1"/>
  <c r="Q875" i="1"/>
  <c r="BA971" i="1"/>
  <c r="AH985" i="1"/>
  <c r="BA1103" i="1"/>
  <c r="AI971" i="1"/>
  <c r="BA254" i="1"/>
  <c r="AI985" i="1"/>
  <c r="AJ872" i="1"/>
  <c r="BB870" i="1"/>
  <c r="BB338" i="1"/>
  <c r="AR985" i="1"/>
  <c r="BB875" i="1"/>
  <c r="BB872" i="1"/>
  <c r="BB472" i="1"/>
  <c r="AJ873" i="1"/>
  <c r="BB442" i="1"/>
  <c r="BB18" i="1"/>
  <c r="BB91" i="1"/>
  <c r="BB873" i="1"/>
  <c r="AJ870" i="1"/>
  <c r="AJ875" i="1"/>
  <c r="AR254" i="1"/>
  <c r="AZ254" i="1"/>
  <c r="Z897" i="1"/>
  <c r="AH897" i="1"/>
  <c r="AI897" i="1"/>
  <c r="BA985" i="1"/>
  <c r="BB337" i="1"/>
  <c r="BA897" i="1"/>
  <c r="AI1103" i="1"/>
  <c r="AZ897" i="1"/>
  <c r="Z968" i="1"/>
  <c r="AH254" i="1"/>
  <c r="AZ968" i="1"/>
  <c r="AZ971" i="1"/>
  <c r="AZ975" i="1"/>
  <c r="AZ985" i="1"/>
  <c r="Z1103" i="1"/>
  <c r="AZ1103" i="1"/>
  <c r="AR971" i="1"/>
  <c r="AR1103" i="1"/>
  <c r="Z975" i="1"/>
  <c r="Z985" i="1"/>
  <c r="AR975" i="1"/>
  <c r="AH975" i="1"/>
  <c r="AH971" i="1"/>
  <c r="Z971" i="1"/>
  <c r="AR968" i="1"/>
  <c r="AH968" i="1"/>
  <c r="AR897" i="1"/>
  <c r="Q968" i="1" l="1"/>
  <c r="Q975" i="1"/>
  <c r="Q971" i="1"/>
  <c r="Q1103" i="1"/>
  <c r="Q985" i="1"/>
  <c r="R872" i="1"/>
  <c r="R875" i="1"/>
  <c r="R870" i="1"/>
  <c r="R873" i="1"/>
  <c r="BB968" i="1"/>
  <c r="Q897" i="1"/>
  <c r="AJ971" i="1"/>
  <c r="AJ985" i="1"/>
  <c r="AJ897" i="1"/>
  <c r="BB897" i="1"/>
  <c r="AJ968" i="1"/>
  <c r="BB254" i="1"/>
  <c r="AJ1103" i="1"/>
  <c r="BB971" i="1"/>
  <c r="AJ975" i="1"/>
  <c r="BB985" i="1"/>
  <c r="BB975" i="1"/>
  <c r="BB1103" i="1"/>
  <c r="AZ1166" i="1"/>
  <c r="BB1166" i="1" s="1"/>
  <c r="R897" i="1" l="1"/>
  <c r="R968" i="1"/>
  <c r="R985" i="1"/>
  <c r="R971" i="1"/>
  <c r="R1103" i="1"/>
  <c r="R975" i="1"/>
  <c r="AY1016" i="1"/>
  <c r="AX1016" i="1"/>
  <c r="AV1016" i="1"/>
  <c r="AT1016" i="1"/>
  <c r="AQ1016" i="1"/>
  <c r="AP1016" i="1"/>
  <c r="AN1016" i="1"/>
  <c r="AL1016" i="1"/>
  <c r="AG1016" i="1"/>
  <c r="AF1016" i="1"/>
  <c r="AD1016" i="1"/>
  <c r="AB1016" i="1"/>
  <c r="Y1016" i="1"/>
  <c r="X1016" i="1"/>
  <c r="V1016" i="1"/>
  <c r="T1016" i="1"/>
  <c r="AY1005" i="1"/>
  <c r="AX1005" i="1"/>
  <c r="AV1005" i="1"/>
  <c r="AT1005" i="1"/>
  <c r="AQ1005" i="1"/>
  <c r="AP1005" i="1"/>
  <c r="AN1005" i="1"/>
  <c r="AL1005" i="1"/>
  <c r="AG1005" i="1"/>
  <c r="AF1005" i="1"/>
  <c r="AD1005" i="1"/>
  <c r="AB1005" i="1"/>
  <c r="Y1005" i="1"/>
  <c r="X1005" i="1"/>
  <c r="V1005" i="1"/>
  <c r="T1005" i="1"/>
  <c r="AY997" i="1"/>
  <c r="AX997" i="1"/>
  <c r="AV997" i="1"/>
  <c r="AT997" i="1"/>
  <c r="AQ997" i="1"/>
  <c r="AP997" i="1"/>
  <c r="AN997" i="1"/>
  <c r="AL997" i="1"/>
  <c r="AG997" i="1"/>
  <c r="AF997" i="1"/>
  <c r="AD997" i="1"/>
  <c r="AB997" i="1"/>
  <c r="Y997" i="1"/>
  <c r="X997" i="1"/>
  <c r="V997" i="1"/>
  <c r="T997" i="1"/>
  <c r="AY994" i="1"/>
  <c r="AX994" i="1"/>
  <c r="AV994" i="1"/>
  <c r="AT994" i="1"/>
  <c r="AQ994" i="1"/>
  <c r="AP994" i="1"/>
  <c r="AN994" i="1"/>
  <c r="AL994" i="1"/>
  <c r="AG994" i="1"/>
  <c r="AF994" i="1"/>
  <c r="AD994" i="1"/>
  <c r="AB994" i="1"/>
  <c r="Y994" i="1"/>
  <c r="X994" i="1"/>
  <c r="V994" i="1"/>
  <c r="T994" i="1"/>
  <c r="AY987" i="1"/>
  <c r="AX987" i="1"/>
  <c r="AV987" i="1"/>
  <c r="AT987" i="1"/>
  <c r="AQ987" i="1"/>
  <c r="AP987" i="1"/>
  <c r="AN987" i="1"/>
  <c r="AL987" i="1"/>
  <c r="AG987" i="1"/>
  <c r="AF987" i="1"/>
  <c r="AD987" i="1"/>
  <c r="AB987" i="1"/>
  <c r="Y987" i="1"/>
  <c r="X987" i="1"/>
  <c r="V987" i="1"/>
  <c r="T987" i="1"/>
  <c r="AY966" i="1"/>
  <c r="AX966" i="1"/>
  <c r="AV966" i="1"/>
  <c r="AT966" i="1"/>
  <c r="AQ966" i="1"/>
  <c r="AP966" i="1"/>
  <c r="AN966" i="1"/>
  <c r="AL966" i="1"/>
  <c r="AG966" i="1"/>
  <c r="AF966" i="1"/>
  <c r="AD966" i="1"/>
  <c r="AB966" i="1"/>
  <c r="Y966" i="1"/>
  <c r="X966" i="1"/>
  <c r="V966" i="1"/>
  <c r="T966" i="1"/>
  <c r="AL957" i="1"/>
  <c r="AY957" i="1"/>
  <c r="AX957" i="1"/>
  <c r="AV957" i="1"/>
  <c r="AT957" i="1"/>
  <c r="AQ957" i="1"/>
  <c r="AP957" i="1"/>
  <c r="AN957" i="1"/>
  <c r="AG957" i="1"/>
  <c r="AF957" i="1"/>
  <c r="AD957" i="1"/>
  <c r="AB957" i="1"/>
  <c r="Y957" i="1"/>
  <c r="X957" i="1"/>
  <c r="V957" i="1"/>
  <c r="T957" i="1"/>
  <c r="AL906" i="1"/>
  <c r="AY906" i="1"/>
  <c r="AX906" i="1"/>
  <c r="AV906" i="1"/>
  <c r="AT906" i="1"/>
  <c r="AQ906" i="1"/>
  <c r="AP906" i="1"/>
  <c r="AN906" i="1"/>
  <c r="AG906" i="1"/>
  <c r="AF906" i="1"/>
  <c r="AD906" i="1"/>
  <c r="AB906" i="1"/>
  <c r="Y906" i="1"/>
  <c r="X906" i="1"/>
  <c r="V906" i="1"/>
  <c r="T906" i="1"/>
  <c r="AL820" i="1"/>
  <c r="AY532" i="1"/>
  <c r="AX532" i="1"/>
  <c r="AV532" i="1"/>
  <c r="AT532" i="1"/>
  <c r="AQ532" i="1"/>
  <c r="AP532" i="1"/>
  <c r="AN532" i="1"/>
  <c r="AL532" i="1"/>
  <c r="AG532" i="1"/>
  <c r="AF532" i="1"/>
  <c r="AD532" i="1"/>
  <c r="AB532" i="1"/>
  <c r="X532" i="1"/>
  <c r="V532" i="1"/>
  <c r="AY407" i="1"/>
  <c r="AL407" i="1"/>
  <c r="AR407" i="1" s="1"/>
  <c r="AG407" i="1"/>
  <c r="AF407" i="1"/>
  <c r="AD407" i="1"/>
  <c r="AB407" i="1"/>
  <c r="X407" i="1"/>
  <c r="V407" i="1"/>
  <c r="AL412" i="1"/>
  <c r="AL411" i="1"/>
  <c r="AL408" i="1"/>
  <c r="AL406" i="1"/>
  <c r="AL405" i="1"/>
  <c r="AL404" i="1"/>
  <c r="AL402" i="1"/>
  <c r="AL401" i="1"/>
  <c r="AL400" i="1"/>
  <c r="AF400" i="1"/>
  <c r="BA407" i="1" l="1"/>
  <c r="BA966" i="1"/>
  <c r="AI987" i="1"/>
  <c r="BA987" i="1"/>
  <c r="AI994" i="1"/>
  <c r="AI997" i="1"/>
  <c r="AI1016" i="1"/>
  <c r="BA906" i="1"/>
  <c r="AI1005" i="1"/>
  <c r="BA1005" i="1"/>
  <c r="AI957" i="1"/>
  <c r="BA994" i="1"/>
  <c r="BA997" i="1"/>
  <c r="AR987" i="1"/>
  <c r="AI966" i="1"/>
  <c r="BA532" i="1"/>
  <c r="BA1016" i="1"/>
  <c r="AZ997" i="1"/>
  <c r="BA957" i="1"/>
  <c r="AZ994" i="1"/>
  <c r="Z997" i="1"/>
  <c r="AH997" i="1"/>
  <c r="AZ957" i="1"/>
  <c r="AH966" i="1"/>
  <c r="AZ966" i="1"/>
  <c r="AZ1016" i="1"/>
  <c r="AZ987" i="1"/>
  <c r="AR906" i="1"/>
  <c r="AR1005" i="1"/>
  <c r="AZ1005" i="1"/>
  <c r="AI906" i="1"/>
  <c r="AR994" i="1"/>
  <c r="AR1016" i="1"/>
  <c r="AH1016" i="1"/>
  <c r="Z1016" i="1"/>
  <c r="Z1005" i="1"/>
  <c r="AH1005" i="1"/>
  <c r="AR997" i="1"/>
  <c r="AH994" i="1"/>
  <c r="Z994" i="1"/>
  <c r="AH987" i="1"/>
  <c r="Z987" i="1"/>
  <c r="AR966" i="1"/>
  <c r="Z966" i="1"/>
  <c r="AR957" i="1"/>
  <c r="AH957" i="1"/>
  <c r="Z957" i="1"/>
  <c r="AZ906" i="1"/>
  <c r="BB407" i="1"/>
  <c r="AZ532" i="1"/>
  <c r="Z906" i="1"/>
  <c r="AH906" i="1"/>
  <c r="AR532" i="1"/>
  <c r="AH532" i="1"/>
  <c r="AH407" i="1"/>
  <c r="AY74" i="1"/>
  <c r="AX74" i="1"/>
  <c r="AV74" i="1"/>
  <c r="AT74" i="1"/>
  <c r="AQ74" i="1"/>
  <c r="AP74" i="1"/>
  <c r="AN74" i="1"/>
  <c r="AL74" i="1"/>
  <c r="AG74" i="1"/>
  <c r="AF74" i="1"/>
  <c r="AD74" i="1"/>
  <c r="AB74" i="1"/>
  <c r="X74" i="1"/>
  <c r="V74" i="1"/>
  <c r="AU514" i="1"/>
  <c r="AS514" i="1"/>
  <c r="AO514" i="1"/>
  <c r="AM514" i="1"/>
  <c r="AK514" i="1"/>
  <c r="AC514" i="1"/>
  <c r="AA514" i="1"/>
  <c r="W514" i="1"/>
  <c r="U514" i="1"/>
  <c r="AY513" i="1"/>
  <c r="AX513" i="1"/>
  <c r="AV513" i="1"/>
  <c r="AT513" i="1"/>
  <c r="AQ513" i="1"/>
  <c r="AP513" i="1"/>
  <c r="AN513" i="1"/>
  <c r="AL513" i="1"/>
  <c r="AG513" i="1"/>
  <c r="AF513" i="1"/>
  <c r="AD513" i="1"/>
  <c r="AB513" i="1"/>
  <c r="Y513" i="1"/>
  <c r="X513" i="1"/>
  <c r="V513" i="1"/>
  <c r="T513" i="1"/>
  <c r="AY511" i="1"/>
  <c r="AX511" i="1"/>
  <c r="AV511" i="1"/>
  <c r="AT511" i="1"/>
  <c r="AQ511" i="1"/>
  <c r="AP511" i="1"/>
  <c r="AN511" i="1"/>
  <c r="AL511" i="1"/>
  <c r="AG511" i="1"/>
  <c r="AF511" i="1"/>
  <c r="AD511" i="1"/>
  <c r="AB511" i="1"/>
  <c r="Y511" i="1"/>
  <c r="X511" i="1"/>
  <c r="V511" i="1"/>
  <c r="T511" i="1"/>
  <c r="AY478" i="1"/>
  <c r="AX478" i="1"/>
  <c r="AV478" i="1"/>
  <c r="AT478" i="1"/>
  <c r="AQ478" i="1"/>
  <c r="AP478" i="1"/>
  <c r="AN478" i="1"/>
  <c r="AL478" i="1"/>
  <c r="AG478" i="1"/>
  <c r="AF478" i="1"/>
  <c r="AD478" i="1"/>
  <c r="AB478" i="1"/>
  <c r="X478" i="1"/>
  <c r="V478" i="1"/>
  <c r="AV514" i="1" l="1"/>
  <c r="AF514" i="1"/>
  <c r="X514" i="1"/>
  <c r="Q987" i="1"/>
  <c r="Q1016" i="1"/>
  <c r="Q997" i="1"/>
  <c r="Q966" i="1"/>
  <c r="Q994" i="1"/>
  <c r="Q906" i="1"/>
  <c r="Q1005" i="1"/>
  <c r="Q957" i="1"/>
  <c r="AI511" i="1"/>
  <c r="BA478" i="1"/>
  <c r="BB1016" i="1"/>
  <c r="AX514" i="1"/>
  <c r="AJ994" i="1"/>
  <c r="AJ957" i="1"/>
  <c r="BB997" i="1"/>
  <c r="AJ997" i="1"/>
  <c r="BA74" i="1"/>
  <c r="BA513" i="1"/>
  <c r="BB994" i="1"/>
  <c r="AJ1016" i="1"/>
  <c r="BB957" i="1"/>
  <c r="AJ966" i="1"/>
  <c r="AH478" i="1"/>
  <c r="AZ511" i="1"/>
  <c r="AH513" i="1"/>
  <c r="AZ513" i="1"/>
  <c r="BB966" i="1"/>
  <c r="BB906" i="1"/>
  <c r="BB987" i="1"/>
  <c r="AJ987" i="1"/>
  <c r="BB1005" i="1"/>
  <c r="AJ1005" i="1"/>
  <c r="AJ906" i="1"/>
  <c r="AD514" i="1"/>
  <c r="AN514" i="1"/>
  <c r="BB532" i="1"/>
  <c r="BA511" i="1"/>
  <c r="AR511" i="1"/>
  <c r="Z513" i="1"/>
  <c r="AR513" i="1"/>
  <c r="AZ74" i="1"/>
  <c r="AH74" i="1"/>
  <c r="AR74" i="1"/>
  <c r="AI513" i="1"/>
  <c r="AG514" i="1"/>
  <c r="AY514" i="1"/>
  <c r="AR478" i="1"/>
  <c r="AZ478" i="1"/>
  <c r="AL514" i="1"/>
  <c r="AT514" i="1"/>
  <c r="AP514" i="1"/>
  <c r="T514" i="1"/>
  <c r="AQ514" i="1"/>
  <c r="V514" i="1"/>
  <c r="Z511" i="1"/>
  <c r="AB514" i="1"/>
  <c r="AH511" i="1"/>
  <c r="Y514" i="1"/>
  <c r="AL109" i="1"/>
  <c r="R957" i="1" l="1"/>
  <c r="R1016" i="1"/>
  <c r="R997" i="1"/>
  <c r="R994" i="1"/>
  <c r="Q511" i="1"/>
  <c r="R966" i="1"/>
  <c r="Q513" i="1"/>
  <c r="AZ514" i="1"/>
  <c r="BB513" i="1"/>
  <c r="R906" i="1"/>
  <c r="BB511" i="1"/>
  <c r="R987" i="1"/>
  <c r="AJ513" i="1"/>
  <c r="AH514" i="1"/>
  <c r="R1005" i="1"/>
  <c r="AI514" i="1"/>
  <c r="BA514" i="1"/>
  <c r="Z514" i="1"/>
  <c r="BB74" i="1"/>
  <c r="BB478" i="1"/>
  <c r="AJ511" i="1"/>
  <c r="AR514" i="1"/>
  <c r="Q514" i="1" l="1"/>
  <c r="BB514" i="1"/>
  <c r="R513" i="1"/>
  <c r="R511" i="1"/>
  <c r="AJ514" i="1"/>
  <c r="R514" i="1" l="1"/>
  <c r="AY287" i="1"/>
  <c r="AX287" i="1"/>
  <c r="AV287" i="1"/>
  <c r="AT287" i="1"/>
  <c r="AQ287" i="1"/>
  <c r="AP287" i="1"/>
  <c r="AN287" i="1"/>
  <c r="AL287" i="1"/>
  <c r="AG287" i="1"/>
  <c r="AF287" i="1"/>
  <c r="AD287" i="1"/>
  <c r="AB287" i="1"/>
  <c r="X287" i="1"/>
  <c r="V287" i="1"/>
  <c r="AG1131" i="1"/>
  <c r="AG1120" i="1"/>
  <c r="BA287" i="1" l="1"/>
  <c r="AR287" i="1"/>
  <c r="AZ287" i="1"/>
  <c r="AH287" i="1"/>
  <c r="BB287" i="1" l="1"/>
  <c r="AY778" i="1" l="1"/>
  <c r="AX778" i="1"/>
  <c r="AV778" i="1"/>
  <c r="AT778" i="1"/>
  <c r="AQ778" i="1"/>
  <c r="AP778" i="1"/>
  <c r="AN778" i="1"/>
  <c r="AL778" i="1"/>
  <c r="AG778" i="1"/>
  <c r="AF778" i="1"/>
  <c r="AD778" i="1"/>
  <c r="AB778" i="1"/>
  <c r="Y778" i="1"/>
  <c r="X778" i="1"/>
  <c r="V778" i="1"/>
  <c r="T778" i="1"/>
  <c r="AY780" i="1"/>
  <c r="AX780" i="1"/>
  <c r="AV780" i="1"/>
  <c r="AT780" i="1"/>
  <c r="AQ780" i="1"/>
  <c r="AP780" i="1"/>
  <c r="AN780" i="1"/>
  <c r="AL780" i="1"/>
  <c r="AG780" i="1"/>
  <c r="AF780" i="1"/>
  <c r="AD780" i="1"/>
  <c r="AB780" i="1"/>
  <c r="Y780" i="1"/>
  <c r="X780" i="1"/>
  <c r="V780" i="1"/>
  <c r="T780" i="1"/>
  <c r="AY563" i="1"/>
  <c r="AX563" i="1"/>
  <c r="AV563" i="1"/>
  <c r="AT563" i="1"/>
  <c r="AQ563" i="1"/>
  <c r="AP563" i="1"/>
  <c r="AN563" i="1"/>
  <c r="AL563" i="1"/>
  <c r="AG563" i="1"/>
  <c r="AF563" i="1"/>
  <c r="AD563" i="1"/>
  <c r="AB563" i="1"/>
  <c r="Y563" i="1"/>
  <c r="X563" i="1"/>
  <c r="V563" i="1"/>
  <c r="T563" i="1"/>
  <c r="BA778" i="1" l="1"/>
  <c r="BA780" i="1"/>
  <c r="BA563" i="1"/>
  <c r="Z778" i="1"/>
  <c r="AR778" i="1"/>
  <c r="AZ778" i="1"/>
  <c r="AR780" i="1"/>
  <c r="AZ780" i="1"/>
  <c r="AI780" i="1"/>
  <c r="AI778" i="1"/>
  <c r="AH778" i="1"/>
  <c r="AH780" i="1"/>
  <c r="Z780" i="1"/>
  <c r="AI563" i="1"/>
  <c r="Z563" i="1"/>
  <c r="AR563" i="1"/>
  <c r="AZ563" i="1"/>
  <c r="AH563" i="1"/>
  <c r="AY1101" i="1"/>
  <c r="AX1101" i="1"/>
  <c r="AV1101" i="1"/>
  <c r="AT1101" i="1"/>
  <c r="AQ1101" i="1"/>
  <c r="AP1101" i="1"/>
  <c r="AN1101" i="1"/>
  <c r="AL1101" i="1"/>
  <c r="AG1101" i="1"/>
  <c r="AF1101" i="1"/>
  <c r="AD1101" i="1"/>
  <c r="AB1101" i="1"/>
  <c r="Y1101" i="1"/>
  <c r="X1101" i="1"/>
  <c r="V1101" i="1"/>
  <c r="T1101" i="1"/>
  <c r="AY1104" i="1"/>
  <c r="AX1104" i="1"/>
  <c r="AV1104" i="1"/>
  <c r="AT1104" i="1"/>
  <c r="AQ1104" i="1"/>
  <c r="AP1104" i="1"/>
  <c r="AN1104" i="1"/>
  <c r="AL1104" i="1"/>
  <c r="AG1104" i="1"/>
  <c r="AF1104" i="1"/>
  <c r="AD1104" i="1"/>
  <c r="AB1104" i="1"/>
  <c r="Y1104" i="1"/>
  <c r="X1104" i="1"/>
  <c r="V1104" i="1"/>
  <c r="T1104" i="1"/>
  <c r="AY1106" i="1"/>
  <c r="AX1106" i="1"/>
  <c r="AV1106" i="1"/>
  <c r="AT1106" i="1"/>
  <c r="AQ1106" i="1"/>
  <c r="AP1106" i="1"/>
  <c r="AN1106" i="1"/>
  <c r="AL1106" i="1"/>
  <c r="AG1106" i="1"/>
  <c r="AF1106" i="1"/>
  <c r="AD1106" i="1"/>
  <c r="AB1106" i="1"/>
  <c r="Y1106" i="1"/>
  <c r="X1106" i="1"/>
  <c r="V1106" i="1"/>
  <c r="T1106" i="1"/>
  <c r="AY1105" i="1"/>
  <c r="AX1105" i="1"/>
  <c r="AV1105" i="1"/>
  <c r="AT1105" i="1"/>
  <c r="AQ1105" i="1"/>
  <c r="AP1105" i="1"/>
  <c r="AN1105" i="1"/>
  <c r="AL1105" i="1"/>
  <c r="AG1105" i="1"/>
  <c r="AF1105" i="1"/>
  <c r="AD1105" i="1"/>
  <c r="AB1105" i="1"/>
  <c r="Y1105" i="1"/>
  <c r="X1105" i="1"/>
  <c r="V1105" i="1"/>
  <c r="T1105" i="1"/>
  <c r="AY1099" i="1"/>
  <c r="AX1099" i="1"/>
  <c r="AV1099" i="1"/>
  <c r="AT1099" i="1"/>
  <c r="AQ1099" i="1"/>
  <c r="AP1099" i="1"/>
  <c r="AN1099" i="1"/>
  <c r="AL1099" i="1"/>
  <c r="AG1099" i="1"/>
  <c r="AF1099" i="1"/>
  <c r="AD1099" i="1"/>
  <c r="AB1099" i="1"/>
  <c r="Y1099" i="1"/>
  <c r="X1099" i="1"/>
  <c r="V1099" i="1"/>
  <c r="T1099" i="1"/>
  <c r="AY1098" i="1"/>
  <c r="AX1098" i="1"/>
  <c r="AV1098" i="1"/>
  <c r="AT1098" i="1"/>
  <c r="AQ1098" i="1"/>
  <c r="AP1098" i="1"/>
  <c r="AN1098" i="1"/>
  <c r="AL1098" i="1"/>
  <c r="AG1098" i="1"/>
  <c r="AF1098" i="1"/>
  <c r="AD1098" i="1"/>
  <c r="AB1098" i="1"/>
  <c r="Y1098" i="1"/>
  <c r="X1098" i="1"/>
  <c r="V1098" i="1"/>
  <c r="T1098" i="1"/>
  <c r="AY1097" i="1"/>
  <c r="AX1097" i="1"/>
  <c r="AV1097" i="1"/>
  <c r="AT1097" i="1"/>
  <c r="AQ1097" i="1"/>
  <c r="AP1097" i="1"/>
  <c r="AN1097" i="1"/>
  <c r="AL1097" i="1"/>
  <c r="AG1097" i="1"/>
  <c r="AF1097" i="1"/>
  <c r="AD1097" i="1"/>
  <c r="AB1097" i="1"/>
  <c r="Y1097" i="1"/>
  <c r="X1097" i="1"/>
  <c r="V1097" i="1"/>
  <c r="T1097" i="1"/>
  <c r="AY1095" i="1"/>
  <c r="AX1095" i="1"/>
  <c r="AV1095" i="1"/>
  <c r="AT1095" i="1"/>
  <c r="AQ1095" i="1"/>
  <c r="AP1095" i="1"/>
  <c r="AN1095" i="1"/>
  <c r="AL1095" i="1"/>
  <c r="AF1095" i="1"/>
  <c r="AD1095" i="1"/>
  <c r="AB1095" i="1"/>
  <c r="Y1095" i="1"/>
  <c r="X1095" i="1"/>
  <c r="V1095" i="1"/>
  <c r="T1095" i="1"/>
  <c r="AY1094" i="1"/>
  <c r="AX1094" i="1"/>
  <c r="AV1094" i="1"/>
  <c r="AT1094" i="1"/>
  <c r="AQ1094" i="1"/>
  <c r="AP1094" i="1"/>
  <c r="AN1094" i="1"/>
  <c r="AL1094" i="1"/>
  <c r="AG1094" i="1"/>
  <c r="AF1094" i="1"/>
  <c r="AD1094" i="1"/>
  <c r="AB1094" i="1"/>
  <c r="Y1094" i="1"/>
  <c r="X1094" i="1"/>
  <c r="V1094" i="1"/>
  <c r="T1094" i="1"/>
  <c r="AY1093" i="1"/>
  <c r="AX1093" i="1"/>
  <c r="AV1093" i="1"/>
  <c r="AT1093" i="1"/>
  <c r="AQ1093" i="1"/>
  <c r="AP1093" i="1"/>
  <c r="AN1093" i="1"/>
  <c r="AL1093" i="1"/>
  <c r="AG1093" i="1"/>
  <c r="AF1093" i="1"/>
  <c r="AD1093" i="1"/>
  <c r="AB1093" i="1"/>
  <c r="Y1093" i="1"/>
  <c r="X1093" i="1"/>
  <c r="V1093" i="1"/>
  <c r="T1093" i="1"/>
  <c r="BA1105" i="1" l="1"/>
  <c r="AI1106" i="1"/>
  <c r="AI1104" i="1"/>
  <c r="BA1101" i="1"/>
  <c r="AI1094" i="1"/>
  <c r="BA1094" i="1"/>
  <c r="BA1106" i="1"/>
  <c r="AI1098" i="1"/>
  <c r="BA1098" i="1"/>
  <c r="BA1099" i="1"/>
  <c r="Q778" i="1"/>
  <c r="AI1095" i="1"/>
  <c r="Q780" i="1"/>
  <c r="AH1101" i="1"/>
  <c r="BA1104" i="1"/>
  <c r="Z1101" i="1"/>
  <c r="AR1101" i="1"/>
  <c r="AZ1101" i="1"/>
  <c r="BA1097" i="1"/>
  <c r="BA1093" i="1"/>
  <c r="BA1095" i="1"/>
  <c r="AI1105" i="1"/>
  <c r="Q563" i="1"/>
  <c r="BB780" i="1"/>
  <c r="BB778" i="1"/>
  <c r="AJ778" i="1"/>
  <c r="AH1106" i="1"/>
  <c r="AZ1095" i="1"/>
  <c r="AR1097" i="1"/>
  <c r="AZ1097" i="1"/>
  <c r="Z1104" i="1"/>
  <c r="AR1104" i="1"/>
  <c r="AZ1104" i="1"/>
  <c r="AZ1093" i="1"/>
  <c r="AH1099" i="1"/>
  <c r="AR1105" i="1"/>
  <c r="AZ1105" i="1"/>
  <c r="AZ1094" i="1"/>
  <c r="AI1097" i="1"/>
  <c r="AR1106" i="1"/>
  <c r="AZ1106" i="1"/>
  <c r="AI1101" i="1"/>
  <c r="Z1093" i="1"/>
  <c r="AH1098" i="1"/>
  <c r="AR1098" i="1"/>
  <c r="AZ1098" i="1"/>
  <c r="AH1105" i="1"/>
  <c r="AJ780" i="1"/>
  <c r="AJ563" i="1"/>
  <c r="BB563" i="1"/>
  <c r="AI1099" i="1"/>
  <c r="AI1093" i="1"/>
  <c r="AH1104" i="1"/>
  <c r="Z1106" i="1"/>
  <c r="Z1095" i="1"/>
  <c r="AH1095" i="1"/>
  <c r="AR1095" i="1"/>
  <c r="AR1099" i="1"/>
  <c r="Z1097" i="1"/>
  <c r="AH1097" i="1"/>
  <c r="AR1093" i="1"/>
  <c r="Z1094" i="1"/>
  <c r="AH1094" i="1"/>
  <c r="AZ1099" i="1"/>
  <c r="AH1093" i="1"/>
  <c r="AR1094" i="1"/>
  <c r="Z1105" i="1"/>
  <c r="Z1098" i="1"/>
  <c r="Z1099" i="1"/>
  <c r="AF412" i="1"/>
  <c r="AF411" i="1"/>
  <c r="AF408" i="1"/>
  <c r="AF406" i="1"/>
  <c r="AF405" i="1"/>
  <c r="AF404" i="1"/>
  <c r="AF402" i="1"/>
  <c r="AF401" i="1"/>
  <c r="AY81" i="1"/>
  <c r="AX81" i="1"/>
  <c r="AV81" i="1"/>
  <c r="AT81" i="1"/>
  <c r="AP81" i="1"/>
  <c r="AN81" i="1"/>
  <c r="AL81" i="1"/>
  <c r="AG81" i="1"/>
  <c r="AF81" i="1"/>
  <c r="AD81" i="1"/>
  <c r="AB81" i="1"/>
  <c r="X81" i="1"/>
  <c r="V81" i="1"/>
  <c r="AY335" i="1"/>
  <c r="AX335" i="1"/>
  <c r="AV335" i="1"/>
  <c r="AT335" i="1"/>
  <c r="AQ335" i="1"/>
  <c r="AP335" i="1"/>
  <c r="AN335" i="1"/>
  <c r="AL335" i="1"/>
  <c r="AG335" i="1"/>
  <c r="AF335" i="1"/>
  <c r="AD335" i="1"/>
  <c r="AB335" i="1"/>
  <c r="X335" i="1"/>
  <c r="V335" i="1"/>
  <c r="AF450" i="1"/>
  <c r="Q1094" i="1" l="1"/>
  <c r="Q1095" i="1"/>
  <c r="Q1101" i="1"/>
  <c r="Q1104" i="1"/>
  <c r="Q1105" i="1"/>
  <c r="Q1106" i="1"/>
  <c r="Q1099" i="1"/>
  <c r="Q1098" i="1"/>
  <c r="Q1093" i="1"/>
  <c r="AJ1099" i="1"/>
  <c r="Q1097" i="1"/>
  <c r="AJ1098" i="1"/>
  <c r="AJ1106" i="1"/>
  <c r="BA81" i="1"/>
  <c r="BA335" i="1"/>
  <c r="R780" i="1"/>
  <c r="AJ1104" i="1"/>
  <c r="AJ1093" i="1"/>
  <c r="BB1097" i="1"/>
  <c r="R778" i="1"/>
  <c r="AJ1101" i="1"/>
  <c r="BB1106" i="1"/>
  <c r="BB1105" i="1"/>
  <c r="BB1101" i="1"/>
  <c r="AH335" i="1"/>
  <c r="AR335" i="1"/>
  <c r="AZ335" i="1"/>
  <c r="BB1094" i="1"/>
  <c r="BB1093" i="1"/>
  <c r="BB1095" i="1"/>
  <c r="R563" i="1"/>
  <c r="BB1098" i="1"/>
  <c r="BB1104" i="1"/>
  <c r="AZ81" i="1"/>
  <c r="AJ1105" i="1"/>
  <c r="BB1099" i="1"/>
  <c r="AH81" i="1"/>
  <c r="AJ1095" i="1"/>
  <c r="AJ1094" i="1"/>
  <c r="AR81" i="1"/>
  <c r="AJ1097" i="1"/>
  <c r="R1099" i="1" l="1"/>
  <c r="R1106" i="1"/>
  <c r="R1098" i="1"/>
  <c r="R1093" i="1"/>
  <c r="R1097" i="1"/>
  <c r="R1104" i="1"/>
  <c r="BB81" i="1"/>
  <c r="R1095" i="1"/>
  <c r="R1101" i="1"/>
  <c r="R1105" i="1"/>
  <c r="BB335" i="1"/>
  <c r="R1094" i="1"/>
  <c r="AD473" i="1"/>
  <c r="AY408" i="1"/>
  <c r="AQ408" i="1"/>
  <c r="AD408" i="1"/>
  <c r="AB408" i="1"/>
  <c r="X408" i="1"/>
  <c r="V408" i="1"/>
  <c r="AY406" i="1"/>
  <c r="AQ406" i="1"/>
  <c r="AG406" i="1"/>
  <c r="AD406" i="1"/>
  <c r="AB406" i="1"/>
  <c r="X406" i="1"/>
  <c r="V406" i="1"/>
  <c r="AD412" i="1"/>
  <c r="AD411" i="1"/>
  <c r="AD405" i="1"/>
  <c r="AD404" i="1"/>
  <c r="AD402" i="1"/>
  <c r="AD401" i="1"/>
  <c r="AD400" i="1"/>
  <c r="AY153" i="1"/>
  <c r="AX153" i="1"/>
  <c r="AV153" i="1"/>
  <c r="AQ153" i="1"/>
  <c r="AP153" i="1"/>
  <c r="AN153" i="1"/>
  <c r="AL153" i="1"/>
  <c r="AG153" i="1"/>
  <c r="AF153" i="1"/>
  <c r="AD153" i="1"/>
  <c r="AB153" i="1"/>
  <c r="X153" i="1"/>
  <c r="V153" i="1"/>
  <c r="AG411" i="1"/>
  <c r="BA153" i="1" l="1"/>
  <c r="AR408" i="1"/>
  <c r="AZ408" i="1"/>
  <c r="AR406" i="1"/>
  <c r="AZ406" i="1"/>
  <c r="BA408" i="1"/>
  <c r="AR153" i="1"/>
  <c r="AZ153" i="1"/>
  <c r="BA406" i="1"/>
  <c r="AH408" i="1"/>
  <c r="AH406" i="1"/>
  <c r="AH153" i="1"/>
  <c r="AG1166" i="1"/>
  <c r="BB153" i="1" l="1"/>
  <c r="BB406" i="1"/>
  <c r="BB408" i="1"/>
  <c r="AG694" i="1" l="1"/>
  <c r="AG689" i="1"/>
  <c r="AG685" i="1"/>
  <c r="AB798" i="1"/>
  <c r="AB813" i="1" s="1"/>
  <c r="AY655" i="1"/>
  <c r="AX655" i="1"/>
  <c r="AV655" i="1"/>
  <c r="AT655" i="1"/>
  <c r="AQ655" i="1"/>
  <c r="AP655" i="1"/>
  <c r="AN655" i="1"/>
  <c r="AL655" i="1"/>
  <c r="AG655" i="1"/>
  <c r="AF655" i="1"/>
  <c r="AD655" i="1"/>
  <c r="AB655" i="1"/>
  <c r="Y655" i="1"/>
  <c r="X655" i="1"/>
  <c r="V655" i="1"/>
  <c r="T655" i="1"/>
  <c r="AY656" i="1"/>
  <c r="AX656" i="1"/>
  <c r="AV656" i="1"/>
  <c r="AT656" i="1"/>
  <c r="AQ656" i="1"/>
  <c r="AP656" i="1"/>
  <c r="AN656" i="1"/>
  <c r="AL656" i="1"/>
  <c r="AG656" i="1"/>
  <c r="AF656" i="1"/>
  <c r="AD656" i="1"/>
  <c r="AB656" i="1"/>
  <c r="Y656" i="1"/>
  <c r="X656" i="1"/>
  <c r="V656" i="1"/>
  <c r="T656" i="1"/>
  <c r="AA236" i="1"/>
  <c r="AA519" i="1"/>
  <c r="AU519" i="1"/>
  <c r="AW519" i="1"/>
  <c r="AS519" i="1"/>
  <c r="AQ518" i="1"/>
  <c r="AQ516" i="1"/>
  <c r="AM519" i="1"/>
  <c r="AO519" i="1"/>
  <c r="AK519" i="1"/>
  <c r="AC519" i="1"/>
  <c r="AE519" i="1"/>
  <c r="U519" i="1"/>
  <c r="W519" i="1"/>
  <c r="AY518" i="1"/>
  <c r="AX518" i="1"/>
  <c r="AV518" i="1"/>
  <c r="AT518" i="1"/>
  <c r="AP518" i="1"/>
  <c r="AN518" i="1"/>
  <c r="AL518" i="1"/>
  <c r="AG518" i="1"/>
  <c r="AF518" i="1"/>
  <c r="AD518" i="1"/>
  <c r="AB518" i="1"/>
  <c r="Y518" i="1"/>
  <c r="X518" i="1"/>
  <c r="V518" i="1"/>
  <c r="T518" i="1"/>
  <c r="AB336" i="1"/>
  <c r="AY441" i="1"/>
  <c r="AX441" i="1"/>
  <c r="AV441" i="1"/>
  <c r="AT441" i="1"/>
  <c r="AQ441" i="1"/>
  <c r="AP441" i="1"/>
  <c r="AN441" i="1"/>
  <c r="AL441" i="1"/>
  <c r="AG441" i="1"/>
  <c r="AF441" i="1"/>
  <c r="AD441" i="1"/>
  <c r="AB441" i="1"/>
  <c r="X441" i="1"/>
  <c r="V441" i="1"/>
  <c r="AY439" i="1"/>
  <c r="AX439" i="1"/>
  <c r="AV439" i="1"/>
  <c r="AT439" i="1"/>
  <c r="AQ439" i="1"/>
  <c r="AP439" i="1"/>
  <c r="AN439" i="1"/>
  <c r="AL439" i="1"/>
  <c r="AG439" i="1"/>
  <c r="AF439" i="1"/>
  <c r="AD439" i="1"/>
  <c r="AB439" i="1"/>
  <c r="X439" i="1"/>
  <c r="V439" i="1"/>
  <c r="AY438" i="1"/>
  <c r="AX438" i="1"/>
  <c r="AV438" i="1"/>
  <c r="AT438" i="1"/>
  <c r="AQ438" i="1"/>
  <c r="AP438" i="1"/>
  <c r="AN438" i="1"/>
  <c r="AL438" i="1"/>
  <c r="AG438" i="1"/>
  <c r="AF438" i="1"/>
  <c r="AD438" i="1"/>
  <c r="AB438" i="1"/>
  <c r="X438" i="1"/>
  <c r="V438" i="1"/>
  <c r="AI518" i="1" l="1"/>
  <c r="BA439" i="1"/>
  <c r="BA656" i="1"/>
  <c r="BA441" i="1"/>
  <c r="AI656" i="1"/>
  <c r="AQ519" i="1"/>
  <c r="BA518" i="1"/>
  <c r="Z518" i="1"/>
  <c r="AR518" i="1"/>
  <c r="AZ518" i="1"/>
  <c r="AI655" i="1"/>
  <c r="BA655" i="1"/>
  <c r="AH656" i="1"/>
  <c r="AR656" i="1"/>
  <c r="AZ656" i="1"/>
  <c r="Z655" i="1"/>
  <c r="AH655" i="1"/>
  <c r="AR655" i="1"/>
  <c r="AZ655" i="1"/>
  <c r="AH518" i="1"/>
  <c r="Z656" i="1"/>
  <c r="AH439" i="1"/>
  <c r="AH441" i="1"/>
  <c r="AR441" i="1"/>
  <c r="AZ441" i="1"/>
  <c r="AR439" i="1"/>
  <c r="AZ439" i="1"/>
  <c r="BA438" i="1"/>
  <c r="AH438" i="1"/>
  <c r="AR438" i="1"/>
  <c r="AZ438" i="1"/>
  <c r="Q518" i="1" l="1"/>
  <c r="Q656" i="1"/>
  <c r="AJ518" i="1"/>
  <c r="BB655" i="1"/>
  <c r="BB656" i="1"/>
  <c r="BB518" i="1"/>
  <c r="AJ655" i="1"/>
  <c r="AJ656" i="1"/>
  <c r="Q655" i="1"/>
  <c r="BB441" i="1"/>
  <c r="BB438" i="1"/>
  <c r="BB439" i="1"/>
  <c r="R518" i="1" l="1"/>
  <c r="R656" i="1"/>
  <c r="R655" i="1"/>
  <c r="AB209" i="1" l="1"/>
  <c r="AB208" i="1"/>
  <c r="AB207" i="1"/>
  <c r="AB206" i="1"/>
  <c r="AB205" i="1"/>
  <c r="AB204" i="1"/>
  <c r="AB203" i="1"/>
  <c r="AB202" i="1"/>
  <c r="AB201" i="1"/>
  <c r="AB200" i="1"/>
  <c r="AB199" i="1"/>
  <c r="AB198" i="1"/>
  <c r="AB196" i="1"/>
  <c r="AB194" i="1"/>
  <c r="AB193" i="1"/>
  <c r="AB192" i="1"/>
  <c r="AB191" i="1"/>
  <c r="AB187" i="1"/>
  <c r="AB186" i="1"/>
  <c r="AB185" i="1"/>
  <c r="AB174" i="1"/>
  <c r="AB173" i="1"/>
  <c r="AB172" i="1"/>
  <c r="AB171" i="1"/>
  <c r="AB170" i="1"/>
  <c r="AB169" i="1"/>
  <c r="AB167" i="1"/>
  <c r="AB164" i="1"/>
  <c r="AB154" i="1"/>
  <c r="AB152" i="1"/>
  <c r="AB150" i="1"/>
  <c r="AB149" i="1"/>
  <c r="AB148" i="1"/>
  <c r="AB147" i="1"/>
  <c r="AB146" i="1"/>
  <c r="AB145" i="1"/>
  <c r="AB143" i="1"/>
  <c r="AB142" i="1"/>
  <c r="AB141" i="1"/>
  <c r="AB140" i="1"/>
  <c r="AB137" i="1"/>
  <c r="AB136" i="1"/>
  <c r="AB135" i="1"/>
  <c r="AB134" i="1"/>
  <c r="AB133" i="1"/>
  <c r="AB132" i="1"/>
  <c r="AB130" i="1"/>
  <c r="AB129" i="1"/>
  <c r="AB128" i="1"/>
  <c r="AB127" i="1"/>
  <c r="AB126" i="1"/>
  <c r="AB125" i="1"/>
  <c r="AB124" i="1"/>
  <c r="AB122" i="1"/>
  <c r="AB121" i="1"/>
  <c r="AB120" i="1"/>
  <c r="AB119" i="1"/>
  <c r="AB118" i="1"/>
  <c r="AB117" i="1"/>
  <c r="AB116" i="1"/>
  <c r="AB115" i="1"/>
  <c r="AB114" i="1"/>
  <c r="AB113" i="1"/>
  <c r="AB112" i="1"/>
  <c r="AB109" i="1"/>
  <c r="AB108" i="1"/>
  <c r="AB107" i="1"/>
  <c r="AB106" i="1"/>
  <c r="AB90" i="1"/>
  <c r="AB87" i="1"/>
  <c r="AB86" i="1"/>
  <c r="AB85" i="1"/>
  <c r="AB79" i="1"/>
  <c r="AB78" i="1"/>
  <c r="AB77" i="1"/>
  <c r="AB70" i="1"/>
  <c r="AB69" i="1"/>
  <c r="AB68" i="1"/>
  <c r="AB39" i="1"/>
  <c r="AB38" i="1"/>
  <c r="AB37" i="1"/>
  <c r="AB35" i="1"/>
  <c r="AB34" i="1"/>
  <c r="AB33" i="1"/>
  <c r="AB32" i="1"/>
  <c r="AB31" i="1"/>
  <c r="AB30" i="1"/>
  <c r="AB27" i="1"/>
  <c r="AB23" i="1"/>
  <c r="AB22" i="1"/>
  <c r="AB21" i="1"/>
  <c r="AB20" i="1"/>
  <c r="AB19" i="1"/>
  <c r="AB16" i="1"/>
  <c r="AB15" i="1"/>
  <c r="AB14" i="1"/>
  <c r="AB12" i="1"/>
  <c r="AB10" i="1"/>
  <c r="AB9" i="1"/>
  <c r="AB8" i="1"/>
  <c r="AB7" i="1"/>
  <c r="AB1160" i="1"/>
  <c r="AB1159" i="1"/>
  <c r="AB1158" i="1"/>
  <c r="AB1157" i="1"/>
  <c r="AB1156" i="1"/>
  <c r="AB1155" i="1"/>
  <c r="AB1144" i="1"/>
  <c r="AB1141" i="1"/>
  <c r="AB1140" i="1"/>
  <c r="AB1139" i="1"/>
  <c r="AB1138" i="1"/>
  <c r="AB1137" i="1"/>
  <c r="AB1135" i="1"/>
  <c r="AB1134" i="1"/>
  <c r="AB1133" i="1"/>
  <c r="AB1132" i="1"/>
  <c r="AB1131" i="1"/>
  <c r="AB1130" i="1"/>
  <c r="AB1129" i="1"/>
  <c r="AB1128" i="1"/>
  <c r="AB1127" i="1"/>
  <c r="AB1125" i="1"/>
  <c r="AB1124" i="1"/>
  <c r="AB1123" i="1"/>
  <c r="AB1122" i="1"/>
  <c r="AB1121" i="1"/>
  <c r="AB1120" i="1"/>
  <c r="AB1119" i="1"/>
  <c r="AB1117" i="1"/>
  <c r="AB1021" i="1"/>
  <c r="AB1019" i="1"/>
  <c r="AB1018" i="1"/>
  <c r="AB1017" i="1"/>
  <c r="AB1015" i="1"/>
  <c r="AB1014" i="1"/>
  <c r="AB1013" i="1"/>
  <c r="AB1011" i="1"/>
  <c r="AB1010" i="1"/>
  <c r="AB1009" i="1"/>
  <c r="AB1008" i="1"/>
  <c r="AB1007" i="1"/>
  <c r="AB1006" i="1"/>
  <c r="AB1004" i="1"/>
  <c r="AB1003" i="1"/>
  <c r="AB1002" i="1"/>
  <c r="AB1001" i="1"/>
  <c r="AB1000" i="1"/>
  <c r="AB999" i="1"/>
  <c r="AB998" i="1"/>
  <c r="AB996" i="1"/>
  <c r="AB995" i="1"/>
  <c r="AB993" i="1"/>
  <c r="AB992" i="1"/>
  <c r="AB991" i="1"/>
  <c r="AY1013" i="1"/>
  <c r="AX1013" i="1"/>
  <c r="AV1013" i="1"/>
  <c r="AT1013" i="1"/>
  <c r="AQ1013" i="1"/>
  <c r="AP1013" i="1"/>
  <c r="AN1013" i="1"/>
  <c r="AL1013" i="1"/>
  <c r="AG1013" i="1"/>
  <c r="AF1013" i="1"/>
  <c r="AD1013" i="1"/>
  <c r="Y1013" i="1"/>
  <c r="X1013" i="1"/>
  <c r="V1013" i="1"/>
  <c r="T1013" i="1"/>
  <c r="AY992" i="1"/>
  <c r="AX992" i="1"/>
  <c r="AV992" i="1"/>
  <c r="AT992" i="1"/>
  <c r="AQ992" i="1"/>
  <c r="AP992" i="1"/>
  <c r="AN992" i="1"/>
  <c r="AL992" i="1"/>
  <c r="AG992" i="1"/>
  <c r="AF992" i="1"/>
  <c r="AD992" i="1"/>
  <c r="Y992" i="1"/>
  <c r="X992" i="1"/>
  <c r="V992" i="1"/>
  <c r="T992" i="1"/>
  <c r="AY907" i="1"/>
  <c r="AX907" i="1"/>
  <c r="AV907" i="1"/>
  <c r="AT907" i="1"/>
  <c r="AQ907" i="1"/>
  <c r="AP907" i="1"/>
  <c r="AN907" i="1"/>
  <c r="AL907" i="1"/>
  <c r="AG907" i="1"/>
  <c r="AF907" i="1"/>
  <c r="AD907" i="1"/>
  <c r="AB907" i="1"/>
  <c r="Y907" i="1"/>
  <c r="X907" i="1"/>
  <c r="V907" i="1"/>
  <c r="T907" i="1"/>
  <c r="AF798" i="1"/>
  <c r="AF813" i="1" s="1"/>
  <c r="AY798" i="1"/>
  <c r="AX798" i="1"/>
  <c r="AX813" i="1" s="1"/>
  <c r="AV798" i="1"/>
  <c r="AV813" i="1" s="1"/>
  <c r="AT798" i="1"/>
  <c r="AT813" i="1" s="1"/>
  <c r="AQ798" i="1"/>
  <c r="AP798" i="1"/>
  <c r="AP813" i="1" s="1"/>
  <c r="AN798" i="1"/>
  <c r="AN813" i="1" s="1"/>
  <c r="AL798" i="1"/>
  <c r="AL813" i="1" s="1"/>
  <c r="AG798" i="1"/>
  <c r="AD798" i="1"/>
  <c r="AD813" i="1" s="1"/>
  <c r="Y798" i="1"/>
  <c r="X798" i="1"/>
  <c r="X813" i="1" s="1"/>
  <c r="V798" i="1"/>
  <c r="V813" i="1" s="1"/>
  <c r="T798" i="1"/>
  <c r="T813" i="1" s="1"/>
  <c r="AY748" i="1"/>
  <c r="AX748" i="1"/>
  <c r="AV748" i="1"/>
  <c r="AT748" i="1"/>
  <c r="AQ748" i="1"/>
  <c r="AP748" i="1"/>
  <c r="AN748" i="1"/>
  <c r="AL748" i="1"/>
  <c r="AG748" i="1"/>
  <c r="AF748" i="1"/>
  <c r="AD748" i="1"/>
  <c r="AB748" i="1"/>
  <c r="X748" i="1"/>
  <c r="V748" i="1"/>
  <c r="AY722" i="1"/>
  <c r="AX722" i="1"/>
  <c r="AV722" i="1"/>
  <c r="AT722" i="1"/>
  <c r="AQ722" i="1"/>
  <c r="AP722" i="1"/>
  <c r="AN722" i="1"/>
  <c r="AL722" i="1"/>
  <c r="AG722" i="1"/>
  <c r="AF722" i="1"/>
  <c r="AD722" i="1"/>
  <c r="AB722" i="1"/>
  <c r="X722" i="1"/>
  <c r="V722" i="1"/>
  <c r="AY688" i="1"/>
  <c r="AX688" i="1"/>
  <c r="AV688" i="1"/>
  <c r="AT688" i="1"/>
  <c r="AQ688" i="1"/>
  <c r="AP688" i="1"/>
  <c r="AN688" i="1"/>
  <c r="AL688" i="1"/>
  <c r="AG688" i="1"/>
  <c r="AF688" i="1"/>
  <c r="AD688" i="1"/>
  <c r="AB688" i="1"/>
  <c r="X688" i="1"/>
  <c r="V688" i="1"/>
  <c r="AY689" i="1"/>
  <c r="AX689" i="1"/>
  <c r="AV689" i="1"/>
  <c r="AT689" i="1"/>
  <c r="AQ689" i="1"/>
  <c r="AP689" i="1"/>
  <c r="AN689" i="1"/>
  <c r="AL689" i="1"/>
  <c r="AF689" i="1"/>
  <c r="AD689" i="1"/>
  <c r="AB689" i="1"/>
  <c r="X689" i="1"/>
  <c r="V689" i="1"/>
  <c r="AY683" i="1"/>
  <c r="AX683" i="1"/>
  <c r="AV683" i="1"/>
  <c r="AT683" i="1"/>
  <c r="AQ683" i="1"/>
  <c r="AP683" i="1"/>
  <c r="AN683" i="1"/>
  <c r="AL683" i="1"/>
  <c r="AG683" i="1"/>
  <c r="AF683" i="1"/>
  <c r="AD683" i="1"/>
  <c r="AB683" i="1"/>
  <c r="X683" i="1"/>
  <c r="V683" i="1"/>
  <c r="AY620" i="1"/>
  <c r="AX620" i="1"/>
  <c r="AV620" i="1"/>
  <c r="AT620" i="1"/>
  <c r="AQ620" i="1"/>
  <c r="AP620" i="1"/>
  <c r="AN620" i="1"/>
  <c r="AL620" i="1"/>
  <c r="AG620" i="1"/>
  <c r="AF620" i="1"/>
  <c r="AD620" i="1"/>
  <c r="AB620" i="1"/>
  <c r="X620" i="1"/>
  <c r="V620" i="1"/>
  <c r="AY597" i="1"/>
  <c r="AX597" i="1"/>
  <c r="AV597" i="1"/>
  <c r="AT597" i="1"/>
  <c r="AQ597" i="1"/>
  <c r="AP597" i="1"/>
  <c r="AN597" i="1"/>
  <c r="AL597" i="1"/>
  <c r="AG597" i="1"/>
  <c r="AF597" i="1"/>
  <c r="AD597" i="1"/>
  <c r="AB597" i="1"/>
  <c r="Y597" i="1"/>
  <c r="X597" i="1"/>
  <c r="V597" i="1"/>
  <c r="T597" i="1"/>
  <c r="AY592" i="1"/>
  <c r="AX592" i="1"/>
  <c r="AV592" i="1"/>
  <c r="AT592" i="1"/>
  <c r="AQ592" i="1"/>
  <c r="AP592" i="1"/>
  <c r="AN592" i="1"/>
  <c r="AL592" i="1"/>
  <c r="AG592" i="1"/>
  <c r="AF592" i="1"/>
  <c r="AD592" i="1"/>
  <c r="AB592" i="1"/>
  <c r="Y592" i="1"/>
  <c r="X592" i="1"/>
  <c r="V592" i="1"/>
  <c r="T592" i="1"/>
  <c r="AB412" i="1"/>
  <c r="AB411" i="1"/>
  <c r="AB405" i="1"/>
  <c r="AB404" i="1"/>
  <c r="AB402" i="1"/>
  <c r="AB401" i="1"/>
  <c r="AB400" i="1"/>
  <c r="AB286" i="1"/>
  <c r="AG164" i="1"/>
  <c r="AY70" i="1"/>
  <c r="AX70" i="1"/>
  <c r="AV70" i="1"/>
  <c r="AT70" i="1"/>
  <c r="AQ70" i="1"/>
  <c r="AP70" i="1"/>
  <c r="AN70" i="1"/>
  <c r="AL70" i="1"/>
  <c r="AG70" i="1"/>
  <c r="AF70" i="1"/>
  <c r="AD70" i="1"/>
  <c r="X70" i="1"/>
  <c r="V70" i="1"/>
  <c r="AV85" i="1"/>
  <c r="AT85" i="1"/>
  <c r="AQ85" i="1"/>
  <c r="AP85" i="1"/>
  <c r="AN85" i="1"/>
  <c r="AL85" i="1"/>
  <c r="AG85" i="1"/>
  <c r="AF85" i="1"/>
  <c r="AD85" i="1"/>
  <c r="X85" i="1"/>
  <c r="V85" i="1"/>
  <c r="BA992" i="1" l="1"/>
  <c r="AI907" i="1"/>
  <c r="AY813" i="1"/>
  <c r="BA722" i="1"/>
  <c r="BA1013" i="1"/>
  <c r="Y813" i="1"/>
  <c r="AG813" i="1"/>
  <c r="AQ813" i="1"/>
  <c r="BA689" i="1"/>
  <c r="BA688" i="1"/>
  <c r="BA748" i="1"/>
  <c r="BA597" i="1"/>
  <c r="AI592" i="1"/>
  <c r="BA620" i="1"/>
  <c r="BA683" i="1"/>
  <c r="BA907" i="1"/>
  <c r="AZ85" i="1"/>
  <c r="BA70" i="1"/>
  <c r="BA592" i="1"/>
  <c r="AR992" i="1"/>
  <c r="AZ992" i="1"/>
  <c r="AI1013" i="1"/>
  <c r="AH1013" i="1"/>
  <c r="AZ1013" i="1"/>
  <c r="AI597" i="1"/>
  <c r="Z1013" i="1"/>
  <c r="Z907" i="1"/>
  <c r="AR907" i="1"/>
  <c r="AZ907" i="1"/>
  <c r="Z992" i="1"/>
  <c r="BA85" i="1"/>
  <c r="AI992" i="1"/>
  <c r="AH907" i="1"/>
  <c r="AH992" i="1"/>
  <c r="Z597" i="1"/>
  <c r="AR1013" i="1"/>
  <c r="Z592" i="1"/>
  <c r="BA798" i="1"/>
  <c r="AH748" i="1"/>
  <c r="AZ748" i="1"/>
  <c r="AR748" i="1"/>
  <c r="Z798" i="1"/>
  <c r="Z813" i="1" s="1"/>
  <c r="AI798" i="1"/>
  <c r="AR798" i="1"/>
  <c r="AR813" i="1" s="1"/>
  <c r="AH798" i="1"/>
  <c r="AH813" i="1" s="1"/>
  <c r="AZ798" i="1"/>
  <c r="AZ813" i="1" s="1"/>
  <c r="AH592" i="1"/>
  <c r="AR597" i="1"/>
  <c r="AZ597" i="1"/>
  <c r="AH620" i="1"/>
  <c r="AR620" i="1"/>
  <c r="AZ620" i="1"/>
  <c r="AH683" i="1"/>
  <c r="AR683" i="1"/>
  <c r="AZ683" i="1"/>
  <c r="AR689" i="1"/>
  <c r="AH688" i="1"/>
  <c r="AR688" i="1"/>
  <c r="AZ688" i="1"/>
  <c r="AH722" i="1"/>
  <c r="AR722" i="1"/>
  <c r="AZ722" i="1"/>
  <c r="AH689" i="1"/>
  <c r="AZ689" i="1"/>
  <c r="AH597" i="1"/>
  <c r="AR592" i="1"/>
  <c r="AZ592" i="1"/>
  <c r="AR85" i="1"/>
  <c r="AR70" i="1"/>
  <c r="AZ70" i="1"/>
  <c r="AH70" i="1"/>
  <c r="AH85" i="1"/>
  <c r="Q992" i="1" l="1"/>
  <c r="Q1013" i="1"/>
  <c r="Q907" i="1"/>
  <c r="AI813" i="1"/>
  <c r="BA813" i="1"/>
  <c r="AJ907" i="1"/>
  <c r="Q597" i="1"/>
  <c r="Q592" i="1"/>
  <c r="BB992" i="1"/>
  <c r="BB1013" i="1"/>
  <c r="AJ992" i="1"/>
  <c r="BB907" i="1"/>
  <c r="AJ1013" i="1"/>
  <c r="BB748" i="1"/>
  <c r="AJ597" i="1"/>
  <c r="BB689" i="1"/>
  <c r="BB597" i="1"/>
  <c r="Q798" i="1"/>
  <c r="Q813" i="1" s="1"/>
  <c r="BB798" i="1"/>
  <c r="BB813" i="1" s="1"/>
  <c r="AJ798" i="1"/>
  <c r="AJ813" i="1" s="1"/>
  <c r="AJ592" i="1"/>
  <c r="BB722" i="1"/>
  <c r="BB688" i="1"/>
  <c r="BB683" i="1"/>
  <c r="BB620" i="1"/>
  <c r="BB70" i="1"/>
  <c r="BB592" i="1"/>
  <c r="BB85" i="1"/>
  <c r="R907" i="1" l="1"/>
  <c r="R992" i="1"/>
  <c r="R1013" i="1"/>
  <c r="R597" i="1"/>
  <c r="R592" i="1"/>
  <c r="R798" i="1"/>
  <c r="R813" i="1" l="1"/>
  <c r="AY27" i="1"/>
  <c r="AX27" i="1"/>
  <c r="AV27" i="1"/>
  <c r="AT27" i="1"/>
  <c r="AQ27" i="1"/>
  <c r="AP27" i="1"/>
  <c r="AN27" i="1"/>
  <c r="AL27" i="1"/>
  <c r="AG27" i="1"/>
  <c r="AF27" i="1"/>
  <c r="AD27" i="1"/>
  <c r="X27" i="1"/>
  <c r="V27" i="1"/>
  <c r="W1161" i="1"/>
  <c r="AY562" i="1"/>
  <c r="AX562" i="1"/>
  <c r="AV562" i="1"/>
  <c r="AT562" i="1"/>
  <c r="AQ562" i="1"/>
  <c r="AP562" i="1"/>
  <c r="AN562" i="1"/>
  <c r="AL562" i="1"/>
  <c r="AG562" i="1"/>
  <c r="AF562" i="1"/>
  <c r="AD562" i="1"/>
  <c r="AB562" i="1"/>
  <c r="Y562" i="1"/>
  <c r="X562" i="1"/>
  <c r="V562" i="1"/>
  <c r="T562" i="1"/>
  <c r="AY684" i="1"/>
  <c r="AX684" i="1"/>
  <c r="AV684" i="1"/>
  <c r="AT684" i="1"/>
  <c r="AQ684" i="1"/>
  <c r="AP684" i="1"/>
  <c r="AN684" i="1"/>
  <c r="AL684" i="1"/>
  <c r="AG684" i="1"/>
  <c r="AF684" i="1"/>
  <c r="AD684" i="1"/>
  <c r="AB684" i="1"/>
  <c r="X684" i="1"/>
  <c r="V684" i="1"/>
  <c r="AY1015" i="1"/>
  <c r="AX1015" i="1"/>
  <c r="AV1015" i="1"/>
  <c r="AT1015" i="1"/>
  <c r="AQ1015" i="1"/>
  <c r="AP1015" i="1"/>
  <c r="AN1015" i="1"/>
  <c r="AL1015" i="1"/>
  <c r="AG1015" i="1"/>
  <c r="AF1015" i="1"/>
  <c r="AD1015" i="1"/>
  <c r="Y1015" i="1"/>
  <c r="X1015" i="1"/>
  <c r="V1015" i="1"/>
  <c r="T1015" i="1"/>
  <c r="AY1008" i="1"/>
  <c r="AX1008" i="1"/>
  <c r="AV1008" i="1"/>
  <c r="AT1008" i="1"/>
  <c r="AQ1008" i="1"/>
  <c r="AP1008" i="1"/>
  <c r="AN1008" i="1"/>
  <c r="AL1008" i="1"/>
  <c r="AG1008" i="1"/>
  <c r="AF1008" i="1"/>
  <c r="AD1008" i="1"/>
  <c r="Y1008" i="1"/>
  <c r="X1008" i="1"/>
  <c r="V1008" i="1"/>
  <c r="T1008" i="1"/>
  <c r="AY973" i="1"/>
  <c r="AX973" i="1"/>
  <c r="AV973" i="1"/>
  <c r="AT973" i="1"/>
  <c r="AQ973" i="1"/>
  <c r="AP973" i="1"/>
  <c r="AN973" i="1"/>
  <c r="AL973" i="1"/>
  <c r="AG973" i="1"/>
  <c r="AF973" i="1"/>
  <c r="AD973" i="1"/>
  <c r="AB973" i="1"/>
  <c r="Y973" i="1"/>
  <c r="X973" i="1"/>
  <c r="V973" i="1"/>
  <c r="T973" i="1"/>
  <c r="AY405" i="1"/>
  <c r="AQ405" i="1"/>
  <c r="AG405" i="1"/>
  <c r="X405" i="1"/>
  <c r="V405" i="1"/>
  <c r="BA27" i="1" l="1"/>
  <c r="BA973" i="1"/>
  <c r="AH27" i="1"/>
  <c r="AZ27" i="1"/>
  <c r="BA1008" i="1"/>
  <c r="BA684" i="1"/>
  <c r="AR27" i="1"/>
  <c r="BA405" i="1"/>
  <c r="AI1008" i="1"/>
  <c r="Z562" i="1"/>
  <c r="AH684" i="1"/>
  <c r="AR684" i="1"/>
  <c r="AZ684" i="1"/>
  <c r="AI973" i="1"/>
  <c r="Z973" i="1"/>
  <c r="AH973" i="1"/>
  <c r="AH562" i="1"/>
  <c r="AR562" i="1"/>
  <c r="AZ562" i="1"/>
  <c r="AR973" i="1"/>
  <c r="AZ973" i="1"/>
  <c r="Z1008" i="1"/>
  <c r="AH1008" i="1"/>
  <c r="AR1008" i="1"/>
  <c r="AZ1008" i="1"/>
  <c r="Z1015" i="1"/>
  <c r="BA562" i="1"/>
  <c r="AI562" i="1"/>
  <c r="AR405" i="1"/>
  <c r="AH1015" i="1"/>
  <c r="AR1015" i="1"/>
  <c r="AZ1015" i="1"/>
  <c r="AI1015" i="1"/>
  <c r="BA1015" i="1"/>
  <c r="AH405" i="1"/>
  <c r="AZ405" i="1"/>
  <c r="AJ1015" i="1" l="1"/>
  <c r="Q973" i="1"/>
  <c r="Q1008" i="1"/>
  <c r="BB684" i="1"/>
  <c r="BB562" i="1"/>
  <c r="AJ562" i="1"/>
  <c r="BB27" i="1"/>
  <c r="AJ973" i="1"/>
  <c r="Q562" i="1"/>
  <c r="BB1008" i="1"/>
  <c r="AJ1008" i="1"/>
  <c r="BB973" i="1"/>
  <c r="BB405" i="1"/>
  <c r="Q1015" i="1"/>
  <c r="BB1015" i="1"/>
  <c r="R1015" i="1" l="1"/>
  <c r="R973" i="1"/>
  <c r="R562" i="1"/>
  <c r="R1008" i="1"/>
  <c r="V516" i="1"/>
  <c r="V519" i="1" s="1"/>
  <c r="AY516" i="1"/>
  <c r="AX516" i="1"/>
  <c r="AX519" i="1" s="1"/>
  <c r="AV516" i="1"/>
  <c r="AV519" i="1" s="1"/>
  <c r="AT516" i="1"/>
  <c r="AT519" i="1" s="1"/>
  <c r="AP516" i="1"/>
  <c r="AP519" i="1" s="1"/>
  <c r="AN516" i="1"/>
  <c r="AN519" i="1" s="1"/>
  <c r="AL516" i="1"/>
  <c r="AL519" i="1" s="1"/>
  <c r="AG516" i="1"/>
  <c r="AF516" i="1"/>
  <c r="AF519" i="1" s="1"/>
  <c r="AD516" i="1"/>
  <c r="AD519" i="1" s="1"/>
  <c r="AB516" i="1"/>
  <c r="AB519" i="1" s="1"/>
  <c r="X516" i="1"/>
  <c r="X519" i="1" s="1"/>
  <c r="AY484" i="1"/>
  <c r="AX484" i="1"/>
  <c r="AV484" i="1"/>
  <c r="AT484" i="1"/>
  <c r="AQ484" i="1"/>
  <c r="AP484" i="1"/>
  <c r="AN484" i="1"/>
  <c r="AL484" i="1"/>
  <c r="AG484" i="1"/>
  <c r="AF484" i="1"/>
  <c r="AD484" i="1"/>
  <c r="AB484" i="1"/>
  <c r="X484" i="1"/>
  <c r="V484" i="1"/>
  <c r="AY336" i="1"/>
  <c r="AX336" i="1"/>
  <c r="AV336" i="1"/>
  <c r="AT336" i="1"/>
  <c r="AQ336" i="1"/>
  <c r="AP336" i="1"/>
  <c r="AN336" i="1"/>
  <c r="AL336" i="1"/>
  <c r="AG336" i="1"/>
  <c r="AF336" i="1"/>
  <c r="AD336" i="1"/>
  <c r="X336" i="1"/>
  <c r="V336" i="1"/>
  <c r="AY164" i="1"/>
  <c r="AX164" i="1"/>
  <c r="AV164" i="1"/>
  <c r="AT164" i="1"/>
  <c r="AQ164" i="1"/>
  <c r="AP164" i="1"/>
  <c r="AN164" i="1"/>
  <c r="AL164" i="1"/>
  <c r="AF164" i="1"/>
  <c r="AD164" i="1"/>
  <c r="X164" i="1"/>
  <c r="V164" i="1"/>
  <c r="AY519" i="1" l="1"/>
  <c r="AG519" i="1"/>
  <c r="BA336" i="1"/>
  <c r="BA484" i="1"/>
  <c r="BA164" i="1"/>
  <c r="AH484" i="1"/>
  <c r="AR484" i="1"/>
  <c r="AZ484" i="1"/>
  <c r="AR516" i="1"/>
  <c r="AR519" i="1" s="1"/>
  <c r="AH336" i="1"/>
  <c r="AR336" i="1"/>
  <c r="AZ336" i="1"/>
  <c r="BA516" i="1"/>
  <c r="AH516" i="1"/>
  <c r="AH519" i="1" s="1"/>
  <c r="AZ516" i="1"/>
  <c r="AZ519" i="1" s="1"/>
  <c r="AH164" i="1"/>
  <c r="AR164" i="1"/>
  <c r="AZ164" i="1"/>
  <c r="W24" i="1"/>
  <c r="U24" i="1"/>
  <c r="BA519" i="1" l="1"/>
  <c r="BB336" i="1"/>
  <c r="BB484" i="1"/>
  <c r="BB164" i="1"/>
  <c r="BB516" i="1"/>
  <c r="BB519" i="1" s="1"/>
  <c r="U767" i="1"/>
  <c r="AY765" i="1"/>
  <c r="AX765" i="1"/>
  <c r="AV765" i="1"/>
  <c r="AT765" i="1"/>
  <c r="AQ765" i="1"/>
  <c r="AP765" i="1"/>
  <c r="AN765" i="1"/>
  <c r="AL765" i="1"/>
  <c r="AG765" i="1"/>
  <c r="AF765" i="1"/>
  <c r="AD765" i="1"/>
  <c r="AB765" i="1"/>
  <c r="X765" i="1"/>
  <c r="V765" i="1"/>
  <c r="BA765" i="1" l="1"/>
  <c r="AR765" i="1"/>
  <c r="AZ765" i="1"/>
  <c r="AH765" i="1"/>
  <c r="AY1007" i="1"/>
  <c r="AX1007" i="1"/>
  <c r="AV1007" i="1"/>
  <c r="AT1007" i="1"/>
  <c r="AQ1007" i="1"/>
  <c r="AP1007" i="1"/>
  <c r="AN1007" i="1"/>
  <c r="AL1007" i="1"/>
  <c r="AG1007" i="1"/>
  <c r="AF1007" i="1"/>
  <c r="AD1007" i="1"/>
  <c r="Y1007" i="1"/>
  <c r="X1007" i="1"/>
  <c r="V1007" i="1"/>
  <c r="T1007" i="1"/>
  <c r="AX982" i="1"/>
  <c r="AV982" i="1"/>
  <c r="AT982" i="1"/>
  <c r="AQ982" i="1"/>
  <c r="AP982" i="1"/>
  <c r="AN982" i="1"/>
  <c r="AL982" i="1"/>
  <c r="AG982" i="1"/>
  <c r="AF982" i="1"/>
  <c r="AD982" i="1"/>
  <c r="AB982" i="1"/>
  <c r="Y982" i="1"/>
  <c r="X982" i="1"/>
  <c r="V982" i="1"/>
  <c r="T982" i="1"/>
  <c r="AY965" i="1"/>
  <c r="AX965" i="1"/>
  <c r="AV965" i="1"/>
  <c r="AT965" i="1"/>
  <c r="AQ965" i="1"/>
  <c r="AP965" i="1"/>
  <c r="AN965" i="1"/>
  <c r="AL965" i="1"/>
  <c r="AG965" i="1"/>
  <c r="AF965" i="1"/>
  <c r="AD965" i="1"/>
  <c r="AB965" i="1"/>
  <c r="Y965" i="1"/>
  <c r="X965" i="1"/>
  <c r="V965" i="1"/>
  <c r="T965" i="1"/>
  <c r="AY959" i="1"/>
  <c r="AX959" i="1"/>
  <c r="AV959" i="1"/>
  <c r="AT959" i="1"/>
  <c r="AQ959" i="1"/>
  <c r="AP959" i="1"/>
  <c r="AN959" i="1"/>
  <c r="AL959" i="1"/>
  <c r="AG959" i="1"/>
  <c r="AF959" i="1"/>
  <c r="AD959" i="1"/>
  <c r="AB959" i="1"/>
  <c r="Y959" i="1"/>
  <c r="X959" i="1"/>
  <c r="V959" i="1"/>
  <c r="T959" i="1"/>
  <c r="BA959" i="1" l="1"/>
  <c r="BA965" i="1"/>
  <c r="BA982" i="1"/>
  <c r="AI965" i="1"/>
  <c r="BB765" i="1"/>
  <c r="AI959" i="1"/>
  <c r="AI982" i="1"/>
  <c r="AH982" i="1"/>
  <c r="AR982" i="1"/>
  <c r="AZ982" i="1"/>
  <c r="AH1007" i="1"/>
  <c r="AR1007" i="1"/>
  <c r="AI1007" i="1"/>
  <c r="BA1007" i="1"/>
  <c r="AH959" i="1"/>
  <c r="AZ1007" i="1"/>
  <c r="AR959" i="1"/>
  <c r="AZ959" i="1"/>
  <c r="Z959" i="1"/>
  <c r="Z1007" i="1"/>
  <c r="Z982" i="1"/>
  <c r="Z965" i="1"/>
  <c r="AH965" i="1"/>
  <c r="AR965" i="1"/>
  <c r="AZ965" i="1"/>
  <c r="Q959" i="1" l="1"/>
  <c r="Q965" i="1"/>
  <c r="AJ959" i="1"/>
  <c r="Q982" i="1"/>
  <c r="BB1007" i="1"/>
  <c r="AJ1007" i="1"/>
  <c r="AJ982" i="1"/>
  <c r="BB982" i="1"/>
  <c r="Q1007" i="1"/>
  <c r="BB959" i="1"/>
  <c r="BB965" i="1"/>
  <c r="AJ965" i="1"/>
  <c r="R959" i="1" l="1"/>
  <c r="R1007" i="1"/>
  <c r="R982" i="1"/>
  <c r="R965" i="1"/>
  <c r="AY956" i="1"/>
  <c r="AX956" i="1"/>
  <c r="AV956" i="1"/>
  <c r="AT956" i="1"/>
  <c r="AQ956" i="1"/>
  <c r="AP956" i="1"/>
  <c r="AN956" i="1"/>
  <c r="AL956" i="1"/>
  <c r="AG956" i="1"/>
  <c r="AF956" i="1"/>
  <c r="AD956" i="1"/>
  <c r="AB956" i="1"/>
  <c r="Y956" i="1"/>
  <c r="X956" i="1"/>
  <c r="V956" i="1"/>
  <c r="T956" i="1"/>
  <c r="AY1159" i="1"/>
  <c r="AX1159" i="1"/>
  <c r="AV1159" i="1"/>
  <c r="AT1159" i="1"/>
  <c r="AQ1159" i="1"/>
  <c r="AP1159" i="1"/>
  <c r="AN1159" i="1"/>
  <c r="AL1159" i="1"/>
  <c r="AG1159" i="1"/>
  <c r="AF1159" i="1"/>
  <c r="AD1159" i="1"/>
  <c r="Y1159" i="1"/>
  <c r="X1159" i="1"/>
  <c r="V1159" i="1"/>
  <c r="T1159" i="1"/>
  <c r="V468" i="1"/>
  <c r="V435" i="1"/>
  <c r="BA956" i="1" l="1"/>
  <c r="BA1159" i="1"/>
  <c r="AI1159" i="1"/>
  <c r="AI956" i="1"/>
  <c r="Z1159" i="1"/>
  <c r="AH1159" i="1"/>
  <c r="AR1159" i="1"/>
  <c r="AZ1159" i="1"/>
  <c r="AR956" i="1"/>
  <c r="AZ956" i="1"/>
  <c r="Z956" i="1"/>
  <c r="AH956" i="1"/>
  <c r="U451" i="1"/>
  <c r="W451" i="1"/>
  <c r="AA451" i="1"/>
  <c r="AC451" i="1"/>
  <c r="AK451" i="1"/>
  <c r="AM451" i="1"/>
  <c r="AS451" i="1"/>
  <c r="AU451" i="1"/>
  <c r="AW451" i="1"/>
  <c r="AY402" i="1"/>
  <c r="AQ402" i="1"/>
  <c r="AG402" i="1"/>
  <c r="X402" i="1"/>
  <c r="V402" i="1"/>
  <c r="AY404" i="1"/>
  <c r="AQ404" i="1"/>
  <c r="AG404" i="1"/>
  <c r="X404" i="1"/>
  <c r="V404" i="1"/>
  <c r="AY411" i="1"/>
  <c r="X411" i="1"/>
  <c r="V411" i="1"/>
  <c r="AY401" i="1"/>
  <c r="AQ401" i="1"/>
  <c r="AG401" i="1"/>
  <c r="X401" i="1"/>
  <c r="V401" i="1"/>
  <c r="AY400" i="1"/>
  <c r="AQ400" i="1"/>
  <c r="AG400" i="1"/>
  <c r="X400" i="1"/>
  <c r="V400" i="1"/>
  <c r="AY373" i="1"/>
  <c r="AX373" i="1"/>
  <c r="AV373" i="1"/>
  <c r="AT373" i="1"/>
  <c r="AQ373" i="1"/>
  <c r="AP373" i="1"/>
  <c r="AN373" i="1"/>
  <c r="AL373" i="1"/>
  <c r="AG373" i="1"/>
  <c r="AF373" i="1"/>
  <c r="AD373" i="1"/>
  <c r="AB373" i="1"/>
  <c r="X373" i="1"/>
  <c r="V373" i="1"/>
  <c r="AC459" i="1" l="1"/>
  <c r="Q956" i="1"/>
  <c r="Q1159" i="1"/>
  <c r="BA404" i="1"/>
  <c r="BA400" i="1"/>
  <c r="BA373" i="1"/>
  <c r="BA401" i="1"/>
  <c r="BA411" i="1"/>
  <c r="BB956" i="1"/>
  <c r="AJ1159" i="1"/>
  <c r="BB1159" i="1"/>
  <c r="AH373" i="1"/>
  <c r="AR373" i="1"/>
  <c r="AZ373" i="1"/>
  <c r="AH404" i="1"/>
  <c r="AZ404" i="1"/>
  <c r="AR400" i="1"/>
  <c r="AR401" i="1"/>
  <c r="AR411" i="1"/>
  <c r="AR404" i="1"/>
  <c r="AR402" i="1"/>
  <c r="AJ956" i="1"/>
  <c r="AH402" i="1"/>
  <c r="AH411" i="1"/>
  <c r="AZ402" i="1"/>
  <c r="BA402" i="1"/>
  <c r="AZ411" i="1"/>
  <c r="AH400" i="1"/>
  <c r="AH401" i="1"/>
  <c r="AZ401" i="1"/>
  <c r="BB404" i="1" l="1"/>
  <c r="BB411" i="1"/>
  <c r="BB400" i="1"/>
  <c r="BB402" i="1"/>
  <c r="R1159" i="1"/>
  <c r="R956" i="1"/>
  <c r="BB401" i="1"/>
  <c r="BB373" i="1"/>
  <c r="Z1166" i="1"/>
  <c r="AJ1166" i="1" s="1"/>
  <c r="AY744" i="1" l="1"/>
  <c r="AX744" i="1"/>
  <c r="AV744" i="1"/>
  <c r="AT744" i="1"/>
  <c r="AQ744" i="1"/>
  <c r="AP744" i="1"/>
  <c r="AN744" i="1"/>
  <c r="AL744" i="1"/>
  <c r="AG744" i="1"/>
  <c r="AF744" i="1"/>
  <c r="AD744" i="1"/>
  <c r="AB744" i="1"/>
  <c r="X744" i="1"/>
  <c r="V744" i="1"/>
  <c r="BA744" i="1" l="1"/>
  <c r="AZ744" i="1"/>
  <c r="AH744" i="1"/>
  <c r="AR744" i="1"/>
  <c r="AY725" i="1"/>
  <c r="AX725" i="1"/>
  <c r="AV725" i="1"/>
  <c r="AT725" i="1"/>
  <c r="AQ725" i="1"/>
  <c r="AP725" i="1"/>
  <c r="AN725" i="1"/>
  <c r="AL725" i="1"/>
  <c r="AG725" i="1"/>
  <c r="AF725" i="1"/>
  <c r="AD725" i="1"/>
  <c r="AB725" i="1"/>
  <c r="X725" i="1"/>
  <c r="V725" i="1"/>
  <c r="AY724" i="1"/>
  <c r="AX724" i="1"/>
  <c r="AV724" i="1"/>
  <c r="AT724" i="1"/>
  <c r="AQ724" i="1"/>
  <c r="AP724" i="1"/>
  <c r="AN724" i="1"/>
  <c r="AL724" i="1"/>
  <c r="AG724" i="1"/>
  <c r="AF724" i="1"/>
  <c r="AD724" i="1"/>
  <c r="AB724" i="1"/>
  <c r="X724" i="1"/>
  <c r="V724" i="1"/>
  <c r="AY721" i="1"/>
  <c r="AX721" i="1"/>
  <c r="AV721" i="1"/>
  <c r="AT721" i="1"/>
  <c r="AQ721" i="1"/>
  <c r="AP721" i="1"/>
  <c r="AN721" i="1"/>
  <c r="AL721" i="1"/>
  <c r="AG721" i="1"/>
  <c r="AF721" i="1"/>
  <c r="AD721" i="1"/>
  <c r="AB721" i="1"/>
  <c r="X721" i="1"/>
  <c r="V721" i="1"/>
  <c r="AY720" i="1"/>
  <c r="AX720" i="1"/>
  <c r="AV720" i="1"/>
  <c r="AT720" i="1"/>
  <c r="AQ720" i="1"/>
  <c r="AP720" i="1"/>
  <c r="AN720" i="1"/>
  <c r="AL720" i="1"/>
  <c r="AG720" i="1"/>
  <c r="AF720" i="1"/>
  <c r="AD720" i="1"/>
  <c r="AB720" i="1"/>
  <c r="X720" i="1"/>
  <c r="V720" i="1"/>
  <c r="BA725" i="1" l="1"/>
  <c r="BA721" i="1"/>
  <c r="BA720" i="1"/>
  <c r="BB744" i="1"/>
  <c r="BA724" i="1"/>
  <c r="AR724" i="1"/>
  <c r="AR725" i="1"/>
  <c r="AH720" i="1"/>
  <c r="AR720" i="1"/>
  <c r="AZ720" i="1"/>
  <c r="AH721" i="1"/>
  <c r="AR721" i="1"/>
  <c r="AZ721" i="1"/>
  <c r="AH724" i="1"/>
  <c r="AZ724" i="1"/>
  <c r="AH725" i="1"/>
  <c r="AZ725" i="1"/>
  <c r="BB725" i="1" l="1"/>
  <c r="BB721" i="1"/>
  <c r="BB724" i="1"/>
  <c r="BB720" i="1"/>
  <c r="AY986" i="1"/>
  <c r="AX986" i="1"/>
  <c r="AV986" i="1"/>
  <c r="AT986" i="1"/>
  <c r="AQ986" i="1"/>
  <c r="AP986" i="1"/>
  <c r="AN986" i="1"/>
  <c r="AL986" i="1"/>
  <c r="AG986" i="1"/>
  <c r="AF986" i="1"/>
  <c r="AD986" i="1"/>
  <c r="AB986" i="1"/>
  <c r="Y986" i="1"/>
  <c r="X986" i="1"/>
  <c r="V986" i="1"/>
  <c r="T986" i="1"/>
  <c r="BA986" i="1" l="1"/>
  <c r="AI986" i="1"/>
  <c r="Z986" i="1"/>
  <c r="AH986" i="1"/>
  <c r="AR986" i="1"/>
  <c r="AZ986" i="1"/>
  <c r="R1166" i="1"/>
  <c r="Q986" i="1" l="1"/>
  <c r="BB986" i="1"/>
  <c r="AJ986" i="1"/>
  <c r="Y1166" i="1"/>
  <c r="Q1166" i="1"/>
  <c r="AI1166" i="1" l="1"/>
  <c r="R986" i="1"/>
  <c r="X412" i="1"/>
  <c r="V412" i="1"/>
  <c r="AX434" i="1"/>
  <c r="AV434" i="1"/>
  <c r="AT434" i="1"/>
  <c r="AQ434" i="1"/>
  <c r="AP434" i="1"/>
  <c r="AN434" i="1"/>
  <c r="AL434" i="1"/>
  <c r="AG434" i="1"/>
  <c r="AF434" i="1"/>
  <c r="AD434" i="1"/>
  <c r="AB434" i="1"/>
  <c r="X434" i="1"/>
  <c r="V434" i="1"/>
  <c r="X109" i="1"/>
  <c r="X108" i="1"/>
  <c r="X107" i="1"/>
  <c r="AR434" i="1" l="1"/>
  <c r="AH434" i="1"/>
  <c r="AZ434" i="1"/>
  <c r="BA434" i="1"/>
  <c r="BB434" i="1" l="1"/>
  <c r="AQ1019" i="1" l="1"/>
  <c r="AB984" i="1"/>
  <c r="AB983" i="1"/>
  <c r="AB981" i="1"/>
  <c r="AG820" i="1"/>
  <c r="AG815" i="1"/>
  <c r="S864" i="1"/>
  <c r="Y1019" i="1"/>
  <c r="S1126" i="1"/>
  <c r="AY682" i="1" l="1"/>
  <c r="AX682" i="1"/>
  <c r="AV682" i="1"/>
  <c r="AT682" i="1"/>
  <c r="AQ682" i="1"/>
  <c r="AP682" i="1"/>
  <c r="AN682" i="1"/>
  <c r="AL682" i="1"/>
  <c r="AG682" i="1"/>
  <c r="AF682" i="1"/>
  <c r="AD682" i="1"/>
  <c r="AB682" i="1"/>
  <c r="X682" i="1"/>
  <c r="V682" i="1"/>
  <c r="AY998" i="1"/>
  <c r="AX998" i="1"/>
  <c r="AV998" i="1"/>
  <c r="AT998" i="1"/>
  <c r="AQ998" i="1"/>
  <c r="AP998" i="1"/>
  <c r="AN998" i="1"/>
  <c r="AL998" i="1"/>
  <c r="AG998" i="1"/>
  <c r="AF998" i="1"/>
  <c r="AD998" i="1"/>
  <c r="Y998" i="1"/>
  <c r="X998" i="1"/>
  <c r="V998" i="1"/>
  <c r="T998" i="1"/>
  <c r="AY983" i="1"/>
  <c r="AX983" i="1"/>
  <c r="AV983" i="1"/>
  <c r="AT983" i="1"/>
  <c r="AQ983" i="1"/>
  <c r="AP983" i="1"/>
  <c r="AN983" i="1"/>
  <c r="AL983" i="1"/>
  <c r="AG983" i="1"/>
  <c r="AF983" i="1"/>
  <c r="AD983" i="1"/>
  <c r="Y983" i="1"/>
  <c r="X983" i="1"/>
  <c r="V983" i="1"/>
  <c r="T983" i="1"/>
  <c r="AY962" i="1"/>
  <c r="AX962" i="1"/>
  <c r="AV962" i="1"/>
  <c r="AT962" i="1"/>
  <c r="AQ962" i="1"/>
  <c r="AP962" i="1"/>
  <c r="AN962" i="1"/>
  <c r="AL962" i="1"/>
  <c r="AG962" i="1"/>
  <c r="AF962" i="1"/>
  <c r="AD962" i="1"/>
  <c r="AB962" i="1"/>
  <c r="Y962" i="1"/>
  <c r="X962" i="1"/>
  <c r="V962" i="1"/>
  <c r="T962" i="1"/>
  <c r="AY963" i="1"/>
  <c r="AX963" i="1"/>
  <c r="AV963" i="1"/>
  <c r="AT963" i="1"/>
  <c r="AQ963" i="1"/>
  <c r="AP963" i="1"/>
  <c r="AN963" i="1"/>
  <c r="AL963" i="1"/>
  <c r="AG963" i="1"/>
  <c r="AF963" i="1"/>
  <c r="AD963" i="1"/>
  <c r="AB963" i="1"/>
  <c r="Y963" i="1"/>
  <c r="X963" i="1"/>
  <c r="V963" i="1"/>
  <c r="T963" i="1"/>
  <c r="AY851" i="1"/>
  <c r="AX851" i="1"/>
  <c r="AV851" i="1"/>
  <c r="AT851" i="1"/>
  <c r="AQ851" i="1"/>
  <c r="AP851" i="1"/>
  <c r="AN851" i="1"/>
  <c r="AL851" i="1"/>
  <c r="AG851" i="1"/>
  <c r="AF851" i="1"/>
  <c r="AD851" i="1"/>
  <c r="AB851" i="1"/>
  <c r="Y851" i="1"/>
  <c r="X851" i="1"/>
  <c r="V851" i="1"/>
  <c r="T851" i="1"/>
  <c r="AY849" i="1"/>
  <c r="AX849" i="1"/>
  <c r="AV849" i="1"/>
  <c r="AT849" i="1"/>
  <c r="AQ849" i="1"/>
  <c r="AP849" i="1"/>
  <c r="AN849" i="1"/>
  <c r="AL849" i="1"/>
  <c r="AG849" i="1"/>
  <c r="AF849" i="1"/>
  <c r="AD849" i="1"/>
  <c r="AB849" i="1"/>
  <c r="Y849" i="1"/>
  <c r="X849" i="1"/>
  <c r="V849" i="1"/>
  <c r="T849" i="1"/>
  <c r="AY374" i="1"/>
  <c r="AX374" i="1"/>
  <c r="AV374" i="1"/>
  <c r="AT374" i="1"/>
  <c r="AQ374" i="1"/>
  <c r="AP374" i="1"/>
  <c r="AN374" i="1"/>
  <c r="AL374" i="1"/>
  <c r="AG374" i="1"/>
  <c r="AF374" i="1"/>
  <c r="AD374" i="1"/>
  <c r="AB374" i="1"/>
  <c r="X374" i="1"/>
  <c r="V374" i="1"/>
  <c r="AI851" i="1" l="1"/>
  <c r="AI963" i="1"/>
  <c r="BA963" i="1"/>
  <c r="BA682" i="1"/>
  <c r="AI849" i="1"/>
  <c r="BA849" i="1"/>
  <c r="AI962" i="1"/>
  <c r="AI983" i="1"/>
  <c r="BA374" i="1"/>
  <c r="BA851" i="1"/>
  <c r="BA962" i="1"/>
  <c r="AR374" i="1"/>
  <c r="AI998" i="1"/>
  <c r="AH682" i="1"/>
  <c r="AR682" i="1"/>
  <c r="AZ682" i="1"/>
  <c r="AH374" i="1"/>
  <c r="AZ374" i="1"/>
  <c r="BA998" i="1"/>
  <c r="AZ998" i="1"/>
  <c r="AR998" i="1"/>
  <c r="AH998" i="1"/>
  <c r="Z998" i="1"/>
  <c r="BA983" i="1"/>
  <c r="AZ962" i="1"/>
  <c r="Z962" i="1"/>
  <c r="AH962" i="1"/>
  <c r="AR962" i="1"/>
  <c r="Z983" i="1"/>
  <c r="AH983" i="1"/>
  <c r="AR983" i="1"/>
  <c r="AZ983" i="1"/>
  <c r="AZ851" i="1"/>
  <c r="Z963" i="1"/>
  <c r="AH963" i="1"/>
  <c r="AR963" i="1"/>
  <c r="AZ963" i="1"/>
  <c r="AR851" i="1"/>
  <c r="AH851" i="1"/>
  <c r="Z851" i="1"/>
  <c r="Z849" i="1"/>
  <c r="AH849" i="1"/>
  <c r="AR849" i="1"/>
  <c r="AZ849" i="1"/>
  <c r="AY39" i="1"/>
  <c r="AV39" i="1"/>
  <c r="AT39" i="1"/>
  <c r="AQ39" i="1"/>
  <c r="AP39" i="1"/>
  <c r="AN39" i="1"/>
  <c r="AL39" i="1"/>
  <c r="AG39" i="1"/>
  <c r="AF39" i="1"/>
  <c r="AD39" i="1"/>
  <c r="X39" i="1"/>
  <c r="V39" i="1"/>
  <c r="Q963" i="1" l="1"/>
  <c r="Q851" i="1"/>
  <c r="Q849" i="1"/>
  <c r="BA39" i="1"/>
  <c r="Q962" i="1"/>
  <c r="Q983" i="1"/>
  <c r="BB374" i="1"/>
  <c r="Q998" i="1"/>
  <c r="AJ851" i="1"/>
  <c r="AJ962" i="1"/>
  <c r="BB851" i="1"/>
  <c r="BB682" i="1"/>
  <c r="BB998" i="1"/>
  <c r="AJ998" i="1"/>
  <c r="BB963" i="1"/>
  <c r="BB962" i="1"/>
  <c r="BB983" i="1"/>
  <c r="AJ983" i="1"/>
  <c r="AJ963" i="1"/>
  <c r="AJ849" i="1"/>
  <c r="BB849" i="1"/>
  <c r="AR39" i="1"/>
  <c r="AZ39" i="1"/>
  <c r="AH39" i="1"/>
  <c r="R962" i="1" l="1"/>
  <c r="R851" i="1"/>
  <c r="R998" i="1"/>
  <c r="R963" i="1"/>
  <c r="R983" i="1"/>
  <c r="R849" i="1"/>
  <c r="BB39" i="1"/>
  <c r="AU644" i="1" l="1"/>
  <c r="AV613" i="1"/>
  <c r="AV612" i="1"/>
  <c r="AV611" i="1"/>
  <c r="AY612" i="1"/>
  <c r="AX612" i="1"/>
  <c r="AT612" i="1"/>
  <c r="AQ612" i="1"/>
  <c r="AP612" i="1"/>
  <c r="AN612" i="1"/>
  <c r="AL612" i="1"/>
  <c r="AG612" i="1"/>
  <c r="AF612" i="1"/>
  <c r="AD612" i="1"/>
  <c r="AB612" i="1"/>
  <c r="X612" i="1"/>
  <c r="V612" i="1"/>
  <c r="AY613" i="1"/>
  <c r="AX613" i="1"/>
  <c r="AT613" i="1"/>
  <c r="AQ613" i="1"/>
  <c r="AP613" i="1"/>
  <c r="AN613" i="1"/>
  <c r="AL613" i="1"/>
  <c r="AG613" i="1"/>
  <c r="AF613" i="1"/>
  <c r="AD613" i="1"/>
  <c r="AB613" i="1"/>
  <c r="X613" i="1"/>
  <c r="V613" i="1"/>
  <c r="AV675" i="1"/>
  <c r="AN554" i="1"/>
  <c r="AY1018" i="1"/>
  <c r="AX1018" i="1"/>
  <c r="AV1018" i="1"/>
  <c r="AT1018" i="1"/>
  <c r="AQ1018" i="1"/>
  <c r="AP1018" i="1"/>
  <c r="AN1018" i="1"/>
  <c r="AL1018" i="1"/>
  <c r="AG1018" i="1"/>
  <c r="AF1018" i="1"/>
  <c r="AD1018" i="1"/>
  <c r="Y1018" i="1"/>
  <c r="X1018" i="1"/>
  <c r="V1018" i="1"/>
  <c r="T1018" i="1"/>
  <c r="AY1019" i="1"/>
  <c r="AX1019" i="1"/>
  <c r="AV1019" i="1"/>
  <c r="AT1019" i="1"/>
  <c r="AP1019" i="1"/>
  <c r="AN1019" i="1"/>
  <c r="AL1019" i="1"/>
  <c r="AG1019" i="1"/>
  <c r="AF1019" i="1"/>
  <c r="AD1019" i="1"/>
  <c r="X1019" i="1"/>
  <c r="V1019" i="1"/>
  <c r="T1019" i="1"/>
  <c r="AU1126" i="1"/>
  <c r="AY1014" i="1"/>
  <c r="AX1014" i="1"/>
  <c r="AV1014" i="1"/>
  <c r="AT1014" i="1"/>
  <c r="AQ1014" i="1"/>
  <c r="AP1014" i="1"/>
  <c r="AN1014" i="1"/>
  <c r="AL1014" i="1"/>
  <c r="AG1014" i="1"/>
  <c r="AF1014" i="1"/>
  <c r="AD1014" i="1"/>
  <c r="Y1014" i="1"/>
  <c r="X1014" i="1"/>
  <c r="V1014" i="1"/>
  <c r="T1014" i="1"/>
  <c r="AY1011" i="1"/>
  <c r="AX1011" i="1"/>
  <c r="AV1011" i="1"/>
  <c r="AT1011" i="1"/>
  <c r="AQ1011" i="1"/>
  <c r="AP1011" i="1"/>
  <c r="AN1011" i="1"/>
  <c r="AL1011" i="1"/>
  <c r="AG1011" i="1"/>
  <c r="AF1011" i="1"/>
  <c r="AD1011" i="1"/>
  <c r="Y1011" i="1"/>
  <c r="X1011" i="1"/>
  <c r="V1011" i="1"/>
  <c r="T1011" i="1"/>
  <c r="BA1018" i="1" l="1"/>
  <c r="AI1019" i="1"/>
  <c r="BA1019" i="1"/>
  <c r="BA1014" i="1"/>
  <c r="AI1014" i="1"/>
  <c r="AI1011" i="1"/>
  <c r="Z1014" i="1"/>
  <c r="AR1014" i="1"/>
  <c r="AH1014" i="1"/>
  <c r="BA1011" i="1"/>
  <c r="BA613" i="1"/>
  <c r="AZ1014" i="1"/>
  <c r="BA612" i="1"/>
  <c r="AR613" i="1"/>
  <c r="AH613" i="1"/>
  <c r="AZ612" i="1"/>
  <c r="AR612" i="1"/>
  <c r="AH612" i="1"/>
  <c r="AZ613" i="1"/>
  <c r="AI1018" i="1"/>
  <c r="AH1019" i="1"/>
  <c r="AR1019" i="1"/>
  <c r="AZ1019" i="1"/>
  <c r="Z1019" i="1"/>
  <c r="AZ1018" i="1"/>
  <c r="AR1018" i="1"/>
  <c r="AH1018" i="1"/>
  <c r="Z1018" i="1"/>
  <c r="Z1011" i="1"/>
  <c r="AH1011" i="1"/>
  <c r="AR1011" i="1"/>
  <c r="AZ1011" i="1"/>
  <c r="AY995" i="1"/>
  <c r="AX995" i="1"/>
  <c r="AV995" i="1"/>
  <c r="AT995" i="1"/>
  <c r="AQ995" i="1"/>
  <c r="AP995" i="1"/>
  <c r="AN995" i="1"/>
  <c r="AL995" i="1"/>
  <c r="AG995" i="1"/>
  <c r="AF995" i="1"/>
  <c r="AD995" i="1"/>
  <c r="Y995" i="1"/>
  <c r="X995" i="1"/>
  <c r="V995" i="1"/>
  <c r="T995" i="1"/>
  <c r="AY991" i="1"/>
  <c r="AX991" i="1"/>
  <c r="AV991" i="1"/>
  <c r="AT991" i="1"/>
  <c r="AQ991" i="1"/>
  <c r="AP991" i="1"/>
  <c r="AN991" i="1"/>
  <c r="AL991" i="1"/>
  <c r="AG991" i="1"/>
  <c r="AF991" i="1"/>
  <c r="AD991" i="1"/>
  <c r="Y991" i="1"/>
  <c r="X991" i="1"/>
  <c r="V991" i="1"/>
  <c r="T991" i="1"/>
  <c r="AY989" i="1"/>
  <c r="AX989" i="1"/>
  <c r="AV989" i="1"/>
  <c r="AT989" i="1"/>
  <c r="AQ989" i="1"/>
  <c r="AP989" i="1"/>
  <c r="AN989" i="1"/>
  <c r="AL989" i="1"/>
  <c r="AG989" i="1"/>
  <c r="AF989" i="1"/>
  <c r="AD989" i="1"/>
  <c r="AB989" i="1"/>
  <c r="Y989" i="1"/>
  <c r="X989" i="1"/>
  <c r="V989" i="1"/>
  <c r="T989" i="1"/>
  <c r="AV974" i="1"/>
  <c r="AY974" i="1"/>
  <c r="AX974" i="1"/>
  <c r="AT974" i="1"/>
  <c r="AQ974" i="1"/>
  <c r="AP974" i="1"/>
  <c r="AN974" i="1"/>
  <c r="AL974" i="1"/>
  <c r="AG974" i="1"/>
  <c r="AF974" i="1"/>
  <c r="AD974" i="1"/>
  <c r="AB974" i="1"/>
  <c r="Y974" i="1"/>
  <c r="X974" i="1"/>
  <c r="V974" i="1"/>
  <c r="T974" i="1"/>
  <c r="AY961" i="1"/>
  <c r="AX961" i="1"/>
  <c r="AV961" i="1"/>
  <c r="AT961" i="1"/>
  <c r="AQ961" i="1"/>
  <c r="AP961" i="1"/>
  <c r="AN961" i="1"/>
  <c r="AL961" i="1"/>
  <c r="AG961" i="1"/>
  <c r="AF961" i="1"/>
  <c r="AD961" i="1"/>
  <c r="AB961" i="1"/>
  <c r="Y961" i="1"/>
  <c r="X961" i="1"/>
  <c r="V961" i="1"/>
  <c r="T961" i="1"/>
  <c r="Q1018" i="1" l="1"/>
  <c r="AI974" i="1"/>
  <c r="Q1019" i="1"/>
  <c r="AI989" i="1"/>
  <c r="Q1014" i="1"/>
  <c r="BA989" i="1"/>
  <c r="AI991" i="1"/>
  <c r="Q1011" i="1"/>
  <c r="BB1014" i="1"/>
  <c r="AJ1014" i="1"/>
  <c r="BA961" i="1"/>
  <c r="BA991" i="1"/>
  <c r="AI961" i="1"/>
  <c r="BA974" i="1"/>
  <c r="AJ1019" i="1"/>
  <c r="BB1019" i="1"/>
  <c r="BB613" i="1"/>
  <c r="BB612" i="1"/>
  <c r="BB1011" i="1"/>
  <c r="AJ1011" i="1"/>
  <c r="AI995" i="1"/>
  <c r="Z961" i="1"/>
  <c r="BA995" i="1"/>
  <c r="BB1018" i="1"/>
  <c r="AJ1018" i="1"/>
  <c r="AZ995" i="1"/>
  <c r="AR995" i="1"/>
  <c r="AH995" i="1"/>
  <c r="Z995" i="1"/>
  <c r="AZ991" i="1"/>
  <c r="AR991" i="1"/>
  <c r="AH991" i="1"/>
  <c r="Z991" i="1"/>
  <c r="Z989" i="1"/>
  <c r="AH989" i="1"/>
  <c r="AR989" i="1"/>
  <c r="AZ989" i="1"/>
  <c r="AZ974" i="1"/>
  <c r="AR974" i="1"/>
  <c r="AH974" i="1"/>
  <c r="Z974" i="1"/>
  <c r="AZ961" i="1"/>
  <c r="AR961" i="1"/>
  <c r="AH961" i="1"/>
  <c r="Q974" i="1" l="1"/>
  <c r="Q989" i="1"/>
  <c r="Q991" i="1"/>
  <c r="R1014" i="1"/>
  <c r="AJ961" i="1"/>
  <c r="Q961" i="1"/>
  <c r="R1019" i="1"/>
  <c r="R1011" i="1"/>
  <c r="Q995" i="1"/>
  <c r="R1018" i="1"/>
  <c r="BB995" i="1"/>
  <c r="AJ995" i="1"/>
  <c r="BB974" i="1"/>
  <c r="BB989" i="1"/>
  <c r="AJ989" i="1"/>
  <c r="BB991" i="1"/>
  <c r="AJ991" i="1"/>
  <c r="AJ974" i="1"/>
  <c r="BB961" i="1"/>
  <c r="R961" i="1" l="1"/>
  <c r="R989" i="1"/>
  <c r="R974" i="1"/>
  <c r="R995" i="1"/>
  <c r="R991" i="1"/>
  <c r="W854" i="1" l="1"/>
  <c r="U854" i="1"/>
  <c r="S854" i="1"/>
  <c r="AY852" i="1"/>
  <c r="AX852" i="1"/>
  <c r="AV852" i="1"/>
  <c r="AT852" i="1"/>
  <c r="AQ852" i="1"/>
  <c r="AP852" i="1"/>
  <c r="AN852" i="1"/>
  <c r="AL852" i="1"/>
  <c r="AG852" i="1"/>
  <c r="AF852" i="1"/>
  <c r="AD852" i="1"/>
  <c r="AB852" i="1"/>
  <c r="Y852" i="1"/>
  <c r="X852" i="1"/>
  <c r="V852" i="1"/>
  <c r="T852" i="1"/>
  <c r="AV468" i="1"/>
  <c r="AI852" i="1" l="1"/>
  <c r="BA852" i="1"/>
  <c r="AH852" i="1"/>
  <c r="Z852" i="1"/>
  <c r="AR852" i="1"/>
  <c r="AZ852" i="1"/>
  <c r="AV8" i="1"/>
  <c r="Q852" i="1" l="1"/>
  <c r="BB852" i="1"/>
  <c r="AJ852" i="1"/>
  <c r="AY736" i="1"/>
  <c r="AX736" i="1"/>
  <c r="AV736" i="1"/>
  <c r="AT736" i="1"/>
  <c r="AQ736" i="1"/>
  <c r="AP736" i="1"/>
  <c r="AN736" i="1"/>
  <c r="AL736" i="1"/>
  <c r="AG736" i="1"/>
  <c r="AF736" i="1"/>
  <c r="AD736" i="1"/>
  <c r="AB736" i="1"/>
  <c r="X736" i="1"/>
  <c r="V736" i="1"/>
  <c r="AY737" i="1"/>
  <c r="AX737" i="1"/>
  <c r="AV737" i="1"/>
  <c r="AT737" i="1"/>
  <c r="AQ737" i="1"/>
  <c r="AP737" i="1"/>
  <c r="AN737" i="1"/>
  <c r="AL737" i="1"/>
  <c r="AG737" i="1"/>
  <c r="AF737" i="1"/>
  <c r="AD737" i="1"/>
  <c r="AB737" i="1"/>
  <c r="X737" i="1"/>
  <c r="V737" i="1"/>
  <c r="AY738" i="1"/>
  <c r="AX738" i="1"/>
  <c r="AV738" i="1"/>
  <c r="AT738" i="1"/>
  <c r="AQ738" i="1"/>
  <c r="AP738" i="1"/>
  <c r="AN738" i="1"/>
  <c r="AL738" i="1"/>
  <c r="AG738" i="1"/>
  <c r="AF738" i="1"/>
  <c r="AD738" i="1"/>
  <c r="AB738" i="1"/>
  <c r="X738" i="1"/>
  <c r="V738" i="1"/>
  <c r="AY708" i="1"/>
  <c r="AX708" i="1"/>
  <c r="AV708" i="1"/>
  <c r="AT708" i="1"/>
  <c r="AQ708" i="1"/>
  <c r="AP708" i="1"/>
  <c r="AN708" i="1"/>
  <c r="AL708" i="1"/>
  <c r="AG708" i="1"/>
  <c r="AF708" i="1"/>
  <c r="AD708" i="1"/>
  <c r="AB708" i="1"/>
  <c r="X708" i="1"/>
  <c r="V708" i="1"/>
  <c r="AS854" i="1"/>
  <c r="AA854" i="1"/>
  <c r="AC854" i="1"/>
  <c r="AE854" i="1"/>
  <c r="AK854" i="1"/>
  <c r="AM854" i="1"/>
  <c r="AO854" i="1"/>
  <c r="AU854" i="1"/>
  <c r="AW854" i="1"/>
  <c r="AY848" i="1"/>
  <c r="AX848" i="1"/>
  <c r="AV848" i="1"/>
  <c r="AT848" i="1"/>
  <c r="AQ848" i="1"/>
  <c r="AP848" i="1"/>
  <c r="AN848" i="1"/>
  <c r="AL848" i="1"/>
  <c r="AG848" i="1"/>
  <c r="AF848" i="1"/>
  <c r="AD848" i="1"/>
  <c r="AB848" i="1"/>
  <c r="Y848" i="1"/>
  <c r="X848" i="1"/>
  <c r="V848" i="1"/>
  <c r="T848" i="1"/>
  <c r="AY850" i="1"/>
  <c r="AX850" i="1"/>
  <c r="AV850" i="1"/>
  <c r="AT850" i="1"/>
  <c r="AQ850" i="1"/>
  <c r="AP850" i="1"/>
  <c r="AN850" i="1"/>
  <c r="AL850" i="1"/>
  <c r="AG850" i="1"/>
  <c r="AF850" i="1"/>
  <c r="AD850" i="1"/>
  <c r="AB850" i="1"/>
  <c r="Y850" i="1"/>
  <c r="X850" i="1"/>
  <c r="V850" i="1"/>
  <c r="T850" i="1"/>
  <c r="AY853" i="1"/>
  <c r="AX853" i="1"/>
  <c r="AV853" i="1"/>
  <c r="AT853" i="1"/>
  <c r="AQ853" i="1"/>
  <c r="AP853" i="1"/>
  <c r="AN853" i="1"/>
  <c r="AL853" i="1"/>
  <c r="AG853" i="1"/>
  <c r="AF853" i="1"/>
  <c r="AD853" i="1"/>
  <c r="AB853" i="1"/>
  <c r="Y853" i="1"/>
  <c r="X853" i="1"/>
  <c r="V853" i="1"/>
  <c r="T853" i="1"/>
  <c r="AI850" i="1" l="1"/>
  <c r="BA738" i="1"/>
  <c r="BA736" i="1"/>
  <c r="AI853" i="1"/>
  <c r="BA737" i="1"/>
  <c r="AI848" i="1"/>
  <c r="BA853" i="1"/>
  <c r="AH738" i="1"/>
  <c r="AH737" i="1"/>
  <c r="AR737" i="1"/>
  <c r="AH736" i="1"/>
  <c r="R852" i="1"/>
  <c r="AZ738" i="1"/>
  <c r="AZ737" i="1"/>
  <c r="AZ736" i="1"/>
  <c r="BA848" i="1"/>
  <c r="AR738" i="1"/>
  <c r="AR736" i="1"/>
  <c r="AZ853" i="1"/>
  <c r="Z850" i="1"/>
  <c r="AR850" i="1"/>
  <c r="AZ850" i="1"/>
  <c r="AH848" i="1"/>
  <c r="AR848" i="1"/>
  <c r="AZ848" i="1"/>
  <c r="AH708" i="1"/>
  <c r="AR708" i="1"/>
  <c r="AZ708" i="1"/>
  <c r="BA708" i="1"/>
  <c r="BA850" i="1"/>
  <c r="Z848" i="1"/>
  <c r="AH850" i="1"/>
  <c r="AJ850" i="1" s="1"/>
  <c r="Z853" i="1"/>
  <c r="AH853" i="1"/>
  <c r="AR853" i="1"/>
  <c r="BB853" i="1" s="1"/>
  <c r="Q850" i="1" l="1"/>
  <c r="Q853" i="1"/>
  <c r="Q848" i="1"/>
  <c r="BB736" i="1"/>
  <c r="AJ848" i="1"/>
  <c r="BB738" i="1"/>
  <c r="BB737" i="1"/>
  <c r="BB850" i="1"/>
  <c r="R850" i="1" s="1"/>
  <c r="BB708" i="1"/>
  <c r="BB848" i="1"/>
  <c r="AJ853" i="1"/>
  <c r="R853" i="1" s="1"/>
  <c r="R848" i="1" l="1"/>
  <c r="AT822" i="1" l="1"/>
  <c r="AT821" i="1"/>
  <c r="AT824" i="1"/>
  <c r="AT450" i="1"/>
  <c r="AY437" i="1"/>
  <c r="AX437" i="1"/>
  <c r="AV437" i="1"/>
  <c r="AT437" i="1"/>
  <c r="AQ437" i="1"/>
  <c r="AP437" i="1"/>
  <c r="AN437" i="1"/>
  <c r="AL437" i="1"/>
  <c r="AG437" i="1"/>
  <c r="AF437" i="1"/>
  <c r="AD437" i="1"/>
  <c r="AB437" i="1"/>
  <c r="X437" i="1"/>
  <c r="V437" i="1"/>
  <c r="BA437" i="1" l="1"/>
  <c r="AH437" i="1"/>
  <c r="AR437" i="1"/>
  <c r="AZ437" i="1"/>
  <c r="AY1124" i="1"/>
  <c r="AX1124" i="1"/>
  <c r="AV1124" i="1"/>
  <c r="AT1124" i="1"/>
  <c r="AQ1124" i="1"/>
  <c r="AP1124" i="1"/>
  <c r="AN1124" i="1"/>
  <c r="AL1124" i="1"/>
  <c r="AG1124" i="1"/>
  <c r="AF1124" i="1"/>
  <c r="AD1124" i="1"/>
  <c r="Y1124" i="1"/>
  <c r="X1124" i="1"/>
  <c r="V1124" i="1"/>
  <c r="T1124" i="1"/>
  <c r="AY945" i="1"/>
  <c r="AX945" i="1"/>
  <c r="AV945" i="1"/>
  <c r="AT945" i="1"/>
  <c r="AQ945" i="1"/>
  <c r="AP945" i="1"/>
  <c r="AN945" i="1"/>
  <c r="AL945" i="1"/>
  <c r="AG945" i="1"/>
  <c r="AF945" i="1"/>
  <c r="AD945" i="1"/>
  <c r="AB945" i="1"/>
  <c r="Y945" i="1"/>
  <c r="X945" i="1"/>
  <c r="V945" i="1"/>
  <c r="T945" i="1"/>
  <c r="BA945" i="1" l="1"/>
  <c r="AI945" i="1"/>
  <c r="AI1124" i="1"/>
  <c r="BA1124" i="1"/>
  <c r="AH945" i="1"/>
  <c r="AZ1124" i="1"/>
  <c r="Z945" i="1"/>
  <c r="AR945" i="1"/>
  <c r="AZ945" i="1"/>
  <c r="BB437" i="1"/>
  <c r="AR1124" i="1"/>
  <c r="AH1124" i="1"/>
  <c r="Z1124" i="1"/>
  <c r="Q945" i="1" l="1"/>
  <c r="Q1124" i="1"/>
  <c r="BB1124" i="1"/>
  <c r="AJ945" i="1"/>
  <c r="BB945" i="1"/>
  <c r="AJ1124" i="1"/>
  <c r="R1124" i="1" l="1"/>
  <c r="R945" i="1"/>
  <c r="AP489" i="1"/>
  <c r="AY436" i="1"/>
  <c r="AX436" i="1"/>
  <c r="AV436" i="1"/>
  <c r="AT436" i="1"/>
  <c r="AQ436" i="1"/>
  <c r="AP436" i="1"/>
  <c r="AN436" i="1"/>
  <c r="AL436" i="1"/>
  <c r="AG436" i="1"/>
  <c r="AF436" i="1"/>
  <c r="AD436" i="1"/>
  <c r="AB436" i="1"/>
  <c r="X436" i="1"/>
  <c r="V436" i="1"/>
  <c r="AY450" i="1"/>
  <c r="AX450" i="1"/>
  <c r="AV450" i="1"/>
  <c r="AQ450" i="1"/>
  <c r="AP450" i="1"/>
  <c r="AN450" i="1"/>
  <c r="AL450" i="1"/>
  <c r="AG450" i="1"/>
  <c r="AD450" i="1"/>
  <c r="AB450" i="1"/>
  <c r="X450" i="1"/>
  <c r="V450" i="1"/>
  <c r="V451" i="1" l="1"/>
  <c r="BA436" i="1"/>
  <c r="AR450" i="1"/>
  <c r="AZ436" i="1"/>
  <c r="BA450" i="1"/>
  <c r="AH436" i="1"/>
  <c r="AR436" i="1"/>
  <c r="AH450" i="1"/>
  <c r="AZ450" i="1"/>
  <c r="BB436" i="1" l="1"/>
  <c r="BB450" i="1"/>
  <c r="AY87" i="1" l="1"/>
  <c r="AX87" i="1"/>
  <c r="AV87" i="1"/>
  <c r="AT87" i="1"/>
  <c r="AQ87" i="1"/>
  <c r="AP87" i="1"/>
  <c r="AN87" i="1"/>
  <c r="AL87" i="1"/>
  <c r="AG87" i="1"/>
  <c r="AF87" i="1"/>
  <c r="AD87" i="1"/>
  <c r="X87" i="1"/>
  <c r="V87" i="1"/>
  <c r="AR87" i="1" l="1"/>
  <c r="BA87" i="1"/>
  <c r="AH87" i="1"/>
  <c r="AZ87" i="1"/>
  <c r="AY14" i="1"/>
  <c r="AX14" i="1"/>
  <c r="AV14" i="1"/>
  <c r="AT14" i="1"/>
  <c r="AQ14" i="1"/>
  <c r="AP14" i="1"/>
  <c r="AN14" i="1"/>
  <c r="AL14" i="1"/>
  <c r="AG14" i="1"/>
  <c r="AF14" i="1"/>
  <c r="AD14" i="1"/>
  <c r="X14" i="1"/>
  <c r="V14" i="1"/>
  <c r="BB87" i="1" l="1"/>
  <c r="BA14" i="1"/>
  <c r="AR14" i="1"/>
  <c r="AH14" i="1"/>
  <c r="AZ14" i="1"/>
  <c r="X1157" i="1"/>
  <c r="BB14" i="1" l="1"/>
  <c r="AN599" i="1"/>
  <c r="AN662" i="1"/>
  <c r="AY662" i="1"/>
  <c r="AX662" i="1"/>
  <c r="AV662" i="1"/>
  <c r="AT662" i="1"/>
  <c r="AQ662" i="1"/>
  <c r="AP662" i="1"/>
  <c r="AL662" i="1"/>
  <c r="AG662" i="1"/>
  <c r="AF662" i="1"/>
  <c r="AD662" i="1"/>
  <c r="AB662" i="1"/>
  <c r="X662" i="1"/>
  <c r="V662" i="1"/>
  <c r="AR662" i="1" l="1"/>
  <c r="BA662" i="1"/>
  <c r="AH662" i="1"/>
  <c r="AZ662" i="1"/>
  <c r="AN466" i="1"/>
  <c r="AY466" i="1"/>
  <c r="AX466" i="1"/>
  <c r="AV466" i="1"/>
  <c r="AT466" i="1"/>
  <c r="AQ466" i="1"/>
  <c r="AP466" i="1"/>
  <c r="AL466" i="1"/>
  <c r="AG466" i="1"/>
  <c r="AF466" i="1"/>
  <c r="AD466" i="1"/>
  <c r="AB466" i="1"/>
  <c r="X466" i="1"/>
  <c r="V466" i="1"/>
  <c r="AN485" i="1"/>
  <c r="AY485" i="1"/>
  <c r="AX485" i="1"/>
  <c r="AV485" i="1"/>
  <c r="AT485" i="1"/>
  <c r="AQ485" i="1"/>
  <c r="AP485" i="1"/>
  <c r="AL485" i="1"/>
  <c r="AG485" i="1"/>
  <c r="AF485" i="1"/>
  <c r="AD485" i="1"/>
  <c r="AB485" i="1"/>
  <c r="X485" i="1"/>
  <c r="V485" i="1"/>
  <c r="BA485" i="1" l="1"/>
  <c r="BB662" i="1"/>
  <c r="BA466" i="1"/>
  <c r="AZ485" i="1"/>
  <c r="AH466" i="1"/>
  <c r="AZ466" i="1"/>
  <c r="AR466" i="1"/>
  <c r="AR485" i="1"/>
  <c r="AH485" i="1"/>
  <c r="U1189" i="1"/>
  <c r="W1189" i="1"/>
  <c r="AA1189" i="1"/>
  <c r="AC1189" i="1"/>
  <c r="AE1189" i="1"/>
  <c r="AK1189" i="1"/>
  <c r="AS1189" i="1"/>
  <c r="AU1189" i="1"/>
  <c r="AW1189" i="1"/>
  <c r="S1175" i="1"/>
  <c r="U1175" i="1"/>
  <c r="W1175" i="1"/>
  <c r="Y1175" i="1"/>
  <c r="AA1175" i="1"/>
  <c r="AC1175" i="1"/>
  <c r="AE1175" i="1"/>
  <c r="AG1175" i="1"/>
  <c r="AI1175" i="1"/>
  <c r="AK1175" i="1"/>
  <c r="AM1175" i="1"/>
  <c r="AO1175" i="1"/>
  <c r="AQ1175" i="1"/>
  <c r="AS1175" i="1"/>
  <c r="AU1175" i="1"/>
  <c r="AW1175" i="1"/>
  <c r="AY1175" i="1"/>
  <c r="BA1175" i="1"/>
  <c r="Q1175" i="1"/>
  <c r="BB485" i="1" l="1"/>
  <c r="BB466" i="1"/>
  <c r="AL233" i="1"/>
  <c r="AL232" i="1"/>
  <c r="AS459" i="1" l="1"/>
  <c r="AY454" i="1"/>
  <c r="AX454" i="1"/>
  <c r="AV454" i="1"/>
  <c r="AT454" i="1"/>
  <c r="AQ454" i="1"/>
  <c r="AP454" i="1"/>
  <c r="AN454" i="1"/>
  <c r="AL454" i="1"/>
  <c r="AG454" i="1"/>
  <c r="AF454" i="1"/>
  <c r="AD454" i="1"/>
  <c r="AB454" i="1"/>
  <c r="X454" i="1"/>
  <c r="V454" i="1"/>
  <c r="AL865" i="1"/>
  <c r="AX866" i="1"/>
  <c r="AV866" i="1"/>
  <c r="AT866" i="1"/>
  <c r="AQ866" i="1"/>
  <c r="AP866" i="1"/>
  <c r="AN866" i="1"/>
  <c r="AL866" i="1"/>
  <c r="AG866" i="1"/>
  <c r="AF866" i="1"/>
  <c r="AD866" i="1"/>
  <c r="AB866" i="1"/>
  <c r="X866" i="1"/>
  <c r="V866" i="1"/>
  <c r="T866" i="1"/>
  <c r="AY865" i="1"/>
  <c r="AX865" i="1"/>
  <c r="AV865" i="1"/>
  <c r="AT865" i="1"/>
  <c r="AQ865" i="1"/>
  <c r="AP865" i="1"/>
  <c r="AN865" i="1"/>
  <c r="AG865" i="1"/>
  <c r="AF865" i="1"/>
  <c r="AD865" i="1"/>
  <c r="AB865" i="1"/>
  <c r="Y865" i="1"/>
  <c r="X865" i="1"/>
  <c r="V865" i="1"/>
  <c r="T865" i="1"/>
  <c r="AY219" i="1"/>
  <c r="AX219" i="1"/>
  <c r="AV219" i="1"/>
  <c r="AT219" i="1"/>
  <c r="AQ219" i="1"/>
  <c r="AP219" i="1"/>
  <c r="AN219" i="1"/>
  <c r="AL219" i="1"/>
  <c r="AG219" i="1"/>
  <c r="AF219" i="1"/>
  <c r="AD219" i="1"/>
  <c r="AB219" i="1"/>
  <c r="X219" i="1"/>
  <c r="V219" i="1"/>
  <c r="AY218" i="1"/>
  <c r="AX218" i="1"/>
  <c r="AV218" i="1"/>
  <c r="AT218" i="1"/>
  <c r="AQ218" i="1"/>
  <c r="AP218" i="1"/>
  <c r="AN218" i="1"/>
  <c r="AL218" i="1"/>
  <c r="AG218" i="1"/>
  <c r="AF218" i="1"/>
  <c r="AD218" i="1"/>
  <c r="AB218" i="1"/>
  <c r="X218" i="1"/>
  <c r="V218" i="1"/>
  <c r="AY357" i="1"/>
  <c r="AX357" i="1"/>
  <c r="AV357" i="1"/>
  <c r="AT357" i="1"/>
  <c r="AQ357" i="1"/>
  <c r="AP357" i="1"/>
  <c r="AN357" i="1"/>
  <c r="AL357" i="1"/>
  <c r="AG357" i="1"/>
  <c r="AF357" i="1"/>
  <c r="AD357" i="1"/>
  <c r="AB357" i="1"/>
  <c r="X357" i="1"/>
  <c r="V357" i="1"/>
  <c r="AL364" i="1"/>
  <c r="AY233" i="1"/>
  <c r="AX233" i="1"/>
  <c r="AV233" i="1"/>
  <c r="AT233" i="1"/>
  <c r="AQ233" i="1"/>
  <c r="AP233" i="1"/>
  <c r="AN233" i="1"/>
  <c r="AG233" i="1"/>
  <c r="AF233" i="1"/>
  <c r="AD233" i="1"/>
  <c r="AB233" i="1"/>
  <c r="X233" i="1"/>
  <c r="V233" i="1"/>
  <c r="AL675" i="1"/>
  <c r="AY675" i="1"/>
  <c r="AX675" i="1"/>
  <c r="AQ675" i="1"/>
  <c r="AP675" i="1"/>
  <c r="AN675" i="1"/>
  <c r="AG675" i="1"/>
  <c r="AF675" i="1"/>
  <c r="AD675" i="1"/>
  <c r="AB675" i="1"/>
  <c r="X675" i="1"/>
  <c r="V675" i="1"/>
  <c r="AH866" i="1" l="1"/>
  <c r="AI866" i="1"/>
  <c r="AI865" i="1"/>
  <c r="AS1190" i="1"/>
  <c r="BA866" i="1"/>
  <c r="BA219" i="1"/>
  <c r="BA233" i="1"/>
  <c r="BA865" i="1"/>
  <c r="BA218" i="1"/>
  <c r="BA454" i="1"/>
  <c r="AR865" i="1"/>
  <c r="AR454" i="1"/>
  <c r="AH233" i="1"/>
  <c r="AR675" i="1"/>
  <c r="AH454" i="1"/>
  <c r="AH357" i="1"/>
  <c r="AZ357" i="1"/>
  <c r="AZ454" i="1"/>
  <c r="Z865" i="1"/>
  <c r="AH865" i="1"/>
  <c r="AZ865" i="1"/>
  <c r="Z866" i="1"/>
  <c r="AR866" i="1"/>
  <c r="AZ866" i="1"/>
  <c r="AH218" i="1"/>
  <c r="AZ218" i="1"/>
  <c r="AH219" i="1"/>
  <c r="AZ219" i="1"/>
  <c r="AR219" i="1"/>
  <c r="AR218" i="1"/>
  <c r="BA357" i="1"/>
  <c r="AR357" i="1"/>
  <c r="AZ675" i="1"/>
  <c r="AZ233" i="1"/>
  <c r="AR233" i="1"/>
  <c r="BA675" i="1"/>
  <c r="AH675" i="1"/>
  <c r="Q866" i="1" l="1"/>
  <c r="Q865" i="1"/>
  <c r="BB454" i="1"/>
  <c r="BB865" i="1"/>
  <c r="BB675" i="1"/>
  <c r="BB357" i="1"/>
  <c r="BB233" i="1"/>
  <c r="BB866" i="1"/>
  <c r="AJ866" i="1"/>
  <c r="BB218" i="1"/>
  <c r="BB219" i="1"/>
  <c r="AJ865" i="1"/>
  <c r="R865" i="1" l="1"/>
  <c r="R866" i="1"/>
  <c r="AL981" i="1"/>
  <c r="AY984" i="1"/>
  <c r="AX984" i="1"/>
  <c r="AV984" i="1"/>
  <c r="AT984" i="1"/>
  <c r="AQ984" i="1"/>
  <c r="AP984" i="1"/>
  <c r="AN984" i="1"/>
  <c r="AL984" i="1"/>
  <c r="AG984" i="1"/>
  <c r="AF984" i="1"/>
  <c r="AD984" i="1"/>
  <c r="Y984" i="1"/>
  <c r="X984" i="1"/>
  <c r="V984" i="1"/>
  <c r="T984" i="1"/>
  <c r="BA984" i="1" l="1"/>
  <c r="AI984" i="1"/>
  <c r="Z984" i="1"/>
  <c r="AH984" i="1"/>
  <c r="AR984" i="1"/>
  <c r="AZ984" i="1"/>
  <c r="AL125" i="1"/>
  <c r="AL113" i="1"/>
  <c r="Q984" i="1" l="1"/>
  <c r="AJ984" i="1"/>
  <c r="BB984" i="1"/>
  <c r="R984" i="1" l="1"/>
  <c r="AY902" i="1" l="1"/>
  <c r="AX902" i="1"/>
  <c r="AV902" i="1"/>
  <c r="AT902" i="1"/>
  <c r="AQ902" i="1"/>
  <c r="AP902" i="1"/>
  <c r="AN902" i="1"/>
  <c r="AL902" i="1"/>
  <c r="AG902" i="1"/>
  <c r="AF902" i="1"/>
  <c r="AD902" i="1"/>
  <c r="AB902" i="1"/>
  <c r="Y902" i="1"/>
  <c r="X902" i="1"/>
  <c r="V902" i="1"/>
  <c r="T902" i="1"/>
  <c r="AL823" i="1"/>
  <c r="AL831" i="1"/>
  <c r="AY650" i="1"/>
  <c r="AX650" i="1"/>
  <c r="AV650" i="1"/>
  <c r="AT650" i="1"/>
  <c r="AQ650" i="1"/>
  <c r="AP650" i="1"/>
  <c r="AN650" i="1"/>
  <c r="AL650" i="1"/>
  <c r="AG650" i="1"/>
  <c r="AF650" i="1"/>
  <c r="AD650" i="1"/>
  <c r="AB650" i="1"/>
  <c r="X650" i="1"/>
  <c r="V650" i="1"/>
  <c r="AY609" i="1"/>
  <c r="AX609" i="1"/>
  <c r="AV609" i="1"/>
  <c r="AT609" i="1"/>
  <c r="AQ609" i="1"/>
  <c r="AP609" i="1"/>
  <c r="AN609" i="1"/>
  <c r="AL609" i="1"/>
  <c r="AG609" i="1"/>
  <c r="AF609" i="1"/>
  <c r="AD609" i="1"/>
  <c r="AB609" i="1"/>
  <c r="X609" i="1"/>
  <c r="V609" i="1"/>
  <c r="AY554" i="1"/>
  <c r="AX554" i="1"/>
  <c r="AV554" i="1"/>
  <c r="AT554" i="1"/>
  <c r="AQ554" i="1"/>
  <c r="AP554" i="1"/>
  <c r="AL554" i="1"/>
  <c r="AG554" i="1"/>
  <c r="AF554" i="1"/>
  <c r="AD554" i="1"/>
  <c r="AB554" i="1"/>
  <c r="X554" i="1"/>
  <c r="V554" i="1"/>
  <c r="AN356" i="1"/>
  <c r="AL293" i="1"/>
  <c r="AY293" i="1"/>
  <c r="AX293" i="1"/>
  <c r="AV293" i="1"/>
  <c r="AT293" i="1"/>
  <c r="AQ293" i="1"/>
  <c r="AP293" i="1"/>
  <c r="AN293" i="1"/>
  <c r="AG293" i="1"/>
  <c r="AF293" i="1"/>
  <c r="AD293" i="1"/>
  <c r="AB293" i="1"/>
  <c r="X293" i="1"/>
  <c r="V293" i="1"/>
  <c r="AL297" i="1"/>
  <c r="AY297" i="1"/>
  <c r="AX297" i="1"/>
  <c r="AV297" i="1"/>
  <c r="AT297" i="1"/>
  <c r="AQ297" i="1"/>
  <c r="AP297" i="1"/>
  <c r="AN297" i="1"/>
  <c r="AG297" i="1"/>
  <c r="AF297" i="1"/>
  <c r="AD297" i="1"/>
  <c r="AB297" i="1"/>
  <c r="X297" i="1"/>
  <c r="V297" i="1"/>
  <c r="AL275" i="1"/>
  <c r="AL289" i="1"/>
  <c r="AB260" i="1"/>
  <c r="AY260" i="1"/>
  <c r="AX260" i="1"/>
  <c r="AV260" i="1"/>
  <c r="AT260" i="1"/>
  <c r="AQ260" i="1"/>
  <c r="AP260" i="1"/>
  <c r="AN260" i="1"/>
  <c r="AL260" i="1"/>
  <c r="AG260" i="1"/>
  <c r="AF260" i="1"/>
  <c r="AD260" i="1"/>
  <c r="X260" i="1"/>
  <c r="V260" i="1"/>
  <c r="AL147" i="1"/>
  <c r="AL191" i="1"/>
  <c r="AY191" i="1"/>
  <c r="AX191" i="1"/>
  <c r="AV191" i="1"/>
  <c r="AT191" i="1"/>
  <c r="AQ191" i="1"/>
  <c r="AP191" i="1"/>
  <c r="AN191" i="1"/>
  <c r="AG191" i="1"/>
  <c r="AF191" i="1"/>
  <c r="AD191" i="1"/>
  <c r="X191" i="1"/>
  <c r="V191" i="1"/>
  <c r="AI902" i="1" l="1"/>
  <c r="BA902" i="1"/>
  <c r="BA609" i="1"/>
  <c r="BA260" i="1"/>
  <c r="BA554" i="1"/>
  <c r="BA293" i="1"/>
  <c r="BA191" i="1"/>
  <c r="BA297" i="1"/>
  <c r="Z902" i="1"/>
  <c r="AH902" i="1"/>
  <c r="AR902" i="1"/>
  <c r="AZ902" i="1"/>
  <c r="AR293" i="1"/>
  <c r="AZ293" i="1"/>
  <c r="AR260" i="1"/>
  <c r="AZ260" i="1"/>
  <c r="AZ554" i="1"/>
  <c r="BA650" i="1"/>
  <c r="AR609" i="1"/>
  <c r="AZ609" i="1"/>
  <c r="AZ650" i="1"/>
  <c r="AR650" i="1"/>
  <c r="AH650" i="1"/>
  <c r="AZ191" i="1"/>
  <c r="AH609" i="1"/>
  <c r="AR297" i="1"/>
  <c r="AR554" i="1"/>
  <c r="AH554" i="1"/>
  <c r="AH293" i="1"/>
  <c r="AH297" i="1"/>
  <c r="AZ297" i="1"/>
  <c r="AH260" i="1"/>
  <c r="AR191" i="1"/>
  <c r="AH191" i="1"/>
  <c r="Q902" i="1" l="1"/>
  <c r="BB293" i="1"/>
  <c r="BB297" i="1"/>
  <c r="BB554" i="1"/>
  <c r="AJ902" i="1"/>
  <c r="BB902" i="1"/>
  <c r="BB191" i="1"/>
  <c r="BB260" i="1"/>
  <c r="BB650" i="1"/>
  <c r="BB609" i="1"/>
  <c r="R902" i="1" l="1"/>
  <c r="AL7" i="1" l="1"/>
  <c r="AG680" i="1" l="1"/>
  <c r="AG673" i="1"/>
  <c r="AG701" i="1"/>
  <c r="AF549" i="1"/>
  <c r="AF649" i="1"/>
  <c r="AY649" i="1" l="1"/>
  <c r="AX649" i="1"/>
  <c r="AV649" i="1"/>
  <c r="AT649" i="1"/>
  <c r="AQ649" i="1"/>
  <c r="AP649" i="1"/>
  <c r="AN649" i="1"/>
  <c r="AL649" i="1"/>
  <c r="AG649" i="1"/>
  <c r="AD649" i="1"/>
  <c r="AB649" i="1"/>
  <c r="X649" i="1"/>
  <c r="V649" i="1"/>
  <c r="BA649" i="1" l="1"/>
  <c r="AR649" i="1"/>
  <c r="AZ649" i="1"/>
  <c r="AH649" i="1"/>
  <c r="AY860" i="1"/>
  <c r="AX860" i="1"/>
  <c r="AV860" i="1"/>
  <c r="AT860" i="1"/>
  <c r="AQ860" i="1"/>
  <c r="AP860" i="1"/>
  <c r="AN860" i="1"/>
  <c r="AL860" i="1"/>
  <c r="AG860" i="1"/>
  <c r="AF860" i="1"/>
  <c r="AD860" i="1"/>
  <c r="AB860" i="1"/>
  <c r="Y860" i="1"/>
  <c r="X860" i="1"/>
  <c r="V860" i="1"/>
  <c r="T860" i="1"/>
  <c r="BA860" i="1" l="1"/>
  <c r="AI860" i="1"/>
  <c r="BB649" i="1"/>
  <c r="Z860" i="1"/>
  <c r="AH860" i="1"/>
  <c r="AR860" i="1"/>
  <c r="AZ860" i="1"/>
  <c r="AF509" i="1"/>
  <c r="AF494" i="1"/>
  <c r="AF508" i="1"/>
  <c r="AY217" i="1"/>
  <c r="AX217" i="1"/>
  <c r="AV217" i="1"/>
  <c r="AT217" i="1"/>
  <c r="AQ217" i="1"/>
  <c r="AP217" i="1"/>
  <c r="AN217" i="1"/>
  <c r="AL217" i="1"/>
  <c r="AG217" i="1"/>
  <c r="AF217" i="1"/>
  <c r="AD217" i="1"/>
  <c r="AB217" i="1"/>
  <c r="X217" i="1"/>
  <c r="V217" i="1"/>
  <c r="AF510" i="1" l="1"/>
  <c r="Q860" i="1"/>
  <c r="BA217" i="1"/>
  <c r="AZ217" i="1"/>
  <c r="AR217" i="1"/>
  <c r="BB860" i="1"/>
  <c r="AJ860" i="1"/>
  <c r="AH217" i="1"/>
  <c r="AF328" i="1"/>
  <c r="AY328" i="1"/>
  <c r="AX328" i="1"/>
  <c r="AV328" i="1"/>
  <c r="AT328" i="1"/>
  <c r="AQ328" i="1"/>
  <c r="AP328" i="1"/>
  <c r="AN328" i="1"/>
  <c r="AL328" i="1"/>
  <c r="AG328" i="1"/>
  <c r="AD328" i="1"/>
  <c r="AB328" i="1"/>
  <c r="X328" i="1"/>
  <c r="V328" i="1"/>
  <c r="AY122" i="1"/>
  <c r="AX122" i="1"/>
  <c r="AV122" i="1"/>
  <c r="AT122" i="1"/>
  <c r="AQ122" i="1"/>
  <c r="AP122" i="1"/>
  <c r="AN122" i="1"/>
  <c r="AL122" i="1"/>
  <c r="AG122" i="1"/>
  <c r="AF122" i="1"/>
  <c r="AD122" i="1"/>
  <c r="X122" i="1"/>
  <c r="V122" i="1"/>
  <c r="BA328" i="1" l="1"/>
  <c r="BB217" i="1"/>
  <c r="R860" i="1"/>
  <c r="BA122" i="1"/>
  <c r="AR122" i="1"/>
  <c r="AZ122" i="1"/>
  <c r="AH328" i="1"/>
  <c r="AR328" i="1"/>
  <c r="AZ328" i="1"/>
  <c r="AH122" i="1"/>
  <c r="AF112" i="1"/>
  <c r="BB328" i="1" l="1"/>
  <c r="BB122" i="1"/>
  <c r="AY112" i="1"/>
  <c r="AX112" i="1"/>
  <c r="AV112" i="1"/>
  <c r="AT112" i="1"/>
  <c r="AQ112" i="1"/>
  <c r="AP112" i="1"/>
  <c r="AN112" i="1"/>
  <c r="AL112" i="1"/>
  <c r="AG112" i="1"/>
  <c r="AD112" i="1"/>
  <c r="X112" i="1"/>
  <c r="V112" i="1"/>
  <c r="BA112" i="1" l="1"/>
  <c r="AR112" i="1"/>
  <c r="AZ112" i="1"/>
  <c r="AH112" i="1"/>
  <c r="BB112" i="1" l="1"/>
  <c r="AY556" i="1"/>
  <c r="AX556" i="1"/>
  <c r="AV556" i="1"/>
  <c r="AT556" i="1"/>
  <c r="AQ556" i="1"/>
  <c r="AP556" i="1"/>
  <c r="AN556" i="1"/>
  <c r="AL556" i="1"/>
  <c r="AG556" i="1"/>
  <c r="AF556" i="1"/>
  <c r="AD556" i="1"/>
  <c r="AB556" i="1"/>
  <c r="Y556" i="1"/>
  <c r="X556" i="1"/>
  <c r="V556" i="1"/>
  <c r="T556" i="1"/>
  <c r="Z556" i="1" l="1"/>
  <c r="AI556" i="1"/>
  <c r="BA556" i="1"/>
  <c r="AR556" i="1"/>
  <c r="AZ556" i="1"/>
  <c r="AH556" i="1"/>
  <c r="Q556" i="1" l="1"/>
  <c r="BB556" i="1"/>
  <c r="AJ556" i="1"/>
  <c r="AY1017" i="1"/>
  <c r="AX1017" i="1"/>
  <c r="AV1017" i="1"/>
  <c r="AT1017" i="1"/>
  <c r="AQ1017" i="1"/>
  <c r="AP1017" i="1"/>
  <c r="AN1017" i="1"/>
  <c r="AL1017" i="1"/>
  <c r="AG1017" i="1"/>
  <c r="AF1017" i="1"/>
  <c r="AD1017" i="1"/>
  <c r="Y1017" i="1"/>
  <c r="X1017" i="1"/>
  <c r="V1017" i="1"/>
  <c r="T1017" i="1"/>
  <c r="BA1017" i="1" l="1"/>
  <c r="AI1017" i="1"/>
  <c r="Z1017" i="1"/>
  <c r="AR1017" i="1"/>
  <c r="AZ1017" i="1"/>
  <c r="R556" i="1"/>
  <c r="AH1017" i="1"/>
  <c r="AD258" i="1"/>
  <c r="AD257" i="1"/>
  <c r="AY257" i="1"/>
  <c r="AX257" i="1"/>
  <c r="AV257" i="1"/>
  <c r="AT257" i="1"/>
  <c r="AQ257" i="1"/>
  <c r="AP257" i="1"/>
  <c r="AN257" i="1"/>
  <c r="AL257" i="1"/>
  <c r="AG257" i="1"/>
  <c r="AF257" i="1"/>
  <c r="AB257" i="1"/>
  <c r="X257" i="1"/>
  <c r="V257" i="1"/>
  <c r="AY258" i="1"/>
  <c r="AX258" i="1"/>
  <c r="AV258" i="1"/>
  <c r="AT258" i="1"/>
  <c r="AQ258" i="1"/>
  <c r="AP258" i="1"/>
  <c r="AN258" i="1"/>
  <c r="AL258" i="1"/>
  <c r="AG258" i="1"/>
  <c r="AF258" i="1"/>
  <c r="AB258" i="1"/>
  <c r="X258" i="1"/>
  <c r="V258" i="1"/>
  <c r="AD31" i="1"/>
  <c r="AG168" i="1"/>
  <c r="AJ1017" i="1" l="1"/>
  <c r="BA257" i="1"/>
  <c r="Q1017" i="1"/>
  <c r="BA258" i="1"/>
  <c r="AR257" i="1"/>
  <c r="AZ257" i="1"/>
  <c r="BB1017" i="1"/>
  <c r="AZ258" i="1"/>
  <c r="AH258" i="1"/>
  <c r="AH257" i="1"/>
  <c r="AR258" i="1"/>
  <c r="R1017" i="1" l="1"/>
  <c r="BB257" i="1"/>
  <c r="BB258" i="1"/>
  <c r="AD461" i="1" l="1"/>
  <c r="AD22" i="1"/>
  <c r="AA1161" i="1" l="1"/>
  <c r="AA1126" i="1"/>
  <c r="AA864" i="1"/>
  <c r="AA787" i="1"/>
  <c r="AA771" i="1"/>
  <c r="AA767" i="1"/>
  <c r="AA644" i="1"/>
  <c r="AA539" i="1"/>
  <c r="AA525" i="1"/>
  <c r="AA510" i="1"/>
  <c r="AA507" i="1"/>
  <c r="AA487" i="1"/>
  <c r="AA462" i="1"/>
  <c r="AA459" i="1"/>
  <c r="AA1188" i="1"/>
  <c r="AA214" i="1"/>
  <c r="AA197" i="1"/>
  <c r="AA138" i="1"/>
  <c r="AA110" i="1"/>
  <c r="AA105" i="1"/>
  <c r="AA28" i="1"/>
  <c r="AA24" i="1"/>
  <c r="W459" i="1"/>
  <c r="AY707" i="1"/>
  <c r="AX707" i="1"/>
  <c r="AV707" i="1"/>
  <c r="AT707" i="1"/>
  <c r="AQ707" i="1"/>
  <c r="AP707" i="1"/>
  <c r="AN707" i="1"/>
  <c r="AL707" i="1"/>
  <c r="AG707" i="1"/>
  <c r="AF707" i="1"/>
  <c r="AD707" i="1"/>
  <c r="AB707" i="1"/>
  <c r="X707" i="1"/>
  <c r="V707" i="1"/>
  <c r="AY698" i="1"/>
  <c r="AX698" i="1"/>
  <c r="AV698" i="1"/>
  <c r="AT698" i="1"/>
  <c r="AQ698" i="1"/>
  <c r="AP698" i="1"/>
  <c r="AN698" i="1"/>
  <c r="AL698" i="1"/>
  <c r="AG698" i="1"/>
  <c r="AF698" i="1"/>
  <c r="AD698" i="1"/>
  <c r="AB698" i="1"/>
  <c r="X698" i="1"/>
  <c r="V698" i="1"/>
  <c r="AX703" i="1"/>
  <c r="AV703" i="1"/>
  <c r="AT703" i="1"/>
  <c r="AQ703" i="1"/>
  <c r="AP703" i="1"/>
  <c r="AN703" i="1"/>
  <c r="AL703" i="1"/>
  <c r="AG703" i="1"/>
  <c r="AF703" i="1"/>
  <c r="AD703" i="1"/>
  <c r="AB703" i="1"/>
  <c r="X703" i="1"/>
  <c r="V703" i="1"/>
  <c r="AY549" i="1"/>
  <c r="AX549" i="1"/>
  <c r="AV549" i="1"/>
  <c r="AT549" i="1"/>
  <c r="AQ549" i="1"/>
  <c r="AP549" i="1"/>
  <c r="AN549" i="1"/>
  <c r="AL549" i="1"/>
  <c r="AG549" i="1"/>
  <c r="AD549" i="1"/>
  <c r="AB549" i="1"/>
  <c r="X549" i="1"/>
  <c r="V549" i="1"/>
  <c r="AB752" i="1"/>
  <c r="AY752" i="1"/>
  <c r="AX752" i="1"/>
  <c r="AV752" i="1"/>
  <c r="AT752" i="1"/>
  <c r="AQ752" i="1"/>
  <c r="AP752" i="1"/>
  <c r="AN752" i="1"/>
  <c r="AL752" i="1"/>
  <c r="AG752" i="1"/>
  <c r="AF752" i="1"/>
  <c r="AD752" i="1"/>
  <c r="X752" i="1"/>
  <c r="V752" i="1"/>
  <c r="W1190" i="1" l="1"/>
  <c r="AA1184" i="1"/>
  <c r="AA1197" i="1"/>
  <c r="AA1183" i="1"/>
  <c r="AA1193" i="1"/>
  <c r="AA1190" i="1"/>
  <c r="AA1191" i="1" s="1"/>
  <c r="AA1194" i="1"/>
  <c r="AA1196" i="1"/>
  <c r="AA1205" i="1"/>
  <c r="AA1198" i="1"/>
  <c r="BA707" i="1"/>
  <c r="AA1180" i="1"/>
  <c r="BA698" i="1"/>
  <c r="BA703" i="1"/>
  <c r="AA1192" i="1"/>
  <c r="AA515" i="1"/>
  <c r="AA1178" i="1"/>
  <c r="AA1199" i="1"/>
  <c r="AA1181" i="1"/>
  <c r="AA29" i="1"/>
  <c r="BA752" i="1"/>
  <c r="AA540" i="1"/>
  <c r="AR752" i="1"/>
  <c r="AZ752" i="1"/>
  <c r="AR698" i="1"/>
  <c r="AR707" i="1"/>
  <c r="AZ707" i="1"/>
  <c r="AA139" i="1"/>
  <c r="AA772" i="1"/>
  <c r="AA797" i="1" s="1"/>
  <c r="AH707" i="1"/>
  <c r="AR703" i="1"/>
  <c r="AZ703" i="1"/>
  <c r="AH698" i="1"/>
  <c r="AZ698" i="1"/>
  <c r="AH703" i="1"/>
  <c r="AH549" i="1"/>
  <c r="AR549" i="1"/>
  <c r="AZ549" i="1"/>
  <c r="BA549" i="1"/>
  <c r="AH752" i="1"/>
  <c r="AA1185" i="1" l="1"/>
  <c r="AA1200" i="1"/>
  <c r="AA1195" i="1"/>
  <c r="AA1182" i="1"/>
  <c r="AA1177" i="1"/>
  <c r="AA1179" i="1" s="1"/>
  <c r="AA1204" i="1"/>
  <c r="BB698" i="1"/>
  <c r="BB707" i="1"/>
  <c r="BB752" i="1"/>
  <c r="BB703" i="1"/>
  <c r="BB549" i="1"/>
  <c r="AY543" i="1" l="1"/>
  <c r="AX543" i="1"/>
  <c r="AV543" i="1"/>
  <c r="AT543" i="1"/>
  <c r="AQ543" i="1"/>
  <c r="AP543" i="1"/>
  <c r="AN543" i="1"/>
  <c r="AL543" i="1"/>
  <c r="AG543" i="1"/>
  <c r="AF543" i="1"/>
  <c r="AD543" i="1"/>
  <c r="AB543" i="1"/>
  <c r="X543" i="1"/>
  <c r="V543" i="1"/>
  <c r="Y824" i="1"/>
  <c r="X1156" i="1"/>
  <c r="BA543" i="1" l="1"/>
  <c r="AH543" i="1"/>
  <c r="AR543" i="1"/>
  <c r="AZ543" i="1"/>
  <c r="AB452" i="1"/>
  <c r="AB458" i="1" s="1"/>
  <c r="AC462" i="1"/>
  <c r="AE462" i="1"/>
  <c r="AK462" i="1"/>
  <c r="AM462" i="1"/>
  <c r="AO462" i="1"/>
  <c r="AS462" i="1"/>
  <c r="AU462" i="1"/>
  <c r="AW462" i="1"/>
  <c r="U462" i="1"/>
  <c r="W462" i="1"/>
  <c r="AB221" i="1"/>
  <c r="W110" i="1"/>
  <c r="AY107" i="1"/>
  <c r="AX107" i="1"/>
  <c r="AV107" i="1"/>
  <c r="AT107" i="1"/>
  <c r="AQ107" i="1"/>
  <c r="AP107" i="1"/>
  <c r="AN107" i="1"/>
  <c r="AL107" i="1"/>
  <c r="AG107" i="1"/>
  <c r="AF107" i="1"/>
  <c r="AD107" i="1"/>
  <c r="V107" i="1"/>
  <c r="BB543" i="1" l="1"/>
  <c r="BA107" i="1"/>
  <c r="AR107" i="1"/>
  <c r="AZ107" i="1"/>
  <c r="AH107" i="1"/>
  <c r="BB107" i="1" l="1"/>
  <c r="AY319" i="1"/>
  <c r="AX319" i="1"/>
  <c r="AV319" i="1"/>
  <c r="AT319" i="1"/>
  <c r="AQ319" i="1"/>
  <c r="AP319" i="1"/>
  <c r="AN319" i="1"/>
  <c r="AL319" i="1"/>
  <c r="AG319" i="1"/>
  <c r="AF319" i="1"/>
  <c r="AD319" i="1"/>
  <c r="AB319" i="1"/>
  <c r="X319" i="1"/>
  <c r="V319" i="1"/>
  <c r="U1161" i="1"/>
  <c r="S1161" i="1"/>
  <c r="AY1158" i="1"/>
  <c r="AX1158" i="1"/>
  <c r="AV1158" i="1"/>
  <c r="AT1158" i="1"/>
  <c r="AQ1158" i="1"/>
  <c r="AP1158" i="1"/>
  <c r="AN1158" i="1"/>
  <c r="AL1158" i="1"/>
  <c r="AG1158" i="1"/>
  <c r="AF1158" i="1"/>
  <c r="AD1158" i="1"/>
  <c r="Y1158" i="1"/>
  <c r="X1158" i="1"/>
  <c r="V1158" i="1"/>
  <c r="T1158" i="1"/>
  <c r="AY1156" i="1"/>
  <c r="AX1156" i="1"/>
  <c r="AV1156" i="1"/>
  <c r="AT1156" i="1"/>
  <c r="AQ1156" i="1"/>
  <c r="AP1156" i="1"/>
  <c r="AN1156" i="1"/>
  <c r="AL1156" i="1"/>
  <c r="AG1156" i="1"/>
  <c r="AF1156" i="1"/>
  <c r="AD1156" i="1"/>
  <c r="Y1156" i="1"/>
  <c r="V1156" i="1"/>
  <c r="T1156" i="1"/>
  <c r="AB1146" i="1"/>
  <c r="AB657" i="1"/>
  <c r="AB463" i="1"/>
  <c r="AB461" i="1"/>
  <c r="AB460" i="1"/>
  <c r="V460" i="1"/>
  <c r="AY461" i="1"/>
  <c r="AX461" i="1"/>
  <c r="AV461" i="1"/>
  <c r="AT461" i="1"/>
  <c r="AQ461" i="1"/>
  <c r="AP461" i="1"/>
  <c r="AN461" i="1"/>
  <c r="AL461" i="1"/>
  <c r="AG461" i="1"/>
  <c r="AF461" i="1"/>
  <c r="X461" i="1"/>
  <c r="V461" i="1"/>
  <c r="AB242" i="1"/>
  <c r="AY242" i="1"/>
  <c r="AX242" i="1"/>
  <c r="AV242" i="1"/>
  <c r="AT242" i="1"/>
  <c r="AQ242" i="1"/>
  <c r="AP242" i="1"/>
  <c r="AN242" i="1"/>
  <c r="AL242" i="1"/>
  <c r="AG242" i="1"/>
  <c r="AF242" i="1"/>
  <c r="AD242" i="1"/>
  <c r="X242" i="1"/>
  <c r="V242" i="1"/>
  <c r="S1205" i="1" l="1"/>
  <c r="U1205" i="1"/>
  <c r="BA1158" i="1"/>
  <c r="AI1158" i="1"/>
  <c r="BA242" i="1"/>
  <c r="BA319" i="1"/>
  <c r="AR1156" i="1"/>
  <c r="Z1158" i="1"/>
  <c r="AR1158" i="1"/>
  <c r="AZ1158" i="1"/>
  <c r="AH319" i="1"/>
  <c r="AR461" i="1"/>
  <c r="V462" i="1"/>
  <c r="AH242" i="1"/>
  <c r="AB462" i="1"/>
  <c r="Z1156" i="1"/>
  <c r="AI1156" i="1"/>
  <c r="BA1156" i="1"/>
  <c r="AR319" i="1"/>
  <c r="AZ319" i="1"/>
  <c r="AH1158" i="1"/>
  <c r="AH1156" i="1"/>
  <c r="AZ1156" i="1"/>
  <c r="BB1156" i="1" s="1"/>
  <c r="BA461" i="1"/>
  <c r="AH461" i="1"/>
  <c r="AZ461" i="1"/>
  <c r="AR242" i="1"/>
  <c r="AZ242" i="1"/>
  <c r="Q1158" i="1" l="1"/>
  <c r="Q1156" i="1"/>
  <c r="AJ1158" i="1"/>
  <c r="BB1158" i="1"/>
  <c r="AJ1156" i="1"/>
  <c r="R1156" i="1" s="1"/>
  <c r="BB319" i="1"/>
  <c r="BB461" i="1"/>
  <c r="BB242" i="1"/>
  <c r="R1158" i="1" l="1"/>
  <c r="AY372" i="1" l="1"/>
  <c r="AX372" i="1"/>
  <c r="AV372" i="1"/>
  <c r="AT372" i="1"/>
  <c r="AQ372" i="1"/>
  <c r="AP372" i="1"/>
  <c r="AN372" i="1"/>
  <c r="AL372" i="1"/>
  <c r="AG372" i="1"/>
  <c r="AF372" i="1"/>
  <c r="AD372" i="1"/>
  <c r="AB372" i="1"/>
  <c r="X372" i="1"/>
  <c r="V372" i="1"/>
  <c r="AY365" i="1"/>
  <c r="AX365" i="1"/>
  <c r="AV365" i="1"/>
  <c r="AT365" i="1"/>
  <c r="AQ365" i="1"/>
  <c r="AP365" i="1"/>
  <c r="AN365" i="1"/>
  <c r="AL365" i="1"/>
  <c r="AG365" i="1"/>
  <c r="AF365" i="1"/>
  <c r="AD365" i="1"/>
  <c r="AB365" i="1"/>
  <c r="X365" i="1"/>
  <c r="V365" i="1"/>
  <c r="AY364" i="1"/>
  <c r="AX364" i="1"/>
  <c r="AV364" i="1"/>
  <c r="AT364" i="1"/>
  <c r="AQ364" i="1"/>
  <c r="AP364" i="1"/>
  <c r="AN364" i="1"/>
  <c r="AG364" i="1"/>
  <c r="AF364" i="1"/>
  <c r="AD364" i="1"/>
  <c r="AB364" i="1"/>
  <c r="X364" i="1"/>
  <c r="V364" i="1"/>
  <c r="AY697" i="1"/>
  <c r="AX697" i="1"/>
  <c r="AV697" i="1"/>
  <c r="AT697" i="1"/>
  <c r="AQ697" i="1"/>
  <c r="AP697" i="1"/>
  <c r="AN697" i="1"/>
  <c r="AL697" i="1"/>
  <c r="AG697" i="1"/>
  <c r="AF697" i="1"/>
  <c r="AD697" i="1"/>
  <c r="AB697" i="1"/>
  <c r="X697" i="1"/>
  <c r="V697" i="1"/>
  <c r="AY696" i="1"/>
  <c r="AX696" i="1"/>
  <c r="AV696" i="1"/>
  <c r="AT696" i="1"/>
  <c r="AQ696" i="1"/>
  <c r="AP696" i="1"/>
  <c r="AN696" i="1"/>
  <c r="AL696" i="1"/>
  <c r="AG696" i="1"/>
  <c r="AF696" i="1"/>
  <c r="AD696" i="1"/>
  <c r="AB696" i="1"/>
  <c r="X696" i="1"/>
  <c r="V696" i="1"/>
  <c r="AY687" i="1"/>
  <c r="AX687" i="1"/>
  <c r="AV687" i="1"/>
  <c r="AT687" i="1"/>
  <c r="AQ687" i="1"/>
  <c r="AP687" i="1"/>
  <c r="AN687" i="1"/>
  <c r="AL687" i="1"/>
  <c r="AG687" i="1"/>
  <c r="AF687" i="1"/>
  <c r="AD687" i="1"/>
  <c r="AB687" i="1"/>
  <c r="X687" i="1"/>
  <c r="V687" i="1"/>
  <c r="AY702" i="1"/>
  <c r="AX702" i="1"/>
  <c r="AV702" i="1"/>
  <c r="AT702" i="1"/>
  <c r="AQ702" i="1"/>
  <c r="AP702" i="1"/>
  <c r="AN702" i="1"/>
  <c r="AL702" i="1"/>
  <c r="AG702" i="1"/>
  <c r="AF702" i="1"/>
  <c r="AD702" i="1"/>
  <c r="AB702" i="1"/>
  <c r="X702" i="1"/>
  <c r="V702" i="1"/>
  <c r="BA372" i="1" l="1"/>
  <c r="BA697" i="1"/>
  <c r="BA687" i="1"/>
  <c r="BA365" i="1"/>
  <c r="BA696" i="1"/>
  <c r="BA364" i="1"/>
  <c r="BA702" i="1"/>
  <c r="AH372" i="1"/>
  <c r="AR372" i="1"/>
  <c r="AH702" i="1"/>
  <c r="AR702" i="1"/>
  <c r="AZ702" i="1"/>
  <c r="AH687" i="1"/>
  <c r="AR687" i="1"/>
  <c r="AZ687" i="1"/>
  <c r="AH696" i="1"/>
  <c r="AR696" i="1"/>
  <c r="AZ696" i="1"/>
  <c r="AH697" i="1"/>
  <c r="AR697" i="1"/>
  <c r="AZ697" i="1"/>
  <c r="AH364" i="1"/>
  <c r="AR364" i="1"/>
  <c r="AR365" i="1"/>
  <c r="AZ365" i="1"/>
  <c r="AZ372" i="1"/>
  <c r="AH365" i="1"/>
  <c r="AZ364" i="1"/>
  <c r="AY673" i="1"/>
  <c r="AX673" i="1"/>
  <c r="AV673" i="1"/>
  <c r="AT673" i="1"/>
  <c r="AQ673" i="1"/>
  <c r="AP673" i="1"/>
  <c r="AN673" i="1"/>
  <c r="AL673" i="1"/>
  <c r="AF673" i="1"/>
  <c r="AD673" i="1"/>
  <c r="AB673" i="1"/>
  <c r="X673" i="1"/>
  <c r="V673" i="1"/>
  <c r="BA673" i="1" l="1"/>
  <c r="BB372" i="1"/>
  <c r="BB702" i="1"/>
  <c r="BB364" i="1"/>
  <c r="BB365" i="1"/>
  <c r="BB697" i="1"/>
  <c r="BB696" i="1"/>
  <c r="AH673" i="1"/>
  <c r="AR673" i="1"/>
  <c r="AZ673" i="1"/>
  <c r="BB687" i="1"/>
  <c r="BB673" i="1" l="1"/>
  <c r="W197" i="1"/>
  <c r="AY194" i="1"/>
  <c r="AV194" i="1"/>
  <c r="AT194" i="1"/>
  <c r="AQ194" i="1"/>
  <c r="AP194" i="1"/>
  <c r="AN194" i="1"/>
  <c r="AL194" i="1"/>
  <c r="AG194" i="1"/>
  <c r="AF194" i="1"/>
  <c r="AD194" i="1"/>
  <c r="X194" i="1"/>
  <c r="V194" i="1"/>
  <c r="BA194" i="1" l="1"/>
  <c r="AH194" i="1"/>
  <c r="AR194" i="1"/>
  <c r="AZ194" i="1"/>
  <c r="AY108" i="1"/>
  <c r="AX108" i="1"/>
  <c r="AV108" i="1"/>
  <c r="AT108" i="1"/>
  <c r="AQ108" i="1"/>
  <c r="AP108" i="1"/>
  <c r="AN108" i="1"/>
  <c r="AL108" i="1"/>
  <c r="AG108" i="1"/>
  <c r="AF108" i="1"/>
  <c r="AD108" i="1"/>
  <c r="V108" i="1"/>
  <c r="AZ108" i="1" l="1"/>
  <c r="BA108" i="1"/>
  <c r="AR108" i="1"/>
  <c r="AH108" i="1"/>
  <c r="BB194" i="1"/>
  <c r="BB108" i="1" l="1"/>
  <c r="AX323" i="1"/>
  <c r="AL323" i="1"/>
  <c r="AD320" i="1" l="1"/>
  <c r="AB289" i="1"/>
  <c r="X323" i="1"/>
  <c r="V253" i="1"/>
  <c r="AY323" i="1"/>
  <c r="AV323" i="1"/>
  <c r="AT323" i="1"/>
  <c r="AQ323" i="1"/>
  <c r="AP323" i="1"/>
  <c r="AN323" i="1"/>
  <c r="AG323" i="1"/>
  <c r="AF323" i="1"/>
  <c r="AD323" i="1"/>
  <c r="AB323" i="1"/>
  <c r="V323" i="1"/>
  <c r="AY322" i="1"/>
  <c r="AX322" i="1"/>
  <c r="AV322" i="1"/>
  <c r="AT322" i="1"/>
  <c r="AQ322" i="1"/>
  <c r="AP322" i="1"/>
  <c r="AN322" i="1"/>
  <c r="AL322" i="1"/>
  <c r="AG322" i="1"/>
  <c r="AF322" i="1"/>
  <c r="AD322" i="1"/>
  <c r="AB322" i="1"/>
  <c r="X322" i="1"/>
  <c r="V322" i="1"/>
  <c r="AY321" i="1"/>
  <c r="AX321" i="1"/>
  <c r="AV321" i="1"/>
  <c r="AT321" i="1"/>
  <c r="AQ321" i="1"/>
  <c r="AP321" i="1"/>
  <c r="AN321" i="1"/>
  <c r="AL321" i="1"/>
  <c r="AG321" i="1"/>
  <c r="AF321" i="1"/>
  <c r="AD321" i="1"/>
  <c r="AB321" i="1"/>
  <c r="X321" i="1"/>
  <c r="V321" i="1"/>
  <c r="AY320" i="1"/>
  <c r="AX320" i="1"/>
  <c r="AV320" i="1"/>
  <c r="AT320" i="1"/>
  <c r="AQ320" i="1"/>
  <c r="AP320" i="1"/>
  <c r="AN320" i="1"/>
  <c r="AL320" i="1"/>
  <c r="AG320" i="1"/>
  <c r="AF320" i="1"/>
  <c r="AB320" i="1"/>
  <c r="X320" i="1"/>
  <c r="V320" i="1"/>
  <c r="AY289" i="1"/>
  <c r="AX289" i="1"/>
  <c r="AV289" i="1"/>
  <c r="AT289" i="1"/>
  <c r="AQ289" i="1"/>
  <c r="AP289" i="1"/>
  <c r="AN289" i="1"/>
  <c r="AG289" i="1"/>
  <c r="AF289" i="1"/>
  <c r="AD289" i="1"/>
  <c r="X289" i="1"/>
  <c r="V289" i="1"/>
  <c r="AY286" i="1"/>
  <c r="AX286" i="1"/>
  <c r="AV286" i="1"/>
  <c r="AT286" i="1"/>
  <c r="AQ286" i="1"/>
  <c r="AP286" i="1"/>
  <c r="AN286" i="1"/>
  <c r="AL286" i="1"/>
  <c r="AG286" i="1"/>
  <c r="AF286" i="1"/>
  <c r="AD286" i="1"/>
  <c r="X286" i="1"/>
  <c r="V286" i="1"/>
  <c r="AY275" i="1"/>
  <c r="AX275" i="1"/>
  <c r="AV275" i="1"/>
  <c r="AT275" i="1"/>
  <c r="AQ275" i="1"/>
  <c r="AP275" i="1"/>
  <c r="AN275" i="1"/>
  <c r="AG275" i="1"/>
  <c r="AF275" i="1"/>
  <c r="AD275" i="1"/>
  <c r="AB275" i="1"/>
  <c r="X275" i="1"/>
  <c r="V275" i="1"/>
  <c r="AY259" i="1"/>
  <c r="AX259" i="1"/>
  <c r="AV259" i="1"/>
  <c r="AT259" i="1"/>
  <c r="AQ259" i="1"/>
  <c r="AP259" i="1"/>
  <c r="AN259" i="1"/>
  <c r="AL259" i="1"/>
  <c r="AG259" i="1"/>
  <c r="AF259" i="1"/>
  <c r="AD259" i="1"/>
  <c r="AB259" i="1"/>
  <c r="X259" i="1"/>
  <c r="V259" i="1"/>
  <c r="AY253" i="1"/>
  <c r="AX253" i="1"/>
  <c r="AV253" i="1"/>
  <c r="AT253" i="1"/>
  <c r="AQ253" i="1"/>
  <c r="AP253" i="1"/>
  <c r="AN253" i="1"/>
  <c r="AL253" i="1"/>
  <c r="AG253" i="1"/>
  <c r="AF253" i="1"/>
  <c r="AD253" i="1"/>
  <c r="AB253" i="1"/>
  <c r="X253" i="1"/>
  <c r="BA322" i="1" l="1"/>
  <c r="BA253" i="1"/>
  <c r="BA275" i="1"/>
  <c r="BA321" i="1"/>
  <c r="BA259" i="1"/>
  <c r="BA289" i="1"/>
  <c r="BA286" i="1"/>
  <c r="BA320" i="1"/>
  <c r="AR323" i="1"/>
  <c r="AH289" i="1"/>
  <c r="AR320" i="1"/>
  <c r="AZ320" i="1"/>
  <c r="AH321" i="1"/>
  <c r="AR321" i="1"/>
  <c r="AZ321" i="1"/>
  <c r="AH322" i="1"/>
  <c r="AR322" i="1"/>
  <c r="AZ322" i="1"/>
  <c r="BA323" i="1"/>
  <c r="AH259" i="1"/>
  <c r="AH275" i="1"/>
  <c r="AH286" i="1"/>
  <c r="AH320" i="1"/>
  <c r="AH323" i="1"/>
  <c r="AZ323" i="1"/>
  <c r="AR286" i="1"/>
  <c r="AZ286" i="1"/>
  <c r="AR289" i="1"/>
  <c r="AZ289" i="1"/>
  <c r="AR259" i="1"/>
  <c r="AZ259" i="1"/>
  <c r="AR275" i="1"/>
  <c r="AZ275" i="1"/>
  <c r="AH253" i="1"/>
  <c r="AR253" i="1"/>
  <c r="AZ253" i="1"/>
  <c r="BB323" i="1" l="1"/>
  <c r="BB322" i="1"/>
  <c r="BB321" i="1"/>
  <c r="BB320" i="1"/>
  <c r="BB289" i="1"/>
  <c r="BB259" i="1"/>
  <c r="BB286" i="1"/>
  <c r="BB253" i="1"/>
  <c r="BB275" i="1"/>
  <c r="AY680" i="1" l="1"/>
  <c r="AX680" i="1"/>
  <c r="AV680" i="1"/>
  <c r="AT680" i="1"/>
  <c r="AQ680" i="1"/>
  <c r="AP680" i="1"/>
  <c r="AN680" i="1"/>
  <c r="AL680" i="1"/>
  <c r="AF680" i="1"/>
  <c r="AD680" i="1"/>
  <c r="AB680" i="1"/>
  <c r="X680" i="1"/>
  <c r="V680" i="1"/>
  <c r="AY701" i="1"/>
  <c r="AX701" i="1"/>
  <c r="AV701" i="1"/>
  <c r="AT701" i="1"/>
  <c r="AQ701" i="1"/>
  <c r="AP701" i="1"/>
  <c r="AN701" i="1"/>
  <c r="AL701" i="1"/>
  <c r="AF701" i="1"/>
  <c r="AD701" i="1"/>
  <c r="AB701" i="1"/>
  <c r="X701" i="1"/>
  <c r="V701" i="1"/>
  <c r="BA701" i="1" l="1"/>
  <c r="BA680" i="1"/>
  <c r="AH701" i="1"/>
  <c r="AR701" i="1"/>
  <c r="AZ701" i="1"/>
  <c r="AH680" i="1"/>
  <c r="AR680" i="1"/>
  <c r="AZ680" i="1"/>
  <c r="U1126" i="1"/>
  <c r="AY946" i="1"/>
  <c r="AX946" i="1"/>
  <c r="AV946" i="1"/>
  <c r="AT946" i="1"/>
  <c r="AQ946" i="1"/>
  <c r="AP946" i="1"/>
  <c r="AN946" i="1"/>
  <c r="AL946" i="1"/>
  <c r="AG946" i="1"/>
  <c r="AF946" i="1"/>
  <c r="AD946" i="1"/>
  <c r="AB946" i="1"/>
  <c r="Y946" i="1"/>
  <c r="X946" i="1"/>
  <c r="V946" i="1"/>
  <c r="T946" i="1"/>
  <c r="AH946" i="1" l="1"/>
  <c r="BA946" i="1"/>
  <c r="AI946" i="1"/>
  <c r="AR946" i="1"/>
  <c r="AZ946" i="1"/>
  <c r="BB701" i="1"/>
  <c r="Z946" i="1"/>
  <c r="BB680" i="1"/>
  <c r="AY904" i="1"/>
  <c r="AX904" i="1"/>
  <c r="AV904" i="1"/>
  <c r="AT904" i="1"/>
  <c r="AQ904" i="1"/>
  <c r="AP904" i="1"/>
  <c r="AN904" i="1"/>
  <c r="AL904" i="1"/>
  <c r="AG904" i="1"/>
  <c r="AF904" i="1"/>
  <c r="AD904" i="1"/>
  <c r="AB904" i="1"/>
  <c r="Y904" i="1"/>
  <c r="X904" i="1"/>
  <c r="V904" i="1"/>
  <c r="T904" i="1"/>
  <c r="AY894" i="1"/>
  <c r="AX894" i="1"/>
  <c r="AV894" i="1"/>
  <c r="AT894" i="1"/>
  <c r="AQ894" i="1"/>
  <c r="AP894" i="1"/>
  <c r="AN894" i="1"/>
  <c r="AL894" i="1"/>
  <c r="AG894" i="1"/>
  <c r="AF894" i="1"/>
  <c r="AD894" i="1"/>
  <c r="AB894" i="1"/>
  <c r="Y894" i="1"/>
  <c r="X894" i="1"/>
  <c r="V894" i="1"/>
  <c r="T894" i="1"/>
  <c r="Q946" i="1" l="1"/>
  <c r="AI904" i="1"/>
  <c r="BA904" i="1"/>
  <c r="AJ946" i="1"/>
  <c r="BB946" i="1"/>
  <c r="AH894" i="1"/>
  <c r="AR894" i="1"/>
  <c r="AZ894" i="1"/>
  <c r="AR904" i="1"/>
  <c r="BA894" i="1"/>
  <c r="Z904" i="1"/>
  <c r="AH904" i="1"/>
  <c r="AZ904" i="1"/>
  <c r="AI894" i="1"/>
  <c r="Z894" i="1"/>
  <c r="V495" i="1"/>
  <c r="X495" i="1"/>
  <c r="AY494" i="1"/>
  <c r="AX494" i="1"/>
  <c r="AV494" i="1"/>
  <c r="AT494" i="1"/>
  <c r="AQ494" i="1"/>
  <c r="AP494" i="1"/>
  <c r="AN494" i="1"/>
  <c r="AL494" i="1"/>
  <c r="AG494" i="1"/>
  <c r="AD494" i="1"/>
  <c r="AB494" i="1"/>
  <c r="X494" i="1"/>
  <c r="V494" i="1"/>
  <c r="AY495" i="1"/>
  <c r="AX495" i="1"/>
  <c r="AV495" i="1"/>
  <c r="AT495" i="1"/>
  <c r="AQ495" i="1"/>
  <c r="AP495" i="1"/>
  <c r="AN495" i="1"/>
  <c r="AL495" i="1"/>
  <c r="AG495" i="1"/>
  <c r="AF495" i="1"/>
  <c r="AD495" i="1"/>
  <c r="AB495" i="1"/>
  <c r="Q894" i="1" l="1"/>
  <c r="Q904" i="1"/>
  <c r="BB904" i="1"/>
  <c r="BA495" i="1"/>
  <c r="BA494" i="1"/>
  <c r="R946" i="1"/>
  <c r="AJ904" i="1"/>
  <c r="AJ894" i="1"/>
  <c r="AH495" i="1"/>
  <c r="AR495" i="1"/>
  <c r="AZ495" i="1"/>
  <c r="BB894" i="1"/>
  <c r="AH494" i="1"/>
  <c r="AR494" i="1"/>
  <c r="AZ494" i="1"/>
  <c r="R904" i="1" l="1"/>
  <c r="R894" i="1"/>
  <c r="BB495" i="1"/>
  <c r="BB494" i="1"/>
  <c r="V375" i="1"/>
  <c r="U1188" i="1" l="1"/>
  <c r="V7" i="1" l="1"/>
  <c r="AY370" i="1" l="1"/>
  <c r="AX370" i="1"/>
  <c r="AV370" i="1"/>
  <c r="AT370" i="1"/>
  <c r="AQ370" i="1"/>
  <c r="AP370" i="1"/>
  <c r="AN370" i="1"/>
  <c r="AL370" i="1"/>
  <c r="AG370" i="1"/>
  <c r="AF370" i="1"/>
  <c r="AD370" i="1"/>
  <c r="AB370" i="1"/>
  <c r="X370" i="1"/>
  <c r="V370" i="1"/>
  <c r="BA370" i="1" l="1"/>
  <c r="AZ370" i="1"/>
  <c r="AR370" i="1"/>
  <c r="AH370" i="1"/>
  <c r="BB370" i="1" l="1"/>
  <c r="AY1155" i="1"/>
  <c r="AX1160" i="1"/>
  <c r="AX1157" i="1"/>
  <c r="AX1155" i="1"/>
  <c r="AV1160" i="1"/>
  <c r="AV1157" i="1"/>
  <c r="AV1155" i="1"/>
  <c r="AT1155" i="1"/>
  <c r="AT1160" i="1"/>
  <c r="AT1157" i="1"/>
  <c r="AT857" i="1"/>
  <c r="AQ1155" i="1"/>
  <c r="AP1160" i="1"/>
  <c r="AP1157" i="1"/>
  <c r="AP1155" i="1"/>
  <c r="AN1160" i="1"/>
  <c r="AN1157" i="1"/>
  <c r="AN1155" i="1"/>
  <c r="AL1157" i="1"/>
  <c r="AL1160" i="1"/>
  <c r="AL1155" i="1"/>
  <c r="AG1155" i="1"/>
  <c r="AF1160" i="1"/>
  <c r="AF1157" i="1"/>
  <c r="AF1155" i="1"/>
  <c r="AD1157" i="1"/>
  <c r="AD1160" i="1"/>
  <c r="AD1155" i="1"/>
  <c r="AB856" i="1"/>
  <c r="T1155" i="1"/>
  <c r="X1155" i="1"/>
  <c r="X1160" i="1"/>
  <c r="V1160" i="1"/>
  <c r="V1157" i="1"/>
  <c r="V1155" i="1"/>
  <c r="T1160" i="1"/>
  <c r="T843" i="1"/>
  <c r="AW1161" i="1"/>
  <c r="AU1161" i="1"/>
  <c r="AS1161" i="1"/>
  <c r="AO1161" i="1"/>
  <c r="AM1161" i="1"/>
  <c r="AK1161" i="1"/>
  <c r="AE1161" i="1"/>
  <c r="AC1161" i="1"/>
  <c r="W1205" i="1"/>
  <c r="AY1160" i="1"/>
  <c r="AQ1160" i="1"/>
  <c r="AG1160" i="1"/>
  <c r="Y1160" i="1"/>
  <c r="AY1157" i="1"/>
  <c r="AQ1157" i="1"/>
  <c r="AG1157" i="1"/>
  <c r="Y1157" i="1"/>
  <c r="Y1155" i="1"/>
  <c r="AU1205" i="1" l="1"/>
  <c r="AW1205" i="1"/>
  <c r="AC1205" i="1"/>
  <c r="AO1205" i="1"/>
  <c r="AE1205" i="1"/>
  <c r="AS1205" i="1"/>
  <c r="AM1205" i="1"/>
  <c r="AK1205" i="1"/>
  <c r="AY1161" i="1"/>
  <c r="AR1155" i="1"/>
  <c r="AH1155" i="1"/>
  <c r="AG1161" i="1"/>
  <c r="AP1161" i="1"/>
  <c r="AP1205" i="1" s="1"/>
  <c r="BA1155" i="1"/>
  <c r="AI1155" i="1"/>
  <c r="AT1161" i="1"/>
  <c r="AT1205" i="1" s="1"/>
  <c r="AL1161" i="1"/>
  <c r="AL1205" i="1" s="1"/>
  <c r="T1161" i="1"/>
  <c r="T1205" i="1" s="1"/>
  <c r="AN1161" i="1"/>
  <c r="AN1205" i="1" s="1"/>
  <c r="AX1161" i="1"/>
  <c r="AX1205" i="1" s="1"/>
  <c r="AF1161" i="1"/>
  <c r="AF1205" i="1" s="1"/>
  <c r="AQ1161" i="1"/>
  <c r="X1161" i="1"/>
  <c r="X1205" i="1" s="1"/>
  <c r="AD1161" i="1"/>
  <c r="AD1205" i="1" s="1"/>
  <c r="AI1157" i="1"/>
  <c r="AI1160" i="1"/>
  <c r="BA1160" i="1"/>
  <c r="AZ1155" i="1"/>
  <c r="Y1161" i="1"/>
  <c r="AR1157" i="1"/>
  <c r="AZ1157" i="1"/>
  <c r="AR1160" i="1"/>
  <c r="AZ1160" i="1"/>
  <c r="BA1157" i="1"/>
  <c r="V1161" i="1"/>
  <c r="V1205" i="1" s="1"/>
  <c r="Z1157" i="1"/>
  <c r="Z1160" i="1"/>
  <c r="Z1155" i="1"/>
  <c r="AG1205" i="1" l="1"/>
  <c r="Y1205" i="1"/>
  <c r="AY1205" i="1"/>
  <c r="AQ1205" i="1"/>
  <c r="BA1161" i="1"/>
  <c r="Q1157" i="1"/>
  <c r="Q1160" i="1"/>
  <c r="BB1160" i="1"/>
  <c r="BB1157" i="1"/>
  <c r="AI1161" i="1"/>
  <c r="Q1155" i="1"/>
  <c r="AR1161" i="1"/>
  <c r="AR1205" i="1" s="1"/>
  <c r="Z1161" i="1"/>
  <c r="Z1205" i="1" s="1"/>
  <c r="AI1205" i="1" l="1"/>
  <c r="BA1205" i="1"/>
  <c r="Q1161" i="1"/>
  <c r="AY820" i="1"/>
  <c r="AY815" i="1"/>
  <c r="Q1205" i="1" l="1"/>
  <c r="AX820" i="1"/>
  <c r="AX816" i="1"/>
  <c r="AX815" i="1"/>
  <c r="AX814" i="1"/>
  <c r="AV820" i="1"/>
  <c r="AV816" i="1"/>
  <c r="AV815" i="1"/>
  <c r="AV814" i="1"/>
  <c r="AT815" i="1"/>
  <c r="AT814" i="1"/>
  <c r="AT820" i="1"/>
  <c r="AT816" i="1"/>
  <c r="AP814" i="1"/>
  <c r="AN820" i="1"/>
  <c r="AN816" i="1"/>
  <c r="AN815" i="1"/>
  <c r="AN814" i="1"/>
  <c r="AD814" i="1"/>
  <c r="AF820" i="1"/>
  <c r="AF816" i="1"/>
  <c r="AF815" i="1"/>
  <c r="AF814" i="1"/>
  <c r="AD820" i="1"/>
  <c r="AD816" i="1"/>
  <c r="AD815" i="1"/>
  <c r="AB814" i="1"/>
  <c r="AB820" i="1"/>
  <c r="AB816" i="1"/>
  <c r="AB815" i="1"/>
  <c r="X814" i="1"/>
  <c r="X820" i="1"/>
  <c r="X816" i="1"/>
  <c r="X815" i="1"/>
  <c r="V816" i="1"/>
  <c r="V820" i="1"/>
  <c r="V815" i="1"/>
  <c r="V814" i="1"/>
  <c r="T814" i="1"/>
  <c r="T820" i="1"/>
  <c r="T816" i="1"/>
  <c r="T815" i="1"/>
  <c r="AH816" i="1" l="1"/>
  <c r="AH814" i="1"/>
  <c r="T831" i="1"/>
  <c r="T830" i="1"/>
  <c r="T828" i="1"/>
  <c r="T821" i="1"/>
  <c r="T822" i="1"/>
  <c r="T823" i="1"/>
  <c r="T824" i="1"/>
  <c r="T834" i="1" l="1"/>
  <c r="AY367" i="1"/>
  <c r="AX367" i="1"/>
  <c r="AV367" i="1"/>
  <c r="AT367" i="1"/>
  <c r="AQ367" i="1"/>
  <c r="AP367" i="1"/>
  <c r="AN367" i="1"/>
  <c r="AL367" i="1"/>
  <c r="AG367" i="1"/>
  <c r="AF367" i="1"/>
  <c r="AD367" i="1"/>
  <c r="AB367" i="1"/>
  <c r="X367" i="1"/>
  <c r="V367" i="1"/>
  <c r="BA367" i="1" l="1"/>
  <c r="AH367" i="1"/>
  <c r="AZ367" i="1"/>
  <c r="AR367" i="1"/>
  <c r="BB367" i="1" l="1"/>
  <c r="AY704" i="1" l="1"/>
  <c r="AY972" i="1"/>
  <c r="AY1001" i="1"/>
  <c r="AX608" i="1" l="1"/>
  <c r="AY608" i="1" l="1"/>
  <c r="AV608" i="1"/>
  <c r="AT608" i="1"/>
  <c r="AQ608" i="1"/>
  <c r="AP608" i="1"/>
  <c r="AN608" i="1"/>
  <c r="AL608" i="1"/>
  <c r="AG608" i="1"/>
  <c r="AF608" i="1"/>
  <c r="AD608" i="1"/>
  <c r="AB608" i="1"/>
  <c r="X608" i="1"/>
  <c r="V608" i="1"/>
  <c r="AY948" i="1"/>
  <c r="AX948" i="1"/>
  <c r="AV948" i="1"/>
  <c r="AT948" i="1"/>
  <c r="AQ948" i="1"/>
  <c r="AP948" i="1"/>
  <c r="AN948" i="1"/>
  <c r="AL948" i="1"/>
  <c r="AG948" i="1"/>
  <c r="AF948" i="1"/>
  <c r="AD948" i="1"/>
  <c r="AB948" i="1"/>
  <c r="Y948" i="1"/>
  <c r="X948" i="1"/>
  <c r="V948" i="1"/>
  <c r="T948" i="1"/>
  <c r="AW510" i="1"/>
  <c r="Y509" i="1"/>
  <c r="AU510" i="1"/>
  <c r="AS510" i="1"/>
  <c r="AO510" i="1"/>
  <c r="AM510" i="1"/>
  <c r="AK510" i="1"/>
  <c r="AE1194" i="1"/>
  <c r="AC510" i="1"/>
  <c r="W510" i="1"/>
  <c r="U510" i="1"/>
  <c r="S1194" i="1"/>
  <c r="AY509" i="1"/>
  <c r="AX509" i="1"/>
  <c r="AV509" i="1"/>
  <c r="AT509" i="1"/>
  <c r="AQ509" i="1"/>
  <c r="AP509" i="1"/>
  <c r="AN509" i="1"/>
  <c r="AL509" i="1"/>
  <c r="AG509" i="1"/>
  <c r="AD509" i="1"/>
  <c r="AB509" i="1"/>
  <c r="X509" i="1"/>
  <c r="V509" i="1"/>
  <c r="T509" i="1"/>
  <c r="AY508" i="1"/>
  <c r="AX508" i="1"/>
  <c r="AV508" i="1"/>
  <c r="AT508" i="1"/>
  <c r="AQ508" i="1"/>
  <c r="AP508" i="1"/>
  <c r="AN508" i="1"/>
  <c r="AL508" i="1"/>
  <c r="AG508" i="1"/>
  <c r="AD508" i="1"/>
  <c r="AB508" i="1"/>
  <c r="Y508" i="1"/>
  <c r="X508" i="1"/>
  <c r="V508" i="1"/>
  <c r="T508" i="1"/>
  <c r="AW236" i="1"/>
  <c r="AR948" i="1" l="1"/>
  <c r="U1194" i="1"/>
  <c r="AU1194" i="1"/>
  <c r="W1194" i="1"/>
  <c r="AC1194" i="1"/>
  <c r="AO1194" i="1"/>
  <c r="AW1194" i="1"/>
  <c r="AS1194" i="1"/>
  <c r="AM1194" i="1"/>
  <c r="AK1194" i="1"/>
  <c r="BA948" i="1"/>
  <c r="Z508" i="1"/>
  <c r="Z509" i="1"/>
  <c r="Z948" i="1"/>
  <c r="AG510" i="1"/>
  <c r="AQ510" i="1"/>
  <c r="AV510" i="1"/>
  <c r="AV1194" i="1" s="1"/>
  <c r="Y510" i="1"/>
  <c r="AI509" i="1"/>
  <c r="X510" i="1"/>
  <c r="X1194" i="1" s="1"/>
  <c r="AB510" i="1"/>
  <c r="AB1194" i="1" s="1"/>
  <c r="BA509" i="1"/>
  <c r="AX510" i="1"/>
  <c r="AX1194" i="1" s="1"/>
  <c r="AI948" i="1"/>
  <c r="AH608" i="1"/>
  <c r="AZ948" i="1"/>
  <c r="AP510" i="1"/>
  <c r="AP1194" i="1" s="1"/>
  <c r="AH948" i="1"/>
  <c r="T510" i="1"/>
  <c r="T1194" i="1" s="1"/>
  <c r="BA608" i="1"/>
  <c r="AZ608" i="1"/>
  <c r="AR608" i="1"/>
  <c r="AT510" i="1"/>
  <c r="AT1194" i="1" s="1"/>
  <c r="V510" i="1"/>
  <c r="V1194" i="1" s="1"/>
  <c r="AN510" i="1"/>
  <c r="AN1194" i="1" s="1"/>
  <c r="AY510" i="1"/>
  <c r="AR509" i="1"/>
  <c r="AZ509" i="1"/>
  <c r="AF1194" i="1"/>
  <c r="AL510" i="1"/>
  <c r="AL1194" i="1" s="1"/>
  <c r="AD510" i="1"/>
  <c r="AD1194" i="1" s="1"/>
  <c r="AH509" i="1"/>
  <c r="AI508" i="1"/>
  <c r="AR508" i="1"/>
  <c r="BA508" i="1"/>
  <c r="AH508" i="1"/>
  <c r="AZ508" i="1"/>
  <c r="Y1194" i="1" l="1"/>
  <c r="AG1194" i="1"/>
  <c r="AQ1194" i="1"/>
  <c r="AY1194" i="1"/>
  <c r="Q948" i="1"/>
  <c r="BB948" i="1"/>
  <c r="Z510" i="1"/>
  <c r="Z1194" i="1" s="1"/>
  <c r="BB509" i="1"/>
  <c r="Q509" i="1"/>
  <c r="Q508" i="1"/>
  <c r="BA510" i="1"/>
  <c r="AH510" i="1"/>
  <c r="AH1194" i="1" s="1"/>
  <c r="AJ948" i="1"/>
  <c r="BB608" i="1"/>
  <c r="AZ510" i="1"/>
  <c r="AZ1194" i="1" s="1"/>
  <c r="AJ509" i="1"/>
  <c r="AR510" i="1"/>
  <c r="AR1194" i="1" s="1"/>
  <c r="BB508" i="1"/>
  <c r="AJ508" i="1"/>
  <c r="AI510" i="1"/>
  <c r="T361" i="1" l="1"/>
  <c r="AI1194" i="1"/>
  <c r="BA1194" i="1"/>
  <c r="R948" i="1"/>
  <c r="R509" i="1"/>
  <c r="Q510" i="1"/>
  <c r="BB510" i="1"/>
  <c r="BB1194" i="1" s="1"/>
  <c r="AJ510" i="1"/>
  <c r="AJ1194" i="1" s="1"/>
  <c r="R508" i="1"/>
  <c r="Q1194" i="1" l="1"/>
  <c r="R510" i="1"/>
  <c r="AW1188" i="1"/>
  <c r="AY371" i="1"/>
  <c r="AX371" i="1"/>
  <c r="AV371" i="1"/>
  <c r="AT371" i="1"/>
  <c r="AQ371" i="1"/>
  <c r="AP371" i="1"/>
  <c r="AN371" i="1"/>
  <c r="AL371" i="1"/>
  <c r="AG371" i="1"/>
  <c r="AF371" i="1"/>
  <c r="AD371" i="1"/>
  <c r="AB371" i="1"/>
  <c r="X371" i="1"/>
  <c r="V371" i="1"/>
  <c r="R1194" i="1" l="1"/>
  <c r="BA371" i="1"/>
  <c r="AH371" i="1"/>
  <c r="AR371" i="1"/>
  <c r="AZ371" i="1"/>
  <c r="AX196" i="1"/>
  <c r="BB371" i="1" l="1"/>
  <c r="AU197" i="1"/>
  <c r="AW197" i="1"/>
  <c r="AY193" i="1"/>
  <c r="AX193" i="1"/>
  <c r="AV193" i="1"/>
  <c r="AT193" i="1"/>
  <c r="AQ193" i="1"/>
  <c r="AP193" i="1"/>
  <c r="AN193" i="1"/>
  <c r="AL193" i="1"/>
  <c r="AG193" i="1"/>
  <c r="AF193" i="1"/>
  <c r="AD193" i="1"/>
  <c r="X193" i="1"/>
  <c r="V193" i="1"/>
  <c r="BA193" i="1" l="1"/>
  <c r="AR193" i="1"/>
  <c r="AZ193" i="1"/>
  <c r="AH193" i="1"/>
  <c r="AW214" i="1"/>
  <c r="AU214" i="1"/>
  <c r="AM214" i="1"/>
  <c r="AY213" i="1"/>
  <c r="AX213" i="1"/>
  <c r="AV213" i="1"/>
  <c r="AT213" i="1"/>
  <c r="AQ213" i="1"/>
  <c r="AP213" i="1"/>
  <c r="AN213" i="1"/>
  <c r="AL213" i="1"/>
  <c r="AG213" i="1"/>
  <c r="AF213" i="1"/>
  <c r="AD213" i="1"/>
  <c r="AB213" i="1"/>
  <c r="X213" i="1"/>
  <c r="V213" i="1"/>
  <c r="AX208" i="1"/>
  <c r="AX198" i="1"/>
  <c r="AX126" i="1"/>
  <c r="AU1184" i="1" l="1"/>
  <c r="BA213" i="1"/>
  <c r="AW1184" i="1"/>
  <c r="AM1184" i="1"/>
  <c r="BB193" i="1"/>
  <c r="AR213" i="1"/>
  <c r="AZ213" i="1"/>
  <c r="AH213" i="1"/>
  <c r="AV648" i="1"/>
  <c r="AV647" i="1"/>
  <c r="AU459" i="1"/>
  <c r="AV118" i="1"/>
  <c r="AV15" i="1"/>
  <c r="AP13" i="1"/>
  <c r="AU1190" i="1" l="1"/>
  <c r="BB213" i="1"/>
  <c r="AQ79" i="1"/>
  <c r="AQ820" i="1" l="1"/>
  <c r="AG530" i="1"/>
  <c r="AG695" i="1"/>
  <c r="AG686" i="1"/>
  <c r="AG978" i="1"/>
  <c r="AG976" i="1"/>
  <c r="AG918" i="1"/>
  <c r="Y1133" i="1"/>
  <c r="Y1131" i="1"/>
  <c r="Y1128" i="1"/>
  <c r="Y820" i="1"/>
  <c r="Y815" i="1"/>
  <c r="Y972" i="1"/>
  <c r="Y978" i="1"/>
  <c r="Y976" i="1"/>
  <c r="AT598" i="1"/>
  <c r="AT206" i="1" l="1"/>
  <c r="AT128" i="1" l="1"/>
  <c r="AT463" i="1"/>
  <c r="AY970" i="1" l="1"/>
  <c r="AX970" i="1"/>
  <c r="AV970" i="1"/>
  <c r="AT970" i="1"/>
  <c r="AQ970" i="1"/>
  <c r="AP970" i="1"/>
  <c r="AN970" i="1"/>
  <c r="AL970" i="1"/>
  <c r="AG970" i="1"/>
  <c r="AF970" i="1"/>
  <c r="AD970" i="1"/>
  <c r="AB970" i="1"/>
  <c r="Y970" i="1"/>
  <c r="X970" i="1"/>
  <c r="V970" i="1"/>
  <c r="T970" i="1"/>
  <c r="AY888" i="1"/>
  <c r="AX888" i="1"/>
  <c r="AV888" i="1"/>
  <c r="AT888" i="1"/>
  <c r="AQ888" i="1"/>
  <c r="AP888" i="1"/>
  <c r="AN888" i="1"/>
  <c r="AL888" i="1"/>
  <c r="AG888" i="1"/>
  <c r="AF888" i="1"/>
  <c r="AD888" i="1"/>
  <c r="AB888" i="1"/>
  <c r="Y888" i="1"/>
  <c r="X888" i="1"/>
  <c r="V888" i="1"/>
  <c r="T888" i="1"/>
  <c r="T889" i="1"/>
  <c r="V889" i="1"/>
  <c r="X889" i="1"/>
  <c r="Y889" i="1"/>
  <c r="AB889" i="1"/>
  <c r="AD889" i="1"/>
  <c r="AF889" i="1"/>
  <c r="AG889" i="1"/>
  <c r="AL889" i="1"/>
  <c r="AN889" i="1"/>
  <c r="AP889" i="1"/>
  <c r="AQ889" i="1"/>
  <c r="AT889" i="1"/>
  <c r="AV889" i="1"/>
  <c r="AX889" i="1"/>
  <c r="AY889" i="1"/>
  <c r="AY561" i="1"/>
  <c r="AX561" i="1"/>
  <c r="AV561" i="1"/>
  <c r="AT561" i="1"/>
  <c r="AQ561" i="1"/>
  <c r="AP561" i="1"/>
  <c r="AN561" i="1"/>
  <c r="AL561" i="1"/>
  <c r="AG561" i="1"/>
  <c r="AF561" i="1"/>
  <c r="AD561" i="1"/>
  <c r="AB561" i="1"/>
  <c r="Y561" i="1"/>
  <c r="X561" i="1"/>
  <c r="V561" i="1"/>
  <c r="T561" i="1"/>
  <c r="AI888" i="1" l="1"/>
  <c r="BA888" i="1"/>
  <c r="BA561" i="1"/>
  <c r="Z561" i="1"/>
  <c r="AH889" i="1"/>
  <c r="BA970" i="1"/>
  <c r="AI561" i="1"/>
  <c r="AI970" i="1"/>
  <c r="AZ970" i="1"/>
  <c r="AR889" i="1"/>
  <c r="AR888" i="1"/>
  <c r="AR970" i="1"/>
  <c r="AH888" i="1"/>
  <c r="AH970" i="1"/>
  <c r="Z888" i="1"/>
  <c r="Z970" i="1"/>
  <c r="BA889" i="1"/>
  <c r="AI889" i="1"/>
  <c r="Z889" i="1"/>
  <c r="AZ889" i="1"/>
  <c r="AZ888" i="1"/>
  <c r="AR561" i="1"/>
  <c r="AH561" i="1"/>
  <c r="AZ561" i="1"/>
  <c r="Q888" i="1" l="1"/>
  <c r="Q561" i="1"/>
  <c r="AJ888" i="1"/>
  <c r="AJ970" i="1"/>
  <c r="Q970" i="1"/>
  <c r="Q889" i="1"/>
  <c r="AJ889" i="1"/>
  <c r="AJ561" i="1"/>
  <c r="BB888" i="1"/>
  <c r="BB970" i="1"/>
  <c r="BB889" i="1"/>
  <c r="BB561" i="1"/>
  <c r="R888" i="1" l="1"/>
  <c r="R970" i="1"/>
  <c r="R561" i="1"/>
  <c r="R889" i="1"/>
  <c r="AO24" i="1"/>
  <c r="AO28" i="1"/>
  <c r="AO105" i="1"/>
  <c r="AO110" i="1"/>
  <c r="AO138" i="1"/>
  <c r="AO144" i="1"/>
  <c r="AO197" i="1"/>
  <c r="AO214" i="1"/>
  <c r="AO228" i="1"/>
  <c r="AO231" i="1"/>
  <c r="AO236" i="1"/>
  <c r="AO1188" i="1"/>
  <c r="AO1189" i="1"/>
  <c r="AO459" i="1"/>
  <c r="AO487" i="1"/>
  <c r="AO507" i="1"/>
  <c r="AO525" i="1"/>
  <c r="AO539" i="1"/>
  <c r="AO644" i="1"/>
  <c r="AO767" i="1"/>
  <c r="AO771" i="1"/>
  <c r="AO787" i="1"/>
  <c r="AO864" i="1"/>
  <c r="AO1126" i="1"/>
  <c r="S1150" i="1"/>
  <c r="U1150" i="1"/>
  <c r="W1150" i="1"/>
  <c r="AA1150" i="1"/>
  <c r="AC1150" i="1"/>
  <c r="AE1150" i="1"/>
  <c r="AK1150" i="1"/>
  <c r="AM1150" i="1"/>
  <c r="AO1150" i="1"/>
  <c r="AS1150" i="1"/>
  <c r="AU1150" i="1"/>
  <c r="AW1150" i="1"/>
  <c r="S1145" i="1"/>
  <c r="U1145" i="1"/>
  <c r="W1145" i="1"/>
  <c r="AA1145" i="1"/>
  <c r="AC1145" i="1"/>
  <c r="AE1145" i="1"/>
  <c r="AK1145" i="1"/>
  <c r="AM1145" i="1"/>
  <c r="AO1145" i="1"/>
  <c r="AS1145" i="1"/>
  <c r="AU1145" i="1"/>
  <c r="AW1145" i="1"/>
  <c r="S1142" i="1"/>
  <c r="U1142" i="1"/>
  <c r="W1142" i="1"/>
  <c r="AA1142" i="1"/>
  <c r="AC1142" i="1"/>
  <c r="AE1142" i="1"/>
  <c r="AI1142" i="1"/>
  <c r="AK1142" i="1"/>
  <c r="AM1142" i="1"/>
  <c r="AO1142" i="1"/>
  <c r="AS1142" i="1"/>
  <c r="AU1142" i="1"/>
  <c r="AW1142" i="1"/>
  <c r="S1136" i="1"/>
  <c r="U1136" i="1"/>
  <c r="W1136" i="1"/>
  <c r="AA1136" i="1"/>
  <c r="AC1136" i="1"/>
  <c r="AE1136" i="1"/>
  <c r="AK1136" i="1"/>
  <c r="AM1136" i="1"/>
  <c r="AO1136" i="1"/>
  <c r="AS1136" i="1"/>
  <c r="AU1136" i="1"/>
  <c r="AW1136" i="1"/>
  <c r="W1126" i="1"/>
  <c r="AC1126" i="1"/>
  <c r="AE1126" i="1"/>
  <c r="AK1126" i="1"/>
  <c r="AM1126" i="1"/>
  <c r="AS1126" i="1"/>
  <c r="AW1126" i="1"/>
  <c r="AA886" i="1"/>
  <c r="U864" i="1"/>
  <c r="W864" i="1"/>
  <c r="AC864" i="1"/>
  <c r="AE864" i="1"/>
  <c r="AM864" i="1"/>
  <c r="AS864" i="1"/>
  <c r="AU864" i="1"/>
  <c r="AW864" i="1"/>
  <c r="S787" i="1"/>
  <c r="S797" i="1" s="1"/>
  <c r="U787" i="1"/>
  <c r="W787" i="1"/>
  <c r="AC787" i="1"/>
  <c r="AK787" i="1"/>
  <c r="AM787" i="1"/>
  <c r="AS787" i="1"/>
  <c r="AU787" i="1"/>
  <c r="AW787" i="1"/>
  <c r="U771" i="1"/>
  <c r="W771" i="1"/>
  <c r="AC771" i="1"/>
  <c r="AE771" i="1"/>
  <c r="AK771" i="1"/>
  <c r="AM771" i="1"/>
  <c r="AS771" i="1"/>
  <c r="AU771" i="1"/>
  <c r="AW771" i="1"/>
  <c r="U1198" i="1"/>
  <c r="W767" i="1"/>
  <c r="AC767" i="1"/>
  <c r="AE1198" i="1"/>
  <c r="AK767" i="1"/>
  <c r="AM767" i="1"/>
  <c r="AS767" i="1"/>
  <c r="AU767" i="1"/>
  <c r="AW767" i="1"/>
  <c r="AE1197" i="1"/>
  <c r="U644" i="1"/>
  <c r="W644" i="1"/>
  <c r="AC644" i="1"/>
  <c r="AE1196" i="1"/>
  <c r="AK644" i="1"/>
  <c r="AM644" i="1"/>
  <c r="AS644" i="1"/>
  <c r="AU1196" i="1"/>
  <c r="AW644" i="1"/>
  <c r="U539" i="1"/>
  <c r="W539" i="1"/>
  <c r="AC539" i="1"/>
  <c r="AE539" i="1"/>
  <c r="AK539" i="1"/>
  <c r="AM539" i="1"/>
  <c r="AS539" i="1"/>
  <c r="AU539" i="1"/>
  <c r="AW539" i="1"/>
  <c r="U525" i="1"/>
  <c r="W525" i="1"/>
  <c r="AC525" i="1"/>
  <c r="AE525" i="1"/>
  <c r="AK525" i="1"/>
  <c r="AM525" i="1"/>
  <c r="AS525" i="1"/>
  <c r="AU525" i="1"/>
  <c r="AW525" i="1"/>
  <c r="U507" i="1"/>
  <c r="W1193" i="1"/>
  <c r="AC507" i="1"/>
  <c r="AE1193" i="1"/>
  <c r="AK507" i="1"/>
  <c r="AM507" i="1"/>
  <c r="AS507" i="1"/>
  <c r="AU507" i="1"/>
  <c r="AW507" i="1"/>
  <c r="U487" i="1"/>
  <c r="W487" i="1"/>
  <c r="AC487" i="1"/>
  <c r="AK487" i="1"/>
  <c r="AM487" i="1"/>
  <c r="AS487" i="1"/>
  <c r="AU487" i="1"/>
  <c r="AW487" i="1"/>
  <c r="U459" i="1"/>
  <c r="AC1190" i="1"/>
  <c r="AE459" i="1"/>
  <c r="AK459" i="1"/>
  <c r="AM459" i="1"/>
  <c r="AW459" i="1"/>
  <c r="AM1189" i="1"/>
  <c r="W1188" i="1"/>
  <c r="W1191" i="1" s="1"/>
  <c r="AC1188" i="1"/>
  <c r="AE1188" i="1"/>
  <c r="AK1188" i="1"/>
  <c r="AS1188" i="1"/>
  <c r="AS1191" i="1" s="1"/>
  <c r="AU1188" i="1"/>
  <c r="AU1191" i="1" s="1"/>
  <c r="U236" i="1"/>
  <c r="W236" i="1"/>
  <c r="AC236" i="1"/>
  <c r="AE236" i="1"/>
  <c r="AK236" i="1"/>
  <c r="AM236" i="1"/>
  <c r="AS236" i="1"/>
  <c r="AU236" i="1"/>
  <c r="U231" i="1"/>
  <c r="W231" i="1"/>
  <c r="AA231" i="1"/>
  <c r="AC231" i="1"/>
  <c r="AE231" i="1"/>
  <c r="AK231" i="1"/>
  <c r="AM231" i="1"/>
  <c r="AS231" i="1"/>
  <c r="AU231" i="1"/>
  <c r="AW231" i="1"/>
  <c r="U228" i="1"/>
  <c r="W228" i="1"/>
  <c r="AA228" i="1"/>
  <c r="AC228" i="1"/>
  <c r="AE1186" i="1"/>
  <c r="AK228" i="1"/>
  <c r="AM228" i="1"/>
  <c r="AS228" i="1"/>
  <c r="AU228" i="1"/>
  <c r="AW228" i="1"/>
  <c r="U214" i="1"/>
  <c r="W214" i="1"/>
  <c r="AC214" i="1"/>
  <c r="AE1184" i="1"/>
  <c r="AK214" i="1"/>
  <c r="AS214" i="1"/>
  <c r="U197" i="1"/>
  <c r="AK197" i="1"/>
  <c r="AM197" i="1"/>
  <c r="AS197" i="1"/>
  <c r="W1181" i="1"/>
  <c r="AC144" i="1"/>
  <c r="AK144" i="1"/>
  <c r="AM144" i="1"/>
  <c r="AS144" i="1"/>
  <c r="AU144" i="1"/>
  <c r="AW144" i="1"/>
  <c r="U138" i="1"/>
  <c r="W138" i="1"/>
  <c r="AC138" i="1"/>
  <c r="AE1183" i="1"/>
  <c r="AK138" i="1"/>
  <c r="AM138" i="1"/>
  <c r="AS138" i="1"/>
  <c r="AU138" i="1"/>
  <c r="AW138" i="1"/>
  <c r="U110" i="1"/>
  <c r="AC110" i="1"/>
  <c r="AE110" i="1"/>
  <c r="AK110" i="1"/>
  <c r="AM110" i="1"/>
  <c r="AS110" i="1"/>
  <c r="AU110" i="1"/>
  <c r="AW110" i="1"/>
  <c r="U105" i="1"/>
  <c r="W105" i="1"/>
  <c r="AC1180" i="1"/>
  <c r="AE1180" i="1"/>
  <c r="AK105" i="1"/>
  <c r="AM105" i="1"/>
  <c r="AS105" i="1"/>
  <c r="AU105" i="1"/>
  <c r="AW105" i="1"/>
  <c r="U28" i="1"/>
  <c r="W28" i="1"/>
  <c r="AC28" i="1"/>
  <c r="AK28" i="1"/>
  <c r="AM28" i="1"/>
  <c r="AS28" i="1"/>
  <c r="AU28" i="1"/>
  <c r="AW28" i="1"/>
  <c r="AC24" i="1"/>
  <c r="AK24" i="1"/>
  <c r="AM24" i="1"/>
  <c r="AS24" i="1"/>
  <c r="AU24" i="1"/>
  <c r="AW24" i="1"/>
  <c r="AW1183" i="1" l="1"/>
  <c r="AW1185" i="1" s="1"/>
  <c r="AK1183" i="1"/>
  <c r="U1183" i="1"/>
  <c r="U1185" i="1" s="1"/>
  <c r="AS1184" i="1"/>
  <c r="W1184" i="1"/>
  <c r="AS1186" i="1"/>
  <c r="AC1186" i="1"/>
  <c r="AE1190" i="1"/>
  <c r="AE1191" i="1" s="1"/>
  <c r="AU1193" i="1"/>
  <c r="W1196" i="1"/>
  <c r="AS1197" i="1"/>
  <c r="AC1197" i="1"/>
  <c r="AE139" i="1"/>
  <c r="AU1183" i="1"/>
  <c r="AU1185" i="1" s="1"/>
  <c r="AW1181" i="1"/>
  <c r="U1184" i="1"/>
  <c r="AA1186" i="1"/>
  <c r="AA1187" i="1" s="1"/>
  <c r="AW1190" i="1"/>
  <c r="AW1191" i="1" s="1"/>
  <c r="AS1193" i="1"/>
  <c r="AC1193" i="1"/>
  <c r="AW1196" i="1"/>
  <c r="U1196" i="1"/>
  <c r="W1197" i="1"/>
  <c r="S1199" i="1"/>
  <c r="AO1190" i="1"/>
  <c r="AO1191" i="1" s="1"/>
  <c r="AS1183" i="1"/>
  <c r="AS1185" i="1" s="1"/>
  <c r="AC1183" i="1"/>
  <c r="AC1185" i="1" s="1"/>
  <c r="AU1181" i="1"/>
  <c r="AW1186" i="1"/>
  <c r="AK1186" i="1"/>
  <c r="W1186" i="1"/>
  <c r="U1190" i="1"/>
  <c r="U1191" i="1" s="1"/>
  <c r="AW1197" i="1"/>
  <c r="U1197" i="1"/>
  <c r="AO1197" i="1"/>
  <c r="AO1186" i="1"/>
  <c r="AO1183" i="1"/>
  <c r="AO1185" i="1" s="1"/>
  <c r="AM1183" i="1"/>
  <c r="AM1185" i="1" s="1"/>
  <c r="W1183" i="1"/>
  <c r="W1185" i="1" s="1"/>
  <c r="AC1184" i="1"/>
  <c r="AU1186" i="1"/>
  <c r="U1186" i="1"/>
  <c r="AW1193" i="1"/>
  <c r="U1193" i="1"/>
  <c r="AS1196" i="1"/>
  <c r="AC1196" i="1"/>
  <c r="AU1197" i="1"/>
  <c r="AO1196" i="1"/>
  <c r="AO1193" i="1"/>
  <c r="AO1184" i="1"/>
  <c r="AM1197" i="1"/>
  <c r="AM1196" i="1"/>
  <c r="AM1193" i="1"/>
  <c r="AM1186" i="1"/>
  <c r="AM1190" i="1"/>
  <c r="AK1197" i="1"/>
  <c r="AK1196" i="1"/>
  <c r="AK1193" i="1"/>
  <c r="AK1190" i="1"/>
  <c r="AK1191" i="1" s="1"/>
  <c r="AK1184" i="1"/>
  <c r="AW1198" i="1"/>
  <c r="AK1198" i="1"/>
  <c r="AU1198" i="1"/>
  <c r="AS1198" i="1"/>
  <c r="AC1198" i="1"/>
  <c r="AO1198" i="1"/>
  <c r="AM1198" i="1"/>
  <c r="W1198" i="1"/>
  <c r="AW1180" i="1"/>
  <c r="AK1180" i="1"/>
  <c r="U1180" i="1"/>
  <c r="AU1180" i="1"/>
  <c r="AO1180" i="1"/>
  <c r="AS1180" i="1"/>
  <c r="AM1180" i="1"/>
  <c r="W1180" i="1"/>
  <c r="W1182" i="1" s="1"/>
  <c r="AW1178" i="1"/>
  <c r="W1178" i="1"/>
  <c r="AK1178" i="1"/>
  <c r="AU1199" i="1"/>
  <c r="AS1199" i="1"/>
  <c r="AM515" i="1"/>
  <c r="AW1192" i="1"/>
  <c r="AW1195" i="1" s="1"/>
  <c r="AW515" i="1"/>
  <c r="AK1192" i="1"/>
  <c r="AK515" i="1"/>
  <c r="U1192" i="1"/>
  <c r="U515" i="1"/>
  <c r="AU1192" i="1"/>
  <c r="AU515" i="1"/>
  <c r="AE1192" i="1"/>
  <c r="AE1195" i="1" s="1"/>
  <c r="AS1192" i="1"/>
  <c r="AS515" i="1"/>
  <c r="AC1192" i="1"/>
  <c r="AC515" i="1"/>
  <c r="AO1192" i="1"/>
  <c r="AO515" i="1"/>
  <c r="W1192" i="1"/>
  <c r="W1195" i="1" s="1"/>
  <c r="W515" i="1"/>
  <c r="AS1178" i="1"/>
  <c r="AC1178" i="1"/>
  <c r="AW1199" i="1"/>
  <c r="AK1199" i="1"/>
  <c r="U1199" i="1"/>
  <c r="AC1199" i="1"/>
  <c r="AU1178" i="1"/>
  <c r="AE1178" i="1"/>
  <c r="AE1199" i="1"/>
  <c r="AE1200" i="1" s="1"/>
  <c r="AE1181" i="1"/>
  <c r="AE1182" i="1" s="1"/>
  <c r="AM1199" i="1"/>
  <c r="W1199" i="1"/>
  <c r="AK1181" i="1"/>
  <c r="AC1181" i="1"/>
  <c r="AC1182" i="1" s="1"/>
  <c r="AS1206" i="1"/>
  <c r="AK1206" i="1"/>
  <c r="AC1206" i="1"/>
  <c r="W1206" i="1"/>
  <c r="AO1206" i="1"/>
  <c r="AU1206" i="1"/>
  <c r="AM1206" i="1"/>
  <c r="AE1206" i="1"/>
  <c r="AA1206" i="1"/>
  <c r="U1206" i="1"/>
  <c r="AW1206" i="1"/>
  <c r="S1193" i="1"/>
  <c r="U1181" i="1"/>
  <c r="U1178" i="1"/>
  <c r="AE1185" i="1"/>
  <c r="AC1191" i="1"/>
  <c r="AA229" i="1"/>
  <c r="AO1178" i="1"/>
  <c r="AA1143" i="1"/>
  <c r="AA1201" i="1"/>
  <c r="AS1181" i="1"/>
  <c r="AO1199" i="1"/>
  <c r="AO1181" i="1"/>
  <c r="AM1192" i="1"/>
  <c r="AM1188" i="1"/>
  <c r="AM1181" i="1"/>
  <c r="AM139" i="1"/>
  <c r="AM1178" i="1"/>
  <c r="AW886" i="1"/>
  <c r="AC886" i="1"/>
  <c r="S886" i="1"/>
  <c r="U139" i="1"/>
  <c r="U29" i="1"/>
  <c r="AO540" i="1"/>
  <c r="AU886" i="1"/>
  <c r="AE886" i="1"/>
  <c r="U886" i="1"/>
  <c r="AO29" i="1"/>
  <c r="AK139" i="1"/>
  <c r="AM229" i="1"/>
  <c r="AE540" i="1"/>
  <c r="U540" i="1"/>
  <c r="AK540" i="1"/>
  <c r="AM886" i="1"/>
  <c r="AC540" i="1"/>
  <c r="W540" i="1"/>
  <c r="AM540" i="1"/>
  <c r="AS886" i="1"/>
  <c r="AK886" i="1"/>
  <c r="AO886" i="1"/>
  <c r="AS29" i="1"/>
  <c r="AO772" i="1"/>
  <c r="AO797" i="1" s="1"/>
  <c r="AO139" i="1"/>
  <c r="AM772" i="1"/>
  <c r="AM797" i="1" s="1"/>
  <c r="AM29" i="1"/>
  <c r="AK772" i="1"/>
  <c r="AK797" i="1" s="1"/>
  <c r="AK29" i="1"/>
  <c r="AE772" i="1"/>
  <c r="AE797" i="1" s="1"/>
  <c r="AE1177" i="1"/>
  <c r="AC772" i="1"/>
  <c r="AC797" i="1" s="1"/>
  <c r="AC139" i="1"/>
  <c r="AC29" i="1"/>
  <c r="W886" i="1"/>
  <c r="W772" i="1"/>
  <c r="W797" i="1" s="1"/>
  <c r="W139" i="1"/>
  <c r="W29" i="1"/>
  <c r="U772" i="1"/>
  <c r="U797" i="1" s="1"/>
  <c r="AW772" i="1"/>
  <c r="AW797" i="1" s="1"/>
  <c r="AW540" i="1"/>
  <c r="AK229" i="1"/>
  <c r="AC229" i="1"/>
  <c r="W229" i="1"/>
  <c r="U229" i="1"/>
  <c r="AO229" i="1"/>
  <c r="AW29" i="1"/>
  <c r="AW229" i="1"/>
  <c r="AW139" i="1"/>
  <c r="AU772" i="1"/>
  <c r="AU797" i="1" s="1"/>
  <c r="AU229" i="1"/>
  <c r="AU540" i="1"/>
  <c r="AU29" i="1"/>
  <c r="AU139" i="1"/>
  <c r="AS772" i="1"/>
  <c r="AS797" i="1" s="1"/>
  <c r="AS540" i="1"/>
  <c r="AS229" i="1"/>
  <c r="AS139" i="1"/>
  <c r="AT146" i="1"/>
  <c r="AK1185" i="1" l="1"/>
  <c r="AM1195" i="1"/>
  <c r="AC1200" i="1"/>
  <c r="AU1182" i="1"/>
  <c r="AS1195" i="1"/>
  <c r="U1200" i="1"/>
  <c r="AC1195" i="1"/>
  <c r="AO1182" i="1"/>
  <c r="AO1195" i="1"/>
  <c r="AW1182" i="1"/>
  <c r="AU1195" i="1"/>
  <c r="AU1200" i="1"/>
  <c r="AE237" i="1"/>
  <c r="AM1191" i="1"/>
  <c r="U1195" i="1"/>
  <c r="U1182" i="1"/>
  <c r="AW1200" i="1"/>
  <c r="AC1177" i="1"/>
  <c r="AC1179" i="1" s="1"/>
  <c r="AC1187" i="1" s="1"/>
  <c r="AS1177" i="1"/>
  <c r="AS1179" i="1" s="1"/>
  <c r="AU1177" i="1"/>
  <c r="AU1179" i="1" s="1"/>
  <c r="AC1204" i="1"/>
  <c r="W1200" i="1"/>
  <c r="AS1204" i="1"/>
  <c r="AU1204" i="1"/>
  <c r="AW1204" i="1"/>
  <c r="AO1177" i="1"/>
  <c r="AO1179" i="1" s="1"/>
  <c r="AO1204" i="1"/>
  <c r="AO1200" i="1"/>
  <c r="AA237" i="1"/>
  <c r="AA6" i="1" s="1"/>
  <c r="AS1200" i="1"/>
  <c r="W1177" i="1"/>
  <c r="W1179" i="1" s="1"/>
  <c r="W1187" i="1" s="1"/>
  <c r="AW1177" i="1"/>
  <c r="AW1179" i="1" s="1"/>
  <c r="W1204" i="1"/>
  <c r="U1204" i="1"/>
  <c r="U1177" i="1"/>
  <c r="U1179" i="1" s="1"/>
  <c r="AS1182" i="1"/>
  <c r="AK1182" i="1"/>
  <c r="AM1200" i="1"/>
  <c r="AM1204" i="1"/>
  <c r="AM1182" i="1"/>
  <c r="AM1177" i="1"/>
  <c r="AM1179" i="1" s="1"/>
  <c r="AW1201" i="1"/>
  <c r="AS1201" i="1"/>
  <c r="AU1201" i="1"/>
  <c r="S1201" i="1"/>
  <c r="U1201" i="1"/>
  <c r="AK1200" i="1"/>
  <c r="AK1195" i="1"/>
  <c r="AK1204" i="1"/>
  <c r="AK1177" i="1"/>
  <c r="AK1179" i="1" s="1"/>
  <c r="AE1204" i="1"/>
  <c r="AE1179" i="1"/>
  <c r="AE1187" i="1" s="1"/>
  <c r="AA1202" i="1"/>
  <c r="AA1203" i="1" s="1"/>
  <c r="S1143" i="1"/>
  <c r="S6" i="1" s="1"/>
  <c r="AW1143" i="1"/>
  <c r="AU1143" i="1"/>
  <c r="AK1143" i="1"/>
  <c r="AK1201" i="1"/>
  <c r="AE1143" i="1"/>
  <c r="AE1201" i="1"/>
  <c r="AC1143" i="1"/>
  <c r="AC1201" i="1"/>
  <c r="W1143" i="1"/>
  <c r="W1201" i="1"/>
  <c r="U1143" i="1"/>
  <c r="AS1143" i="1"/>
  <c r="AO1143" i="1"/>
  <c r="AO1201" i="1"/>
  <c r="AM1143" i="1"/>
  <c r="AM1201" i="1"/>
  <c r="U237" i="1"/>
  <c r="U6" i="1" s="1"/>
  <c r="AM237" i="1"/>
  <c r="AM6" i="1" s="1"/>
  <c r="W237" i="1"/>
  <c r="AK237" i="1"/>
  <c r="AK6" i="1" s="1"/>
  <c r="AO237" i="1"/>
  <c r="AO6" i="1" s="1"/>
  <c r="AU237" i="1"/>
  <c r="AC237" i="1"/>
  <c r="AC6" i="1" s="1"/>
  <c r="AW237" i="1"/>
  <c r="AS237" i="1"/>
  <c r="AQ143" i="1"/>
  <c r="AP820" i="1"/>
  <c r="AP816" i="1"/>
  <c r="AP815" i="1"/>
  <c r="AP11" i="1"/>
  <c r="AP530" i="1"/>
  <c r="AP535" i="1"/>
  <c r="AP775" i="1"/>
  <c r="AP785" i="1"/>
  <c r="AP786" i="1"/>
  <c r="AP762" i="1"/>
  <c r="AY700" i="1"/>
  <c r="AX700" i="1"/>
  <c r="AV700" i="1"/>
  <c r="AT700" i="1"/>
  <c r="AQ700" i="1"/>
  <c r="AP700" i="1"/>
  <c r="AN700" i="1"/>
  <c r="AL700" i="1"/>
  <c r="AG700" i="1"/>
  <c r="AF700" i="1"/>
  <c r="AD700" i="1"/>
  <c r="AB700" i="1"/>
  <c r="X700" i="1"/>
  <c r="V700" i="1"/>
  <c r="AP693" i="1"/>
  <c r="AY695" i="1"/>
  <c r="AX695" i="1"/>
  <c r="AV695" i="1"/>
  <c r="AT695" i="1"/>
  <c r="AQ695" i="1"/>
  <c r="AP695" i="1"/>
  <c r="AN695" i="1"/>
  <c r="AL695" i="1"/>
  <c r="AF695" i="1"/>
  <c r="AD695" i="1"/>
  <c r="AB695" i="1"/>
  <c r="X695" i="1"/>
  <c r="V695" i="1"/>
  <c r="AY699" i="1"/>
  <c r="AX699" i="1"/>
  <c r="AV699" i="1"/>
  <c r="AT699" i="1"/>
  <c r="AQ699" i="1"/>
  <c r="AP699" i="1"/>
  <c r="AN699" i="1"/>
  <c r="AL699" i="1"/>
  <c r="AG699" i="1"/>
  <c r="AF699" i="1"/>
  <c r="AD699" i="1"/>
  <c r="AB699" i="1"/>
  <c r="X699" i="1"/>
  <c r="V699" i="1"/>
  <c r="AY693" i="1"/>
  <c r="AX693" i="1"/>
  <c r="AV693" i="1"/>
  <c r="AT693" i="1"/>
  <c r="AQ693" i="1"/>
  <c r="AN693" i="1"/>
  <c r="AL693" i="1"/>
  <c r="AF693" i="1"/>
  <c r="AD693" i="1"/>
  <c r="AB693" i="1"/>
  <c r="X693" i="1"/>
  <c r="V693" i="1"/>
  <c r="AP663" i="1"/>
  <c r="AP751" i="1"/>
  <c r="AP766" i="1"/>
  <c r="AP764" i="1"/>
  <c r="AP768" i="1"/>
  <c r="AP1010" i="1"/>
  <c r="AP918" i="1"/>
  <c r="AP913" i="1"/>
  <c r="AY914" i="1"/>
  <c r="AX914" i="1"/>
  <c r="AV914" i="1"/>
  <c r="AT914" i="1"/>
  <c r="AQ914" i="1"/>
  <c r="AP914" i="1"/>
  <c r="AN914" i="1"/>
  <c r="AL914" i="1"/>
  <c r="AG914" i="1"/>
  <c r="AF914" i="1"/>
  <c r="AD914" i="1"/>
  <c r="AB914" i="1"/>
  <c r="Y914" i="1"/>
  <c r="X914" i="1"/>
  <c r="V914" i="1"/>
  <c r="T914" i="1"/>
  <c r="AP911" i="1"/>
  <c r="AP905" i="1"/>
  <c r="AP910" i="1"/>
  <c r="AP912" i="1"/>
  <c r="AP831" i="1"/>
  <c r="AQ815" i="1"/>
  <c r="BA820" i="1"/>
  <c r="AI820" i="1"/>
  <c r="AP828" i="1"/>
  <c r="AU6" i="1" l="1"/>
  <c r="AW6" i="1"/>
  <c r="W6" i="1"/>
  <c r="AS6" i="1"/>
  <c r="AE6" i="1"/>
  <c r="AS1187" i="1"/>
  <c r="AU1187" i="1"/>
  <c r="AO1187" i="1"/>
  <c r="U1187" i="1"/>
  <c r="AM1187" i="1"/>
  <c r="AK1187" i="1"/>
  <c r="AW1187" i="1"/>
  <c r="BA695" i="1"/>
  <c r="U1202" i="1"/>
  <c r="U1203" i="1" s="1"/>
  <c r="AC1202" i="1"/>
  <c r="AC1203" i="1" s="1"/>
  <c r="S1202" i="1"/>
  <c r="S1203" i="1" s="1"/>
  <c r="AO1202" i="1"/>
  <c r="AO1203" i="1" s="1"/>
  <c r="W1202" i="1"/>
  <c r="W1203" i="1" s="1"/>
  <c r="AE1202" i="1"/>
  <c r="AE1203" i="1" s="1"/>
  <c r="AU1202" i="1"/>
  <c r="AU1203" i="1" s="1"/>
  <c r="AM1202" i="1"/>
  <c r="AM1203" i="1" s="1"/>
  <c r="AS1202" i="1"/>
  <c r="AS1203" i="1" s="1"/>
  <c r="AW1202" i="1"/>
  <c r="AW1203" i="1" s="1"/>
  <c r="AK1202" i="1"/>
  <c r="AK1203" i="1" s="1"/>
  <c r="BA700" i="1"/>
  <c r="Q820" i="1"/>
  <c r="BA699" i="1"/>
  <c r="AI914" i="1"/>
  <c r="BA914" i="1"/>
  <c r="AZ695" i="1"/>
  <c r="BA693" i="1"/>
  <c r="AH695" i="1"/>
  <c r="AR695" i="1"/>
  <c r="AZ914" i="1"/>
  <c r="AZ700" i="1"/>
  <c r="AR699" i="1"/>
  <c r="AR700" i="1"/>
  <c r="AH700" i="1"/>
  <c r="AR693" i="1"/>
  <c r="AH699" i="1"/>
  <c r="AZ699" i="1"/>
  <c r="AH693" i="1"/>
  <c r="AZ693" i="1"/>
  <c r="AR914" i="1"/>
  <c r="AH914" i="1"/>
  <c r="Z914" i="1"/>
  <c r="AZ820" i="1"/>
  <c r="AR820" i="1"/>
  <c r="AH820" i="1"/>
  <c r="Z820" i="1"/>
  <c r="T391" i="1" l="1"/>
  <c r="Z391" i="1" s="1"/>
  <c r="AJ391" i="1" s="1"/>
  <c r="R391" i="1" s="1"/>
  <c r="Y391" i="1"/>
  <c r="AI391" i="1" s="1"/>
  <c r="Q391" i="1" s="1"/>
  <c r="Q914" i="1"/>
  <c r="BB700" i="1"/>
  <c r="BB820" i="1"/>
  <c r="BB695" i="1"/>
  <c r="BB914" i="1"/>
  <c r="AJ820" i="1"/>
  <c r="AJ914" i="1"/>
  <c r="BB699" i="1"/>
  <c r="BB693" i="1"/>
  <c r="R820" i="1" l="1"/>
  <c r="R914" i="1"/>
  <c r="AP481" i="1"/>
  <c r="AP531" i="1"/>
  <c r="AP538" i="1"/>
  <c r="AP539" i="1" s="1"/>
  <c r="AP369" i="1"/>
  <c r="AP363" i="1"/>
  <c r="AP362" i="1"/>
  <c r="AP361" i="1"/>
  <c r="AP359" i="1"/>
  <c r="AP360" i="1"/>
  <c r="AP358" i="1"/>
  <c r="AP212" i="1"/>
  <c r="AP9" i="1"/>
  <c r="AP116" i="1"/>
  <c r="T891" i="1" l="1"/>
  <c r="V891" i="1"/>
  <c r="X891" i="1"/>
  <c r="Y891" i="1"/>
  <c r="AB891" i="1"/>
  <c r="AD891" i="1"/>
  <c r="AF891" i="1"/>
  <c r="AG891" i="1"/>
  <c r="AL891" i="1"/>
  <c r="AN891" i="1"/>
  <c r="AP891" i="1"/>
  <c r="AQ891" i="1"/>
  <c r="AT891" i="1"/>
  <c r="AV891" i="1"/>
  <c r="AX891" i="1"/>
  <c r="AY891" i="1"/>
  <c r="AI891" i="1" l="1"/>
  <c r="Z891" i="1"/>
  <c r="BA891" i="1"/>
  <c r="AH891" i="1"/>
  <c r="AR891" i="1"/>
  <c r="AZ891" i="1"/>
  <c r="Q891" i="1" l="1"/>
  <c r="AJ891" i="1"/>
  <c r="BB891" i="1"/>
  <c r="AP167" i="1"/>
  <c r="AP154" i="1"/>
  <c r="AP152" i="1"/>
  <c r="AP150" i="1"/>
  <c r="AP149" i="1"/>
  <c r="AP148" i="1"/>
  <c r="AP147" i="1"/>
  <c r="AP146" i="1"/>
  <c r="AP145" i="1"/>
  <c r="AP109" i="1"/>
  <c r="AP106" i="1"/>
  <c r="AP90" i="1"/>
  <c r="AP86" i="1"/>
  <c r="AP79" i="1"/>
  <c r="AP78" i="1"/>
  <c r="AP77" i="1"/>
  <c r="AP69" i="1"/>
  <c r="AP6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1" i="1"/>
  <c r="AP120" i="1"/>
  <c r="AP119" i="1"/>
  <c r="AP118" i="1"/>
  <c r="AP117" i="1"/>
  <c r="AP115" i="1"/>
  <c r="AP114" i="1"/>
  <c r="AP113" i="1"/>
  <c r="AP111" i="1"/>
  <c r="AP38" i="1"/>
  <c r="AP37" i="1"/>
  <c r="AP35" i="1"/>
  <c r="AP34" i="1"/>
  <c r="AP33" i="1"/>
  <c r="AP32" i="1"/>
  <c r="AP31" i="1"/>
  <c r="AP30" i="1"/>
  <c r="AP16" i="1"/>
  <c r="AP15" i="1"/>
  <c r="AP8" i="1"/>
  <c r="AP23" i="1"/>
  <c r="AP22" i="1"/>
  <c r="AP21" i="1"/>
  <c r="AP20" i="1"/>
  <c r="AP19" i="1"/>
  <c r="AP12" i="1"/>
  <c r="AP10" i="1"/>
  <c r="AP7" i="1"/>
  <c r="AP67" i="1" l="1"/>
  <c r="AP110" i="1"/>
  <c r="AP24" i="1"/>
  <c r="R891" i="1"/>
  <c r="AP138" i="1"/>
  <c r="AP1183" i="1" s="1"/>
  <c r="AP105" i="1"/>
  <c r="AP1180" i="1" s="1"/>
  <c r="AP28" i="1"/>
  <c r="AN611" i="1"/>
  <c r="AN694" i="1"/>
  <c r="AN686" i="1"/>
  <c r="AN685" i="1"/>
  <c r="AY685" i="1"/>
  <c r="AX685" i="1"/>
  <c r="AV685" i="1"/>
  <c r="AT685" i="1"/>
  <c r="AQ685" i="1"/>
  <c r="AP685" i="1"/>
  <c r="AL685" i="1"/>
  <c r="AF685" i="1"/>
  <c r="AD685" i="1"/>
  <c r="AB685" i="1"/>
  <c r="X685" i="1"/>
  <c r="V685" i="1"/>
  <c r="AY686" i="1"/>
  <c r="AX686" i="1"/>
  <c r="AV686" i="1"/>
  <c r="AT686" i="1"/>
  <c r="AQ686" i="1"/>
  <c r="AP686" i="1"/>
  <c r="AL686" i="1"/>
  <c r="AF686" i="1"/>
  <c r="AD686" i="1"/>
  <c r="AB686" i="1"/>
  <c r="Y686" i="1"/>
  <c r="X686" i="1"/>
  <c r="V686" i="1"/>
  <c r="T686" i="1"/>
  <c r="AY694" i="1"/>
  <c r="AX694" i="1"/>
  <c r="AV694" i="1"/>
  <c r="AT694" i="1"/>
  <c r="AQ694" i="1"/>
  <c r="AP694" i="1"/>
  <c r="AL694" i="1"/>
  <c r="AF694" i="1"/>
  <c r="AD694" i="1"/>
  <c r="AB694" i="1"/>
  <c r="X694" i="1"/>
  <c r="V694" i="1"/>
  <c r="AY674" i="1"/>
  <c r="AX674" i="1"/>
  <c r="AV674" i="1"/>
  <c r="AT674" i="1"/>
  <c r="AQ674" i="1"/>
  <c r="AP674" i="1"/>
  <c r="AN674" i="1"/>
  <c r="AL674" i="1"/>
  <c r="AG674" i="1"/>
  <c r="AF674" i="1"/>
  <c r="AD674" i="1"/>
  <c r="AB674" i="1"/>
  <c r="X674" i="1"/>
  <c r="V674" i="1"/>
  <c r="AG663" i="1"/>
  <c r="AY660" i="1"/>
  <c r="AX660" i="1"/>
  <c r="AV660" i="1"/>
  <c r="AT660" i="1"/>
  <c r="AQ660" i="1"/>
  <c r="AP660" i="1"/>
  <c r="AN660" i="1"/>
  <c r="AL660" i="1"/>
  <c r="AG660" i="1"/>
  <c r="AF660" i="1"/>
  <c r="AD660" i="1"/>
  <c r="AB660" i="1"/>
  <c r="X660" i="1"/>
  <c r="V660" i="1"/>
  <c r="AN647" i="1"/>
  <c r="AN769" i="1"/>
  <c r="AN1006" i="1"/>
  <c r="AY1006" i="1"/>
  <c r="AX1006" i="1"/>
  <c r="AV1006" i="1"/>
  <c r="AT1006" i="1"/>
  <c r="AQ1006" i="1"/>
  <c r="AP1006" i="1"/>
  <c r="AL1006" i="1"/>
  <c r="AG1006" i="1"/>
  <c r="AF1006" i="1"/>
  <c r="AD1006" i="1"/>
  <c r="Y1006" i="1"/>
  <c r="X1006" i="1"/>
  <c r="V1006" i="1"/>
  <c r="T1006" i="1"/>
  <c r="AN492" i="1"/>
  <c r="AN482" i="1"/>
  <c r="AN435" i="1"/>
  <c r="AN369" i="1"/>
  <c r="AN460" i="1"/>
  <c r="AN462" i="1" s="1"/>
  <c r="AN452" i="1"/>
  <c r="AN458" i="1" s="1"/>
  <c r="AN224" i="1"/>
  <c r="AN169" i="1"/>
  <c r="AN86" i="1"/>
  <c r="AN202" i="1"/>
  <c r="AN221" i="1"/>
  <c r="AN225" i="1"/>
  <c r="AN216" i="1"/>
  <c r="AN132" i="1"/>
  <c r="AN125" i="1"/>
  <c r="AN13" i="1"/>
  <c r="AN11" i="1"/>
  <c r="BA1006" i="1" l="1"/>
  <c r="BA686" i="1"/>
  <c r="BA674" i="1"/>
  <c r="AI686" i="1"/>
  <c r="BA660" i="1"/>
  <c r="AP29" i="1"/>
  <c r="AP1177" i="1" s="1"/>
  <c r="AI1006" i="1"/>
  <c r="AN451" i="1"/>
  <c r="Z686" i="1"/>
  <c r="BA685" i="1"/>
  <c r="AN1190" i="1"/>
  <c r="BA694" i="1"/>
  <c r="AZ1006" i="1"/>
  <c r="AZ686" i="1"/>
  <c r="Z1006" i="1"/>
  <c r="AH1006" i="1"/>
  <c r="AH660" i="1"/>
  <c r="AR660" i="1"/>
  <c r="AZ660" i="1"/>
  <c r="AH686" i="1"/>
  <c r="AR686" i="1"/>
  <c r="AZ685" i="1"/>
  <c r="AR685" i="1"/>
  <c r="AH685" i="1"/>
  <c r="AH694" i="1"/>
  <c r="AR694" i="1"/>
  <c r="AZ694" i="1"/>
  <c r="AZ674" i="1"/>
  <c r="AR674" i="1"/>
  <c r="AH674" i="1"/>
  <c r="AR1006" i="1"/>
  <c r="AN23" i="1"/>
  <c r="AN22" i="1"/>
  <c r="AN12" i="1"/>
  <c r="AN10" i="1"/>
  <c r="AN7" i="1"/>
  <c r="AN19" i="1"/>
  <c r="AN20" i="1"/>
  <c r="AN21" i="1"/>
  <c r="AN117" i="1"/>
  <c r="AN1189" i="1" l="1"/>
  <c r="Q1006" i="1"/>
  <c r="Q686" i="1"/>
  <c r="BB685" i="1"/>
  <c r="AJ1006" i="1"/>
  <c r="AJ686" i="1"/>
  <c r="BB1006" i="1"/>
  <c r="BB686" i="1"/>
  <c r="BB660" i="1"/>
  <c r="BB694" i="1"/>
  <c r="BB674" i="1"/>
  <c r="AL786" i="1"/>
  <c r="AL681" i="1"/>
  <c r="AY681" i="1"/>
  <c r="AX681" i="1"/>
  <c r="AV681" i="1"/>
  <c r="AT681" i="1"/>
  <c r="AQ681" i="1"/>
  <c r="AP681" i="1"/>
  <c r="AN681" i="1"/>
  <c r="AG681" i="1"/>
  <c r="AF681" i="1"/>
  <c r="AD681" i="1"/>
  <c r="AB681" i="1"/>
  <c r="X681" i="1"/>
  <c r="V681" i="1"/>
  <c r="AL606" i="1"/>
  <c r="AY672" i="1"/>
  <c r="AX672" i="1"/>
  <c r="AV672" i="1"/>
  <c r="AT672" i="1"/>
  <c r="AQ672" i="1"/>
  <c r="AP672" i="1"/>
  <c r="AN672" i="1"/>
  <c r="AL672" i="1"/>
  <c r="AG672" i="1"/>
  <c r="AF672" i="1"/>
  <c r="AD672" i="1"/>
  <c r="AB672" i="1"/>
  <c r="X672" i="1"/>
  <c r="V672" i="1"/>
  <c r="AL555" i="1"/>
  <c r="AY648" i="1"/>
  <c r="AX648" i="1"/>
  <c r="AT648" i="1"/>
  <c r="AQ648" i="1"/>
  <c r="AP648" i="1"/>
  <c r="AN648" i="1"/>
  <c r="AL648" i="1"/>
  <c r="AG648" i="1"/>
  <c r="AF648" i="1"/>
  <c r="AD648" i="1"/>
  <c r="AB648" i="1"/>
  <c r="X648" i="1"/>
  <c r="V648" i="1"/>
  <c r="AL751" i="1"/>
  <c r="AY570" i="1"/>
  <c r="AX570" i="1"/>
  <c r="AV570" i="1"/>
  <c r="AT570" i="1"/>
  <c r="AQ570" i="1"/>
  <c r="AP570" i="1"/>
  <c r="AN570" i="1"/>
  <c r="AL570" i="1"/>
  <c r="AG570" i="1"/>
  <c r="AF570" i="1"/>
  <c r="AD570" i="1"/>
  <c r="AB570" i="1"/>
  <c r="X570" i="1"/>
  <c r="V570" i="1"/>
  <c r="AL557" i="1"/>
  <c r="AY557" i="1"/>
  <c r="AX557" i="1"/>
  <c r="AV557" i="1"/>
  <c r="AT557" i="1"/>
  <c r="AQ557" i="1"/>
  <c r="AP557" i="1"/>
  <c r="AN557" i="1"/>
  <c r="AG557" i="1"/>
  <c r="AF557" i="1"/>
  <c r="AD557" i="1"/>
  <c r="AB557" i="1"/>
  <c r="Y557" i="1"/>
  <c r="X557" i="1"/>
  <c r="V557" i="1"/>
  <c r="T557" i="1"/>
  <c r="AL768" i="1"/>
  <c r="AL769" i="1"/>
  <c r="AL670" i="1"/>
  <c r="AX972" i="1"/>
  <c r="AV972" i="1"/>
  <c r="AT972" i="1"/>
  <c r="AQ972" i="1"/>
  <c r="AP972" i="1"/>
  <c r="AN972" i="1"/>
  <c r="AL972" i="1"/>
  <c r="AG972" i="1"/>
  <c r="AF972" i="1"/>
  <c r="AD972" i="1"/>
  <c r="AB972" i="1"/>
  <c r="X972" i="1"/>
  <c r="V972" i="1"/>
  <c r="T972" i="1"/>
  <c r="AL918" i="1"/>
  <c r="AY918" i="1"/>
  <c r="AX918" i="1"/>
  <c r="AV918" i="1"/>
  <c r="AT918" i="1"/>
  <c r="AQ918" i="1"/>
  <c r="AN918" i="1"/>
  <c r="AF918" i="1"/>
  <c r="AD918" i="1"/>
  <c r="AB918" i="1"/>
  <c r="Y918" i="1"/>
  <c r="X918" i="1"/>
  <c r="V918" i="1"/>
  <c r="T918" i="1"/>
  <c r="AY900" i="1"/>
  <c r="AX900" i="1"/>
  <c r="AV900" i="1"/>
  <c r="AT900" i="1"/>
  <c r="AQ900" i="1"/>
  <c r="AP900" i="1"/>
  <c r="AN900" i="1"/>
  <c r="AL900" i="1"/>
  <c r="AG900" i="1"/>
  <c r="AF900" i="1"/>
  <c r="AD900" i="1"/>
  <c r="AB900" i="1"/>
  <c r="Y900" i="1"/>
  <c r="X900" i="1"/>
  <c r="V900" i="1"/>
  <c r="T900" i="1"/>
  <c r="AI900" i="1" l="1"/>
  <c r="BA557" i="1"/>
  <c r="AI918" i="1"/>
  <c r="AI972" i="1"/>
  <c r="BA972" i="1"/>
  <c r="AI557" i="1"/>
  <c r="BA681" i="1"/>
  <c r="BA672" i="1"/>
  <c r="BA918" i="1"/>
  <c r="BA900" i="1"/>
  <c r="Z557" i="1"/>
  <c r="BA570" i="1"/>
  <c r="BA648" i="1"/>
  <c r="R1006" i="1"/>
  <c r="R686" i="1"/>
  <c r="AZ557" i="1"/>
  <c r="AZ648" i="1"/>
  <c r="Z900" i="1"/>
  <c r="AH900" i="1"/>
  <c r="AZ900" i="1"/>
  <c r="AZ672" i="1"/>
  <c r="AZ681" i="1"/>
  <c r="Z972" i="1"/>
  <c r="AH972" i="1"/>
  <c r="AR972" i="1"/>
  <c r="AZ972" i="1"/>
  <c r="AR900" i="1"/>
  <c r="AR681" i="1"/>
  <c r="AH681" i="1"/>
  <c r="AR672" i="1"/>
  <c r="AH672" i="1"/>
  <c r="AZ570" i="1"/>
  <c r="AR648" i="1"/>
  <c r="AH648" i="1"/>
  <c r="AR570" i="1"/>
  <c r="AH570" i="1"/>
  <c r="AR557" i="1"/>
  <c r="AH557" i="1"/>
  <c r="AZ918" i="1"/>
  <c r="AR918" i="1"/>
  <c r="AH918" i="1"/>
  <c r="Z918" i="1"/>
  <c r="AL898" i="1"/>
  <c r="AY898" i="1"/>
  <c r="AX898" i="1"/>
  <c r="AV898" i="1"/>
  <c r="AT898" i="1"/>
  <c r="AQ898" i="1"/>
  <c r="AP898" i="1"/>
  <c r="AN898" i="1"/>
  <c r="AG898" i="1"/>
  <c r="AF898" i="1"/>
  <c r="AD898" i="1"/>
  <c r="AB898" i="1"/>
  <c r="Y898" i="1"/>
  <c r="X898" i="1"/>
  <c r="V898" i="1"/>
  <c r="T898" i="1"/>
  <c r="Q972" i="1" l="1"/>
  <c r="Q557" i="1"/>
  <c r="Q900" i="1"/>
  <c r="Q918" i="1"/>
  <c r="BA898" i="1"/>
  <c r="BB557" i="1"/>
  <c r="BB648" i="1"/>
  <c r="AI898" i="1"/>
  <c r="AJ900" i="1"/>
  <c r="AJ557" i="1"/>
  <c r="AJ972" i="1"/>
  <c r="AJ918" i="1"/>
  <c r="AZ898" i="1"/>
  <c r="BB900" i="1"/>
  <c r="AH898" i="1"/>
  <c r="BB672" i="1"/>
  <c r="BB681" i="1"/>
  <c r="BB972" i="1"/>
  <c r="BB570" i="1"/>
  <c r="BB918" i="1"/>
  <c r="AR898" i="1"/>
  <c r="Z898" i="1"/>
  <c r="AL896" i="1"/>
  <c r="AL816" i="1"/>
  <c r="AL815" i="1"/>
  <c r="AL814" i="1"/>
  <c r="BA815" i="1"/>
  <c r="AI815" i="1"/>
  <c r="AL828" i="1"/>
  <c r="AL859" i="1"/>
  <c r="AY859" i="1"/>
  <c r="AX859" i="1"/>
  <c r="AV859" i="1"/>
  <c r="AT859" i="1"/>
  <c r="AQ859" i="1"/>
  <c r="AP859" i="1"/>
  <c r="AN859" i="1"/>
  <c r="AG859" i="1"/>
  <c r="AF859" i="1"/>
  <c r="AD859" i="1"/>
  <c r="AB859" i="1"/>
  <c r="Y859" i="1"/>
  <c r="X859" i="1"/>
  <c r="V859" i="1"/>
  <c r="T859" i="1"/>
  <c r="AL9" i="1"/>
  <c r="AL86" i="1"/>
  <c r="AR86" i="1" s="1"/>
  <c r="AL77" i="1"/>
  <c r="AL169" i="1"/>
  <c r="AL132" i="1"/>
  <c r="AL126" i="1"/>
  <c r="AL862" i="1"/>
  <c r="AL868" i="1"/>
  <c r="AP1002" i="1"/>
  <c r="AN903" i="1"/>
  <c r="AP981" i="1"/>
  <c r="AP979" i="1"/>
  <c r="AL1002" i="1"/>
  <c r="AL999" i="1"/>
  <c r="AL1125" i="1"/>
  <c r="AL1141" i="1"/>
  <c r="AL11" i="1"/>
  <c r="AL12" i="1"/>
  <c r="AL10" i="1"/>
  <c r="AF1009" i="1"/>
  <c r="AF1123" i="1"/>
  <c r="AD1123" i="1"/>
  <c r="Q898" i="1" l="1"/>
  <c r="BA859" i="1"/>
  <c r="R557" i="1"/>
  <c r="AI859" i="1"/>
  <c r="R900" i="1"/>
  <c r="Q815" i="1"/>
  <c r="AJ898" i="1"/>
  <c r="BB898" i="1"/>
  <c r="AZ815" i="1"/>
  <c r="R972" i="1"/>
  <c r="R918" i="1"/>
  <c r="AZ859" i="1"/>
  <c r="AR815" i="1"/>
  <c r="AH815" i="1"/>
  <c r="Z815" i="1"/>
  <c r="AR859" i="1"/>
  <c r="AH859" i="1"/>
  <c r="Z859" i="1"/>
  <c r="AY905" i="1"/>
  <c r="AX905" i="1"/>
  <c r="AV905" i="1"/>
  <c r="AT905" i="1"/>
  <c r="AQ905" i="1"/>
  <c r="AN905" i="1"/>
  <c r="AL905" i="1"/>
  <c r="AG905" i="1"/>
  <c r="AF905" i="1"/>
  <c r="AD905" i="1"/>
  <c r="AB905" i="1"/>
  <c r="Y905" i="1"/>
  <c r="X905" i="1"/>
  <c r="V905" i="1"/>
  <c r="T905" i="1"/>
  <c r="AY901" i="1"/>
  <c r="AX901" i="1"/>
  <c r="AV901" i="1"/>
  <c r="AT901" i="1"/>
  <c r="AQ901" i="1"/>
  <c r="AP901" i="1"/>
  <c r="AN901" i="1"/>
  <c r="AL901" i="1"/>
  <c r="AG901" i="1"/>
  <c r="AF901" i="1"/>
  <c r="AD901" i="1"/>
  <c r="AB901" i="1"/>
  <c r="Y901" i="1"/>
  <c r="X901" i="1"/>
  <c r="V901" i="1"/>
  <c r="T901" i="1"/>
  <c r="AY555" i="1"/>
  <c r="AX555" i="1"/>
  <c r="AV555" i="1"/>
  <c r="AT555" i="1"/>
  <c r="AQ555" i="1"/>
  <c r="AP555" i="1"/>
  <c r="AN555" i="1"/>
  <c r="AG555" i="1"/>
  <c r="AF555" i="1"/>
  <c r="AD555" i="1"/>
  <c r="AB555" i="1"/>
  <c r="Y555" i="1"/>
  <c r="X555" i="1"/>
  <c r="V555" i="1"/>
  <c r="T555" i="1"/>
  <c r="AY531" i="1"/>
  <c r="AX531" i="1"/>
  <c r="AV531" i="1"/>
  <c r="AT531" i="1"/>
  <c r="AQ531" i="1"/>
  <c r="AN531" i="1"/>
  <c r="AL531" i="1"/>
  <c r="AG531" i="1"/>
  <c r="AF531" i="1"/>
  <c r="AD531" i="1"/>
  <c r="AB531" i="1"/>
  <c r="X531" i="1"/>
  <c r="V531" i="1"/>
  <c r="AY460" i="1"/>
  <c r="AX460" i="1"/>
  <c r="AX462" i="1" s="1"/>
  <c r="AV460" i="1"/>
  <c r="AV462" i="1" s="1"/>
  <c r="AT460" i="1"/>
  <c r="AT462" i="1" s="1"/>
  <c r="AQ460" i="1"/>
  <c r="AP460" i="1"/>
  <c r="AP462" i="1" s="1"/>
  <c r="AL460" i="1"/>
  <c r="AL462" i="1" s="1"/>
  <c r="AG460" i="1"/>
  <c r="AF460" i="1"/>
  <c r="AF462" i="1" s="1"/>
  <c r="AD460" i="1"/>
  <c r="AD462" i="1" s="1"/>
  <c r="X460" i="1"/>
  <c r="X462" i="1" s="1"/>
  <c r="AY363" i="1"/>
  <c r="AX363" i="1"/>
  <c r="AV363" i="1"/>
  <c r="AT363" i="1"/>
  <c r="AQ363" i="1"/>
  <c r="AN363" i="1"/>
  <c r="AL363" i="1"/>
  <c r="AG363" i="1"/>
  <c r="AF363" i="1"/>
  <c r="AD363" i="1"/>
  <c r="AB363" i="1"/>
  <c r="X363" i="1"/>
  <c r="V363" i="1"/>
  <c r="AY132" i="1"/>
  <c r="AX132" i="1"/>
  <c r="AV132" i="1"/>
  <c r="AT132" i="1"/>
  <c r="AQ132" i="1"/>
  <c r="AG132" i="1"/>
  <c r="AF132" i="1"/>
  <c r="AD132" i="1"/>
  <c r="X132" i="1"/>
  <c r="V132" i="1"/>
  <c r="AY16" i="1"/>
  <c r="AX16" i="1"/>
  <c r="AV16" i="1"/>
  <c r="AT16" i="1"/>
  <c r="AQ16" i="1"/>
  <c r="AN16" i="1"/>
  <c r="AL16" i="1"/>
  <c r="AG16" i="1"/>
  <c r="AF16" i="1"/>
  <c r="AD16" i="1"/>
  <c r="X16" i="1"/>
  <c r="V16" i="1"/>
  <c r="AY462" i="1" l="1"/>
  <c r="AG462" i="1"/>
  <c r="AI901" i="1"/>
  <c r="BA132" i="1"/>
  <c r="Q859" i="1"/>
  <c r="BA555" i="1"/>
  <c r="BA901" i="1"/>
  <c r="Z555" i="1"/>
  <c r="BA363" i="1"/>
  <c r="BA16" i="1"/>
  <c r="BA460" i="1"/>
  <c r="AQ462" i="1"/>
  <c r="AJ815" i="1"/>
  <c r="AI555" i="1"/>
  <c r="R898" i="1"/>
  <c r="BA531" i="1"/>
  <c r="AJ859" i="1"/>
  <c r="BB815" i="1"/>
  <c r="AI905" i="1"/>
  <c r="BA905" i="1"/>
  <c r="Z905" i="1"/>
  <c r="AH905" i="1"/>
  <c r="AZ905" i="1"/>
  <c r="AR905" i="1"/>
  <c r="Z901" i="1"/>
  <c r="AH901" i="1"/>
  <c r="AZ901" i="1"/>
  <c r="BB859" i="1"/>
  <c r="AZ16" i="1"/>
  <c r="AR901" i="1"/>
  <c r="AZ555" i="1"/>
  <c r="AR555" i="1"/>
  <c r="AH555" i="1"/>
  <c r="AH460" i="1"/>
  <c r="AH462" i="1" s="1"/>
  <c r="AZ460" i="1"/>
  <c r="AZ462" i="1" s="1"/>
  <c r="AZ531" i="1"/>
  <c r="AR531" i="1"/>
  <c r="AH531" i="1"/>
  <c r="AR460" i="1"/>
  <c r="AR462" i="1" s="1"/>
  <c r="AZ363" i="1"/>
  <c r="AR363" i="1"/>
  <c r="AH363" i="1"/>
  <c r="AH132" i="1"/>
  <c r="AZ132" i="1"/>
  <c r="AR132" i="1"/>
  <c r="AR16" i="1"/>
  <c r="AH16" i="1"/>
  <c r="AY996" i="1"/>
  <c r="AX996" i="1"/>
  <c r="AV996" i="1"/>
  <c r="AT996" i="1"/>
  <c r="AQ996" i="1"/>
  <c r="AP996" i="1"/>
  <c r="AN996" i="1"/>
  <c r="AL996" i="1"/>
  <c r="AG996" i="1"/>
  <c r="AF996" i="1"/>
  <c r="AD996" i="1"/>
  <c r="Y996" i="1"/>
  <c r="X996" i="1"/>
  <c r="V996" i="1"/>
  <c r="T996" i="1"/>
  <c r="BA462" i="1" l="1"/>
  <c r="Q901" i="1"/>
  <c r="Q555" i="1"/>
  <c r="BA996" i="1"/>
  <c r="AI996" i="1"/>
  <c r="Q905" i="1"/>
  <c r="BB905" i="1"/>
  <c r="AJ555" i="1"/>
  <c r="AJ901" i="1"/>
  <c r="AJ905" i="1"/>
  <c r="BB901" i="1"/>
  <c r="R859" i="1"/>
  <c r="R815" i="1"/>
  <c r="BB16" i="1"/>
  <c r="BB531" i="1"/>
  <c r="Z996" i="1"/>
  <c r="AH996" i="1"/>
  <c r="AR996" i="1"/>
  <c r="AZ996" i="1"/>
  <c r="BB555" i="1"/>
  <c r="BB460" i="1"/>
  <c r="BB462" i="1" s="1"/>
  <c r="BB132" i="1"/>
  <c r="BB363" i="1"/>
  <c r="AY598" i="1"/>
  <c r="AX598" i="1"/>
  <c r="AV598" i="1"/>
  <c r="AQ598" i="1"/>
  <c r="AP598" i="1"/>
  <c r="AN598" i="1"/>
  <c r="AL598" i="1"/>
  <c r="AG598" i="1"/>
  <c r="AF598" i="1"/>
  <c r="AD598" i="1"/>
  <c r="AB598" i="1"/>
  <c r="X598" i="1"/>
  <c r="V598" i="1"/>
  <c r="Q996" i="1" l="1"/>
  <c r="R555" i="1"/>
  <c r="R905" i="1"/>
  <c r="AJ996" i="1"/>
  <c r="R901" i="1"/>
  <c r="BB996" i="1"/>
  <c r="BA598" i="1"/>
  <c r="AR598" i="1"/>
  <c r="AZ598" i="1"/>
  <c r="AH598" i="1"/>
  <c r="R996" i="1" l="1"/>
  <c r="BB598" i="1"/>
  <c r="AY1004" i="1" l="1"/>
  <c r="AX1004" i="1"/>
  <c r="AV1004" i="1"/>
  <c r="AT1004" i="1"/>
  <c r="AQ1004" i="1"/>
  <c r="AP1004" i="1"/>
  <c r="AN1004" i="1"/>
  <c r="AL1004" i="1"/>
  <c r="AG1004" i="1"/>
  <c r="AF1004" i="1"/>
  <c r="AD1004" i="1"/>
  <c r="Y1004" i="1"/>
  <c r="X1004" i="1"/>
  <c r="V1004" i="1"/>
  <c r="T1004" i="1"/>
  <c r="AX967" i="1"/>
  <c r="AV967" i="1"/>
  <c r="AT967" i="1"/>
  <c r="AQ967" i="1"/>
  <c r="AP967" i="1"/>
  <c r="AN967" i="1"/>
  <c r="AL967" i="1"/>
  <c r="AG967" i="1"/>
  <c r="AF967" i="1"/>
  <c r="AD967" i="1"/>
  <c r="AB967" i="1"/>
  <c r="Y967" i="1"/>
  <c r="X967" i="1"/>
  <c r="V967" i="1"/>
  <c r="T967" i="1"/>
  <c r="AY958" i="1"/>
  <c r="AX958" i="1"/>
  <c r="AV958" i="1"/>
  <c r="AT958" i="1"/>
  <c r="AQ958" i="1"/>
  <c r="AP958" i="1"/>
  <c r="AN958" i="1"/>
  <c r="AL958" i="1"/>
  <c r="AG958" i="1"/>
  <c r="AF958" i="1"/>
  <c r="AD958" i="1"/>
  <c r="AB958" i="1"/>
  <c r="Y958" i="1"/>
  <c r="X958" i="1"/>
  <c r="V958" i="1"/>
  <c r="T958" i="1"/>
  <c r="AF830" i="1"/>
  <c r="AF831" i="1"/>
  <c r="AF828" i="1"/>
  <c r="AF824" i="1"/>
  <c r="AF1147" i="1"/>
  <c r="AF1148" i="1"/>
  <c r="AF1149" i="1"/>
  <c r="AF1146" i="1"/>
  <c r="AF1144" i="1"/>
  <c r="AF1145" i="1" s="1"/>
  <c r="AF1138" i="1"/>
  <c r="AF1139" i="1"/>
  <c r="AF1140" i="1"/>
  <c r="AF1141" i="1"/>
  <c r="AF1137" i="1"/>
  <c r="AF1128" i="1"/>
  <c r="AF1129" i="1"/>
  <c r="AF1130" i="1"/>
  <c r="AF1131" i="1"/>
  <c r="AF1132" i="1"/>
  <c r="AF1133" i="1"/>
  <c r="AF1134" i="1"/>
  <c r="AF1135" i="1"/>
  <c r="AF1127" i="1"/>
  <c r="AF1117" i="1"/>
  <c r="AF1119" i="1"/>
  <c r="AF1120" i="1"/>
  <c r="AF1121" i="1"/>
  <c r="AF1122" i="1"/>
  <c r="AF1125" i="1"/>
  <c r="AF943" i="1"/>
  <c r="AF944" i="1"/>
  <c r="AF949" i="1"/>
  <c r="AF950" i="1"/>
  <c r="AF951" i="1"/>
  <c r="AF952" i="1"/>
  <c r="AF953" i="1"/>
  <c r="AF976" i="1"/>
  <c r="AF977" i="1"/>
  <c r="AF978" i="1"/>
  <c r="AF979" i="1"/>
  <c r="AF980" i="1"/>
  <c r="AF960" i="1"/>
  <c r="AF981" i="1"/>
  <c r="AF988" i="1"/>
  <c r="AF993" i="1"/>
  <c r="AF999" i="1"/>
  <c r="AF1000" i="1"/>
  <c r="AF1001" i="1"/>
  <c r="AF1002" i="1"/>
  <c r="AF1003" i="1"/>
  <c r="AF1010" i="1"/>
  <c r="AF890" i="1"/>
  <c r="AF892" i="1"/>
  <c r="AF893" i="1"/>
  <c r="AF895" i="1"/>
  <c r="AF896" i="1"/>
  <c r="AF903" i="1"/>
  <c r="AF910" i="1"/>
  <c r="AF911" i="1"/>
  <c r="AF912" i="1"/>
  <c r="AF913" i="1"/>
  <c r="AF887" i="1"/>
  <c r="AF867" i="1"/>
  <c r="AF868" i="1"/>
  <c r="AF863" i="1"/>
  <c r="AF856" i="1"/>
  <c r="AF857" i="1"/>
  <c r="AF858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61" i="1"/>
  <c r="AF862" i="1"/>
  <c r="AF855" i="1"/>
  <c r="AF821" i="1"/>
  <c r="AF822" i="1"/>
  <c r="AF823" i="1"/>
  <c r="AF786" i="1"/>
  <c r="AF774" i="1"/>
  <c r="AF775" i="1"/>
  <c r="AF785" i="1"/>
  <c r="AF773" i="1"/>
  <c r="AF766" i="1"/>
  <c r="AF762" i="1"/>
  <c r="AF764" i="1"/>
  <c r="AF751" i="1"/>
  <c r="AF671" i="1"/>
  <c r="AF704" i="1"/>
  <c r="AF670" i="1"/>
  <c r="AF542" i="1"/>
  <c r="AF544" i="1"/>
  <c r="AF545" i="1"/>
  <c r="AF547" i="1"/>
  <c r="AF548" i="1"/>
  <c r="AF552" i="1"/>
  <c r="AF558" i="1"/>
  <c r="AF559" i="1"/>
  <c r="AF560" i="1"/>
  <c r="AF571" i="1"/>
  <c r="AF573" i="1"/>
  <c r="AF569" i="1"/>
  <c r="AF585" i="1"/>
  <c r="AF586" i="1"/>
  <c r="AF588" i="1"/>
  <c r="AF589" i="1"/>
  <c r="AF595" i="1"/>
  <c r="AF596" i="1"/>
  <c r="AF599" i="1"/>
  <c r="AF602" i="1"/>
  <c r="AF605" i="1"/>
  <c r="AF607" i="1"/>
  <c r="AF618" i="1"/>
  <c r="AF610" i="1"/>
  <c r="AF611" i="1"/>
  <c r="AF617" i="1"/>
  <c r="AF643" i="1"/>
  <c r="AF645" i="1"/>
  <c r="AF646" i="1"/>
  <c r="AF667" i="1"/>
  <c r="AF647" i="1"/>
  <c r="AF651" i="1"/>
  <c r="AF652" i="1"/>
  <c r="AF653" i="1"/>
  <c r="AF654" i="1"/>
  <c r="AF657" i="1"/>
  <c r="AF659" i="1"/>
  <c r="AF663" i="1"/>
  <c r="AF768" i="1"/>
  <c r="AF769" i="1"/>
  <c r="AF770" i="1"/>
  <c r="AF541" i="1"/>
  <c r="AF538" i="1"/>
  <c r="AF539" i="1" s="1"/>
  <c r="AF527" i="1"/>
  <c r="AF528" i="1"/>
  <c r="AF529" i="1"/>
  <c r="AF530" i="1"/>
  <c r="AF533" i="1"/>
  <c r="AF535" i="1"/>
  <c r="AF526" i="1"/>
  <c r="AF521" i="1"/>
  <c r="AF522" i="1"/>
  <c r="AF523" i="1"/>
  <c r="AF524" i="1"/>
  <c r="AF520" i="1"/>
  <c r="AF489" i="1"/>
  <c r="AF490" i="1"/>
  <c r="AF491" i="1"/>
  <c r="AF492" i="1"/>
  <c r="AF493" i="1"/>
  <c r="AF503" i="1"/>
  <c r="AF504" i="1"/>
  <c r="AF505" i="1"/>
  <c r="AF506" i="1"/>
  <c r="AF488" i="1"/>
  <c r="AF464" i="1"/>
  <c r="AF465" i="1"/>
  <c r="AF467" i="1"/>
  <c r="AF468" i="1"/>
  <c r="AF469" i="1"/>
  <c r="AF470" i="1"/>
  <c r="AF471" i="1"/>
  <c r="AF473" i="1"/>
  <c r="AF474" i="1"/>
  <c r="AF475" i="1"/>
  <c r="AF476" i="1"/>
  <c r="AF477" i="1"/>
  <c r="AF479" i="1"/>
  <c r="AF480" i="1"/>
  <c r="AF481" i="1"/>
  <c r="AF482" i="1"/>
  <c r="AF483" i="1"/>
  <c r="AF486" i="1"/>
  <c r="AF463" i="1"/>
  <c r="AF452" i="1"/>
  <c r="AF458" i="1" s="1"/>
  <c r="AF435" i="1"/>
  <c r="AF451" i="1" s="1"/>
  <c r="AF358" i="1"/>
  <c r="AF359" i="1"/>
  <c r="AF360" i="1"/>
  <c r="AF361" i="1"/>
  <c r="AF362" i="1"/>
  <c r="AF366" i="1"/>
  <c r="AF368" i="1"/>
  <c r="AF369" i="1"/>
  <c r="AF375" i="1"/>
  <c r="AF356" i="1"/>
  <c r="V234" i="1"/>
  <c r="X234" i="1"/>
  <c r="AB234" i="1"/>
  <c r="AD234" i="1"/>
  <c r="AF234" i="1"/>
  <c r="AG234" i="1"/>
  <c r="AL234" i="1"/>
  <c r="AN234" i="1"/>
  <c r="AP234" i="1"/>
  <c r="AQ234" i="1"/>
  <c r="AT234" i="1"/>
  <c r="AV234" i="1"/>
  <c r="AX234" i="1"/>
  <c r="AY234" i="1"/>
  <c r="V235" i="1"/>
  <c r="X235" i="1"/>
  <c r="AB235" i="1"/>
  <c r="AD235" i="1"/>
  <c r="AF235" i="1"/>
  <c r="AG235" i="1"/>
  <c r="AL235" i="1"/>
  <c r="AN235" i="1"/>
  <c r="AP235" i="1"/>
  <c r="AQ235" i="1"/>
  <c r="AT235" i="1"/>
  <c r="AV235" i="1"/>
  <c r="AX235" i="1"/>
  <c r="AY235" i="1"/>
  <c r="AF232" i="1"/>
  <c r="AF230" i="1"/>
  <c r="AF223" i="1"/>
  <c r="AF220" i="1"/>
  <c r="AF216" i="1"/>
  <c r="AF225" i="1"/>
  <c r="AF226" i="1"/>
  <c r="AF227" i="1"/>
  <c r="AF221" i="1"/>
  <c r="AF222" i="1"/>
  <c r="AF215" i="1"/>
  <c r="AF207" i="1"/>
  <c r="AF208" i="1"/>
  <c r="AF209" i="1"/>
  <c r="AF202" i="1"/>
  <c r="AF203" i="1"/>
  <c r="AF204" i="1"/>
  <c r="AF205" i="1"/>
  <c r="AF210" i="1"/>
  <c r="AF211" i="1"/>
  <c r="AF212" i="1"/>
  <c r="AF198" i="1"/>
  <c r="AF199" i="1"/>
  <c r="AF200" i="1"/>
  <c r="AF201" i="1"/>
  <c r="AF206" i="1"/>
  <c r="AF146" i="1"/>
  <c r="AF147" i="1"/>
  <c r="AF148" i="1"/>
  <c r="AF149" i="1"/>
  <c r="AF150" i="1"/>
  <c r="AF152" i="1"/>
  <c r="AF154" i="1"/>
  <c r="AF167" i="1"/>
  <c r="AF185" i="1"/>
  <c r="AF186" i="1"/>
  <c r="AF187" i="1"/>
  <c r="AF192" i="1"/>
  <c r="AF196" i="1"/>
  <c r="AF168" i="1"/>
  <c r="AF224" i="1"/>
  <c r="AF169" i="1"/>
  <c r="AF170" i="1"/>
  <c r="AF140" i="1"/>
  <c r="AF141" i="1"/>
  <c r="AF142" i="1"/>
  <c r="AF143" i="1"/>
  <c r="AF171" i="1"/>
  <c r="AF172" i="1"/>
  <c r="AF173" i="1"/>
  <c r="AF174" i="1"/>
  <c r="AF145" i="1"/>
  <c r="AF109" i="1"/>
  <c r="AF28" i="1"/>
  <c r="AF106" i="1"/>
  <c r="AF69" i="1"/>
  <c r="AF77" i="1"/>
  <c r="AF78" i="1"/>
  <c r="AF79" i="1"/>
  <c r="AF86" i="1"/>
  <c r="AF90" i="1"/>
  <c r="AF68" i="1"/>
  <c r="AF113" i="1"/>
  <c r="AF114" i="1"/>
  <c r="AF115" i="1"/>
  <c r="AF116" i="1"/>
  <c r="AF117" i="1"/>
  <c r="AF118" i="1"/>
  <c r="AF119" i="1"/>
  <c r="AF120" i="1"/>
  <c r="AF121" i="1"/>
  <c r="AF123" i="1"/>
  <c r="AF124" i="1"/>
  <c r="AF125" i="1"/>
  <c r="AF126" i="1"/>
  <c r="AF127" i="1"/>
  <c r="AF128" i="1"/>
  <c r="AF129" i="1"/>
  <c r="AF130" i="1"/>
  <c r="AF131" i="1"/>
  <c r="AF133" i="1"/>
  <c r="AF134" i="1"/>
  <c r="AF135" i="1"/>
  <c r="AF136" i="1"/>
  <c r="AF137" i="1"/>
  <c r="AF111" i="1"/>
  <c r="AF44" i="1"/>
  <c r="AF31" i="1"/>
  <c r="AF32" i="1"/>
  <c r="AF33" i="1"/>
  <c r="AF34" i="1"/>
  <c r="AF35" i="1"/>
  <c r="AF37" i="1"/>
  <c r="AF38" i="1"/>
  <c r="AF46" i="1"/>
  <c r="AF30" i="1"/>
  <c r="AF9" i="1"/>
  <c r="AF15" i="1"/>
  <c r="AF8" i="1"/>
  <c r="AF7" i="1"/>
  <c r="AF10" i="1"/>
  <c r="AF11" i="1"/>
  <c r="AF12" i="1"/>
  <c r="AF13" i="1"/>
  <c r="AF19" i="1"/>
  <c r="AF20" i="1"/>
  <c r="AF21" i="1"/>
  <c r="AF22" i="1"/>
  <c r="AF23" i="1"/>
  <c r="AF239" i="1"/>
  <c r="AF240" i="1"/>
  <c r="AF238" i="1"/>
  <c r="AF382" i="1" l="1"/>
  <c r="AF1188" i="1" s="1"/>
  <c r="AF67" i="1"/>
  <c r="AF885" i="1"/>
  <c r="AF355" i="1"/>
  <c r="AF669" i="1"/>
  <c r="AF1197" i="1" s="1"/>
  <c r="AF834" i="1"/>
  <c r="AF537" i="1"/>
  <c r="AF144" i="1"/>
  <c r="AI958" i="1"/>
  <c r="BA958" i="1"/>
  <c r="BA967" i="1"/>
  <c r="BA1004" i="1"/>
  <c r="AF787" i="1"/>
  <c r="AF767" i="1"/>
  <c r="AF1198" i="1" s="1"/>
  <c r="AF231" i="1"/>
  <c r="AI234" i="1"/>
  <c r="BA235" i="1"/>
  <c r="AI235" i="1"/>
  <c r="AF487" i="1"/>
  <c r="AF507" i="1"/>
  <c r="AF1193" i="1" s="1"/>
  <c r="AF644" i="1"/>
  <c r="AF1196" i="1" s="1"/>
  <c r="AF214" i="1"/>
  <c r="AF1184" i="1" s="1"/>
  <c r="AF24" i="1"/>
  <c r="AF29" i="1" s="1"/>
  <c r="AF138" i="1"/>
  <c r="AF1183" i="1" s="1"/>
  <c r="AF105" i="1"/>
  <c r="AF1180" i="1" s="1"/>
  <c r="AF228" i="1"/>
  <c r="AF1186" i="1" s="1"/>
  <c r="AF197" i="1"/>
  <c r="AF110" i="1"/>
  <c r="AZ967" i="1"/>
  <c r="AR967" i="1"/>
  <c r="AI967" i="1"/>
  <c r="AH967" i="1"/>
  <c r="AI1004" i="1"/>
  <c r="Z967" i="1"/>
  <c r="AF1189" i="1"/>
  <c r="AF854" i="1"/>
  <c r="AF236" i="1"/>
  <c r="AF1142" i="1"/>
  <c r="AF1150" i="1"/>
  <c r="AF771" i="1"/>
  <c r="AF1190" i="1"/>
  <c r="AF1136" i="1"/>
  <c r="AF864" i="1"/>
  <c r="AF525" i="1"/>
  <c r="AH234" i="1"/>
  <c r="AH235" i="1"/>
  <c r="Z958" i="1"/>
  <c r="AH958" i="1"/>
  <c r="AR958" i="1"/>
  <c r="AZ958" i="1"/>
  <c r="Z1004" i="1"/>
  <c r="AH1004" i="1"/>
  <c r="AZ1004" i="1"/>
  <c r="AZ234" i="1"/>
  <c r="AR1004" i="1"/>
  <c r="AR235" i="1"/>
  <c r="AR234" i="1"/>
  <c r="AZ235" i="1"/>
  <c r="BA234" i="1"/>
  <c r="AY773" i="1"/>
  <c r="AX773" i="1"/>
  <c r="AV773" i="1"/>
  <c r="AT773" i="1"/>
  <c r="AQ773" i="1"/>
  <c r="AP773" i="1"/>
  <c r="AN773" i="1"/>
  <c r="AL773" i="1"/>
  <c r="AG773" i="1"/>
  <c r="AD773" i="1"/>
  <c r="AB773" i="1"/>
  <c r="Y773" i="1"/>
  <c r="X773" i="1"/>
  <c r="V773" i="1"/>
  <c r="T773" i="1"/>
  <c r="AY596" i="1"/>
  <c r="AX596" i="1"/>
  <c r="AV596" i="1"/>
  <c r="AT596" i="1"/>
  <c r="AQ596" i="1"/>
  <c r="AP596" i="1"/>
  <c r="AN596" i="1"/>
  <c r="AL596" i="1"/>
  <c r="AG596" i="1"/>
  <c r="AD596" i="1"/>
  <c r="AB596" i="1"/>
  <c r="Y596" i="1"/>
  <c r="X596" i="1"/>
  <c r="V596" i="1"/>
  <c r="T596" i="1"/>
  <c r="AD586" i="1"/>
  <c r="AD585" i="1"/>
  <c r="AY585" i="1"/>
  <c r="AX585" i="1"/>
  <c r="AV585" i="1"/>
  <c r="AT585" i="1"/>
  <c r="AQ585" i="1"/>
  <c r="AP585" i="1"/>
  <c r="AN585" i="1"/>
  <c r="AL585" i="1"/>
  <c r="AG585" i="1"/>
  <c r="AB585" i="1"/>
  <c r="Y585" i="1"/>
  <c r="X585" i="1"/>
  <c r="V585" i="1"/>
  <c r="T585" i="1"/>
  <c r="AY586" i="1"/>
  <c r="AX586" i="1"/>
  <c r="AV586" i="1"/>
  <c r="AT586" i="1"/>
  <c r="AQ586" i="1"/>
  <c r="AP586" i="1"/>
  <c r="AN586" i="1"/>
  <c r="AL586" i="1"/>
  <c r="AG586" i="1"/>
  <c r="AB586" i="1"/>
  <c r="Y586" i="1"/>
  <c r="X586" i="1"/>
  <c r="V586" i="1"/>
  <c r="T586" i="1"/>
  <c r="AY588" i="1"/>
  <c r="AX588" i="1"/>
  <c r="AV588" i="1"/>
  <c r="AT588" i="1"/>
  <c r="AQ588" i="1"/>
  <c r="AP588" i="1"/>
  <c r="AN588" i="1"/>
  <c r="AL588" i="1"/>
  <c r="AG588" i="1"/>
  <c r="AD588" i="1"/>
  <c r="AB588" i="1"/>
  <c r="Y588" i="1"/>
  <c r="X588" i="1"/>
  <c r="V588" i="1"/>
  <c r="T588" i="1"/>
  <c r="AY589" i="1"/>
  <c r="AX589" i="1"/>
  <c r="AV589" i="1"/>
  <c r="AT589" i="1"/>
  <c r="AQ589" i="1"/>
  <c r="AP589" i="1"/>
  <c r="AN589" i="1"/>
  <c r="AL589" i="1"/>
  <c r="AG589" i="1"/>
  <c r="AD589" i="1"/>
  <c r="AB589" i="1"/>
  <c r="Y589" i="1"/>
  <c r="X589" i="1"/>
  <c r="V589" i="1"/>
  <c r="T589" i="1"/>
  <c r="AD657" i="1"/>
  <c r="AD653" i="1"/>
  <c r="AD647" i="1"/>
  <c r="AY981" i="1"/>
  <c r="AX981" i="1"/>
  <c r="AV981" i="1"/>
  <c r="AT981" i="1"/>
  <c r="AQ981" i="1"/>
  <c r="AN981" i="1"/>
  <c r="AR981" i="1" s="1"/>
  <c r="AG981" i="1"/>
  <c r="AD981" i="1"/>
  <c r="Y981" i="1"/>
  <c r="X981" i="1"/>
  <c r="V981" i="1"/>
  <c r="T981" i="1"/>
  <c r="AY903" i="1"/>
  <c r="AX903" i="1"/>
  <c r="AV903" i="1"/>
  <c r="AT903" i="1"/>
  <c r="AQ903" i="1"/>
  <c r="AP903" i="1"/>
  <c r="AL903" i="1"/>
  <c r="AG903" i="1"/>
  <c r="AD903" i="1"/>
  <c r="AB903" i="1"/>
  <c r="Y903" i="1"/>
  <c r="X903" i="1"/>
  <c r="V903" i="1"/>
  <c r="T903" i="1"/>
  <c r="AF459" i="1" l="1"/>
  <c r="AF1178" i="1"/>
  <c r="BA903" i="1"/>
  <c r="Q1004" i="1"/>
  <c r="Q967" i="1"/>
  <c r="Q958" i="1"/>
  <c r="Q234" i="1"/>
  <c r="Q235" i="1"/>
  <c r="AF515" i="1"/>
  <c r="AF229" i="1"/>
  <c r="BA589" i="1"/>
  <c r="AF1192" i="1"/>
  <c r="AF1195" i="1" s="1"/>
  <c r="BA585" i="1"/>
  <c r="AF1199" i="1"/>
  <c r="AF1200" i="1" s="1"/>
  <c r="AF1181" i="1"/>
  <c r="AF1182" i="1" s="1"/>
  <c r="Z586" i="1"/>
  <c r="Z773" i="1"/>
  <c r="AF1206" i="1"/>
  <c r="Z589" i="1"/>
  <c r="Z585" i="1"/>
  <c r="Z596" i="1"/>
  <c r="Z588" i="1"/>
  <c r="Z981" i="1"/>
  <c r="AZ981" i="1"/>
  <c r="AF1191" i="1"/>
  <c r="AF1185" i="1"/>
  <c r="AH981" i="1"/>
  <c r="BA588" i="1"/>
  <c r="AF1177" i="1"/>
  <c r="AJ1004" i="1"/>
  <c r="AJ967" i="1"/>
  <c r="BB967" i="1"/>
  <c r="BA981" i="1"/>
  <c r="BB235" i="1"/>
  <c r="BB234" i="1"/>
  <c r="AJ958" i="1"/>
  <c r="AF772" i="1"/>
  <c r="AF797" i="1" s="1"/>
  <c r="AF540" i="1"/>
  <c r="BB1004" i="1"/>
  <c r="AF886" i="1"/>
  <c r="AF1201" i="1" s="1"/>
  <c r="AF139" i="1"/>
  <c r="BA773" i="1"/>
  <c r="BB958" i="1"/>
  <c r="AR589" i="1"/>
  <c r="AZ589" i="1"/>
  <c r="AI773" i="1"/>
  <c r="AR773" i="1"/>
  <c r="AZ773" i="1"/>
  <c r="AI586" i="1"/>
  <c r="AR596" i="1"/>
  <c r="AZ596" i="1"/>
  <c r="AI588" i="1"/>
  <c r="AI981" i="1"/>
  <c r="AR586" i="1"/>
  <c r="AZ586" i="1"/>
  <c r="AI596" i="1"/>
  <c r="BA596" i="1"/>
  <c r="BA586" i="1"/>
  <c r="AH773" i="1"/>
  <c r="AI585" i="1"/>
  <c r="AR585" i="1"/>
  <c r="AZ585" i="1"/>
  <c r="AH596" i="1"/>
  <c r="AI589" i="1"/>
  <c r="AH589" i="1"/>
  <c r="AH586" i="1"/>
  <c r="AH585" i="1"/>
  <c r="AH588" i="1"/>
  <c r="AR588" i="1"/>
  <c r="AZ588" i="1"/>
  <c r="Z903" i="1"/>
  <c r="AR903" i="1"/>
  <c r="AZ903" i="1"/>
  <c r="AI903" i="1"/>
  <c r="AH903" i="1"/>
  <c r="AF1179" i="1" l="1"/>
  <c r="AF1187" i="1" s="1"/>
  <c r="Q773" i="1"/>
  <c r="Q903" i="1"/>
  <c r="AF237" i="1"/>
  <c r="AF1204" i="1"/>
  <c r="Q585" i="1"/>
  <c r="Q589" i="1"/>
  <c r="Q596" i="1"/>
  <c r="Q588" i="1"/>
  <c r="Q586" i="1"/>
  <c r="Q981" i="1"/>
  <c r="AJ981" i="1"/>
  <c r="AJ773" i="1"/>
  <c r="AJ589" i="1"/>
  <c r="AJ586" i="1"/>
  <c r="R967" i="1"/>
  <c r="R1004" i="1"/>
  <c r="AJ903" i="1"/>
  <c r="AJ588" i="1"/>
  <c r="AJ585" i="1"/>
  <c r="R958" i="1"/>
  <c r="BB589" i="1"/>
  <c r="BB981" i="1"/>
  <c r="BB596" i="1"/>
  <c r="BB773" i="1"/>
  <c r="BB586" i="1"/>
  <c r="BB588" i="1"/>
  <c r="BB585" i="1"/>
  <c r="BB903" i="1"/>
  <c r="R585" i="1" l="1"/>
  <c r="R589" i="1"/>
  <c r="R586" i="1"/>
  <c r="R903" i="1"/>
  <c r="R981" i="1"/>
  <c r="R588" i="1"/>
  <c r="R773" i="1"/>
  <c r="AY847" i="1"/>
  <c r="AX847" i="1"/>
  <c r="AV847" i="1"/>
  <c r="AT847" i="1"/>
  <c r="AQ847" i="1"/>
  <c r="AP847" i="1"/>
  <c r="AN847" i="1"/>
  <c r="AL847" i="1"/>
  <c r="AG847" i="1"/>
  <c r="AD847" i="1"/>
  <c r="AB847" i="1"/>
  <c r="Y847" i="1"/>
  <c r="X847" i="1"/>
  <c r="V847" i="1"/>
  <c r="T847" i="1"/>
  <c r="AY861" i="1"/>
  <c r="AX861" i="1"/>
  <c r="AV861" i="1"/>
  <c r="AT861" i="1"/>
  <c r="AQ861" i="1"/>
  <c r="AP861" i="1"/>
  <c r="AN861" i="1"/>
  <c r="AL861" i="1"/>
  <c r="AG861" i="1"/>
  <c r="AD861" i="1"/>
  <c r="AB861" i="1"/>
  <c r="Y861" i="1"/>
  <c r="X861" i="1"/>
  <c r="V861" i="1"/>
  <c r="T861" i="1"/>
  <c r="AY862" i="1"/>
  <c r="AX862" i="1"/>
  <c r="AV862" i="1"/>
  <c r="AT862" i="1"/>
  <c r="AQ862" i="1"/>
  <c r="AP862" i="1"/>
  <c r="AN862" i="1"/>
  <c r="AG862" i="1"/>
  <c r="AD862" i="1"/>
  <c r="AB862" i="1"/>
  <c r="Y862" i="1"/>
  <c r="X862" i="1"/>
  <c r="V862" i="1"/>
  <c r="T862" i="1"/>
  <c r="AD474" i="1"/>
  <c r="AD359" i="1"/>
  <c r="AD356" i="1"/>
  <c r="AD38" i="1"/>
  <c r="AY38" i="1"/>
  <c r="AX38" i="1"/>
  <c r="AV38" i="1"/>
  <c r="AT38" i="1"/>
  <c r="AQ38" i="1"/>
  <c r="AN38" i="1"/>
  <c r="AL38" i="1"/>
  <c r="AG38" i="1"/>
  <c r="X38" i="1"/>
  <c r="V38" i="1"/>
  <c r="AG37" i="1"/>
  <c r="AY37" i="1"/>
  <c r="AX37" i="1"/>
  <c r="AV37" i="1"/>
  <c r="AT37" i="1"/>
  <c r="AQ37" i="1"/>
  <c r="AN37" i="1"/>
  <c r="AL37" i="1"/>
  <c r="X37" i="1"/>
  <c r="V37" i="1"/>
  <c r="AD210" i="1"/>
  <c r="AD230" i="1"/>
  <c r="AD69" i="1"/>
  <c r="AD10" i="1"/>
  <c r="AD11" i="1"/>
  <c r="AD12" i="1"/>
  <c r="AD13" i="1"/>
  <c r="AD19" i="1"/>
  <c r="AD20" i="1"/>
  <c r="AD21" i="1"/>
  <c r="AD7" i="1"/>
  <c r="AD9" i="1"/>
  <c r="AD15" i="1"/>
  <c r="AD8" i="1"/>
  <c r="AY131" i="1"/>
  <c r="AX131" i="1"/>
  <c r="AV131" i="1"/>
  <c r="AT131" i="1"/>
  <c r="AQ131" i="1"/>
  <c r="AN131" i="1"/>
  <c r="AL131" i="1"/>
  <c r="AG131" i="1"/>
  <c r="AD131" i="1"/>
  <c r="AB131" i="1"/>
  <c r="X131" i="1"/>
  <c r="V131" i="1"/>
  <c r="AD231" i="1" l="1"/>
  <c r="BA37" i="1"/>
  <c r="BA38" i="1"/>
  <c r="BA847" i="1"/>
  <c r="BA131" i="1"/>
  <c r="AD37" i="1"/>
  <c r="AH37" i="1" s="1"/>
  <c r="AI847" i="1"/>
  <c r="AR131" i="1"/>
  <c r="AZ131" i="1"/>
  <c r="AR37" i="1"/>
  <c r="AZ37" i="1"/>
  <c r="AR38" i="1"/>
  <c r="AZ38" i="1"/>
  <c r="AZ862" i="1"/>
  <c r="AR861" i="1"/>
  <c r="AZ861" i="1"/>
  <c r="Z847" i="1"/>
  <c r="AH847" i="1"/>
  <c r="AZ847" i="1"/>
  <c r="AI861" i="1"/>
  <c r="BA861" i="1"/>
  <c r="AR847" i="1"/>
  <c r="AH862" i="1"/>
  <c r="Z862" i="1"/>
  <c r="AR862" i="1"/>
  <c r="Z861" i="1"/>
  <c r="AH861" i="1"/>
  <c r="AI862" i="1"/>
  <c r="BA862" i="1"/>
  <c r="AH38" i="1"/>
  <c r="AH131" i="1"/>
  <c r="AD137" i="1"/>
  <c r="Q847" i="1" l="1"/>
  <c r="Q861" i="1"/>
  <c r="Q862" i="1"/>
  <c r="AJ847" i="1"/>
  <c r="AJ861" i="1"/>
  <c r="AJ862" i="1"/>
  <c r="BB847" i="1"/>
  <c r="BB38" i="1"/>
  <c r="BB37" i="1"/>
  <c r="BB862" i="1"/>
  <c r="BB861" i="1"/>
  <c r="BB131" i="1"/>
  <c r="AY35" i="1"/>
  <c r="AX35" i="1"/>
  <c r="AV35" i="1"/>
  <c r="AT35" i="1"/>
  <c r="AQ35" i="1"/>
  <c r="AN35" i="1"/>
  <c r="AL35" i="1"/>
  <c r="AG35" i="1"/>
  <c r="AD35" i="1"/>
  <c r="X35" i="1"/>
  <c r="V35" i="1"/>
  <c r="R847" i="1" l="1"/>
  <c r="R862" i="1"/>
  <c r="R861" i="1"/>
  <c r="AR35" i="1"/>
  <c r="AZ35" i="1"/>
  <c r="BA35" i="1"/>
  <c r="AH35" i="1"/>
  <c r="AY610" i="1"/>
  <c r="AX610" i="1"/>
  <c r="AV610" i="1"/>
  <c r="AT610" i="1"/>
  <c r="AQ610" i="1"/>
  <c r="AP610" i="1"/>
  <c r="AN610" i="1"/>
  <c r="AL610" i="1"/>
  <c r="AG610" i="1"/>
  <c r="AD610" i="1"/>
  <c r="AB610" i="1"/>
  <c r="X610" i="1"/>
  <c r="V610" i="1"/>
  <c r="AY611" i="1"/>
  <c r="AX611" i="1"/>
  <c r="AT611" i="1"/>
  <c r="AQ611" i="1"/>
  <c r="AP611" i="1"/>
  <c r="AL611" i="1"/>
  <c r="AG611" i="1"/>
  <c r="AD611" i="1"/>
  <c r="AB611" i="1"/>
  <c r="X611" i="1"/>
  <c r="V611" i="1"/>
  <c r="BA611" i="1" l="1"/>
  <c r="BB35" i="1"/>
  <c r="BA610" i="1"/>
  <c r="AZ611" i="1"/>
  <c r="AR610" i="1"/>
  <c r="AZ610" i="1"/>
  <c r="AR611" i="1"/>
  <c r="AH611" i="1"/>
  <c r="AH610" i="1"/>
  <c r="BB611" i="1" l="1"/>
  <c r="BB610" i="1"/>
  <c r="AB1147" i="1"/>
  <c r="AX943" i="1" l="1"/>
  <c r="AT943" i="1"/>
  <c r="AT942" i="1"/>
  <c r="AP942" i="1"/>
  <c r="AN942" i="1"/>
  <c r="AL942" i="1"/>
  <c r="AG913" i="1"/>
  <c r="AG942" i="1"/>
  <c r="AF942" i="1"/>
  <c r="AD944" i="1"/>
  <c r="AD943" i="1"/>
  <c r="AD942" i="1"/>
  <c r="AB944" i="1"/>
  <c r="AB943" i="1"/>
  <c r="AB942" i="1"/>
  <c r="AB951" i="1"/>
  <c r="AB912" i="1"/>
  <c r="T944" i="1"/>
  <c r="AY944" i="1"/>
  <c r="AX944" i="1"/>
  <c r="AV944" i="1"/>
  <c r="AT944" i="1"/>
  <c r="AQ944" i="1"/>
  <c r="AP944" i="1"/>
  <c r="AN944" i="1"/>
  <c r="AL944" i="1"/>
  <c r="AG944" i="1"/>
  <c r="Y944" i="1"/>
  <c r="X944" i="1"/>
  <c r="V944" i="1"/>
  <c r="AB895" i="1"/>
  <c r="AY895" i="1"/>
  <c r="AX895" i="1"/>
  <c r="AV895" i="1"/>
  <c r="AT895" i="1"/>
  <c r="AQ895" i="1"/>
  <c r="AP895" i="1"/>
  <c r="AN895" i="1"/>
  <c r="AL895" i="1"/>
  <c r="AG895" i="1"/>
  <c r="AD895" i="1"/>
  <c r="Y895" i="1"/>
  <c r="X895" i="1"/>
  <c r="V895" i="1"/>
  <c r="T895" i="1"/>
  <c r="AB831" i="1"/>
  <c r="BA944" i="1" l="1"/>
  <c r="BA895" i="1"/>
  <c r="AH944" i="1"/>
  <c r="Z944" i="1"/>
  <c r="AR944" i="1"/>
  <c r="AH943" i="1"/>
  <c r="AI895" i="1"/>
  <c r="AR895" i="1"/>
  <c r="AZ895" i="1"/>
  <c r="AZ944" i="1"/>
  <c r="AH942" i="1"/>
  <c r="AI944" i="1"/>
  <c r="AH895" i="1"/>
  <c r="Z895" i="1"/>
  <c r="Q944" i="1" l="1"/>
  <c r="Q895" i="1"/>
  <c r="AJ944" i="1"/>
  <c r="AJ895" i="1"/>
  <c r="BB895" i="1"/>
  <c r="BB944" i="1"/>
  <c r="R944" i="1" l="1"/>
  <c r="R895" i="1"/>
  <c r="AB751" i="1"/>
  <c r="AB704" i="1"/>
  <c r="AB764" i="1"/>
  <c r="AB766" i="1"/>
  <c r="V766" i="1"/>
  <c r="AY764" i="1"/>
  <c r="AX764" i="1"/>
  <c r="AV764" i="1"/>
  <c r="AT764" i="1"/>
  <c r="AQ764" i="1"/>
  <c r="AN764" i="1"/>
  <c r="AL764" i="1"/>
  <c r="AG764" i="1"/>
  <c r="AD764" i="1"/>
  <c r="X764" i="1"/>
  <c r="V764" i="1"/>
  <c r="BA764" i="1" l="1"/>
  <c r="AR764" i="1"/>
  <c r="AZ764" i="1"/>
  <c r="AH764" i="1"/>
  <c r="BB764" i="1" l="1"/>
  <c r="AD361" i="1" l="1"/>
  <c r="X359" i="1"/>
  <c r="X69" i="1" l="1"/>
  <c r="X199" i="1" l="1"/>
  <c r="AY199" i="1"/>
  <c r="AX199" i="1"/>
  <c r="AV199" i="1"/>
  <c r="AT199" i="1"/>
  <c r="AQ199" i="1"/>
  <c r="AP199" i="1"/>
  <c r="AN199" i="1"/>
  <c r="AL199" i="1"/>
  <c r="AG199" i="1"/>
  <c r="AD199" i="1"/>
  <c r="V199" i="1"/>
  <c r="X201" i="1"/>
  <c r="X200" i="1"/>
  <c r="X198" i="1"/>
  <c r="X212" i="1"/>
  <c r="X211" i="1"/>
  <c r="X210" i="1"/>
  <c r="BA199" i="1" l="1"/>
  <c r="AH199" i="1"/>
  <c r="AR199" i="1"/>
  <c r="AZ199" i="1"/>
  <c r="AY232" i="1"/>
  <c r="AY223" i="1"/>
  <c r="AX232" i="1"/>
  <c r="AV232" i="1"/>
  <c r="AT232" i="1"/>
  <c r="AQ232" i="1"/>
  <c r="AQ223" i="1"/>
  <c r="AP232" i="1"/>
  <c r="AN232" i="1"/>
  <c r="AN222" i="1"/>
  <c r="AL236" i="1"/>
  <c r="AG232" i="1"/>
  <c r="AG222" i="1"/>
  <c r="AG223" i="1"/>
  <c r="AD232" i="1"/>
  <c r="AB232" i="1"/>
  <c r="AB223" i="1"/>
  <c r="AV236" i="1" l="1"/>
  <c r="AB236" i="1"/>
  <c r="AD236" i="1"/>
  <c r="AQ236" i="1"/>
  <c r="AP236" i="1"/>
  <c r="AX236" i="1"/>
  <c r="AN236" i="1"/>
  <c r="AT236" i="1"/>
  <c r="AY236" i="1"/>
  <c r="AG236" i="1"/>
  <c r="AR232" i="1"/>
  <c r="AZ232" i="1"/>
  <c r="AH232" i="1"/>
  <c r="BA232" i="1"/>
  <c r="BB199" i="1"/>
  <c r="X232" i="1"/>
  <c r="V232" i="1"/>
  <c r="X222" i="1"/>
  <c r="X230" i="1"/>
  <c r="AY46" i="1"/>
  <c r="AX46" i="1"/>
  <c r="AQ46" i="1"/>
  <c r="AN46" i="1"/>
  <c r="AL46" i="1"/>
  <c r="AG46" i="1"/>
  <c r="AD46" i="1"/>
  <c r="AB46" i="1"/>
  <c r="X46" i="1"/>
  <c r="V46" i="1"/>
  <c r="AY44" i="1"/>
  <c r="AX44" i="1"/>
  <c r="AV44" i="1"/>
  <c r="AT44" i="1"/>
  <c r="AQ44" i="1"/>
  <c r="AN44" i="1"/>
  <c r="AL44" i="1"/>
  <c r="AG44" i="1"/>
  <c r="AD44" i="1"/>
  <c r="AB44" i="1"/>
  <c r="AB67" i="1" s="1"/>
  <c r="X44" i="1"/>
  <c r="V44" i="1"/>
  <c r="X231" i="1" l="1"/>
  <c r="AR236" i="1"/>
  <c r="AH236" i="1"/>
  <c r="X236" i="1"/>
  <c r="BA44" i="1"/>
  <c r="BA46" i="1"/>
  <c r="V236" i="1"/>
  <c r="AP139" i="1"/>
  <c r="AP1178" i="1"/>
  <c r="AP1179" i="1" s="1"/>
  <c r="BB232" i="1"/>
  <c r="AZ236" i="1"/>
  <c r="BA236" i="1"/>
  <c r="AH44" i="1"/>
  <c r="AR44" i="1"/>
  <c r="AH46" i="1"/>
  <c r="AR46" i="1"/>
  <c r="AZ46" i="1"/>
  <c r="AZ44" i="1"/>
  <c r="BB236" i="1" l="1"/>
  <c r="BB44" i="1"/>
  <c r="BB46" i="1"/>
  <c r="AY186" i="1" l="1"/>
  <c r="AX186" i="1"/>
  <c r="AV186" i="1"/>
  <c r="AT186" i="1"/>
  <c r="AQ186" i="1"/>
  <c r="AP186" i="1"/>
  <c r="AN186" i="1"/>
  <c r="AL186" i="1"/>
  <c r="AG186" i="1"/>
  <c r="AD186" i="1"/>
  <c r="X186" i="1"/>
  <c r="V186" i="1"/>
  <c r="AY34" i="1"/>
  <c r="AX34" i="1"/>
  <c r="AV34" i="1"/>
  <c r="AT34" i="1"/>
  <c r="AQ34" i="1"/>
  <c r="AN34" i="1"/>
  <c r="AL34" i="1"/>
  <c r="AG34" i="1"/>
  <c r="AD34" i="1"/>
  <c r="X34" i="1"/>
  <c r="V34" i="1"/>
  <c r="BA34" i="1" l="1"/>
  <c r="BA186" i="1"/>
  <c r="AH34" i="1"/>
  <c r="AZ186" i="1"/>
  <c r="AR34" i="1"/>
  <c r="AZ34" i="1"/>
  <c r="AH186" i="1"/>
  <c r="AR186" i="1"/>
  <c r="V10" i="1"/>
  <c r="BB186" i="1" l="1"/>
  <c r="BB34" i="1"/>
  <c r="AY858" i="1"/>
  <c r="AX858" i="1"/>
  <c r="AV858" i="1"/>
  <c r="AT858" i="1"/>
  <c r="AQ858" i="1"/>
  <c r="AP858" i="1"/>
  <c r="AN858" i="1"/>
  <c r="AL858" i="1"/>
  <c r="AG858" i="1"/>
  <c r="AD858" i="1"/>
  <c r="AB858" i="1"/>
  <c r="Y858" i="1"/>
  <c r="X858" i="1"/>
  <c r="V858" i="1"/>
  <c r="T858" i="1"/>
  <c r="BA858" i="1" l="1"/>
  <c r="AI858" i="1"/>
  <c r="AH858" i="1"/>
  <c r="AZ858" i="1"/>
  <c r="AR858" i="1"/>
  <c r="Z858" i="1"/>
  <c r="Q858" i="1" l="1"/>
  <c r="AJ858" i="1"/>
  <c r="BB858" i="1"/>
  <c r="R858" i="1" l="1"/>
  <c r="AY943" i="1"/>
  <c r="AV943" i="1"/>
  <c r="AQ943" i="1"/>
  <c r="AP943" i="1"/>
  <c r="AN943" i="1"/>
  <c r="AL943" i="1"/>
  <c r="AG943" i="1"/>
  <c r="Y943" i="1"/>
  <c r="X943" i="1"/>
  <c r="V943" i="1"/>
  <c r="T943" i="1"/>
  <c r="AY1009" i="1"/>
  <c r="AX1009" i="1"/>
  <c r="AV1009" i="1"/>
  <c r="AT1009" i="1"/>
  <c r="AQ1009" i="1"/>
  <c r="AP1009" i="1"/>
  <c r="AN1009" i="1"/>
  <c r="AL1009" i="1"/>
  <c r="AG1009" i="1"/>
  <c r="AD1009" i="1"/>
  <c r="Y1009" i="1"/>
  <c r="X1009" i="1"/>
  <c r="V1009" i="1"/>
  <c r="T1009" i="1"/>
  <c r="AY1010" i="1"/>
  <c r="AX1010" i="1"/>
  <c r="AV1010" i="1"/>
  <c r="AT1010" i="1"/>
  <c r="AQ1010" i="1"/>
  <c r="AN1010" i="1"/>
  <c r="AL1010" i="1"/>
  <c r="AG1010" i="1"/>
  <c r="AD1010" i="1"/>
  <c r="Y1010" i="1"/>
  <c r="X1010" i="1"/>
  <c r="V1010" i="1"/>
  <c r="T1010" i="1"/>
  <c r="AY896" i="1"/>
  <c r="AX896" i="1"/>
  <c r="AV896" i="1"/>
  <c r="AT896" i="1"/>
  <c r="AQ896" i="1"/>
  <c r="AP896" i="1"/>
  <c r="AN896" i="1"/>
  <c r="AG896" i="1"/>
  <c r="AD896" i="1"/>
  <c r="AB896" i="1"/>
  <c r="Y896" i="1"/>
  <c r="X896" i="1"/>
  <c r="V896" i="1"/>
  <c r="T896" i="1"/>
  <c r="AY893" i="1"/>
  <c r="AX893" i="1"/>
  <c r="AV893" i="1"/>
  <c r="AT893" i="1"/>
  <c r="AQ893" i="1"/>
  <c r="AP893" i="1"/>
  <c r="AN893" i="1"/>
  <c r="AL893" i="1"/>
  <c r="AG893" i="1"/>
  <c r="AD893" i="1"/>
  <c r="AB893" i="1"/>
  <c r="Y893" i="1"/>
  <c r="X893" i="1"/>
  <c r="V893" i="1"/>
  <c r="T893" i="1"/>
  <c r="AY1134" i="1"/>
  <c r="AX1134" i="1"/>
  <c r="AV1134" i="1"/>
  <c r="AT1134" i="1"/>
  <c r="AQ1134" i="1"/>
  <c r="AP1134" i="1"/>
  <c r="AN1134" i="1"/>
  <c r="AL1134" i="1"/>
  <c r="AG1134" i="1"/>
  <c r="AD1134" i="1"/>
  <c r="Y1134" i="1"/>
  <c r="X1134" i="1"/>
  <c r="V1134" i="1"/>
  <c r="T1134" i="1"/>
  <c r="AY1132" i="1"/>
  <c r="AX1132" i="1"/>
  <c r="AV1132" i="1"/>
  <c r="AT1132" i="1"/>
  <c r="AQ1132" i="1"/>
  <c r="AP1132" i="1"/>
  <c r="AN1132" i="1"/>
  <c r="AL1132" i="1"/>
  <c r="AG1132" i="1"/>
  <c r="AD1132" i="1"/>
  <c r="Y1132" i="1"/>
  <c r="X1132" i="1"/>
  <c r="V1132" i="1"/>
  <c r="T1132" i="1"/>
  <c r="AY1129" i="1"/>
  <c r="AX1129" i="1"/>
  <c r="AV1129" i="1"/>
  <c r="AT1129" i="1"/>
  <c r="AQ1129" i="1"/>
  <c r="AP1129" i="1"/>
  <c r="AN1129" i="1"/>
  <c r="AL1129" i="1"/>
  <c r="AG1129" i="1"/>
  <c r="AD1129" i="1"/>
  <c r="Y1129" i="1"/>
  <c r="X1129" i="1"/>
  <c r="V1129" i="1"/>
  <c r="T1129" i="1"/>
  <c r="BA1134" i="1" l="1"/>
  <c r="BA1009" i="1"/>
  <c r="BA893" i="1"/>
  <c r="BA1132" i="1"/>
  <c r="BA1010" i="1"/>
  <c r="BA943" i="1"/>
  <c r="AI1134" i="1"/>
  <c r="AI1132" i="1"/>
  <c r="AI1009" i="1"/>
  <c r="AI1010" i="1"/>
  <c r="AI893" i="1"/>
  <c r="AI943" i="1"/>
  <c r="Z943" i="1"/>
  <c r="AJ943" i="1" s="1"/>
  <c r="AR943" i="1"/>
  <c r="AZ943" i="1"/>
  <c r="Z1129" i="1"/>
  <c r="AH1129" i="1"/>
  <c r="AR1129" i="1"/>
  <c r="AZ1129" i="1"/>
  <c r="Z1132" i="1"/>
  <c r="AH1132" i="1"/>
  <c r="AR1132" i="1"/>
  <c r="AZ1132" i="1"/>
  <c r="Z1134" i="1"/>
  <c r="Z1009" i="1"/>
  <c r="AH1009" i="1"/>
  <c r="AR1009" i="1"/>
  <c r="AZ1009" i="1"/>
  <c r="AH1134" i="1"/>
  <c r="Z1010" i="1"/>
  <c r="AH1010" i="1"/>
  <c r="AR1010" i="1"/>
  <c r="AZ1010" i="1"/>
  <c r="AR1134" i="1"/>
  <c r="AZ1134" i="1"/>
  <c r="AI1129" i="1"/>
  <c r="BA1129" i="1"/>
  <c r="Z893" i="1"/>
  <c r="AH893" i="1"/>
  <c r="AR893" i="1"/>
  <c r="AZ893" i="1"/>
  <c r="AH896" i="1"/>
  <c r="AR896" i="1"/>
  <c r="AZ896" i="1"/>
  <c r="AI896" i="1"/>
  <c r="BA896" i="1"/>
  <c r="Z896" i="1"/>
  <c r="Q1009" i="1" l="1"/>
  <c r="Q1134" i="1"/>
  <c r="Q893" i="1"/>
  <c r="Q1132" i="1"/>
  <c r="Q1010" i="1"/>
  <c r="Q943" i="1"/>
  <c r="Q896" i="1"/>
  <c r="AJ896" i="1"/>
  <c r="AJ1129" i="1"/>
  <c r="AJ1009" i="1"/>
  <c r="AJ893" i="1"/>
  <c r="AJ1010" i="1"/>
  <c r="Q1129" i="1"/>
  <c r="BB943" i="1"/>
  <c r="AJ1134" i="1"/>
  <c r="BB1132" i="1"/>
  <c r="AJ1132" i="1"/>
  <c r="BB1129" i="1"/>
  <c r="BB1009" i="1"/>
  <c r="BB1010" i="1"/>
  <c r="BB893" i="1"/>
  <c r="BB1134" i="1"/>
  <c r="BB896" i="1"/>
  <c r="R1134" i="1" l="1"/>
  <c r="R1010" i="1"/>
  <c r="R1132" i="1"/>
  <c r="R943" i="1"/>
  <c r="R1129" i="1"/>
  <c r="R1009" i="1"/>
  <c r="R893" i="1"/>
  <c r="R896" i="1"/>
  <c r="AY751" i="1" l="1"/>
  <c r="AX751" i="1"/>
  <c r="AV751" i="1"/>
  <c r="AT751" i="1"/>
  <c r="AQ751" i="1"/>
  <c r="AN751" i="1"/>
  <c r="AG751" i="1"/>
  <c r="AD751" i="1"/>
  <c r="X751" i="1"/>
  <c r="V751" i="1"/>
  <c r="AY762" i="1"/>
  <c r="AX762" i="1"/>
  <c r="AV762" i="1"/>
  <c r="AT762" i="1"/>
  <c r="AQ762" i="1"/>
  <c r="AN762" i="1"/>
  <c r="AL762" i="1"/>
  <c r="AG762" i="1"/>
  <c r="AD762" i="1"/>
  <c r="AB762" i="1"/>
  <c r="X762" i="1"/>
  <c r="V762" i="1"/>
  <c r="AX704" i="1"/>
  <c r="AV704" i="1"/>
  <c r="AT704" i="1"/>
  <c r="AQ704" i="1"/>
  <c r="AP704" i="1"/>
  <c r="AN704" i="1"/>
  <c r="AL704" i="1"/>
  <c r="AG704" i="1"/>
  <c r="AD704" i="1"/>
  <c r="X704" i="1"/>
  <c r="V704" i="1"/>
  <c r="AY465" i="1"/>
  <c r="AX465" i="1"/>
  <c r="AV465" i="1"/>
  <c r="AT465" i="1"/>
  <c r="AQ465" i="1"/>
  <c r="AP465" i="1"/>
  <c r="AN465" i="1"/>
  <c r="AL465" i="1"/>
  <c r="AG465" i="1"/>
  <c r="AD465" i="1"/>
  <c r="AB465" i="1"/>
  <c r="X465" i="1"/>
  <c r="V465" i="1"/>
  <c r="AY198" i="1"/>
  <c r="AV198" i="1"/>
  <c r="AT198" i="1"/>
  <c r="AQ198" i="1"/>
  <c r="AP198" i="1"/>
  <c r="AN198" i="1"/>
  <c r="AL198" i="1"/>
  <c r="AG198" i="1"/>
  <c r="AD198" i="1"/>
  <c r="V198" i="1"/>
  <c r="AY200" i="1"/>
  <c r="AX200" i="1"/>
  <c r="AV200" i="1"/>
  <c r="AT200" i="1"/>
  <c r="AQ200" i="1"/>
  <c r="AP200" i="1"/>
  <c r="AN200" i="1"/>
  <c r="AL200" i="1"/>
  <c r="AG200" i="1"/>
  <c r="AD200" i="1"/>
  <c r="V200" i="1"/>
  <c r="BA704" i="1" l="1"/>
  <c r="BA200" i="1"/>
  <c r="BA762" i="1"/>
  <c r="BA751" i="1"/>
  <c r="BA465" i="1"/>
  <c r="BA198" i="1"/>
  <c r="AH704" i="1"/>
  <c r="AR704" i="1"/>
  <c r="AH762" i="1"/>
  <c r="AR762" i="1"/>
  <c r="AZ762" i="1"/>
  <c r="AH751" i="1"/>
  <c r="AR751" i="1"/>
  <c r="AZ751" i="1"/>
  <c r="AZ704" i="1"/>
  <c r="AH200" i="1"/>
  <c r="AR200" i="1"/>
  <c r="AZ200" i="1"/>
  <c r="AH465" i="1"/>
  <c r="AR465" i="1"/>
  <c r="AZ465" i="1"/>
  <c r="AH198" i="1"/>
  <c r="AR198" i="1"/>
  <c r="AZ198" i="1"/>
  <c r="BB704" i="1" l="1"/>
  <c r="BB751" i="1"/>
  <c r="BB762" i="1"/>
  <c r="BB198" i="1"/>
  <c r="BB200" i="1"/>
  <c r="BB465" i="1"/>
  <c r="AY1021" i="1"/>
  <c r="AX1021" i="1"/>
  <c r="AV1021" i="1"/>
  <c r="AT1021" i="1"/>
  <c r="AQ1021" i="1"/>
  <c r="AP1021" i="1"/>
  <c r="AN1021" i="1"/>
  <c r="AL1021" i="1"/>
  <c r="AG1021" i="1"/>
  <c r="AF1021" i="1"/>
  <c r="AF1126" i="1" s="1"/>
  <c r="AF1143" i="1" s="1"/>
  <c r="AF6" i="1" s="1"/>
  <c r="AD1021" i="1"/>
  <c r="Y1021" i="1"/>
  <c r="X1021" i="1"/>
  <c r="V1021" i="1"/>
  <c r="T1021" i="1"/>
  <c r="AF1202" i="1" l="1"/>
  <c r="AF1203" i="1" s="1"/>
  <c r="AE1176" i="1" s="1"/>
  <c r="BA1021" i="1"/>
  <c r="AI1021" i="1"/>
  <c r="AH1021" i="1"/>
  <c r="AR1021" i="1"/>
  <c r="Z1021" i="1"/>
  <c r="AZ1021" i="1"/>
  <c r="AF1174" i="1" l="1"/>
  <c r="Q1021" i="1"/>
  <c r="AJ1021" i="1"/>
  <c r="BB1021" i="1"/>
  <c r="AB368" i="1"/>
  <c r="AB369" i="1"/>
  <c r="AB375" i="1"/>
  <c r="AY375" i="1"/>
  <c r="AX375" i="1"/>
  <c r="AV375" i="1"/>
  <c r="AT375" i="1"/>
  <c r="AQ375" i="1"/>
  <c r="AP375" i="1"/>
  <c r="AN375" i="1"/>
  <c r="AL375" i="1"/>
  <c r="AG375" i="1"/>
  <c r="AD375" i="1"/>
  <c r="X375" i="1"/>
  <c r="AY368" i="1"/>
  <c r="AX368" i="1"/>
  <c r="AV368" i="1"/>
  <c r="AT368" i="1"/>
  <c r="AQ368" i="1"/>
  <c r="AP368" i="1"/>
  <c r="AN368" i="1"/>
  <c r="AL368" i="1"/>
  <c r="AG368" i="1"/>
  <c r="AD368" i="1"/>
  <c r="X368" i="1"/>
  <c r="V368" i="1"/>
  <c r="AY369" i="1"/>
  <c r="AX369" i="1"/>
  <c r="AV369" i="1"/>
  <c r="AT369" i="1"/>
  <c r="AQ369" i="1"/>
  <c r="AL369" i="1"/>
  <c r="AG369" i="1"/>
  <c r="AD369" i="1"/>
  <c r="X369" i="1"/>
  <c r="V369" i="1"/>
  <c r="AY362" i="1"/>
  <c r="AX362" i="1"/>
  <c r="AV362" i="1"/>
  <c r="AT362" i="1"/>
  <c r="AQ362" i="1"/>
  <c r="AN362" i="1"/>
  <c r="AL362" i="1"/>
  <c r="AG362" i="1"/>
  <c r="AD362" i="1"/>
  <c r="AB362" i="1"/>
  <c r="X362" i="1"/>
  <c r="V362" i="1"/>
  <c r="AY1133" i="1"/>
  <c r="AX1133" i="1"/>
  <c r="AV1133" i="1"/>
  <c r="AT1133" i="1"/>
  <c r="AQ1133" i="1"/>
  <c r="AP1133" i="1"/>
  <c r="AN1133" i="1"/>
  <c r="AL1133" i="1"/>
  <c r="AG1133" i="1"/>
  <c r="AD1133" i="1"/>
  <c r="X1133" i="1"/>
  <c r="V1133" i="1"/>
  <c r="T1133" i="1"/>
  <c r="AY1131" i="1"/>
  <c r="AX1131" i="1"/>
  <c r="AV1131" i="1"/>
  <c r="AT1131" i="1"/>
  <c r="AQ1131" i="1"/>
  <c r="AP1131" i="1"/>
  <c r="AN1131" i="1"/>
  <c r="AL1131" i="1"/>
  <c r="AD1131" i="1"/>
  <c r="X1131" i="1"/>
  <c r="V1131" i="1"/>
  <c r="T1131" i="1"/>
  <c r="AY1128" i="1"/>
  <c r="AX1128" i="1"/>
  <c r="AV1128" i="1"/>
  <c r="AT1128" i="1"/>
  <c r="AQ1128" i="1"/>
  <c r="AP1128" i="1"/>
  <c r="AN1128" i="1"/>
  <c r="AL1128" i="1"/>
  <c r="AG1128" i="1"/>
  <c r="AD1128" i="1"/>
  <c r="X1128" i="1"/>
  <c r="V1128" i="1"/>
  <c r="T1128" i="1"/>
  <c r="BA1128" i="1" l="1"/>
  <c r="BA1131" i="1"/>
  <c r="BA362" i="1"/>
  <c r="R1021" i="1"/>
  <c r="BA1133" i="1"/>
  <c r="AI1128" i="1"/>
  <c r="AI1133" i="1"/>
  <c r="AI1131" i="1"/>
  <c r="AR1133" i="1"/>
  <c r="AH362" i="1"/>
  <c r="AZ369" i="1"/>
  <c r="AH1128" i="1"/>
  <c r="AH1131" i="1"/>
  <c r="AR1131" i="1"/>
  <c r="AH369" i="1"/>
  <c r="BA369" i="1"/>
  <c r="BA375" i="1"/>
  <c r="AZ375" i="1"/>
  <c r="AZ362" i="1"/>
  <c r="Z1128" i="1"/>
  <c r="Z1131" i="1"/>
  <c r="Z1133" i="1"/>
  <c r="AH1133" i="1"/>
  <c r="AZ1133" i="1"/>
  <c r="BA368" i="1"/>
  <c r="AR369" i="1"/>
  <c r="AR368" i="1"/>
  <c r="AR375" i="1"/>
  <c r="AH375" i="1"/>
  <c r="AH368" i="1"/>
  <c r="AZ368" i="1"/>
  <c r="AR362" i="1"/>
  <c r="AZ1131" i="1"/>
  <c r="AZ1128" i="1"/>
  <c r="AR1128" i="1"/>
  <c r="Q1128" i="1" l="1"/>
  <c r="Q1131" i="1"/>
  <c r="Q1133" i="1"/>
  <c r="BB369" i="1"/>
  <c r="AJ1128" i="1"/>
  <c r="BB1133" i="1"/>
  <c r="AJ1131" i="1"/>
  <c r="BB1131" i="1"/>
  <c r="BB362" i="1"/>
  <c r="AJ1133" i="1"/>
  <c r="BB375" i="1"/>
  <c r="BB368" i="1"/>
  <c r="BB1128" i="1"/>
  <c r="R1133" i="1" l="1"/>
  <c r="R1131" i="1"/>
  <c r="R1128" i="1"/>
  <c r="AY977" i="1" l="1"/>
  <c r="AX977" i="1"/>
  <c r="AV977" i="1"/>
  <c r="AT977" i="1"/>
  <c r="AQ977" i="1"/>
  <c r="AP977" i="1"/>
  <c r="AN977" i="1"/>
  <c r="AL977" i="1"/>
  <c r="AG977" i="1"/>
  <c r="AD977" i="1"/>
  <c r="AB977" i="1"/>
  <c r="Y977" i="1"/>
  <c r="X977" i="1"/>
  <c r="V977" i="1"/>
  <c r="T977" i="1"/>
  <c r="AY993" i="1"/>
  <c r="AX993" i="1"/>
  <c r="AV993" i="1"/>
  <c r="AT993" i="1"/>
  <c r="AQ993" i="1"/>
  <c r="AP993" i="1"/>
  <c r="AN993" i="1"/>
  <c r="AL993" i="1"/>
  <c r="AG993" i="1"/>
  <c r="AD993" i="1"/>
  <c r="Y993" i="1"/>
  <c r="X993" i="1"/>
  <c r="V993" i="1"/>
  <c r="T993" i="1"/>
  <c r="AY913" i="1"/>
  <c r="AX913" i="1"/>
  <c r="AV913" i="1"/>
  <c r="AT913" i="1"/>
  <c r="AQ913" i="1"/>
  <c r="AN913" i="1"/>
  <c r="AL913" i="1"/>
  <c r="AD913" i="1"/>
  <c r="AB913" i="1"/>
  <c r="Y913" i="1"/>
  <c r="X913" i="1"/>
  <c r="V913" i="1"/>
  <c r="T913" i="1"/>
  <c r="AY90" i="1"/>
  <c r="AX90" i="1"/>
  <c r="AV90" i="1"/>
  <c r="AT90" i="1"/>
  <c r="AQ90" i="1"/>
  <c r="AN90" i="1"/>
  <c r="AL90" i="1"/>
  <c r="AG90" i="1"/>
  <c r="AD90" i="1"/>
  <c r="X90" i="1"/>
  <c r="V90" i="1"/>
  <c r="AY79" i="1"/>
  <c r="AX79" i="1"/>
  <c r="AV79" i="1"/>
  <c r="AT79" i="1"/>
  <c r="AN79" i="1"/>
  <c r="AL79" i="1"/>
  <c r="AG79" i="1"/>
  <c r="AD79" i="1"/>
  <c r="X79" i="1"/>
  <c r="V79" i="1"/>
  <c r="AY227" i="1"/>
  <c r="AT227" i="1"/>
  <c r="AQ227" i="1"/>
  <c r="AP227" i="1"/>
  <c r="AN227" i="1"/>
  <c r="AL227" i="1"/>
  <c r="AG227" i="1"/>
  <c r="AD227" i="1"/>
  <c r="AB227" i="1"/>
  <c r="X227" i="1"/>
  <c r="V227" i="1"/>
  <c r="BA977" i="1" l="1"/>
  <c r="AI913" i="1"/>
  <c r="BA90" i="1"/>
  <c r="AH79" i="1"/>
  <c r="AH90" i="1"/>
  <c r="AR90" i="1"/>
  <c r="AZ79" i="1"/>
  <c r="AZ90" i="1"/>
  <c r="AR79" i="1"/>
  <c r="AI977" i="1"/>
  <c r="AH913" i="1"/>
  <c r="BA993" i="1"/>
  <c r="BA79" i="1"/>
  <c r="Z977" i="1"/>
  <c r="AH977" i="1"/>
  <c r="AZ977" i="1"/>
  <c r="AR977" i="1"/>
  <c r="BA913" i="1"/>
  <c r="Z913" i="1"/>
  <c r="AR913" i="1"/>
  <c r="Z993" i="1"/>
  <c r="AH993" i="1"/>
  <c r="AR993" i="1"/>
  <c r="AZ993" i="1"/>
  <c r="AI993" i="1"/>
  <c r="AZ913" i="1"/>
  <c r="BA227" i="1"/>
  <c r="AZ227" i="1"/>
  <c r="AR227" i="1"/>
  <c r="AH227" i="1"/>
  <c r="Q977" i="1" l="1"/>
  <c r="Q913" i="1"/>
  <c r="Q993" i="1"/>
  <c r="AJ913" i="1"/>
  <c r="AJ977" i="1"/>
  <c r="AJ993" i="1"/>
  <c r="BB977" i="1"/>
  <c r="BB913" i="1"/>
  <c r="BB993" i="1"/>
  <c r="BB90" i="1"/>
  <c r="BB79" i="1"/>
  <c r="BB227" i="1"/>
  <c r="R977" i="1" l="1"/>
  <c r="R913" i="1"/>
  <c r="R993" i="1"/>
  <c r="V463" i="1" l="1"/>
  <c r="X463" i="1"/>
  <c r="AD463" i="1"/>
  <c r="AG463" i="1"/>
  <c r="AL463" i="1"/>
  <c r="AN463" i="1"/>
  <c r="AP463" i="1"/>
  <c r="AQ463" i="1"/>
  <c r="AV463" i="1"/>
  <c r="AX463" i="1"/>
  <c r="AY463" i="1"/>
  <c r="AH463" i="1" l="1"/>
  <c r="AR463" i="1"/>
  <c r="AZ463" i="1"/>
  <c r="BA463" i="1"/>
  <c r="BB463" i="1" l="1"/>
  <c r="AY226" i="1"/>
  <c r="AX226" i="1"/>
  <c r="AV226" i="1"/>
  <c r="AT226" i="1"/>
  <c r="AQ226" i="1"/>
  <c r="AP226" i="1"/>
  <c r="AN226" i="1"/>
  <c r="AL226" i="1"/>
  <c r="AG226" i="1"/>
  <c r="AD226" i="1"/>
  <c r="AB226" i="1"/>
  <c r="X226" i="1"/>
  <c r="V226" i="1"/>
  <c r="AY225" i="1"/>
  <c r="AX225" i="1"/>
  <c r="AV225" i="1"/>
  <c r="AT225" i="1"/>
  <c r="AQ225" i="1"/>
  <c r="AP225" i="1"/>
  <c r="AL225" i="1"/>
  <c r="AG225" i="1"/>
  <c r="AD225" i="1"/>
  <c r="AB225" i="1"/>
  <c r="X225" i="1"/>
  <c r="V225" i="1"/>
  <c r="BA226" i="1" l="1"/>
  <c r="BA225" i="1"/>
  <c r="AH225" i="1"/>
  <c r="AR225" i="1"/>
  <c r="AZ225" i="1"/>
  <c r="AH226" i="1"/>
  <c r="AR226" i="1"/>
  <c r="AZ226" i="1"/>
  <c r="BB226" i="1" l="1"/>
  <c r="BB225" i="1"/>
  <c r="AX1125" i="1" l="1"/>
  <c r="AV1125" i="1"/>
  <c r="AT1125" i="1"/>
  <c r="AQ1125" i="1"/>
  <c r="AP1125" i="1"/>
  <c r="AN1125" i="1"/>
  <c r="AG1125" i="1"/>
  <c r="AD1125" i="1"/>
  <c r="Y1125" i="1"/>
  <c r="X1125" i="1"/>
  <c r="V1125" i="1"/>
  <c r="T1125" i="1"/>
  <c r="AX1123" i="1"/>
  <c r="AV1123" i="1"/>
  <c r="AT1123" i="1"/>
  <c r="AQ1123" i="1"/>
  <c r="AP1123" i="1"/>
  <c r="AN1123" i="1"/>
  <c r="AL1123" i="1"/>
  <c r="AG1123" i="1"/>
  <c r="Y1123" i="1"/>
  <c r="X1123" i="1"/>
  <c r="V1123" i="1"/>
  <c r="T1123" i="1"/>
  <c r="AX1122" i="1"/>
  <c r="AV1122" i="1"/>
  <c r="AT1122" i="1"/>
  <c r="AQ1122" i="1"/>
  <c r="AP1122" i="1"/>
  <c r="AN1122" i="1"/>
  <c r="AL1122" i="1"/>
  <c r="AG1122" i="1"/>
  <c r="AD1122" i="1"/>
  <c r="Y1122" i="1"/>
  <c r="X1122" i="1"/>
  <c r="V1122" i="1"/>
  <c r="T1122" i="1"/>
  <c r="AX1121" i="1"/>
  <c r="AV1121" i="1"/>
  <c r="AT1121" i="1"/>
  <c r="AQ1121" i="1"/>
  <c r="AP1121" i="1"/>
  <c r="AN1121" i="1"/>
  <c r="AL1121" i="1"/>
  <c r="AG1121" i="1"/>
  <c r="AD1121" i="1"/>
  <c r="Y1121" i="1"/>
  <c r="X1121" i="1"/>
  <c r="V1121" i="1"/>
  <c r="T1121" i="1"/>
  <c r="AX1120" i="1"/>
  <c r="AV1120" i="1"/>
  <c r="AT1120" i="1"/>
  <c r="AQ1120" i="1"/>
  <c r="AP1120" i="1"/>
  <c r="AN1120" i="1"/>
  <c r="AL1120" i="1"/>
  <c r="AD1120" i="1"/>
  <c r="AH1120" i="1" s="1"/>
  <c r="Y1120" i="1"/>
  <c r="X1120" i="1"/>
  <c r="V1120" i="1"/>
  <c r="T1120" i="1"/>
  <c r="AX1119" i="1"/>
  <c r="AV1119" i="1"/>
  <c r="AT1119" i="1"/>
  <c r="AQ1119" i="1"/>
  <c r="AP1119" i="1"/>
  <c r="AN1119" i="1"/>
  <c r="AL1119" i="1"/>
  <c r="AG1119" i="1"/>
  <c r="AD1119" i="1"/>
  <c r="Y1119" i="1"/>
  <c r="X1119" i="1"/>
  <c r="V1119" i="1"/>
  <c r="T1119" i="1"/>
  <c r="AX1117" i="1"/>
  <c r="AV1117" i="1"/>
  <c r="AT1117" i="1"/>
  <c r="AQ1117" i="1"/>
  <c r="AP1117" i="1"/>
  <c r="AN1117" i="1"/>
  <c r="AL1117" i="1"/>
  <c r="AD1117" i="1"/>
  <c r="AH1117" i="1" s="1"/>
  <c r="Y1117" i="1"/>
  <c r="X1117" i="1"/>
  <c r="V1117" i="1"/>
  <c r="T1117" i="1"/>
  <c r="AX942" i="1"/>
  <c r="AV942" i="1"/>
  <c r="AQ942" i="1"/>
  <c r="Y942" i="1"/>
  <c r="X942" i="1"/>
  <c r="V942" i="1"/>
  <c r="T942" i="1"/>
  <c r="AX1003" i="1"/>
  <c r="AV1003" i="1"/>
  <c r="AT1003" i="1"/>
  <c r="AQ1003" i="1"/>
  <c r="AP1003" i="1"/>
  <c r="AN1003" i="1"/>
  <c r="AL1003" i="1"/>
  <c r="AG1003" i="1"/>
  <c r="AD1003" i="1"/>
  <c r="Y1003" i="1"/>
  <c r="X1003" i="1"/>
  <c r="V1003" i="1"/>
  <c r="T1003" i="1"/>
  <c r="AX1002" i="1"/>
  <c r="AV1002" i="1"/>
  <c r="AT1002" i="1"/>
  <c r="AQ1002" i="1"/>
  <c r="AN1002" i="1"/>
  <c r="AG1002" i="1"/>
  <c r="AD1002" i="1"/>
  <c r="Y1002" i="1"/>
  <c r="X1002" i="1"/>
  <c r="V1002" i="1"/>
  <c r="T1002" i="1"/>
  <c r="AX1001" i="1"/>
  <c r="AV1001" i="1"/>
  <c r="AT1001" i="1"/>
  <c r="AQ1001" i="1"/>
  <c r="AP1001" i="1"/>
  <c r="AN1001" i="1"/>
  <c r="AL1001" i="1"/>
  <c r="AG1001" i="1"/>
  <c r="AD1001" i="1"/>
  <c r="Y1001" i="1"/>
  <c r="X1001" i="1"/>
  <c r="V1001" i="1"/>
  <c r="T1001" i="1"/>
  <c r="AX1000" i="1"/>
  <c r="AV1000" i="1"/>
  <c r="AT1000" i="1"/>
  <c r="AQ1000" i="1"/>
  <c r="AP1000" i="1"/>
  <c r="AN1000" i="1"/>
  <c r="AL1000" i="1"/>
  <c r="AG1000" i="1"/>
  <c r="AD1000" i="1"/>
  <c r="Y1000" i="1"/>
  <c r="X1000" i="1"/>
  <c r="V1000" i="1"/>
  <c r="T1000" i="1"/>
  <c r="AX999" i="1"/>
  <c r="AV999" i="1"/>
  <c r="AT999" i="1"/>
  <c r="AQ999" i="1"/>
  <c r="AP999" i="1"/>
  <c r="AN999" i="1"/>
  <c r="AG999" i="1"/>
  <c r="AD999" i="1"/>
  <c r="Y999" i="1"/>
  <c r="X999" i="1"/>
  <c r="V999" i="1"/>
  <c r="T999" i="1"/>
  <c r="AX988" i="1"/>
  <c r="AV988" i="1"/>
  <c r="AT988" i="1"/>
  <c r="AQ988" i="1"/>
  <c r="AP988" i="1"/>
  <c r="AN988" i="1"/>
  <c r="AL988" i="1"/>
  <c r="AG988" i="1"/>
  <c r="AD988" i="1"/>
  <c r="AB988" i="1"/>
  <c r="Y988" i="1"/>
  <c r="X988" i="1"/>
  <c r="V988" i="1"/>
  <c r="T988" i="1"/>
  <c r="AX960" i="1"/>
  <c r="AV960" i="1"/>
  <c r="AT960" i="1"/>
  <c r="AQ960" i="1"/>
  <c r="AP960" i="1"/>
  <c r="AN960" i="1"/>
  <c r="AL960" i="1"/>
  <c r="AG960" i="1"/>
  <c r="AD960" i="1"/>
  <c r="AB960" i="1"/>
  <c r="Y960" i="1"/>
  <c r="X960" i="1"/>
  <c r="V960" i="1"/>
  <c r="T960" i="1"/>
  <c r="AX980" i="1"/>
  <c r="AV980" i="1"/>
  <c r="AT980" i="1"/>
  <c r="AQ980" i="1"/>
  <c r="AP980" i="1"/>
  <c r="AN980" i="1"/>
  <c r="AL980" i="1"/>
  <c r="AG980" i="1"/>
  <c r="AD980" i="1"/>
  <c r="AB980" i="1"/>
  <c r="Y980" i="1"/>
  <c r="X980" i="1"/>
  <c r="V980" i="1"/>
  <c r="T980" i="1"/>
  <c r="AX979" i="1"/>
  <c r="AV979" i="1"/>
  <c r="AT979" i="1"/>
  <c r="AQ979" i="1"/>
  <c r="AN979" i="1"/>
  <c r="AL979" i="1"/>
  <c r="AG979" i="1"/>
  <c r="AD979" i="1"/>
  <c r="AB979" i="1"/>
  <c r="Y979" i="1"/>
  <c r="X979" i="1"/>
  <c r="V979" i="1"/>
  <c r="T979" i="1"/>
  <c r="AX978" i="1"/>
  <c r="AV978" i="1"/>
  <c r="AT978" i="1"/>
  <c r="AQ978" i="1"/>
  <c r="AP978" i="1"/>
  <c r="AN978" i="1"/>
  <c r="AL978" i="1"/>
  <c r="AD978" i="1"/>
  <c r="AB978" i="1"/>
  <c r="X978" i="1"/>
  <c r="V978" i="1"/>
  <c r="T978" i="1"/>
  <c r="AX976" i="1"/>
  <c r="AV976" i="1"/>
  <c r="AT976" i="1"/>
  <c r="AQ976" i="1"/>
  <c r="AP976" i="1"/>
  <c r="AN976" i="1"/>
  <c r="AL976" i="1"/>
  <c r="AD976" i="1"/>
  <c r="AB976" i="1"/>
  <c r="X976" i="1"/>
  <c r="V976" i="1"/>
  <c r="T976" i="1"/>
  <c r="AX953" i="1"/>
  <c r="AV953" i="1"/>
  <c r="AT953" i="1"/>
  <c r="AQ953" i="1"/>
  <c r="AP953" i="1"/>
  <c r="AN953" i="1"/>
  <c r="AL953" i="1"/>
  <c r="AG953" i="1"/>
  <c r="AD953" i="1"/>
  <c r="AB953" i="1"/>
  <c r="Y953" i="1"/>
  <c r="X953" i="1"/>
  <c r="V953" i="1"/>
  <c r="T953" i="1"/>
  <c r="AX952" i="1"/>
  <c r="AV952" i="1"/>
  <c r="AT952" i="1"/>
  <c r="AQ952" i="1"/>
  <c r="AP952" i="1"/>
  <c r="AN952" i="1"/>
  <c r="AL952" i="1"/>
  <c r="AG952" i="1"/>
  <c r="AD952" i="1"/>
  <c r="AB952" i="1"/>
  <c r="Y952" i="1"/>
  <c r="X952" i="1"/>
  <c r="V952" i="1"/>
  <c r="T952" i="1"/>
  <c r="AX951" i="1"/>
  <c r="AV951" i="1"/>
  <c r="AT951" i="1"/>
  <c r="AQ951" i="1"/>
  <c r="AP951" i="1"/>
  <c r="AN951" i="1"/>
  <c r="AL951" i="1"/>
  <c r="AG951" i="1"/>
  <c r="AD951" i="1"/>
  <c r="Y951" i="1"/>
  <c r="X951" i="1"/>
  <c r="V951" i="1"/>
  <c r="T951" i="1"/>
  <c r="AX950" i="1"/>
  <c r="AV950" i="1"/>
  <c r="AT950" i="1"/>
  <c r="AQ950" i="1"/>
  <c r="AP950" i="1"/>
  <c r="AN950" i="1"/>
  <c r="AL950" i="1"/>
  <c r="AG950" i="1"/>
  <c r="AD950" i="1"/>
  <c r="AB950" i="1"/>
  <c r="Y950" i="1"/>
  <c r="X950" i="1"/>
  <c r="V950" i="1"/>
  <c r="T950" i="1"/>
  <c r="AX949" i="1"/>
  <c r="AV949" i="1"/>
  <c r="AT949" i="1"/>
  <c r="AQ949" i="1"/>
  <c r="AP949" i="1"/>
  <c r="AN949" i="1"/>
  <c r="AL949" i="1"/>
  <c r="AG949" i="1"/>
  <c r="AD949" i="1"/>
  <c r="AB949" i="1"/>
  <c r="Y949" i="1"/>
  <c r="X949" i="1"/>
  <c r="V949" i="1"/>
  <c r="T949" i="1"/>
  <c r="AX912" i="1"/>
  <c r="AV912" i="1"/>
  <c r="AT912" i="1"/>
  <c r="AQ912" i="1"/>
  <c r="AN912" i="1"/>
  <c r="AL912" i="1"/>
  <c r="AG912" i="1"/>
  <c r="AD912" i="1"/>
  <c r="Y912" i="1"/>
  <c r="X912" i="1"/>
  <c r="V912" i="1"/>
  <c r="T912" i="1"/>
  <c r="AX911" i="1"/>
  <c r="AV911" i="1"/>
  <c r="AT911" i="1"/>
  <c r="AQ911" i="1"/>
  <c r="AN911" i="1"/>
  <c r="AL911" i="1"/>
  <c r="AG911" i="1"/>
  <c r="AD911" i="1"/>
  <c r="AB911" i="1"/>
  <c r="Y911" i="1"/>
  <c r="X911" i="1"/>
  <c r="V911" i="1"/>
  <c r="T911" i="1"/>
  <c r="AX910" i="1"/>
  <c r="AV910" i="1"/>
  <c r="AT910" i="1"/>
  <c r="AQ910" i="1"/>
  <c r="AN910" i="1"/>
  <c r="AL910" i="1"/>
  <c r="AG910" i="1"/>
  <c r="AD910" i="1"/>
  <c r="AB910" i="1"/>
  <c r="Y910" i="1"/>
  <c r="X910" i="1"/>
  <c r="V910" i="1"/>
  <c r="T910" i="1"/>
  <c r="AX892" i="1"/>
  <c r="AV892" i="1"/>
  <c r="AT892" i="1"/>
  <c r="AQ892" i="1"/>
  <c r="AP892" i="1"/>
  <c r="AN892" i="1"/>
  <c r="AL892" i="1"/>
  <c r="AG892" i="1"/>
  <c r="AD892" i="1"/>
  <c r="AB892" i="1"/>
  <c r="Y892" i="1"/>
  <c r="X892" i="1"/>
  <c r="V892" i="1"/>
  <c r="T892" i="1"/>
  <c r="AX890" i="1"/>
  <c r="AV890" i="1"/>
  <c r="AT890" i="1"/>
  <c r="AQ890" i="1"/>
  <c r="AP890" i="1"/>
  <c r="AN890" i="1"/>
  <c r="AL890" i="1"/>
  <c r="AG890" i="1"/>
  <c r="AD890" i="1"/>
  <c r="AB890" i="1"/>
  <c r="Y890" i="1"/>
  <c r="X890" i="1"/>
  <c r="V890" i="1"/>
  <c r="T890" i="1"/>
  <c r="AX887" i="1"/>
  <c r="AV887" i="1"/>
  <c r="AT887" i="1"/>
  <c r="AQ887" i="1"/>
  <c r="AP887" i="1"/>
  <c r="AN887" i="1"/>
  <c r="AL887" i="1"/>
  <c r="AG887" i="1"/>
  <c r="AD887" i="1"/>
  <c r="AB887" i="1"/>
  <c r="Y887" i="1"/>
  <c r="X887" i="1"/>
  <c r="V887" i="1"/>
  <c r="T887" i="1"/>
  <c r="AX868" i="1"/>
  <c r="AV868" i="1"/>
  <c r="AT868" i="1"/>
  <c r="AX867" i="1"/>
  <c r="AV867" i="1"/>
  <c r="AT867" i="1"/>
  <c r="AX863" i="1"/>
  <c r="AV863" i="1"/>
  <c r="AT863" i="1"/>
  <c r="AX846" i="1"/>
  <c r="AV846" i="1"/>
  <c r="AT846" i="1"/>
  <c r="AX845" i="1"/>
  <c r="AV845" i="1"/>
  <c r="AT845" i="1"/>
  <c r="AX844" i="1"/>
  <c r="AV844" i="1"/>
  <c r="AT844" i="1"/>
  <c r="AX843" i="1"/>
  <c r="AV843" i="1"/>
  <c r="AT843" i="1"/>
  <c r="AX842" i="1"/>
  <c r="AV842" i="1"/>
  <c r="AT842" i="1"/>
  <c r="AX841" i="1"/>
  <c r="AV841" i="1"/>
  <c r="AT841" i="1"/>
  <c r="AX840" i="1"/>
  <c r="AV840" i="1"/>
  <c r="AT840" i="1"/>
  <c r="AX839" i="1"/>
  <c r="AV839" i="1"/>
  <c r="AT839" i="1"/>
  <c r="AX838" i="1"/>
  <c r="AV838" i="1"/>
  <c r="AT838" i="1"/>
  <c r="AX837" i="1"/>
  <c r="AV837" i="1"/>
  <c r="AT837" i="1"/>
  <c r="AX836" i="1"/>
  <c r="AV836" i="1"/>
  <c r="AT836" i="1"/>
  <c r="AX835" i="1"/>
  <c r="AV835" i="1"/>
  <c r="AT835" i="1"/>
  <c r="AX857" i="1"/>
  <c r="AV857" i="1"/>
  <c r="AX856" i="1"/>
  <c r="AV856" i="1"/>
  <c r="AT856" i="1"/>
  <c r="AX855" i="1"/>
  <c r="AV855" i="1"/>
  <c r="AT855" i="1"/>
  <c r="AX831" i="1"/>
  <c r="AV831" i="1"/>
  <c r="AT831" i="1"/>
  <c r="AX830" i="1"/>
  <c r="AV830" i="1"/>
  <c r="AT830" i="1"/>
  <c r="AX828" i="1"/>
  <c r="AV828" i="1"/>
  <c r="AT828" i="1"/>
  <c r="AX824" i="1"/>
  <c r="AV824" i="1"/>
  <c r="AX823" i="1"/>
  <c r="AV823" i="1"/>
  <c r="AT823" i="1"/>
  <c r="AX822" i="1"/>
  <c r="AV822" i="1"/>
  <c r="AX821" i="1"/>
  <c r="AV821" i="1"/>
  <c r="AT1127" i="1"/>
  <c r="AV1127" i="1"/>
  <c r="AX1127" i="1"/>
  <c r="AT1130" i="1"/>
  <c r="AV1130" i="1"/>
  <c r="AX1130" i="1"/>
  <c r="AT1135" i="1"/>
  <c r="AV1135" i="1"/>
  <c r="AX1135" i="1"/>
  <c r="AT1137" i="1"/>
  <c r="AV1137" i="1"/>
  <c r="AX1137" i="1"/>
  <c r="AT1138" i="1"/>
  <c r="AV1138" i="1"/>
  <c r="AX1138" i="1"/>
  <c r="AT1139" i="1"/>
  <c r="AV1139" i="1"/>
  <c r="AX1139" i="1"/>
  <c r="AT1140" i="1"/>
  <c r="AV1140" i="1"/>
  <c r="AX1140" i="1"/>
  <c r="AT1141" i="1"/>
  <c r="AV1141" i="1"/>
  <c r="AX1141" i="1"/>
  <c r="AT1144" i="1"/>
  <c r="AT1145" i="1" s="1"/>
  <c r="AV1144" i="1"/>
  <c r="AV1145" i="1" s="1"/>
  <c r="AX1144" i="1"/>
  <c r="AX1145" i="1" s="1"/>
  <c r="AT1146" i="1"/>
  <c r="AV1146" i="1"/>
  <c r="AX1146" i="1"/>
  <c r="AT1147" i="1"/>
  <c r="AV1147" i="1"/>
  <c r="AX1147" i="1"/>
  <c r="AT1148" i="1"/>
  <c r="AV1148" i="1"/>
  <c r="AX1148" i="1"/>
  <c r="AT1149" i="1"/>
  <c r="AV1149" i="1"/>
  <c r="AX1149" i="1"/>
  <c r="AY1135" i="1"/>
  <c r="AQ1135" i="1"/>
  <c r="AP1135" i="1"/>
  <c r="AN1135" i="1"/>
  <c r="AL1135" i="1"/>
  <c r="AG1135" i="1"/>
  <c r="AD1135" i="1"/>
  <c r="Y1135" i="1"/>
  <c r="X1135" i="1"/>
  <c r="V1135" i="1"/>
  <c r="T1135" i="1"/>
  <c r="AY1130" i="1"/>
  <c r="AQ1130" i="1"/>
  <c r="AP1130" i="1"/>
  <c r="AN1130" i="1"/>
  <c r="AL1130" i="1"/>
  <c r="AG1130" i="1"/>
  <c r="AD1130" i="1"/>
  <c r="Y1130" i="1"/>
  <c r="X1130" i="1"/>
  <c r="V1130" i="1"/>
  <c r="T1130" i="1"/>
  <c r="AY1127" i="1"/>
  <c r="AQ1127" i="1"/>
  <c r="AP1127" i="1"/>
  <c r="AN1127" i="1"/>
  <c r="AL1127" i="1"/>
  <c r="AG1127" i="1"/>
  <c r="AD1127" i="1"/>
  <c r="AB1136" i="1"/>
  <c r="Y1127" i="1"/>
  <c r="X1127" i="1"/>
  <c r="V1127" i="1"/>
  <c r="T1127" i="1"/>
  <c r="AY1139" i="1"/>
  <c r="AQ1141" i="1"/>
  <c r="AP1141" i="1"/>
  <c r="AN1141" i="1"/>
  <c r="AG1141" i="1"/>
  <c r="AD1141" i="1"/>
  <c r="Y1141" i="1"/>
  <c r="X1141" i="1"/>
  <c r="V1141" i="1"/>
  <c r="T1141" i="1"/>
  <c r="AQ1140" i="1"/>
  <c r="AP1140" i="1"/>
  <c r="AN1140" i="1"/>
  <c r="AL1140" i="1"/>
  <c r="AG1140" i="1"/>
  <c r="AD1140" i="1"/>
  <c r="Y1140" i="1"/>
  <c r="X1140" i="1"/>
  <c r="V1140" i="1"/>
  <c r="T1140" i="1"/>
  <c r="AQ1139" i="1"/>
  <c r="AP1139" i="1"/>
  <c r="AN1139" i="1"/>
  <c r="AL1139" i="1"/>
  <c r="AG1139" i="1"/>
  <c r="AD1139" i="1"/>
  <c r="Y1139" i="1"/>
  <c r="X1139" i="1"/>
  <c r="V1139" i="1"/>
  <c r="T1139" i="1"/>
  <c r="AQ1138" i="1"/>
  <c r="AP1138" i="1"/>
  <c r="AN1138" i="1"/>
  <c r="AL1138" i="1"/>
  <c r="AG1138" i="1"/>
  <c r="AD1138" i="1"/>
  <c r="Y1138" i="1"/>
  <c r="X1138" i="1"/>
  <c r="V1138" i="1"/>
  <c r="T1138" i="1"/>
  <c r="AQ1137" i="1"/>
  <c r="AP1137" i="1"/>
  <c r="AN1137" i="1"/>
  <c r="AL1137" i="1"/>
  <c r="AG1137" i="1"/>
  <c r="AD1137" i="1"/>
  <c r="Y1137" i="1"/>
  <c r="X1137" i="1"/>
  <c r="V1137" i="1"/>
  <c r="T1137" i="1"/>
  <c r="AX786" i="1"/>
  <c r="AV786" i="1"/>
  <c r="AT786" i="1"/>
  <c r="AX785" i="1"/>
  <c r="AV785" i="1"/>
  <c r="AT785" i="1"/>
  <c r="AX775" i="1"/>
  <c r="AV775" i="1"/>
  <c r="AT775" i="1"/>
  <c r="AX774" i="1"/>
  <c r="AV774" i="1"/>
  <c r="AT774" i="1"/>
  <c r="AX766" i="1"/>
  <c r="AV766" i="1"/>
  <c r="AT766" i="1"/>
  <c r="AX671" i="1"/>
  <c r="AV671" i="1"/>
  <c r="AT671" i="1"/>
  <c r="AX670" i="1"/>
  <c r="AV670" i="1"/>
  <c r="AT670" i="1"/>
  <c r="AX770" i="1"/>
  <c r="AV770" i="1"/>
  <c r="AT770" i="1"/>
  <c r="AX769" i="1"/>
  <c r="AV769" i="1"/>
  <c r="AT769" i="1"/>
  <c r="AX768" i="1"/>
  <c r="AV768" i="1"/>
  <c r="AT768" i="1"/>
  <c r="AX663" i="1"/>
  <c r="AV663" i="1"/>
  <c r="AT663" i="1"/>
  <c r="AX659" i="1"/>
  <c r="AV659" i="1"/>
  <c r="AT659" i="1"/>
  <c r="AX657" i="1"/>
  <c r="AV657" i="1"/>
  <c r="AT657" i="1"/>
  <c r="AX654" i="1"/>
  <c r="AV654" i="1"/>
  <c r="AT654" i="1"/>
  <c r="AX653" i="1"/>
  <c r="AV653" i="1"/>
  <c r="AT653" i="1"/>
  <c r="AX652" i="1"/>
  <c r="AV652" i="1"/>
  <c r="AT652" i="1"/>
  <c r="AX651" i="1"/>
  <c r="AV651" i="1"/>
  <c r="AT651" i="1"/>
  <c r="AX647" i="1"/>
  <c r="AT647" i="1"/>
  <c r="AX667" i="1"/>
  <c r="AV667" i="1"/>
  <c r="AT667" i="1"/>
  <c r="AX646" i="1"/>
  <c r="AV646" i="1"/>
  <c r="AT646" i="1"/>
  <c r="AX645" i="1"/>
  <c r="AV645" i="1"/>
  <c r="AT645" i="1"/>
  <c r="AX643" i="1"/>
  <c r="AV643" i="1"/>
  <c r="AT643" i="1"/>
  <c r="AX617" i="1"/>
  <c r="AV617" i="1"/>
  <c r="AT617" i="1"/>
  <c r="AX618" i="1"/>
  <c r="AV618" i="1"/>
  <c r="AT618" i="1"/>
  <c r="AX607" i="1"/>
  <c r="AV607" i="1"/>
  <c r="AT607" i="1"/>
  <c r="AX606" i="1"/>
  <c r="AV606" i="1"/>
  <c r="AT606" i="1"/>
  <c r="AX605" i="1"/>
  <c r="AV605" i="1"/>
  <c r="AT605" i="1"/>
  <c r="AX602" i="1"/>
  <c r="AV602" i="1"/>
  <c r="AT602" i="1"/>
  <c r="AX599" i="1"/>
  <c r="AV599" i="1"/>
  <c r="AT599" i="1"/>
  <c r="AX595" i="1"/>
  <c r="AV595" i="1"/>
  <c r="AT595" i="1"/>
  <c r="AX569" i="1"/>
  <c r="AV569" i="1"/>
  <c r="AT569" i="1"/>
  <c r="AX573" i="1"/>
  <c r="AV573" i="1"/>
  <c r="AT573" i="1"/>
  <c r="AX571" i="1"/>
  <c r="AV571" i="1"/>
  <c r="AT571" i="1"/>
  <c r="AX560" i="1"/>
  <c r="AV560" i="1"/>
  <c r="AT560" i="1"/>
  <c r="AX559" i="1"/>
  <c r="AV559" i="1"/>
  <c r="AT559" i="1"/>
  <c r="AX558" i="1"/>
  <c r="AV558" i="1"/>
  <c r="AT558" i="1"/>
  <c r="AX552" i="1"/>
  <c r="AV552" i="1"/>
  <c r="AT552" i="1"/>
  <c r="AX548" i="1"/>
  <c r="AV548" i="1"/>
  <c r="AT548" i="1"/>
  <c r="AX547" i="1"/>
  <c r="AV547" i="1"/>
  <c r="AT547" i="1"/>
  <c r="AX545" i="1"/>
  <c r="AV545" i="1"/>
  <c r="AT545" i="1"/>
  <c r="AX544" i="1"/>
  <c r="AV544" i="1"/>
  <c r="AT544" i="1"/>
  <c r="AX542" i="1"/>
  <c r="AV542" i="1"/>
  <c r="AT542" i="1"/>
  <c r="AX541" i="1"/>
  <c r="AV541" i="1"/>
  <c r="AT541" i="1"/>
  <c r="AY1137" i="1"/>
  <c r="AY1138" i="1"/>
  <c r="AY1140" i="1"/>
  <c r="AY1141" i="1"/>
  <c r="AY541" i="1"/>
  <c r="AY542" i="1"/>
  <c r="AY544" i="1"/>
  <c r="AY545" i="1"/>
  <c r="AY547" i="1"/>
  <c r="AY548" i="1"/>
  <c r="AY552" i="1"/>
  <c r="AY558" i="1"/>
  <c r="AY560" i="1"/>
  <c r="AY571" i="1"/>
  <c r="AY573" i="1"/>
  <c r="AY569" i="1"/>
  <c r="AY595" i="1"/>
  <c r="AY599" i="1"/>
  <c r="AY602" i="1"/>
  <c r="AY605" i="1"/>
  <c r="AY606" i="1"/>
  <c r="AY607" i="1"/>
  <c r="AY618" i="1"/>
  <c r="AY617" i="1"/>
  <c r="AY643" i="1"/>
  <c r="AY645" i="1"/>
  <c r="AY646" i="1"/>
  <c r="AY667" i="1"/>
  <c r="AY647" i="1"/>
  <c r="AY651" i="1"/>
  <c r="AY652" i="1"/>
  <c r="AY653" i="1"/>
  <c r="AY654" i="1"/>
  <c r="AY657" i="1"/>
  <c r="AY659" i="1"/>
  <c r="AY663" i="1"/>
  <c r="AY768" i="1"/>
  <c r="AY769" i="1"/>
  <c r="AY770" i="1"/>
  <c r="AY670" i="1"/>
  <c r="AY671" i="1"/>
  <c r="AY766" i="1"/>
  <c r="AV834" i="1" l="1"/>
  <c r="AZ1117" i="1"/>
  <c r="AV669" i="1"/>
  <c r="AV1197" i="1" s="1"/>
  <c r="AX885" i="1"/>
  <c r="AT885" i="1"/>
  <c r="AV885" i="1"/>
  <c r="AR1117" i="1"/>
  <c r="AX669" i="1"/>
  <c r="AX1197" i="1" s="1"/>
  <c r="AY669" i="1"/>
  <c r="AT669" i="1"/>
  <c r="AT1197" i="1" s="1"/>
  <c r="AT834" i="1"/>
  <c r="AX834" i="1"/>
  <c r="AI942" i="1"/>
  <c r="AR1120" i="1"/>
  <c r="AZ1120" i="1"/>
  <c r="AZ559" i="1"/>
  <c r="AI912" i="1"/>
  <c r="X1136" i="1"/>
  <c r="AG1136" i="1"/>
  <c r="AQ1136" i="1"/>
  <c r="T1136" i="1"/>
  <c r="AN1136" i="1"/>
  <c r="AI1123" i="1"/>
  <c r="V1136" i="1"/>
  <c r="AD1136" i="1"/>
  <c r="AL1136" i="1"/>
  <c r="AP1136" i="1"/>
  <c r="AY1136" i="1"/>
  <c r="Z960" i="1"/>
  <c r="AH960" i="1"/>
  <c r="AR960" i="1"/>
  <c r="AZ960" i="1"/>
  <c r="AV854" i="1"/>
  <c r="AT854" i="1"/>
  <c r="AX854" i="1"/>
  <c r="AG1142" i="1"/>
  <c r="T1126" i="1"/>
  <c r="X1126" i="1"/>
  <c r="AG1126" i="1"/>
  <c r="T1142" i="1"/>
  <c r="AT771" i="1"/>
  <c r="AX771" i="1"/>
  <c r="AV767" i="1"/>
  <c r="AV1198" i="1" s="1"/>
  <c r="AP1126" i="1"/>
  <c r="Y1142" i="1"/>
  <c r="AP1142" i="1"/>
  <c r="AX644" i="1"/>
  <c r="AX1196" i="1" s="1"/>
  <c r="AQ1142" i="1"/>
  <c r="AV864" i="1"/>
  <c r="AR980" i="1"/>
  <c r="AZ980" i="1"/>
  <c r="Z980" i="1"/>
  <c r="AH980" i="1"/>
  <c r="AY1142" i="1"/>
  <c r="AV787" i="1"/>
  <c r="AT644" i="1"/>
  <c r="AT1196" i="1" s="1"/>
  <c r="Y1136" i="1"/>
  <c r="V1126" i="1"/>
  <c r="Y1126" i="1"/>
  <c r="AX1126" i="1"/>
  <c r="AT1126" i="1"/>
  <c r="AN1142" i="1"/>
  <c r="AN1126" i="1"/>
  <c r="AL1142" i="1"/>
  <c r="AL1126" i="1"/>
  <c r="AD1142" i="1"/>
  <c r="AD1126" i="1"/>
  <c r="AB1142" i="1"/>
  <c r="AB1126" i="1"/>
  <c r="X1142" i="1"/>
  <c r="V1142" i="1"/>
  <c r="AV771" i="1"/>
  <c r="AV1150" i="1"/>
  <c r="AX1150" i="1"/>
  <c r="AT1150" i="1"/>
  <c r="AV1142" i="1"/>
  <c r="AX1142" i="1"/>
  <c r="AT1142" i="1"/>
  <c r="AX1136" i="1"/>
  <c r="AT1136" i="1"/>
  <c r="AV1136" i="1"/>
  <c r="AV1126" i="1"/>
  <c r="AY771" i="1"/>
  <c r="AY767" i="1"/>
  <c r="AT864" i="1"/>
  <c r="AX864" i="1"/>
  <c r="AT787" i="1"/>
  <c r="AX787" i="1"/>
  <c r="AT767" i="1"/>
  <c r="AT1198" i="1" s="1"/>
  <c r="AX767" i="1"/>
  <c r="AX1198" i="1" s="1"/>
  <c r="AY644" i="1"/>
  <c r="AV644" i="1"/>
  <c r="AV1196" i="1" s="1"/>
  <c r="AQ1126" i="1"/>
  <c r="AI976" i="1"/>
  <c r="AI1000" i="1"/>
  <c r="AI1117" i="1"/>
  <c r="AI1120" i="1"/>
  <c r="AI1122" i="1"/>
  <c r="AI1127" i="1"/>
  <c r="AI1130" i="1"/>
  <c r="AI1135" i="1"/>
  <c r="AI988" i="1"/>
  <c r="AI950" i="1"/>
  <c r="AI890" i="1"/>
  <c r="AI910" i="1"/>
  <c r="AI911" i="1"/>
  <c r="AI952" i="1"/>
  <c r="AI953" i="1"/>
  <c r="AI979" i="1"/>
  <c r="AI980" i="1"/>
  <c r="AI960" i="1"/>
  <c r="AI1002" i="1"/>
  <c r="AI1003" i="1"/>
  <c r="AI951" i="1"/>
  <c r="BA1140" i="1"/>
  <c r="AI949" i="1"/>
  <c r="AZ651" i="1"/>
  <c r="AZ654" i="1"/>
  <c r="AZ766" i="1"/>
  <c r="AZ646" i="1"/>
  <c r="AZ653" i="1"/>
  <c r="AZ573" i="1"/>
  <c r="AZ618" i="1"/>
  <c r="Z953" i="1"/>
  <c r="AH953" i="1"/>
  <c r="AR953" i="1"/>
  <c r="Z979" i="1"/>
  <c r="AH979" i="1"/>
  <c r="AR979" i="1"/>
  <c r="Z988" i="1"/>
  <c r="AH988" i="1"/>
  <c r="AR988" i="1"/>
  <c r="Z1117" i="1"/>
  <c r="Z1122" i="1"/>
  <c r="AR1122" i="1"/>
  <c r="AZ657" i="1"/>
  <c r="AZ607" i="1"/>
  <c r="AZ552" i="1"/>
  <c r="AZ663" i="1"/>
  <c r="AZ647" i="1"/>
  <c r="AH890" i="1"/>
  <c r="Z912" i="1"/>
  <c r="AH912" i="1"/>
  <c r="AR912" i="1"/>
  <c r="Z949" i="1"/>
  <c r="AH949" i="1"/>
  <c r="AR949" i="1"/>
  <c r="Z1002" i="1"/>
  <c r="AH1002" i="1"/>
  <c r="AR1002" i="1"/>
  <c r="AZ558" i="1"/>
  <c r="AZ571" i="1"/>
  <c r="AZ569" i="1"/>
  <c r="AZ595" i="1"/>
  <c r="AZ599" i="1"/>
  <c r="AZ602" i="1"/>
  <c r="AZ605" i="1"/>
  <c r="AZ606" i="1"/>
  <c r="AZ643" i="1"/>
  <c r="AZ645" i="1"/>
  <c r="AZ667" i="1"/>
  <c r="AZ652" i="1"/>
  <c r="AZ659" i="1"/>
  <c r="AZ671" i="1"/>
  <c r="AZ1139" i="1"/>
  <c r="AZ1137" i="1"/>
  <c r="AH1122" i="1"/>
  <c r="AZ560" i="1"/>
  <c r="AZ617" i="1"/>
  <c r="AZ670" i="1"/>
  <c r="AZ542" i="1"/>
  <c r="AZ547" i="1"/>
  <c r="AI978" i="1"/>
  <c r="AI1001" i="1"/>
  <c r="AI1121" i="1"/>
  <c r="AZ544" i="1"/>
  <c r="Z887" i="1"/>
  <c r="AR887" i="1"/>
  <c r="Z910" i="1"/>
  <c r="AR910" i="1"/>
  <c r="Z951" i="1"/>
  <c r="AR951" i="1"/>
  <c r="AH976" i="1"/>
  <c r="AI999" i="1"/>
  <c r="AH1000" i="1"/>
  <c r="Z942" i="1"/>
  <c r="AJ942" i="1" s="1"/>
  <c r="AR942" i="1"/>
  <c r="AI1119" i="1"/>
  <c r="AZ541" i="1"/>
  <c r="AZ545" i="1"/>
  <c r="AI1125" i="1"/>
  <c r="AH887" i="1"/>
  <c r="AI892" i="1"/>
  <c r="AH910" i="1"/>
  <c r="AH951" i="1"/>
  <c r="Z1000" i="1"/>
  <c r="AR1000" i="1"/>
  <c r="Z1120" i="1"/>
  <c r="AZ1127" i="1"/>
  <c r="BA1130" i="1"/>
  <c r="AZ548" i="1"/>
  <c r="Z1125" i="1"/>
  <c r="AH1125" i="1"/>
  <c r="AR1125" i="1"/>
  <c r="BA1127" i="1"/>
  <c r="BA1135" i="1"/>
  <c r="Z1137" i="1"/>
  <c r="AH1137" i="1"/>
  <c r="AR1137" i="1"/>
  <c r="Z1138" i="1"/>
  <c r="AH1138" i="1"/>
  <c r="AR1138" i="1"/>
  <c r="Z1139" i="1"/>
  <c r="AH1139" i="1"/>
  <c r="AR1139" i="1"/>
  <c r="Z1140" i="1"/>
  <c r="AH1140" i="1"/>
  <c r="AR1140" i="1"/>
  <c r="Z1141" i="1"/>
  <c r="AH1141" i="1"/>
  <c r="AR1141" i="1"/>
  <c r="BA1139" i="1"/>
  <c r="Z1127" i="1"/>
  <c r="AH1127" i="1"/>
  <c r="AR1127" i="1"/>
  <c r="Z1130" i="1"/>
  <c r="AH1130" i="1"/>
  <c r="AR1130" i="1"/>
  <c r="AZ1130" i="1"/>
  <c r="Z1135" i="1"/>
  <c r="AH1135" i="1"/>
  <c r="AR1135" i="1"/>
  <c r="AZ1135" i="1"/>
  <c r="AI887" i="1"/>
  <c r="Z892" i="1"/>
  <c r="AH892" i="1"/>
  <c r="AR892" i="1"/>
  <c r="Z911" i="1"/>
  <c r="AH911" i="1"/>
  <c r="AR911" i="1"/>
  <c r="Z950" i="1"/>
  <c r="AH950" i="1"/>
  <c r="AR950" i="1"/>
  <c r="Z952" i="1"/>
  <c r="AH952" i="1"/>
  <c r="AR952" i="1"/>
  <c r="AH978" i="1"/>
  <c r="AR978" i="1"/>
  <c r="Z999" i="1"/>
  <c r="AH999" i="1"/>
  <c r="AR999" i="1"/>
  <c r="Z1001" i="1"/>
  <c r="AH1001" i="1"/>
  <c r="AR1001" i="1"/>
  <c r="Z1003" i="1"/>
  <c r="AH1003" i="1"/>
  <c r="AR1003" i="1"/>
  <c r="Z1119" i="1"/>
  <c r="AH1119" i="1"/>
  <c r="AR1119" i="1"/>
  <c r="Z1121" i="1"/>
  <c r="AH1121" i="1"/>
  <c r="AR1121" i="1"/>
  <c r="Z1123" i="1"/>
  <c r="AH1123" i="1"/>
  <c r="AR1123" i="1"/>
  <c r="Z890" i="1"/>
  <c r="AR890" i="1"/>
  <c r="Z976" i="1"/>
  <c r="AR976" i="1"/>
  <c r="Z978" i="1"/>
  <c r="BA1138" i="1"/>
  <c r="AZ1140" i="1"/>
  <c r="AZ1141" i="1"/>
  <c r="AZ1138" i="1"/>
  <c r="BA1141" i="1"/>
  <c r="BA1137" i="1"/>
  <c r="AY196" i="1"/>
  <c r="AV196" i="1"/>
  <c r="AT196" i="1"/>
  <c r="AQ196" i="1"/>
  <c r="AP196" i="1"/>
  <c r="AN196" i="1"/>
  <c r="AL196" i="1"/>
  <c r="AG196" i="1"/>
  <c r="AD196" i="1"/>
  <c r="X196" i="1"/>
  <c r="V196" i="1"/>
  <c r="AY201" i="1"/>
  <c r="AX201" i="1"/>
  <c r="AV201" i="1"/>
  <c r="AT201" i="1"/>
  <c r="AQ201" i="1"/>
  <c r="AP201" i="1"/>
  <c r="AN201" i="1"/>
  <c r="AL201" i="1"/>
  <c r="AG201" i="1"/>
  <c r="AD201" i="1"/>
  <c r="V201" i="1"/>
  <c r="AY212" i="1"/>
  <c r="AX212" i="1"/>
  <c r="AV212" i="1"/>
  <c r="AT212" i="1"/>
  <c r="AQ212" i="1"/>
  <c r="AN212" i="1"/>
  <c r="AL212" i="1"/>
  <c r="AG212" i="1"/>
  <c r="AD212" i="1"/>
  <c r="AB212" i="1"/>
  <c r="V212" i="1"/>
  <c r="AY211" i="1"/>
  <c r="AX211" i="1"/>
  <c r="AV211" i="1"/>
  <c r="AT211" i="1"/>
  <c r="AQ211" i="1"/>
  <c r="AP211" i="1"/>
  <c r="AN211" i="1"/>
  <c r="AL211" i="1"/>
  <c r="AG211" i="1"/>
  <c r="AD211" i="1"/>
  <c r="AB211" i="1"/>
  <c r="V211" i="1"/>
  <c r="AY210" i="1"/>
  <c r="AX210" i="1"/>
  <c r="AV210" i="1"/>
  <c r="AT210" i="1"/>
  <c r="AQ210" i="1"/>
  <c r="AP210" i="1"/>
  <c r="AN210" i="1"/>
  <c r="AL210" i="1"/>
  <c r="AG210" i="1"/>
  <c r="AB210" i="1"/>
  <c r="V210" i="1"/>
  <c r="AZ669" i="1" l="1"/>
  <c r="AZ1197" i="1" s="1"/>
  <c r="BA212" i="1"/>
  <c r="Q1141" i="1"/>
  <c r="Q1138" i="1"/>
  <c r="Q1140" i="1"/>
  <c r="Q1139" i="1"/>
  <c r="AY1196" i="1"/>
  <c r="AY1197" i="1"/>
  <c r="AY1198" i="1"/>
  <c r="AT1199" i="1"/>
  <c r="AT1200" i="1" s="1"/>
  <c r="AX1199" i="1"/>
  <c r="AX1200" i="1" s="1"/>
  <c r="AV1199" i="1"/>
  <c r="AV1200" i="1" s="1"/>
  <c r="AJ980" i="1"/>
  <c r="AJ890" i="1"/>
  <c r="AJ978" i="1"/>
  <c r="AT772" i="1"/>
  <c r="AT797" i="1" s="1"/>
  <c r="AV886" i="1"/>
  <c r="AJ976" i="1"/>
  <c r="BA1136" i="1"/>
  <c r="AJ1130" i="1"/>
  <c r="AH1136" i="1"/>
  <c r="AI1136" i="1"/>
  <c r="Q1137" i="1"/>
  <c r="BA1142" i="1"/>
  <c r="BB1127" i="1"/>
  <c r="AR1136" i="1"/>
  <c r="AR1142" i="1"/>
  <c r="AJ1121" i="1"/>
  <c r="AJ1001" i="1"/>
  <c r="AJ1123" i="1"/>
  <c r="AH1142" i="1"/>
  <c r="AJ988" i="1"/>
  <c r="AJ1127" i="1"/>
  <c r="Z1136" i="1"/>
  <c r="Z1142" i="1"/>
  <c r="AX772" i="1"/>
  <c r="AX797" i="1" s="1"/>
  <c r="AJ1120" i="1"/>
  <c r="AJ1000" i="1"/>
  <c r="AJ960" i="1"/>
  <c r="AX886" i="1"/>
  <c r="AZ1142" i="1"/>
  <c r="AZ1136" i="1"/>
  <c r="AJ1119" i="1"/>
  <c r="AJ1003" i="1"/>
  <c r="AJ999" i="1"/>
  <c r="AJ952" i="1"/>
  <c r="AJ911" i="1"/>
  <c r="AI1126" i="1"/>
  <c r="AJ1125" i="1"/>
  <c r="AJ951" i="1"/>
  <c r="AJ1002" i="1"/>
  <c r="AJ912" i="1"/>
  <c r="AJ1122" i="1"/>
  <c r="AJ1117" i="1"/>
  <c r="AJ979" i="1"/>
  <c r="AT886" i="1"/>
  <c r="AJ950" i="1"/>
  <c r="AJ892" i="1"/>
  <c r="AJ949" i="1"/>
  <c r="AJ953" i="1"/>
  <c r="AY772" i="1"/>
  <c r="AH1126" i="1"/>
  <c r="AJ910" i="1"/>
  <c r="AJ887" i="1"/>
  <c r="Z1126" i="1"/>
  <c r="AZ767" i="1"/>
  <c r="AZ1198" i="1" s="1"/>
  <c r="AV772" i="1"/>
  <c r="AV797" i="1" s="1"/>
  <c r="AZ644" i="1"/>
  <c r="AZ1196" i="1" s="1"/>
  <c r="AR1126" i="1"/>
  <c r="Q1127" i="1"/>
  <c r="Q1135" i="1"/>
  <c r="Q1130" i="1"/>
  <c r="BB1137" i="1"/>
  <c r="BB1139" i="1"/>
  <c r="BA211" i="1"/>
  <c r="BA201" i="1"/>
  <c r="AJ1141" i="1"/>
  <c r="AJ1139" i="1"/>
  <c r="AJ1137" i="1"/>
  <c r="BA210" i="1"/>
  <c r="BB1135" i="1"/>
  <c r="AJ1135" i="1"/>
  <c r="BB1130" i="1"/>
  <c r="AJ1140" i="1"/>
  <c r="AJ1138" i="1"/>
  <c r="BB1141" i="1"/>
  <c r="BB1138" i="1"/>
  <c r="BB1140" i="1"/>
  <c r="AH196" i="1"/>
  <c r="AH210" i="1"/>
  <c r="AR210" i="1"/>
  <c r="AR211" i="1"/>
  <c r="AH212" i="1"/>
  <c r="AR212" i="1"/>
  <c r="AH201" i="1"/>
  <c r="AR201" i="1"/>
  <c r="AZ210" i="1"/>
  <c r="AZ212" i="1"/>
  <c r="AZ201" i="1"/>
  <c r="BA196" i="1"/>
  <c r="AZ196" i="1"/>
  <c r="AR196" i="1"/>
  <c r="AZ211" i="1"/>
  <c r="AH211" i="1"/>
  <c r="Q1142" i="1" l="1"/>
  <c r="AT1143" i="1"/>
  <c r="AT1202" i="1" s="1"/>
  <c r="AT1201" i="1"/>
  <c r="AX1143" i="1"/>
  <c r="AX1202" i="1" s="1"/>
  <c r="AX1201" i="1"/>
  <c r="AV1143" i="1"/>
  <c r="AV1202" i="1" s="1"/>
  <c r="AV1201" i="1"/>
  <c r="R1127" i="1"/>
  <c r="BB1136" i="1"/>
  <c r="AJ1142" i="1"/>
  <c r="AJ1136" i="1"/>
  <c r="BB1142" i="1"/>
  <c r="AJ1126" i="1"/>
  <c r="Q1136" i="1"/>
  <c r="R1139" i="1"/>
  <c r="BB210" i="1"/>
  <c r="R1141" i="1"/>
  <c r="R1137" i="1"/>
  <c r="R1140" i="1"/>
  <c r="R1130" i="1"/>
  <c r="R1135" i="1"/>
  <c r="BB201" i="1"/>
  <c r="R1138" i="1"/>
  <c r="BB211" i="1"/>
  <c r="BB196" i="1"/>
  <c r="BB212" i="1"/>
  <c r="AV1203" i="1" l="1"/>
  <c r="AX1203" i="1"/>
  <c r="AT1203" i="1"/>
  <c r="R1136" i="1"/>
  <c r="R1142" i="1"/>
  <c r="AT127" i="1"/>
  <c r="AB840" i="1" l="1"/>
  <c r="X840" i="1"/>
  <c r="T863" i="1"/>
  <c r="V863" i="1"/>
  <c r="X863" i="1"/>
  <c r="Y863" i="1"/>
  <c r="AB863" i="1"/>
  <c r="AD863" i="1"/>
  <c r="AG863" i="1"/>
  <c r="AL863" i="1"/>
  <c r="AN863" i="1"/>
  <c r="AP863" i="1"/>
  <c r="AQ863" i="1"/>
  <c r="AY863" i="1"/>
  <c r="AY840" i="1"/>
  <c r="AQ840" i="1"/>
  <c r="AP840" i="1"/>
  <c r="AN840" i="1"/>
  <c r="AL840" i="1"/>
  <c r="AG840" i="1"/>
  <c r="AD840" i="1"/>
  <c r="Y840" i="1"/>
  <c r="V840" i="1"/>
  <c r="AY839" i="1"/>
  <c r="AQ839" i="1"/>
  <c r="AP839" i="1"/>
  <c r="AN839" i="1"/>
  <c r="AL839" i="1"/>
  <c r="AG839" i="1"/>
  <c r="AD839" i="1"/>
  <c r="AB839" i="1"/>
  <c r="Y839" i="1"/>
  <c r="X839" i="1"/>
  <c r="V839" i="1"/>
  <c r="T839" i="1"/>
  <c r="AY838" i="1"/>
  <c r="AQ838" i="1"/>
  <c r="AG838" i="1"/>
  <c r="Y838" i="1"/>
  <c r="AN838" i="1"/>
  <c r="AD838" i="1"/>
  <c r="V838" i="1"/>
  <c r="AY837" i="1"/>
  <c r="AQ837" i="1"/>
  <c r="AG837" i="1"/>
  <c r="Y837" i="1"/>
  <c r="AN837" i="1"/>
  <c r="AB837" i="1"/>
  <c r="V837" i="1"/>
  <c r="AY836" i="1"/>
  <c r="AQ836" i="1"/>
  <c r="AP836" i="1"/>
  <c r="AN836" i="1"/>
  <c r="AL836" i="1"/>
  <c r="AG836" i="1"/>
  <c r="Y836" i="1"/>
  <c r="AD836" i="1"/>
  <c r="X836" i="1"/>
  <c r="AY835" i="1"/>
  <c r="AQ835" i="1"/>
  <c r="AP835" i="1"/>
  <c r="AN835" i="1"/>
  <c r="AL835" i="1"/>
  <c r="AG835" i="1"/>
  <c r="Y835" i="1"/>
  <c r="AB835" i="1"/>
  <c r="X835" i="1"/>
  <c r="AI836" i="1" l="1"/>
  <c r="AI839" i="1"/>
  <c r="BA863" i="1"/>
  <c r="AI835" i="1"/>
  <c r="BA839" i="1"/>
  <c r="BA835" i="1"/>
  <c r="BA836" i="1"/>
  <c r="BA838" i="1"/>
  <c r="AR836" i="1"/>
  <c r="AZ836" i="1"/>
  <c r="AI837" i="1"/>
  <c r="AI838" i="1"/>
  <c r="AR863" i="1"/>
  <c r="Z863" i="1"/>
  <c r="AI863" i="1"/>
  <c r="AZ863" i="1"/>
  <c r="BA840" i="1"/>
  <c r="AZ837" i="1"/>
  <c r="AB838" i="1"/>
  <c r="AI840" i="1"/>
  <c r="AH863" i="1"/>
  <c r="T840" i="1"/>
  <c r="Z840" i="1" s="1"/>
  <c r="AR835" i="1"/>
  <c r="AZ835" i="1"/>
  <c r="V835" i="1"/>
  <c r="AP837" i="1"/>
  <c r="T837" i="1"/>
  <c r="AL837" i="1"/>
  <c r="BA837" i="1"/>
  <c r="AZ838" i="1"/>
  <c r="Z839" i="1"/>
  <c r="AH839" i="1"/>
  <c r="AR839" i="1"/>
  <c r="AZ839" i="1"/>
  <c r="AH840" i="1"/>
  <c r="AR840" i="1"/>
  <c r="AZ840" i="1"/>
  <c r="V836" i="1"/>
  <c r="X837" i="1"/>
  <c r="AB836" i="1"/>
  <c r="AH836" i="1" s="1"/>
  <c r="AD837" i="1"/>
  <c r="T835" i="1"/>
  <c r="AD835" i="1"/>
  <c r="T836" i="1"/>
  <c r="T838" i="1"/>
  <c r="X838" i="1"/>
  <c r="AL838" i="1"/>
  <c r="AP838" i="1"/>
  <c r="Q838" i="1" l="1"/>
  <c r="Q863" i="1"/>
  <c r="Q840" i="1"/>
  <c r="Q835" i="1"/>
  <c r="Q839" i="1"/>
  <c r="Q837" i="1"/>
  <c r="Q836" i="1"/>
  <c r="AJ840" i="1"/>
  <c r="AJ839" i="1"/>
  <c r="AJ863" i="1"/>
  <c r="AH835" i="1"/>
  <c r="AR837" i="1"/>
  <c r="BB837" i="1" s="1"/>
  <c r="AH838" i="1"/>
  <c r="BB836" i="1"/>
  <c r="Z836" i="1"/>
  <c r="AJ836" i="1" s="1"/>
  <c r="BB863" i="1"/>
  <c r="Z837" i="1"/>
  <c r="BB835" i="1"/>
  <c r="AH837" i="1"/>
  <c r="AR838" i="1"/>
  <c r="BB838" i="1" s="1"/>
  <c r="Z838" i="1"/>
  <c r="Z835" i="1"/>
  <c r="BB840" i="1"/>
  <c r="BB839" i="1"/>
  <c r="AJ838" i="1" l="1"/>
  <c r="R838" i="1" s="1"/>
  <c r="AJ835" i="1"/>
  <c r="AJ837" i="1"/>
  <c r="R837" i="1" s="1"/>
  <c r="R863" i="1"/>
  <c r="R836" i="1"/>
  <c r="R839" i="1"/>
  <c r="R840" i="1"/>
  <c r="R835" i="1" l="1"/>
  <c r="AY775" i="1"/>
  <c r="AQ775" i="1"/>
  <c r="AN775" i="1"/>
  <c r="AL775" i="1"/>
  <c r="AG775" i="1"/>
  <c r="AD775" i="1"/>
  <c r="AB775" i="1"/>
  <c r="Y775" i="1"/>
  <c r="X775" i="1"/>
  <c r="V775" i="1"/>
  <c r="T775" i="1"/>
  <c r="AQ559" i="1"/>
  <c r="AP559" i="1"/>
  <c r="AN559" i="1"/>
  <c r="AL559" i="1"/>
  <c r="AG559" i="1"/>
  <c r="AD559" i="1"/>
  <c r="AB559" i="1"/>
  <c r="Y559" i="1"/>
  <c r="X559" i="1"/>
  <c r="V559" i="1"/>
  <c r="T559" i="1"/>
  <c r="Z559" i="1" l="1"/>
  <c r="AI559" i="1"/>
  <c r="AZ775" i="1"/>
  <c r="AH559" i="1"/>
  <c r="BA559" i="1"/>
  <c r="AI775" i="1"/>
  <c r="BA775" i="1"/>
  <c r="AH775" i="1"/>
  <c r="AR559" i="1"/>
  <c r="Z775" i="1"/>
  <c r="AR775" i="1"/>
  <c r="V136" i="1"/>
  <c r="AJ775" i="1" l="1"/>
  <c r="Q559" i="1"/>
  <c r="Q775" i="1"/>
  <c r="AJ559" i="1"/>
  <c r="BB775" i="1"/>
  <c r="BB559" i="1"/>
  <c r="V824" i="1"/>
  <c r="X824" i="1"/>
  <c r="AB824" i="1"/>
  <c r="AD824" i="1"/>
  <c r="AG824" i="1"/>
  <c r="AL824" i="1"/>
  <c r="AN824" i="1"/>
  <c r="AP824" i="1"/>
  <c r="AQ824" i="1"/>
  <c r="AY824" i="1"/>
  <c r="V822" i="1"/>
  <c r="X822" i="1"/>
  <c r="AB822" i="1"/>
  <c r="AD822" i="1"/>
  <c r="AL822" i="1"/>
  <c r="AN822" i="1"/>
  <c r="AP822" i="1"/>
  <c r="R775" i="1" l="1"/>
  <c r="R559" i="1"/>
  <c r="Z824" i="1"/>
  <c r="AZ824" i="1"/>
  <c r="AZ822" i="1"/>
  <c r="BA824" i="1"/>
  <c r="AR824" i="1"/>
  <c r="Z822" i="1"/>
  <c r="BA822" i="1"/>
  <c r="AR822" i="1"/>
  <c r="AH824" i="1"/>
  <c r="AI824" i="1"/>
  <c r="AH822" i="1"/>
  <c r="AI822" i="1"/>
  <c r="Q824" i="1" l="1"/>
  <c r="Q822" i="1"/>
  <c r="AJ824" i="1"/>
  <c r="AJ822" i="1"/>
  <c r="BB824" i="1"/>
  <c r="BB822" i="1"/>
  <c r="R824" i="1" l="1"/>
  <c r="R822" i="1"/>
  <c r="AY135" i="1"/>
  <c r="AX135" i="1"/>
  <c r="AV135" i="1"/>
  <c r="AT135" i="1"/>
  <c r="AQ135" i="1"/>
  <c r="AN135" i="1"/>
  <c r="AL135" i="1"/>
  <c r="AG135" i="1"/>
  <c r="AD135" i="1"/>
  <c r="X135" i="1"/>
  <c r="V135" i="1"/>
  <c r="BA135" i="1" l="1"/>
  <c r="AZ135" i="1"/>
  <c r="AR135" i="1"/>
  <c r="AH135" i="1"/>
  <c r="BB135" i="1" l="1"/>
  <c r="AP522" i="1" l="1"/>
  <c r="AP238" i="1"/>
  <c r="AP221" i="1"/>
  <c r="AP506" i="1"/>
  <c r="AP504" i="1"/>
  <c r="AP491" i="1"/>
  <c r="AP488" i="1"/>
  <c r="AP480" i="1"/>
  <c r="AP471" i="1"/>
  <c r="AP867" i="1"/>
  <c r="AP868" i="1"/>
  <c r="AP830" i="1"/>
  <c r="AP671" i="1"/>
  <c r="AP670" i="1"/>
  <c r="AP533" i="1"/>
  <c r="AP529" i="1"/>
  <c r="AP528" i="1"/>
  <c r="AP527" i="1"/>
  <c r="AP526" i="1"/>
  <c r="AP524" i="1"/>
  <c r="AP523" i="1"/>
  <c r="AP521" i="1"/>
  <c r="AP520" i="1"/>
  <c r="AP505" i="1"/>
  <c r="AP503" i="1"/>
  <c r="AP493" i="1"/>
  <c r="AP492" i="1"/>
  <c r="AP490" i="1"/>
  <c r="AP486" i="1"/>
  <c r="AP483" i="1"/>
  <c r="AP482" i="1"/>
  <c r="AP479" i="1"/>
  <c r="AP477" i="1"/>
  <c r="AP476" i="1"/>
  <c r="AP475" i="1"/>
  <c r="AP474" i="1"/>
  <c r="AP473" i="1"/>
  <c r="AP470" i="1"/>
  <c r="AP469" i="1"/>
  <c r="AP468" i="1"/>
  <c r="AP467" i="1"/>
  <c r="AP464" i="1"/>
  <c r="AP240" i="1"/>
  <c r="AP239" i="1"/>
  <c r="AP230" i="1"/>
  <c r="AP223" i="1"/>
  <c r="AP222" i="1"/>
  <c r="AP216" i="1"/>
  <c r="AP220" i="1"/>
  <c r="AP215" i="1"/>
  <c r="AP205" i="1"/>
  <c r="AP204" i="1"/>
  <c r="AP203" i="1"/>
  <c r="AP202" i="1"/>
  <c r="AP209" i="1"/>
  <c r="AP208" i="1"/>
  <c r="AP207" i="1"/>
  <c r="AP206" i="1"/>
  <c r="AP174" i="1"/>
  <c r="AP173" i="1"/>
  <c r="AP172" i="1"/>
  <c r="AP171" i="1"/>
  <c r="AP143" i="1"/>
  <c r="AP142" i="1"/>
  <c r="AP141" i="1"/>
  <c r="AP140" i="1"/>
  <c r="AP170" i="1"/>
  <c r="AP169" i="1"/>
  <c r="AP224" i="1"/>
  <c r="AP168" i="1"/>
  <c r="AP192" i="1"/>
  <c r="AP187" i="1"/>
  <c r="AP185" i="1"/>
  <c r="AP355" i="1" l="1"/>
  <c r="AP885" i="1"/>
  <c r="AP537" i="1"/>
  <c r="AP231" i="1"/>
  <c r="AP144" i="1"/>
  <c r="AP228" i="1"/>
  <c r="AP1186" i="1" s="1"/>
  <c r="AP487" i="1"/>
  <c r="AP525" i="1"/>
  <c r="AP767" i="1"/>
  <c r="AP1198" i="1" s="1"/>
  <c r="AP197" i="1"/>
  <c r="AP214" i="1"/>
  <c r="AP1184" i="1" s="1"/>
  <c r="AP1185" i="1" s="1"/>
  <c r="AP507" i="1"/>
  <c r="AP1193" i="1" s="1"/>
  <c r="AQ187" i="1"/>
  <c r="AN366" i="1"/>
  <c r="AP435" i="1"/>
  <c r="AP1192" i="1" l="1"/>
  <c r="AP1195" i="1" s="1"/>
  <c r="AP515" i="1"/>
  <c r="AP1181" i="1"/>
  <c r="AP1182" i="1" s="1"/>
  <c r="AP1187" i="1" s="1"/>
  <c r="AP540" i="1"/>
  <c r="AP1204" i="1" s="1"/>
  <c r="AP229" i="1"/>
  <c r="AP237" i="1" s="1"/>
  <c r="AY1117" i="1"/>
  <c r="AY942" i="1"/>
  <c r="AY953" i="1"/>
  <c r="AY952" i="1"/>
  <c r="AY951" i="1"/>
  <c r="AY950" i="1"/>
  <c r="AY949" i="1"/>
  <c r="AY1003" i="1"/>
  <c r="BA1003" i="1" l="1"/>
  <c r="BA942" i="1"/>
  <c r="BA949" i="1"/>
  <c r="BA953" i="1"/>
  <c r="BA952" i="1"/>
  <c r="BA951" i="1"/>
  <c r="BA1117" i="1"/>
  <c r="BA950" i="1"/>
  <c r="AZ952" i="1"/>
  <c r="AZ942" i="1"/>
  <c r="AZ953" i="1"/>
  <c r="AZ951" i="1"/>
  <c r="AZ950" i="1"/>
  <c r="AZ949" i="1"/>
  <c r="AZ1003" i="1"/>
  <c r="AY911" i="1"/>
  <c r="AY187" i="1"/>
  <c r="AX187" i="1"/>
  <c r="AV187" i="1"/>
  <c r="AT187" i="1"/>
  <c r="AN187" i="1"/>
  <c r="AL187" i="1"/>
  <c r="AG187" i="1"/>
  <c r="AD187" i="1"/>
  <c r="X187" i="1"/>
  <c r="V187" i="1"/>
  <c r="AY452" i="1"/>
  <c r="AX452" i="1"/>
  <c r="AX458" i="1" s="1"/>
  <c r="AV452" i="1"/>
  <c r="AV458" i="1" s="1"/>
  <c r="AT452" i="1"/>
  <c r="AT458" i="1" s="1"/>
  <c r="AQ452" i="1"/>
  <c r="AQ458" i="1" s="1"/>
  <c r="AP452" i="1"/>
  <c r="AP458" i="1" s="1"/>
  <c r="AL452" i="1"/>
  <c r="AL458" i="1" s="1"/>
  <c r="AG452" i="1"/>
  <c r="AD452" i="1"/>
  <c r="AD458" i="1" s="1"/>
  <c r="X452" i="1"/>
  <c r="X458" i="1" s="1"/>
  <c r="V452" i="1"/>
  <c r="V458" i="1" s="1"/>
  <c r="AY435" i="1"/>
  <c r="AX435" i="1"/>
  <c r="AV435" i="1"/>
  <c r="AT435" i="1"/>
  <c r="AQ435" i="1"/>
  <c r="AL435" i="1"/>
  <c r="AG435" i="1"/>
  <c r="AD435" i="1"/>
  <c r="AB435" i="1"/>
  <c r="AB451" i="1" s="1"/>
  <c r="X435" i="1"/>
  <c r="X451" i="1" s="1"/>
  <c r="AG458" i="1" l="1"/>
  <c r="AY458" i="1"/>
  <c r="AD1190" i="1"/>
  <c r="Q1117" i="1"/>
  <c r="Q953" i="1"/>
  <c r="Q949" i="1"/>
  <c r="Q951" i="1"/>
  <c r="Q942" i="1"/>
  <c r="Q950" i="1"/>
  <c r="Q952" i="1"/>
  <c r="Q1003" i="1"/>
  <c r="BA187" i="1"/>
  <c r="AB1189" i="1"/>
  <c r="BB950" i="1"/>
  <c r="R950" i="1" s="1"/>
  <c r="BA911" i="1"/>
  <c r="AR187" i="1"/>
  <c r="BA435" i="1"/>
  <c r="BA452" i="1"/>
  <c r="AH187" i="1"/>
  <c r="BB1117" i="1"/>
  <c r="R1117" i="1" s="1"/>
  <c r="AZ187" i="1"/>
  <c r="BB953" i="1"/>
  <c r="R953" i="1" s="1"/>
  <c r="BB951" i="1"/>
  <c r="R951" i="1" s="1"/>
  <c r="BB942" i="1"/>
  <c r="R942" i="1" s="1"/>
  <c r="BB952" i="1"/>
  <c r="R952" i="1" s="1"/>
  <c r="BB949" i="1"/>
  <c r="R949" i="1" s="1"/>
  <c r="BB1003" i="1"/>
  <c r="R1003" i="1" s="1"/>
  <c r="AZ911" i="1"/>
  <c r="AH435" i="1"/>
  <c r="AR435" i="1"/>
  <c r="AZ435" i="1"/>
  <c r="AH452" i="1"/>
  <c r="AH458" i="1" s="1"/>
  <c r="AR452" i="1"/>
  <c r="AR458" i="1" s="1"/>
  <c r="AZ452" i="1"/>
  <c r="AZ458" i="1" s="1"/>
  <c r="BA458" i="1" l="1"/>
  <c r="Q911" i="1"/>
  <c r="AQ1190" i="1"/>
  <c r="BB187" i="1"/>
  <c r="BB911" i="1"/>
  <c r="R911" i="1" s="1"/>
  <c r="BB435" i="1"/>
  <c r="BB452" i="1"/>
  <c r="BB458" i="1" s="1"/>
  <c r="AY137" i="1" l="1"/>
  <c r="AQ137" i="1"/>
  <c r="AQ136" i="1"/>
  <c r="AN126" i="1" l="1"/>
  <c r="AN9" i="1"/>
  <c r="AN8" i="1"/>
  <c r="AN240" i="1"/>
  <c r="AN77" i="1"/>
  <c r="AN30" i="1"/>
  <c r="AN15" i="1"/>
  <c r="AQ607" i="1"/>
  <c r="AP607" i="1"/>
  <c r="AN607" i="1"/>
  <c r="AL607" i="1"/>
  <c r="AG607" i="1"/>
  <c r="AD607" i="1"/>
  <c r="AB607" i="1"/>
  <c r="X607" i="1"/>
  <c r="V607" i="1"/>
  <c r="BA607" i="1" l="1"/>
  <c r="AH607" i="1"/>
  <c r="AR607" i="1"/>
  <c r="AY361" i="1"/>
  <c r="AX361" i="1"/>
  <c r="AV361" i="1"/>
  <c r="AT361" i="1"/>
  <c r="AQ361" i="1"/>
  <c r="AN361" i="1"/>
  <c r="AL361" i="1"/>
  <c r="AG361" i="1"/>
  <c r="AB361" i="1"/>
  <c r="X361" i="1"/>
  <c r="V361" i="1"/>
  <c r="AY360" i="1"/>
  <c r="AX360" i="1"/>
  <c r="AV360" i="1"/>
  <c r="AT360" i="1"/>
  <c r="AQ360" i="1"/>
  <c r="AN360" i="1"/>
  <c r="AL360" i="1"/>
  <c r="AG360" i="1"/>
  <c r="AD360" i="1"/>
  <c r="AB360" i="1"/>
  <c r="X360" i="1"/>
  <c r="V360" i="1"/>
  <c r="AY359" i="1"/>
  <c r="AX359" i="1"/>
  <c r="AV359" i="1"/>
  <c r="AT359" i="1"/>
  <c r="AQ359" i="1"/>
  <c r="AN359" i="1"/>
  <c r="AL359" i="1"/>
  <c r="AG359" i="1"/>
  <c r="AB359" i="1"/>
  <c r="V359" i="1"/>
  <c r="AY910" i="1"/>
  <c r="BA910" i="1" l="1"/>
  <c r="BA361" i="1"/>
  <c r="BA360" i="1"/>
  <c r="BA359" i="1"/>
  <c r="BB607" i="1"/>
  <c r="AZ361" i="1"/>
  <c r="AZ360" i="1"/>
  <c r="AZ359" i="1"/>
  <c r="AR361" i="1"/>
  <c r="AR360" i="1"/>
  <c r="AH360" i="1"/>
  <c r="AH361" i="1"/>
  <c r="AR359" i="1"/>
  <c r="AH359" i="1"/>
  <c r="AZ910" i="1"/>
  <c r="Q910" i="1" l="1"/>
  <c r="BB360" i="1"/>
  <c r="BB361" i="1"/>
  <c r="BB359" i="1"/>
  <c r="BB910" i="1"/>
  <c r="R910" i="1" s="1"/>
  <c r="AL168" i="1"/>
  <c r="AL20" i="1"/>
  <c r="AY192" i="1" l="1"/>
  <c r="AX192" i="1"/>
  <c r="AV192" i="1"/>
  <c r="AT192" i="1"/>
  <c r="AQ192" i="1"/>
  <c r="AN192" i="1"/>
  <c r="AL192" i="1"/>
  <c r="AG192" i="1"/>
  <c r="AD192" i="1"/>
  <c r="X192" i="1"/>
  <c r="V192" i="1"/>
  <c r="AY185" i="1"/>
  <c r="AX185" i="1"/>
  <c r="AV185" i="1"/>
  <c r="AT185" i="1"/>
  <c r="AQ185" i="1"/>
  <c r="AN185" i="1"/>
  <c r="AL185" i="1"/>
  <c r="AG185" i="1"/>
  <c r="AD185" i="1"/>
  <c r="X185" i="1"/>
  <c r="V185" i="1"/>
  <c r="AR185" i="1" l="1"/>
  <c r="AH185" i="1"/>
  <c r="BA192" i="1"/>
  <c r="BA185" i="1"/>
  <c r="AZ192" i="1"/>
  <c r="AZ185" i="1"/>
  <c r="AH192" i="1"/>
  <c r="AR192" i="1"/>
  <c r="AY978" i="1"/>
  <c r="BB185" i="1" l="1"/>
  <c r="BB192" i="1"/>
  <c r="BA978" i="1"/>
  <c r="AZ978" i="1"/>
  <c r="AY493" i="1"/>
  <c r="AX493" i="1"/>
  <c r="AV493" i="1"/>
  <c r="AT493" i="1"/>
  <c r="AQ493" i="1"/>
  <c r="AN493" i="1"/>
  <c r="AL493" i="1"/>
  <c r="AG493" i="1"/>
  <c r="AD493" i="1"/>
  <c r="AB493" i="1"/>
  <c r="X493" i="1"/>
  <c r="V493" i="1"/>
  <c r="AY492" i="1"/>
  <c r="AX492" i="1"/>
  <c r="AV492" i="1"/>
  <c r="AT492" i="1"/>
  <c r="AQ492" i="1"/>
  <c r="AL492" i="1"/>
  <c r="AG492" i="1"/>
  <c r="AD492" i="1"/>
  <c r="AB492" i="1"/>
  <c r="X492" i="1"/>
  <c r="V492" i="1"/>
  <c r="AY868" i="1"/>
  <c r="AQ868" i="1"/>
  <c r="AN868" i="1"/>
  <c r="AG868" i="1"/>
  <c r="AD868" i="1"/>
  <c r="AB868" i="1"/>
  <c r="Y868" i="1"/>
  <c r="X868" i="1"/>
  <c r="V868" i="1"/>
  <c r="T868" i="1"/>
  <c r="AY867" i="1"/>
  <c r="AQ867" i="1"/>
  <c r="AN867" i="1"/>
  <c r="AL867" i="1"/>
  <c r="AL885" i="1" s="1"/>
  <c r="AG867" i="1"/>
  <c r="AD867" i="1"/>
  <c r="AB867" i="1"/>
  <c r="Y867" i="1"/>
  <c r="X867" i="1"/>
  <c r="V867" i="1"/>
  <c r="T867" i="1"/>
  <c r="AN885" i="1" l="1"/>
  <c r="Y885" i="1"/>
  <c r="T885" i="1"/>
  <c r="AB885" i="1"/>
  <c r="AQ885" i="1"/>
  <c r="X885" i="1"/>
  <c r="AG885" i="1"/>
  <c r="V885" i="1"/>
  <c r="AD885" i="1"/>
  <c r="AY885" i="1"/>
  <c r="Q978" i="1"/>
  <c r="AI868" i="1"/>
  <c r="BA867" i="1"/>
  <c r="BA868" i="1"/>
  <c r="AI867" i="1"/>
  <c r="BA493" i="1"/>
  <c r="BA492" i="1"/>
  <c r="Z867" i="1"/>
  <c r="Z868" i="1"/>
  <c r="BB978" i="1"/>
  <c r="R978" i="1" s="1"/>
  <c r="AZ867" i="1"/>
  <c r="AH492" i="1"/>
  <c r="AZ492" i="1"/>
  <c r="AH493" i="1"/>
  <c r="AZ493" i="1"/>
  <c r="AR867" i="1"/>
  <c r="AR868" i="1"/>
  <c r="AR492" i="1"/>
  <c r="AR493" i="1"/>
  <c r="AH867" i="1"/>
  <c r="AH868" i="1"/>
  <c r="AZ868" i="1"/>
  <c r="BA885" i="1" l="1"/>
  <c r="AH885" i="1"/>
  <c r="AR885" i="1"/>
  <c r="Z885" i="1"/>
  <c r="AI885" i="1"/>
  <c r="AZ885" i="1"/>
  <c r="Q867" i="1"/>
  <c r="Q868" i="1"/>
  <c r="AJ868" i="1"/>
  <c r="AJ867" i="1"/>
  <c r="BB868" i="1"/>
  <c r="BB867" i="1"/>
  <c r="BB493" i="1"/>
  <c r="BB492" i="1"/>
  <c r="Q885" i="1" l="1"/>
  <c r="AJ885" i="1"/>
  <c r="BB885" i="1"/>
  <c r="R868" i="1"/>
  <c r="R867" i="1"/>
  <c r="AQ657" i="1"/>
  <c r="AP657" i="1"/>
  <c r="AN657" i="1"/>
  <c r="AL657" i="1"/>
  <c r="AG657" i="1"/>
  <c r="X657" i="1"/>
  <c r="V657" i="1"/>
  <c r="AQ653" i="1"/>
  <c r="AP653" i="1"/>
  <c r="AN653" i="1"/>
  <c r="AL653" i="1"/>
  <c r="AG653" i="1"/>
  <c r="AB653" i="1"/>
  <c r="X653" i="1"/>
  <c r="V653" i="1"/>
  <c r="AY1123" i="1"/>
  <c r="AY1000" i="1"/>
  <c r="AY999" i="1"/>
  <c r="AY976" i="1"/>
  <c r="AY845" i="1"/>
  <c r="AQ845" i="1"/>
  <c r="AP845" i="1"/>
  <c r="AN845" i="1"/>
  <c r="AL845" i="1"/>
  <c r="AG845" i="1"/>
  <c r="AD845" i="1"/>
  <c r="AB845" i="1"/>
  <c r="Y845" i="1"/>
  <c r="X845" i="1"/>
  <c r="V845" i="1"/>
  <c r="T845" i="1"/>
  <c r="AY846" i="1"/>
  <c r="AQ846" i="1"/>
  <c r="AP846" i="1"/>
  <c r="AN846" i="1"/>
  <c r="AL846" i="1"/>
  <c r="AG846" i="1"/>
  <c r="AD846" i="1"/>
  <c r="AB846" i="1"/>
  <c r="Y846" i="1"/>
  <c r="X846" i="1"/>
  <c r="V846" i="1"/>
  <c r="T846" i="1"/>
  <c r="AY857" i="1"/>
  <c r="AQ857" i="1"/>
  <c r="AP857" i="1"/>
  <c r="AN857" i="1"/>
  <c r="AL857" i="1"/>
  <c r="AG857" i="1"/>
  <c r="AD857" i="1"/>
  <c r="AB857" i="1"/>
  <c r="Y857" i="1"/>
  <c r="X857" i="1"/>
  <c r="V857" i="1"/>
  <c r="T857" i="1"/>
  <c r="AY530" i="1"/>
  <c r="AX530" i="1"/>
  <c r="AV530" i="1"/>
  <c r="AT530" i="1"/>
  <c r="AQ530" i="1"/>
  <c r="AN530" i="1"/>
  <c r="AL530" i="1"/>
  <c r="AD530" i="1"/>
  <c r="AB530" i="1"/>
  <c r="X530" i="1"/>
  <c r="V530" i="1"/>
  <c r="AY412" i="1"/>
  <c r="AX451" i="1"/>
  <c r="AV451" i="1"/>
  <c r="AQ412" i="1"/>
  <c r="AP451" i="1"/>
  <c r="AL451" i="1"/>
  <c r="AG412" i="1"/>
  <c r="AD451" i="1"/>
  <c r="AY33" i="1"/>
  <c r="AX33" i="1"/>
  <c r="AV33" i="1"/>
  <c r="AT33" i="1"/>
  <c r="AQ33" i="1"/>
  <c r="AN33" i="1"/>
  <c r="AL33" i="1"/>
  <c r="AG33" i="1"/>
  <c r="AD33" i="1"/>
  <c r="X33" i="1"/>
  <c r="V33" i="1"/>
  <c r="AY130" i="1"/>
  <c r="AX130" i="1"/>
  <c r="AV130" i="1"/>
  <c r="AT130" i="1"/>
  <c r="AQ130" i="1"/>
  <c r="AN130" i="1"/>
  <c r="AL130" i="1"/>
  <c r="AG130" i="1"/>
  <c r="AD130" i="1"/>
  <c r="X130" i="1"/>
  <c r="V130" i="1"/>
  <c r="R885" i="1" l="1"/>
  <c r="AY451" i="1"/>
  <c r="AQ451" i="1"/>
  <c r="AG451" i="1"/>
  <c r="AT451" i="1"/>
  <c r="X1189" i="1"/>
  <c r="AL1189" i="1"/>
  <c r="V1189" i="1"/>
  <c r="AP1189" i="1"/>
  <c r="AX1189" i="1"/>
  <c r="AD1189" i="1"/>
  <c r="AV1189" i="1"/>
  <c r="BA412" i="1"/>
  <c r="BA653" i="1"/>
  <c r="BA657" i="1"/>
  <c r="BA530" i="1"/>
  <c r="AI846" i="1"/>
  <c r="BA846" i="1"/>
  <c r="BA976" i="1"/>
  <c r="BA999" i="1"/>
  <c r="AR653" i="1"/>
  <c r="BB653" i="1" s="1"/>
  <c r="AZ1000" i="1"/>
  <c r="AZ1001" i="1"/>
  <c r="AZ530" i="1"/>
  <c r="AH857" i="1"/>
  <c r="AZ857" i="1"/>
  <c r="AZ846" i="1"/>
  <c r="Z857" i="1"/>
  <c r="AR857" i="1"/>
  <c r="BA845" i="1"/>
  <c r="BA1123" i="1"/>
  <c r="Z846" i="1"/>
  <c r="AR657" i="1"/>
  <c r="AR530" i="1"/>
  <c r="AR846" i="1"/>
  <c r="AH530" i="1"/>
  <c r="BA857" i="1"/>
  <c r="BA33" i="1"/>
  <c r="AZ999" i="1"/>
  <c r="BA1000" i="1"/>
  <c r="BA1001" i="1"/>
  <c r="AZ1123" i="1"/>
  <c r="BA130" i="1"/>
  <c r="AI845" i="1"/>
  <c r="AH657" i="1"/>
  <c r="AH653" i="1"/>
  <c r="AZ976" i="1"/>
  <c r="Z845" i="1"/>
  <c r="AH845" i="1"/>
  <c r="AR845" i="1"/>
  <c r="AZ845" i="1"/>
  <c r="AH846" i="1"/>
  <c r="AI857" i="1"/>
  <c r="AR130" i="1"/>
  <c r="AZ130" i="1"/>
  <c r="AR33" i="1"/>
  <c r="AZ33" i="1"/>
  <c r="AH412" i="1"/>
  <c r="AH451" i="1" s="1"/>
  <c r="AR412" i="1"/>
  <c r="AR451" i="1" s="1"/>
  <c r="AZ412" i="1"/>
  <c r="AZ451" i="1" s="1"/>
  <c r="AH33" i="1"/>
  <c r="AH130" i="1"/>
  <c r="AT1189" i="1" l="1"/>
  <c r="Q1123" i="1"/>
  <c r="AY1189" i="1"/>
  <c r="Q976" i="1"/>
  <c r="Q1001" i="1"/>
  <c r="Q1000" i="1"/>
  <c r="Q999" i="1"/>
  <c r="AQ1189" i="1"/>
  <c r="AG1189" i="1"/>
  <c r="BA451" i="1"/>
  <c r="AH1189" i="1"/>
  <c r="AR1189" i="1"/>
  <c r="AZ1189" i="1"/>
  <c r="Q845" i="1"/>
  <c r="Q846" i="1"/>
  <c r="Q857" i="1"/>
  <c r="AJ845" i="1"/>
  <c r="AJ857" i="1"/>
  <c r="AJ846" i="1"/>
  <c r="BB1001" i="1"/>
  <c r="R1001" i="1" s="1"/>
  <c r="BB1000" i="1"/>
  <c r="R1000" i="1" s="1"/>
  <c r="BB846" i="1"/>
  <c r="BB530" i="1"/>
  <c r="BB657" i="1"/>
  <c r="BB857" i="1"/>
  <c r="BB1123" i="1"/>
  <c r="R1123" i="1" s="1"/>
  <c r="BB412" i="1"/>
  <c r="BB451" i="1" s="1"/>
  <c r="BB33" i="1"/>
  <c r="BB999" i="1"/>
  <c r="R999" i="1" s="1"/>
  <c r="BB130" i="1"/>
  <c r="BB976" i="1"/>
  <c r="R976" i="1" s="1"/>
  <c r="BB845" i="1"/>
  <c r="BA1189" i="1" l="1"/>
  <c r="BB1189" i="1"/>
  <c r="R845" i="1"/>
  <c r="R846" i="1"/>
  <c r="R857" i="1"/>
  <c r="AG137" i="1" l="1"/>
  <c r="AD30" i="1" l="1"/>
  <c r="AP844" i="1" l="1"/>
  <c r="AY1122" i="1"/>
  <c r="AY1120" i="1"/>
  <c r="BA1120" i="1" l="1"/>
  <c r="BA1122" i="1"/>
  <c r="AZ1122" i="1"/>
  <c r="AD174" i="1"/>
  <c r="AY174" i="1"/>
  <c r="AX174" i="1"/>
  <c r="AV174" i="1"/>
  <c r="AT174" i="1"/>
  <c r="AQ174" i="1"/>
  <c r="AN174" i="1"/>
  <c r="AL174" i="1"/>
  <c r="AG174" i="1"/>
  <c r="X174" i="1"/>
  <c r="V174" i="1"/>
  <c r="AY13" i="1"/>
  <c r="AV13" i="1"/>
  <c r="AT13" i="1"/>
  <c r="AQ13" i="1"/>
  <c r="AG13" i="1"/>
  <c r="AB13" i="1"/>
  <c r="X13" i="1"/>
  <c r="V13" i="1"/>
  <c r="Q1122" i="1" l="1"/>
  <c r="Q1120" i="1"/>
  <c r="BB1122" i="1"/>
  <c r="R1122" i="1" s="1"/>
  <c r="BB1120" i="1"/>
  <c r="R1120" i="1" s="1"/>
  <c r="AZ13" i="1"/>
  <c r="BA13" i="1"/>
  <c r="AR174" i="1"/>
  <c r="AZ174" i="1"/>
  <c r="AH13" i="1"/>
  <c r="BA174" i="1"/>
  <c r="AH174" i="1"/>
  <c r="AB1190" i="1"/>
  <c r="AQ602" i="1"/>
  <c r="AP602" i="1"/>
  <c r="AN602" i="1"/>
  <c r="AL602" i="1"/>
  <c r="AG602" i="1"/>
  <c r="AD602" i="1"/>
  <c r="AB602" i="1"/>
  <c r="X602" i="1"/>
  <c r="V602" i="1"/>
  <c r="AY856" i="1"/>
  <c r="AQ856" i="1"/>
  <c r="AP856" i="1"/>
  <c r="AN856" i="1"/>
  <c r="AL856" i="1"/>
  <c r="AG856" i="1"/>
  <c r="AD856" i="1"/>
  <c r="Y856" i="1"/>
  <c r="X856" i="1"/>
  <c r="V856" i="1"/>
  <c r="T856" i="1"/>
  <c r="AH602" i="1" l="1"/>
  <c r="AZ856" i="1"/>
  <c r="AH856" i="1"/>
  <c r="BA602" i="1"/>
  <c r="AR602" i="1"/>
  <c r="AR856" i="1"/>
  <c r="Z856" i="1"/>
  <c r="BA856" i="1"/>
  <c r="BB174" i="1"/>
  <c r="AI856" i="1"/>
  <c r="Q856" i="1" l="1"/>
  <c r="AJ856" i="1"/>
  <c r="BB856" i="1"/>
  <c r="BB602" i="1"/>
  <c r="X1149" i="1"/>
  <c r="X1148" i="1"/>
  <c r="X1147" i="1"/>
  <c r="X1146" i="1"/>
  <c r="X1144" i="1"/>
  <c r="X1145" i="1" s="1"/>
  <c r="X831" i="1"/>
  <c r="X830" i="1"/>
  <c r="X828" i="1"/>
  <c r="X671" i="1"/>
  <c r="X670" i="1"/>
  <c r="X520" i="1"/>
  <c r="X855" i="1"/>
  <c r="X864" i="1" s="1"/>
  <c r="X823" i="1"/>
  <c r="X821" i="1"/>
  <c r="X786" i="1"/>
  <c r="X785" i="1"/>
  <c r="X774" i="1"/>
  <c r="X766" i="1"/>
  <c r="X599" i="1"/>
  <c r="X770" i="1"/>
  <c r="X769" i="1"/>
  <c r="X768" i="1"/>
  <c r="X663" i="1"/>
  <c r="X659" i="1"/>
  <c r="X654" i="1"/>
  <c r="X652" i="1"/>
  <c r="X651" i="1"/>
  <c r="X647" i="1"/>
  <c r="X544" i="1"/>
  <c r="X667" i="1"/>
  <c r="X646" i="1"/>
  <c r="X645" i="1"/>
  <c r="X643" i="1"/>
  <c r="X617" i="1"/>
  <c r="X618" i="1"/>
  <c r="X606" i="1"/>
  <c r="X605" i="1"/>
  <c r="X595" i="1"/>
  <c r="X569" i="1"/>
  <c r="X573" i="1"/>
  <c r="X571" i="1"/>
  <c r="X560" i="1"/>
  <c r="X558" i="1"/>
  <c r="X552" i="1"/>
  <c r="X548" i="1"/>
  <c r="X547" i="1"/>
  <c r="X545" i="1"/>
  <c r="X542" i="1"/>
  <c r="X541" i="1"/>
  <c r="X366" i="1"/>
  <c r="X358" i="1"/>
  <c r="X356" i="1"/>
  <c r="X538" i="1"/>
  <c r="X539" i="1" s="1"/>
  <c r="X535" i="1"/>
  <c r="X533" i="1"/>
  <c r="X529" i="1"/>
  <c r="X528" i="1"/>
  <c r="X527" i="1"/>
  <c r="X526" i="1"/>
  <c r="X524" i="1"/>
  <c r="X523" i="1"/>
  <c r="X522" i="1"/>
  <c r="X521" i="1"/>
  <c r="X506" i="1"/>
  <c r="X505" i="1"/>
  <c r="X504" i="1"/>
  <c r="X503" i="1"/>
  <c r="X491" i="1"/>
  <c r="X490" i="1"/>
  <c r="X489" i="1"/>
  <c r="X488" i="1"/>
  <c r="X486" i="1"/>
  <c r="X483" i="1"/>
  <c r="X482" i="1"/>
  <c r="X481" i="1"/>
  <c r="X480" i="1"/>
  <c r="X479" i="1"/>
  <c r="X477" i="1"/>
  <c r="X476" i="1"/>
  <c r="X475" i="1"/>
  <c r="X474" i="1"/>
  <c r="X473" i="1"/>
  <c r="X471" i="1"/>
  <c r="X470" i="1"/>
  <c r="X469" i="1"/>
  <c r="X468" i="1"/>
  <c r="X467" i="1"/>
  <c r="X464" i="1"/>
  <c r="X240" i="1"/>
  <c r="X239" i="1"/>
  <c r="X238" i="1"/>
  <c r="X216" i="1"/>
  <c r="X173" i="1"/>
  <c r="X172" i="1"/>
  <c r="X171" i="1"/>
  <c r="X143" i="1"/>
  <c r="X142" i="1"/>
  <c r="X141" i="1"/>
  <c r="X140" i="1"/>
  <c r="X223" i="1"/>
  <c r="X221" i="1"/>
  <c r="X220" i="1"/>
  <c r="X215" i="1"/>
  <c r="X205" i="1"/>
  <c r="X204" i="1"/>
  <c r="X203" i="1"/>
  <c r="X202" i="1"/>
  <c r="X209" i="1"/>
  <c r="X208" i="1"/>
  <c r="X207" i="1"/>
  <c r="X206" i="1"/>
  <c r="X170" i="1"/>
  <c r="X169" i="1"/>
  <c r="X224" i="1"/>
  <c r="X168" i="1"/>
  <c r="X167" i="1"/>
  <c r="X154" i="1"/>
  <c r="X152" i="1"/>
  <c r="X150" i="1"/>
  <c r="X149" i="1"/>
  <c r="X148" i="1"/>
  <c r="X147" i="1"/>
  <c r="X146" i="1"/>
  <c r="X145" i="1"/>
  <c r="X106" i="1"/>
  <c r="X110" i="1" s="1"/>
  <c r="X86" i="1"/>
  <c r="X78" i="1"/>
  <c r="X77" i="1"/>
  <c r="X68" i="1"/>
  <c r="X137" i="1"/>
  <c r="X136" i="1"/>
  <c r="X134" i="1"/>
  <c r="X133" i="1"/>
  <c r="X129" i="1"/>
  <c r="X128" i="1"/>
  <c r="X127" i="1"/>
  <c r="X126" i="1"/>
  <c r="X125" i="1"/>
  <c r="X124" i="1"/>
  <c r="X123" i="1"/>
  <c r="X121" i="1"/>
  <c r="X120" i="1"/>
  <c r="X119" i="1"/>
  <c r="X118" i="1"/>
  <c r="X117" i="1"/>
  <c r="X116" i="1"/>
  <c r="X115" i="1"/>
  <c r="X114" i="1"/>
  <c r="X113" i="1"/>
  <c r="X111" i="1"/>
  <c r="X32" i="1"/>
  <c r="X31" i="1"/>
  <c r="X30" i="1"/>
  <c r="X23" i="1"/>
  <c r="X22" i="1"/>
  <c r="X21" i="1"/>
  <c r="X20" i="1"/>
  <c r="X19" i="1"/>
  <c r="X15" i="1"/>
  <c r="X12" i="1"/>
  <c r="X11" i="1"/>
  <c r="X10" i="1"/>
  <c r="X9" i="1"/>
  <c r="X8" i="1"/>
  <c r="X7" i="1"/>
  <c r="X382" i="1" l="1"/>
  <c r="X459" i="1" s="1"/>
  <c r="X67" i="1"/>
  <c r="X1178" i="1" s="1"/>
  <c r="X355" i="1"/>
  <c r="X669" i="1"/>
  <c r="X1197" i="1" s="1"/>
  <c r="X834" i="1"/>
  <c r="X537" i="1"/>
  <c r="X1190" i="1"/>
  <c r="X771" i="1"/>
  <c r="X787" i="1"/>
  <c r="X1150" i="1"/>
  <c r="X1206" i="1" s="1"/>
  <c r="X28" i="1"/>
  <c r="X144" i="1"/>
  <c r="X525" i="1"/>
  <c r="X487" i="1"/>
  <c r="X644" i="1"/>
  <c r="X1196" i="1" s="1"/>
  <c r="X24" i="1"/>
  <c r="X138" i="1"/>
  <c r="X1183" i="1" s="1"/>
  <c r="X197" i="1"/>
  <c r="X767" i="1"/>
  <c r="X1198" i="1" s="1"/>
  <c r="X105" i="1"/>
  <c r="X1180" i="1" s="1"/>
  <c r="X214" i="1"/>
  <c r="X1184" i="1" s="1"/>
  <c r="X228" i="1"/>
  <c r="X1186" i="1" s="1"/>
  <c r="X507" i="1"/>
  <c r="X1193" i="1" s="1"/>
  <c r="R856" i="1"/>
  <c r="AY1149" i="1"/>
  <c r="AY1148" i="1"/>
  <c r="AY1147" i="1"/>
  <c r="AY1146" i="1"/>
  <c r="AY1144" i="1"/>
  <c r="AY1125" i="1"/>
  <c r="AY1121" i="1"/>
  <c r="AY1119" i="1"/>
  <c r="AY980" i="1"/>
  <c r="AY988" i="1"/>
  <c r="AY1002" i="1"/>
  <c r="AY979" i="1"/>
  <c r="AY912" i="1"/>
  <c r="AY892" i="1"/>
  <c r="AY890" i="1"/>
  <c r="AY887" i="1"/>
  <c r="AY844" i="1"/>
  <c r="AY843" i="1"/>
  <c r="AY842" i="1"/>
  <c r="AY841" i="1"/>
  <c r="AY855" i="1"/>
  <c r="AY831" i="1"/>
  <c r="AY830" i="1"/>
  <c r="AY828" i="1"/>
  <c r="AY823" i="1"/>
  <c r="AY821" i="1"/>
  <c r="AY816" i="1"/>
  <c r="AY814" i="1"/>
  <c r="AY786" i="1"/>
  <c r="AY785" i="1"/>
  <c r="AY774" i="1"/>
  <c r="AY538" i="1"/>
  <c r="AY535" i="1"/>
  <c r="AY533" i="1"/>
  <c r="AY529" i="1"/>
  <c r="AY528" i="1"/>
  <c r="AY527" i="1"/>
  <c r="AY526" i="1"/>
  <c r="AY524" i="1"/>
  <c r="AY523" i="1"/>
  <c r="AY522" i="1"/>
  <c r="AY521" i="1"/>
  <c r="AY520" i="1"/>
  <c r="AY506" i="1"/>
  <c r="AY505" i="1"/>
  <c r="AY504" i="1"/>
  <c r="AY503" i="1"/>
  <c r="AY491" i="1"/>
  <c r="AY490" i="1"/>
  <c r="AY489" i="1"/>
  <c r="AY488" i="1"/>
  <c r="AY486" i="1"/>
  <c r="AY483" i="1"/>
  <c r="AY482" i="1"/>
  <c r="AY481" i="1"/>
  <c r="AY480" i="1"/>
  <c r="AY479" i="1"/>
  <c r="AY477" i="1"/>
  <c r="AY476" i="1"/>
  <c r="AY475" i="1"/>
  <c r="AY474" i="1"/>
  <c r="AY473" i="1"/>
  <c r="AY471" i="1"/>
  <c r="AY470" i="1"/>
  <c r="AY469" i="1"/>
  <c r="AY468" i="1"/>
  <c r="AY467" i="1"/>
  <c r="AY464" i="1"/>
  <c r="AY366" i="1"/>
  <c r="AY358" i="1"/>
  <c r="AY356" i="1"/>
  <c r="AY240" i="1"/>
  <c r="AY239" i="1"/>
  <c r="AY238" i="1"/>
  <c r="AY216" i="1"/>
  <c r="AY230" i="1"/>
  <c r="AY173" i="1"/>
  <c r="AY172" i="1"/>
  <c r="AY171" i="1"/>
  <c r="AY143" i="1"/>
  <c r="AY142" i="1"/>
  <c r="AY141" i="1"/>
  <c r="AY140" i="1"/>
  <c r="AY222" i="1"/>
  <c r="AY221" i="1"/>
  <c r="AY220" i="1"/>
  <c r="AY215" i="1"/>
  <c r="AY205" i="1"/>
  <c r="AY204" i="1"/>
  <c r="AY203" i="1"/>
  <c r="AY202" i="1"/>
  <c r="AY209" i="1"/>
  <c r="AY208" i="1"/>
  <c r="AY207" i="1"/>
  <c r="AY206" i="1"/>
  <c r="AY170" i="1"/>
  <c r="AY169" i="1"/>
  <c r="AY224" i="1"/>
  <c r="AY168" i="1"/>
  <c r="AY167" i="1"/>
  <c r="AY154" i="1"/>
  <c r="AY152" i="1"/>
  <c r="AY150" i="1"/>
  <c r="AY149" i="1"/>
  <c r="AY148" i="1"/>
  <c r="AY147" i="1"/>
  <c r="AY146" i="1"/>
  <c r="AY145" i="1"/>
  <c r="AY109" i="1"/>
  <c r="AY106" i="1"/>
  <c r="AY86" i="1"/>
  <c r="AY78" i="1"/>
  <c r="AY77" i="1"/>
  <c r="AY69" i="1"/>
  <c r="AY68" i="1"/>
  <c r="AY136" i="1"/>
  <c r="AY134" i="1"/>
  <c r="AY133" i="1"/>
  <c r="AY129" i="1"/>
  <c r="AY128" i="1"/>
  <c r="AY127" i="1"/>
  <c r="AY126" i="1"/>
  <c r="AY125" i="1"/>
  <c r="AY124" i="1"/>
  <c r="AY123" i="1"/>
  <c r="AY121" i="1"/>
  <c r="AY120" i="1"/>
  <c r="AY119" i="1"/>
  <c r="AY118" i="1"/>
  <c r="AY117" i="1"/>
  <c r="AY116" i="1"/>
  <c r="AY115" i="1"/>
  <c r="AY114" i="1"/>
  <c r="AY113" i="1"/>
  <c r="AY111" i="1"/>
  <c r="AY32" i="1"/>
  <c r="AY31" i="1"/>
  <c r="AY30" i="1"/>
  <c r="AY23" i="1"/>
  <c r="AY22" i="1"/>
  <c r="AY21" i="1"/>
  <c r="AY20" i="1"/>
  <c r="AY19" i="1"/>
  <c r="AY15" i="1"/>
  <c r="AY12" i="1"/>
  <c r="AY11" i="1"/>
  <c r="AY10" i="1"/>
  <c r="AY9" i="1"/>
  <c r="AY8" i="1"/>
  <c r="AY7" i="1"/>
  <c r="AX527" i="1"/>
  <c r="AX240" i="1"/>
  <c r="AX366" i="1"/>
  <c r="AX358" i="1"/>
  <c r="AX356" i="1"/>
  <c r="AX538" i="1"/>
  <c r="AX539" i="1" s="1"/>
  <c r="AX535" i="1"/>
  <c r="AX533" i="1"/>
  <c r="AX529" i="1"/>
  <c r="AX528" i="1"/>
  <c r="AX526" i="1"/>
  <c r="AX524" i="1"/>
  <c r="AX523" i="1"/>
  <c r="AX522" i="1"/>
  <c r="AX521" i="1"/>
  <c r="AX520" i="1"/>
  <c r="AX506" i="1"/>
  <c r="AX505" i="1"/>
  <c r="AX504" i="1"/>
  <c r="AX503" i="1"/>
  <c r="AX491" i="1"/>
  <c r="AX490" i="1"/>
  <c r="AX489" i="1"/>
  <c r="AX488" i="1"/>
  <c r="AX486" i="1"/>
  <c r="AX483" i="1"/>
  <c r="AX482" i="1"/>
  <c r="AX481" i="1"/>
  <c r="AX480" i="1"/>
  <c r="AX479" i="1"/>
  <c r="AX477" i="1"/>
  <c r="AX476" i="1"/>
  <c r="AX475" i="1"/>
  <c r="AX474" i="1"/>
  <c r="AX473" i="1"/>
  <c r="AX471" i="1"/>
  <c r="AX470" i="1"/>
  <c r="AX469" i="1"/>
  <c r="AX468" i="1"/>
  <c r="AX467" i="1"/>
  <c r="AX464" i="1"/>
  <c r="AX239" i="1"/>
  <c r="AX238" i="1"/>
  <c r="AX216" i="1"/>
  <c r="AX230" i="1"/>
  <c r="AX173" i="1"/>
  <c r="AX172" i="1"/>
  <c r="AX171" i="1"/>
  <c r="AX142" i="1"/>
  <c r="AX141" i="1"/>
  <c r="AX223" i="1"/>
  <c r="AX222" i="1"/>
  <c r="AX221" i="1"/>
  <c r="AX220" i="1"/>
  <c r="AX215" i="1"/>
  <c r="AX205" i="1"/>
  <c r="AX204" i="1"/>
  <c r="AX203" i="1"/>
  <c r="AX202" i="1"/>
  <c r="AX209" i="1"/>
  <c r="AX207" i="1"/>
  <c r="AX206" i="1"/>
  <c r="AX170" i="1"/>
  <c r="AX169" i="1"/>
  <c r="AX224" i="1"/>
  <c r="AX168" i="1"/>
  <c r="AX167" i="1"/>
  <c r="AX154" i="1"/>
  <c r="AX152" i="1"/>
  <c r="AX150" i="1"/>
  <c r="AX149" i="1"/>
  <c r="AX148" i="1"/>
  <c r="AX147" i="1"/>
  <c r="AX146" i="1"/>
  <c r="AX145" i="1"/>
  <c r="AX109" i="1"/>
  <c r="AX106" i="1"/>
  <c r="AX86" i="1"/>
  <c r="AX78" i="1"/>
  <c r="AX69" i="1"/>
  <c r="AX68" i="1"/>
  <c r="AX137" i="1"/>
  <c r="AX136" i="1"/>
  <c r="AX134" i="1"/>
  <c r="AX133" i="1"/>
  <c r="AX129" i="1"/>
  <c r="AX128" i="1"/>
  <c r="AX127" i="1"/>
  <c r="AX125" i="1"/>
  <c r="AX124" i="1"/>
  <c r="AX123" i="1"/>
  <c r="AX121" i="1"/>
  <c r="AX120" i="1"/>
  <c r="AX119" i="1"/>
  <c r="AX118" i="1"/>
  <c r="AX117" i="1"/>
  <c r="AX116" i="1"/>
  <c r="AX115" i="1"/>
  <c r="AX114" i="1"/>
  <c r="AX113" i="1"/>
  <c r="AX111" i="1"/>
  <c r="AX32" i="1"/>
  <c r="AX31" i="1"/>
  <c r="AX30" i="1"/>
  <c r="AX23" i="1"/>
  <c r="AX22" i="1"/>
  <c r="AX21" i="1"/>
  <c r="AX20" i="1"/>
  <c r="AX19" i="1"/>
  <c r="AX15" i="1"/>
  <c r="AX12" i="1"/>
  <c r="AX11" i="1"/>
  <c r="AX10" i="1"/>
  <c r="AX9" i="1"/>
  <c r="AX8" i="1"/>
  <c r="AV366" i="1"/>
  <c r="AV358" i="1"/>
  <c r="AV356" i="1"/>
  <c r="AV538" i="1"/>
  <c r="AV539" i="1" s="1"/>
  <c r="AV535" i="1"/>
  <c r="AV533" i="1"/>
  <c r="AV529" i="1"/>
  <c r="AV528" i="1"/>
  <c r="AV527" i="1"/>
  <c r="AV526" i="1"/>
  <c r="AV524" i="1"/>
  <c r="AV523" i="1"/>
  <c r="AV522" i="1"/>
  <c r="AV521" i="1"/>
  <c r="AV520" i="1"/>
  <c r="AV506" i="1"/>
  <c r="AV505" i="1"/>
  <c r="AV504" i="1"/>
  <c r="AV503" i="1"/>
  <c r="AV491" i="1"/>
  <c r="AV490" i="1"/>
  <c r="AV489" i="1"/>
  <c r="AV488" i="1"/>
  <c r="AV486" i="1"/>
  <c r="AV483" i="1"/>
  <c r="AV482" i="1"/>
  <c r="AV481" i="1"/>
  <c r="AV480" i="1"/>
  <c r="AV479" i="1"/>
  <c r="AV477" i="1"/>
  <c r="AV476" i="1"/>
  <c r="AV475" i="1"/>
  <c r="AV474" i="1"/>
  <c r="AV473" i="1"/>
  <c r="AV471" i="1"/>
  <c r="AV470" i="1"/>
  <c r="AV469" i="1"/>
  <c r="AV467" i="1"/>
  <c r="AV464" i="1"/>
  <c r="AV240" i="1"/>
  <c r="AV239" i="1"/>
  <c r="AV238" i="1"/>
  <c r="AV216" i="1"/>
  <c r="AV230" i="1"/>
  <c r="AV173" i="1"/>
  <c r="AV172" i="1"/>
  <c r="AV171" i="1"/>
  <c r="AV143" i="1"/>
  <c r="AV142" i="1"/>
  <c r="AV141" i="1"/>
  <c r="AV140" i="1"/>
  <c r="AV223" i="1"/>
  <c r="AV221" i="1"/>
  <c r="AV220" i="1"/>
  <c r="AV215" i="1"/>
  <c r="AV205" i="1"/>
  <c r="AV204" i="1"/>
  <c r="AV203" i="1"/>
  <c r="AV202" i="1"/>
  <c r="AV209" i="1"/>
  <c r="AV208" i="1"/>
  <c r="AV207" i="1"/>
  <c r="AV206" i="1"/>
  <c r="AV170" i="1"/>
  <c r="AV169" i="1"/>
  <c r="AV224" i="1"/>
  <c r="AV168" i="1"/>
  <c r="AV167" i="1"/>
  <c r="AV154" i="1"/>
  <c r="AV152" i="1"/>
  <c r="AV150" i="1"/>
  <c r="AV149" i="1"/>
  <c r="AV148" i="1"/>
  <c r="AV147" i="1"/>
  <c r="AV146" i="1"/>
  <c r="AV145" i="1"/>
  <c r="AV28" i="1"/>
  <c r="AV109" i="1"/>
  <c r="AV106" i="1"/>
  <c r="AV86" i="1"/>
  <c r="AV78" i="1"/>
  <c r="AV77" i="1"/>
  <c r="AV69" i="1"/>
  <c r="AV68" i="1"/>
  <c r="AV137" i="1"/>
  <c r="AV136" i="1"/>
  <c r="AV134" i="1"/>
  <c r="AV133" i="1"/>
  <c r="AV129" i="1"/>
  <c r="AV128" i="1"/>
  <c r="AV127" i="1"/>
  <c r="AV126" i="1"/>
  <c r="AV125" i="1"/>
  <c r="AV124" i="1"/>
  <c r="AV123" i="1"/>
  <c r="AV121" i="1"/>
  <c r="AV120" i="1"/>
  <c r="AV119" i="1"/>
  <c r="AV117" i="1"/>
  <c r="AV116" i="1"/>
  <c r="AV115" i="1"/>
  <c r="AV114" i="1"/>
  <c r="AV113" i="1"/>
  <c r="AV111" i="1"/>
  <c r="AV32" i="1"/>
  <c r="AV31" i="1"/>
  <c r="AV30" i="1"/>
  <c r="AV23" i="1"/>
  <c r="AV22" i="1"/>
  <c r="AV21" i="1"/>
  <c r="AV20" i="1"/>
  <c r="AV19" i="1"/>
  <c r="AV12" i="1"/>
  <c r="AV11" i="1"/>
  <c r="AV10" i="1"/>
  <c r="AV9" i="1"/>
  <c r="AT1190" i="1"/>
  <c r="AT366" i="1"/>
  <c r="AT358" i="1"/>
  <c r="AT356" i="1"/>
  <c r="AT533" i="1"/>
  <c r="AT538" i="1"/>
  <c r="AT539" i="1" s="1"/>
  <c r="AT535" i="1"/>
  <c r="AT529" i="1"/>
  <c r="AT528" i="1"/>
  <c r="AT527" i="1"/>
  <c r="AT526" i="1"/>
  <c r="AT524" i="1"/>
  <c r="AT523" i="1"/>
  <c r="AT522" i="1"/>
  <c r="AT521" i="1"/>
  <c r="AT520" i="1"/>
  <c r="AT506" i="1"/>
  <c r="AT505" i="1"/>
  <c r="AT504" i="1"/>
  <c r="AT503" i="1"/>
  <c r="AT491" i="1"/>
  <c r="AT490" i="1"/>
  <c r="AT489" i="1"/>
  <c r="AT488" i="1"/>
  <c r="AT486" i="1"/>
  <c r="AT483" i="1"/>
  <c r="AT482" i="1"/>
  <c r="AT481" i="1"/>
  <c r="AT480" i="1"/>
  <c r="AT479" i="1"/>
  <c r="AT477" i="1"/>
  <c r="AT476" i="1"/>
  <c r="AT475" i="1"/>
  <c r="AT474" i="1"/>
  <c r="AT473" i="1"/>
  <c r="AT471" i="1"/>
  <c r="AT470" i="1"/>
  <c r="AT469" i="1"/>
  <c r="AT468" i="1"/>
  <c r="AT467" i="1"/>
  <c r="AT464" i="1"/>
  <c r="AT240" i="1"/>
  <c r="AT239" i="1"/>
  <c r="AT238" i="1"/>
  <c r="AT216" i="1"/>
  <c r="AT230" i="1"/>
  <c r="AT173" i="1"/>
  <c r="AT172" i="1"/>
  <c r="AT171" i="1"/>
  <c r="AT143" i="1"/>
  <c r="AT142" i="1"/>
  <c r="AT141" i="1"/>
  <c r="AT140" i="1"/>
  <c r="AT223" i="1"/>
  <c r="AT222" i="1"/>
  <c r="AT221" i="1"/>
  <c r="AT220" i="1"/>
  <c r="AT215" i="1"/>
  <c r="AT205" i="1"/>
  <c r="AT204" i="1"/>
  <c r="AT203" i="1"/>
  <c r="AT202" i="1"/>
  <c r="AT209" i="1"/>
  <c r="AT208" i="1"/>
  <c r="AT207" i="1"/>
  <c r="AT170" i="1"/>
  <c r="AT169" i="1"/>
  <c r="AT224" i="1"/>
  <c r="AT168" i="1"/>
  <c r="AT167" i="1"/>
  <c r="AT154" i="1"/>
  <c r="AT152" i="1"/>
  <c r="AT150" i="1"/>
  <c r="AT149" i="1"/>
  <c r="AT148" i="1"/>
  <c r="AT147" i="1"/>
  <c r="AT145" i="1"/>
  <c r="AT109" i="1"/>
  <c r="AT106" i="1"/>
  <c r="AT86" i="1"/>
  <c r="AT78" i="1"/>
  <c r="AT77" i="1"/>
  <c r="AT69" i="1"/>
  <c r="AT68" i="1"/>
  <c r="AT137" i="1"/>
  <c r="AT136" i="1"/>
  <c r="AT134" i="1"/>
  <c r="AT133" i="1"/>
  <c r="AT129" i="1"/>
  <c r="AT126" i="1"/>
  <c r="AT125" i="1"/>
  <c r="AT124" i="1"/>
  <c r="AT123" i="1"/>
  <c r="AT121" i="1"/>
  <c r="AT120" i="1"/>
  <c r="AT119" i="1"/>
  <c r="AT118" i="1"/>
  <c r="AT117" i="1"/>
  <c r="AT116" i="1"/>
  <c r="AT115" i="1"/>
  <c r="AT114" i="1"/>
  <c r="AT113" i="1"/>
  <c r="AT111" i="1"/>
  <c r="AT32" i="1"/>
  <c r="AT31" i="1"/>
  <c r="AT30" i="1"/>
  <c r="AT23" i="1"/>
  <c r="AT22" i="1"/>
  <c r="AT21" i="1"/>
  <c r="AT20" i="1"/>
  <c r="AT19" i="1"/>
  <c r="AT15" i="1"/>
  <c r="AT12" i="1"/>
  <c r="AT11" i="1"/>
  <c r="AT10" i="1"/>
  <c r="AT9" i="1"/>
  <c r="AT8" i="1"/>
  <c r="AT382" i="1" l="1"/>
  <c r="AT459" i="1" s="1"/>
  <c r="AT67" i="1"/>
  <c r="AV67" i="1"/>
  <c r="AX382" i="1"/>
  <c r="AX459" i="1" s="1"/>
  <c r="AY382" i="1"/>
  <c r="AV382" i="1"/>
  <c r="AV459" i="1" s="1"/>
  <c r="AX67" i="1"/>
  <c r="AY67" i="1"/>
  <c r="AX355" i="1"/>
  <c r="AV355" i="1"/>
  <c r="AT355" i="1"/>
  <c r="AY355" i="1"/>
  <c r="AY834" i="1"/>
  <c r="AX537" i="1"/>
  <c r="AY537" i="1"/>
  <c r="AT537" i="1"/>
  <c r="AV537" i="1"/>
  <c r="AX1190" i="1"/>
  <c r="AV1190" i="1"/>
  <c r="AY539" i="1"/>
  <c r="AY864" i="1"/>
  <c r="AY1145" i="1"/>
  <c r="AY1190" i="1"/>
  <c r="AT231" i="1"/>
  <c r="AY231" i="1"/>
  <c r="AV231" i="1"/>
  <c r="AX231" i="1"/>
  <c r="AT24" i="1"/>
  <c r="AZ86" i="1"/>
  <c r="X1192" i="1"/>
  <c r="X1195" i="1" s="1"/>
  <c r="X515" i="1"/>
  <c r="X1181" i="1"/>
  <c r="X1182" i="1" s="1"/>
  <c r="X1199" i="1"/>
  <c r="X1200" i="1" s="1"/>
  <c r="AY854" i="1"/>
  <c r="X1185" i="1"/>
  <c r="X1188" i="1"/>
  <c r="X1191" i="1" s="1"/>
  <c r="AY28" i="1"/>
  <c r="X29" i="1"/>
  <c r="X1177" i="1" s="1"/>
  <c r="X1179" i="1" s="1"/>
  <c r="AY1150" i="1"/>
  <c r="X540" i="1"/>
  <c r="X1204" i="1" s="1"/>
  <c r="AT28" i="1"/>
  <c r="X772" i="1"/>
  <c r="X797" i="1" s="1"/>
  <c r="X139" i="1"/>
  <c r="AX110" i="1"/>
  <c r="AX197" i="1"/>
  <c r="AV110" i="1"/>
  <c r="AX525" i="1"/>
  <c r="AX507" i="1"/>
  <c r="AX1193" i="1" s="1"/>
  <c r="AX144" i="1"/>
  <c r="AX105" i="1"/>
  <c r="AX1180" i="1" s="1"/>
  <c r="AX28" i="1"/>
  <c r="AV487" i="1"/>
  <c r="AV144" i="1"/>
  <c r="AV105" i="1"/>
  <c r="AV1180" i="1" s="1"/>
  <c r="AV197" i="1"/>
  <c r="AT487" i="1"/>
  <c r="AT144" i="1"/>
  <c r="AY144" i="1"/>
  <c r="AY228" i="1"/>
  <c r="AY487" i="1"/>
  <c r="AY787" i="1"/>
  <c r="AY797" i="1" s="1"/>
  <c r="AY1126" i="1"/>
  <c r="AV24" i="1"/>
  <c r="X229" i="1"/>
  <c r="AY214" i="1"/>
  <c r="AX487" i="1"/>
  <c r="AY24" i="1"/>
  <c r="AY138" i="1"/>
  <c r="AY105" i="1"/>
  <c r="AY110" i="1"/>
  <c r="AY197" i="1"/>
  <c r="AY507" i="1"/>
  <c r="AY525" i="1"/>
  <c r="AT525" i="1"/>
  <c r="AV525" i="1"/>
  <c r="AT507" i="1"/>
  <c r="AT1193" i="1" s="1"/>
  <c r="AV507" i="1"/>
  <c r="AV1193" i="1" s="1"/>
  <c r="AT228" i="1"/>
  <c r="AT1186" i="1" s="1"/>
  <c r="AV228" i="1"/>
  <c r="AV1186" i="1" s="1"/>
  <c r="AX228" i="1"/>
  <c r="AX1186" i="1" s="1"/>
  <c r="AT214" i="1"/>
  <c r="AT1184" i="1" s="1"/>
  <c r="AV214" i="1"/>
  <c r="AV1184" i="1" s="1"/>
  <c r="AX214" i="1"/>
  <c r="AX1184" i="1" s="1"/>
  <c r="AT197" i="1"/>
  <c r="AT138" i="1"/>
  <c r="AT1183" i="1" s="1"/>
  <c r="AV138" i="1"/>
  <c r="AV1183" i="1" s="1"/>
  <c r="AX138" i="1"/>
  <c r="AX1183" i="1" s="1"/>
  <c r="AT110" i="1"/>
  <c r="AT105" i="1"/>
  <c r="AT1180" i="1" s="1"/>
  <c r="AX24" i="1"/>
  <c r="AZ19" i="1"/>
  <c r="AZ23" i="1"/>
  <c r="AZ1119" i="1"/>
  <c r="AZ137" i="1"/>
  <c r="AZ136" i="1"/>
  <c r="AZ11" i="1"/>
  <c r="AZ118" i="1"/>
  <c r="AZ126" i="1"/>
  <c r="AZ150" i="1"/>
  <c r="AZ169" i="1"/>
  <c r="AZ204" i="1"/>
  <c r="AZ785" i="1"/>
  <c r="AZ7" i="1"/>
  <c r="AZ114" i="1"/>
  <c r="AZ123" i="1"/>
  <c r="AZ129" i="1"/>
  <c r="AZ78" i="1"/>
  <c r="AZ167" i="1"/>
  <c r="AZ208" i="1"/>
  <c r="AZ171" i="1"/>
  <c r="AZ12" i="1"/>
  <c r="AZ119" i="1"/>
  <c r="AZ127" i="1"/>
  <c r="AZ68" i="1"/>
  <c r="AZ152" i="1"/>
  <c r="AZ170" i="1"/>
  <c r="AZ205" i="1"/>
  <c r="AZ141" i="1"/>
  <c r="AZ528" i="1"/>
  <c r="AZ814" i="1"/>
  <c r="AZ979" i="1"/>
  <c r="AZ1121" i="1"/>
  <c r="AZ503" i="1"/>
  <c r="AZ524" i="1"/>
  <c r="AZ535" i="1"/>
  <c r="AZ488" i="1"/>
  <c r="AZ520" i="1"/>
  <c r="AZ32" i="1"/>
  <c r="AZ113" i="1"/>
  <c r="AZ121" i="1"/>
  <c r="AZ77" i="1"/>
  <c r="AZ207" i="1"/>
  <c r="AZ215" i="1"/>
  <c r="AZ143" i="1"/>
  <c r="AZ216" i="1"/>
  <c r="AZ988" i="1"/>
  <c r="AZ1146" i="1"/>
  <c r="AZ145" i="1"/>
  <c r="AZ20" i="1"/>
  <c r="AZ115" i="1"/>
  <c r="AZ124" i="1"/>
  <c r="AZ133" i="1"/>
  <c r="AZ147" i="1"/>
  <c r="AZ168" i="1"/>
  <c r="AZ209" i="1"/>
  <c r="AZ221" i="1"/>
  <c r="AZ172" i="1"/>
  <c r="AZ8" i="1"/>
  <c r="AZ10" i="1"/>
  <c r="AZ22" i="1"/>
  <c r="AZ117" i="1"/>
  <c r="AZ106" i="1"/>
  <c r="AZ149" i="1"/>
  <c r="AZ203" i="1"/>
  <c r="AZ223" i="1"/>
  <c r="AZ230" i="1"/>
  <c r="AZ774" i="1"/>
  <c r="AZ15" i="1"/>
  <c r="AZ31" i="1"/>
  <c r="AZ111" i="1"/>
  <c r="AZ120" i="1"/>
  <c r="AZ128" i="1"/>
  <c r="AZ154" i="1"/>
  <c r="AZ142" i="1"/>
  <c r="AZ490" i="1"/>
  <c r="AZ522" i="1"/>
  <c r="AZ912" i="1"/>
  <c r="AZ831" i="1"/>
  <c r="AZ9" i="1"/>
  <c r="AZ21" i="1"/>
  <c r="AZ116" i="1"/>
  <c r="AZ125" i="1"/>
  <c r="AZ134" i="1"/>
  <c r="AZ148" i="1"/>
  <c r="AZ224" i="1"/>
  <c r="AZ202" i="1"/>
  <c r="AZ222" i="1"/>
  <c r="AZ173" i="1"/>
  <c r="AZ240" i="1"/>
  <c r="AZ538" i="1"/>
  <c r="AZ539" i="1" s="1"/>
  <c r="AZ1125" i="1"/>
  <c r="AZ505" i="1"/>
  <c r="AZ887" i="1"/>
  <c r="AZ1144" i="1"/>
  <c r="AZ1145" i="1" s="1"/>
  <c r="AZ356" i="1"/>
  <c r="AZ786" i="1"/>
  <c r="AZ890" i="1"/>
  <c r="AZ821" i="1"/>
  <c r="AZ1149" i="1"/>
  <c r="AZ828" i="1"/>
  <c r="AZ1148" i="1"/>
  <c r="AZ30" i="1"/>
  <c r="AZ892" i="1"/>
  <c r="AZ1002" i="1"/>
  <c r="AZ468" i="1"/>
  <c r="AZ470" i="1"/>
  <c r="AZ473" i="1"/>
  <c r="AZ475" i="1"/>
  <c r="AZ477" i="1"/>
  <c r="AZ480" i="1"/>
  <c r="AZ482" i="1"/>
  <c r="AZ486" i="1"/>
  <c r="AZ489" i="1"/>
  <c r="AZ491" i="1"/>
  <c r="AZ504" i="1"/>
  <c r="AZ506" i="1"/>
  <c r="AZ521" i="1"/>
  <c r="AZ523" i="1"/>
  <c r="AZ841" i="1"/>
  <c r="AZ843" i="1"/>
  <c r="AZ533" i="1"/>
  <c r="AZ239" i="1"/>
  <c r="AZ526" i="1"/>
  <c r="AZ527" i="1"/>
  <c r="AZ529" i="1"/>
  <c r="AZ366" i="1"/>
  <c r="AZ816" i="1"/>
  <c r="AZ823" i="1"/>
  <c r="AZ830" i="1"/>
  <c r="AZ467" i="1"/>
  <c r="AZ469" i="1"/>
  <c r="AZ471" i="1"/>
  <c r="AZ474" i="1"/>
  <c r="AZ476" i="1"/>
  <c r="AZ479" i="1"/>
  <c r="AZ481" i="1"/>
  <c r="AZ483" i="1"/>
  <c r="AZ855" i="1"/>
  <c r="AZ864" i="1" s="1"/>
  <c r="AZ842" i="1"/>
  <c r="AZ844" i="1"/>
  <c r="AZ69" i="1"/>
  <c r="AZ109" i="1"/>
  <c r="AZ146" i="1"/>
  <c r="AZ206" i="1"/>
  <c r="AZ220" i="1"/>
  <c r="AZ140" i="1"/>
  <c r="AZ358" i="1"/>
  <c r="AZ464" i="1"/>
  <c r="AZ238" i="1"/>
  <c r="AZ1147" i="1"/>
  <c r="AZ382" i="1" l="1"/>
  <c r="AZ459" i="1" s="1"/>
  <c r="AZ67" i="1"/>
  <c r="AZ355" i="1"/>
  <c r="AZ834" i="1"/>
  <c r="AZ537" i="1"/>
  <c r="AZ1190" i="1"/>
  <c r="AY459" i="1"/>
  <c r="AY1206" i="1"/>
  <c r="AY1193" i="1"/>
  <c r="AY1184" i="1"/>
  <c r="AY1186" i="1"/>
  <c r="AY1183" i="1"/>
  <c r="AY1180" i="1"/>
  <c r="AX1206" i="1"/>
  <c r="AZ231" i="1"/>
  <c r="AV1206" i="1"/>
  <c r="AT1206" i="1"/>
  <c r="AV1185" i="1"/>
  <c r="AY1192" i="1"/>
  <c r="AY515" i="1"/>
  <c r="AT1192" i="1"/>
  <c r="AT1195" i="1" s="1"/>
  <c r="AT515" i="1"/>
  <c r="AX1192" i="1"/>
  <c r="AX1195" i="1" s="1"/>
  <c r="AX515" i="1"/>
  <c r="AV1192" i="1"/>
  <c r="AV1195" i="1" s="1"/>
  <c r="AV515" i="1"/>
  <c r="AV1181" i="1"/>
  <c r="AV1182" i="1" s="1"/>
  <c r="AY29" i="1"/>
  <c r="AX1185" i="1"/>
  <c r="AZ28" i="1"/>
  <c r="AZ854" i="1"/>
  <c r="AX1181" i="1"/>
  <c r="AX1182" i="1" s="1"/>
  <c r="X1187" i="1"/>
  <c r="AT1185" i="1"/>
  <c r="AT1181" i="1"/>
  <c r="AT1182" i="1" s="1"/>
  <c r="AX1178" i="1"/>
  <c r="AV1178" i="1"/>
  <c r="AT1178" i="1"/>
  <c r="AY1199" i="1"/>
  <c r="AY1200" i="1" s="1"/>
  <c r="AT1188" i="1"/>
  <c r="AT1191" i="1" s="1"/>
  <c r="AY1188" i="1"/>
  <c r="AY1191" i="1" s="1"/>
  <c r="AV1188" i="1"/>
  <c r="AV1191" i="1" s="1"/>
  <c r="AY1181" i="1"/>
  <c r="AY1178" i="1"/>
  <c r="AX1188" i="1"/>
  <c r="AX1191" i="1" s="1"/>
  <c r="AT29" i="1"/>
  <c r="AT1177" i="1" s="1"/>
  <c r="X237" i="1"/>
  <c r="AX540" i="1"/>
  <c r="AX1204" i="1" s="1"/>
  <c r="AX29" i="1"/>
  <c r="AX1177" i="1" s="1"/>
  <c r="AV540" i="1"/>
  <c r="AV1204" i="1" s="1"/>
  <c r="AY886" i="1"/>
  <c r="AY540" i="1"/>
  <c r="AV29" i="1"/>
  <c r="AV1177" i="1" s="1"/>
  <c r="AX229" i="1"/>
  <c r="AX139" i="1"/>
  <c r="AZ144" i="1"/>
  <c r="AV139" i="1"/>
  <c r="AT540" i="1"/>
  <c r="AT1204" i="1" s="1"/>
  <c r="AT139" i="1"/>
  <c r="AZ1150" i="1"/>
  <c r="AY229" i="1"/>
  <c r="AZ1126" i="1"/>
  <c r="AT229" i="1"/>
  <c r="AV229" i="1"/>
  <c r="AZ787" i="1"/>
  <c r="AZ487" i="1"/>
  <c r="AY139" i="1"/>
  <c r="AZ525" i="1"/>
  <c r="AZ507" i="1"/>
  <c r="AZ1193" i="1" s="1"/>
  <c r="AZ228" i="1"/>
  <c r="AZ1186" i="1" s="1"/>
  <c r="AZ214" i="1"/>
  <c r="AZ1184" i="1" s="1"/>
  <c r="AZ197" i="1"/>
  <c r="AZ138" i="1"/>
  <c r="AZ1183" i="1" s="1"/>
  <c r="AZ110" i="1"/>
  <c r="AZ105" i="1"/>
  <c r="AZ1180" i="1" s="1"/>
  <c r="AZ24" i="1"/>
  <c r="AQ111" i="1"/>
  <c r="AZ1206" i="1" l="1"/>
  <c r="AY1195" i="1"/>
  <c r="AY1185" i="1"/>
  <c r="AY1204" i="1"/>
  <c r="AY1182" i="1"/>
  <c r="AY1177" i="1"/>
  <c r="AY1179" i="1" s="1"/>
  <c r="AZ1192" i="1"/>
  <c r="AZ1195" i="1" s="1"/>
  <c r="AZ515" i="1"/>
  <c r="AZ29" i="1"/>
  <c r="AZ1177" i="1" s="1"/>
  <c r="AV1179" i="1"/>
  <c r="AV1187" i="1" s="1"/>
  <c r="AZ1185" i="1"/>
  <c r="AX1179" i="1"/>
  <c r="AX1187" i="1" s="1"/>
  <c r="AW1176" i="1" s="1"/>
  <c r="AT1179" i="1"/>
  <c r="AT1187" i="1" s="1"/>
  <c r="AS1176" i="1" s="1"/>
  <c r="AY1143" i="1"/>
  <c r="AY1201" i="1"/>
  <c r="AZ1178" i="1"/>
  <c r="AZ1181" i="1"/>
  <c r="AZ1182" i="1" s="1"/>
  <c r="AZ1188" i="1"/>
  <c r="AZ1191" i="1" s="1"/>
  <c r="AV237" i="1"/>
  <c r="AX237" i="1"/>
  <c r="AX6" i="1" s="1"/>
  <c r="AY237" i="1"/>
  <c r="AT237" i="1"/>
  <c r="AT6" i="1" s="1"/>
  <c r="AZ886" i="1"/>
  <c r="AZ229" i="1"/>
  <c r="AZ540" i="1"/>
  <c r="AZ1204" i="1" s="1"/>
  <c r="AZ139" i="1"/>
  <c r="BA111" i="1"/>
  <c r="AQ1149" i="1"/>
  <c r="AQ1148" i="1"/>
  <c r="AQ1147" i="1"/>
  <c r="AQ1146" i="1"/>
  <c r="AQ1144" i="1"/>
  <c r="BA1125" i="1"/>
  <c r="BA1121" i="1"/>
  <c r="BA1119" i="1"/>
  <c r="BA960" i="1"/>
  <c r="BA980" i="1"/>
  <c r="BA988" i="1"/>
  <c r="BA1002" i="1"/>
  <c r="BA979" i="1"/>
  <c r="BA912" i="1"/>
  <c r="BA892" i="1"/>
  <c r="BA890" i="1"/>
  <c r="AQ844" i="1"/>
  <c r="AQ843" i="1"/>
  <c r="AQ842" i="1"/>
  <c r="AQ841" i="1"/>
  <c r="AQ855" i="1"/>
  <c r="AQ831" i="1"/>
  <c r="AQ830" i="1"/>
  <c r="AQ828" i="1"/>
  <c r="AQ823" i="1"/>
  <c r="AQ816" i="1"/>
  <c r="AQ814" i="1"/>
  <c r="AQ786" i="1"/>
  <c r="AQ785" i="1"/>
  <c r="AQ774" i="1"/>
  <c r="AQ766" i="1"/>
  <c r="AQ671" i="1"/>
  <c r="AQ670" i="1"/>
  <c r="AQ770" i="1"/>
  <c r="AQ769" i="1"/>
  <c r="AQ768" i="1"/>
  <c r="AQ663" i="1"/>
  <c r="AQ659" i="1"/>
  <c r="AQ654" i="1"/>
  <c r="AQ652" i="1"/>
  <c r="AQ651" i="1"/>
  <c r="AQ647" i="1"/>
  <c r="AQ544" i="1"/>
  <c r="AQ667" i="1"/>
  <c r="AQ646" i="1"/>
  <c r="AQ645" i="1"/>
  <c r="AQ643" i="1"/>
  <c r="AQ617" i="1"/>
  <c r="AQ618" i="1"/>
  <c r="AQ606" i="1"/>
  <c r="AQ605" i="1"/>
  <c r="AQ599" i="1"/>
  <c r="AQ595" i="1"/>
  <c r="AQ569" i="1"/>
  <c r="AQ573" i="1"/>
  <c r="AQ571" i="1"/>
  <c r="AQ560" i="1"/>
  <c r="AQ558" i="1"/>
  <c r="AQ552" i="1"/>
  <c r="AQ548" i="1"/>
  <c r="AQ547" i="1"/>
  <c r="AQ545" i="1"/>
  <c r="AQ542" i="1"/>
  <c r="AQ541" i="1"/>
  <c r="AQ538" i="1"/>
  <c r="AQ535" i="1"/>
  <c r="AQ533" i="1"/>
  <c r="AQ529" i="1"/>
  <c r="AQ528" i="1"/>
  <c r="AQ527" i="1"/>
  <c r="AQ526" i="1"/>
  <c r="AQ524" i="1"/>
  <c r="AQ523" i="1"/>
  <c r="AQ522" i="1"/>
  <c r="AQ521" i="1"/>
  <c r="AQ520" i="1"/>
  <c r="AQ506" i="1"/>
  <c r="AQ505" i="1"/>
  <c r="AQ504" i="1"/>
  <c r="AQ503" i="1"/>
  <c r="AQ491" i="1"/>
  <c r="AQ490" i="1"/>
  <c r="AQ489" i="1"/>
  <c r="AQ488" i="1"/>
  <c r="AQ486" i="1"/>
  <c r="AQ483" i="1"/>
  <c r="AQ482" i="1"/>
  <c r="AQ481" i="1"/>
  <c r="AQ480" i="1"/>
  <c r="AQ479" i="1"/>
  <c r="AQ477" i="1"/>
  <c r="AQ476" i="1"/>
  <c r="AQ475" i="1"/>
  <c r="AQ474" i="1"/>
  <c r="AQ473" i="1"/>
  <c r="AQ471" i="1"/>
  <c r="AQ470" i="1"/>
  <c r="AQ469" i="1"/>
  <c r="AQ468" i="1"/>
  <c r="AQ467" i="1"/>
  <c r="AQ464" i="1"/>
  <c r="AQ366" i="1"/>
  <c r="AQ358" i="1"/>
  <c r="AQ356" i="1"/>
  <c r="AQ240" i="1"/>
  <c r="AQ239" i="1"/>
  <c r="AQ238" i="1"/>
  <c r="AQ216" i="1"/>
  <c r="AQ230" i="1"/>
  <c r="AQ173" i="1"/>
  <c r="AQ172" i="1"/>
  <c r="AQ171" i="1"/>
  <c r="BA143" i="1"/>
  <c r="AQ142" i="1"/>
  <c r="AQ141" i="1"/>
  <c r="AQ140" i="1"/>
  <c r="BA223" i="1"/>
  <c r="AQ222" i="1"/>
  <c r="AQ221" i="1"/>
  <c r="AQ220" i="1"/>
  <c r="AQ215" i="1"/>
  <c r="AQ205" i="1"/>
  <c r="AQ204" i="1"/>
  <c r="AQ203" i="1"/>
  <c r="AQ202" i="1"/>
  <c r="AQ209" i="1"/>
  <c r="AQ208" i="1"/>
  <c r="AQ207" i="1"/>
  <c r="AQ206" i="1"/>
  <c r="AQ170" i="1"/>
  <c r="AQ169" i="1"/>
  <c r="AQ224" i="1"/>
  <c r="AQ168" i="1"/>
  <c r="AQ167" i="1"/>
  <c r="AQ154" i="1"/>
  <c r="AQ152" i="1"/>
  <c r="AQ150" i="1"/>
  <c r="AQ149" i="1"/>
  <c r="AQ148" i="1"/>
  <c r="AQ147" i="1"/>
  <c r="AQ146" i="1"/>
  <c r="AQ145" i="1"/>
  <c r="AQ109" i="1"/>
  <c r="AQ106" i="1"/>
  <c r="AQ86" i="1"/>
  <c r="AQ78" i="1"/>
  <c r="AQ77" i="1"/>
  <c r="AQ69" i="1"/>
  <c r="AQ68" i="1"/>
  <c r="BA137" i="1"/>
  <c r="BA136" i="1"/>
  <c r="AQ134" i="1"/>
  <c r="AQ133" i="1"/>
  <c r="AQ129" i="1"/>
  <c r="AQ128" i="1"/>
  <c r="AQ127" i="1"/>
  <c r="AQ126" i="1"/>
  <c r="AQ125" i="1"/>
  <c r="AQ124" i="1"/>
  <c r="AQ123" i="1"/>
  <c r="AQ121" i="1"/>
  <c r="AQ120" i="1"/>
  <c r="AQ119" i="1"/>
  <c r="AQ118" i="1"/>
  <c r="AQ117" i="1"/>
  <c r="AQ116" i="1"/>
  <c r="AQ115" i="1"/>
  <c r="AQ114" i="1"/>
  <c r="AQ113" i="1"/>
  <c r="AQ32" i="1"/>
  <c r="AQ31" i="1"/>
  <c r="AQ30" i="1"/>
  <c r="AQ23" i="1"/>
  <c r="AQ22" i="1"/>
  <c r="AQ21" i="1"/>
  <c r="AQ20" i="1"/>
  <c r="AQ19" i="1"/>
  <c r="AQ15" i="1"/>
  <c r="AQ12" i="1"/>
  <c r="AQ11" i="1"/>
  <c r="AQ10" i="1"/>
  <c r="AQ9" i="1"/>
  <c r="AQ8" i="1"/>
  <c r="AQ7" i="1"/>
  <c r="AP1149" i="1"/>
  <c r="AP1148" i="1"/>
  <c r="AP1147" i="1"/>
  <c r="AP1146" i="1"/>
  <c r="AP1144" i="1"/>
  <c r="AP1145" i="1" s="1"/>
  <c r="AP841" i="1"/>
  <c r="AP843" i="1"/>
  <c r="AP842" i="1"/>
  <c r="AP855" i="1"/>
  <c r="AP864" i="1" s="1"/>
  <c r="AP823" i="1"/>
  <c r="AP821" i="1"/>
  <c r="AP774" i="1"/>
  <c r="AP787" i="1" s="1"/>
  <c r="AP770" i="1"/>
  <c r="AP769" i="1"/>
  <c r="AP659" i="1"/>
  <c r="AP654" i="1"/>
  <c r="AP652" i="1"/>
  <c r="AP651" i="1"/>
  <c r="AP647" i="1"/>
  <c r="AP544" i="1"/>
  <c r="AP667" i="1"/>
  <c r="AP646" i="1"/>
  <c r="AP645" i="1"/>
  <c r="AP643" i="1"/>
  <c r="AP617" i="1"/>
  <c r="AP618" i="1"/>
  <c r="AP606" i="1"/>
  <c r="AP605" i="1"/>
  <c r="AP599" i="1"/>
  <c r="AP595" i="1"/>
  <c r="AP569" i="1"/>
  <c r="AP573" i="1"/>
  <c r="AP571" i="1"/>
  <c r="AP560" i="1"/>
  <c r="AP558" i="1"/>
  <c r="AP552" i="1"/>
  <c r="AP548" i="1"/>
  <c r="AP547" i="1"/>
  <c r="AP545" i="1"/>
  <c r="AP542" i="1"/>
  <c r="AP541" i="1"/>
  <c r="AP366" i="1"/>
  <c r="AP356" i="1"/>
  <c r="AN843" i="1"/>
  <c r="AN1146" i="1"/>
  <c r="AN1149" i="1"/>
  <c r="AN1148" i="1"/>
  <c r="AN1147" i="1"/>
  <c r="AN1144" i="1"/>
  <c r="AN1145" i="1" s="1"/>
  <c r="AN831" i="1"/>
  <c r="AN830" i="1"/>
  <c r="AN828" i="1"/>
  <c r="AN844" i="1"/>
  <c r="AN842" i="1"/>
  <c r="AN841" i="1"/>
  <c r="AN855" i="1"/>
  <c r="AN864" i="1" s="1"/>
  <c r="AN823" i="1"/>
  <c r="AN821" i="1"/>
  <c r="AN786" i="1"/>
  <c r="AN785" i="1"/>
  <c r="AN774" i="1"/>
  <c r="AN766" i="1"/>
  <c r="AN770" i="1"/>
  <c r="AN768" i="1"/>
  <c r="AN663" i="1"/>
  <c r="AN659" i="1"/>
  <c r="AN654" i="1"/>
  <c r="AN652" i="1"/>
  <c r="AN651" i="1"/>
  <c r="AN544" i="1"/>
  <c r="AN667" i="1"/>
  <c r="AN646" i="1"/>
  <c r="AN645" i="1"/>
  <c r="AN643" i="1"/>
  <c r="AN617" i="1"/>
  <c r="AN618" i="1"/>
  <c r="AN606" i="1"/>
  <c r="AN605" i="1"/>
  <c r="AN595" i="1"/>
  <c r="AN569" i="1"/>
  <c r="AN573" i="1"/>
  <c r="AN571" i="1"/>
  <c r="AN560" i="1"/>
  <c r="AN558" i="1"/>
  <c r="AN552" i="1"/>
  <c r="AN548" i="1"/>
  <c r="AN547" i="1"/>
  <c r="AN545" i="1"/>
  <c r="AN542" i="1"/>
  <c r="AN541" i="1"/>
  <c r="AN670" i="1"/>
  <c r="AN671" i="1"/>
  <c r="AN538" i="1"/>
  <c r="AN539" i="1" s="1"/>
  <c r="AN535" i="1"/>
  <c r="AN533" i="1"/>
  <c r="AN529" i="1"/>
  <c r="AN528" i="1"/>
  <c r="AN527" i="1"/>
  <c r="AN526" i="1"/>
  <c r="AN524" i="1"/>
  <c r="AN523" i="1"/>
  <c r="AN522" i="1"/>
  <c r="AN521" i="1"/>
  <c r="AN520" i="1"/>
  <c r="AN506" i="1"/>
  <c r="AN505" i="1"/>
  <c r="AN504" i="1"/>
  <c r="AN503" i="1"/>
  <c r="AN491" i="1"/>
  <c r="AN490" i="1"/>
  <c r="AN489" i="1"/>
  <c r="AN488" i="1"/>
  <c r="AN486" i="1"/>
  <c r="AN483" i="1"/>
  <c r="AN481" i="1"/>
  <c r="AN480" i="1"/>
  <c r="AN479" i="1"/>
  <c r="AN477" i="1"/>
  <c r="AN476" i="1"/>
  <c r="AN475" i="1"/>
  <c r="AN474" i="1"/>
  <c r="AN473" i="1"/>
  <c r="AN471" i="1"/>
  <c r="AN470" i="1"/>
  <c r="AN469" i="1"/>
  <c r="AN468" i="1"/>
  <c r="AN467" i="1"/>
  <c r="AN464" i="1"/>
  <c r="AN358" i="1"/>
  <c r="AN382" i="1" s="1"/>
  <c r="AN239" i="1"/>
  <c r="AN238" i="1"/>
  <c r="AN230" i="1"/>
  <c r="AN173" i="1"/>
  <c r="AN172" i="1"/>
  <c r="AN171" i="1"/>
  <c r="AN143" i="1"/>
  <c r="AN142" i="1"/>
  <c r="AN141" i="1"/>
  <c r="AN140" i="1"/>
  <c r="AN223" i="1"/>
  <c r="AN220" i="1"/>
  <c r="AN215" i="1"/>
  <c r="AN205" i="1"/>
  <c r="AN204" i="1"/>
  <c r="AN203" i="1"/>
  <c r="AN209" i="1"/>
  <c r="AN208" i="1"/>
  <c r="AN207" i="1"/>
  <c r="AN206" i="1"/>
  <c r="AN170" i="1"/>
  <c r="AN168" i="1"/>
  <c r="AN167" i="1"/>
  <c r="AN154" i="1"/>
  <c r="AN152" i="1"/>
  <c r="AN150" i="1"/>
  <c r="AN149" i="1"/>
  <c r="AN148" i="1"/>
  <c r="AN147" i="1"/>
  <c r="AN146" i="1"/>
  <c r="AN145" i="1"/>
  <c r="AN28" i="1"/>
  <c r="AN109" i="1"/>
  <c r="AN106" i="1"/>
  <c r="AN78" i="1"/>
  <c r="AN69" i="1"/>
  <c r="AN68" i="1"/>
  <c r="AN137" i="1"/>
  <c r="AN136" i="1"/>
  <c r="AN134" i="1"/>
  <c r="AN133" i="1"/>
  <c r="AN129" i="1"/>
  <c r="AN128" i="1"/>
  <c r="AN127" i="1"/>
  <c r="AN124" i="1"/>
  <c r="AN123" i="1"/>
  <c r="AN121" i="1"/>
  <c r="AN120" i="1"/>
  <c r="AN119" i="1"/>
  <c r="AN118" i="1"/>
  <c r="AN116" i="1"/>
  <c r="AN115" i="1"/>
  <c r="AN114" i="1"/>
  <c r="AN113" i="1"/>
  <c r="AN111" i="1"/>
  <c r="AN32" i="1"/>
  <c r="AN31" i="1"/>
  <c r="AN24" i="1"/>
  <c r="AY6" i="1" l="1"/>
  <c r="AP382" i="1"/>
  <c r="AP459" i="1" s="1"/>
  <c r="AQ382" i="1"/>
  <c r="AQ67" i="1"/>
  <c r="AN67" i="1"/>
  <c r="AQ355" i="1"/>
  <c r="AN355" i="1"/>
  <c r="AN669" i="1"/>
  <c r="AN1197" i="1" s="1"/>
  <c r="AQ669" i="1"/>
  <c r="AP669" i="1"/>
  <c r="AP1197" i="1" s="1"/>
  <c r="AN459" i="1"/>
  <c r="AN834" i="1"/>
  <c r="AQ834" i="1"/>
  <c r="AP834" i="1"/>
  <c r="AQ537" i="1"/>
  <c r="AN537" i="1"/>
  <c r="AP1190" i="1"/>
  <c r="AQ539" i="1"/>
  <c r="Q1119" i="1"/>
  <c r="BA154" i="1"/>
  <c r="Q1121" i="1"/>
  <c r="BA1147" i="1"/>
  <c r="BA152" i="1"/>
  <c r="Q1125" i="1"/>
  <c r="BA1148" i="1"/>
  <c r="BA216" i="1"/>
  <c r="AQ864" i="1"/>
  <c r="AQ1145" i="1"/>
  <c r="BA1149" i="1"/>
  <c r="BA544" i="1"/>
  <c r="Q890" i="1"/>
  <c r="Q1002" i="1"/>
  <c r="Q892" i="1"/>
  <c r="Q988" i="1"/>
  <c r="Q912" i="1"/>
  <c r="Q980" i="1"/>
  <c r="Q979" i="1"/>
  <c r="Q960" i="1"/>
  <c r="BA785" i="1"/>
  <c r="BA814" i="1"/>
  <c r="BA786" i="1"/>
  <c r="BA816" i="1"/>
  <c r="BA830" i="1"/>
  <c r="BA842" i="1"/>
  <c r="BA769" i="1"/>
  <c r="BA821" i="1"/>
  <c r="BA831" i="1"/>
  <c r="BA843" i="1"/>
  <c r="BA770" i="1"/>
  <c r="BA823" i="1"/>
  <c r="BA844" i="1"/>
  <c r="AY1202" i="1"/>
  <c r="AY1203" i="1" s="1"/>
  <c r="BA9" i="1"/>
  <c r="BA479" i="1"/>
  <c r="BA470" i="1"/>
  <c r="BA475" i="1"/>
  <c r="BA480" i="1"/>
  <c r="BA486" i="1"/>
  <c r="BA491" i="1"/>
  <c r="BA506" i="1"/>
  <c r="BA523" i="1"/>
  <c r="BA528" i="1"/>
  <c r="BA547" i="1"/>
  <c r="BA560" i="1"/>
  <c r="BA595" i="1"/>
  <c r="BA618" i="1"/>
  <c r="BA646" i="1"/>
  <c r="BA651" i="1"/>
  <c r="BA663" i="1"/>
  <c r="AY1187" i="1"/>
  <c r="BA505" i="1"/>
  <c r="BA467" i="1"/>
  <c r="BA471" i="1"/>
  <c r="BA476" i="1"/>
  <c r="BA481" i="1"/>
  <c r="BA503" i="1"/>
  <c r="BA524" i="1"/>
  <c r="BA529" i="1"/>
  <c r="BA548" i="1"/>
  <c r="BA571" i="1"/>
  <c r="BA599" i="1"/>
  <c r="BA667" i="1"/>
  <c r="BA652" i="1"/>
  <c r="BA671" i="1"/>
  <c r="BA490" i="1"/>
  <c r="BA468" i="1"/>
  <c r="BA473" i="1"/>
  <c r="BA477" i="1"/>
  <c r="BA482" i="1"/>
  <c r="BA489" i="1"/>
  <c r="BA504" i="1"/>
  <c r="BA521" i="1"/>
  <c r="BA533" i="1"/>
  <c r="BA542" i="1"/>
  <c r="BA552" i="1"/>
  <c r="BA605" i="1"/>
  <c r="BA643" i="1"/>
  <c r="BA654" i="1"/>
  <c r="BA469" i="1"/>
  <c r="BA474" i="1"/>
  <c r="BA483" i="1"/>
  <c r="BA522" i="1"/>
  <c r="BA527" i="1"/>
  <c r="BA535" i="1"/>
  <c r="BA545" i="1"/>
  <c r="BA558" i="1"/>
  <c r="BA569" i="1"/>
  <c r="BA606" i="1"/>
  <c r="BA647" i="1"/>
  <c r="BA659" i="1"/>
  <c r="BA358" i="1"/>
  <c r="BA366" i="1"/>
  <c r="BA1190" i="1"/>
  <c r="BA116" i="1"/>
  <c r="BA120" i="1"/>
  <c r="BA125" i="1"/>
  <c r="BA129" i="1"/>
  <c r="BA148" i="1"/>
  <c r="BA169" i="1"/>
  <c r="BA208" i="1"/>
  <c r="BA204" i="1"/>
  <c r="BA221" i="1"/>
  <c r="BA141" i="1"/>
  <c r="BA172" i="1"/>
  <c r="BA113" i="1"/>
  <c r="BA117" i="1"/>
  <c r="BA121" i="1"/>
  <c r="BA126" i="1"/>
  <c r="BA133" i="1"/>
  <c r="BA149" i="1"/>
  <c r="BA167" i="1"/>
  <c r="BA170" i="1"/>
  <c r="BA209" i="1"/>
  <c r="BA205" i="1"/>
  <c r="BA222" i="1"/>
  <c r="BA142" i="1"/>
  <c r="BA173" i="1"/>
  <c r="BA239" i="1"/>
  <c r="BA114" i="1"/>
  <c r="BA118" i="1"/>
  <c r="BA123" i="1"/>
  <c r="BA127" i="1"/>
  <c r="BA146" i="1"/>
  <c r="BA150" i="1"/>
  <c r="BA168" i="1"/>
  <c r="BA240" i="1"/>
  <c r="BA115" i="1"/>
  <c r="BA119" i="1"/>
  <c r="BA124" i="1"/>
  <c r="BA128" i="1"/>
  <c r="BA109" i="1"/>
  <c r="BA147" i="1"/>
  <c r="BA224" i="1"/>
  <c r="BA207" i="1"/>
  <c r="BA203" i="1"/>
  <c r="BA220" i="1"/>
  <c r="BA171" i="1"/>
  <c r="BA78" i="1"/>
  <c r="BA86" i="1"/>
  <c r="BA69" i="1"/>
  <c r="BA77" i="1"/>
  <c r="BA19" i="1"/>
  <c r="BA23" i="1"/>
  <c r="BA11" i="1"/>
  <c r="BA20" i="1"/>
  <c r="BA12" i="1"/>
  <c r="BA21" i="1"/>
  <c r="BA15" i="1"/>
  <c r="BA22" i="1"/>
  <c r="BA32" i="1"/>
  <c r="AN231" i="1"/>
  <c r="AZ1179" i="1"/>
  <c r="AZ1187" i="1" s="1"/>
  <c r="AQ854" i="1"/>
  <c r="AN854" i="1"/>
  <c r="AP854" i="1"/>
  <c r="AZ1143" i="1"/>
  <c r="AZ1202" i="1" s="1"/>
  <c r="AZ1201" i="1"/>
  <c r="AZ237" i="1"/>
  <c r="AN487" i="1"/>
  <c r="AN228" i="1"/>
  <c r="AN1186" i="1" s="1"/>
  <c r="AP1150" i="1"/>
  <c r="AP1206" i="1" s="1"/>
  <c r="AN771" i="1"/>
  <c r="AN29" i="1"/>
  <c r="AN1177" i="1" s="1"/>
  <c r="AQ1150" i="1"/>
  <c r="AN1150" i="1"/>
  <c r="AN110" i="1"/>
  <c r="AN144" i="1"/>
  <c r="AN767" i="1"/>
  <c r="AN1198" i="1" s="1"/>
  <c r="AN507" i="1"/>
  <c r="AN1193" i="1" s="1"/>
  <c r="AN525" i="1"/>
  <c r="AN197" i="1"/>
  <c r="AN787" i="1"/>
  <c r="AN138" i="1"/>
  <c r="AN1183" i="1" s="1"/>
  <c r="AN105" i="1"/>
  <c r="AN1180" i="1" s="1"/>
  <c r="AN214" i="1"/>
  <c r="AN1184" i="1" s="1"/>
  <c r="AN644" i="1"/>
  <c r="AN1196" i="1" s="1"/>
  <c r="AP771" i="1"/>
  <c r="AP1199" i="1" s="1"/>
  <c r="AQ105" i="1"/>
  <c r="AQ110" i="1"/>
  <c r="AQ197" i="1"/>
  <c r="AQ144" i="1"/>
  <c r="AQ644" i="1"/>
  <c r="AQ771" i="1"/>
  <c r="AQ787" i="1"/>
  <c r="AP644" i="1"/>
  <c r="AP1196" i="1" s="1"/>
  <c r="AQ28" i="1"/>
  <c r="AQ214" i="1"/>
  <c r="AQ228" i="1"/>
  <c r="BA230" i="1"/>
  <c r="AQ231" i="1"/>
  <c r="AQ507" i="1"/>
  <c r="AQ525" i="1"/>
  <c r="AQ767" i="1"/>
  <c r="BA7" i="1"/>
  <c r="AQ24" i="1"/>
  <c r="BA464" i="1"/>
  <c r="AQ487" i="1"/>
  <c r="AQ138" i="1"/>
  <c r="BA202" i="1"/>
  <c r="BA670" i="1"/>
  <c r="BA645" i="1"/>
  <c r="BA768" i="1"/>
  <c r="BA766" i="1"/>
  <c r="BA841" i="1"/>
  <c r="BA617" i="1"/>
  <c r="BA573" i="1"/>
  <c r="BA828" i="1"/>
  <c r="BA134" i="1"/>
  <c r="BA30" i="1"/>
  <c r="BA855" i="1"/>
  <c r="BA10" i="1"/>
  <c r="BA1146" i="1"/>
  <c r="BA538" i="1"/>
  <c r="BA1144" i="1"/>
  <c r="BA31" i="1"/>
  <c r="BA8" i="1"/>
  <c r="BA68" i="1"/>
  <c r="BA106" i="1"/>
  <c r="BA145" i="1"/>
  <c r="BA206" i="1"/>
  <c r="BA215" i="1"/>
  <c r="BA140" i="1"/>
  <c r="BA238" i="1"/>
  <c r="BA887" i="1"/>
  <c r="BA356" i="1"/>
  <c r="BA488" i="1"/>
  <c r="BA520" i="1"/>
  <c r="BA526" i="1"/>
  <c r="BA541" i="1"/>
  <c r="BA774" i="1"/>
  <c r="AL1149" i="1"/>
  <c r="AR1149" i="1" s="1"/>
  <c r="BB1149" i="1" s="1"/>
  <c r="AL1148" i="1"/>
  <c r="AR1148" i="1" s="1"/>
  <c r="BB1148" i="1" s="1"/>
  <c r="AL1147" i="1"/>
  <c r="AR1147" i="1" s="1"/>
  <c r="BB1147" i="1" s="1"/>
  <c r="AL1146" i="1"/>
  <c r="AL1144" i="1"/>
  <c r="BB1125" i="1"/>
  <c r="R1125" i="1" s="1"/>
  <c r="BB1121" i="1"/>
  <c r="R1121" i="1" s="1"/>
  <c r="BB1119" i="1"/>
  <c r="R1119" i="1" s="1"/>
  <c r="BB960" i="1"/>
  <c r="R960" i="1" s="1"/>
  <c r="BB980" i="1"/>
  <c r="R980" i="1" s="1"/>
  <c r="BB988" i="1"/>
  <c r="R988" i="1" s="1"/>
  <c r="BB1002" i="1"/>
  <c r="R1002" i="1" s="1"/>
  <c r="BB979" i="1"/>
  <c r="R979" i="1" s="1"/>
  <c r="BB912" i="1"/>
  <c r="R912" i="1" s="1"/>
  <c r="BB892" i="1"/>
  <c r="R892" i="1" s="1"/>
  <c r="BB890" i="1"/>
  <c r="R890" i="1" s="1"/>
  <c r="AL855" i="1"/>
  <c r="AL864" i="1" s="1"/>
  <c r="AL844" i="1"/>
  <c r="AR844" i="1" s="1"/>
  <c r="BB844" i="1" s="1"/>
  <c r="AL843" i="1"/>
  <c r="AR843" i="1" s="1"/>
  <c r="BB843" i="1" s="1"/>
  <c r="AL842" i="1"/>
  <c r="AR842" i="1" s="1"/>
  <c r="BB842" i="1" s="1"/>
  <c r="AL841" i="1"/>
  <c r="AR823" i="1"/>
  <c r="BB823" i="1" s="1"/>
  <c r="AL821" i="1"/>
  <c r="AR816" i="1"/>
  <c r="BB816" i="1" s="1"/>
  <c r="AR814" i="1"/>
  <c r="AR828" i="1"/>
  <c r="AR831" i="1"/>
  <c r="BB831" i="1" s="1"/>
  <c r="AL830" i="1"/>
  <c r="AR670" i="1"/>
  <c r="AL671" i="1"/>
  <c r="AR786" i="1"/>
  <c r="BB786" i="1" s="1"/>
  <c r="AL785" i="1"/>
  <c r="AR785" i="1" s="1"/>
  <c r="BB785" i="1" s="1"/>
  <c r="AL774" i="1"/>
  <c r="AL766" i="1"/>
  <c r="AL770" i="1"/>
  <c r="AL771" i="1" s="1"/>
  <c r="AR769" i="1"/>
  <c r="AR768" i="1"/>
  <c r="AL663" i="1"/>
  <c r="AR663" i="1" s="1"/>
  <c r="BB663" i="1" s="1"/>
  <c r="AL659" i="1"/>
  <c r="AR659" i="1" s="1"/>
  <c r="BB659" i="1" s="1"/>
  <c r="AL654" i="1"/>
  <c r="AR654" i="1" s="1"/>
  <c r="BB654" i="1" s="1"/>
  <c r="AL652" i="1"/>
  <c r="AR652" i="1" s="1"/>
  <c r="BB652" i="1" s="1"/>
  <c r="AL651" i="1"/>
  <c r="AR651" i="1" s="1"/>
  <c r="BB651" i="1" s="1"/>
  <c r="AL647" i="1"/>
  <c r="AR647" i="1" s="1"/>
  <c r="BB647" i="1" s="1"/>
  <c r="AL544" i="1"/>
  <c r="AR544" i="1" s="1"/>
  <c r="BB544" i="1" s="1"/>
  <c r="AL667" i="1"/>
  <c r="AL646" i="1"/>
  <c r="AR646" i="1" s="1"/>
  <c r="BB646" i="1" s="1"/>
  <c r="AL645" i="1"/>
  <c r="AL643" i="1"/>
  <c r="AR643" i="1" s="1"/>
  <c r="BB643" i="1" s="1"/>
  <c r="AL617" i="1"/>
  <c r="AL618" i="1"/>
  <c r="AR618" i="1" s="1"/>
  <c r="BB618" i="1" s="1"/>
  <c r="AR606" i="1"/>
  <c r="BB606" i="1" s="1"/>
  <c r="AL605" i="1"/>
  <c r="AR605" i="1" s="1"/>
  <c r="BB605" i="1" s="1"/>
  <c r="AL599" i="1"/>
  <c r="AR599" i="1" s="1"/>
  <c r="BB599" i="1" s="1"/>
  <c r="AL595" i="1"/>
  <c r="AR595" i="1" s="1"/>
  <c r="BB595" i="1" s="1"/>
  <c r="AL569" i="1"/>
  <c r="AR569" i="1" s="1"/>
  <c r="BB569" i="1" s="1"/>
  <c r="AL573" i="1"/>
  <c r="AL571" i="1"/>
  <c r="AR571" i="1" s="1"/>
  <c r="BB571" i="1" s="1"/>
  <c r="AL560" i="1"/>
  <c r="AR560" i="1" s="1"/>
  <c r="BB560" i="1" s="1"/>
  <c r="AL558" i="1"/>
  <c r="AR558" i="1" s="1"/>
  <c r="BB558" i="1" s="1"/>
  <c r="AL552" i="1"/>
  <c r="AR552" i="1" s="1"/>
  <c r="BB552" i="1" s="1"/>
  <c r="AL548" i="1"/>
  <c r="AR548" i="1" s="1"/>
  <c r="BB548" i="1" s="1"/>
  <c r="AL547" i="1"/>
  <c r="AR547" i="1" s="1"/>
  <c r="BB547" i="1" s="1"/>
  <c r="AL545" i="1"/>
  <c r="AR545" i="1" s="1"/>
  <c r="BB545" i="1" s="1"/>
  <c r="AL542" i="1"/>
  <c r="AR542" i="1" s="1"/>
  <c r="BB542" i="1" s="1"/>
  <c r="AL541" i="1"/>
  <c r="AL538" i="1"/>
  <c r="AL535" i="1"/>
  <c r="AR535" i="1" s="1"/>
  <c r="BB535" i="1" s="1"/>
  <c r="AL533" i="1"/>
  <c r="AR533" i="1" s="1"/>
  <c r="BB533" i="1" s="1"/>
  <c r="AL529" i="1"/>
  <c r="AR529" i="1" s="1"/>
  <c r="BB529" i="1" s="1"/>
  <c r="AL528" i="1"/>
  <c r="AR528" i="1" s="1"/>
  <c r="BB528" i="1" s="1"/>
  <c r="AL527" i="1"/>
  <c r="AR527" i="1" s="1"/>
  <c r="BB527" i="1" s="1"/>
  <c r="AL526" i="1"/>
  <c r="AL524" i="1"/>
  <c r="AR524" i="1" s="1"/>
  <c r="BB524" i="1" s="1"/>
  <c r="AL523" i="1"/>
  <c r="AR523" i="1" s="1"/>
  <c r="BB523" i="1" s="1"/>
  <c r="AL522" i="1"/>
  <c r="AR522" i="1" s="1"/>
  <c r="BB522" i="1" s="1"/>
  <c r="AL521" i="1"/>
  <c r="AR521" i="1" s="1"/>
  <c r="BB521" i="1" s="1"/>
  <c r="AL520" i="1"/>
  <c r="AL506" i="1"/>
  <c r="AR506" i="1" s="1"/>
  <c r="BB506" i="1" s="1"/>
  <c r="AL505" i="1"/>
  <c r="AR505" i="1" s="1"/>
  <c r="BB505" i="1" s="1"/>
  <c r="AL504" i="1"/>
  <c r="AR504" i="1" s="1"/>
  <c r="BB504" i="1" s="1"/>
  <c r="AL503" i="1"/>
  <c r="AR503" i="1" s="1"/>
  <c r="BB503" i="1" s="1"/>
  <c r="AL491" i="1"/>
  <c r="AR491" i="1" s="1"/>
  <c r="BB491" i="1" s="1"/>
  <c r="AL490" i="1"/>
  <c r="AR490" i="1" s="1"/>
  <c r="BB490" i="1" s="1"/>
  <c r="AL489" i="1"/>
  <c r="AR489" i="1" s="1"/>
  <c r="BB489" i="1" s="1"/>
  <c r="AL488" i="1"/>
  <c r="AL486" i="1"/>
  <c r="AR486" i="1" s="1"/>
  <c r="BB486" i="1" s="1"/>
  <c r="AL483" i="1"/>
  <c r="AR483" i="1" s="1"/>
  <c r="BB483" i="1" s="1"/>
  <c r="AL482" i="1"/>
  <c r="AR482" i="1" s="1"/>
  <c r="BB482" i="1" s="1"/>
  <c r="AL481" i="1"/>
  <c r="AR481" i="1" s="1"/>
  <c r="BB481" i="1" s="1"/>
  <c r="AL480" i="1"/>
  <c r="AR480" i="1" s="1"/>
  <c r="BB480" i="1" s="1"/>
  <c r="AL479" i="1"/>
  <c r="AR479" i="1" s="1"/>
  <c r="BB479" i="1" s="1"/>
  <c r="AL477" i="1"/>
  <c r="AR477" i="1" s="1"/>
  <c r="BB477" i="1" s="1"/>
  <c r="AL476" i="1"/>
  <c r="AR476" i="1" s="1"/>
  <c r="BB476" i="1" s="1"/>
  <c r="AL475" i="1"/>
  <c r="AR475" i="1" s="1"/>
  <c r="BB475" i="1" s="1"/>
  <c r="AL474" i="1"/>
  <c r="AR474" i="1" s="1"/>
  <c r="BB474" i="1" s="1"/>
  <c r="AL473" i="1"/>
  <c r="AR473" i="1" s="1"/>
  <c r="BB473" i="1" s="1"/>
  <c r="AL471" i="1"/>
  <c r="AR471" i="1" s="1"/>
  <c r="BB471" i="1" s="1"/>
  <c r="AL470" i="1"/>
  <c r="AR470" i="1" s="1"/>
  <c r="BB470" i="1" s="1"/>
  <c r="AL469" i="1"/>
  <c r="AR469" i="1" s="1"/>
  <c r="BB469" i="1" s="1"/>
  <c r="AL468" i="1"/>
  <c r="AR468" i="1" s="1"/>
  <c r="BB468" i="1" s="1"/>
  <c r="AL467" i="1"/>
  <c r="AR467" i="1" s="1"/>
  <c r="BB467" i="1" s="1"/>
  <c r="AL464" i="1"/>
  <c r="AL366" i="1"/>
  <c r="AR366" i="1" s="1"/>
  <c r="BB366" i="1" s="1"/>
  <c r="AL358" i="1"/>
  <c r="AL356" i="1"/>
  <c r="AR356" i="1" s="1"/>
  <c r="AL238" i="1"/>
  <c r="AL240" i="1"/>
  <c r="AR240" i="1" s="1"/>
  <c r="BB240" i="1" s="1"/>
  <c r="AL239" i="1"/>
  <c r="AL216" i="1"/>
  <c r="AR216" i="1" s="1"/>
  <c r="BB216" i="1" s="1"/>
  <c r="AL230" i="1"/>
  <c r="AL173" i="1"/>
  <c r="AR173" i="1" s="1"/>
  <c r="BB173" i="1" s="1"/>
  <c r="AL172" i="1"/>
  <c r="AR172" i="1" s="1"/>
  <c r="BB172" i="1" s="1"/>
  <c r="AL171" i="1"/>
  <c r="AR171" i="1" s="1"/>
  <c r="BB171" i="1" s="1"/>
  <c r="AL143" i="1"/>
  <c r="AR143" i="1" s="1"/>
  <c r="BB143" i="1" s="1"/>
  <c r="AL142" i="1"/>
  <c r="AR142" i="1" s="1"/>
  <c r="BB142" i="1" s="1"/>
  <c r="AL141" i="1"/>
  <c r="AR141" i="1" s="1"/>
  <c r="BB141" i="1" s="1"/>
  <c r="AL140" i="1"/>
  <c r="AL223" i="1"/>
  <c r="AL222" i="1"/>
  <c r="AR222" i="1" s="1"/>
  <c r="BB222" i="1" s="1"/>
  <c r="AL221" i="1"/>
  <c r="AR221" i="1" s="1"/>
  <c r="BB221" i="1" s="1"/>
  <c r="AL220" i="1"/>
  <c r="AR220" i="1" s="1"/>
  <c r="BB220" i="1" s="1"/>
  <c r="AL215" i="1"/>
  <c r="AL205" i="1"/>
  <c r="AR205" i="1" s="1"/>
  <c r="BB205" i="1" s="1"/>
  <c r="AL204" i="1"/>
  <c r="AR204" i="1" s="1"/>
  <c r="BB204" i="1" s="1"/>
  <c r="AL203" i="1"/>
  <c r="AR203" i="1" s="1"/>
  <c r="BB203" i="1" s="1"/>
  <c r="AL202" i="1"/>
  <c r="AL209" i="1"/>
  <c r="AR209" i="1" s="1"/>
  <c r="BB209" i="1" s="1"/>
  <c r="AL208" i="1"/>
  <c r="AR208" i="1" s="1"/>
  <c r="BB208" i="1" s="1"/>
  <c r="AL207" i="1"/>
  <c r="AR207" i="1" s="1"/>
  <c r="BB207" i="1" s="1"/>
  <c r="AL206" i="1"/>
  <c r="AL170" i="1"/>
  <c r="AR170" i="1" s="1"/>
  <c r="BB170" i="1" s="1"/>
  <c r="AR169" i="1"/>
  <c r="BB169" i="1" s="1"/>
  <c r="AL224" i="1"/>
  <c r="AR224" i="1" s="1"/>
  <c r="BB224" i="1" s="1"/>
  <c r="AR168" i="1"/>
  <c r="BB168" i="1" s="1"/>
  <c r="AL167" i="1"/>
  <c r="AR167" i="1" s="1"/>
  <c r="BB167" i="1" s="1"/>
  <c r="AL154" i="1"/>
  <c r="AR154" i="1" s="1"/>
  <c r="BB154" i="1" s="1"/>
  <c r="AL152" i="1"/>
  <c r="AR152" i="1" s="1"/>
  <c r="BB152" i="1" s="1"/>
  <c r="AL150" i="1"/>
  <c r="AR150" i="1" s="1"/>
  <c r="BB150" i="1" s="1"/>
  <c r="AL149" i="1"/>
  <c r="AR149" i="1" s="1"/>
  <c r="BB149" i="1" s="1"/>
  <c r="AL148" i="1"/>
  <c r="AR148" i="1" s="1"/>
  <c r="BB148" i="1" s="1"/>
  <c r="AR147" i="1"/>
  <c r="BB147" i="1" s="1"/>
  <c r="AL146" i="1"/>
  <c r="AR146" i="1" s="1"/>
  <c r="BB146" i="1" s="1"/>
  <c r="AL145" i="1"/>
  <c r="AR109" i="1"/>
  <c r="BB109" i="1" s="1"/>
  <c r="AL106" i="1"/>
  <c r="BB86" i="1"/>
  <c r="AL78" i="1"/>
  <c r="AR78" i="1" s="1"/>
  <c r="BB78" i="1" s="1"/>
  <c r="AR77" i="1"/>
  <c r="BB77" i="1" s="1"/>
  <c r="AL69" i="1"/>
  <c r="AR69" i="1" s="1"/>
  <c r="BB69" i="1" s="1"/>
  <c r="AL68" i="1"/>
  <c r="AL137" i="1"/>
  <c r="AR137" i="1" s="1"/>
  <c r="BB137" i="1" s="1"/>
  <c r="AL136" i="1"/>
  <c r="AR136" i="1" s="1"/>
  <c r="BB136" i="1" s="1"/>
  <c r="AL134" i="1"/>
  <c r="AL133" i="1"/>
  <c r="AR133" i="1" s="1"/>
  <c r="BB133" i="1" s="1"/>
  <c r="AL129" i="1"/>
  <c r="AR129" i="1" s="1"/>
  <c r="BB129" i="1" s="1"/>
  <c r="AL128" i="1"/>
  <c r="AL127" i="1"/>
  <c r="AR127" i="1" s="1"/>
  <c r="BB127" i="1" s="1"/>
  <c r="AR126" i="1"/>
  <c r="BB126" i="1" s="1"/>
  <c r="AR125" i="1"/>
  <c r="BB125" i="1" s="1"/>
  <c r="AL124" i="1"/>
  <c r="AR124" i="1" s="1"/>
  <c r="BB124" i="1" s="1"/>
  <c r="AL123" i="1"/>
  <c r="AR123" i="1" s="1"/>
  <c r="BB123" i="1" s="1"/>
  <c r="AL121" i="1"/>
  <c r="AR121" i="1" s="1"/>
  <c r="BB121" i="1" s="1"/>
  <c r="AL120" i="1"/>
  <c r="AR120" i="1" s="1"/>
  <c r="BB120" i="1" s="1"/>
  <c r="AL119" i="1"/>
  <c r="AL118" i="1"/>
  <c r="AL117" i="1"/>
  <c r="AR117" i="1" s="1"/>
  <c r="BB117" i="1" s="1"/>
  <c r="AL116" i="1"/>
  <c r="AR116" i="1" s="1"/>
  <c r="BB116" i="1" s="1"/>
  <c r="AL115" i="1"/>
  <c r="AR115" i="1" s="1"/>
  <c r="BB115" i="1" s="1"/>
  <c r="AL114" i="1"/>
  <c r="AR114" i="1" s="1"/>
  <c r="BB114" i="1" s="1"/>
  <c r="AR113" i="1"/>
  <c r="BB113" i="1" s="1"/>
  <c r="AL111" i="1"/>
  <c r="AL32" i="1"/>
  <c r="AR32" i="1" s="1"/>
  <c r="BB32" i="1" s="1"/>
  <c r="AL31" i="1"/>
  <c r="AL30" i="1"/>
  <c r="AL23" i="1"/>
  <c r="AR23" i="1" s="1"/>
  <c r="BB23" i="1" s="1"/>
  <c r="AL22" i="1"/>
  <c r="AL21" i="1"/>
  <c r="AR20" i="1"/>
  <c r="BB20" i="1" s="1"/>
  <c r="AL19" i="1"/>
  <c r="AL15" i="1"/>
  <c r="AR11" i="1"/>
  <c r="BB11" i="1" s="1"/>
  <c r="AR10" i="1"/>
  <c r="BB10" i="1" s="1"/>
  <c r="AR9" i="1"/>
  <c r="BB9" i="1" s="1"/>
  <c r="AL8" i="1"/>
  <c r="AN1206" i="1" l="1"/>
  <c r="BA382" i="1"/>
  <c r="AL382" i="1"/>
  <c r="AL459" i="1" s="1"/>
  <c r="AL67" i="1"/>
  <c r="BA67" i="1"/>
  <c r="AL355" i="1"/>
  <c r="BA355" i="1"/>
  <c r="BA669" i="1"/>
  <c r="AL669" i="1"/>
  <c r="AL1197" i="1" s="1"/>
  <c r="AR821" i="1"/>
  <c r="BB821" i="1" s="1"/>
  <c r="AL834" i="1"/>
  <c r="BA834" i="1"/>
  <c r="BB814" i="1"/>
  <c r="BA537" i="1"/>
  <c r="AL537" i="1"/>
  <c r="BA28" i="1"/>
  <c r="AQ459" i="1"/>
  <c r="AL1190" i="1"/>
  <c r="AR667" i="1"/>
  <c r="BA1150" i="1"/>
  <c r="BA539" i="1"/>
  <c r="BA864" i="1"/>
  <c r="BA1145" i="1"/>
  <c r="Q887" i="1"/>
  <c r="Q1126" i="1" s="1"/>
  <c r="BA771" i="1"/>
  <c r="BA787" i="1"/>
  <c r="BA854" i="1"/>
  <c r="AQ1193" i="1"/>
  <c r="AQ1197" i="1"/>
  <c r="BA525" i="1"/>
  <c r="AQ1196" i="1"/>
  <c r="BA507" i="1"/>
  <c r="AQ1198" i="1"/>
  <c r="BA487" i="1"/>
  <c r="AQ1183" i="1"/>
  <c r="BA197" i="1"/>
  <c r="BA144" i="1"/>
  <c r="BA110" i="1"/>
  <c r="BA138" i="1"/>
  <c r="AQ1186" i="1"/>
  <c r="BA228" i="1"/>
  <c r="AQ1184" i="1"/>
  <c r="AQ1180" i="1"/>
  <c r="BA105" i="1"/>
  <c r="AT1174" i="1"/>
  <c r="AL231" i="1"/>
  <c r="BA231" i="1"/>
  <c r="AX1174" i="1"/>
  <c r="AQ1178" i="1"/>
  <c r="AN1192" i="1"/>
  <c r="AN1195" i="1" s="1"/>
  <c r="AN515" i="1"/>
  <c r="AQ515" i="1"/>
  <c r="AQ1206" i="1"/>
  <c r="AN1178" i="1"/>
  <c r="AN1179" i="1" s="1"/>
  <c r="AL854" i="1"/>
  <c r="AZ1203" i="1"/>
  <c r="AQ1199" i="1"/>
  <c r="AN1199" i="1"/>
  <c r="AN1200" i="1" s="1"/>
  <c r="AQ540" i="1"/>
  <c r="AP1200" i="1"/>
  <c r="AQ1181" i="1"/>
  <c r="AP1188" i="1"/>
  <c r="AP1191" i="1" s="1"/>
  <c r="AQ1192" i="1"/>
  <c r="AQ1188" i="1"/>
  <c r="AQ1191" i="1" s="1"/>
  <c r="AN1188" i="1"/>
  <c r="AN1191" i="1" s="1"/>
  <c r="AN1185" i="1"/>
  <c r="AN1181" i="1"/>
  <c r="AN1182" i="1" s="1"/>
  <c r="AN540" i="1"/>
  <c r="AN1204" i="1" s="1"/>
  <c r="AR238" i="1"/>
  <c r="AQ29" i="1"/>
  <c r="AN886" i="1"/>
  <c r="AN229" i="1"/>
  <c r="AL767" i="1"/>
  <c r="AL1198" i="1" s="1"/>
  <c r="AL28" i="1"/>
  <c r="AR538" i="1"/>
  <c r="AR539" i="1" s="1"/>
  <c r="AL539" i="1"/>
  <c r="AR1146" i="1"/>
  <c r="AL1150" i="1"/>
  <c r="AR106" i="1"/>
  <c r="BB106" i="1" s="1"/>
  <c r="BB110" i="1" s="1"/>
  <c r="AL110" i="1"/>
  <c r="AL144" i="1"/>
  <c r="AR1144" i="1"/>
  <c r="AR1145" i="1" s="1"/>
  <c r="AL1145" i="1"/>
  <c r="AQ886" i="1"/>
  <c r="AL214" i="1"/>
  <c r="AL1184" i="1" s="1"/>
  <c r="AL197" i="1"/>
  <c r="AL787" i="1"/>
  <c r="AL24" i="1"/>
  <c r="AL228" i="1"/>
  <c r="AL1186" i="1" s="1"/>
  <c r="AR68" i="1"/>
  <c r="AR105" i="1" s="1"/>
  <c r="AR1180" i="1" s="1"/>
  <c r="AL105" i="1"/>
  <c r="AL1180" i="1" s="1"/>
  <c r="AR464" i="1"/>
  <c r="BB464" i="1" s="1"/>
  <c r="BB487" i="1" s="1"/>
  <c r="AL487" i="1"/>
  <c r="AR526" i="1"/>
  <c r="AR537" i="1" s="1"/>
  <c r="AL644" i="1"/>
  <c r="AL1196" i="1" s="1"/>
  <c r="AP772" i="1"/>
  <c r="AP797" i="1" s="1"/>
  <c r="AN772" i="1"/>
  <c r="AN797" i="1" s="1"/>
  <c r="AN139" i="1"/>
  <c r="AR111" i="1"/>
  <c r="BB111" i="1" s="1"/>
  <c r="AL138" i="1"/>
  <c r="AL1183" i="1" s="1"/>
  <c r="AR206" i="1"/>
  <c r="BB206" i="1" s="1"/>
  <c r="AR239" i="1"/>
  <c r="BB239" i="1" s="1"/>
  <c r="AR488" i="1"/>
  <c r="BB488" i="1" s="1"/>
  <c r="BB507" i="1" s="1"/>
  <c r="BB1193" i="1" s="1"/>
  <c r="AL507" i="1"/>
  <c r="AL1193" i="1" s="1"/>
  <c r="AR520" i="1"/>
  <c r="AR525" i="1" s="1"/>
  <c r="AL525" i="1"/>
  <c r="AP886" i="1"/>
  <c r="AQ139" i="1"/>
  <c r="BA644" i="1"/>
  <c r="AQ772" i="1"/>
  <c r="AQ797" i="1" s="1"/>
  <c r="BA1126" i="1"/>
  <c r="BA767" i="1"/>
  <c r="AQ229" i="1"/>
  <c r="BA214" i="1"/>
  <c r="BA24" i="1"/>
  <c r="AR202" i="1"/>
  <c r="AR215" i="1"/>
  <c r="BB215" i="1" s="1"/>
  <c r="AR230" i="1"/>
  <c r="AR671" i="1"/>
  <c r="BB671" i="1" s="1"/>
  <c r="AR541" i="1"/>
  <c r="AR645" i="1"/>
  <c r="AR770" i="1"/>
  <c r="AR771" i="1" s="1"/>
  <c r="AR774" i="1"/>
  <c r="AR787" i="1" s="1"/>
  <c r="BB670" i="1"/>
  <c r="AR841" i="1"/>
  <c r="AR854" i="1" s="1"/>
  <c r="AR766" i="1"/>
  <c r="AR617" i="1"/>
  <c r="AR573" i="1"/>
  <c r="AR830" i="1"/>
  <c r="BB830" i="1" s="1"/>
  <c r="BB828" i="1"/>
  <c r="AR134" i="1"/>
  <c r="AR19" i="1"/>
  <c r="BB19" i="1" s="1"/>
  <c r="AR223" i="1"/>
  <c r="BB223" i="1" s="1"/>
  <c r="AR855" i="1"/>
  <c r="AR864" i="1" s="1"/>
  <c r="BB356" i="1"/>
  <c r="AR358" i="1"/>
  <c r="BB358" i="1" s="1"/>
  <c r="AR21" i="1"/>
  <c r="BB21" i="1" s="1"/>
  <c r="AR7" i="1"/>
  <c r="AR145" i="1"/>
  <c r="AR197" i="1" s="1"/>
  <c r="AR30" i="1"/>
  <c r="AR140" i="1"/>
  <c r="AR144" i="1" s="1"/>
  <c r="AG1149" i="1"/>
  <c r="AG1148" i="1"/>
  <c r="AG1147" i="1"/>
  <c r="AG1146" i="1"/>
  <c r="AG1144" i="1"/>
  <c r="AG844" i="1"/>
  <c r="AG843" i="1"/>
  <c r="AG842" i="1"/>
  <c r="AG841" i="1"/>
  <c r="AG855" i="1"/>
  <c r="AG831" i="1"/>
  <c r="AG830" i="1"/>
  <c r="AG828" i="1"/>
  <c r="AG823" i="1"/>
  <c r="AG816" i="1"/>
  <c r="AG814" i="1"/>
  <c r="AG786" i="1"/>
  <c r="AG785" i="1"/>
  <c r="AG774" i="1"/>
  <c r="AG766" i="1"/>
  <c r="AG671" i="1"/>
  <c r="AG670" i="1"/>
  <c r="AG770" i="1"/>
  <c r="AG769" i="1"/>
  <c r="AG768" i="1"/>
  <c r="AG659" i="1"/>
  <c r="AG654" i="1"/>
  <c r="AG652" i="1"/>
  <c r="AG651" i="1"/>
  <c r="AG647" i="1"/>
  <c r="AG544" i="1"/>
  <c r="AG667" i="1"/>
  <c r="AG646" i="1"/>
  <c r="AG645" i="1"/>
  <c r="AG643" i="1"/>
  <c r="AG617" i="1"/>
  <c r="AG618" i="1"/>
  <c r="AG606" i="1"/>
  <c r="AG605" i="1"/>
  <c r="AG599" i="1"/>
  <c r="AG595" i="1"/>
  <c r="AG569" i="1"/>
  <c r="AG573" i="1"/>
  <c r="AG571" i="1"/>
  <c r="AG560" i="1"/>
  <c r="AG558" i="1"/>
  <c r="AG552" i="1"/>
  <c r="AG548" i="1"/>
  <c r="AG547" i="1"/>
  <c r="AG545" i="1"/>
  <c r="AG542" i="1"/>
  <c r="AG541" i="1"/>
  <c r="AG538" i="1"/>
  <c r="AG535" i="1"/>
  <c r="AG533" i="1"/>
  <c r="AG529" i="1"/>
  <c r="AG528" i="1"/>
  <c r="AG527" i="1"/>
  <c r="AG526" i="1"/>
  <c r="AG524" i="1"/>
  <c r="AG523" i="1"/>
  <c r="AG522" i="1"/>
  <c r="AG521" i="1"/>
  <c r="AG520" i="1"/>
  <c r="AG506" i="1"/>
  <c r="AG505" i="1"/>
  <c r="AG504" i="1"/>
  <c r="AG503" i="1"/>
  <c r="AG491" i="1"/>
  <c r="AG490" i="1"/>
  <c r="AG489" i="1"/>
  <c r="AG488" i="1"/>
  <c r="AG486" i="1"/>
  <c r="AG483" i="1"/>
  <c r="AG482" i="1"/>
  <c r="AG481" i="1"/>
  <c r="AG480" i="1"/>
  <c r="AG479" i="1"/>
  <c r="AG477" i="1"/>
  <c r="AG476" i="1"/>
  <c r="AG475" i="1"/>
  <c r="AG474" i="1"/>
  <c r="AG473" i="1"/>
  <c r="AG471" i="1"/>
  <c r="AG470" i="1"/>
  <c r="AG469" i="1"/>
  <c r="AG468" i="1"/>
  <c r="AG467" i="1"/>
  <c r="AG464" i="1"/>
  <c r="AG366" i="1"/>
  <c r="AG358" i="1"/>
  <c r="AG356" i="1"/>
  <c r="AG240" i="1"/>
  <c r="AG239" i="1"/>
  <c r="AG238" i="1"/>
  <c r="AG216" i="1"/>
  <c r="AG230" i="1"/>
  <c r="AG173" i="1"/>
  <c r="AG172" i="1"/>
  <c r="AG171" i="1"/>
  <c r="AG143" i="1"/>
  <c r="AG142" i="1"/>
  <c r="AG141" i="1"/>
  <c r="AG140" i="1"/>
  <c r="AG221" i="1"/>
  <c r="AG220" i="1"/>
  <c r="AG215" i="1"/>
  <c r="AG205" i="1"/>
  <c r="AG204" i="1"/>
  <c r="AG203" i="1"/>
  <c r="AG202" i="1"/>
  <c r="AG209" i="1"/>
  <c r="AG208" i="1"/>
  <c r="AG207" i="1"/>
  <c r="AG206" i="1"/>
  <c r="AG170" i="1"/>
  <c r="AG169" i="1"/>
  <c r="AG224" i="1"/>
  <c r="AG167" i="1"/>
  <c r="AG154" i="1"/>
  <c r="AG152" i="1"/>
  <c r="AG150" i="1"/>
  <c r="AG149" i="1"/>
  <c r="AG148" i="1"/>
  <c r="AG147" i="1"/>
  <c r="AG146" i="1"/>
  <c r="AG145" i="1"/>
  <c r="AG109" i="1"/>
  <c r="AG106" i="1"/>
  <c r="AG86" i="1"/>
  <c r="AG78" i="1"/>
  <c r="AG77" i="1"/>
  <c r="AG69" i="1"/>
  <c r="AG68" i="1"/>
  <c r="AG136" i="1"/>
  <c r="AG134" i="1"/>
  <c r="AG133" i="1"/>
  <c r="AG129" i="1"/>
  <c r="AG128" i="1"/>
  <c r="AG127" i="1"/>
  <c r="AG126" i="1"/>
  <c r="AG125" i="1"/>
  <c r="AG124" i="1"/>
  <c r="AG123" i="1"/>
  <c r="AG121" i="1"/>
  <c r="AG120" i="1"/>
  <c r="AG119" i="1"/>
  <c r="AG118" i="1"/>
  <c r="AG117" i="1"/>
  <c r="AG116" i="1"/>
  <c r="AG115" i="1"/>
  <c r="AG114" i="1"/>
  <c r="AG113" i="1"/>
  <c r="AG111" i="1"/>
  <c r="AG32" i="1"/>
  <c r="AG31" i="1"/>
  <c r="AG30" i="1"/>
  <c r="AG23" i="1"/>
  <c r="AG22" i="1"/>
  <c r="AG21" i="1"/>
  <c r="AG20" i="1"/>
  <c r="AG19" i="1"/>
  <c r="AG15" i="1"/>
  <c r="AG12" i="1"/>
  <c r="AG11" i="1"/>
  <c r="AG10" i="1"/>
  <c r="AG9" i="1"/>
  <c r="AG8" i="1"/>
  <c r="AG7" i="1"/>
  <c r="AD1144" i="1"/>
  <c r="AD1145" i="1" s="1"/>
  <c r="AD1146" i="1"/>
  <c r="AD1149" i="1"/>
  <c r="AD1148" i="1"/>
  <c r="AD1147" i="1"/>
  <c r="AD855" i="1"/>
  <c r="AD864" i="1" s="1"/>
  <c r="AD828" i="1"/>
  <c r="AD831" i="1"/>
  <c r="AD830" i="1"/>
  <c r="AD823" i="1"/>
  <c r="AD821" i="1"/>
  <c r="AD786" i="1"/>
  <c r="AD785" i="1"/>
  <c r="AD774" i="1"/>
  <c r="AD671" i="1"/>
  <c r="AD766" i="1"/>
  <c r="AD670" i="1"/>
  <c r="AD768" i="1"/>
  <c r="AD770" i="1"/>
  <c r="AD769" i="1"/>
  <c r="AD663" i="1"/>
  <c r="AD659" i="1"/>
  <c r="AD654" i="1"/>
  <c r="AD652" i="1"/>
  <c r="AD651" i="1"/>
  <c r="AD544" i="1"/>
  <c r="AD667" i="1"/>
  <c r="AD646" i="1"/>
  <c r="AD645" i="1"/>
  <c r="AD643" i="1"/>
  <c r="AD617" i="1"/>
  <c r="AD618" i="1"/>
  <c r="AD606" i="1"/>
  <c r="AD605" i="1"/>
  <c r="AD599" i="1"/>
  <c r="AD595" i="1"/>
  <c r="AD569" i="1"/>
  <c r="AD573" i="1"/>
  <c r="AD571" i="1"/>
  <c r="AD560" i="1"/>
  <c r="AD558" i="1"/>
  <c r="AD552" i="1"/>
  <c r="AD548" i="1"/>
  <c r="AD547" i="1"/>
  <c r="AD545" i="1"/>
  <c r="AD542" i="1"/>
  <c r="AD541" i="1"/>
  <c r="AD538" i="1"/>
  <c r="AD539" i="1" s="1"/>
  <c r="AD535" i="1"/>
  <c r="AD533" i="1"/>
  <c r="AD529" i="1"/>
  <c r="AD528" i="1"/>
  <c r="AD527" i="1"/>
  <c r="AD526" i="1"/>
  <c r="AD524" i="1"/>
  <c r="AD523" i="1"/>
  <c r="AD522" i="1"/>
  <c r="AD521" i="1"/>
  <c r="AD520" i="1"/>
  <c r="AD506" i="1"/>
  <c r="AD505" i="1"/>
  <c r="AD504" i="1"/>
  <c r="AD503" i="1"/>
  <c r="AD491" i="1"/>
  <c r="AD490" i="1"/>
  <c r="AD489" i="1"/>
  <c r="AD488" i="1"/>
  <c r="AD486" i="1"/>
  <c r="AD483" i="1"/>
  <c r="AD482" i="1"/>
  <c r="AD481" i="1"/>
  <c r="AD480" i="1"/>
  <c r="AD479" i="1"/>
  <c r="AD477" i="1"/>
  <c r="AD476" i="1"/>
  <c r="AD475" i="1"/>
  <c r="AD471" i="1"/>
  <c r="AD470" i="1"/>
  <c r="AD469" i="1"/>
  <c r="AD468" i="1"/>
  <c r="AD467" i="1"/>
  <c r="AD464" i="1"/>
  <c r="AD366" i="1"/>
  <c r="AD358" i="1"/>
  <c r="AD238" i="1"/>
  <c r="AD240" i="1"/>
  <c r="AD239" i="1"/>
  <c r="AD216" i="1"/>
  <c r="AD173" i="1"/>
  <c r="AD172" i="1"/>
  <c r="AD171" i="1"/>
  <c r="AD143" i="1"/>
  <c r="AD142" i="1"/>
  <c r="AD141" i="1"/>
  <c r="AD140" i="1"/>
  <c r="AD223" i="1"/>
  <c r="AD222" i="1"/>
  <c r="AD221" i="1"/>
  <c r="AD220" i="1"/>
  <c r="AD215" i="1"/>
  <c r="AD205" i="1"/>
  <c r="AD204" i="1"/>
  <c r="AD203" i="1"/>
  <c r="AD202" i="1"/>
  <c r="AD209" i="1"/>
  <c r="AD208" i="1"/>
  <c r="AD207" i="1"/>
  <c r="AD206" i="1"/>
  <c r="AD170" i="1"/>
  <c r="AD169" i="1"/>
  <c r="AD224" i="1"/>
  <c r="AD168" i="1"/>
  <c r="AD167" i="1"/>
  <c r="AD154" i="1"/>
  <c r="AD152" i="1"/>
  <c r="AD150" i="1"/>
  <c r="AD149" i="1"/>
  <c r="AD148" i="1"/>
  <c r="AD147" i="1"/>
  <c r="AD146" i="1"/>
  <c r="AD145" i="1"/>
  <c r="AD109" i="1"/>
  <c r="AD106" i="1"/>
  <c r="AD86" i="1"/>
  <c r="AD78" i="1"/>
  <c r="AD77" i="1"/>
  <c r="AD68" i="1"/>
  <c r="AD136" i="1"/>
  <c r="AD134" i="1"/>
  <c r="AD133" i="1"/>
  <c r="AD129" i="1"/>
  <c r="AD128" i="1"/>
  <c r="AD127" i="1"/>
  <c r="AD126" i="1"/>
  <c r="AD125" i="1"/>
  <c r="AD124" i="1"/>
  <c r="AD123" i="1"/>
  <c r="AD121" i="1"/>
  <c r="AD120" i="1"/>
  <c r="AD119" i="1"/>
  <c r="AD118" i="1"/>
  <c r="AD117" i="1"/>
  <c r="AD116" i="1"/>
  <c r="AD115" i="1"/>
  <c r="AD114" i="1"/>
  <c r="AD113" i="1"/>
  <c r="AD111" i="1"/>
  <c r="AD32" i="1"/>
  <c r="AD67" i="1" s="1"/>
  <c r="AD23" i="1"/>
  <c r="AD24" i="1" s="1"/>
  <c r="AB1149" i="1"/>
  <c r="AB1148" i="1"/>
  <c r="AB1145" i="1"/>
  <c r="AB855" i="1"/>
  <c r="AB864" i="1" s="1"/>
  <c r="AB828" i="1"/>
  <c r="AB830" i="1"/>
  <c r="AB823" i="1"/>
  <c r="AB821" i="1"/>
  <c r="AB786" i="1"/>
  <c r="AB785" i="1"/>
  <c r="AB774" i="1"/>
  <c r="AB671" i="1"/>
  <c r="AB670" i="1"/>
  <c r="AB667" i="1"/>
  <c r="AB770" i="1"/>
  <c r="AB769" i="1"/>
  <c r="AB768" i="1"/>
  <c r="AB663" i="1"/>
  <c r="AB659" i="1"/>
  <c r="AB654" i="1"/>
  <c r="AB652" i="1"/>
  <c r="AB651" i="1"/>
  <c r="AB647" i="1"/>
  <c r="AB544" i="1"/>
  <c r="AB646" i="1"/>
  <c r="AB645" i="1"/>
  <c r="AB643" i="1"/>
  <c r="AB617" i="1"/>
  <c r="AB618" i="1"/>
  <c r="AB606" i="1"/>
  <c r="AB605" i="1"/>
  <c r="AB599" i="1"/>
  <c r="AB595" i="1"/>
  <c r="AB569" i="1"/>
  <c r="AB573" i="1"/>
  <c r="AB571" i="1"/>
  <c r="AB560" i="1"/>
  <c r="AB558" i="1"/>
  <c r="AB552" i="1"/>
  <c r="AB548" i="1"/>
  <c r="AB547" i="1"/>
  <c r="AB545" i="1"/>
  <c r="AB542" i="1"/>
  <c r="AB541" i="1"/>
  <c r="AB538" i="1"/>
  <c r="AB539" i="1" s="1"/>
  <c r="AB535" i="1"/>
  <c r="AB533" i="1"/>
  <c r="AB529" i="1"/>
  <c r="AB528" i="1"/>
  <c r="AB527" i="1"/>
  <c r="AB526" i="1"/>
  <c r="AB524" i="1"/>
  <c r="AB523" i="1"/>
  <c r="AB522" i="1"/>
  <c r="AB521" i="1"/>
  <c r="AB520" i="1"/>
  <c r="AB506" i="1"/>
  <c r="AB505" i="1"/>
  <c r="AB504" i="1"/>
  <c r="AB503" i="1"/>
  <c r="AB491" i="1"/>
  <c r="AB490" i="1"/>
  <c r="AB489" i="1"/>
  <c r="AB488" i="1"/>
  <c r="AB486" i="1"/>
  <c r="AB483" i="1"/>
  <c r="AB482" i="1"/>
  <c r="AB481" i="1"/>
  <c r="AB480" i="1"/>
  <c r="AB479" i="1"/>
  <c r="AB477" i="1"/>
  <c r="AB476" i="1"/>
  <c r="AB475" i="1"/>
  <c r="AB474" i="1"/>
  <c r="AB473" i="1"/>
  <c r="AB471" i="1"/>
  <c r="AB470" i="1"/>
  <c r="AB469" i="1"/>
  <c r="AB468" i="1"/>
  <c r="AB467" i="1"/>
  <c r="AB464" i="1"/>
  <c r="AB366" i="1"/>
  <c r="AB358" i="1"/>
  <c r="AB356" i="1"/>
  <c r="AB240" i="1"/>
  <c r="AB239" i="1"/>
  <c r="AB238" i="1"/>
  <c r="AB216" i="1"/>
  <c r="AB230" i="1"/>
  <c r="AB222" i="1"/>
  <c r="AB220" i="1"/>
  <c r="AB215" i="1"/>
  <c r="AB224" i="1"/>
  <c r="AB168" i="1"/>
  <c r="AB28" i="1"/>
  <c r="AB110" i="1"/>
  <c r="AB123" i="1"/>
  <c r="AB111" i="1"/>
  <c r="AH30" i="1"/>
  <c r="AH22" i="1"/>
  <c r="AH20" i="1"/>
  <c r="AH12" i="1"/>
  <c r="AB11" i="1"/>
  <c r="AH10" i="1"/>
  <c r="V491" i="1"/>
  <c r="V358" i="1"/>
  <c r="V9" i="1"/>
  <c r="Y1149" i="1"/>
  <c r="Y1148" i="1"/>
  <c r="Y1147" i="1"/>
  <c r="Y1146" i="1"/>
  <c r="Y1144" i="1"/>
  <c r="Y844" i="1"/>
  <c r="Y843" i="1"/>
  <c r="Y842" i="1"/>
  <c r="Y841" i="1"/>
  <c r="Y855" i="1"/>
  <c r="Y831" i="1"/>
  <c r="Y830" i="1"/>
  <c r="Y828" i="1"/>
  <c r="Y823" i="1"/>
  <c r="Y821" i="1"/>
  <c r="Y816" i="1"/>
  <c r="Y814" i="1"/>
  <c r="Y786" i="1"/>
  <c r="Y785" i="1"/>
  <c r="Y774" i="1"/>
  <c r="Y645" i="1"/>
  <c r="Y595" i="1"/>
  <c r="Y569" i="1"/>
  <c r="Y573" i="1"/>
  <c r="Y571" i="1"/>
  <c r="Y560" i="1"/>
  <c r="Y547" i="1"/>
  <c r="Y520" i="1"/>
  <c r="Y505" i="1"/>
  <c r="Y504" i="1"/>
  <c r="Y503" i="1"/>
  <c r="Y491" i="1"/>
  <c r="AL1199" i="1" l="1"/>
  <c r="AL1200" i="1" s="1"/>
  <c r="AH828" i="1"/>
  <c r="AG382" i="1"/>
  <c r="AB382" i="1"/>
  <c r="AB459" i="1" s="1"/>
  <c r="BB382" i="1"/>
  <c r="BB1188" i="1" s="1"/>
  <c r="AD382" i="1"/>
  <c r="AD459" i="1" s="1"/>
  <c r="AR382" i="1"/>
  <c r="AR459" i="1" s="1"/>
  <c r="AG67" i="1"/>
  <c r="AR669" i="1"/>
  <c r="AR1197" i="1" s="1"/>
  <c r="AH32" i="1"/>
  <c r="AG355" i="1"/>
  <c r="AD355" i="1"/>
  <c r="AR355" i="1"/>
  <c r="AB355" i="1"/>
  <c r="AG669" i="1"/>
  <c r="AB669" i="1"/>
  <c r="AB1197" i="1" s="1"/>
  <c r="AD669" i="1"/>
  <c r="AD1197" i="1" s="1"/>
  <c r="Y834" i="1"/>
  <c r="BB834" i="1"/>
  <c r="AB834" i="1"/>
  <c r="AD834" i="1"/>
  <c r="AR834" i="1"/>
  <c r="AG834" i="1"/>
  <c r="AD537" i="1"/>
  <c r="AB537" i="1"/>
  <c r="AG537" i="1"/>
  <c r="AH821" i="1"/>
  <c r="AH823" i="1"/>
  <c r="BA1192" i="1"/>
  <c r="BA1206" i="1"/>
  <c r="BA540" i="1"/>
  <c r="BA459" i="1"/>
  <c r="AR1190" i="1"/>
  <c r="BB667" i="1"/>
  <c r="Y1145" i="1"/>
  <c r="AG864" i="1"/>
  <c r="AG1145" i="1"/>
  <c r="Y864" i="1"/>
  <c r="AG539" i="1"/>
  <c r="BA886" i="1"/>
  <c r="BA1143" i="1" s="1"/>
  <c r="AQ1200" i="1"/>
  <c r="BA1199" i="1"/>
  <c r="AQ1195" i="1"/>
  <c r="BA1188" i="1"/>
  <c r="BA1191" i="1" s="1"/>
  <c r="BA1198" i="1"/>
  <c r="AQ1204" i="1"/>
  <c r="AQ1185" i="1"/>
  <c r="BA1193" i="1"/>
  <c r="BA1196" i="1"/>
  <c r="BA1181" i="1"/>
  <c r="BA515" i="1"/>
  <c r="BA1197" i="1"/>
  <c r="AG1190" i="1"/>
  <c r="BA1186" i="1"/>
  <c r="BA1183" i="1"/>
  <c r="AQ1182" i="1"/>
  <c r="BA1180" i="1"/>
  <c r="AQ1177" i="1"/>
  <c r="AQ1179" i="1" s="1"/>
  <c r="AB231" i="1"/>
  <c r="BB238" i="1"/>
  <c r="BB355" i="1" s="1"/>
  <c r="AG231" i="1"/>
  <c r="AR231" i="1"/>
  <c r="AG487" i="1"/>
  <c r="AL886" i="1"/>
  <c r="AL1143" i="1" s="1"/>
  <c r="AL1202" i="1" s="1"/>
  <c r="AL1192" i="1"/>
  <c r="AL1195" i="1" s="1"/>
  <c r="AL515" i="1"/>
  <c r="BB1192" i="1"/>
  <c r="BB1195" i="1" s="1"/>
  <c r="BB515" i="1"/>
  <c r="AL1181" i="1"/>
  <c r="AL1182" i="1" s="1"/>
  <c r="BB538" i="1"/>
  <c r="BB539" i="1" s="1"/>
  <c r="AL1206" i="1"/>
  <c r="AB1178" i="1"/>
  <c r="AG854" i="1"/>
  <c r="Y854" i="1"/>
  <c r="AL1185" i="1"/>
  <c r="AL1178" i="1"/>
  <c r="AR110" i="1"/>
  <c r="AP1143" i="1"/>
  <c r="AP1202" i="1" s="1"/>
  <c r="AP1201" i="1"/>
  <c r="AR1199" i="1"/>
  <c r="AQ1143" i="1"/>
  <c r="AQ1201" i="1"/>
  <c r="AL1188" i="1"/>
  <c r="AL1191" i="1" s="1"/>
  <c r="BA139" i="1"/>
  <c r="BA1178" i="1"/>
  <c r="BA229" i="1"/>
  <c r="BA1184" i="1"/>
  <c r="AR1181" i="1"/>
  <c r="AR1182" i="1" s="1"/>
  <c r="AN1143" i="1"/>
  <c r="AN1202" i="1" s="1"/>
  <c r="AN1201" i="1"/>
  <c r="AN1187" i="1"/>
  <c r="BB526" i="1"/>
  <c r="BB537" i="1" s="1"/>
  <c r="AR507" i="1"/>
  <c r="AR1193" i="1" s="1"/>
  <c r="AH544" i="1"/>
  <c r="BB520" i="1"/>
  <c r="BB525" i="1" s="1"/>
  <c r="Y1150" i="1"/>
  <c r="BA29" i="1"/>
  <c r="AL29" i="1"/>
  <c r="AL1177" i="1" s="1"/>
  <c r="AD787" i="1"/>
  <c r="AG28" i="1"/>
  <c r="BB68" i="1"/>
  <c r="BB105" i="1" s="1"/>
  <c r="BB1180" i="1" s="1"/>
  <c r="BB1144" i="1"/>
  <c r="BB1145" i="1" s="1"/>
  <c r="AR487" i="1"/>
  <c r="AB525" i="1"/>
  <c r="AB771" i="1"/>
  <c r="AB787" i="1"/>
  <c r="AB1150" i="1"/>
  <c r="AD28" i="1"/>
  <c r="AD29" i="1" s="1"/>
  <c r="AD1177" i="1" s="1"/>
  <c r="AD525" i="1"/>
  <c r="AN237" i="1"/>
  <c r="AN6" i="1" s="1"/>
  <c r="AG1150" i="1"/>
  <c r="AD771" i="1"/>
  <c r="AD767" i="1"/>
  <c r="AD1198" i="1" s="1"/>
  <c r="AL229" i="1"/>
  <c r="BB1146" i="1"/>
  <c r="BB1150" i="1" s="1"/>
  <c r="AR1150" i="1"/>
  <c r="AD110" i="1"/>
  <c r="AD144" i="1"/>
  <c r="AD1150" i="1"/>
  <c r="AD1206" i="1" s="1"/>
  <c r="AB214" i="1"/>
  <c r="AB1184" i="1" s="1"/>
  <c r="AB228" i="1"/>
  <c r="AB1186" i="1" s="1"/>
  <c r="AB144" i="1"/>
  <c r="AR214" i="1"/>
  <c r="AR1184" i="1" s="1"/>
  <c r="AQ237" i="1"/>
  <c r="BA772" i="1"/>
  <c r="BA797" i="1" s="1"/>
  <c r="Y787" i="1"/>
  <c r="AB24" i="1"/>
  <c r="AB29" i="1" s="1"/>
  <c r="AB1177" i="1" s="1"/>
  <c r="AB138" i="1"/>
  <c r="AB1183" i="1" s="1"/>
  <c r="AB197" i="1"/>
  <c r="AB487" i="1"/>
  <c r="AB644" i="1"/>
  <c r="AB1196" i="1" s="1"/>
  <c r="AD197" i="1"/>
  <c r="AD644" i="1"/>
  <c r="AD1196" i="1" s="1"/>
  <c r="AG228" i="1"/>
  <c r="AG507" i="1"/>
  <c r="AG525" i="1"/>
  <c r="AG771" i="1"/>
  <c r="AG787" i="1"/>
  <c r="BB774" i="1"/>
  <c r="BB787" i="1" s="1"/>
  <c r="AR540" i="1"/>
  <c r="AR1204" i="1" s="1"/>
  <c r="AB767" i="1"/>
  <c r="AB1198" i="1" s="1"/>
  <c r="AL772" i="1"/>
  <c r="AL797" i="1" s="1"/>
  <c r="AB105" i="1"/>
  <c r="AB1180" i="1" s="1"/>
  <c r="AB507" i="1"/>
  <c r="AB1193" i="1" s="1"/>
  <c r="AD138" i="1"/>
  <c r="AD1183" i="1" s="1"/>
  <c r="AD105" i="1"/>
  <c r="AD1180" i="1" s="1"/>
  <c r="AD214" i="1"/>
  <c r="AD1184" i="1" s="1"/>
  <c r="AD228" i="1"/>
  <c r="AD1186" i="1" s="1"/>
  <c r="AD487" i="1"/>
  <c r="AD507" i="1"/>
  <c r="AD1193" i="1" s="1"/>
  <c r="AG24" i="1"/>
  <c r="AG138" i="1"/>
  <c r="AG105" i="1"/>
  <c r="AG110" i="1"/>
  <c r="AG197" i="1"/>
  <c r="AG144" i="1"/>
  <c r="AG644" i="1"/>
  <c r="AG767" i="1"/>
  <c r="AG214" i="1"/>
  <c r="AL540" i="1"/>
  <c r="AL1204" i="1" s="1"/>
  <c r="AL139" i="1"/>
  <c r="BB230" i="1"/>
  <c r="BB228" i="1"/>
  <c r="BB1186" i="1" s="1"/>
  <c r="AR886" i="1"/>
  <c r="AR767" i="1"/>
  <c r="AR1198" i="1" s="1"/>
  <c r="AR28" i="1"/>
  <c r="AR228" i="1"/>
  <c r="AR1186" i="1" s="1"/>
  <c r="BB7" i="1"/>
  <c r="AR644" i="1"/>
  <c r="AR1196" i="1" s="1"/>
  <c r="BB202" i="1"/>
  <c r="BB214" i="1" s="1"/>
  <c r="BB1184" i="1" s="1"/>
  <c r="BB766" i="1"/>
  <c r="BB767" i="1" s="1"/>
  <c r="BB1198" i="1" s="1"/>
  <c r="AI1144" i="1"/>
  <c r="AI1147" i="1"/>
  <c r="BB645" i="1"/>
  <c r="BB541" i="1"/>
  <c r="BB841" i="1"/>
  <c r="BB854" i="1" s="1"/>
  <c r="AI491" i="1"/>
  <c r="BB617" i="1"/>
  <c r="BB573" i="1"/>
  <c r="BB134" i="1"/>
  <c r="BB145" i="1"/>
  <c r="BB197" i="1" s="1"/>
  <c r="BB855" i="1"/>
  <c r="BB864" i="1" s="1"/>
  <c r="AH137" i="1"/>
  <c r="AI505" i="1"/>
  <c r="AI520" i="1"/>
  <c r="AI547" i="1"/>
  <c r="AI571" i="1"/>
  <c r="AI814" i="1"/>
  <c r="AI841" i="1"/>
  <c r="AH136" i="1"/>
  <c r="AH671" i="1"/>
  <c r="AI844" i="1"/>
  <c r="AI1146" i="1"/>
  <c r="AI1148" i="1"/>
  <c r="BB887" i="1"/>
  <c r="AI645" i="1"/>
  <c r="AH768" i="1"/>
  <c r="AH230" i="1"/>
  <c r="AH356" i="1"/>
  <c r="AH8" i="1"/>
  <c r="AI504" i="1"/>
  <c r="AH654" i="1"/>
  <c r="AH663" i="1"/>
  <c r="AH766" i="1"/>
  <c r="AI821" i="1"/>
  <c r="AI843" i="1"/>
  <c r="AI1149" i="1"/>
  <c r="AH651" i="1"/>
  <c r="BB140" i="1"/>
  <c r="BB144" i="1" s="1"/>
  <c r="AI785" i="1"/>
  <c r="AI828" i="1"/>
  <c r="BB30" i="1"/>
  <c r="AH1146" i="1"/>
  <c r="AH538" i="1"/>
  <c r="AH539" i="1" s="1"/>
  <c r="AH1144" i="1"/>
  <c r="AH1145" i="1" s="1"/>
  <c r="AH113" i="1"/>
  <c r="AH115" i="1"/>
  <c r="AH117" i="1"/>
  <c r="AH119" i="1"/>
  <c r="AH121" i="1"/>
  <c r="AH124" i="1"/>
  <c r="AH127" i="1"/>
  <c r="AH133" i="1"/>
  <c r="AH68" i="1"/>
  <c r="AH77" i="1"/>
  <c r="AH86" i="1"/>
  <c r="AH106" i="1"/>
  <c r="AH145" i="1"/>
  <c r="AH147" i="1"/>
  <c r="AH149" i="1"/>
  <c r="AH152" i="1"/>
  <c r="AH168" i="1"/>
  <c r="AH170" i="1"/>
  <c r="AH207" i="1"/>
  <c r="AH209" i="1"/>
  <c r="AH203" i="1"/>
  <c r="AH205" i="1"/>
  <c r="AH215" i="1"/>
  <c r="AH221" i="1"/>
  <c r="AH223" i="1"/>
  <c r="AH141" i="1"/>
  <c r="AH143" i="1"/>
  <c r="AH172" i="1"/>
  <c r="AH216" i="1"/>
  <c r="AH467" i="1"/>
  <c r="AH469" i="1"/>
  <c r="AH471" i="1"/>
  <c r="AH474" i="1"/>
  <c r="AH476" i="1"/>
  <c r="AH479" i="1"/>
  <c r="AH481" i="1"/>
  <c r="AH483" i="1"/>
  <c r="AH488" i="1"/>
  <c r="AH490" i="1"/>
  <c r="AH503" i="1"/>
  <c r="AH505" i="1"/>
  <c r="AH520" i="1"/>
  <c r="AH522" i="1"/>
  <c r="AH524" i="1"/>
  <c r="AH528" i="1"/>
  <c r="AH533" i="1"/>
  <c r="AH542" i="1"/>
  <c r="AH547" i="1"/>
  <c r="AH548" i="1"/>
  <c r="AH558" i="1"/>
  <c r="AH571" i="1"/>
  <c r="AH569" i="1"/>
  <c r="AH599" i="1"/>
  <c r="AH606" i="1"/>
  <c r="AH617" i="1"/>
  <c r="AH645" i="1"/>
  <c r="AH769" i="1"/>
  <c r="AI595" i="1"/>
  <c r="AI503" i="1"/>
  <c r="AI830" i="1"/>
  <c r="AI855" i="1"/>
  <c r="AI842" i="1"/>
  <c r="AI560" i="1"/>
  <c r="AI573" i="1"/>
  <c r="AI774" i="1"/>
  <c r="AI786" i="1"/>
  <c r="AI816" i="1"/>
  <c r="AI823" i="1"/>
  <c r="AH7" i="1"/>
  <c r="AH9" i="1"/>
  <c r="AH11" i="1"/>
  <c r="AH15" i="1"/>
  <c r="AH19" i="1"/>
  <c r="AH21" i="1"/>
  <c r="AH23" i="1"/>
  <c r="AH31" i="1"/>
  <c r="AH111" i="1"/>
  <c r="AH114" i="1"/>
  <c r="AH116" i="1"/>
  <c r="AH118" i="1"/>
  <c r="AH120" i="1"/>
  <c r="AH123" i="1"/>
  <c r="AH125" i="1"/>
  <c r="AH126" i="1"/>
  <c r="AH128" i="1"/>
  <c r="AH129" i="1"/>
  <c r="AH134" i="1"/>
  <c r="AH69" i="1"/>
  <c r="AH78" i="1"/>
  <c r="AH109" i="1"/>
  <c r="AH146" i="1"/>
  <c r="AH148" i="1"/>
  <c r="AH150" i="1"/>
  <c r="AH154" i="1"/>
  <c r="AH167" i="1"/>
  <c r="AH224" i="1"/>
  <c r="AH169" i="1"/>
  <c r="AH206" i="1"/>
  <c r="AH208" i="1"/>
  <c r="AH202" i="1"/>
  <c r="AH204" i="1"/>
  <c r="AH220" i="1"/>
  <c r="AH222" i="1"/>
  <c r="AH140" i="1"/>
  <c r="AH142" i="1"/>
  <c r="AH171" i="1"/>
  <c r="AH173" i="1"/>
  <c r="AH238" i="1"/>
  <c r="AH464" i="1"/>
  <c r="AH468" i="1"/>
  <c r="AH470" i="1"/>
  <c r="AH473" i="1"/>
  <c r="AH475" i="1"/>
  <c r="AH477" i="1"/>
  <c r="AH480" i="1"/>
  <c r="AH482" i="1"/>
  <c r="AH486" i="1"/>
  <c r="AH489" i="1"/>
  <c r="AH491" i="1"/>
  <c r="AH504" i="1"/>
  <c r="AH506" i="1"/>
  <c r="AH521" i="1"/>
  <c r="AH523" i="1"/>
  <c r="AH526" i="1"/>
  <c r="AH527" i="1"/>
  <c r="AH529" i="1"/>
  <c r="AH535" i="1"/>
  <c r="AH647" i="1"/>
  <c r="AH652" i="1"/>
  <c r="AH659" i="1"/>
  <c r="AH786" i="1"/>
  <c r="AI569" i="1"/>
  <c r="AI831" i="1"/>
  <c r="AH366" i="1"/>
  <c r="AH240" i="1"/>
  <c r="AH667" i="1"/>
  <c r="AH785" i="1"/>
  <c r="AH239" i="1"/>
  <c r="AH541" i="1"/>
  <c r="AH545" i="1"/>
  <c r="AH552" i="1"/>
  <c r="AH560" i="1"/>
  <c r="AH573" i="1"/>
  <c r="AH595" i="1"/>
  <c r="AH605" i="1"/>
  <c r="AH618" i="1"/>
  <c r="AH643" i="1"/>
  <c r="AH646" i="1"/>
  <c r="AH770" i="1"/>
  <c r="AH670" i="1"/>
  <c r="AH855" i="1"/>
  <c r="AH864" i="1" s="1"/>
  <c r="AH1149" i="1"/>
  <c r="AH358" i="1"/>
  <c r="AH1148" i="1"/>
  <c r="AH1147" i="1"/>
  <c r="AH774" i="1"/>
  <c r="AH831" i="1"/>
  <c r="AH830" i="1"/>
  <c r="AQ6" i="1" l="1"/>
  <c r="AP6" i="1"/>
  <c r="AH67" i="1"/>
  <c r="AH382" i="1"/>
  <c r="AH459" i="1" s="1"/>
  <c r="BB669" i="1"/>
  <c r="BB1197" i="1" s="1"/>
  <c r="BB886" i="1"/>
  <c r="BB1201" i="1" s="1"/>
  <c r="AH355" i="1"/>
  <c r="AH834" i="1"/>
  <c r="AH669" i="1"/>
  <c r="AH1197" i="1" s="1"/>
  <c r="AI834" i="1"/>
  <c r="AH537" i="1"/>
  <c r="BA1195" i="1"/>
  <c r="AB1206" i="1"/>
  <c r="BA1204" i="1"/>
  <c r="BA1182" i="1"/>
  <c r="BB1190" i="1"/>
  <c r="BB1191" i="1" s="1"/>
  <c r="BB459" i="1"/>
  <c r="AH1190" i="1"/>
  <c r="AG459" i="1"/>
  <c r="AI864" i="1"/>
  <c r="Q1149" i="1"/>
  <c r="Q1148" i="1"/>
  <c r="Q1146" i="1"/>
  <c r="AG1206" i="1"/>
  <c r="BA1201" i="1"/>
  <c r="Q831" i="1"/>
  <c r="Q830" i="1"/>
  <c r="Q774" i="1"/>
  <c r="Q823" i="1"/>
  <c r="Q786" i="1"/>
  <c r="Q785" i="1"/>
  <c r="Q843" i="1"/>
  <c r="Q842" i="1"/>
  <c r="Q821" i="1"/>
  <c r="Q844" i="1"/>
  <c r="Q816" i="1"/>
  <c r="Q828" i="1"/>
  <c r="Q814" i="1"/>
  <c r="AQ1202" i="1"/>
  <c r="AQ1203" i="1" s="1"/>
  <c r="BA1202" i="1"/>
  <c r="BA1185" i="1"/>
  <c r="BA1200" i="1"/>
  <c r="Q573" i="1"/>
  <c r="Q504" i="1"/>
  <c r="Q547" i="1"/>
  <c r="Q491" i="1"/>
  <c r="AG1198" i="1"/>
  <c r="Q569" i="1"/>
  <c r="Q560" i="1"/>
  <c r="Q503" i="1"/>
  <c r="AG1197" i="1"/>
  <c r="AG1193" i="1"/>
  <c r="Q595" i="1"/>
  <c r="Q520" i="1"/>
  <c r="AG1196" i="1"/>
  <c r="Q645" i="1"/>
  <c r="Q571" i="1"/>
  <c r="Q505" i="1"/>
  <c r="AG1183" i="1"/>
  <c r="AG1186" i="1"/>
  <c r="AG1184" i="1"/>
  <c r="AQ1187" i="1"/>
  <c r="AG1180" i="1"/>
  <c r="AH231" i="1"/>
  <c r="BB231" i="1"/>
  <c r="AR1206" i="1"/>
  <c r="AL1201" i="1"/>
  <c r="AL1203" i="1" s="1"/>
  <c r="AD1178" i="1"/>
  <c r="AD1179" i="1" s="1"/>
  <c r="AB540" i="1"/>
  <c r="AB1204" i="1" s="1"/>
  <c r="AD1192" i="1"/>
  <c r="AD1195" i="1" s="1"/>
  <c r="AD515" i="1"/>
  <c r="AR1192" i="1"/>
  <c r="AR1195" i="1" s="1"/>
  <c r="AR515" i="1"/>
  <c r="AG1192" i="1"/>
  <c r="AG515" i="1"/>
  <c r="AB1192" i="1"/>
  <c r="AB1195" i="1" s="1"/>
  <c r="AB515" i="1"/>
  <c r="AD1185" i="1"/>
  <c r="AD540" i="1"/>
  <c r="AD1204" i="1" s="1"/>
  <c r="AB1179" i="1"/>
  <c r="AD1181" i="1"/>
  <c r="AD1182" i="1" s="1"/>
  <c r="AB1181" i="1"/>
  <c r="AB1182" i="1" s="1"/>
  <c r="AL1179" i="1"/>
  <c r="AL1187" i="1" s="1"/>
  <c r="AB1199" i="1"/>
  <c r="AB1200" i="1" s="1"/>
  <c r="BB540" i="1"/>
  <c r="BB1204" i="1" s="1"/>
  <c r="Q841" i="1"/>
  <c r="AI854" i="1"/>
  <c r="AD1199" i="1"/>
  <c r="AD1200" i="1" s="1"/>
  <c r="AG1199" i="1"/>
  <c r="AP1203" i="1"/>
  <c r="AO1176" i="1" s="1"/>
  <c r="AR1200" i="1"/>
  <c r="AN1203" i="1"/>
  <c r="AM1176" i="1" s="1"/>
  <c r="AG1181" i="1"/>
  <c r="AD1188" i="1"/>
  <c r="AD1191" i="1" s="1"/>
  <c r="AB1185" i="1"/>
  <c r="AG1188" i="1"/>
  <c r="AG1191" i="1" s="1"/>
  <c r="AB1188" i="1"/>
  <c r="AB1191" i="1" s="1"/>
  <c r="AG1178" i="1"/>
  <c r="AR1188" i="1"/>
  <c r="AR1191" i="1" s="1"/>
  <c r="BA237" i="1"/>
  <c r="BA6" i="1" s="1"/>
  <c r="BA1177" i="1"/>
  <c r="BA1179" i="1" s="1"/>
  <c r="BB1181" i="1"/>
  <c r="BB1182" i="1" s="1"/>
  <c r="AR1143" i="1"/>
  <c r="AR1202" i="1" s="1"/>
  <c r="AR1201" i="1"/>
  <c r="AG29" i="1"/>
  <c r="AG540" i="1"/>
  <c r="AR229" i="1"/>
  <c r="Q855" i="1"/>
  <c r="AH767" i="1"/>
  <c r="AH1198" i="1" s="1"/>
  <c r="AL237" i="1"/>
  <c r="AL6" i="1" s="1"/>
  <c r="AG886" i="1"/>
  <c r="Y886" i="1"/>
  <c r="AH787" i="1"/>
  <c r="AB139" i="1"/>
  <c r="AB229" i="1"/>
  <c r="AD772" i="1"/>
  <c r="AD797" i="1" s="1"/>
  <c r="AG229" i="1"/>
  <c r="AH28" i="1"/>
  <c r="Q1147" i="1"/>
  <c r="AI1150" i="1"/>
  <c r="AB772" i="1"/>
  <c r="AB797" i="1" s="1"/>
  <c r="Q1144" i="1"/>
  <c r="AI1145" i="1"/>
  <c r="AH1150" i="1"/>
  <c r="AI787" i="1"/>
  <c r="AH144" i="1"/>
  <c r="AH214" i="1"/>
  <c r="AH1184" i="1" s="1"/>
  <c r="AH771" i="1"/>
  <c r="AD229" i="1"/>
  <c r="AD139" i="1"/>
  <c r="AH487" i="1"/>
  <c r="AH138" i="1"/>
  <c r="AH1183" i="1" s="1"/>
  <c r="AH525" i="1"/>
  <c r="AH507" i="1"/>
  <c r="AH1193" i="1" s="1"/>
  <c r="AH105" i="1"/>
  <c r="AH1180" i="1" s="1"/>
  <c r="AR772" i="1"/>
  <c r="AR797" i="1" s="1"/>
  <c r="AG772" i="1"/>
  <c r="AG797" i="1" s="1"/>
  <c r="AG139" i="1"/>
  <c r="AH644" i="1"/>
  <c r="AH1196" i="1" s="1"/>
  <c r="AH228" i="1"/>
  <c r="AH1186" i="1" s="1"/>
  <c r="AH197" i="1"/>
  <c r="AH110" i="1"/>
  <c r="AH24" i="1"/>
  <c r="BB229" i="1"/>
  <c r="R887" i="1"/>
  <c r="R1126" i="1" s="1"/>
  <c r="BB1126" i="1"/>
  <c r="BB28" i="1"/>
  <c r="BB644" i="1"/>
  <c r="BB1196" i="1" s="1"/>
  <c r="AR13" i="1"/>
  <c r="BB13" i="1" s="1"/>
  <c r="AR12" i="1"/>
  <c r="AH1178" i="1" l="1"/>
  <c r="Q834" i="1"/>
  <c r="AG1185" i="1"/>
  <c r="AH1206" i="1"/>
  <c r="BA1203" i="1"/>
  <c r="AG1195" i="1"/>
  <c r="Q1150" i="1"/>
  <c r="Q1145" i="1"/>
  <c r="BA1187" i="1"/>
  <c r="AG1200" i="1"/>
  <c r="Q787" i="1"/>
  <c r="Q864" i="1"/>
  <c r="Q854" i="1"/>
  <c r="AG1204" i="1"/>
  <c r="AG1182" i="1"/>
  <c r="AG1177" i="1"/>
  <c r="AG1179" i="1" s="1"/>
  <c r="BB1206" i="1"/>
  <c r="AH1192" i="1"/>
  <c r="AH1195" i="1" s="1"/>
  <c r="AH515" i="1"/>
  <c r="AH1199" i="1"/>
  <c r="AH1200" i="1" s="1"/>
  <c r="AK1176" i="1"/>
  <c r="AP1174" i="1"/>
  <c r="AD1187" i="1"/>
  <c r="AH1185" i="1"/>
  <c r="Y1143" i="1"/>
  <c r="Y1201" i="1"/>
  <c r="AB1187" i="1"/>
  <c r="AG1143" i="1"/>
  <c r="AG1201" i="1"/>
  <c r="AR1203" i="1"/>
  <c r="AN1174" i="1"/>
  <c r="AH1188" i="1"/>
  <c r="AH1191" i="1" s="1"/>
  <c r="AH1181" i="1"/>
  <c r="AH1182" i="1" s="1"/>
  <c r="AH29" i="1"/>
  <c r="AH1177" i="1" s="1"/>
  <c r="AB237" i="1"/>
  <c r="AG237" i="1"/>
  <c r="AG6" i="1" s="1"/>
  <c r="AI886" i="1"/>
  <c r="AD237" i="1"/>
  <c r="AH772" i="1"/>
  <c r="AH797" i="1" s="1"/>
  <c r="AH139" i="1"/>
  <c r="AH229" i="1"/>
  <c r="AH540" i="1"/>
  <c r="AH1204" i="1" s="1"/>
  <c r="BB1143" i="1"/>
  <c r="BB1202" i="1" s="1"/>
  <c r="BB1203" i="1" s="1"/>
  <c r="BB12" i="1"/>
  <c r="AR22" i="1"/>
  <c r="BB22" i="1" s="1"/>
  <c r="AH1179" i="1" l="1"/>
  <c r="AH1187" i="1" s="1"/>
  <c r="Q886" i="1"/>
  <c r="AG1187" i="1"/>
  <c r="AG1202" i="1"/>
  <c r="AG1203" i="1" s="1"/>
  <c r="Y1202" i="1"/>
  <c r="Y1203" i="1" s="1"/>
  <c r="AL1174" i="1"/>
  <c r="AI1143" i="1"/>
  <c r="AI1201" i="1"/>
  <c r="AH237" i="1"/>
  <c r="AR15" i="1"/>
  <c r="Q1201" i="1" l="1"/>
  <c r="Q1143" i="1"/>
  <c r="AI1202" i="1"/>
  <c r="AI1203" i="1" s="1"/>
  <c r="BB15" i="1"/>
  <c r="AR31" i="1"/>
  <c r="AR67" i="1" s="1"/>
  <c r="AR1178" i="1" l="1"/>
  <c r="Q1202" i="1"/>
  <c r="Q1203" i="1" s="1"/>
  <c r="BB31" i="1"/>
  <c r="BB67" i="1" s="1"/>
  <c r="V126" i="1"/>
  <c r="BB1178" i="1" l="1"/>
  <c r="Y558" i="1"/>
  <c r="V208" i="1"/>
  <c r="V552" i="1"/>
  <c r="V667" i="1"/>
  <c r="V768" i="1"/>
  <c r="V823" i="1"/>
  <c r="V828" i="1"/>
  <c r="V830" i="1"/>
  <c r="V1146" i="1"/>
  <c r="V1147" i="1"/>
  <c r="V23" i="1"/>
  <c r="V21" i="1"/>
  <c r="V8" i="1"/>
  <c r="V855" i="1"/>
  <c r="V864" i="1" s="1"/>
  <c r="V821" i="1"/>
  <c r="V786" i="1"/>
  <c r="V785" i="1"/>
  <c r="V774" i="1"/>
  <c r="V770" i="1"/>
  <c r="V769" i="1"/>
  <c r="V663" i="1"/>
  <c r="V659" i="1"/>
  <c r="V654" i="1"/>
  <c r="V652" i="1"/>
  <c r="V651" i="1"/>
  <c r="V647" i="1"/>
  <c r="V544" i="1"/>
  <c r="V646" i="1"/>
  <c r="V645" i="1"/>
  <c r="V643" i="1"/>
  <c r="V617" i="1"/>
  <c r="V618" i="1"/>
  <c r="V606" i="1"/>
  <c r="V605" i="1"/>
  <c r="V599" i="1"/>
  <c r="V595" i="1"/>
  <c r="V569" i="1"/>
  <c r="V573" i="1"/>
  <c r="V571" i="1"/>
  <c r="V560" i="1"/>
  <c r="V548" i="1"/>
  <c r="V547" i="1"/>
  <c r="V545" i="1"/>
  <c r="V542" i="1"/>
  <c r="V541" i="1"/>
  <c r="V366" i="1"/>
  <c r="V356" i="1"/>
  <c r="V1149" i="1"/>
  <c r="V1148" i="1"/>
  <c r="V1144" i="1"/>
  <c r="V1145" i="1" s="1"/>
  <c r="V831" i="1"/>
  <c r="V671" i="1"/>
  <c r="V670" i="1"/>
  <c r="V538" i="1"/>
  <c r="V539" i="1" s="1"/>
  <c r="V535" i="1"/>
  <c r="V533" i="1"/>
  <c r="V529" i="1"/>
  <c r="V528" i="1"/>
  <c r="V527" i="1"/>
  <c r="V526" i="1"/>
  <c r="V524" i="1"/>
  <c r="V523" i="1"/>
  <c r="V522" i="1"/>
  <c r="V521" i="1"/>
  <c r="V520" i="1"/>
  <c r="V506" i="1"/>
  <c r="V505" i="1"/>
  <c r="V504" i="1"/>
  <c r="V503" i="1"/>
  <c r="V490" i="1"/>
  <c r="V489" i="1"/>
  <c r="V488" i="1"/>
  <c r="V486" i="1"/>
  <c r="V483" i="1"/>
  <c r="V482" i="1"/>
  <c r="V481" i="1"/>
  <c r="V480" i="1"/>
  <c r="V479" i="1"/>
  <c r="V477" i="1"/>
  <c r="V476" i="1"/>
  <c r="V475" i="1"/>
  <c r="V474" i="1"/>
  <c r="V473" i="1"/>
  <c r="V471" i="1"/>
  <c r="V470" i="1"/>
  <c r="V469" i="1"/>
  <c r="V467" i="1"/>
  <c r="V464" i="1"/>
  <c r="V240" i="1"/>
  <c r="V239" i="1"/>
  <c r="V238" i="1"/>
  <c r="V216" i="1"/>
  <c r="V230" i="1"/>
  <c r="V173" i="1"/>
  <c r="V172" i="1"/>
  <c r="V171" i="1"/>
  <c r="V143" i="1"/>
  <c r="V142" i="1"/>
  <c r="V141" i="1"/>
  <c r="V140" i="1"/>
  <c r="V223" i="1"/>
  <c r="V222" i="1"/>
  <c r="V221" i="1"/>
  <c r="V220" i="1"/>
  <c r="V215" i="1"/>
  <c r="V205" i="1"/>
  <c r="V204" i="1"/>
  <c r="V203" i="1"/>
  <c r="V202" i="1"/>
  <c r="V209" i="1"/>
  <c r="V207" i="1"/>
  <c r="V206" i="1"/>
  <c r="V170" i="1"/>
  <c r="V169" i="1"/>
  <c r="V224" i="1"/>
  <c r="V168" i="1"/>
  <c r="V167" i="1"/>
  <c r="V154" i="1"/>
  <c r="V152" i="1"/>
  <c r="V150" i="1"/>
  <c r="V149" i="1"/>
  <c r="V148" i="1"/>
  <c r="V147" i="1"/>
  <c r="V146" i="1"/>
  <c r="V145" i="1"/>
  <c r="V109" i="1"/>
  <c r="V106" i="1"/>
  <c r="V86" i="1"/>
  <c r="V78" i="1"/>
  <c r="V77" i="1"/>
  <c r="V69" i="1"/>
  <c r="V68" i="1"/>
  <c r="V137" i="1"/>
  <c r="V134" i="1"/>
  <c r="V133" i="1"/>
  <c r="V129" i="1"/>
  <c r="V128" i="1"/>
  <c r="V127" i="1"/>
  <c r="V125" i="1"/>
  <c r="V124" i="1"/>
  <c r="V123" i="1"/>
  <c r="V121" i="1"/>
  <c r="V120" i="1"/>
  <c r="V119" i="1"/>
  <c r="V118" i="1"/>
  <c r="V117" i="1"/>
  <c r="V116" i="1"/>
  <c r="V115" i="1"/>
  <c r="V114" i="1"/>
  <c r="V113" i="1"/>
  <c r="V111" i="1"/>
  <c r="V32" i="1"/>
  <c r="V31" i="1"/>
  <c r="V30" i="1"/>
  <c r="V22" i="1"/>
  <c r="V20" i="1"/>
  <c r="V19" i="1"/>
  <c r="V15" i="1"/>
  <c r="V12" i="1"/>
  <c r="V11" i="1"/>
  <c r="V382" i="1" l="1"/>
  <c r="V459" i="1" s="1"/>
  <c r="V67" i="1"/>
  <c r="V355" i="1"/>
  <c r="V669" i="1"/>
  <c r="V1197" i="1" s="1"/>
  <c r="V834" i="1"/>
  <c r="V537" i="1"/>
  <c r="V1190" i="1"/>
  <c r="AI558" i="1"/>
  <c r="V231" i="1"/>
  <c r="V144" i="1"/>
  <c r="V525" i="1"/>
  <c r="V787" i="1"/>
  <c r="V771" i="1"/>
  <c r="V28" i="1"/>
  <c r="V110" i="1"/>
  <c r="V1150" i="1"/>
  <c r="V487" i="1"/>
  <c r="V24" i="1"/>
  <c r="V138" i="1"/>
  <c r="V1183" i="1" s="1"/>
  <c r="V214" i="1"/>
  <c r="V1184" i="1" s="1"/>
  <c r="V507" i="1"/>
  <c r="V1193" i="1" s="1"/>
  <c r="V767" i="1"/>
  <c r="V1198" i="1" s="1"/>
  <c r="V105" i="1"/>
  <c r="V1180" i="1" s="1"/>
  <c r="V197" i="1"/>
  <c r="V228" i="1"/>
  <c r="V1186" i="1" s="1"/>
  <c r="V558" i="1"/>
  <c r="V644" i="1" s="1"/>
  <c r="V1196" i="1" s="1"/>
  <c r="V1206" i="1" l="1"/>
  <c r="Q558" i="1"/>
  <c r="V1192" i="1"/>
  <c r="V1195" i="1" s="1"/>
  <c r="V515" i="1"/>
  <c r="V1199" i="1"/>
  <c r="V1200" i="1" s="1"/>
  <c r="V1181" i="1"/>
  <c r="V1182" i="1" s="1"/>
  <c r="V1178" i="1"/>
  <c r="V1185" i="1"/>
  <c r="V1188" i="1"/>
  <c r="V1191" i="1" s="1"/>
  <c r="V29" i="1"/>
  <c r="V1177" i="1" s="1"/>
  <c r="V540" i="1"/>
  <c r="V1204" i="1" s="1"/>
  <c r="V139" i="1"/>
  <c r="V229" i="1"/>
  <c r="V772" i="1"/>
  <c r="V797" i="1" s="1"/>
  <c r="V1179" i="1" l="1"/>
  <c r="V1187" i="1" s="1"/>
  <c r="V237" i="1"/>
  <c r="T1149" i="1" l="1"/>
  <c r="Z1149" i="1" s="1"/>
  <c r="AJ1149" i="1" s="1"/>
  <c r="R1149" i="1" s="1"/>
  <c r="T1148" i="1"/>
  <c r="Z1148" i="1" s="1"/>
  <c r="AJ1148" i="1" s="1"/>
  <c r="R1148" i="1" s="1"/>
  <c r="T1147" i="1"/>
  <c r="Z1147" i="1" s="1"/>
  <c r="T1146" i="1"/>
  <c r="T1144" i="1"/>
  <c r="T1145" i="1" s="1"/>
  <c r="Z831" i="1"/>
  <c r="Z830" i="1"/>
  <c r="T855" i="1"/>
  <c r="T864" i="1" s="1"/>
  <c r="Z823" i="1"/>
  <c r="Z821" i="1"/>
  <c r="Z816" i="1"/>
  <c r="Z814" i="1"/>
  <c r="T786" i="1"/>
  <c r="Z786" i="1" s="1"/>
  <c r="T785" i="1"/>
  <c r="T774" i="1"/>
  <c r="T645" i="1"/>
  <c r="T595" i="1"/>
  <c r="Z595" i="1" s="1"/>
  <c r="T569" i="1"/>
  <c r="Z569" i="1" s="1"/>
  <c r="T573" i="1"/>
  <c r="Z573" i="1" s="1"/>
  <c r="T571" i="1"/>
  <c r="Z571" i="1" s="1"/>
  <c r="T560" i="1"/>
  <c r="Z560" i="1" s="1"/>
  <c r="T558" i="1"/>
  <c r="Z558" i="1" s="1"/>
  <c r="T547" i="1"/>
  <c r="Z547" i="1" s="1"/>
  <c r="T520" i="1"/>
  <c r="Z520" i="1" s="1"/>
  <c r="T505" i="1"/>
  <c r="Z505" i="1" s="1"/>
  <c r="T504" i="1"/>
  <c r="Z504" i="1" s="1"/>
  <c r="T503" i="1"/>
  <c r="Z503" i="1" s="1"/>
  <c r="T491" i="1"/>
  <c r="Z491" i="1" s="1"/>
  <c r="Z645" i="1" l="1"/>
  <c r="AZ770" i="1"/>
  <c r="BB770" i="1" s="1"/>
  <c r="AZ769" i="1"/>
  <c r="BB769" i="1" s="1"/>
  <c r="T1150" i="1"/>
  <c r="T787" i="1"/>
  <c r="AJ520" i="1"/>
  <c r="AJ816" i="1"/>
  <c r="R816" i="1" s="1"/>
  <c r="AJ823" i="1"/>
  <c r="R823" i="1" s="1"/>
  <c r="AJ831" i="1"/>
  <c r="AJ786" i="1"/>
  <c r="R786" i="1" s="1"/>
  <c r="AJ814" i="1"/>
  <c r="R814" i="1" s="1"/>
  <c r="AJ821" i="1"/>
  <c r="R821" i="1" s="1"/>
  <c r="AJ830" i="1"/>
  <c r="R830" i="1" s="1"/>
  <c r="AJ503" i="1"/>
  <c r="R503" i="1" s="1"/>
  <c r="AJ505" i="1"/>
  <c r="R505" i="1" s="1"/>
  <c r="AJ547" i="1"/>
  <c r="R547" i="1" s="1"/>
  <c r="AJ560" i="1"/>
  <c r="R560" i="1" s="1"/>
  <c r="AJ595" i="1"/>
  <c r="R595" i="1" s="1"/>
  <c r="AJ504" i="1"/>
  <c r="R504" i="1" s="1"/>
  <c r="AJ558" i="1"/>
  <c r="R558" i="1" s="1"/>
  <c r="AJ571" i="1"/>
  <c r="R571" i="1" s="1"/>
  <c r="AJ569" i="1"/>
  <c r="R569" i="1" s="1"/>
  <c r="Z774" i="1"/>
  <c r="AJ573" i="1"/>
  <c r="Z785" i="1"/>
  <c r="Z828" i="1"/>
  <c r="AJ828" i="1" s="1"/>
  <c r="Z1146" i="1"/>
  <c r="AZ768" i="1"/>
  <c r="Z855" i="1"/>
  <c r="Z1144" i="1"/>
  <c r="Z1145" i="1" s="1"/>
  <c r="AJ1147" i="1"/>
  <c r="Z834" i="1" l="1"/>
  <c r="R831" i="1"/>
  <c r="AJ834" i="1"/>
  <c r="AZ771" i="1"/>
  <c r="AZ772" i="1" s="1"/>
  <c r="AZ797" i="1" s="1"/>
  <c r="AJ855" i="1"/>
  <c r="AJ864" i="1" s="1"/>
  <c r="Z864" i="1"/>
  <c r="AJ1146" i="1"/>
  <c r="Z1150" i="1"/>
  <c r="AJ785" i="1"/>
  <c r="R785" i="1" s="1"/>
  <c r="AJ774" i="1"/>
  <c r="R774" i="1" s="1"/>
  <c r="Z787" i="1"/>
  <c r="AJ645" i="1"/>
  <c r="R1147" i="1"/>
  <c r="R520" i="1"/>
  <c r="AJ1144" i="1"/>
  <c r="AJ1145" i="1" s="1"/>
  <c r="AZ1199" i="1" l="1"/>
  <c r="AZ1200" i="1" s="1"/>
  <c r="R1146" i="1"/>
  <c r="AJ1150" i="1"/>
  <c r="R787" i="1"/>
  <c r="AJ787" i="1"/>
  <c r="R645" i="1"/>
  <c r="R573" i="1"/>
  <c r="R828" i="1"/>
  <c r="R855" i="1"/>
  <c r="R1144" i="1"/>
  <c r="BB768" i="1"/>
  <c r="BB771" i="1" s="1"/>
  <c r="R834" i="1" l="1"/>
  <c r="R864" i="1"/>
  <c r="R1145" i="1"/>
  <c r="R1150" i="1"/>
  <c r="BB772" i="1"/>
  <c r="BB797" i="1" s="1"/>
  <c r="BB1199" i="1"/>
  <c r="BB1200" i="1" s="1"/>
  <c r="X844" i="1"/>
  <c r="X843" i="1"/>
  <c r="X842" i="1"/>
  <c r="X841" i="1"/>
  <c r="X854" i="1" l="1"/>
  <c r="X886" i="1" s="1"/>
  <c r="AB841" i="1"/>
  <c r="AD841" i="1"/>
  <c r="AD842" i="1"/>
  <c r="AB842" i="1"/>
  <c r="AB843" i="1"/>
  <c r="AD843" i="1"/>
  <c r="AD844" i="1"/>
  <c r="AB844" i="1"/>
  <c r="V841" i="1"/>
  <c r="T841" i="1"/>
  <c r="V842" i="1"/>
  <c r="T842" i="1"/>
  <c r="V843" i="1"/>
  <c r="V844" i="1"/>
  <c r="T844" i="1"/>
  <c r="AJ491" i="1" l="1"/>
  <c r="R491" i="1" s="1"/>
  <c r="T854" i="1"/>
  <c r="T886" i="1" s="1"/>
  <c r="V854" i="1"/>
  <c r="V886" i="1" s="1"/>
  <c r="AB854" i="1"/>
  <c r="AB886" i="1" s="1"/>
  <c r="AD854" i="1"/>
  <c r="AD886" i="1" s="1"/>
  <c r="X1143" i="1"/>
  <c r="X6" i="1" s="1"/>
  <c r="X1201" i="1"/>
  <c r="AH844" i="1"/>
  <c r="Z844" i="1"/>
  <c r="Z843" i="1"/>
  <c r="Z842" i="1"/>
  <c r="Z841" i="1"/>
  <c r="AH842" i="1"/>
  <c r="AH843" i="1"/>
  <c r="AH841" i="1"/>
  <c r="AH854" i="1" l="1"/>
  <c r="AH886" i="1" s="1"/>
  <c r="Z854" i="1"/>
  <c r="Z886" i="1" s="1"/>
  <c r="AB1143" i="1"/>
  <c r="AB1201" i="1"/>
  <c r="AD1143" i="1"/>
  <c r="AD6" i="1" s="1"/>
  <c r="AD1201" i="1"/>
  <c r="V1143" i="1"/>
  <c r="V6" i="1" s="1"/>
  <c r="V1201" i="1"/>
  <c r="T1143" i="1"/>
  <c r="T1201" i="1"/>
  <c r="X1202" i="1"/>
  <c r="X1203" i="1" s="1"/>
  <c r="W1176" i="1" s="1"/>
  <c r="AJ843" i="1"/>
  <c r="R843" i="1" s="1"/>
  <c r="AJ842" i="1"/>
  <c r="R842" i="1" s="1"/>
  <c r="AJ844" i="1"/>
  <c r="AJ841" i="1"/>
  <c r="AB1202" i="1" l="1"/>
  <c r="AB1203" i="1" s="1"/>
  <c r="AJ854" i="1"/>
  <c r="AJ886" i="1" s="1"/>
  <c r="X1174" i="1"/>
  <c r="Z1143" i="1"/>
  <c r="Z1202" i="1" s="1"/>
  <c r="Z1201" i="1"/>
  <c r="AH1143" i="1"/>
  <c r="AH1201" i="1"/>
  <c r="T1202" i="1"/>
  <c r="T1203" i="1" s="1"/>
  <c r="V1202" i="1"/>
  <c r="V1203" i="1" s="1"/>
  <c r="U1176" i="1" s="1"/>
  <c r="AD1202" i="1"/>
  <c r="AD1203" i="1" s="1"/>
  <c r="AC1176" i="1" s="1"/>
  <c r="R844" i="1"/>
  <c r="R841" i="1"/>
  <c r="AH1202" i="1" l="1"/>
  <c r="AH1203" i="1" s="1"/>
  <c r="R854" i="1"/>
  <c r="Z1203" i="1"/>
  <c r="AD1174" i="1"/>
  <c r="V1174" i="1"/>
  <c r="AJ1143" i="1"/>
  <c r="AJ1201" i="1"/>
  <c r="AR8" i="1"/>
  <c r="AR24" i="1" s="1"/>
  <c r="AR29" i="1" s="1"/>
  <c r="AR1177" i="1" s="1"/>
  <c r="AR1179" i="1" s="1"/>
  <c r="R886" i="1" l="1"/>
  <c r="AJ1202" i="1"/>
  <c r="AJ1203" i="1" s="1"/>
  <c r="BB8" i="1"/>
  <c r="BB24" i="1" s="1"/>
  <c r="BB29" i="1" s="1"/>
  <c r="BB1177" i="1" s="1"/>
  <c r="BB1179" i="1" s="1"/>
  <c r="R1201" i="1" l="1"/>
  <c r="R1143" i="1"/>
  <c r="R1202" i="1" s="1"/>
  <c r="R1203" i="1" l="1"/>
  <c r="AR128" i="1"/>
  <c r="BB128" i="1" s="1"/>
  <c r="AR118" i="1"/>
  <c r="BB118" i="1" l="1"/>
  <c r="AR119" i="1"/>
  <c r="BB119" i="1" s="1"/>
  <c r="AR138" i="1" l="1"/>
  <c r="BB138" i="1"/>
  <c r="AR139" i="1" l="1"/>
  <c r="AR237" i="1" s="1"/>
  <c r="AR6" i="1" s="1"/>
  <c r="AR1183" i="1"/>
  <c r="AR1185" i="1" s="1"/>
  <c r="AR1187" i="1" s="1"/>
  <c r="AQ1176" i="1" s="1"/>
  <c r="BB139" i="1"/>
  <c r="BB237" i="1" s="1"/>
  <c r="BB1183" i="1"/>
  <c r="BB1185" i="1" s="1"/>
  <c r="BB1187" i="1" s="1"/>
  <c r="AR1174" i="1" l="1"/>
  <c r="AH1157" i="1" l="1"/>
  <c r="AJ1157" i="1" s="1"/>
  <c r="R1157" i="1" s="1"/>
  <c r="AH1160" i="1"/>
  <c r="AJ1160" i="1" s="1"/>
  <c r="R1160" i="1" s="1"/>
  <c r="AB1161" i="1"/>
  <c r="AB6" i="1" s="1"/>
  <c r="AB1205" i="1" l="1"/>
  <c r="AA1176" i="1" s="1"/>
  <c r="AH1161" i="1"/>
  <c r="AH6" i="1" s="1"/>
  <c r="AJ1155" i="1"/>
  <c r="AB1174" i="1" l="1"/>
  <c r="AH1205" i="1"/>
  <c r="AG1176" i="1" s="1"/>
  <c r="AJ1161" i="1"/>
  <c r="AV1161" i="1"/>
  <c r="AV6" i="1" s="1"/>
  <c r="AZ1161" i="1"/>
  <c r="AZ6" i="1" s="1"/>
  <c r="AH1174" i="1" l="1"/>
  <c r="AZ1205" i="1"/>
  <c r="AY1176" i="1" s="1"/>
  <c r="AV1205" i="1"/>
  <c r="AU1176" i="1" s="1"/>
  <c r="AJ1205" i="1"/>
  <c r="BB1155" i="1"/>
  <c r="BB1161" i="1" s="1"/>
  <c r="BB6" i="1" s="1"/>
  <c r="AV1174" i="1" l="1"/>
  <c r="AZ1174" i="1"/>
  <c r="BB1205" i="1"/>
  <c r="BA1176" i="1" s="1"/>
  <c r="R1155" i="1"/>
  <c r="R1161" i="1" l="1"/>
  <c r="BB1174" i="1"/>
  <c r="R1205" i="1" l="1"/>
  <c r="T613" i="1"/>
  <c r="Z613" i="1" s="1"/>
  <c r="Y495" i="1"/>
  <c r="T495" i="1"/>
  <c r="Y765" i="1"/>
  <c r="T765" i="1"/>
  <c r="Y613" i="1"/>
  <c r="Y768" i="1"/>
  <c r="T768" i="1"/>
  <c r="S1196" i="1"/>
  <c r="AI765" i="1" l="1"/>
  <c r="Q765" i="1" s="1"/>
  <c r="AI613" i="1"/>
  <c r="AI495" i="1"/>
  <c r="Z768" i="1"/>
  <c r="Z765" i="1"/>
  <c r="AJ765" i="1" s="1"/>
  <c r="R765" i="1" s="1"/>
  <c r="Z495" i="1"/>
  <c r="AJ495" i="1" s="1"/>
  <c r="R495" i="1" s="1"/>
  <c r="AI768" i="1"/>
  <c r="T759" i="1" l="1"/>
  <c r="Z759" i="1" s="1"/>
  <c r="AJ759" i="1" s="1"/>
  <c r="R759" i="1" s="1"/>
  <c r="Y759" i="1"/>
  <c r="AI759" i="1" s="1"/>
  <c r="Q759" i="1" s="1"/>
  <c r="Y688" i="1"/>
  <c r="T688" i="1"/>
  <c r="Z688" i="1" s="1"/>
  <c r="AJ688" i="1" s="1"/>
  <c r="R688" i="1" s="1"/>
  <c r="Q613" i="1"/>
  <c r="Q495" i="1"/>
  <c r="T736" i="1"/>
  <c r="Z736" i="1" s="1"/>
  <c r="Y736" i="1"/>
  <c r="Y722" i="1"/>
  <c r="T722" i="1"/>
  <c r="Z722" i="1" s="1"/>
  <c r="Y667" i="1"/>
  <c r="T667" i="1"/>
  <c r="Q768" i="1"/>
  <c r="AJ768" i="1"/>
  <c r="AI688" i="1" l="1"/>
  <c r="Y544" i="1"/>
  <c r="T544" i="1"/>
  <c r="Z544" i="1" s="1"/>
  <c r="AJ544" i="1" s="1"/>
  <c r="R544" i="1" s="1"/>
  <c r="Y541" i="1"/>
  <c r="T541" i="1"/>
  <c r="Z541" i="1" s="1"/>
  <c r="AJ541" i="1" s="1"/>
  <c r="R541" i="1" s="1"/>
  <c r="Z667" i="1"/>
  <c r="AI736" i="1"/>
  <c r="AI722" i="1"/>
  <c r="Q722" i="1" s="1"/>
  <c r="AI667" i="1"/>
  <c r="R768" i="1"/>
  <c r="Q688" i="1" l="1"/>
  <c r="AI541" i="1"/>
  <c r="AI544" i="1"/>
  <c r="Q736" i="1"/>
  <c r="Q667" i="1"/>
  <c r="Q541" i="1" l="1"/>
  <c r="Q544" i="1"/>
  <c r="T493" i="1" l="1"/>
  <c r="Z493" i="1" s="1"/>
  <c r="Y493" i="1"/>
  <c r="AI493" i="1" l="1"/>
  <c r="Q493" i="1" l="1"/>
  <c r="Y293" i="1" l="1"/>
  <c r="T293" i="1"/>
  <c r="Z293" i="1" s="1"/>
  <c r="Y360" i="1"/>
  <c r="Y297" i="1"/>
  <c r="Y361" i="1"/>
  <c r="Z361" i="1"/>
  <c r="T363" i="1"/>
  <c r="Z363" i="1" s="1"/>
  <c r="T461" i="1"/>
  <c r="Z461" i="1" s="1"/>
  <c r="Y506" i="1"/>
  <c r="T599" i="1"/>
  <c r="Z599" i="1" s="1"/>
  <c r="Y599" i="1"/>
  <c r="Y606" i="1"/>
  <c r="T606" i="1"/>
  <c r="Z606" i="1" s="1"/>
  <c r="T618" i="1"/>
  <c r="Z618" i="1" s="1"/>
  <c r="Y611" i="1"/>
  <c r="T620" i="1"/>
  <c r="Z620" i="1" s="1"/>
  <c r="Y620" i="1"/>
  <c r="T647" i="1"/>
  <c r="Z647" i="1" s="1"/>
  <c r="Y647" i="1"/>
  <c r="Y653" i="1"/>
  <c r="Y657" i="1"/>
  <c r="T660" i="1"/>
  <c r="Z660" i="1" s="1"/>
  <c r="Y660" i="1"/>
  <c r="T663" i="1"/>
  <c r="Z663" i="1" s="1"/>
  <c r="T708" i="1"/>
  <c r="Z708" i="1" s="1"/>
  <c r="Y721" i="1"/>
  <c r="T721" i="1"/>
  <c r="Z721" i="1" s="1"/>
  <c r="Y724" i="1"/>
  <c r="T724" i="1"/>
  <c r="Z724" i="1" s="1"/>
  <c r="T602" i="1"/>
  <c r="Z602" i="1" s="1"/>
  <c r="Y602" i="1"/>
  <c r="T605" i="1"/>
  <c r="Z605" i="1" s="1"/>
  <c r="Y605" i="1"/>
  <c r="T607" i="1"/>
  <c r="Z607" i="1" s="1"/>
  <c r="Y609" i="1"/>
  <c r="T609" i="1"/>
  <c r="Z609" i="1" s="1"/>
  <c r="Y617" i="1"/>
  <c r="T643" i="1"/>
  <c r="Z643" i="1" s="1"/>
  <c r="Y643" i="1"/>
  <c r="T648" i="1"/>
  <c r="Z648" i="1" s="1"/>
  <c r="Y648" i="1"/>
  <c r="T650" i="1"/>
  <c r="Z650" i="1" s="1"/>
  <c r="T651" i="1"/>
  <c r="Z651" i="1" s="1"/>
  <c r="Y651" i="1"/>
  <c r="T652" i="1"/>
  <c r="Z652" i="1" s="1"/>
  <c r="T654" i="1"/>
  <c r="Z654" i="1" s="1"/>
  <c r="Y662" i="1"/>
  <c r="Y737" i="1"/>
  <c r="Y762" i="1"/>
  <c r="Y121" i="1"/>
  <c r="Y123" i="1"/>
  <c r="T121" i="1"/>
  <c r="Z121" i="1" s="1"/>
  <c r="Y618" i="1"/>
  <c r="Y649" i="1"/>
  <c r="T123" i="1"/>
  <c r="Z123" i="1" s="1"/>
  <c r="T653" i="1"/>
  <c r="Z653" i="1" s="1"/>
  <c r="T685" i="1"/>
  <c r="Z685" i="1" s="1"/>
  <c r="T649" i="1"/>
  <c r="Z649" i="1" s="1"/>
  <c r="Y120" i="1"/>
  <c r="T120" i="1"/>
  <c r="Z120" i="1" s="1"/>
  <c r="Y663" i="1"/>
  <c r="Y654" i="1"/>
  <c r="T610" i="1"/>
  <c r="Z610" i="1" s="1"/>
  <c r="Y652" i="1"/>
  <c r="Y720" i="1"/>
  <c r="Y708" i="1"/>
  <c r="Y461" i="1"/>
  <c r="Y725" i="1"/>
  <c r="T608" i="1"/>
  <c r="Z608" i="1" s="1"/>
  <c r="T737" i="1"/>
  <c r="Z737" i="1" s="1"/>
  <c r="Y650" i="1"/>
  <c r="T617" i="1"/>
  <c r="Z617" i="1" s="1"/>
  <c r="AJ617" i="1" s="1"/>
  <c r="R617" i="1" s="1"/>
  <c r="T612" i="1"/>
  <c r="Z612" i="1" s="1"/>
  <c r="Y612" i="1"/>
  <c r="Y610" i="1"/>
  <c r="T657" i="1"/>
  <c r="Z657" i="1" s="1"/>
  <c r="T611" i="1"/>
  <c r="Z611" i="1" s="1"/>
  <c r="Y659" i="1"/>
  <c r="Y607" i="1"/>
  <c r="T506" i="1"/>
  <c r="Z506" i="1" s="1"/>
  <c r="Y363" i="1"/>
  <c r="T297" i="1"/>
  <c r="Z297" i="1" s="1"/>
  <c r="T762" i="1"/>
  <c r="Z762" i="1" s="1"/>
  <c r="T725" i="1"/>
  <c r="Z725" i="1" s="1"/>
  <c r="T720" i="1"/>
  <c r="Z720" i="1" s="1"/>
  <c r="T662" i="1"/>
  <c r="Z662" i="1" s="1"/>
  <c r="T659" i="1"/>
  <c r="Z659" i="1" s="1"/>
  <c r="Y685" i="1"/>
  <c r="Y608" i="1"/>
  <c r="T360" i="1"/>
  <c r="Z360" i="1" s="1"/>
  <c r="Y460" i="1"/>
  <c r="Y646" i="1"/>
  <c r="T460" i="1"/>
  <c r="T646" i="1"/>
  <c r="Y463" i="1"/>
  <c r="Y516" i="1"/>
  <c r="Y598" i="1"/>
  <c r="T463" i="1"/>
  <c r="T516" i="1"/>
  <c r="T519" i="1" s="1"/>
  <c r="T598" i="1"/>
  <c r="Y519" i="1" l="1"/>
  <c r="AI612" i="1"/>
  <c r="AI762" i="1"/>
  <c r="AI653" i="1"/>
  <c r="AI461" i="1"/>
  <c r="AI737" i="1"/>
  <c r="AI361" i="1"/>
  <c r="AI602" i="1"/>
  <c r="AI360" i="1"/>
  <c r="AI293" i="1"/>
  <c r="Q293" i="1" s="1"/>
  <c r="AI363" i="1"/>
  <c r="AI657" i="1"/>
  <c r="AI608" i="1"/>
  <c r="AI607" i="1"/>
  <c r="AI652" i="1"/>
  <c r="AI663" i="1"/>
  <c r="Q663" i="1" s="1"/>
  <c r="AI618" i="1"/>
  <c r="AI648" i="1"/>
  <c r="AI617" i="1"/>
  <c r="AI605" i="1"/>
  <c r="AI599" i="1"/>
  <c r="AI685" i="1"/>
  <c r="AI659" i="1"/>
  <c r="AI651" i="1"/>
  <c r="AI721" i="1"/>
  <c r="AI660" i="1"/>
  <c r="AI620" i="1"/>
  <c r="AI725" i="1"/>
  <c r="AI708" i="1"/>
  <c r="AI662" i="1"/>
  <c r="AI643" i="1"/>
  <c r="AI609" i="1"/>
  <c r="AI606" i="1"/>
  <c r="AI506" i="1"/>
  <c r="AI610" i="1"/>
  <c r="Q610" i="1" s="1"/>
  <c r="AI650" i="1"/>
  <c r="AI720" i="1"/>
  <c r="AI654" i="1"/>
  <c r="AI649" i="1"/>
  <c r="AI724" i="1"/>
  <c r="AI647" i="1"/>
  <c r="AI611" i="1"/>
  <c r="AI297" i="1"/>
  <c r="AI120" i="1"/>
  <c r="AI123" i="1"/>
  <c r="AI121" i="1"/>
  <c r="Y462" i="1"/>
  <c r="AI460" i="1"/>
  <c r="Z516" i="1"/>
  <c r="Z519" i="1" s="1"/>
  <c r="AI516" i="1"/>
  <c r="T462" i="1"/>
  <c r="Z460" i="1"/>
  <c r="Z462" i="1" s="1"/>
  <c r="Z598" i="1"/>
  <c r="Z463" i="1"/>
  <c r="Z646" i="1"/>
  <c r="AI646" i="1"/>
  <c r="AI598" i="1"/>
  <c r="AI463" i="1"/>
  <c r="Q762" i="1" l="1"/>
  <c r="Q363" i="1"/>
  <c r="Q297" i="1"/>
  <c r="AI462" i="1"/>
  <c r="Q360" i="1"/>
  <c r="Q602" i="1"/>
  <c r="Q361" i="1"/>
  <c r="Q737" i="1"/>
  <c r="AI519" i="1"/>
  <c r="Q657" i="1"/>
  <c r="Q461" i="1"/>
  <c r="Q653" i="1"/>
  <c r="Q612" i="1"/>
  <c r="Q646" i="1"/>
  <c r="Q647" i="1"/>
  <c r="Q654" i="1"/>
  <c r="Q720" i="1"/>
  <c r="Q606" i="1"/>
  <c r="Q643" i="1"/>
  <c r="Q725" i="1"/>
  <c r="Q660" i="1"/>
  <c r="Q721" i="1"/>
  <c r="Q659" i="1"/>
  <c r="Q685" i="1"/>
  <c r="Q605" i="1"/>
  <c r="Q648" i="1"/>
  <c r="Q607" i="1"/>
  <c r="Q611" i="1"/>
  <c r="Q724" i="1"/>
  <c r="Q649" i="1"/>
  <c r="Q650" i="1"/>
  <c r="Q506" i="1"/>
  <c r="Q609" i="1"/>
  <c r="Q662" i="1"/>
  <c r="Q708" i="1"/>
  <c r="Q620" i="1"/>
  <c r="Q651" i="1"/>
  <c r="Q599" i="1"/>
  <c r="Q617" i="1"/>
  <c r="Q618" i="1"/>
  <c r="Q652" i="1"/>
  <c r="Q608" i="1"/>
  <c r="Q121" i="1"/>
  <c r="Q123" i="1"/>
  <c r="Q120" i="1"/>
  <c r="AJ598" i="1"/>
  <c r="R598" i="1" s="1"/>
  <c r="Q516" i="1"/>
  <c r="Q460" i="1"/>
  <c r="AJ708" i="1"/>
  <c r="R708" i="1" s="1"/>
  <c r="Q463" i="1"/>
  <c r="Q598" i="1"/>
  <c r="Q462" i="1" l="1"/>
  <c r="Q519" i="1"/>
  <c r="AJ722" i="1" l="1"/>
  <c r="R722" i="1" s="1"/>
  <c r="AJ736" i="1"/>
  <c r="R736" i="1" s="1"/>
  <c r="AJ667" i="1"/>
  <c r="R667" i="1" l="1"/>
  <c r="AJ613" i="1"/>
  <c r="R613" i="1" s="1"/>
  <c r="AJ293" i="1"/>
  <c r="R293" i="1" s="1"/>
  <c r="AJ360" i="1"/>
  <c r="R360" i="1" s="1"/>
  <c r="AJ297" i="1"/>
  <c r="R297" i="1" s="1"/>
  <c r="AJ361" i="1"/>
  <c r="R361" i="1" s="1"/>
  <c r="AJ363" i="1"/>
  <c r="R363" i="1" s="1"/>
  <c r="AJ461" i="1"/>
  <c r="R461" i="1" s="1"/>
  <c r="AJ493" i="1"/>
  <c r="R493" i="1" s="1"/>
  <c r="AJ506" i="1"/>
  <c r="R506" i="1" s="1"/>
  <c r="AJ599" i="1"/>
  <c r="R599" i="1" s="1"/>
  <c r="AJ606" i="1"/>
  <c r="R606" i="1" s="1"/>
  <c r="AJ608" i="1"/>
  <c r="R608" i="1" s="1"/>
  <c r="AJ618" i="1"/>
  <c r="R618" i="1" s="1"/>
  <c r="AJ611" i="1"/>
  <c r="R611" i="1" s="1"/>
  <c r="AJ663" i="1"/>
  <c r="AJ610" i="1"/>
  <c r="AJ620" i="1"/>
  <c r="R620" i="1" s="1"/>
  <c r="AJ647" i="1"/>
  <c r="R647" i="1" s="1"/>
  <c r="AJ649" i="1"/>
  <c r="R649" i="1" s="1"/>
  <c r="AJ653" i="1"/>
  <c r="R653" i="1" s="1"/>
  <c r="AJ657" i="1"/>
  <c r="R657" i="1" s="1"/>
  <c r="AJ660" i="1"/>
  <c r="R660" i="1" s="1"/>
  <c r="AJ685" i="1"/>
  <c r="R685" i="1" s="1"/>
  <c r="AJ721" i="1"/>
  <c r="R721" i="1" s="1"/>
  <c r="AJ724" i="1"/>
  <c r="R724" i="1" s="1"/>
  <c r="AJ602" i="1"/>
  <c r="R602" i="1" s="1"/>
  <c r="AJ605" i="1"/>
  <c r="R605" i="1" s="1"/>
  <c r="AJ607" i="1"/>
  <c r="R607" i="1" s="1"/>
  <c r="AJ609" i="1"/>
  <c r="R609" i="1" s="1"/>
  <c r="AJ612" i="1"/>
  <c r="R612" i="1" s="1"/>
  <c r="AJ643" i="1"/>
  <c r="R643" i="1" s="1"/>
  <c r="AJ648" i="1"/>
  <c r="R648" i="1" s="1"/>
  <c r="AJ650" i="1"/>
  <c r="R650" i="1" s="1"/>
  <c r="AJ651" i="1"/>
  <c r="R651" i="1" s="1"/>
  <c r="AJ652" i="1"/>
  <c r="R652" i="1" s="1"/>
  <c r="AJ654" i="1"/>
  <c r="R654" i="1" s="1"/>
  <c r="AJ659" i="1"/>
  <c r="R659" i="1" s="1"/>
  <c r="AJ662" i="1"/>
  <c r="R662" i="1" s="1"/>
  <c r="AJ720" i="1"/>
  <c r="R720" i="1" s="1"/>
  <c r="AJ725" i="1"/>
  <c r="R725" i="1" s="1"/>
  <c r="AJ737" i="1"/>
  <c r="R737" i="1" s="1"/>
  <c r="AJ762" i="1"/>
  <c r="R762" i="1" s="1"/>
  <c r="AJ123" i="1"/>
  <c r="R123" i="1" s="1"/>
  <c r="AJ121" i="1"/>
  <c r="R121" i="1" s="1"/>
  <c r="AJ120" i="1"/>
  <c r="R120" i="1" s="1"/>
  <c r="AJ460" i="1"/>
  <c r="AJ646" i="1"/>
  <c r="AJ463" i="1"/>
  <c r="AJ516" i="1"/>
  <c r="AJ519" i="1" s="1"/>
  <c r="AJ596" i="1"/>
  <c r="R663" i="1" l="1"/>
  <c r="R610" i="1"/>
  <c r="AJ462" i="1"/>
  <c r="R596" i="1"/>
  <c r="R463" i="1"/>
  <c r="R516" i="1"/>
  <c r="R646" i="1"/>
  <c r="R460" i="1"/>
  <c r="R462" i="1" l="1"/>
  <c r="R519" i="1"/>
  <c r="Y310" i="1"/>
  <c r="AI310" i="1" s="1"/>
  <c r="Q310" i="1" s="1"/>
  <c r="Y304" i="1"/>
  <c r="AI304" i="1" s="1"/>
  <c r="Q304" i="1" s="1"/>
  <c r="Y307" i="1"/>
  <c r="AI307" i="1" s="1"/>
  <c r="Q307" i="1" s="1"/>
  <c r="Y290" i="1"/>
  <c r="AI290" i="1" s="1"/>
  <c r="Q290" i="1" s="1"/>
  <c r="Y386" i="1"/>
  <c r="AI386" i="1" s="1"/>
  <c r="Q386" i="1" s="1"/>
  <c r="Y58" i="1"/>
  <c r="AI58" i="1" s="1"/>
  <c r="Q58" i="1" s="1"/>
  <c r="Y57" i="1"/>
  <c r="AI57" i="1" s="1"/>
  <c r="Q57" i="1" s="1"/>
  <c r="T386" i="1"/>
  <c r="Z386" i="1" s="1"/>
  <c r="AJ386" i="1" s="1"/>
  <c r="R386" i="1" s="1"/>
  <c r="Y314" i="1"/>
  <c r="AI314" i="1" s="1"/>
  <c r="Q314" i="1" s="1"/>
  <c r="Y350" i="1"/>
  <c r="AI350" i="1" s="1"/>
  <c r="Q350" i="1" s="1"/>
  <c r="Y305" i="1"/>
  <c r="AI305" i="1" s="1"/>
  <c r="Q305" i="1" s="1"/>
  <c r="Y48" i="1"/>
  <c r="AI48" i="1" s="1"/>
  <c r="Q48" i="1" s="1"/>
  <c r="T349" i="1"/>
  <c r="Z349" i="1" s="1"/>
  <c r="AJ349" i="1" s="1"/>
  <c r="R349" i="1" s="1"/>
  <c r="Y183" i="1"/>
  <c r="AI183" i="1" s="1"/>
  <c r="Q183" i="1" s="1"/>
  <c r="Y713" i="1"/>
  <c r="AI713" i="1" s="1"/>
  <c r="Q713" i="1" s="1"/>
  <c r="Y313" i="1"/>
  <c r="AI313" i="1" s="1"/>
  <c r="Q313" i="1" s="1"/>
  <c r="Y312" i="1"/>
  <c r="AI312" i="1" s="1"/>
  <c r="Q312" i="1" s="1"/>
  <c r="Y66" i="1"/>
  <c r="AI66" i="1" s="1"/>
  <c r="Q66" i="1" s="1"/>
  <c r="T304" i="1"/>
  <c r="Z304" i="1" s="1"/>
  <c r="AJ304" i="1" s="1"/>
  <c r="R304" i="1" s="1"/>
  <c r="T312" i="1"/>
  <c r="Z312" i="1" s="1"/>
  <c r="AJ312" i="1" s="1"/>
  <c r="R312" i="1" s="1"/>
  <c r="T47" i="1"/>
  <c r="Z47" i="1" s="1"/>
  <c r="AJ47" i="1" s="1"/>
  <c r="R47" i="1" s="1"/>
  <c r="Y47" i="1"/>
  <c r="AI47" i="1" s="1"/>
  <c r="Q47" i="1" s="1"/>
  <c r="Y49" i="1"/>
  <c r="AI49" i="1" s="1"/>
  <c r="Q49" i="1" s="1"/>
  <c r="Y546" i="1"/>
  <c r="AI546" i="1" s="1"/>
  <c r="Q546" i="1" s="1"/>
  <c r="Y300" i="1"/>
  <c r="AI300" i="1" s="1"/>
  <c r="Q300" i="1" s="1"/>
  <c r="T713" i="1"/>
  <c r="Z713" i="1" s="1"/>
  <c r="AJ713" i="1" s="1"/>
  <c r="R713" i="1" s="1"/>
  <c r="T49" i="1"/>
  <c r="Z49" i="1" s="1"/>
  <c r="AJ49" i="1" s="1"/>
  <c r="R49" i="1" s="1"/>
  <c r="T354" i="1"/>
  <c r="Z354" i="1" s="1"/>
  <c r="AJ354" i="1" s="1"/>
  <c r="R354" i="1" s="1"/>
  <c r="Y180" i="1"/>
  <c r="AI180" i="1" s="1"/>
  <c r="Q180" i="1" s="1"/>
  <c r="Y353" i="1"/>
  <c r="AI353" i="1" s="1"/>
  <c r="Q353" i="1" s="1"/>
  <c r="Y352" i="1"/>
  <c r="AI352" i="1" s="1"/>
  <c r="Q352" i="1" s="1"/>
  <c r="Y385" i="1"/>
  <c r="AI385" i="1" s="1"/>
  <c r="Q385" i="1" s="1"/>
  <c r="T381" i="1"/>
  <c r="Z381" i="1" s="1"/>
  <c r="AJ381" i="1" s="1"/>
  <c r="R381" i="1" s="1"/>
  <c r="Y381" i="1"/>
  <c r="AI381" i="1" s="1"/>
  <c r="Q381" i="1" s="1"/>
  <c r="T61" i="1"/>
  <c r="Z61" i="1" s="1"/>
  <c r="AJ61" i="1" s="1"/>
  <c r="R61" i="1" s="1"/>
  <c r="Y182" i="1"/>
  <c r="AI182" i="1" s="1"/>
  <c r="Q182" i="1" s="1"/>
  <c r="T182" i="1"/>
  <c r="Z182" i="1" s="1"/>
  <c r="AJ182" i="1" s="1"/>
  <c r="R182" i="1" s="1"/>
  <c r="T58" i="1"/>
  <c r="Z58" i="1" s="1"/>
  <c r="AJ58" i="1" s="1"/>
  <c r="R58" i="1" s="1"/>
  <c r="T348" i="1"/>
  <c r="Z348" i="1" s="1"/>
  <c r="AJ348" i="1" s="1"/>
  <c r="R348" i="1" s="1"/>
  <c r="T313" i="1"/>
  <c r="Z313" i="1" s="1"/>
  <c r="AJ313" i="1" s="1"/>
  <c r="R313" i="1" s="1"/>
  <c r="T307" i="1"/>
  <c r="Z307" i="1" s="1"/>
  <c r="AJ307" i="1" s="1"/>
  <c r="R307" i="1" s="1"/>
  <c r="T305" i="1"/>
  <c r="Z305" i="1" s="1"/>
  <c r="AJ305" i="1" s="1"/>
  <c r="R305" i="1" s="1"/>
  <c r="T350" i="1"/>
  <c r="Z350" i="1" s="1"/>
  <c r="AJ350" i="1" s="1"/>
  <c r="R350" i="1" s="1"/>
  <c r="Y179" i="1"/>
  <c r="AI179" i="1" s="1"/>
  <c r="Q179" i="1" s="1"/>
  <c r="T183" i="1"/>
  <c r="Z183" i="1" s="1"/>
  <c r="AJ183" i="1" s="1"/>
  <c r="R183" i="1" s="1"/>
  <c r="T290" i="1"/>
  <c r="Z290" i="1" s="1"/>
  <c r="AJ290" i="1" s="1"/>
  <c r="R290" i="1" s="1"/>
  <c r="T48" i="1"/>
  <c r="Z48" i="1" s="1"/>
  <c r="AJ48" i="1" s="1"/>
  <c r="R48" i="1" s="1"/>
  <c r="T546" i="1"/>
  <c r="Z546" i="1" s="1"/>
  <c r="AJ546" i="1" s="1"/>
  <c r="R546" i="1" s="1"/>
  <c r="T43" i="1"/>
  <c r="Z43" i="1" s="1"/>
  <c r="AJ43" i="1" s="1"/>
  <c r="R43" i="1" s="1"/>
  <c r="Y536" i="1"/>
  <c r="AI536" i="1" s="1"/>
  <c r="Q536" i="1" s="1"/>
  <c r="Y347" i="1"/>
  <c r="AI347" i="1" s="1"/>
  <c r="Q347" i="1" s="1"/>
  <c r="Y160" i="1"/>
  <c r="AI160" i="1" s="1"/>
  <c r="Q160" i="1" s="1"/>
  <c r="Y247" i="1"/>
  <c r="AI247" i="1" s="1"/>
  <c r="Q247" i="1" s="1"/>
  <c r="Y61" i="1"/>
  <c r="AI61" i="1" s="1"/>
  <c r="Q61" i="1" s="1"/>
  <c r="Y306" i="1"/>
  <c r="AI306" i="1" s="1"/>
  <c r="Q306" i="1" s="1"/>
  <c r="T57" i="1"/>
  <c r="Z57" i="1" s="1"/>
  <c r="AJ57" i="1" s="1"/>
  <c r="R57" i="1" s="1"/>
  <c r="T306" i="1"/>
  <c r="Z306" i="1" s="1"/>
  <c r="AJ306" i="1" s="1"/>
  <c r="R306" i="1" s="1"/>
  <c r="Y64" i="1"/>
  <c r="AI64" i="1" s="1"/>
  <c r="Q64" i="1" s="1"/>
  <c r="T63" i="1"/>
  <c r="Z63" i="1" s="1"/>
  <c r="AJ63" i="1" s="1"/>
  <c r="R63" i="1" s="1"/>
  <c r="Y190" i="1"/>
  <c r="AI190" i="1" s="1"/>
  <c r="Q190" i="1" s="1"/>
  <c r="Y165" i="1"/>
  <c r="AI165" i="1" s="1"/>
  <c r="Q165" i="1" s="1"/>
  <c r="Y43" i="1"/>
  <c r="AI43" i="1" s="1"/>
  <c r="Q43" i="1" s="1"/>
  <c r="Y354" i="1"/>
  <c r="AI354" i="1" s="1"/>
  <c r="Q354" i="1" s="1"/>
  <c r="T156" i="1"/>
  <c r="Z156" i="1" s="1"/>
  <c r="AJ156" i="1" s="1"/>
  <c r="R156" i="1" s="1"/>
  <c r="Y351" i="1"/>
  <c r="AI351" i="1" s="1"/>
  <c r="Q351" i="1" s="1"/>
  <c r="T165" i="1"/>
  <c r="Z165" i="1" s="1"/>
  <c r="AJ165" i="1" s="1"/>
  <c r="R165" i="1" s="1"/>
  <c r="Y177" i="1"/>
  <c r="AI177" i="1" s="1"/>
  <c r="Q177" i="1" s="1"/>
  <c r="T42" i="1"/>
  <c r="Z42" i="1" s="1"/>
  <c r="AJ42" i="1" s="1"/>
  <c r="R42" i="1" s="1"/>
  <c r="T175" i="1"/>
  <c r="T351" i="1"/>
  <c r="Z351" i="1" s="1"/>
  <c r="AJ351" i="1" s="1"/>
  <c r="R351" i="1" s="1"/>
  <c r="Y380" i="1"/>
  <c r="AI380" i="1" s="1"/>
  <c r="Q380" i="1" s="1"/>
  <c r="Y166" i="1"/>
  <c r="AI166" i="1" s="1"/>
  <c r="Q166" i="1" s="1"/>
  <c r="T166" i="1"/>
  <c r="Z166" i="1" s="1"/>
  <c r="AJ166" i="1" s="1"/>
  <c r="R166" i="1" s="1"/>
  <c r="T449" i="1"/>
  <c r="Z449" i="1" s="1"/>
  <c r="AJ449" i="1" s="1"/>
  <c r="R449" i="1" s="1"/>
  <c r="Y246" i="1"/>
  <c r="AI246" i="1" s="1"/>
  <c r="Q246" i="1" s="1"/>
  <c r="Y250" i="1"/>
  <c r="AI250" i="1" s="1"/>
  <c r="Q250" i="1" s="1"/>
  <c r="Y384" i="1"/>
  <c r="AI384" i="1" s="1"/>
  <c r="Q384" i="1" s="1"/>
  <c r="Y715" i="1"/>
  <c r="AI715" i="1" s="1"/>
  <c r="Q715" i="1" s="1"/>
  <c r="Y426" i="1"/>
  <c r="AI426" i="1" s="1"/>
  <c r="Q426" i="1" s="1"/>
  <c r="T246" i="1"/>
  <c r="Z246" i="1" s="1"/>
  <c r="AJ246" i="1" s="1"/>
  <c r="R246" i="1" s="1"/>
  <c r="T249" i="1"/>
  <c r="Z249" i="1" s="1"/>
  <c r="AJ249" i="1" s="1"/>
  <c r="R249" i="1" s="1"/>
  <c r="T251" i="1"/>
  <c r="Z251" i="1" s="1"/>
  <c r="AJ251" i="1" s="1"/>
  <c r="R251" i="1" s="1"/>
  <c r="Y414" i="1"/>
  <c r="AI414" i="1" s="1"/>
  <c r="Q414" i="1" s="1"/>
  <c r="T247" i="1"/>
  <c r="Z247" i="1" s="1"/>
  <c r="AJ247" i="1" s="1"/>
  <c r="R247" i="1" s="1"/>
  <c r="T252" i="1"/>
  <c r="Z252" i="1" s="1"/>
  <c r="AJ252" i="1" s="1"/>
  <c r="R252" i="1" s="1"/>
  <c r="T385" i="1"/>
  <c r="Z385" i="1" s="1"/>
  <c r="AJ385" i="1" s="1"/>
  <c r="R385" i="1" s="1"/>
  <c r="Y349" i="1"/>
  <c r="AI349" i="1" s="1"/>
  <c r="Q349" i="1" s="1"/>
  <c r="T314" i="1"/>
  <c r="Z314" i="1" s="1"/>
  <c r="AJ314" i="1" s="1"/>
  <c r="R314" i="1" s="1"/>
  <c r="T179" i="1"/>
  <c r="Z179" i="1" s="1"/>
  <c r="AJ179" i="1" s="1"/>
  <c r="R179" i="1" s="1"/>
  <c r="T300" i="1"/>
  <c r="Z300" i="1" s="1"/>
  <c r="AJ300" i="1" s="1"/>
  <c r="R300" i="1" s="1"/>
  <c r="T177" i="1"/>
  <c r="T352" i="1"/>
  <c r="Z352" i="1" s="1"/>
  <c r="AJ352" i="1" s="1"/>
  <c r="R352" i="1" s="1"/>
  <c r="T380" i="1"/>
  <c r="Z380" i="1" s="1"/>
  <c r="AJ380" i="1" s="1"/>
  <c r="R380" i="1" s="1"/>
  <c r="Y346" i="1"/>
  <c r="AI346" i="1" s="1"/>
  <c r="Q346" i="1" s="1"/>
  <c r="T536" i="1"/>
  <c r="Z536" i="1" s="1"/>
  <c r="AJ536" i="1" s="1"/>
  <c r="R536" i="1" s="1"/>
  <c r="Y496" i="1"/>
  <c r="AI496" i="1" s="1"/>
  <c r="Q496" i="1" s="1"/>
  <c r="Y252" i="1"/>
  <c r="AI252" i="1" s="1"/>
  <c r="Q252" i="1" s="1"/>
  <c r="Y679" i="1"/>
  <c r="AI679" i="1" s="1"/>
  <c r="Q679" i="1" s="1"/>
  <c r="Y268" i="1"/>
  <c r="AI268" i="1" s="1"/>
  <c r="Q268" i="1" s="1"/>
  <c r="Y348" i="1"/>
  <c r="AI348" i="1" s="1"/>
  <c r="Q348" i="1" s="1"/>
  <c r="T184" i="1"/>
  <c r="Z184" i="1" s="1"/>
  <c r="AJ184" i="1" s="1"/>
  <c r="R184" i="1" s="1"/>
  <c r="T66" i="1"/>
  <c r="Z66" i="1" s="1"/>
  <c r="AJ66" i="1" s="1"/>
  <c r="R66" i="1" s="1"/>
  <c r="Y42" i="1"/>
  <c r="AI42" i="1" s="1"/>
  <c r="Q42" i="1" s="1"/>
  <c r="Y758" i="1"/>
  <c r="AI758" i="1" s="1"/>
  <c r="Q758" i="1" s="1"/>
  <c r="Y410" i="1"/>
  <c r="AI410" i="1" s="1"/>
  <c r="Q410" i="1" s="1"/>
  <c r="T410" i="1"/>
  <c r="Z410" i="1" s="1"/>
  <c r="AJ410" i="1" s="1"/>
  <c r="R410" i="1" s="1"/>
  <c r="Y249" i="1"/>
  <c r="AI249" i="1" s="1"/>
  <c r="Q249" i="1" s="1"/>
  <c r="Y251" i="1"/>
  <c r="AI251" i="1" s="1"/>
  <c r="Q251" i="1" s="1"/>
  <c r="Y456" i="1"/>
  <c r="AI456" i="1" s="1"/>
  <c r="Q456" i="1" s="1"/>
  <c r="T414" i="1"/>
  <c r="Z414" i="1" s="1"/>
  <c r="AJ414" i="1" s="1"/>
  <c r="R414" i="1" s="1"/>
  <c r="T679" i="1"/>
  <c r="Z679" i="1" s="1"/>
  <c r="AJ679" i="1" s="1"/>
  <c r="R679" i="1" s="1"/>
  <c r="Y265" i="1"/>
  <c r="AI265" i="1" s="1"/>
  <c r="Q265" i="1" s="1"/>
  <c r="Y344" i="1"/>
  <c r="AI344" i="1" s="1"/>
  <c r="Q344" i="1" s="1"/>
  <c r="Y455" i="1"/>
  <c r="AI455" i="1" s="1"/>
  <c r="Q455" i="1" s="1"/>
  <c r="Y740" i="1"/>
  <c r="AI740" i="1" s="1"/>
  <c r="Q740" i="1" s="1"/>
  <c r="Y397" i="1"/>
  <c r="AI397" i="1" s="1"/>
  <c r="Q397" i="1" s="1"/>
  <c r="T310" i="1"/>
  <c r="Z310" i="1" s="1"/>
  <c r="AJ310" i="1" s="1"/>
  <c r="R310" i="1" s="1"/>
  <c r="T64" i="1"/>
  <c r="Z64" i="1" s="1"/>
  <c r="AJ64" i="1" s="1"/>
  <c r="R64" i="1" s="1"/>
  <c r="Y175" i="1"/>
  <c r="AI175" i="1" s="1"/>
  <c r="Q175" i="1" s="1"/>
  <c r="T180" i="1"/>
  <c r="Z180" i="1" s="1"/>
  <c r="AJ180" i="1" s="1"/>
  <c r="R180" i="1" s="1"/>
  <c r="Y379" i="1"/>
  <c r="AI379" i="1" s="1"/>
  <c r="Q379" i="1" s="1"/>
  <c r="T758" i="1"/>
  <c r="Z758" i="1" s="1"/>
  <c r="AJ758" i="1" s="1"/>
  <c r="R758" i="1" s="1"/>
  <c r="T347" i="1"/>
  <c r="Z347" i="1" s="1"/>
  <c r="AJ347" i="1" s="1"/>
  <c r="R347" i="1" s="1"/>
  <c r="T160" i="1"/>
  <c r="Z160" i="1" s="1"/>
  <c r="AJ160" i="1" s="1"/>
  <c r="R160" i="1" s="1"/>
  <c r="T250" i="1"/>
  <c r="Z250" i="1" s="1"/>
  <c r="AJ250" i="1" s="1"/>
  <c r="R250" i="1" s="1"/>
  <c r="Y73" i="1"/>
  <c r="AI73" i="1" s="1"/>
  <c r="Q73" i="1" s="1"/>
  <c r="T102" i="1"/>
  <c r="Z102" i="1" s="1"/>
  <c r="AJ102" i="1" s="1"/>
  <c r="R102" i="1" s="1"/>
  <c r="Y266" i="1"/>
  <c r="AI266" i="1" s="1"/>
  <c r="Q266" i="1" s="1"/>
  <c r="Y267" i="1"/>
  <c r="AI267" i="1" s="1"/>
  <c r="Q267" i="1" s="1"/>
  <c r="T266" i="1"/>
  <c r="Z266" i="1" s="1"/>
  <c r="AJ266" i="1" s="1"/>
  <c r="R266" i="1" s="1"/>
  <c r="Y457" i="1"/>
  <c r="AI457" i="1" s="1"/>
  <c r="Q457" i="1" s="1"/>
  <c r="T265" i="1"/>
  <c r="Z265" i="1" s="1"/>
  <c r="AJ265" i="1" s="1"/>
  <c r="R265" i="1" s="1"/>
  <c r="Y75" i="1"/>
  <c r="AI75" i="1" s="1"/>
  <c r="Q75" i="1" s="1"/>
  <c r="Y421" i="1"/>
  <c r="AI421" i="1" s="1"/>
  <c r="Q421" i="1" s="1"/>
  <c r="T303" i="1"/>
  <c r="Z303" i="1" s="1"/>
  <c r="AJ303" i="1" s="1"/>
  <c r="R303" i="1" s="1"/>
  <c r="Y161" i="1"/>
  <c r="AI161" i="1" s="1"/>
  <c r="Q161" i="1" s="1"/>
  <c r="Y157" i="1"/>
  <c r="AI157" i="1" s="1"/>
  <c r="Q157" i="1" s="1"/>
  <c r="T158" i="1"/>
  <c r="Z158" i="1" s="1"/>
  <c r="AJ158" i="1" s="1"/>
  <c r="R158" i="1" s="1"/>
  <c r="Y447" i="1"/>
  <c r="AI447" i="1" s="1"/>
  <c r="Q447" i="1" s="1"/>
  <c r="Y327" i="1"/>
  <c r="AI327" i="1" s="1"/>
  <c r="Q327" i="1" s="1"/>
  <c r="Y444" i="1"/>
  <c r="AI444" i="1" s="1"/>
  <c r="Q444" i="1" s="1"/>
  <c r="Y184" i="1"/>
  <c r="AI184" i="1" s="1"/>
  <c r="Q184" i="1" s="1"/>
  <c r="Y63" i="1"/>
  <c r="AI63" i="1" s="1"/>
  <c r="Q63" i="1" s="1"/>
  <c r="Y156" i="1"/>
  <c r="AI156" i="1" s="1"/>
  <c r="Q156" i="1" s="1"/>
  <c r="T190" i="1"/>
  <c r="Z190" i="1" s="1"/>
  <c r="AJ190" i="1" s="1"/>
  <c r="R190" i="1" s="1"/>
  <c r="T353" i="1"/>
  <c r="Z353" i="1" s="1"/>
  <c r="AJ353" i="1" s="1"/>
  <c r="R353" i="1" s="1"/>
  <c r="T379" i="1"/>
  <c r="Z379" i="1" s="1"/>
  <c r="AJ379" i="1" s="1"/>
  <c r="R379" i="1" s="1"/>
  <c r="Y449" i="1"/>
  <c r="AI449" i="1" s="1"/>
  <c r="Q449" i="1" s="1"/>
  <c r="T346" i="1"/>
  <c r="Z346" i="1" s="1"/>
  <c r="AJ346" i="1" s="1"/>
  <c r="R346" i="1" s="1"/>
  <c r="T715" i="1"/>
  <c r="Z715" i="1" s="1"/>
  <c r="AJ715" i="1" s="1"/>
  <c r="R715" i="1" s="1"/>
  <c r="T384" i="1"/>
  <c r="Z384" i="1" s="1"/>
  <c r="AJ384" i="1" s="1"/>
  <c r="R384" i="1" s="1"/>
  <c r="T496" i="1"/>
  <c r="Z496" i="1" s="1"/>
  <c r="AJ496" i="1" s="1"/>
  <c r="R496" i="1" s="1"/>
  <c r="T426" i="1"/>
  <c r="Z426" i="1" s="1"/>
  <c r="AJ426" i="1" s="1"/>
  <c r="R426" i="1" s="1"/>
  <c r="T456" i="1"/>
  <c r="Z456" i="1" s="1"/>
  <c r="AJ456" i="1" s="1"/>
  <c r="R456" i="1" s="1"/>
  <c r="Y76" i="1"/>
  <c r="AI76" i="1" s="1"/>
  <c r="Q76" i="1" s="1"/>
  <c r="T76" i="1"/>
  <c r="Z76" i="1" s="1"/>
  <c r="AJ76" i="1" s="1"/>
  <c r="R76" i="1" s="1"/>
  <c r="T96" i="1"/>
  <c r="Z96" i="1" s="1"/>
  <c r="AJ96" i="1" s="1"/>
  <c r="R96" i="1" s="1"/>
  <c r="T457" i="1"/>
  <c r="Z457" i="1" s="1"/>
  <c r="AJ457" i="1" s="1"/>
  <c r="R457" i="1" s="1"/>
  <c r="T455" i="1"/>
  <c r="Z455" i="1" s="1"/>
  <c r="AJ455" i="1" s="1"/>
  <c r="R455" i="1" s="1"/>
  <c r="T421" i="1"/>
  <c r="Z421" i="1" s="1"/>
  <c r="AJ421" i="1" s="1"/>
  <c r="R421" i="1" s="1"/>
  <c r="T740" i="1"/>
  <c r="Z740" i="1" s="1"/>
  <c r="AJ740" i="1" s="1"/>
  <c r="R740" i="1" s="1"/>
  <c r="Y97" i="1"/>
  <c r="AI97" i="1" s="1"/>
  <c r="Q97" i="1" s="1"/>
  <c r="T746" i="1"/>
  <c r="Z746" i="1" s="1"/>
  <c r="AJ746" i="1" s="1"/>
  <c r="R746" i="1" s="1"/>
  <c r="T446" i="1"/>
  <c r="Z446" i="1" s="1"/>
  <c r="AJ446" i="1" s="1"/>
  <c r="R446" i="1" s="1"/>
  <c r="Y96" i="1"/>
  <c r="AI96" i="1" s="1"/>
  <c r="Q96" i="1" s="1"/>
  <c r="Y101" i="1"/>
  <c r="AI101" i="1" s="1"/>
  <c r="Q101" i="1" s="1"/>
  <c r="T101" i="1"/>
  <c r="Z101" i="1" s="1"/>
  <c r="AJ101" i="1" s="1"/>
  <c r="R101" i="1" s="1"/>
  <c r="T73" i="1"/>
  <c r="Z73" i="1" s="1"/>
  <c r="AJ73" i="1" s="1"/>
  <c r="R73" i="1" s="1"/>
  <c r="T88" i="1"/>
  <c r="Z88" i="1" s="1"/>
  <c r="AJ88" i="1" s="1"/>
  <c r="R88" i="1" s="1"/>
  <c r="T551" i="1"/>
  <c r="Z551" i="1" s="1"/>
  <c r="AJ551" i="1" s="1"/>
  <c r="R551" i="1" s="1"/>
  <c r="T75" i="1"/>
  <c r="Z75" i="1" s="1"/>
  <c r="AJ75" i="1" s="1"/>
  <c r="R75" i="1" s="1"/>
  <c r="T742" i="1"/>
  <c r="Z742" i="1" s="1"/>
  <c r="AJ742" i="1" s="1"/>
  <c r="R742" i="1" s="1"/>
  <c r="Y162" i="1"/>
  <c r="AI162" i="1" s="1"/>
  <c r="Q162" i="1" s="1"/>
  <c r="Y158" i="1"/>
  <c r="AI158" i="1" s="1"/>
  <c r="Q158" i="1" s="1"/>
  <c r="T161" i="1"/>
  <c r="Z161" i="1" s="1"/>
  <c r="AJ161" i="1" s="1"/>
  <c r="R161" i="1" s="1"/>
  <c r="Y746" i="1"/>
  <c r="AI746" i="1" s="1"/>
  <c r="Q746" i="1" s="1"/>
  <c r="Y325" i="1"/>
  <c r="AI325" i="1" s="1"/>
  <c r="Q325" i="1" s="1"/>
  <c r="Y102" i="1"/>
  <c r="AI102" i="1" s="1"/>
  <c r="Q102" i="1" s="1"/>
  <c r="Y551" i="1"/>
  <c r="AI551" i="1" s="1"/>
  <c r="Q551" i="1" s="1"/>
  <c r="Y345" i="1"/>
  <c r="AI345" i="1" s="1"/>
  <c r="Q345" i="1" s="1"/>
  <c r="T268" i="1"/>
  <c r="Z268" i="1" s="1"/>
  <c r="AJ268" i="1" s="1"/>
  <c r="R268" i="1" s="1"/>
  <c r="T344" i="1"/>
  <c r="Z344" i="1" s="1"/>
  <c r="AJ344" i="1" s="1"/>
  <c r="R344" i="1" s="1"/>
  <c r="Y418" i="1"/>
  <c r="AI418" i="1" s="1"/>
  <c r="Q418" i="1" s="1"/>
  <c r="T418" i="1"/>
  <c r="Z418" i="1" s="1"/>
  <c r="AJ418" i="1" s="1"/>
  <c r="R418" i="1" s="1"/>
  <c r="Y419" i="1"/>
  <c r="AI419" i="1" s="1"/>
  <c r="Q419" i="1" s="1"/>
  <c r="T157" i="1"/>
  <c r="Z157" i="1" s="1"/>
  <c r="AJ157" i="1" s="1"/>
  <c r="R157" i="1" s="1"/>
  <c r="T677" i="1"/>
  <c r="Z677" i="1" s="1"/>
  <c r="AJ677" i="1" s="1"/>
  <c r="R677" i="1" s="1"/>
  <c r="T97" i="1"/>
  <c r="Z97" i="1" s="1"/>
  <c r="AJ97" i="1" s="1"/>
  <c r="R97" i="1" s="1"/>
  <c r="Y326" i="1"/>
  <c r="AI326" i="1" s="1"/>
  <c r="Q326" i="1" s="1"/>
  <c r="Y155" i="1"/>
  <c r="AI155" i="1" s="1"/>
  <c r="Q155" i="1" s="1"/>
  <c r="Y88" i="1"/>
  <c r="AI88" i="1" s="1"/>
  <c r="Q88" i="1" s="1"/>
  <c r="T267" i="1"/>
  <c r="Z267" i="1" s="1"/>
  <c r="AJ267" i="1" s="1"/>
  <c r="R267" i="1" s="1"/>
  <c r="T345" i="1"/>
  <c r="Z345" i="1" s="1"/>
  <c r="AJ345" i="1" s="1"/>
  <c r="R345" i="1" s="1"/>
  <c r="Y742" i="1"/>
  <c r="AI742" i="1" s="1"/>
  <c r="Q742" i="1" s="1"/>
  <c r="Y303" i="1"/>
  <c r="AI303" i="1" s="1"/>
  <c r="Q303" i="1" s="1"/>
  <c r="T419" i="1"/>
  <c r="Z419" i="1" s="1"/>
  <c r="AJ419" i="1" s="1"/>
  <c r="R419" i="1" s="1"/>
  <c r="T162" i="1"/>
  <c r="Z162" i="1" s="1"/>
  <c r="AJ162" i="1" s="1"/>
  <c r="R162" i="1" s="1"/>
  <c r="Y677" i="1"/>
  <c r="AI677" i="1" s="1"/>
  <c r="Q677" i="1" s="1"/>
  <c r="T397" i="1"/>
  <c r="Z397" i="1" s="1"/>
  <c r="AJ397" i="1" s="1"/>
  <c r="R397" i="1" s="1"/>
  <c r="Y446" i="1"/>
  <c r="AI446" i="1" s="1"/>
  <c r="Q446" i="1" s="1"/>
  <c r="T326" i="1"/>
  <c r="Z326" i="1" s="1"/>
  <c r="AJ326" i="1" s="1"/>
  <c r="R326" i="1" s="1"/>
  <c r="T447" i="1"/>
  <c r="Z447" i="1" s="1"/>
  <c r="AJ447" i="1" s="1"/>
  <c r="R447" i="1" s="1"/>
  <c r="T444" i="1"/>
  <c r="Z444" i="1" s="1"/>
  <c r="AJ444" i="1" s="1"/>
  <c r="R444" i="1" s="1"/>
  <c r="T327" i="1"/>
  <c r="Z327" i="1" s="1"/>
  <c r="AJ327" i="1" s="1"/>
  <c r="R327" i="1" s="1"/>
  <c r="T325" i="1"/>
  <c r="Z325" i="1" s="1"/>
  <c r="AJ325" i="1" s="1"/>
  <c r="R325" i="1" s="1"/>
  <c r="Y72" i="1"/>
  <c r="AI72" i="1" s="1"/>
  <c r="Q72" i="1" s="1"/>
  <c r="T72" i="1"/>
  <c r="Z72" i="1" s="1"/>
  <c r="AJ72" i="1" s="1"/>
  <c r="R72" i="1" s="1"/>
  <c r="Y422" i="1"/>
  <c r="AI422" i="1" s="1"/>
  <c r="Q422" i="1" s="1"/>
  <c r="T422" i="1"/>
  <c r="Z422" i="1" s="1"/>
  <c r="AJ422" i="1" s="1"/>
  <c r="R422" i="1" s="1"/>
  <c r="T678" i="1"/>
  <c r="Z678" i="1" s="1"/>
  <c r="AJ678" i="1" s="1"/>
  <c r="R678" i="1" s="1"/>
  <c r="T763" i="1"/>
  <c r="Z763" i="1" s="1"/>
  <c r="AJ763" i="1" s="1"/>
  <c r="R763" i="1" s="1"/>
  <c r="T339" i="1"/>
  <c r="Z339" i="1" s="1"/>
  <c r="AJ339" i="1" s="1"/>
  <c r="R339" i="1" s="1"/>
  <c r="T396" i="1"/>
  <c r="Z396" i="1" s="1"/>
  <c r="AJ396" i="1" s="1"/>
  <c r="R396" i="1" s="1"/>
  <c r="T388" i="1"/>
  <c r="Z388" i="1" s="1"/>
  <c r="AJ388" i="1" s="1"/>
  <c r="R388" i="1" s="1"/>
  <c r="T155" i="1"/>
  <c r="Z155" i="1" s="1"/>
  <c r="AJ155" i="1" s="1"/>
  <c r="R155" i="1" s="1"/>
  <c r="T159" i="1"/>
  <c r="Z159" i="1" s="1"/>
  <c r="AJ159" i="1" s="1"/>
  <c r="R159" i="1" s="1"/>
  <c r="Y741" i="1"/>
  <c r="AI741" i="1" s="1"/>
  <c r="Q741" i="1" s="1"/>
  <c r="Y334" i="1"/>
  <c r="AI334" i="1" s="1"/>
  <c r="Q334" i="1" s="1"/>
  <c r="T334" i="1"/>
  <c r="Z334" i="1" s="1"/>
  <c r="AJ334" i="1" s="1"/>
  <c r="R334" i="1" s="1"/>
  <c r="Y388" i="1"/>
  <c r="AI388" i="1" s="1"/>
  <c r="Q388" i="1" s="1"/>
  <c r="Y394" i="1"/>
  <c r="AI394" i="1" s="1"/>
  <c r="Q394" i="1" s="1"/>
  <c r="T390" i="1"/>
  <c r="Z390" i="1" s="1"/>
  <c r="AJ390" i="1" s="1"/>
  <c r="R390" i="1" s="1"/>
  <c r="T393" i="1"/>
  <c r="Z393" i="1" s="1"/>
  <c r="AJ393" i="1" s="1"/>
  <c r="R393" i="1" s="1"/>
  <c r="T395" i="1"/>
  <c r="Z395" i="1" s="1"/>
  <c r="AJ395" i="1" s="1"/>
  <c r="R395" i="1" s="1"/>
  <c r="Y739" i="1"/>
  <c r="AI739" i="1" s="1"/>
  <c r="Q739" i="1" s="1"/>
  <c r="Y678" i="1"/>
  <c r="AI678" i="1" s="1"/>
  <c r="Q678" i="1" s="1"/>
  <c r="Y745" i="1"/>
  <c r="AI745" i="1" s="1"/>
  <c r="Q745" i="1" s="1"/>
  <c r="T745" i="1"/>
  <c r="Z745" i="1" s="1"/>
  <c r="AJ745" i="1" s="1"/>
  <c r="R745" i="1" s="1"/>
  <c r="Y341" i="1"/>
  <c r="AI341" i="1" s="1"/>
  <c r="Q341" i="1" s="1"/>
  <c r="T341" i="1"/>
  <c r="Z341" i="1" s="1"/>
  <c r="AJ341" i="1" s="1"/>
  <c r="R341" i="1" s="1"/>
  <c r="Y393" i="1"/>
  <c r="AI393" i="1" s="1"/>
  <c r="Q393" i="1" s="1"/>
  <c r="Y390" i="1"/>
  <c r="AI390" i="1" s="1"/>
  <c r="Q390" i="1" s="1"/>
  <c r="T394" i="1"/>
  <c r="Z394" i="1" s="1"/>
  <c r="AJ394" i="1" s="1"/>
  <c r="R394" i="1" s="1"/>
  <c r="T392" i="1"/>
  <c r="Z392" i="1" s="1"/>
  <c r="AJ392" i="1" s="1"/>
  <c r="R392" i="1" s="1"/>
  <c r="Y395" i="1"/>
  <c r="AI395" i="1" s="1"/>
  <c r="Q395" i="1" s="1"/>
  <c r="Y423" i="1"/>
  <c r="AI423" i="1" s="1"/>
  <c r="Q423" i="1" s="1"/>
  <c r="T244" i="1"/>
  <c r="Z244" i="1" s="1"/>
  <c r="AJ244" i="1" s="1"/>
  <c r="R244" i="1" s="1"/>
  <c r="Y302" i="1"/>
  <c r="AI302" i="1" s="1"/>
  <c r="Q302" i="1" s="1"/>
  <c r="T302" i="1"/>
  <c r="Z302" i="1" s="1"/>
  <c r="AJ302" i="1" s="1"/>
  <c r="R302" i="1" s="1"/>
  <c r="Y409" i="1"/>
  <c r="AI409" i="1" s="1"/>
  <c r="Q409" i="1" s="1"/>
  <c r="Y40" i="1"/>
  <c r="AI40" i="1" s="1"/>
  <c r="Q40" i="1" s="1"/>
  <c r="Y89" i="1"/>
  <c r="AI89" i="1" s="1"/>
  <c r="Q89" i="1" s="1"/>
  <c r="T711" i="1"/>
  <c r="Z711" i="1" s="1"/>
  <c r="AJ711" i="1" s="1"/>
  <c r="R711" i="1" s="1"/>
  <c r="Y263" i="1"/>
  <c r="AI263" i="1" s="1"/>
  <c r="Q263" i="1" s="1"/>
  <c r="Y761" i="1"/>
  <c r="AI761" i="1" s="1"/>
  <c r="Q761" i="1" s="1"/>
  <c r="Y262" i="1"/>
  <c r="AI262" i="1" s="1"/>
  <c r="Q262" i="1" s="1"/>
  <c r="Y264" i="1"/>
  <c r="AI264" i="1" s="1"/>
  <c r="Q264" i="1" s="1"/>
  <c r="T263" i="1"/>
  <c r="Z263" i="1" s="1"/>
  <c r="AJ263" i="1" s="1"/>
  <c r="R263" i="1" s="1"/>
  <c r="T264" i="1"/>
  <c r="Z264" i="1" s="1"/>
  <c r="AJ264" i="1" s="1"/>
  <c r="R264" i="1" s="1"/>
  <c r="Y420" i="1"/>
  <c r="AI420" i="1" s="1"/>
  <c r="Q420" i="1" s="1"/>
  <c r="T420" i="1"/>
  <c r="Z420" i="1" s="1"/>
  <c r="AJ420" i="1" s="1"/>
  <c r="R420" i="1" s="1"/>
  <c r="Y159" i="1"/>
  <c r="AI159" i="1" s="1"/>
  <c r="Q159" i="1" s="1"/>
  <c r="Y448" i="1"/>
  <c r="AI448" i="1" s="1"/>
  <c r="Q448" i="1" s="1"/>
  <c r="T448" i="1"/>
  <c r="Z448" i="1" s="1"/>
  <c r="AJ448" i="1" s="1"/>
  <c r="R448" i="1" s="1"/>
  <c r="T741" i="1"/>
  <c r="Z741" i="1" s="1"/>
  <c r="AJ741" i="1" s="1"/>
  <c r="R741" i="1" s="1"/>
  <c r="Y389" i="1"/>
  <c r="AI389" i="1" s="1"/>
  <c r="Q389" i="1" s="1"/>
  <c r="Y396" i="1"/>
  <c r="AI396" i="1" s="1"/>
  <c r="Q396" i="1" s="1"/>
  <c r="Y424" i="1"/>
  <c r="AI424" i="1" s="1"/>
  <c r="Q424" i="1" s="1"/>
  <c r="Y243" i="1"/>
  <c r="AI243" i="1" s="1"/>
  <c r="Q243" i="1" s="1"/>
  <c r="T243" i="1"/>
  <c r="Z243" i="1" s="1"/>
  <c r="AJ243" i="1" s="1"/>
  <c r="R243" i="1" s="1"/>
  <c r="T424" i="1"/>
  <c r="Z424" i="1" s="1"/>
  <c r="AJ424" i="1" s="1"/>
  <c r="R424" i="1" s="1"/>
  <c r="T428" i="1"/>
  <c r="Z428" i="1" s="1"/>
  <c r="AJ428" i="1" s="1"/>
  <c r="R428" i="1" s="1"/>
  <c r="T98" i="1"/>
  <c r="Z98" i="1" s="1"/>
  <c r="AJ98" i="1" s="1"/>
  <c r="R98" i="1" s="1"/>
  <c r="T40" i="1"/>
  <c r="Z40" i="1" s="1"/>
  <c r="AJ40" i="1" s="1"/>
  <c r="R40" i="1" s="1"/>
  <c r="T89" i="1"/>
  <c r="Z89" i="1" s="1"/>
  <c r="AJ89" i="1" s="1"/>
  <c r="R89" i="1" s="1"/>
  <c r="T739" i="1"/>
  <c r="Z739" i="1" s="1"/>
  <c r="AJ739" i="1" s="1"/>
  <c r="R739" i="1" s="1"/>
  <c r="Y743" i="1"/>
  <c r="AI743" i="1" s="1"/>
  <c r="Q743" i="1" s="1"/>
  <c r="T743" i="1"/>
  <c r="Z743" i="1" s="1"/>
  <c r="AJ743" i="1" s="1"/>
  <c r="R743" i="1" s="1"/>
  <c r="Y763" i="1"/>
  <c r="AI763" i="1" s="1"/>
  <c r="Q763" i="1" s="1"/>
  <c r="Y339" i="1"/>
  <c r="AI339" i="1" s="1"/>
  <c r="Q339" i="1" s="1"/>
  <c r="Y392" i="1"/>
  <c r="AI392" i="1" s="1"/>
  <c r="Q392" i="1" s="1"/>
  <c r="Y244" i="1"/>
  <c r="AI244" i="1" s="1"/>
  <c r="Q244" i="1" s="1"/>
  <c r="Y387" i="1"/>
  <c r="AI387" i="1" s="1"/>
  <c r="Q387" i="1" s="1"/>
  <c r="T389" i="1"/>
  <c r="Z389" i="1" s="1"/>
  <c r="AJ389" i="1" s="1"/>
  <c r="R389" i="1" s="1"/>
  <c r="T383" i="1"/>
  <c r="T387" i="1"/>
  <c r="Z387" i="1" s="1"/>
  <c r="AJ387" i="1" s="1"/>
  <c r="R387" i="1" s="1"/>
  <c r="T423" i="1"/>
  <c r="Z423" i="1" s="1"/>
  <c r="AJ423" i="1" s="1"/>
  <c r="R423" i="1" s="1"/>
  <c r="Y428" i="1"/>
  <c r="AI428" i="1" s="1"/>
  <c r="Q428" i="1" s="1"/>
  <c r="Y711" i="1"/>
  <c r="AI711" i="1" s="1"/>
  <c r="Q711" i="1" s="1"/>
  <c r="T409" i="1"/>
  <c r="Z409" i="1" s="1"/>
  <c r="AJ409" i="1" s="1"/>
  <c r="R409" i="1" s="1"/>
  <c r="Y98" i="1"/>
  <c r="AI98" i="1" s="1"/>
  <c r="Q98" i="1" s="1"/>
  <c r="Y445" i="1"/>
  <c r="AI445" i="1" s="1"/>
  <c r="Q445" i="1" s="1"/>
  <c r="Y41" i="1"/>
  <c r="AI41" i="1" s="1"/>
  <c r="Q41" i="1" s="1"/>
  <c r="Y261" i="1"/>
  <c r="AI261" i="1" s="1"/>
  <c r="Q261" i="1" s="1"/>
  <c r="Y760" i="1"/>
  <c r="AI760" i="1" s="1"/>
  <c r="Q760" i="1" s="1"/>
  <c r="T41" i="1"/>
  <c r="Z41" i="1" s="1"/>
  <c r="AJ41" i="1" s="1"/>
  <c r="R41" i="1" s="1"/>
  <c r="T760" i="1"/>
  <c r="Z760" i="1" s="1"/>
  <c r="AJ760" i="1" s="1"/>
  <c r="R760" i="1" s="1"/>
  <c r="T761" i="1"/>
  <c r="Z761" i="1" s="1"/>
  <c r="AJ761" i="1" s="1"/>
  <c r="R761" i="1" s="1"/>
  <c r="T445" i="1"/>
  <c r="Z445" i="1" s="1"/>
  <c r="AJ445" i="1" s="1"/>
  <c r="R445" i="1" s="1"/>
  <c r="T262" i="1"/>
  <c r="Z262" i="1" s="1"/>
  <c r="AJ262" i="1" s="1"/>
  <c r="R262" i="1" s="1"/>
  <c r="T261" i="1"/>
  <c r="Z261" i="1" s="1"/>
  <c r="AJ261" i="1" s="1"/>
  <c r="R261" i="1" s="1"/>
  <c r="Y706" i="1"/>
  <c r="AI706" i="1" s="1"/>
  <c r="T255" i="1"/>
  <c r="Z255" i="1" s="1"/>
  <c r="AJ255" i="1" s="1"/>
  <c r="R255" i="1" s="1"/>
  <c r="T294" i="1"/>
  <c r="Z294" i="1" s="1"/>
  <c r="AJ294" i="1" s="1"/>
  <c r="R294" i="1" s="1"/>
  <c r="Y431" i="1"/>
  <c r="AI431" i="1" s="1"/>
  <c r="Y691" i="1"/>
  <c r="Y690" i="1"/>
  <c r="Y71" i="1"/>
  <c r="Y429" i="1"/>
  <c r="Y241" i="1"/>
  <c r="Y255" i="1"/>
  <c r="AI255" i="1" s="1"/>
  <c r="T690" i="1"/>
  <c r="Z690" i="1" s="1"/>
  <c r="AJ690" i="1" s="1"/>
  <c r="R690" i="1" s="1"/>
  <c r="T691" i="1"/>
  <c r="Z691" i="1" s="1"/>
  <c r="AJ691" i="1" s="1"/>
  <c r="R691" i="1" s="1"/>
  <c r="T241" i="1"/>
  <c r="Z241" i="1" s="1"/>
  <c r="AJ241" i="1" s="1"/>
  <c r="R241" i="1" s="1"/>
  <c r="Y294" i="1"/>
  <c r="AI294" i="1" s="1"/>
  <c r="Y750" i="1"/>
  <c r="T750" i="1"/>
  <c r="Z750" i="1" s="1"/>
  <c r="AJ750" i="1" s="1"/>
  <c r="R750" i="1" s="1"/>
  <c r="T427" i="1"/>
  <c r="Z427" i="1" s="1"/>
  <c r="AJ427" i="1" s="1"/>
  <c r="R427" i="1" s="1"/>
  <c r="Y753" i="1"/>
  <c r="T754" i="1"/>
  <c r="Z754" i="1" s="1"/>
  <c r="AJ754" i="1" s="1"/>
  <c r="R754" i="1" s="1"/>
  <c r="Y432" i="1"/>
  <c r="AI432" i="1" s="1"/>
  <c r="Y329" i="1"/>
  <c r="Y163" i="1"/>
  <c r="Y692" i="1"/>
  <c r="T692" i="1"/>
  <c r="Z692" i="1" s="1"/>
  <c r="AJ692" i="1" s="1"/>
  <c r="R692" i="1" s="1"/>
  <c r="T163" i="1"/>
  <c r="Z163" i="1" s="1"/>
  <c r="AJ163" i="1" s="1"/>
  <c r="R163" i="1" s="1"/>
  <c r="Y749" i="1"/>
  <c r="T749" i="1"/>
  <c r="Z749" i="1" s="1"/>
  <c r="AJ749" i="1" s="1"/>
  <c r="R749" i="1" s="1"/>
  <c r="Y36" i="1"/>
  <c r="AI36" i="1" s="1"/>
  <c r="T36" i="1"/>
  <c r="Z36" i="1" s="1"/>
  <c r="AJ36" i="1" s="1"/>
  <c r="R36" i="1" s="1"/>
  <c r="T71" i="1"/>
  <c r="Z71" i="1" s="1"/>
  <c r="AJ71" i="1" s="1"/>
  <c r="R71" i="1" s="1"/>
  <c r="T431" i="1"/>
  <c r="Z431" i="1" s="1"/>
  <c r="AJ431" i="1" s="1"/>
  <c r="R431" i="1" s="1"/>
  <c r="Y755" i="1"/>
  <c r="Y705" i="1"/>
  <c r="T705" i="1"/>
  <c r="Z705" i="1" s="1"/>
  <c r="AJ705" i="1" s="1"/>
  <c r="R705" i="1" s="1"/>
  <c r="Y427" i="1"/>
  <c r="T755" i="1"/>
  <c r="Z755" i="1" s="1"/>
  <c r="AJ755" i="1" s="1"/>
  <c r="R755" i="1" s="1"/>
  <c r="T706" i="1"/>
  <c r="Z706" i="1" s="1"/>
  <c r="AJ706" i="1" s="1"/>
  <c r="R706" i="1" s="1"/>
  <c r="Y709" i="1"/>
  <c r="Y433" i="1"/>
  <c r="AI433" i="1" s="1"/>
  <c r="T709" i="1"/>
  <c r="Z709" i="1" s="1"/>
  <c r="AJ709" i="1" s="1"/>
  <c r="R709" i="1" s="1"/>
  <c r="T417" i="1"/>
  <c r="Z417" i="1" s="1"/>
  <c r="AJ417" i="1" s="1"/>
  <c r="R417" i="1" s="1"/>
  <c r="Y417" i="1"/>
  <c r="Y754" i="1"/>
  <c r="Y430" i="1"/>
  <c r="T430" i="1"/>
  <c r="Z430" i="1" s="1"/>
  <c r="AJ430" i="1" s="1"/>
  <c r="R430" i="1" s="1"/>
  <c r="T429" i="1"/>
  <c r="Z429" i="1" s="1"/>
  <c r="AJ429" i="1" s="1"/>
  <c r="R429" i="1" s="1"/>
  <c r="Y757" i="1"/>
  <c r="T534" i="1"/>
  <c r="Z534" i="1" s="1"/>
  <c r="AJ534" i="1" s="1"/>
  <c r="R534" i="1" s="1"/>
  <c r="T433" i="1"/>
  <c r="Z433" i="1" s="1"/>
  <c r="AJ433" i="1" s="1"/>
  <c r="R433" i="1" s="1"/>
  <c r="T753" i="1"/>
  <c r="Z753" i="1" s="1"/>
  <c r="AJ753" i="1" s="1"/>
  <c r="R753" i="1" s="1"/>
  <c r="Y534" i="1"/>
  <c r="T757" i="1"/>
  <c r="Z757" i="1" s="1"/>
  <c r="AJ757" i="1" s="1"/>
  <c r="R757" i="1" s="1"/>
  <c r="Y413" i="1"/>
  <c r="Y416" i="1"/>
  <c r="AI416" i="1" s="1"/>
  <c r="Y94" i="1"/>
  <c r="AI94" i="1" s="1"/>
  <c r="Y17" i="1"/>
  <c r="AI17" i="1" s="1"/>
  <c r="Y440" i="1"/>
  <c r="Y317" i="1"/>
  <c r="T329" i="1"/>
  <c r="Z329" i="1" s="1"/>
  <c r="AJ329" i="1" s="1"/>
  <c r="R329" i="1" s="1"/>
  <c r="Y378" i="1"/>
  <c r="T376" i="1"/>
  <c r="Z376" i="1" s="1"/>
  <c r="AJ376" i="1" s="1"/>
  <c r="R376" i="1" s="1"/>
  <c r="T342" i="1"/>
  <c r="Z342" i="1" s="1"/>
  <c r="AJ342" i="1" s="1"/>
  <c r="R342" i="1" s="1"/>
  <c r="Y415" i="1"/>
  <c r="AI415" i="1" s="1"/>
  <c r="T416" i="1"/>
  <c r="Z416" i="1" s="1"/>
  <c r="AJ416" i="1" s="1"/>
  <c r="R416" i="1" s="1"/>
  <c r="T94" i="1"/>
  <c r="Z94" i="1" s="1"/>
  <c r="AJ94" i="1" s="1"/>
  <c r="R94" i="1" s="1"/>
  <c r="T377" i="1"/>
  <c r="Z377" i="1" s="1"/>
  <c r="AJ377" i="1" s="1"/>
  <c r="R377" i="1" s="1"/>
  <c r="Y315" i="1"/>
  <c r="T315" i="1"/>
  <c r="Z315" i="1" s="1"/>
  <c r="AJ315" i="1" s="1"/>
  <c r="R315" i="1" s="1"/>
  <c r="Y498" i="1"/>
  <c r="T415" i="1"/>
  <c r="Z415" i="1" s="1"/>
  <c r="AJ415" i="1" s="1"/>
  <c r="R415" i="1" s="1"/>
  <c r="T432" i="1"/>
  <c r="Z432" i="1" s="1"/>
  <c r="AJ432" i="1" s="1"/>
  <c r="R432" i="1" s="1"/>
  <c r="Y103" i="1"/>
  <c r="T99" i="1"/>
  <c r="Z99" i="1" s="1"/>
  <c r="AJ99" i="1" s="1"/>
  <c r="R99" i="1" s="1"/>
  <c r="Y443" i="1"/>
  <c r="AI443" i="1" s="1"/>
  <c r="Y318" i="1"/>
  <c r="T378" i="1"/>
  <c r="Z378" i="1" s="1"/>
  <c r="AJ378" i="1" s="1"/>
  <c r="R378" i="1" s="1"/>
  <c r="Y342" i="1"/>
  <c r="Y256" i="1"/>
  <c r="Y676" i="1"/>
  <c r="T93" i="1"/>
  <c r="Z93" i="1" s="1"/>
  <c r="AJ93" i="1" s="1"/>
  <c r="R93" i="1" s="1"/>
  <c r="Y95" i="1"/>
  <c r="AI95" i="1" s="1"/>
  <c r="Y18" i="1"/>
  <c r="Y472" i="1"/>
  <c r="AI472" i="1" s="1"/>
  <c r="Y698" i="1"/>
  <c r="Y695" i="1"/>
  <c r="T529" i="1"/>
  <c r="Z529" i="1" s="1"/>
  <c r="AJ529" i="1" s="1"/>
  <c r="R529" i="1" s="1"/>
  <c r="T292" i="1"/>
  <c r="Z292" i="1" s="1"/>
  <c r="AJ292" i="1" s="1"/>
  <c r="R292" i="1" s="1"/>
  <c r="T413" i="1"/>
  <c r="Z413" i="1" s="1"/>
  <c r="AJ413" i="1" s="1"/>
  <c r="R413" i="1" s="1"/>
  <c r="Y99" i="1"/>
  <c r="T17" i="1"/>
  <c r="Z17" i="1" s="1"/>
  <c r="AJ17" i="1" s="1"/>
  <c r="R17" i="1" s="1"/>
  <c r="Y377" i="1"/>
  <c r="Y376" i="1"/>
  <c r="Y316" i="1"/>
  <c r="T316" i="1"/>
  <c r="Z316" i="1" s="1"/>
  <c r="AJ316" i="1" s="1"/>
  <c r="R316" i="1" s="1"/>
  <c r="T676" i="1"/>
  <c r="Z676" i="1" s="1"/>
  <c r="AJ676" i="1" s="1"/>
  <c r="R676" i="1" s="1"/>
  <c r="Y93" i="1"/>
  <c r="AI93" i="1" s="1"/>
  <c r="Y92" i="1"/>
  <c r="Y330" i="1"/>
  <c r="T248" i="1"/>
  <c r="Z248" i="1" s="1"/>
  <c r="AJ248" i="1" s="1"/>
  <c r="R248" i="1" s="1"/>
  <c r="Y245" i="1"/>
  <c r="Y338" i="1"/>
  <c r="AI338" i="1" s="1"/>
  <c r="T338" i="1"/>
  <c r="Z338" i="1" s="1"/>
  <c r="AJ338" i="1" s="1"/>
  <c r="R338" i="1" s="1"/>
  <c r="Y151" i="1"/>
  <c r="Y337" i="1"/>
  <c r="Y254" i="1"/>
  <c r="T254" i="1"/>
  <c r="Z254" i="1" s="1"/>
  <c r="AJ254" i="1" s="1"/>
  <c r="R254" i="1" s="1"/>
  <c r="T478" i="1"/>
  <c r="Z478" i="1" s="1"/>
  <c r="AJ478" i="1" s="1"/>
  <c r="R478" i="1" s="1"/>
  <c r="Y408" i="1"/>
  <c r="T439" i="1"/>
  <c r="Z439" i="1" s="1"/>
  <c r="AJ439" i="1" s="1"/>
  <c r="R439" i="1" s="1"/>
  <c r="Y441" i="1"/>
  <c r="T441" i="1"/>
  <c r="Z441" i="1" s="1"/>
  <c r="AJ441" i="1" s="1"/>
  <c r="R441" i="1" s="1"/>
  <c r="Y543" i="1"/>
  <c r="T697" i="1"/>
  <c r="Z697" i="1" s="1"/>
  <c r="AJ697" i="1" s="1"/>
  <c r="R697" i="1" s="1"/>
  <c r="T699" i="1"/>
  <c r="Z699" i="1" s="1"/>
  <c r="AJ699" i="1" s="1"/>
  <c r="R699" i="1" s="1"/>
  <c r="T693" i="1"/>
  <c r="Z693" i="1" s="1"/>
  <c r="AJ693" i="1" s="1"/>
  <c r="R693" i="1" s="1"/>
  <c r="Y531" i="1"/>
  <c r="T531" i="1"/>
  <c r="Z531" i="1" s="1"/>
  <c r="AJ531" i="1" s="1"/>
  <c r="R531" i="1" s="1"/>
  <c r="Y524" i="1"/>
  <c r="AI524" i="1" s="1"/>
  <c r="Y533" i="1"/>
  <c r="T528" i="1"/>
  <c r="Z528" i="1" s="1"/>
  <c r="AJ528" i="1" s="1"/>
  <c r="R528" i="1" s="1"/>
  <c r="T535" i="1"/>
  <c r="Z535" i="1" s="1"/>
  <c r="AJ535" i="1" s="1"/>
  <c r="R535" i="1" s="1"/>
  <c r="T523" i="1"/>
  <c r="Z523" i="1" s="1"/>
  <c r="AJ523" i="1" s="1"/>
  <c r="R523" i="1" s="1"/>
  <c r="T522" i="1"/>
  <c r="Z522" i="1" s="1"/>
  <c r="AJ522" i="1" s="1"/>
  <c r="R522" i="1" s="1"/>
  <c r="T548" i="1"/>
  <c r="Z548" i="1" s="1"/>
  <c r="AJ548" i="1" s="1"/>
  <c r="R548" i="1" s="1"/>
  <c r="T770" i="1"/>
  <c r="Z770" i="1" s="1"/>
  <c r="AJ770" i="1" s="1"/>
  <c r="R770" i="1" s="1"/>
  <c r="T526" i="1"/>
  <c r="Z526" i="1" s="1"/>
  <c r="T436" i="1"/>
  <c r="Z436" i="1" s="1"/>
  <c r="AJ436" i="1" s="1"/>
  <c r="R436" i="1" s="1"/>
  <c r="T440" i="1"/>
  <c r="Z440" i="1" s="1"/>
  <c r="AJ440" i="1" s="1"/>
  <c r="R440" i="1" s="1"/>
  <c r="T317" i="1"/>
  <c r="Z317" i="1" s="1"/>
  <c r="AJ317" i="1" s="1"/>
  <c r="R317" i="1" s="1"/>
  <c r="T498" i="1"/>
  <c r="Z498" i="1" s="1"/>
  <c r="AJ498" i="1" s="1"/>
  <c r="R498" i="1" s="1"/>
  <c r="T103" i="1"/>
  <c r="Z103" i="1" s="1"/>
  <c r="AJ103" i="1" s="1"/>
  <c r="R103" i="1" s="1"/>
  <c r="T256" i="1"/>
  <c r="Z256" i="1" s="1"/>
  <c r="AJ256" i="1" s="1"/>
  <c r="R256" i="1" s="1"/>
  <c r="T443" i="1"/>
  <c r="Z443" i="1" s="1"/>
  <c r="AJ443" i="1" s="1"/>
  <c r="R443" i="1" s="1"/>
  <c r="T318" i="1"/>
  <c r="Z318" i="1" s="1"/>
  <c r="AJ318" i="1" s="1"/>
  <c r="R318" i="1" s="1"/>
  <c r="Y45" i="1"/>
  <c r="Y248" i="1"/>
  <c r="Y104" i="1"/>
  <c r="T95" i="1"/>
  <c r="Z95" i="1" s="1"/>
  <c r="AJ95" i="1" s="1"/>
  <c r="R95" i="1" s="1"/>
  <c r="T92" i="1"/>
  <c r="Z92" i="1" s="1"/>
  <c r="AJ92" i="1" s="1"/>
  <c r="R92" i="1" s="1"/>
  <c r="T45" i="1"/>
  <c r="Z45" i="1" s="1"/>
  <c r="AJ45" i="1" s="1"/>
  <c r="R45" i="1" s="1"/>
  <c r="T245" i="1"/>
  <c r="Z245" i="1" s="1"/>
  <c r="AJ245" i="1" s="1"/>
  <c r="R245" i="1" s="1"/>
  <c r="T104" i="1"/>
  <c r="Z104" i="1" s="1"/>
  <c r="AJ104" i="1" s="1"/>
  <c r="R104" i="1" s="1"/>
  <c r="T330" i="1"/>
  <c r="Z330" i="1" s="1"/>
  <c r="AJ330" i="1" s="1"/>
  <c r="R330" i="1" s="1"/>
  <c r="Y100" i="1"/>
  <c r="T100" i="1"/>
  <c r="Z100" i="1" s="1"/>
  <c r="AJ100" i="1" s="1"/>
  <c r="R100" i="1" s="1"/>
  <c r="Y91" i="1"/>
  <c r="T151" i="1"/>
  <c r="Z151" i="1" s="1"/>
  <c r="AJ151" i="1" s="1"/>
  <c r="R151" i="1" s="1"/>
  <c r="T442" i="1"/>
  <c r="Z442" i="1" s="1"/>
  <c r="AJ442" i="1" s="1"/>
  <c r="R442" i="1" s="1"/>
  <c r="T472" i="1"/>
  <c r="Z472" i="1" s="1"/>
  <c r="AJ472" i="1" s="1"/>
  <c r="R472" i="1" s="1"/>
  <c r="Y442" i="1"/>
  <c r="T337" i="1"/>
  <c r="Z337" i="1" s="1"/>
  <c r="AJ337" i="1" s="1"/>
  <c r="R337" i="1" s="1"/>
  <c r="T91" i="1"/>
  <c r="Z91" i="1" s="1"/>
  <c r="AJ91" i="1" s="1"/>
  <c r="R91" i="1" s="1"/>
  <c r="T18" i="1"/>
  <c r="Z18" i="1" s="1"/>
  <c r="AJ18" i="1" s="1"/>
  <c r="R18" i="1" s="1"/>
  <c r="Y532" i="1"/>
  <c r="Y407" i="1"/>
  <c r="T407" i="1"/>
  <c r="Z407" i="1" s="1"/>
  <c r="AJ407" i="1" s="1"/>
  <c r="R407" i="1" s="1"/>
  <c r="Y74" i="1"/>
  <c r="T532" i="1"/>
  <c r="Z532" i="1" s="1"/>
  <c r="AJ532" i="1" s="1"/>
  <c r="R532" i="1" s="1"/>
  <c r="Y478" i="1"/>
  <c r="T74" i="1"/>
  <c r="Z74" i="1" s="1"/>
  <c r="AJ74" i="1" s="1"/>
  <c r="R74" i="1" s="1"/>
  <c r="Y287" i="1"/>
  <c r="T287" i="1"/>
  <c r="Z287" i="1" s="1"/>
  <c r="AJ287" i="1" s="1"/>
  <c r="R287" i="1" s="1"/>
  <c r="Y81" i="1"/>
  <c r="AI81" i="1" s="1"/>
  <c r="T81" i="1"/>
  <c r="Z81" i="1" s="1"/>
  <c r="AJ81" i="1" s="1"/>
  <c r="R81" i="1" s="1"/>
  <c r="Y335" i="1"/>
  <c r="T335" i="1"/>
  <c r="Z335" i="1" s="1"/>
  <c r="AJ335" i="1" s="1"/>
  <c r="R335" i="1" s="1"/>
  <c r="Y153" i="1"/>
  <c r="AI153" i="1" s="1"/>
  <c r="T408" i="1"/>
  <c r="Z408" i="1" s="1"/>
  <c r="AJ408" i="1" s="1"/>
  <c r="R408" i="1" s="1"/>
  <c r="T153" i="1"/>
  <c r="Z153" i="1" s="1"/>
  <c r="AJ153" i="1" s="1"/>
  <c r="R153" i="1" s="1"/>
  <c r="Y406" i="1"/>
  <c r="T406" i="1"/>
  <c r="Z406" i="1" s="1"/>
  <c r="AJ406" i="1" s="1"/>
  <c r="R406" i="1" s="1"/>
  <c r="Y438" i="1"/>
  <c r="Y439" i="1"/>
  <c r="T438" i="1"/>
  <c r="Z438" i="1" s="1"/>
  <c r="AJ438" i="1" s="1"/>
  <c r="R438" i="1" s="1"/>
  <c r="Y554" i="1"/>
  <c r="T554" i="1"/>
  <c r="Z554" i="1" s="1"/>
  <c r="AJ554" i="1" s="1"/>
  <c r="R554" i="1" s="1"/>
  <c r="Y703" i="1"/>
  <c r="T698" i="1"/>
  <c r="Z698" i="1" s="1"/>
  <c r="AJ698" i="1" s="1"/>
  <c r="R698" i="1" s="1"/>
  <c r="T549" i="1"/>
  <c r="Z549" i="1" s="1"/>
  <c r="AJ549" i="1" s="1"/>
  <c r="R549" i="1" s="1"/>
  <c r="Y549" i="1"/>
  <c r="T543" i="1"/>
  <c r="Z543" i="1" s="1"/>
  <c r="AJ543" i="1" s="1"/>
  <c r="R543" i="1" s="1"/>
  <c r="Y697" i="1"/>
  <c r="AI697" i="1" s="1"/>
  <c r="Y702" i="1"/>
  <c r="T702" i="1"/>
  <c r="Z702" i="1" s="1"/>
  <c r="AJ702" i="1" s="1"/>
  <c r="R702" i="1" s="1"/>
  <c r="Y701" i="1"/>
  <c r="T701" i="1"/>
  <c r="Z701" i="1" s="1"/>
  <c r="AJ701" i="1" s="1"/>
  <c r="R701" i="1" s="1"/>
  <c r="Y752" i="1"/>
  <c r="Y693" i="1"/>
  <c r="Y699" i="1"/>
  <c r="T700" i="1"/>
  <c r="Z700" i="1" s="1"/>
  <c r="AJ700" i="1" s="1"/>
  <c r="R700" i="1" s="1"/>
  <c r="Y700" i="1"/>
  <c r="T695" i="1"/>
  <c r="Z695" i="1" s="1"/>
  <c r="AJ695" i="1" s="1"/>
  <c r="R695" i="1" s="1"/>
  <c r="Y436" i="1"/>
  <c r="Y570" i="1"/>
  <c r="T570" i="1"/>
  <c r="Z570" i="1" s="1"/>
  <c r="AJ570" i="1" s="1"/>
  <c r="R570" i="1" s="1"/>
  <c r="Y764" i="1"/>
  <c r="Y530" i="1"/>
  <c r="T530" i="1"/>
  <c r="Z530" i="1" s="1"/>
  <c r="AJ530" i="1" s="1"/>
  <c r="R530" i="1" s="1"/>
  <c r="Y523" i="1"/>
  <c r="Y548" i="1"/>
  <c r="Y522" i="1"/>
  <c r="AI522" i="1" s="1"/>
  <c r="Y529" i="1"/>
  <c r="Y545" i="1"/>
  <c r="Y535" i="1"/>
  <c r="Y538" i="1"/>
  <c r="Y539" i="1" s="1"/>
  <c r="Y528" i="1"/>
  <c r="Y527" i="1"/>
  <c r="Y770" i="1"/>
  <c r="Y521" i="1"/>
  <c r="Y526" i="1"/>
  <c r="T552" i="1"/>
  <c r="Z552" i="1" s="1"/>
  <c r="AJ552" i="1" s="1"/>
  <c r="R552" i="1" s="1"/>
  <c r="T533" i="1"/>
  <c r="Z533" i="1" s="1"/>
  <c r="AJ533" i="1" s="1"/>
  <c r="R533" i="1" s="1"/>
  <c r="T545" i="1"/>
  <c r="Z545" i="1" s="1"/>
  <c r="AJ545" i="1" s="1"/>
  <c r="R545" i="1" s="1"/>
  <c r="T527" i="1"/>
  <c r="Z527" i="1" s="1"/>
  <c r="AJ527" i="1" s="1"/>
  <c r="R527" i="1" s="1"/>
  <c r="T524" i="1"/>
  <c r="Z524" i="1" s="1"/>
  <c r="AJ524" i="1" s="1"/>
  <c r="R524" i="1" s="1"/>
  <c r="Y552" i="1"/>
  <c r="T521" i="1"/>
  <c r="T538" i="1"/>
  <c r="T539" i="1" s="1"/>
  <c r="T752" i="1"/>
  <c r="Z752" i="1" s="1"/>
  <c r="AJ752" i="1" s="1"/>
  <c r="R752" i="1" s="1"/>
  <c r="T764" i="1"/>
  <c r="Z764" i="1" s="1"/>
  <c r="AJ764" i="1" s="1"/>
  <c r="R764" i="1" s="1"/>
  <c r="T437" i="1"/>
  <c r="Z437" i="1" s="1"/>
  <c r="AJ437" i="1" s="1"/>
  <c r="R437" i="1" s="1"/>
  <c r="Y687" i="1"/>
  <c r="AI687" i="1" s="1"/>
  <c r="T489" i="1"/>
  <c r="Z489" i="1" s="1"/>
  <c r="AJ489" i="1" s="1"/>
  <c r="R489" i="1" s="1"/>
  <c r="Y227" i="1"/>
  <c r="Y674" i="1"/>
  <c r="T748" i="1"/>
  <c r="Z748" i="1" s="1"/>
  <c r="AJ748" i="1" s="1"/>
  <c r="R748" i="1" s="1"/>
  <c r="Y480" i="1"/>
  <c r="Y454" i="1"/>
  <c r="T494" i="1"/>
  <c r="Z494" i="1" s="1"/>
  <c r="AJ494" i="1" s="1"/>
  <c r="R494" i="1" s="1"/>
  <c r="Y33" i="1"/>
  <c r="T227" i="1"/>
  <c r="Z227" i="1" s="1"/>
  <c r="AJ227" i="1" s="1"/>
  <c r="R227" i="1" s="1"/>
  <c r="Y260" i="1"/>
  <c r="Y275" i="1"/>
  <c r="T476" i="1"/>
  <c r="Z476" i="1" s="1"/>
  <c r="AJ476" i="1" s="1"/>
  <c r="R476" i="1" s="1"/>
  <c r="T696" i="1"/>
  <c r="Z696" i="1" s="1"/>
  <c r="AJ696" i="1" s="1"/>
  <c r="R696" i="1" s="1"/>
  <c r="T687" i="1"/>
  <c r="Z687" i="1" s="1"/>
  <c r="AJ687" i="1" s="1"/>
  <c r="R687" i="1" s="1"/>
  <c r="T492" i="1"/>
  <c r="Z492" i="1" s="1"/>
  <c r="AJ492" i="1" s="1"/>
  <c r="R492" i="1" s="1"/>
  <c r="Y486" i="1"/>
  <c r="Y328" i="1"/>
  <c r="Y748" i="1"/>
  <c r="Y696" i="1"/>
  <c r="Y489" i="1"/>
  <c r="Y437" i="1"/>
  <c r="Y684" i="1"/>
  <c r="Y492" i="1"/>
  <c r="Y434" i="1"/>
  <c r="Y230" i="1"/>
  <c r="T684" i="1"/>
  <c r="Z684" i="1" s="1"/>
  <c r="AJ684" i="1" s="1"/>
  <c r="R684" i="1" s="1"/>
  <c r="Y483" i="1"/>
  <c r="T486" i="1"/>
  <c r="Z486" i="1" s="1"/>
  <c r="AJ486" i="1" s="1"/>
  <c r="R486" i="1" s="1"/>
  <c r="T434" i="1"/>
  <c r="Z434" i="1" s="1"/>
  <c r="AJ434" i="1" s="1"/>
  <c r="R434" i="1" s="1"/>
  <c r="Y766" i="1"/>
  <c r="AI766" i="1" s="1"/>
  <c r="Y211" i="1"/>
  <c r="AI211" i="1" s="1"/>
  <c r="Y35" i="1"/>
  <c r="AI35" i="1" s="1"/>
  <c r="Y253" i="1"/>
  <c r="AI253" i="1" s="1"/>
  <c r="Y320" i="1"/>
  <c r="AI320" i="1" s="1"/>
  <c r="T224" i="1"/>
  <c r="Z224" i="1" s="1"/>
  <c r="AJ224" i="1" s="1"/>
  <c r="R224" i="1" s="1"/>
  <c r="T174" i="1"/>
  <c r="Z174" i="1" s="1"/>
  <c r="AJ174" i="1" s="1"/>
  <c r="R174" i="1" s="1"/>
  <c r="Y411" i="1"/>
  <c r="Y405" i="1"/>
  <c r="Y109" i="1"/>
  <c r="Y362" i="1"/>
  <c r="Y751" i="1"/>
  <c r="Y257" i="1"/>
  <c r="Y738" i="1"/>
  <c r="Y673" i="1"/>
  <c r="Y490" i="1"/>
  <c r="Y322" i="1"/>
  <c r="Y357" i="1"/>
  <c r="AI357" i="1" s="1"/>
  <c r="Y112" i="1"/>
  <c r="Y199" i="1"/>
  <c r="Y9" i="1"/>
  <c r="Y367" i="1"/>
  <c r="Y122" i="1"/>
  <c r="Y482" i="1"/>
  <c r="Y481" i="1"/>
  <c r="Y469" i="1"/>
  <c r="Y704" i="1"/>
  <c r="Y475" i="1"/>
  <c r="Y196" i="1"/>
  <c r="AI196" i="1" s="1"/>
  <c r="Y226" i="1"/>
  <c r="Y404" i="1"/>
  <c r="Y209" i="1"/>
  <c r="Y358" i="1"/>
  <c r="Y372" i="1"/>
  <c r="Y170" i="1"/>
  <c r="Y258" i="1"/>
  <c r="Y201" i="1"/>
  <c r="Y204" i="1"/>
  <c r="Y336" i="1"/>
  <c r="Y402" i="1"/>
  <c r="AI402" i="1" s="1"/>
  <c r="Y133" i="1"/>
  <c r="Y192" i="1"/>
  <c r="AI192" i="1" s="1"/>
  <c r="Y22" i="1"/>
  <c r="Y21" i="1"/>
  <c r="AI21" i="1" s="1"/>
  <c r="Y69" i="1"/>
  <c r="Y79" i="1"/>
  <c r="Y127" i="1"/>
  <c r="Y147" i="1"/>
  <c r="AI147" i="1" s="1"/>
  <c r="Y148" i="1"/>
  <c r="Y128" i="1"/>
  <c r="Y185" i="1"/>
  <c r="Y39" i="1"/>
  <c r="Y16" i="1"/>
  <c r="Y70" i="1"/>
  <c r="Y194" i="1"/>
  <c r="Y126" i="1"/>
  <c r="T738" i="1"/>
  <c r="Z738" i="1" s="1"/>
  <c r="AJ738" i="1" s="1"/>
  <c r="R738" i="1" s="1"/>
  <c r="Y494" i="1"/>
  <c r="Y474" i="1"/>
  <c r="AI474" i="1" s="1"/>
  <c r="Y466" i="1"/>
  <c r="AI466" i="1" s="1"/>
  <c r="Y694" i="1"/>
  <c r="Y671" i="1"/>
  <c r="Y471" i="1"/>
  <c r="Y191" i="1"/>
  <c r="Y164" i="1"/>
  <c r="Y239" i="1"/>
  <c r="Y218" i="1"/>
  <c r="AI218" i="1" s="1"/>
  <c r="Y171" i="1"/>
  <c r="Y412" i="1"/>
  <c r="Y359" i="1"/>
  <c r="Y90" i="1"/>
  <c r="Y149" i="1"/>
  <c r="Y142" i="1"/>
  <c r="Y242" i="1"/>
  <c r="Y370" i="1"/>
  <c r="Y154" i="1"/>
  <c r="Y259" i="1"/>
  <c r="Y145" i="1"/>
  <c r="AI145" i="1" s="1"/>
  <c r="Q145" i="1" s="1"/>
  <c r="Y682" i="1"/>
  <c r="Y672" i="1"/>
  <c r="Y465" i="1"/>
  <c r="Y224" i="1"/>
  <c r="Y222" i="1"/>
  <c r="Y371" i="1"/>
  <c r="Y217" i="1"/>
  <c r="Y220" i="1"/>
  <c r="Y364" i="1"/>
  <c r="Y31" i="1"/>
  <c r="Y23" i="1"/>
  <c r="Y19" i="1"/>
  <c r="Y143" i="1"/>
  <c r="Y135" i="1"/>
  <c r="Y125" i="1"/>
  <c r="Y131" i="1"/>
  <c r="Y136" i="1"/>
  <c r="Y129" i="1"/>
  <c r="Y11" i="1"/>
  <c r="Y14" i="1"/>
  <c r="Y85" i="1"/>
  <c r="Y132" i="1"/>
  <c r="Y167" i="1"/>
  <c r="Y668" i="1"/>
  <c r="Y669" i="1" s="1"/>
  <c r="Y216" i="1"/>
  <c r="Y683" i="1"/>
  <c r="Y373" i="1"/>
  <c r="Y25" i="1"/>
  <c r="AI25" i="1" s="1"/>
  <c r="T485" i="1"/>
  <c r="Z485" i="1" s="1"/>
  <c r="AJ485" i="1" s="1"/>
  <c r="R485" i="1" s="1"/>
  <c r="Y238" i="1"/>
  <c r="AI238" i="1" s="1"/>
  <c r="Y744" i="1"/>
  <c r="Y680" i="1"/>
  <c r="Y212" i="1"/>
  <c r="Y186" i="1"/>
  <c r="Y200" i="1"/>
  <c r="Y473" i="1"/>
  <c r="Y477" i="1"/>
  <c r="Y479" i="1"/>
  <c r="Y707" i="1"/>
  <c r="Y681" i="1"/>
  <c r="Y484" i="1"/>
  <c r="Y468" i="1"/>
  <c r="Y37" i="1"/>
  <c r="Y225" i="1"/>
  <c r="Y207" i="1"/>
  <c r="Y240" i="1"/>
  <c r="Y205" i="1"/>
  <c r="Y169" i="1"/>
  <c r="Y375" i="1"/>
  <c r="Y221" i="1"/>
  <c r="Y219" i="1"/>
  <c r="Y319" i="1"/>
  <c r="Y168" i="1"/>
  <c r="Y174" i="1"/>
  <c r="Y368" i="1"/>
  <c r="Y321" i="1"/>
  <c r="Y114" i="1"/>
  <c r="Y117" i="1"/>
  <c r="Y13" i="1"/>
  <c r="Y38" i="1"/>
  <c r="Y12" i="1"/>
  <c r="Y77" i="1"/>
  <c r="Y141" i="1"/>
  <c r="Y115" i="1"/>
  <c r="Y118" i="1"/>
  <c r="Y124" i="1"/>
  <c r="Y130" i="1"/>
  <c r="Y32" i="1"/>
  <c r="Y46" i="1"/>
  <c r="Y44" i="1"/>
  <c r="Y86" i="1"/>
  <c r="Y119" i="1"/>
  <c r="Y323" i="1"/>
  <c r="Y689" i="1"/>
  <c r="Y450" i="1"/>
  <c r="Y470" i="1"/>
  <c r="Y476" i="1"/>
  <c r="Y467" i="1"/>
  <c r="Y485" i="1"/>
  <c r="Y27" i="1"/>
  <c r="Y172" i="1"/>
  <c r="Y233" i="1"/>
  <c r="Y203" i="1"/>
  <c r="Y374" i="1"/>
  <c r="Y206" i="1"/>
  <c r="Y173" i="1"/>
  <c r="Y365" i="1"/>
  <c r="Y208" i="1"/>
  <c r="Y223" i="1"/>
  <c r="Y369" i="1"/>
  <c r="Y401" i="1"/>
  <c r="Y146" i="1"/>
  <c r="Y116" i="1"/>
  <c r="Y15" i="1"/>
  <c r="Y26" i="1"/>
  <c r="Y78" i="1"/>
  <c r="Y193" i="1"/>
  <c r="Y107" i="1"/>
  <c r="Y113" i="1"/>
  <c r="Y187" i="1"/>
  <c r="Y150" i="1"/>
  <c r="Y10" i="1"/>
  <c r="Y20" i="1"/>
  <c r="Y87" i="1"/>
  <c r="Y134" i="1"/>
  <c r="Y137" i="1"/>
  <c r="Y366" i="1"/>
  <c r="Y108" i="1"/>
  <c r="Y34" i="1"/>
  <c r="Y213" i="1"/>
  <c r="Y8" i="1"/>
  <c r="Y152" i="1"/>
  <c r="Y675" i="1"/>
  <c r="Y30" i="1"/>
  <c r="AI30" i="1" s="1"/>
  <c r="Y210" i="1"/>
  <c r="Y198" i="1"/>
  <c r="AI198" i="1" s="1"/>
  <c r="Y670" i="1"/>
  <c r="AI670" i="1" s="1"/>
  <c r="Y140" i="1"/>
  <c r="AI140" i="1" s="1"/>
  <c r="Y202" i="1"/>
  <c r="Y542" i="1"/>
  <c r="Y400" i="1"/>
  <c r="AI400" i="1" s="1"/>
  <c r="Y464" i="1"/>
  <c r="T405" i="1"/>
  <c r="Z405" i="1" s="1"/>
  <c r="AJ405" i="1" s="1"/>
  <c r="R405" i="1" s="1"/>
  <c r="T116" i="1"/>
  <c r="Z116" i="1" s="1"/>
  <c r="AJ116" i="1" s="1"/>
  <c r="R116" i="1" s="1"/>
  <c r="T373" i="1"/>
  <c r="Z373" i="1" s="1"/>
  <c r="AJ373" i="1" s="1"/>
  <c r="R373" i="1" s="1"/>
  <c r="T220" i="1"/>
  <c r="Z220" i="1" s="1"/>
  <c r="AJ220" i="1" s="1"/>
  <c r="R220" i="1" s="1"/>
  <c r="T225" i="1"/>
  <c r="Z225" i="1" s="1"/>
  <c r="AJ225" i="1" s="1"/>
  <c r="R225" i="1" s="1"/>
  <c r="T143" i="1"/>
  <c r="Z143" i="1" s="1"/>
  <c r="AJ143" i="1" s="1"/>
  <c r="R143" i="1" s="1"/>
  <c r="Y68" i="1"/>
  <c r="AI68" i="1" s="1"/>
  <c r="T401" i="1"/>
  <c r="Z401" i="1" s="1"/>
  <c r="AJ401" i="1" s="1"/>
  <c r="R401" i="1" s="1"/>
  <c r="Y435" i="1"/>
  <c r="T681" i="1"/>
  <c r="Z681" i="1" s="1"/>
  <c r="AJ681" i="1" s="1"/>
  <c r="R681" i="1" s="1"/>
  <c r="T480" i="1"/>
  <c r="Z480" i="1" s="1"/>
  <c r="AJ480" i="1" s="1"/>
  <c r="R480" i="1" s="1"/>
  <c r="T362" i="1"/>
  <c r="Z362" i="1" s="1"/>
  <c r="AJ362" i="1" s="1"/>
  <c r="R362" i="1" s="1"/>
  <c r="T466" i="1"/>
  <c r="Z466" i="1" s="1"/>
  <c r="AJ466" i="1" s="1"/>
  <c r="R466" i="1" s="1"/>
  <c r="T259" i="1"/>
  <c r="Z259" i="1" s="1"/>
  <c r="AJ259" i="1" s="1"/>
  <c r="R259" i="1" s="1"/>
  <c r="T167" i="1"/>
  <c r="Z167" i="1" s="1"/>
  <c r="AJ167" i="1" s="1"/>
  <c r="R167" i="1" s="1"/>
  <c r="T206" i="1"/>
  <c r="Z206" i="1" s="1"/>
  <c r="AJ206" i="1" s="1"/>
  <c r="R206" i="1" s="1"/>
  <c r="T216" i="1"/>
  <c r="Z216" i="1" s="1"/>
  <c r="AJ216" i="1" s="1"/>
  <c r="R216" i="1" s="1"/>
  <c r="T193" i="1"/>
  <c r="Z193" i="1" s="1"/>
  <c r="AJ193" i="1" s="1"/>
  <c r="R193" i="1" s="1"/>
  <c r="T148" i="1"/>
  <c r="Z148" i="1" s="1"/>
  <c r="AJ148" i="1" s="1"/>
  <c r="R148" i="1" s="1"/>
  <c r="T200" i="1"/>
  <c r="Z200" i="1" s="1"/>
  <c r="AJ200" i="1" s="1"/>
  <c r="R200" i="1" s="1"/>
  <c r="Y356" i="1"/>
  <c r="T483" i="1"/>
  <c r="Z483" i="1" s="1"/>
  <c r="AJ483" i="1" s="1"/>
  <c r="R483" i="1" s="1"/>
  <c r="T411" i="1"/>
  <c r="Z411" i="1" s="1"/>
  <c r="AJ411" i="1" s="1"/>
  <c r="R411" i="1" s="1"/>
  <c r="T675" i="1"/>
  <c r="Z675" i="1" s="1"/>
  <c r="AJ675" i="1" s="1"/>
  <c r="R675" i="1" s="1"/>
  <c r="T16" i="1"/>
  <c r="Z16" i="1" s="1"/>
  <c r="AJ16" i="1" s="1"/>
  <c r="R16" i="1" s="1"/>
  <c r="T751" i="1"/>
  <c r="Z751" i="1" s="1"/>
  <c r="AJ751" i="1" s="1"/>
  <c r="R751" i="1" s="1"/>
  <c r="T219" i="1"/>
  <c r="Z219" i="1" s="1"/>
  <c r="AJ219" i="1" s="1"/>
  <c r="R219" i="1" s="1"/>
  <c r="T132" i="1"/>
  <c r="Z132" i="1" s="1"/>
  <c r="AJ132" i="1" s="1"/>
  <c r="R132" i="1" s="1"/>
  <c r="T27" i="1"/>
  <c r="Z27" i="1" s="1"/>
  <c r="AJ27" i="1" s="1"/>
  <c r="R27" i="1" s="1"/>
  <c r="T135" i="1"/>
  <c r="Z135" i="1" s="1"/>
  <c r="AJ135" i="1" s="1"/>
  <c r="R135" i="1" s="1"/>
  <c r="T130" i="1"/>
  <c r="Z130" i="1" s="1"/>
  <c r="AJ130" i="1" s="1"/>
  <c r="R130" i="1" s="1"/>
  <c r="T289" i="1"/>
  <c r="Z289" i="1" s="1"/>
  <c r="AJ289" i="1" s="1"/>
  <c r="R289" i="1" s="1"/>
  <c r="T374" i="1"/>
  <c r="Z374" i="1" s="1"/>
  <c r="AJ374" i="1" s="1"/>
  <c r="R374" i="1" s="1"/>
  <c r="T253" i="1"/>
  <c r="Z253" i="1" s="1"/>
  <c r="AJ253" i="1" s="1"/>
  <c r="R253" i="1" s="1"/>
  <c r="T375" i="1"/>
  <c r="Z375" i="1" s="1"/>
  <c r="AJ375" i="1" s="1"/>
  <c r="R375" i="1" s="1"/>
  <c r="T694" i="1"/>
  <c r="Z694" i="1" s="1"/>
  <c r="AJ694" i="1" s="1"/>
  <c r="R694" i="1" s="1"/>
  <c r="T707" i="1"/>
  <c r="Z707" i="1" s="1"/>
  <c r="AJ707" i="1" s="1"/>
  <c r="R707" i="1" s="1"/>
  <c r="T208" i="1"/>
  <c r="Z208" i="1" s="1"/>
  <c r="AJ208" i="1" s="1"/>
  <c r="R208" i="1" s="1"/>
  <c r="T218" i="1"/>
  <c r="Z218" i="1" s="1"/>
  <c r="AJ218" i="1" s="1"/>
  <c r="R218" i="1" s="1"/>
  <c r="T39" i="1"/>
  <c r="Z39" i="1" s="1"/>
  <c r="AJ39" i="1" s="1"/>
  <c r="R39" i="1" s="1"/>
  <c r="T107" i="1"/>
  <c r="Z107" i="1" s="1"/>
  <c r="AJ107" i="1" s="1"/>
  <c r="R107" i="1" s="1"/>
  <c r="T35" i="1"/>
  <c r="Z35" i="1" s="1"/>
  <c r="AJ35" i="1" s="1"/>
  <c r="R35" i="1" s="1"/>
  <c r="T19" i="1"/>
  <c r="Z19" i="1" s="1"/>
  <c r="AJ19" i="1" s="1"/>
  <c r="R19" i="1" s="1"/>
  <c r="T323" i="1"/>
  <c r="Z323" i="1" s="1"/>
  <c r="AJ323" i="1" s="1"/>
  <c r="R323" i="1" s="1"/>
  <c r="T465" i="1"/>
  <c r="Z465" i="1" s="1"/>
  <c r="AJ465" i="1" s="1"/>
  <c r="R465" i="1" s="1"/>
  <c r="T683" i="1"/>
  <c r="Z683" i="1" s="1"/>
  <c r="AJ683" i="1" s="1"/>
  <c r="R683" i="1" s="1"/>
  <c r="T703" i="1"/>
  <c r="Z703" i="1" s="1"/>
  <c r="AJ703" i="1" s="1"/>
  <c r="R703" i="1" s="1"/>
  <c r="T112" i="1"/>
  <c r="Z112" i="1" s="1"/>
  <c r="AJ112" i="1" s="1"/>
  <c r="R112" i="1" s="1"/>
  <c r="T46" i="1"/>
  <c r="Z46" i="1" s="1"/>
  <c r="AJ46" i="1" s="1"/>
  <c r="R46" i="1" s="1"/>
  <c r="T336" i="1"/>
  <c r="Z336" i="1" s="1"/>
  <c r="AJ336" i="1" s="1"/>
  <c r="R336" i="1" s="1"/>
  <c r="T20" i="1"/>
  <c r="Z20" i="1" s="1"/>
  <c r="AJ20" i="1" s="1"/>
  <c r="R20" i="1" s="1"/>
  <c r="T674" i="1"/>
  <c r="Z674" i="1" s="1"/>
  <c r="AJ674" i="1" s="1"/>
  <c r="R674" i="1" s="1"/>
  <c r="Y286" i="1"/>
  <c r="Y488" i="1"/>
  <c r="AI488" i="1" s="1"/>
  <c r="Q488" i="1" s="1"/>
  <c r="T412" i="1"/>
  <c r="Z412" i="1" s="1"/>
  <c r="AJ412" i="1" s="1"/>
  <c r="R412" i="1" s="1"/>
  <c r="Y106" i="1"/>
  <c r="T240" i="1"/>
  <c r="Z240" i="1" s="1"/>
  <c r="AJ240" i="1" s="1"/>
  <c r="R240" i="1" s="1"/>
  <c r="T260" i="1"/>
  <c r="Z260" i="1" s="1"/>
  <c r="AJ260" i="1" s="1"/>
  <c r="R260" i="1" s="1"/>
  <c r="T370" i="1"/>
  <c r="Z370" i="1" s="1"/>
  <c r="AJ370" i="1" s="1"/>
  <c r="R370" i="1" s="1"/>
  <c r="T404" i="1"/>
  <c r="Z404" i="1" s="1"/>
  <c r="AJ404" i="1" s="1"/>
  <c r="R404" i="1" s="1"/>
  <c r="T475" i="1"/>
  <c r="Z475" i="1" s="1"/>
  <c r="AJ475" i="1" s="1"/>
  <c r="R475" i="1" s="1"/>
  <c r="T239" i="1"/>
  <c r="Z239" i="1" s="1"/>
  <c r="AJ239" i="1" s="1"/>
  <c r="R239" i="1" s="1"/>
  <c r="T371" i="1"/>
  <c r="Z371" i="1" s="1"/>
  <c r="AJ371" i="1" s="1"/>
  <c r="R371" i="1" s="1"/>
  <c r="T467" i="1"/>
  <c r="Z467" i="1" s="1"/>
  <c r="AJ467" i="1" s="1"/>
  <c r="R467" i="1" s="1"/>
  <c r="T479" i="1"/>
  <c r="Z479" i="1" s="1"/>
  <c r="AJ479" i="1" s="1"/>
  <c r="R479" i="1" s="1"/>
  <c r="T673" i="1"/>
  <c r="Z673" i="1" s="1"/>
  <c r="AJ673" i="1" s="1"/>
  <c r="R673" i="1" s="1"/>
  <c r="T454" i="1"/>
  <c r="Z454" i="1" s="1"/>
  <c r="AJ454" i="1" s="1"/>
  <c r="R454" i="1" s="1"/>
  <c r="T109" i="1"/>
  <c r="Z109" i="1" s="1"/>
  <c r="AJ109" i="1" s="1"/>
  <c r="R109" i="1" s="1"/>
  <c r="T169" i="1"/>
  <c r="Z169" i="1" s="1"/>
  <c r="AJ169" i="1" s="1"/>
  <c r="R169" i="1" s="1"/>
  <c r="T133" i="1"/>
  <c r="Z133" i="1" s="1"/>
  <c r="AJ133" i="1" s="1"/>
  <c r="R133" i="1" s="1"/>
  <c r="T186" i="1"/>
  <c r="Z186" i="1" s="1"/>
  <c r="AJ186" i="1" s="1"/>
  <c r="R186" i="1" s="1"/>
  <c r="T137" i="1"/>
  <c r="Z137" i="1" s="1"/>
  <c r="AJ137" i="1" s="1"/>
  <c r="R137" i="1" s="1"/>
  <c r="T11" i="1"/>
  <c r="Z11" i="1" s="1"/>
  <c r="AJ11" i="1" s="1"/>
  <c r="R11" i="1" s="1"/>
  <c r="T196" i="1"/>
  <c r="Z196" i="1" s="1"/>
  <c r="AJ196" i="1" s="1"/>
  <c r="R196" i="1" s="1"/>
  <c r="T44" i="1"/>
  <c r="Z44" i="1" s="1"/>
  <c r="AJ44" i="1" s="1"/>
  <c r="R44" i="1" s="1"/>
  <c r="T32" i="1"/>
  <c r="Z32" i="1" s="1"/>
  <c r="AJ32" i="1" s="1"/>
  <c r="R32" i="1" s="1"/>
  <c r="T203" i="1"/>
  <c r="Z203" i="1" s="1"/>
  <c r="AJ203" i="1" s="1"/>
  <c r="R203" i="1" s="1"/>
  <c r="T13" i="1"/>
  <c r="Z13" i="1" s="1"/>
  <c r="AJ13" i="1" s="1"/>
  <c r="R13" i="1" s="1"/>
  <c r="T164" i="1"/>
  <c r="Z164" i="1" s="1"/>
  <c r="AJ164" i="1" s="1"/>
  <c r="R164" i="1" s="1"/>
  <c r="T12" i="1"/>
  <c r="Z12" i="1" s="1"/>
  <c r="AJ12" i="1" s="1"/>
  <c r="R12" i="1" s="1"/>
  <c r="T9" i="1"/>
  <c r="Z9" i="1" s="1"/>
  <c r="AJ9" i="1" s="1"/>
  <c r="R9" i="1" s="1"/>
  <c r="T87" i="1"/>
  <c r="Z87" i="1" s="1"/>
  <c r="AJ87" i="1" s="1"/>
  <c r="R87" i="1" s="1"/>
  <c r="T187" i="1"/>
  <c r="Z187" i="1" s="1"/>
  <c r="AJ187" i="1" s="1"/>
  <c r="R187" i="1" s="1"/>
  <c r="Y111" i="1"/>
  <c r="AI111" i="1" s="1"/>
  <c r="Y215" i="1"/>
  <c r="AI215" i="1" s="1"/>
  <c r="T242" i="1"/>
  <c r="Z242" i="1" s="1"/>
  <c r="AJ242" i="1" s="1"/>
  <c r="R242" i="1" s="1"/>
  <c r="T275" i="1"/>
  <c r="Z275" i="1" s="1"/>
  <c r="AJ275" i="1" s="1"/>
  <c r="R275" i="1" s="1"/>
  <c r="T364" i="1"/>
  <c r="Z364" i="1" s="1"/>
  <c r="AJ364" i="1" s="1"/>
  <c r="R364" i="1" s="1"/>
  <c r="T372" i="1"/>
  <c r="Z372" i="1" s="1"/>
  <c r="AJ372" i="1" s="1"/>
  <c r="R372" i="1" s="1"/>
  <c r="T468" i="1"/>
  <c r="Z468" i="1" s="1"/>
  <c r="AJ468" i="1" s="1"/>
  <c r="R468" i="1" s="1"/>
  <c r="T477" i="1"/>
  <c r="Z477" i="1" s="1"/>
  <c r="AJ477" i="1" s="1"/>
  <c r="R477" i="1" s="1"/>
  <c r="T357" i="1"/>
  <c r="Z357" i="1" s="1"/>
  <c r="AJ357" i="1" s="1"/>
  <c r="R357" i="1" s="1"/>
  <c r="T365" i="1"/>
  <c r="Z365" i="1" s="1"/>
  <c r="AJ365" i="1" s="1"/>
  <c r="R365" i="1" s="1"/>
  <c r="T469" i="1"/>
  <c r="Z469" i="1" s="1"/>
  <c r="AJ469" i="1" s="1"/>
  <c r="R469" i="1" s="1"/>
  <c r="T481" i="1"/>
  <c r="Z481" i="1" s="1"/>
  <c r="AJ481" i="1" s="1"/>
  <c r="R481" i="1" s="1"/>
  <c r="T134" i="1"/>
  <c r="Z134" i="1" s="1"/>
  <c r="AJ134" i="1" s="1"/>
  <c r="R134" i="1" s="1"/>
  <c r="T689" i="1"/>
  <c r="Z689" i="1" s="1"/>
  <c r="AJ689" i="1" s="1"/>
  <c r="R689" i="1" s="1"/>
  <c r="T680" i="1"/>
  <c r="Z680" i="1" s="1"/>
  <c r="AJ680" i="1" s="1"/>
  <c r="R680" i="1" s="1"/>
  <c r="T70" i="1"/>
  <c r="Z70" i="1" s="1"/>
  <c r="AJ70" i="1" s="1"/>
  <c r="R70" i="1" s="1"/>
  <c r="T79" i="1"/>
  <c r="Z79" i="1" s="1"/>
  <c r="AJ79" i="1" s="1"/>
  <c r="R79" i="1" s="1"/>
  <c r="T136" i="1"/>
  <c r="Z136" i="1" s="1"/>
  <c r="AJ136" i="1" s="1"/>
  <c r="R136" i="1" s="1"/>
  <c r="T199" i="1"/>
  <c r="Z199" i="1" s="1"/>
  <c r="AJ199" i="1" s="1"/>
  <c r="R199" i="1" s="1"/>
  <c r="T152" i="1"/>
  <c r="Z152" i="1" s="1"/>
  <c r="AJ152" i="1" s="1"/>
  <c r="R152" i="1" s="1"/>
  <c r="T201" i="1"/>
  <c r="Z201" i="1" s="1"/>
  <c r="AJ201" i="1" s="1"/>
  <c r="R201" i="1" s="1"/>
  <c r="T168" i="1"/>
  <c r="Z168" i="1" s="1"/>
  <c r="AJ168" i="1" s="1"/>
  <c r="R168" i="1" s="1"/>
  <c r="T34" i="1"/>
  <c r="Z34" i="1" s="1"/>
  <c r="AJ34" i="1" s="1"/>
  <c r="R34" i="1" s="1"/>
  <c r="T154" i="1"/>
  <c r="Z154" i="1" s="1"/>
  <c r="AJ154" i="1" s="1"/>
  <c r="R154" i="1" s="1"/>
  <c r="T211" i="1"/>
  <c r="Z211" i="1" s="1"/>
  <c r="AJ211" i="1" s="1"/>
  <c r="R211" i="1" s="1"/>
  <c r="T38" i="1"/>
  <c r="Z38" i="1" s="1"/>
  <c r="AJ38" i="1" s="1"/>
  <c r="R38" i="1" s="1"/>
  <c r="T10" i="1"/>
  <c r="Z10" i="1" s="1"/>
  <c r="AJ10" i="1" s="1"/>
  <c r="R10" i="1" s="1"/>
  <c r="T131" i="1"/>
  <c r="Z131" i="1" s="1"/>
  <c r="AJ131" i="1" s="1"/>
  <c r="R131" i="1" s="1"/>
  <c r="T128" i="1"/>
  <c r="Z128" i="1" s="1"/>
  <c r="AJ128" i="1" s="1"/>
  <c r="R128" i="1" s="1"/>
  <c r="T37" i="1"/>
  <c r="Z37" i="1" s="1"/>
  <c r="AJ37" i="1" s="1"/>
  <c r="R37" i="1" s="1"/>
  <c r="T118" i="1"/>
  <c r="Z118" i="1" s="1"/>
  <c r="AJ118" i="1" s="1"/>
  <c r="R118" i="1" s="1"/>
  <c r="T194" i="1"/>
  <c r="Z194" i="1" s="1"/>
  <c r="AJ194" i="1" s="1"/>
  <c r="R194" i="1" s="1"/>
  <c r="T173" i="1"/>
  <c r="Z173" i="1" s="1"/>
  <c r="AJ173" i="1" s="1"/>
  <c r="R173" i="1" s="1"/>
  <c r="T117" i="1"/>
  <c r="Z117" i="1" s="1"/>
  <c r="AJ117" i="1" s="1"/>
  <c r="R117" i="1" s="1"/>
  <c r="T21" i="1"/>
  <c r="Z21" i="1" s="1"/>
  <c r="AJ21" i="1" s="1"/>
  <c r="R21" i="1" s="1"/>
  <c r="T171" i="1"/>
  <c r="Z171" i="1" s="1"/>
  <c r="AJ171" i="1" s="1"/>
  <c r="R171" i="1" s="1"/>
  <c r="T321" i="1"/>
  <c r="Z321" i="1" s="1"/>
  <c r="AJ321" i="1" s="1"/>
  <c r="R321" i="1" s="1"/>
  <c r="T358" i="1"/>
  <c r="Z358" i="1" s="1"/>
  <c r="AJ358" i="1" s="1"/>
  <c r="R358" i="1" s="1"/>
  <c r="T366" i="1"/>
  <c r="Z366" i="1" s="1"/>
  <c r="AJ366" i="1" s="1"/>
  <c r="R366" i="1" s="1"/>
  <c r="T450" i="1"/>
  <c r="Z450" i="1" s="1"/>
  <c r="AJ450" i="1" s="1"/>
  <c r="R450" i="1" s="1"/>
  <c r="T470" i="1"/>
  <c r="Z470" i="1" s="1"/>
  <c r="AJ470" i="1" s="1"/>
  <c r="R470" i="1" s="1"/>
  <c r="T482" i="1"/>
  <c r="Z482" i="1" s="1"/>
  <c r="AJ482" i="1" s="1"/>
  <c r="R482" i="1" s="1"/>
  <c r="T322" i="1"/>
  <c r="Z322" i="1" s="1"/>
  <c r="AJ322" i="1" s="1"/>
  <c r="R322" i="1" s="1"/>
  <c r="T359" i="1"/>
  <c r="Z359" i="1" s="1"/>
  <c r="AJ359" i="1" s="1"/>
  <c r="R359" i="1" s="1"/>
  <c r="T367" i="1"/>
  <c r="Z367" i="1" s="1"/>
  <c r="AJ367" i="1" s="1"/>
  <c r="R367" i="1" s="1"/>
  <c r="T471" i="1"/>
  <c r="Z471" i="1" s="1"/>
  <c r="AJ471" i="1" s="1"/>
  <c r="R471" i="1" s="1"/>
  <c r="T119" i="1"/>
  <c r="Z119" i="1" s="1"/>
  <c r="AJ119" i="1" s="1"/>
  <c r="R119" i="1" s="1"/>
  <c r="T191" i="1"/>
  <c r="Z191" i="1" s="1"/>
  <c r="AJ191" i="1" s="1"/>
  <c r="R191" i="1" s="1"/>
  <c r="T744" i="1"/>
  <c r="Z744" i="1" s="1"/>
  <c r="AJ744" i="1" s="1"/>
  <c r="R744" i="1" s="1"/>
  <c r="T672" i="1"/>
  <c r="Z672" i="1" s="1"/>
  <c r="AJ672" i="1" s="1"/>
  <c r="R672" i="1" s="1"/>
  <c r="T704" i="1"/>
  <c r="Z704" i="1" s="1"/>
  <c r="AJ704" i="1" s="1"/>
  <c r="R704" i="1" s="1"/>
  <c r="T766" i="1"/>
  <c r="Z766" i="1" s="1"/>
  <c r="AJ766" i="1" s="1"/>
  <c r="R766" i="1" s="1"/>
  <c r="T682" i="1"/>
  <c r="Z682" i="1" s="1"/>
  <c r="AJ682" i="1" s="1"/>
  <c r="R682" i="1" s="1"/>
  <c r="T210" i="1"/>
  <c r="Z210" i="1" s="1"/>
  <c r="AJ210" i="1" s="1"/>
  <c r="R210" i="1" s="1"/>
  <c r="T223" i="1"/>
  <c r="Z223" i="1" s="1"/>
  <c r="AJ223" i="1" s="1"/>
  <c r="R223" i="1" s="1"/>
  <c r="T129" i="1"/>
  <c r="Z129" i="1" s="1"/>
  <c r="AJ129" i="1" s="1"/>
  <c r="R129" i="1" s="1"/>
  <c r="T90" i="1"/>
  <c r="Z90" i="1" s="1"/>
  <c r="AJ90" i="1" s="1"/>
  <c r="R90" i="1" s="1"/>
  <c r="T113" i="1"/>
  <c r="Z113" i="1" s="1"/>
  <c r="AJ113" i="1" s="1"/>
  <c r="R113" i="1" s="1"/>
  <c r="T127" i="1"/>
  <c r="Z127" i="1" s="1"/>
  <c r="AJ127" i="1" s="1"/>
  <c r="R127" i="1" s="1"/>
  <c r="T8" i="1"/>
  <c r="Z8" i="1" s="1"/>
  <c r="AJ8" i="1" s="1"/>
  <c r="R8" i="1" s="1"/>
  <c r="T170" i="1"/>
  <c r="Z170" i="1" s="1"/>
  <c r="AJ170" i="1" s="1"/>
  <c r="R170" i="1" s="1"/>
  <c r="T69" i="1"/>
  <c r="Z69" i="1" s="1"/>
  <c r="AJ69" i="1" s="1"/>
  <c r="R69" i="1" s="1"/>
  <c r="T85" i="1"/>
  <c r="Z85" i="1" s="1"/>
  <c r="AJ85" i="1" s="1"/>
  <c r="R85" i="1" s="1"/>
  <c r="T185" i="1"/>
  <c r="Z185" i="1" s="1"/>
  <c r="AJ185" i="1" s="1"/>
  <c r="R185" i="1" s="1"/>
  <c r="T23" i="1"/>
  <c r="Z23" i="1" s="1"/>
  <c r="AJ23" i="1" s="1"/>
  <c r="R23" i="1" s="1"/>
  <c r="T125" i="1"/>
  <c r="Z125" i="1" s="1"/>
  <c r="AJ125" i="1" s="1"/>
  <c r="R125" i="1" s="1"/>
  <c r="T147" i="1"/>
  <c r="Z147" i="1" s="1"/>
  <c r="AJ147" i="1" s="1"/>
  <c r="R147" i="1" s="1"/>
  <c r="T78" i="1"/>
  <c r="Z78" i="1" s="1"/>
  <c r="AJ78" i="1" s="1"/>
  <c r="R78" i="1" s="1"/>
  <c r="T86" i="1"/>
  <c r="Z86" i="1" s="1"/>
  <c r="AJ86" i="1" s="1"/>
  <c r="R86" i="1" s="1"/>
  <c r="T150" i="1"/>
  <c r="Z150" i="1" s="1"/>
  <c r="AJ150" i="1" s="1"/>
  <c r="R150" i="1" s="1"/>
  <c r="T122" i="1"/>
  <c r="Z122" i="1" s="1"/>
  <c r="AJ122" i="1" s="1"/>
  <c r="R122" i="1" s="1"/>
  <c r="T221" i="1"/>
  <c r="Z221" i="1" s="1"/>
  <c r="AJ221" i="1" s="1"/>
  <c r="R221" i="1" s="1"/>
  <c r="T217" i="1"/>
  <c r="Z217" i="1" s="1"/>
  <c r="AJ217" i="1" s="1"/>
  <c r="R217" i="1" s="1"/>
  <c r="T14" i="1"/>
  <c r="Z14" i="1" s="1"/>
  <c r="AJ14" i="1" s="1"/>
  <c r="R14" i="1" s="1"/>
  <c r="T141" i="1"/>
  <c r="Z141" i="1" s="1"/>
  <c r="AJ141" i="1" s="1"/>
  <c r="R141" i="1" s="1"/>
  <c r="T26" i="1"/>
  <c r="Z26" i="1" s="1"/>
  <c r="AJ26" i="1" s="1"/>
  <c r="R26" i="1" s="1"/>
  <c r="T258" i="1"/>
  <c r="Z258" i="1" s="1"/>
  <c r="AJ258" i="1" s="1"/>
  <c r="R258" i="1" s="1"/>
  <c r="T328" i="1"/>
  <c r="Z328" i="1" s="1"/>
  <c r="AJ328" i="1" s="1"/>
  <c r="R328" i="1" s="1"/>
  <c r="T368" i="1"/>
  <c r="Z368" i="1" s="1"/>
  <c r="AJ368" i="1" s="1"/>
  <c r="R368" i="1" s="1"/>
  <c r="T473" i="1"/>
  <c r="Z473" i="1" s="1"/>
  <c r="AJ473" i="1" s="1"/>
  <c r="R473" i="1" s="1"/>
  <c r="T484" i="1"/>
  <c r="Z484" i="1" s="1"/>
  <c r="AJ484" i="1" s="1"/>
  <c r="R484" i="1" s="1"/>
  <c r="T257" i="1"/>
  <c r="Z257" i="1" s="1"/>
  <c r="AJ257" i="1" s="1"/>
  <c r="R257" i="1" s="1"/>
  <c r="T369" i="1"/>
  <c r="Z369" i="1" s="1"/>
  <c r="AJ369" i="1" s="1"/>
  <c r="R369" i="1" s="1"/>
  <c r="T402" i="1"/>
  <c r="Z402" i="1" s="1"/>
  <c r="AJ402" i="1" s="1"/>
  <c r="R402" i="1" s="1"/>
  <c r="T474" i="1"/>
  <c r="Z474" i="1" s="1"/>
  <c r="AJ474" i="1" s="1"/>
  <c r="R474" i="1" s="1"/>
  <c r="T671" i="1"/>
  <c r="Z671" i="1" s="1"/>
  <c r="AJ671" i="1" s="1"/>
  <c r="R671" i="1" s="1"/>
  <c r="T212" i="1"/>
  <c r="Z212" i="1" s="1"/>
  <c r="AJ212" i="1" s="1"/>
  <c r="R212" i="1" s="1"/>
  <c r="T142" i="1"/>
  <c r="Z142" i="1" s="1"/>
  <c r="AJ142" i="1" s="1"/>
  <c r="R142" i="1" s="1"/>
  <c r="T108" i="1"/>
  <c r="Z108" i="1" s="1"/>
  <c r="AJ108" i="1" s="1"/>
  <c r="R108" i="1" s="1"/>
  <c r="T192" i="1"/>
  <c r="Z192" i="1" s="1"/>
  <c r="AJ192" i="1" s="1"/>
  <c r="R192" i="1" s="1"/>
  <c r="T126" i="1"/>
  <c r="Z126" i="1" s="1"/>
  <c r="AJ126" i="1" s="1"/>
  <c r="R126" i="1" s="1"/>
  <c r="T226" i="1"/>
  <c r="Z226" i="1" s="1"/>
  <c r="AJ226" i="1" s="1"/>
  <c r="R226" i="1" s="1"/>
  <c r="T33" i="1"/>
  <c r="Z33" i="1" s="1"/>
  <c r="AJ33" i="1" s="1"/>
  <c r="R33" i="1" s="1"/>
  <c r="T77" i="1"/>
  <c r="Z77" i="1" s="1"/>
  <c r="AJ77" i="1" s="1"/>
  <c r="R77" i="1" s="1"/>
  <c r="T15" i="1"/>
  <c r="Z15" i="1" s="1"/>
  <c r="AJ15" i="1" s="1"/>
  <c r="R15" i="1" s="1"/>
  <c r="T207" i="1"/>
  <c r="Z207" i="1" s="1"/>
  <c r="AJ207" i="1" s="1"/>
  <c r="R207" i="1" s="1"/>
  <c r="T115" i="1"/>
  <c r="Z115" i="1" s="1"/>
  <c r="AJ115" i="1" s="1"/>
  <c r="R115" i="1" s="1"/>
  <c r="T213" i="1"/>
  <c r="Z213" i="1" s="1"/>
  <c r="AJ213" i="1" s="1"/>
  <c r="R213" i="1" s="1"/>
  <c r="T22" i="1"/>
  <c r="Z22" i="1" s="1"/>
  <c r="AJ22" i="1" s="1"/>
  <c r="R22" i="1" s="1"/>
  <c r="T114" i="1"/>
  <c r="Z114" i="1" s="1"/>
  <c r="AJ114" i="1" s="1"/>
  <c r="R114" i="1" s="1"/>
  <c r="T209" i="1"/>
  <c r="Z209" i="1" s="1"/>
  <c r="AJ209" i="1" s="1"/>
  <c r="R209" i="1" s="1"/>
  <c r="T205" i="1"/>
  <c r="Z205" i="1" s="1"/>
  <c r="AJ205" i="1" s="1"/>
  <c r="R205" i="1" s="1"/>
  <c r="T31" i="1"/>
  <c r="Z31" i="1" s="1"/>
  <c r="AJ31" i="1" s="1"/>
  <c r="R31" i="1" s="1"/>
  <c r="T25" i="1"/>
  <c r="T670" i="1"/>
  <c r="Z670" i="1" s="1"/>
  <c r="T145" i="1"/>
  <c r="Z145" i="1" s="1"/>
  <c r="AJ145" i="1" s="1"/>
  <c r="T204" i="1"/>
  <c r="Z204" i="1" s="1"/>
  <c r="AJ204" i="1" s="1"/>
  <c r="R204" i="1" s="1"/>
  <c r="T149" i="1"/>
  <c r="Z149" i="1" s="1"/>
  <c r="AJ149" i="1" s="1"/>
  <c r="R149" i="1" s="1"/>
  <c r="Y769" i="1"/>
  <c r="AI769" i="1" s="1"/>
  <c r="T320" i="1"/>
  <c r="Z320" i="1" s="1"/>
  <c r="AJ320" i="1" s="1"/>
  <c r="R320" i="1" s="1"/>
  <c r="T400" i="1"/>
  <c r="T215" i="1"/>
  <c r="Z215" i="1" s="1"/>
  <c r="T668" i="1"/>
  <c r="T669" i="1" s="1"/>
  <c r="T1197" i="1" s="1"/>
  <c r="T106" i="1"/>
  <c r="Z106" i="1" s="1"/>
  <c r="T464" i="1"/>
  <c r="Z464" i="1" s="1"/>
  <c r="AJ464" i="1" s="1"/>
  <c r="T769" i="1"/>
  <c r="Y232" i="1"/>
  <c r="AI232" i="1" s="1"/>
  <c r="Q232" i="1" s="1"/>
  <c r="T222" i="1"/>
  <c r="Z222" i="1" s="1"/>
  <c r="AJ222" i="1" s="1"/>
  <c r="R222" i="1" s="1"/>
  <c r="T172" i="1"/>
  <c r="Z172" i="1" s="1"/>
  <c r="AJ172" i="1" s="1"/>
  <c r="R172" i="1" s="1"/>
  <c r="T124" i="1"/>
  <c r="Z124" i="1" s="1"/>
  <c r="AJ124" i="1" s="1"/>
  <c r="R124" i="1" s="1"/>
  <c r="Y7" i="1"/>
  <c r="AI7" i="1" s="1"/>
  <c r="T232" i="1"/>
  <c r="Z232" i="1" s="1"/>
  <c r="AJ232" i="1" s="1"/>
  <c r="T286" i="1"/>
  <c r="Z286" i="1" s="1"/>
  <c r="AJ286" i="1" s="1"/>
  <c r="R286" i="1" s="1"/>
  <c r="T235" i="1"/>
  <c r="Z235" i="1" s="1"/>
  <c r="AJ235" i="1" s="1"/>
  <c r="R235" i="1" s="1"/>
  <c r="T319" i="1"/>
  <c r="Z319" i="1" s="1"/>
  <c r="AJ319" i="1" s="1"/>
  <c r="R319" i="1" s="1"/>
  <c r="T230" i="1"/>
  <c r="T231" i="1" s="1"/>
  <c r="S1178" i="1"/>
  <c r="S1180" i="1"/>
  <c r="T234" i="1"/>
  <c r="Z234" i="1" s="1"/>
  <c r="AJ234" i="1" s="1"/>
  <c r="R234" i="1" s="1"/>
  <c r="T435" i="1"/>
  <c r="Z435" i="1" s="1"/>
  <c r="AJ435" i="1" s="1"/>
  <c r="R435" i="1" s="1"/>
  <c r="T202" i="1"/>
  <c r="Z202" i="1" s="1"/>
  <c r="AJ202" i="1" s="1"/>
  <c r="R202" i="1" s="1"/>
  <c r="S1181" i="1"/>
  <c r="T233" i="1"/>
  <c r="Z233" i="1" s="1"/>
  <c r="AJ233" i="1" s="1"/>
  <c r="R233" i="1" s="1"/>
  <c r="T542" i="1"/>
  <c r="T238" i="1"/>
  <c r="Z238" i="1" s="1"/>
  <c r="T68" i="1"/>
  <c r="T30" i="1"/>
  <c r="T452" i="1"/>
  <c r="T198" i="1"/>
  <c r="Z198" i="1" s="1"/>
  <c r="S1183" i="1"/>
  <c r="S1185" i="1" s="1"/>
  <c r="S1189" i="1"/>
  <c r="T356" i="1"/>
  <c r="T146" i="1"/>
  <c r="Z146" i="1" s="1"/>
  <c r="AJ146" i="1" s="1"/>
  <c r="R146" i="1" s="1"/>
  <c r="S1192" i="1"/>
  <c r="S1195" i="1" s="1"/>
  <c r="S1204" i="1"/>
  <c r="S1198" i="1"/>
  <c r="T490" i="1"/>
  <c r="Z490" i="1" s="1"/>
  <c r="AJ490" i="1" s="1"/>
  <c r="R490" i="1" s="1"/>
  <c r="S1197" i="1"/>
  <c r="T488" i="1"/>
  <c r="Z488" i="1" s="1"/>
  <c r="T140" i="1"/>
  <c r="S1177" i="1"/>
  <c r="S1184" i="1"/>
  <c r="S1206" i="1"/>
  <c r="T111" i="1"/>
  <c r="S1190" i="1"/>
  <c r="S1188" i="1"/>
  <c r="Y383" i="1"/>
  <c r="Y452" i="1"/>
  <c r="AI452" i="1" s="1"/>
  <c r="S1186" i="1"/>
  <c r="T7" i="1"/>
  <c r="Z7" i="1" s="1"/>
  <c r="Z177" i="1" l="1"/>
  <c r="AJ177" i="1" s="1"/>
  <c r="R177" i="1" s="1"/>
  <c r="Y399" i="1"/>
  <c r="T644" i="1"/>
  <c r="T1196" i="1" s="1"/>
  <c r="T771" i="1"/>
  <c r="T458" i="1"/>
  <c r="T1190" i="1" s="1"/>
  <c r="AI465" i="1"/>
  <c r="Q465" i="1" s="1"/>
  <c r="AI531" i="1"/>
  <c r="Q531" i="1" s="1"/>
  <c r="Z175" i="1"/>
  <c r="AJ175" i="1" s="1"/>
  <c r="AI117" i="1"/>
  <c r="AI534" i="1"/>
  <c r="Q534" i="1" s="1"/>
  <c r="T24" i="1"/>
  <c r="T144" i="1"/>
  <c r="T382" i="1"/>
  <c r="T1188" i="1" s="1"/>
  <c r="Z452" i="1"/>
  <c r="AJ452" i="1" s="1"/>
  <c r="R452" i="1" s="1"/>
  <c r="AI468" i="1"/>
  <c r="AI33" i="1"/>
  <c r="Q33" i="1" s="1"/>
  <c r="AI454" i="1"/>
  <c r="AI458" i="1" s="1"/>
  <c r="AI417" i="1"/>
  <c r="AI683" i="1"/>
  <c r="Z668" i="1"/>
  <c r="Z669" i="1" s="1"/>
  <c r="Z1197" i="1" s="1"/>
  <c r="AI32" i="1"/>
  <c r="Q32" i="1" s="1"/>
  <c r="AI221" i="1"/>
  <c r="AI492" i="1"/>
  <c r="AI538" i="1"/>
  <c r="AI539" i="1" s="1"/>
  <c r="AI248" i="1"/>
  <c r="S1191" i="1"/>
  <c r="AI187" i="1"/>
  <c r="Q187" i="1" s="1"/>
  <c r="AI223" i="1"/>
  <c r="AI173" i="1"/>
  <c r="AI485" i="1"/>
  <c r="AI131" i="1"/>
  <c r="Q131" i="1" s="1"/>
  <c r="AI434" i="1"/>
  <c r="AI521" i="1"/>
  <c r="AI545" i="1"/>
  <c r="AI317" i="1"/>
  <c r="Q317" i="1" s="1"/>
  <c r="AI690" i="1"/>
  <c r="T399" i="1"/>
  <c r="AI142" i="1"/>
  <c r="S1200" i="1"/>
  <c r="T138" i="1"/>
  <c r="T1183" i="1" s="1"/>
  <c r="T1185" i="1" s="1"/>
  <c r="S1179" i="1"/>
  <c r="T105" i="1"/>
  <c r="T1180" i="1" s="1"/>
  <c r="S1182" i="1"/>
  <c r="T28" i="1"/>
  <c r="AI286" i="1"/>
  <c r="Q286" i="1" s="1"/>
  <c r="AI137" i="1"/>
  <c r="AI78" i="1"/>
  <c r="AI116" i="1"/>
  <c r="AI240" i="1"/>
  <c r="AI222" i="1"/>
  <c r="AI494" i="1"/>
  <c r="Q494" i="1" s="1"/>
  <c r="AI194" i="1"/>
  <c r="AI489" i="1"/>
  <c r="Q489" i="1" s="1"/>
  <c r="AI523" i="1"/>
  <c r="AI693" i="1"/>
  <c r="Q693" i="1" s="1"/>
  <c r="AI752" i="1"/>
  <c r="Q752" i="1" s="1"/>
  <c r="AI701" i="1"/>
  <c r="Q701" i="1" s="1"/>
  <c r="AI429" i="1"/>
  <c r="Q429" i="1" s="1"/>
  <c r="AI171" i="1"/>
  <c r="Q171" i="1" s="1"/>
  <c r="AI127" i="1"/>
  <c r="Q127" i="1" s="1"/>
  <c r="AI209" i="1"/>
  <c r="AI376" i="1"/>
  <c r="AI675" i="1"/>
  <c r="Q675" i="1" s="1"/>
  <c r="AI366" i="1"/>
  <c r="AI689" i="1"/>
  <c r="AI115" i="1"/>
  <c r="AI174" i="1"/>
  <c r="AI707" i="1"/>
  <c r="AI259" i="1"/>
  <c r="AI437" i="1"/>
  <c r="AI699" i="1"/>
  <c r="AI692" i="1"/>
  <c r="AI691" i="1"/>
  <c r="AI335" i="1"/>
  <c r="AI498" i="1"/>
  <c r="AI440" i="1"/>
  <c r="Q440" i="1" s="1"/>
  <c r="Z24" i="1"/>
  <c r="Z356" i="1"/>
  <c r="AJ356" i="1" s="1"/>
  <c r="AJ382" i="1" s="1"/>
  <c r="AJ1188" i="1" s="1"/>
  <c r="AI435" i="1"/>
  <c r="Q435" i="1" s="1"/>
  <c r="AI152" i="1"/>
  <c r="AI34" i="1"/>
  <c r="AI87" i="1"/>
  <c r="AI107" i="1"/>
  <c r="AI374" i="1"/>
  <c r="Q374" i="1" s="1"/>
  <c r="AI172" i="1"/>
  <c r="AI119" i="1"/>
  <c r="AI124" i="1"/>
  <c r="Q124" i="1" s="1"/>
  <c r="AI319" i="1"/>
  <c r="AI225" i="1"/>
  <c r="AI477" i="1"/>
  <c r="AI186" i="1"/>
  <c r="AI70" i="1"/>
  <c r="AI245" i="1"/>
  <c r="AI709" i="1"/>
  <c r="Z767" i="1"/>
  <c r="Z1198" i="1" s="1"/>
  <c r="AI220" i="1"/>
  <c r="Q220" i="1" s="1"/>
  <c r="AI412" i="1"/>
  <c r="AI148" i="1"/>
  <c r="Q148" i="1" s="1"/>
  <c r="AI548" i="1"/>
  <c r="Q548" i="1" s="1"/>
  <c r="AI532" i="1"/>
  <c r="Q532" i="1" s="1"/>
  <c r="AI316" i="1"/>
  <c r="AI413" i="1"/>
  <c r="Q413" i="1" s="1"/>
  <c r="Z542" i="1"/>
  <c r="Z644" i="1" s="1"/>
  <c r="Z1196" i="1" s="1"/>
  <c r="T451" i="1"/>
  <c r="T1189" i="1" s="1"/>
  <c r="AI210" i="1"/>
  <c r="AI401" i="1"/>
  <c r="AI476" i="1"/>
  <c r="AI77" i="1"/>
  <c r="AI321" i="1"/>
  <c r="AI169" i="1"/>
  <c r="AI484" i="1"/>
  <c r="Q484" i="1" s="1"/>
  <c r="AI132" i="1"/>
  <c r="AI370" i="1"/>
  <c r="AI257" i="1"/>
  <c r="AI554" i="1"/>
  <c r="AI337" i="1"/>
  <c r="AI330" i="1"/>
  <c r="AI342" i="1"/>
  <c r="AI680" i="1"/>
  <c r="AI682" i="1"/>
  <c r="AI191" i="1"/>
  <c r="Q191" i="1" s="1"/>
  <c r="AI770" i="1"/>
  <c r="AI771" i="1" s="1"/>
  <c r="AI529" i="1"/>
  <c r="AI329" i="1"/>
  <c r="AI753" i="1"/>
  <c r="Q753" i="1" s="1"/>
  <c r="AI292" i="1"/>
  <c r="AI751" i="1"/>
  <c r="Q751" i="1" s="1"/>
  <c r="AI535" i="1"/>
  <c r="AI700" i="1"/>
  <c r="AI439" i="1"/>
  <c r="AI74" i="1"/>
  <c r="Q74" i="1" s="1"/>
  <c r="AI407" i="1"/>
  <c r="AI104" i="1"/>
  <c r="AI533" i="1"/>
  <c r="Q533" i="1" s="1"/>
  <c r="AI254" i="1"/>
  <c r="Q254" i="1" s="1"/>
  <c r="AI151" i="1"/>
  <c r="AI256" i="1"/>
  <c r="AI754" i="1"/>
  <c r="Q754" i="1" s="1"/>
  <c r="AI427" i="1"/>
  <c r="AI705" i="1"/>
  <c r="AI749" i="1"/>
  <c r="AI45" i="1"/>
  <c r="Q45" i="1" s="1"/>
  <c r="T67" i="1"/>
  <c r="AI44" i="1"/>
  <c r="AI38" i="1"/>
  <c r="AI19" i="1"/>
  <c r="AI14" i="1"/>
  <c r="AI18" i="1"/>
  <c r="Q18" i="1" s="1"/>
  <c r="AI10" i="1"/>
  <c r="AI15" i="1"/>
  <c r="AI16" i="1"/>
  <c r="T525" i="1"/>
  <c r="T487" i="1"/>
  <c r="T1192" i="1" s="1"/>
  <c r="Z25" i="1"/>
  <c r="AJ25" i="1" s="1"/>
  <c r="AJ28" i="1" s="1"/>
  <c r="T537" i="1"/>
  <c r="Z538" i="1"/>
  <c r="Z539" i="1" s="1"/>
  <c r="T236" i="1"/>
  <c r="T1206" i="1" s="1"/>
  <c r="T110" i="1"/>
  <c r="Z355" i="1"/>
  <c r="AJ238" i="1"/>
  <c r="Q7" i="1"/>
  <c r="AJ487" i="1"/>
  <c r="R464" i="1"/>
  <c r="R145" i="1"/>
  <c r="Z507" i="1"/>
  <c r="Z1193" i="1" s="1"/>
  <c r="AJ488" i="1"/>
  <c r="Q452" i="1"/>
  <c r="R232" i="1"/>
  <c r="AJ236" i="1"/>
  <c r="AJ215" i="1"/>
  <c r="Z228" i="1"/>
  <c r="Q769" i="1"/>
  <c r="Q215" i="1"/>
  <c r="Q111" i="1"/>
  <c r="Z214" i="1"/>
  <c r="Z1184" i="1" s="1"/>
  <c r="T1199" i="1"/>
  <c r="Z110" i="1"/>
  <c r="AJ7" i="1"/>
  <c r="Z140" i="1"/>
  <c r="T214" i="1"/>
  <c r="T1184" i="1" s="1"/>
  <c r="Z68" i="1"/>
  <c r="Z230" i="1"/>
  <c r="AJ670" i="1"/>
  <c r="Y110" i="1"/>
  <c r="AI106" i="1"/>
  <c r="Q68" i="1"/>
  <c r="Q30" i="1"/>
  <c r="Q25" i="1"/>
  <c r="Y458" i="1"/>
  <c r="T355" i="1"/>
  <c r="Z236" i="1"/>
  <c r="Y24" i="1"/>
  <c r="Z487" i="1"/>
  <c r="T228" i="1"/>
  <c r="Z458" i="1"/>
  <c r="Y771" i="1"/>
  <c r="Q400" i="1"/>
  <c r="AI383" i="1"/>
  <c r="Z111" i="1"/>
  <c r="T507" i="1"/>
  <c r="T1193" i="1" s="1"/>
  <c r="AJ198" i="1"/>
  <c r="Z30" i="1"/>
  <c r="Y236" i="1"/>
  <c r="Z769" i="1"/>
  <c r="AJ106" i="1"/>
  <c r="Z400" i="1"/>
  <c r="T197" i="1"/>
  <c r="T767" i="1"/>
  <c r="T1198" i="1" s="1"/>
  <c r="Y138" i="1"/>
  <c r="Q238" i="1"/>
  <c r="Y228" i="1"/>
  <c r="AI464" i="1"/>
  <c r="Y144" i="1"/>
  <c r="Q670" i="1"/>
  <c r="Y214" i="1"/>
  <c r="AI8" i="1"/>
  <c r="AI213" i="1"/>
  <c r="AI134" i="1"/>
  <c r="AI150" i="1"/>
  <c r="AI193" i="1"/>
  <c r="AI146" i="1"/>
  <c r="AI208" i="1"/>
  <c r="AI365" i="1"/>
  <c r="AI203" i="1"/>
  <c r="AI233" i="1"/>
  <c r="AI467" i="1"/>
  <c r="AI450" i="1"/>
  <c r="AI323" i="1"/>
  <c r="AI86" i="1"/>
  <c r="AI130" i="1"/>
  <c r="AI141" i="1"/>
  <c r="AI13" i="1"/>
  <c r="AI368" i="1"/>
  <c r="AI219" i="1"/>
  <c r="AI205" i="1"/>
  <c r="Q240" i="1"/>
  <c r="AI37" i="1"/>
  <c r="AI681" i="1"/>
  <c r="AI473" i="1"/>
  <c r="AI200" i="1"/>
  <c r="AI744" i="1"/>
  <c r="AI373" i="1"/>
  <c r="AI167" i="1"/>
  <c r="AI11" i="1"/>
  <c r="AI125" i="1"/>
  <c r="AI23" i="1"/>
  <c r="AI217" i="1"/>
  <c r="Y197" i="1"/>
  <c r="AI242" i="1"/>
  <c r="AI149" i="1"/>
  <c r="Q35" i="1"/>
  <c r="Y507" i="1"/>
  <c r="Y105" i="1"/>
  <c r="Y67" i="1"/>
  <c r="AI129" i="1"/>
  <c r="AI135" i="1"/>
  <c r="AI31" i="1"/>
  <c r="AI371" i="1"/>
  <c r="AI224" i="1"/>
  <c r="AI672" i="1"/>
  <c r="AI90" i="1"/>
  <c r="Q192" i="1"/>
  <c r="Q357" i="1"/>
  <c r="Q320" i="1"/>
  <c r="Q211" i="1"/>
  <c r="AI356" i="1"/>
  <c r="AI542" i="1"/>
  <c r="AI202" i="1"/>
  <c r="Q140" i="1"/>
  <c r="Y767" i="1"/>
  <c r="Q198" i="1"/>
  <c r="AI108" i="1"/>
  <c r="AI20" i="1"/>
  <c r="AI113" i="1"/>
  <c r="AI26" i="1"/>
  <c r="AI369" i="1"/>
  <c r="AI206" i="1"/>
  <c r="AI27" i="1"/>
  <c r="Q485" i="1"/>
  <c r="AI470" i="1"/>
  <c r="AI46" i="1"/>
  <c r="AI118" i="1"/>
  <c r="AI12" i="1"/>
  <c r="AI114" i="1"/>
  <c r="AI168" i="1"/>
  <c r="AI375" i="1"/>
  <c r="AI207" i="1"/>
  <c r="AI479" i="1"/>
  <c r="AI212" i="1"/>
  <c r="AI216" i="1"/>
  <c r="AI668" i="1"/>
  <c r="AI85" i="1"/>
  <c r="AI136" i="1"/>
  <c r="AI143" i="1"/>
  <c r="AI364" i="1"/>
  <c r="AI154" i="1"/>
  <c r="Q370" i="1"/>
  <c r="Q142" i="1"/>
  <c r="AI359" i="1"/>
  <c r="Q218" i="1"/>
  <c r="Q466" i="1"/>
  <c r="Q147" i="1"/>
  <c r="Q253" i="1"/>
  <c r="Q766" i="1"/>
  <c r="Y451" i="1"/>
  <c r="Y487" i="1"/>
  <c r="Y355" i="1"/>
  <c r="Y28" i="1"/>
  <c r="Y1197" i="1"/>
  <c r="Y644" i="1"/>
  <c r="Y382" i="1"/>
  <c r="Q474" i="1"/>
  <c r="Q21" i="1"/>
  <c r="Q402" i="1"/>
  <c r="Q196" i="1"/>
  <c r="AI239" i="1"/>
  <c r="AI671" i="1"/>
  <c r="AI69" i="1"/>
  <c r="AI133" i="1"/>
  <c r="AI204" i="1"/>
  <c r="AI372" i="1"/>
  <c r="AI404" i="1"/>
  <c r="AI475" i="1"/>
  <c r="AI469" i="1"/>
  <c r="AI9" i="1"/>
  <c r="AI322" i="1"/>
  <c r="AI490" i="1"/>
  <c r="AI738" i="1"/>
  <c r="AI362" i="1"/>
  <c r="AI405" i="1"/>
  <c r="AI483" i="1"/>
  <c r="AI289" i="1"/>
  <c r="AI227" i="1"/>
  <c r="Q522" i="1"/>
  <c r="AI164" i="1"/>
  <c r="AI694" i="1"/>
  <c r="AI126" i="1"/>
  <c r="AI39" i="1"/>
  <c r="AI201" i="1"/>
  <c r="AI358" i="1"/>
  <c r="AI226" i="1"/>
  <c r="AI704" i="1"/>
  <c r="AI481" i="1"/>
  <c r="AI199" i="1"/>
  <c r="AI411" i="1"/>
  <c r="Y231" i="1"/>
  <c r="AI684" i="1"/>
  <c r="AI696" i="1"/>
  <c r="AI748" i="1"/>
  <c r="AI230" i="1"/>
  <c r="Q153" i="1"/>
  <c r="AJ526" i="1"/>
  <c r="Z537" i="1"/>
  <c r="AI185" i="1"/>
  <c r="AI22" i="1"/>
  <c r="AI336" i="1"/>
  <c r="AI258" i="1"/>
  <c r="AI482" i="1"/>
  <c r="AI122" i="1"/>
  <c r="AI112" i="1"/>
  <c r="AI109" i="1"/>
  <c r="AI328" i="1"/>
  <c r="AI486" i="1"/>
  <c r="AI275" i="1"/>
  <c r="Q454" i="1"/>
  <c r="Q687" i="1"/>
  <c r="AI471" i="1"/>
  <c r="AI128" i="1"/>
  <c r="AI79" i="1"/>
  <c r="AI170" i="1"/>
  <c r="AI367" i="1"/>
  <c r="AI673" i="1"/>
  <c r="AI260" i="1"/>
  <c r="AI480" i="1"/>
  <c r="AI674" i="1"/>
  <c r="Q524" i="1"/>
  <c r="AI552" i="1"/>
  <c r="AI526" i="1"/>
  <c r="AI528" i="1"/>
  <c r="AI764" i="1"/>
  <c r="AI436" i="1"/>
  <c r="AI702" i="1"/>
  <c r="Q697" i="1"/>
  <c r="AI703" i="1"/>
  <c r="AI438" i="1"/>
  <c r="AI406" i="1"/>
  <c r="AI478" i="1"/>
  <c r="AI91" i="1"/>
  <c r="AI100" i="1"/>
  <c r="Y537" i="1"/>
  <c r="AI530" i="1"/>
  <c r="Q338" i="1"/>
  <c r="Q472" i="1"/>
  <c r="Q95" i="1"/>
  <c r="Q523" i="1"/>
  <c r="Z521" i="1"/>
  <c r="AI527" i="1"/>
  <c r="Y525" i="1"/>
  <c r="AI570" i="1"/>
  <c r="AI549" i="1"/>
  <c r="Q81" i="1"/>
  <c r="AI287" i="1"/>
  <c r="AI442" i="1"/>
  <c r="AI441" i="1"/>
  <c r="AI92" i="1"/>
  <c r="Q416" i="1"/>
  <c r="Q432" i="1"/>
  <c r="Q294" i="1"/>
  <c r="Q255" i="1"/>
  <c r="AI408" i="1"/>
  <c r="AI698" i="1"/>
  <c r="Q93" i="1"/>
  <c r="AI318" i="1"/>
  <c r="AI103" i="1"/>
  <c r="Q17" i="1"/>
  <c r="Q94" i="1"/>
  <c r="Q706" i="1"/>
  <c r="AI543" i="1"/>
  <c r="Q330" i="1"/>
  <c r="AI377" i="1"/>
  <c r="AI99" i="1"/>
  <c r="AI695" i="1"/>
  <c r="Q316" i="1"/>
  <c r="Q443" i="1"/>
  <c r="Q415" i="1"/>
  <c r="Q36" i="1"/>
  <c r="Q431" i="1"/>
  <c r="AI676" i="1"/>
  <c r="AI315" i="1"/>
  <c r="Q433" i="1"/>
  <c r="AI757" i="1"/>
  <c r="AI430" i="1"/>
  <c r="AI163" i="1"/>
  <c r="AI755" i="1"/>
  <c r="AI750" i="1"/>
  <c r="Q691" i="1"/>
  <c r="AI71" i="1"/>
  <c r="AI378" i="1"/>
  <c r="AI241" i="1"/>
  <c r="Z383" i="1"/>
  <c r="T540" i="1" l="1"/>
  <c r="T1204" i="1" s="1"/>
  <c r="Q257" i="1"/>
  <c r="Q116" i="1"/>
  <c r="Q245" i="1"/>
  <c r="Q538" i="1"/>
  <c r="AJ458" i="1"/>
  <c r="AJ1190" i="1" s="1"/>
  <c r="Q256" i="1"/>
  <c r="Q690" i="1"/>
  <c r="Q683" i="1"/>
  <c r="Q376" i="1"/>
  <c r="Q335" i="1"/>
  <c r="AJ538" i="1"/>
  <c r="R538" i="1" s="1"/>
  <c r="Q132" i="1"/>
  <c r="Q173" i="1"/>
  <c r="Q117" i="1"/>
  <c r="Q259" i="1"/>
  <c r="Q225" i="1"/>
  <c r="Q342" i="1"/>
  <c r="Q337" i="1"/>
  <c r="Q439" i="1"/>
  <c r="Q115" i="1"/>
  <c r="Q119" i="1"/>
  <c r="Z382" i="1"/>
  <c r="Z1188" i="1" s="1"/>
  <c r="R356" i="1"/>
  <c r="Q437" i="1"/>
  <c r="Q172" i="1"/>
  <c r="AJ542" i="1"/>
  <c r="AJ644" i="1" s="1"/>
  <c r="AJ1196" i="1" s="1"/>
  <c r="Q169" i="1"/>
  <c r="Q38" i="1"/>
  <c r="Q34" i="1"/>
  <c r="Q210" i="1"/>
  <c r="Q521" i="1"/>
  <c r="Q525" i="1" s="1"/>
  <c r="AJ668" i="1"/>
  <c r="R668" i="1" s="1"/>
  <c r="R669" i="1" s="1"/>
  <c r="Z197" i="1"/>
  <c r="T1181" i="1"/>
  <c r="T1182" i="1" s="1"/>
  <c r="R175" i="1"/>
  <c r="R197" i="1" s="1"/>
  <c r="AJ197" i="1"/>
  <c r="Q689" i="1"/>
  <c r="Q492" i="1"/>
  <c r="Q477" i="1"/>
  <c r="Q468" i="1"/>
  <c r="Q366" i="1"/>
  <c r="Q329" i="1"/>
  <c r="Q682" i="1"/>
  <c r="Q10" i="1"/>
  <c r="Q186" i="1"/>
  <c r="Q221" i="1"/>
  <c r="Q709" i="1"/>
  <c r="Q498" i="1"/>
  <c r="Q699" i="1"/>
  <c r="Q535" i="1"/>
  <c r="Q417" i="1"/>
  <c r="T29" i="1"/>
  <c r="T1177" i="1" s="1"/>
  <c r="AI525" i="1"/>
  <c r="Q209" i="1"/>
  <c r="Q222" i="1"/>
  <c r="Q223" i="1"/>
  <c r="Q107" i="1"/>
  <c r="Q137" i="1"/>
  <c r="Q174" i="1"/>
  <c r="Q248" i="1"/>
  <c r="Q545" i="1"/>
  <c r="Q434" i="1"/>
  <c r="T1195" i="1"/>
  <c r="S1187" i="1"/>
  <c r="Q412" i="1"/>
  <c r="AI144" i="1"/>
  <c r="Q321" i="1"/>
  <c r="Q44" i="1"/>
  <c r="Q476" i="1"/>
  <c r="Q401" i="1"/>
  <c r="T515" i="1"/>
  <c r="Q78" i="1"/>
  <c r="Q87" i="1"/>
  <c r="Q104" i="1"/>
  <c r="T459" i="1"/>
  <c r="R25" i="1"/>
  <c r="R28" i="1" s="1"/>
  <c r="Q151" i="1"/>
  <c r="Q194" i="1"/>
  <c r="Q319" i="1"/>
  <c r="T1191" i="1"/>
  <c r="Q692" i="1"/>
  <c r="Q427" i="1"/>
  <c r="Q680" i="1"/>
  <c r="Q152" i="1"/>
  <c r="Q707" i="1"/>
  <c r="Q77" i="1"/>
  <c r="T1178" i="1"/>
  <c r="T1200" i="1"/>
  <c r="T139" i="1"/>
  <c r="Q700" i="1"/>
  <c r="Q292" i="1"/>
  <c r="Q770" i="1"/>
  <c r="Q771" i="1" s="1"/>
  <c r="AI105" i="1"/>
  <c r="AI1180" i="1" s="1"/>
  <c r="Q407" i="1"/>
  <c r="Q70" i="1"/>
  <c r="Q749" i="1"/>
  <c r="Q529" i="1"/>
  <c r="AI355" i="1"/>
  <c r="Q705" i="1"/>
  <c r="Q554" i="1"/>
  <c r="Q19" i="1"/>
  <c r="Q14" i="1"/>
  <c r="Q16" i="1"/>
  <c r="Q15" i="1"/>
  <c r="Z28" i="1"/>
  <c r="Z29" i="1" s="1"/>
  <c r="Z1177" i="1" s="1"/>
  <c r="Q241" i="1"/>
  <c r="Q71" i="1"/>
  <c r="Q163" i="1"/>
  <c r="Q757" i="1"/>
  <c r="Q315" i="1"/>
  <c r="Q99" i="1"/>
  <c r="Q543" i="1"/>
  <c r="Q318" i="1"/>
  <c r="Q442" i="1"/>
  <c r="Q570" i="1"/>
  <c r="Q527" i="1"/>
  <c r="Q438" i="1"/>
  <c r="Q702" i="1"/>
  <c r="Q528" i="1"/>
  <c r="Q552" i="1"/>
  <c r="Q260" i="1"/>
  <c r="Q79" i="1"/>
  <c r="Q122" i="1"/>
  <c r="Q22" i="1"/>
  <c r="Q748" i="1"/>
  <c r="Q411" i="1"/>
  <c r="Q481" i="1"/>
  <c r="Q358" i="1"/>
  <c r="Q126" i="1"/>
  <c r="Q289" i="1"/>
  <c r="Q405" i="1"/>
  <c r="Q490" i="1"/>
  <c r="Q475" i="1"/>
  <c r="Q133" i="1"/>
  <c r="Y1188" i="1"/>
  <c r="Y515" i="1"/>
  <c r="Y1192" i="1"/>
  <c r="AI669" i="1"/>
  <c r="Q668" i="1"/>
  <c r="Q669" i="1" s="1"/>
  <c r="Q27" i="1"/>
  <c r="Q369" i="1"/>
  <c r="Q90" i="1"/>
  <c r="Q371" i="1"/>
  <c r="Y1178" i="1"/>
  <c r="Q11" i="1"/>
  <c r="Q373" i="1"/>
  <c r="Q473" i="1"/>
  <c r="Q37" i="1"/>
  <c r="Q219" i="1"/>
  <c r="Q13" i="1"/>
  <c r="Q130" i="1"/>
  <c r="Q323" i="1"/>
  <c r="Q365" i="1"/>
  <c r="Q8" i="1"/>
  <c r="Q464" i="1"/>
  <c r="AI487" i="1"/>
  <c r="AJ110" i="1"/>
  <c r="R106" i="1"/>
  <c r="Y1206" i="1"/>
  <c r="AJ214" i="1"/>
  <c r="AJ1184" i="1" s="1"/>
  <c r="R198" i="1"/>
  <c r="Y1199" i="1"/>
  <c r="Y772" i="1"/>
  <c r="Y797" i="1" s="1"/>
  <c r="Z515" i="1"/>
  <c r="Z1192" i="1"/>
  <c r="Z1195" i="1" s="1"/>
  <c r="R670" i="1"/>
  <c r="AJ767" i="1"/>
  <c r="AJ1198" i="1" s="1"/>
  <c r="AI1199" i="1"/>
  <c r="AJ228" i="1"/>
  <c r="R215" i="1"/>
  <c r="Q378" i="1"/>
  <c r="Q377" i="1"/>
  <c r="Q698" i="1"/>
  <c r="Q92" i="1"/>
  <c r="Q287" i="1"/>
  <c r="Z525" i="1"/>
  <c r="Z540" i="1" s="1"/>
  <c r="Z1204" i="1" s="1"/>
  <c r="AJ521" i="1"/>
  <c r="Q100" i="1"/>
  <c r="Q478" i="1"/>
  <c r="Q703" i="1"/>
  <c r="Q436" i="1"/>
  <c r="Q673" i="1"/>
  <c r="Q128" i="1"/>
  <c r="Y540" i="1"/>
  <c r="Q275" i="1"/>
  <c r="Q482" i="1"/>
  <c r="Q185" i="1"/>
  <c r="AJ537" i="1"/>
  <c r="R526" i="1"/>
  <c r="Q696" i="1"/>
  <c r="Q704" i="1"/>
  <c r="Q201" i="1"/>
  <c r="Q694" i="1"/>
  <c r="Q483" i="1"/>
  <c r="Q362" i="1"/>
  <c r="Q322" i="1"/>
  <c r="Q404" i="1"/>
  <c r="Q69" i="1"/>
  <c r="Y1196" i="1"/>
  <c r="Y1189" i="1"/>
  <c r="Q364" i="1"/>
  <c r="Q136" i="1"/>
  <c r="Q216" i="1"/>
  <c r="Q479" i="1"/>
  <c r="Q207" i="1"/>
  <c r="Q168" i="1"/>
  <c r="Q12" i="1"/>
  <c r="Q46" i="1"/>
  <c r="Q113" i="1"/>
  <c r="Q202" i="1"/>
  <c r="Q31" i="1"/>
  <c r="Y1193" i="1"/>
  <c r="Q149" i="1"/>
  <c r="Q217" i="1"/>
  <c r="Q744" i="1"/>
  <c r="Q450" i="1"/>
  <c r="Q233" i="1"/>
  <c r="Q208" i="1"/>
  <c r="Q193" i="1"/>
  <c r="Q134" i="1"/>
  <c r="Y1183" i="1"/>
  <c r="Y1185" i="1" s="1"/>
  <c r="AI451" i="1"/>
  <c r="AI236" i="1"/>
  <c r="Y1190" i="1"/>
  <c r="Y459" i="1"/>
  <c r="AI67" i="1"/>
  <c r="AI110" i="1"/>
  <c r="Q106" i="1"/>
  <c r="Z105" i="1"/>
  <c r="Z1180" i="1" s="1"/>
  <c r="AJ68" i="1"/>
  <c r="R7" i="1"/>
  <c r="R24" i="1" s="1"/>
  <c r="AJ24" i="1"/>
  <c r="AJ29" i="1" s="1"/>
  <c r="AJ1177" i="1" s="1"/>
  <c r="AJ507" i="1"/>
  <c r="AJ1193" i="1" s="1"/>
  <c r="R488" i="1"/>
  <c r="AI24" i="1"/>
  <c r="R458" i="1"/>
  <c r="Q750" i="1"/>
  <c r="Q441" i="1"/>
  <c r="Q549" i="1"/>
  <c r="Q530" i="1"/>
  <c r="Q764" i="1"/>
  <c r="Q674" i="1"/>
  <c r="Q367" i="1"/>
  <c r="Q471" i="1"/>
  <c r="Q486" i="1"/>
  <c r="Q109" i="1"/>
  <c r="Q258" i="1"/>
  <c r="AI231" i="1"/>
  <c r="Q230" i="1"/>
  <c r="Q226" i="1"/>
  <c r="Q39" i="1"/>
  <c r="Q164" i="1"/>
  <c r="Q738" i="1"/>
  <c r="Q9" i="1"/>
  <c r="Q372" i="1"/>
  <c r="Q671" i="1"/>
  <c r="Q154" i="1"/>
  <c r="Q470" i="1"/>
  <c r="Q206" i="1"/>
  <c r="Q108" i="1"/>
  <c r="Y1198" i="1"/>
  <c r="AI644" i="1"/>
  <c r="Q542" i="1"/>
  <c r="Q672" i="1"/>
  <c r="Q135" i="1"/>
  <c r="AI767" i="1"/>
  <c r="Q242" i="1"/>
  <c r="Q23" i="1"/>
  <c r="Q167" i="1"/>
  <c r="Q681" i="1"/>
  <c r="Q205" i="1"/>
  <c r="Q368" i="1"/>
  <c r="Q141" i="1"/>
  <c r="Q86" i="1"/>
  <c r="Q203" i="1"/>
  <c r="Y229" i="1"/>
  <c r="Y1186" i="1"/>
  <c r="Z451" i="1"/>
  <c r="Z1189" i="1" s="1"/>
  <c r="AJ400" i="1"/>
  <c r="Z138" i="1"/>
  <c r="Z1183" i="1" s="1"/>
  <c r="Z1185" i="1" s="1"/>
  <c r="AJ111" i="1"/>
  <c r="Z1190" i="1"/>
  <c r="Y139" i="1"/>
  <c r="Z144" i="1"/>
  <c r="AJ140" i="1"/>
  <c r="AI228" i="1"/>
  <c r="R236" i="1"/>
  <c r="Q458" i="1"/>
  <c r="R487" i="1"/>
  <c r="Z399" i="1"/>
  <c r="AJ383" i="1"/>
  <c r="Q755" i="1"/>
  <c r="Q430" i="1"/>
  <c r="Q676" i="1"/>
  <c r="Q695" i="1"/>
  <c r="Q103" i="1"/>
  <c r="Q408" i="1"/>
  <c r="Q91" i="1"/>
  <c r="Q406" i="1"/>
  <c r="Q539" i="1"/>
  <c r="Q526" i="1"/>
  <c r="AI537" i="1"/>
  <c r="Q480" i="1"/>
  <c r="Q170" i="1"/>
  <c r="Q328" i="1"/>
  <c r="Q112" i="1"/>
  <c r="Q336" i="1"/>
  <c r="Q684" i="1"/>
  <c r="Q199" i="1"/>
  <c r="Q227" i="1"/>
  <c r="Q469" i="1"/>
  <c r="Q204" i="1"/>
  <c r="Q239" i="1"/>
  <c r="AI197" i="1"/>
  <c r="Q359" i="1"/>
  <c r="Q143" i="1"/>
  <c r="Q85" i="1"/>
  <c r="Q212" i="1"/>
  <c r="Q375" i="1"/>
  <c r="Q114" i="1"/>
  <c r="Q118" i="1"/>
  <c r="Q26" i="1"/>
  <c r="Q20" i="1"/>
  <c r="AI382" i="1"/>
  <c r="Q356" i="1"/>
  <c r="Q224" i="1"/>
  <c r="Q129" i="1"/>
  <c r="Y1180" i="1"/>
  <c r="Q125" i="1"/>
  <c r="Q200" i="1"/>
  <c r="AI214" i="1"/>
  <c r="Q467" i="1"/>
  <c r="Q146" i="1"/>
  <c r="Q150" i="1"/>
  <c r="Q213" i="1"/>
  <c r="Y1184" i="1"/>
  <c r="Y1181" i="1"/>
  <c r="AI507" i="1"/>
  <c r="Z771" i="1"/>
  <c r="AJ769" i="1"/>
  <c r="Z67" i="1"/>
  <c r="Z1178" i="1" s="1"/>
  <c r="AJ30" i="1"/>
  <c r="AI399" i="1"/>
  <c r="Q383" i="1"/>
  <c r="T1186" i="1"/>
  <c r="T229" i="1"/>
  <c r="Y29" i="1"/>
  <c r="AI28" i="1"/>
  <c r="Z231" i="1"/>
  <c r="Z1206" i="1" s="1"/>
  <c r="AJ230" i="1"/>
  <c r="T772" i="1"/>
  <c r="T797" i="1" s="1"/>
  <c r="AI138" i="1"/>
  <c r="Z1186" i="1"/>
  <c r="AI1190" i="1"/>
  <c r="AJ1192" i="1"/>
  <c r="AJ355" i="1"/>
  <c r="R238" i="1"/>
  <c r="R355" i="1" s="1"/>
  <c r="T1179" i="1" l="1"/>
  <c r="Q67" i="1"/>
  <c r="R542" i="1"/>
  <c r="R644" i="1" s="1"/>
  <c r="AJ539" i="1"/>
  <c r="AJ669" i="1"/>
  <c r="AJ1197" i="1" s="1"/>
  <c r="Q355" i="1"/>
  <c r="R382" i="1"/>
  <c r="R1188" i="1" s="1"/>
  <c r="Q399" i="1"/>
  <c r="Z1191" i="1"/>
  <c r="Z229" i="1"/>
  <c r="T237" i="1"/>
  <c r="T6" i="1" s="1"/>
  <c r="AJ1195" i="1"/>
  <c r="Z1181" i="1"/>
  <c r="Z1182" i="1" s="1"/>
  <c r="Q228" i="1"/>
  <c r="AJ515" i="1"/>
  <c r="T1187" i="1"/>
  <c r="S1176" i="1" s="1"/>
  <c r="AI459" i="1"/>
  <c r="Y1182" i="1"/>
  <c r="Z1179" i="1"/>
  <c r="AJ231" i="1"/>
  <c r="AJ1206" i="1" s="1"/>
  <c r="R230" i="1"/>
  <c r="Y1177" i="1"/>
  <c r="Y1179" i="1" s="1"/>
  <c r="AJ771" i="1"/>
  <c r="R769" i="1"/>
  <c r="AI1184" i="1"/>
  <c r="AI1188" i="1"/>
  <c r="AI540" i="1"/>
  <c r="AI1186" i="1"/>
  <c r="AI229" i="1"/>
  <c r="AJ138" i="1"/>
  <c r="AJ1183" i="1" s="1"/>
  <c r="AJ1185" i="1" s="1"/>
  <c r="R111" i="1"/>
  <c r="Q644" i="1"/>
  <c r="Q231" i="1"/>
  <c r="AI29" i="1"/>
  <c r="Q110" i="1"/>
  <c r="Q105" i="1"/>
  <c r="AI1206" i="1"/>
  <c r="Q236" i="1"/>
  <c r="Q214" i="1"/>
  <c r="R537" i="1"/>
  <c r="AJ525" i="1"/>
  <c r="AJ540" i="1" s="1"/>
  <c r="AJ1204" i="1" s="1"/>
  <c r="R521" i="1"/>
  <c r="R228" i="1"/>
  <c r="R110" i="1"/>
  <c r="AI1197" i="1"/>
  <c r="AI1183" i="1"/>
  <c r="AI1185" i="1" s="1"/>
  <c r="Z1199" i="1"/>
  <c r="Z1200" i="1" s="1"/>
  <c r="Z772" i="1"/>
  <c r="Z797" i="1" s="1"/>
  <c r="Q537" i="1"/>
  <c r="Z139" i="1"/>
  <c r="AI1198" i="1"/>
  <c r="AI1196" i="1"/>
  <c r="R507" i="1"/>
  <c r="R515" i="1" s="1"/>
  <c r="Q1199" i="1"/>
  <c r="R29" i="1"/>
  <c r="AI139" i="1"/>
  <c r="AI1189" i="1"/>
  <c r="Y1200" i="1"/>
  <c r="R539" i="1"/>
  <c r="AJ1186" i="1"/>
  <c r="Q451" i="1"/>
  <c r="Y237" i="1"/>
  <c r="Y6" i="1" s="1"/>
  <c r="AI515" i="1"/>
  <c r="AI1192" i="1"/>
  <c r="R30" i="1"/>
  <c r="R67" i="1" s="1"/>
  <c r="AJ67" i="1"/>
  <c r="AJ1178" i="1" s="1"/>
  <c r="AJ1179" i="1" s="1"/>
  <c r="R1197" i="1"/>
  <c r="AI1193" i="1"/>
  <c r="Q197" i="1"/>
  <c r="Q138" i="1"/>
  <c r="R140" i="1"/>
  <c r="AJ144" i="1"/>
  <c r="AJ1181" i="1" s="1"/>
  <c r="Z459" i="1"/>
  <c r="AJ451" i="1"/>
  <c r="R400" i="1"/>
  <c r="R1190" i="1"/>
  <c r="AJ105" i="1"/>
  <c r="AJ1180" i="1" s="1"/>
  <c r="R68" i="1"/>
  <c r="AI1178" i="1"/>
  <c r="Q767" i="1"/>
  <c r="Y1204" i="1"/>
  <c r="Q24" i="1"/>
  <c r="AI772" i="1"/>
  <c r="AI797" i="1" s="1"/>
  <c r="R767" i="1"/>
  <c r="Q487" i="1"/>
  <c r="Q144" i="1"/>
  <c r="Y1191" i="1"/>
  <c r="Q507" i="1"/>
  <c r="Q382" i="1"/>
  <c r="AJ399" i="1"/>
  <c r="R383" i="1"/>
  <c r="R399" i="1" s="1"/>
  <c r="R1192" i="1"/>
  <c r="Q1190" i="1"/>
  <c r="Q28" i="1"/>
  <c r="R214" i="1"/>
  <c r="Q1197" i="1"/>
  <c r="Y1195" i="1"/>
  <c r="AI1181" i="1"/>
  <c r="AI1182" i="1" s="1"/>
  <c r="Z237" i="1" l="1"/>
  <c r="Z6" i="1" s="1"/>
  <c r="Q1186" i="1"/>
  <c r="Q459" i="1"/>
  <c r="T1174" i="1"/>
  <c r="Z1187" i="1"/>
  <c r="Y1176" i="1" s="1"/>
  <c r="AI1195" i="1"/>
  <c r="Y1187" i="1"/>
  <c r="Q229" i="1"/>
  <c r="Q1193" i="1"/>
  <c r="Q1181" i="1"/>
  <c r="Q1198" i="1"/>
  <c r="AJ1182" i="1"/>
  <c r="AJ1187" i="1" s="1"/>
  <c r="R451" i="1"/>
  <c r="R144" i="1"/>
  <c r="R229" i="1" s="1"/>
  <c r="Q1189" i="1"/>
  <c r="R1177" i="1"/>
  <c r="R525" i="1"/>
  <c r="Q1206" i="1"/>
  <c r="Q1180" i="1"/>
  <c r="AI1204" i="1"/>
  <c r="AJ772" i="1"/>
  <c r="AJ797" i="1" s="1"/>
  <c r="AJ1199" i="1"/>
  <c r="AJ1200" i="1" s="1"/>
  <c r="R1184" i="1"/>
  <c r="R1198" i="1"/>
  <c r="Q29" i="1"/>
  <c r="AJ1189" i="1"/>
  <c r="AJ1191" i="1" s="1"/>
  <c r="AJ459" i="1"/>
  <c r="Q1183" i="1"/>
  <c r="AI1200" i="1"/>
  <c r="R1186" i="1"/>
  <c r="AI237" i="1"/>
  <c r="AI6" i="1" s="1"/>
  <c r="Q139" i="1"/>
  <c r="AI1177" i="1"/>
  <c r="AI1179" i="1" s="1"/>
  <c r="AI1187" i="1" s="1"/>
  <c r="Q1178" i="1"/>
  <c r="Q1188" i="1"/>
  <c r="AJ139" i="1"/>
  <c r="Q772" i="1"/>
  <c r="Q797" i="1" s="1"/>
  <c r="R1193" i="1"/>
  <c r="R1196" i="1"/>
  <c r="Q1196" i="1"/>
  <c r="AI1191" i="1"/>
  <c r="Q1192" i="1"/>
  <c r="Q515" i="1"/>
  <c r="R105" i="1"/>
  <c r="AJ229" i="1"/>
  <c r="Q1184" i="1"/>
  <c r="R138" i="1"/>
  <c r="Q540" i="1"/>
  <c r="R771" i="1"/>
  <c r="R231" i="1"/>
  <c r="Z1174" i="1" l="1"/>
  <c r="AJ237" i="1"/>
  <c r="AJ6" i="1" s="1"/>
  <c r="R1195" i="1"/>
  <c r="R139" i="1"/>
  <c r="R540" i="1"/>
  <c r="Q237" i="1"/>
  <c r="Q6" i="1" s="1"/>
  <c r="Q1200" i="1"/>
  <c r="Q1185" i="1"/>
  <c r="Q1182" i="1"/>
  <c r="R1189" i="1"/>
  <c r="R459" i="1"/>
  <c r="R1206" i="1"/>
  <c r="Q1195" i="1"/>
  <c r="Q1177" i="1"/>
  <c r="R1183" i="1"/>
  <c r="R1199" i="1"/>
  <c r="R1200" i="1" s="1"/>
  <c r="R772" i="1"/>
  <c r="R797" i="1" s="1"/>
  <c r="Q1204" i="1"/>
  <c r="R1180" i="1"/>
  <c r="R1178" i="1"/>
  <c r="Q1191" i="1"/>
  <c r="R1181" i="1"/>
  <c r="AI1176" i="1"/>
  <c r="R1204" i="1" l="1"/>
  <c r="R237" i="1"/>
  <c r="R6" i="1" s="1"/>
  <c r="R1179" i="1"/>
  <c r="R1185" i="1"/>
  <c r="Q1179" i="1"/>
  <c r="R1191" i="1"/>
  <c r="AJ1174" i="1"/>
  <c r="R1182" i="1"/>
  <c r="R1187" i="1" l="1"/>
  <c r="Q1187" i="1"/>
  <c r="Q1176" i="1" l="1"/>
  <c r="R117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송나래</author>
    <author>tc={BE2FCD28-4011-4327-B969-20C41AE7768C}</author>
    <author>tc={1237BBAC-00FD-4FA4-929A-BEA8BCF31F23}</author>
  </authors>
  <commentList>
    <comment ref="S381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샘플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</text>
    </comment>
    <comment ref="AM790" authorId="0" shapeId="0" xr:uid="{F3931863-C1A8-4587-94BE-E444F165A1E4}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샘플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세금계산서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모델</t>
        </r>
      </text>
    </comment>
    <comment ref="AD1166" authorId="1" shapeId="0" xr:uid="{BE2FCD28-4011-4327-B969-20C41AE7768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배터리 매출 포함(1억7천)</t>
      </text>
    </comment>
    <comment ref="AF1166" authorId="2" shapeId="0" xr:uid="{1237BBAC-00FD-4FA4-929A-BEA8BCF31F2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단가차이,반품처리 포함</t>
      </text>
    </comment>
  </commentList>
</comments>
</file>

<file path=xl/sharedStrings.xml><?xml version="1.0" encoding="utf-8"?>
<sst xmlns="http://schemas.openxmlformats.org/spreadsheetml/2006/main" count="22200" uniqueCount="2378">
  <si>
    <t>거래선</t>
  </si>
  <si>
    <t>제품</t>
  </si>
  <si>
    <t>Set</t>
  </si>
  <si>
    <t>모델</t>
  </si>
  <si>
    <t>Code</t>
  </si>
  <si>
    <t>L22S0Q_EPN</t>
  </si>
  <si>
    <t>692A</t>
  </si>
  <si>
    <t>L23S0D_EPN</t>
  </si>
  <si>
    <t>746A</t>
  </si>
  <si>
    <t>746B</t>
  </si>
  <si>
    <t>746C</t>
  </si>
  <si>
    <t>L32S0X_EPN</t>
  </si>
  <si>
    <t>750A</t>
  </si>
  <si>
    <t>SMPS</t>
  </si>
  <si>
    <t>F8014_EPN</t>
  </si>
  <si>
    <t>MNT</t>
  </si>
  <si>
    <t>749A</t>
  </si>
  <si>
    <t>297B</t>
  </si>
  <si>
    <t>V170S_DPN(VE)</t>
  </si>
  <si>
    <t>296A</t>
  </si>
  <si>
    <t>298D</t>
  </si>
  <si>
    <t>V50S_EPN</t>
  </si>
  <si>
    <t>311A</t>
  </si>
  <si>
    <t>V1000S_EPN</t>
  </si>
  <si>
    <t>313A</t>
  </si>
  <si>
    <t>V1000SN_EPN</t>
  </si>
  <si>
    <t>313B</t>
  </si>
  <si>
    <t>V170S_EPN</t>
  </si>
  <si>
    <t>316A</t>
  </si>
  <si>
    <t>V170SN_EPN</t>
  </si>
  <si>
    <t>316B</t>
  </si>
  <si>
    <t>V200S_EPN</t>
  </si>
  <si>
    <t>323A</t>
  </si>
  <si>
    <t>Adaptor</t>
  </si>
  <si>
    <t>394M</t>
  </si>
  <si>
    <t>590C</t>
  </si>
  <si>
    <t>A2514_DPN</t>
  </si>
  <si>
    <t>592B</t>
  </si>
  <si>
    <t>592D</t>
  </si>
  <si>
    <t>596A</t>
  </si>
  <si>
    <t>719B</t>
  </si>
  <si>
    <t>719C</t>
  </si>
  <si>
    <t>A5814_FPN</t>
  </si>
  <si>
    <t>832A</t>
  </si>
  <si>
    <t>098C</t>
  </si>
  <si>
    <t>PN24U-12J10L</t>
  </si>
  <si>
    <t>110B</t>
  </si>
  <si>
    <t>112A</t>
  </si>
  <si>
    <t>CCD</t>
  </si>
  <si>
    <t>PN020STCA-NWF</t>
  </si>
  <si>
    <t>164A</t>
  </si>
  <si>
    <t>PD-Board</t>
  </si>
  <si>
    <t>CCTV</t>
  </si>
  <si>
    <t>557A</t>
  </si>
  <si>
    <t>220A</t>
  </si>
  <si>
    <t>PWL2704STCCM</t>
  </si>
  <si>
    <t>232C</t>
  </si>
  <si>
    <t>PWL1704STCCM</t>
  </si>
  <si>
    <t>정수기</t>
  </si>
  <si>
    <t>A10024_EPN</t>
  </si>
  <si>
    <t>797A</t>
  </si>
  <si>
    <t>A4514_FPN</t>
  </si>
  <si>
    <t>P32SF_FPN</t>
  </si>
  <si>
    <t>1월</t>
    <phoneticPr fontId="3" type="noConversion"/>
  </si>
  <si>
    <t>금액</t>
    <phoneticPr fontId="3" type="noConversion"/>
  </si>
  <si>
    <t>수량</t>
    <phoneticPr fontId="3" type="noConversion"/>
  </si>
  <si>
    <t>2월</t>
  </si>
  <si>
    <t>3월</t>
  </si>
  <si>
    <t>합      계</t>
    <phoneticPr fontId="3" type="noConversion"/>
  </si>
  <si>
    <t>P32SFN_FPN</t>
  </si>
  <si>
    <t>V140SN_FPN</t>
  </si>
  <si>
    <t>V100L_DPN2</t>
  </si>
  <si>
    <t>A3514_FPNP</t>
  </si>
  <si>
    <t>P3514Z_FPN(VE)</t>
  </si>
  <si>
    <t>A6024N_FPN(VE)</t>
  </si>
  <si>
    <t>A6024_FPNS(VE)</t>
  </si>
  <si>
    <t>A6024_FPNW(VE)</t>
  </si>
  <si>
    <t>PWL2204STCCM</t>
  </si>
  <si>
    <t>PN22-220A</t>
  </si>
  <si>
    <t>PN020HTCA-HCP6320(OUTDOOR)</t>
  </si>
  <si>
    <t>SEC VD</t>
  </si>
  <si>
    <t>L23S0DN_EPN</t>
    <phoneticPr fontId="12" type="noConversion"/>
  </si>
  <si>
    <t>L23S0DS_EPN</t>
  </si>
  <si>
    <t>L23S0DMN_FPN</t>
  </si>
  <si>
    <t>746D</t>
  </si>
  <si>
    <t>L23S0DF_FPN</t>
  </si>
  <si>
    <t>746E</t>
  </si>
  <si>
    <t>L23S0T_EPN</t>
    <phoneticPr fontId="12" type="noConversion"/>
  </si>
  <si>
    <t>793A</t>
  </si>
  <si>
    <t>L32E1P_KPN</t>
  </si>
  <si>
    <t>L32E1N_KPN</t>
  </si>
  <si>
    <t>제품계</t>
  </si>
  <si>
    <t>844A</t>
  </si>
  <si>
    <t>844B</t>
  </si>
  <si>
    <t>P32MF_KPN</t>
    <phoneticPr fontId="12" type="noConversion"/>
  </si>
  <si>
    <t>844C</t>
    <phoneticPr fontId="12" type="noConversion"/>
  </si>
  <si>
    <t xml:space="preserve">
AV</t>
  </si>
  <si>
    <t>307C</t>
  </si>
  <si>
    <t>307D</t>
  </si>
  <si>
    <t>V170L_D2PN(E)</t>
    <phoneticPr fontId="12" type="noConversion"/>
  </si>
  <si>
    <t>V50S_KPN</t>
    <phoneticPr fontId="12" type="noConversion"/>
  </si>
  <si>
    <t>335A</t>
    <phoneticPr fontId="12" type="noConversion"/>
  </si>
  <si>
    <t>V170L_KPN</t>
    <phoneticPr fontId="12" type="noConversion"/>
  </si>
  <si>
    <t>337A</t>
    <phoneticPr fontId="12" type="noConversion"/>
  </si>
  <si>
    <t>V200S_EPN V</t>
  </si>
  <si>
    <t>323C</t>
  </si>
  <si>
    <t>V200SR_EPN V</t>
    <phoneticPr fontId="12" type="noConversion"/>
  </si>
  <si>
    <t>323D</t>
    <phoneticPr fontId="12" type="noConversion"/>
  </si>
  <si>
    <t>V200SRN_EPN V</t>
    <phoneticPr fontId="12" type="noConversion"/>
  </si>
  <si>
    <t>323E</t>
    <phoneticPr fontId="12" type="noConversion"/>
  </si>
  <si>
    <t>V200SN_EPN</t>
  </si>
  <si>
    <t>323B</t>
  </si>
  <si>
    <t>339A</t>
    <phoneticPr fontId="12" type="noConversion"/>
  </si>
  <si>
    <t>V220S_MPN(VE)</t>
    <phoneticPr fontId="12" type="noConversion"/>
  </si>
  <si>
    <t>V140S_FPN</t>
  </si>
  <si>
    <t>328A</t>
  </si>
  <si>
    <t>328B</t>
  </si>
  <si>
    <t>V170S_DPN(VE)_CKD</t>
    <phoneticPr fontId="12" type="noConversion"/>
  </si>
  <si>
    <t>296A</t>
    <phoneticPr fontId="12" type="noConversion"/>
  </si>
  <si>
    <t>V200S_EPN V_CKD</t>
  </si>
  <si>
    <t>SD25</t>
    <phoneticPr fontId="12" type="noConversion"/>
  </si>
  <si>
    <t>SD25  C</t>
  </si>
  <si>
    <t>749C</t>
    <phoneticPr fontId="12" type="noConversion"/>
  </si>
  <si>
    <t>P2514Z_FPN(VE)</t>
    <phoneticPr fontId="12" type="noConversion"/>
  </si>
  <si>
    <t>842A</t>
    <phoneticPr fontId="12" type="noConversion"/>
  </si>
  <si>
    <t>P2514Z_FPN  C</t>
    <phoneticPr fontId="12" type="noConversion"/>
  </si>
  <si>
    <t>842B</t>
    <phoneticPr fontId="12" type="noConversion"/>
  </si>
  <si>
    <t>843A</t>
    <phoneticPr fontId="12" type="noConversion"/>
  </si>
  <si>
    <t>LFD</t>
    <phoneticPr fontId="12" type="noConversion"/>
  </si>
  <si>
    <t>481B</t>
    <phoneticPr fontId="12" type="noConversion"/>
  </si>
  <si>
    <t>SD45</t>
    <phoneticPr fontId="12" type="noConversion"/>
  </si>
  <si>
    <t>753A</t>
  </si>
  <si>
    <t>신규</t>
    <phoneticPr fontId="12" type="noConversion"/>
  </si>
  <si>
    <t>F24AF_FPN</t>
    <phoneticPr fontId="12" type="noConversion"/>
  </si>
  <si>
    <t>861A</t>
    <phoneticPr fontId="12" type="noConversion"/>
  </si>
  <si>
    <t>제품계</t>
    <phoneticPr fontId="12" type="noConversion"/>
  </si>
  <si>
    <t>Adaptor</t>
    <phoneticPr fontId="12" type="noConversion"/>
  </si>
  <si>
    <t>PS30W-14J1</t>
    <phoneticPr fontId="12" type="noConversion"/>
  </si>
  <si>
    <t>591B</t>
    <phoneticPr fontId="12" type="noConversion"/>
  </si>
  <si>
    <t>A3514_DPN</t>
    <phoneticPr fontId="12" type="noConversion"/>
  </si>
  <si>
    <t>A3514_DPNC</t>
  </si>
  <si>
    <t>A2514_DPN-14</t>
    <phoneticPr fontId="12" type="noConversion"/>
  </si>
  <si>
    <t>A2514_DPNI</t>
  </si>
  <si>
    <t>794A</t>
    <phoneticPr fontId="12" type="noConversion"/>
  </si>
  <si>
    <t>A10024S_EPN</t>
    <phoneticPr fontId="12" type="noConversion"/>
  </si>
  <si>
    <t>794D</t>
    <phoneticPr fontId="12" type="noConversion"/>
  </si>
  <si>
    <t>A3514_FPN(VE)</t>
    <phoneticPr fontId="12" type="noConversion"/>
  </si>
  <si>
    <t>832B</t>
    <phoneticPr fontId="12" type="noConversion"/>
  </si>
  <si>
    <t>A3514_FPNI</t>
    <phoneticPr fontId="12" type="noConversion"/>
  </si>
  <si>
    <t>832C</t>
    <phoneticPr fontId="12" type="noConversion"/>
  </si>
  <si>
    <t>800B</t>
    <phoneticPr fontId="12" type="noConversion"/>
  </si>
  <si>
    <t>800A</t>
  </si>
  <si>
    <t>A4514N_FPNA</t>
  </si>
  <si>
    <t>A6024_FPN(VE)</t>
  </si>
  <si>
    <t>A3612_DPNW</t>
  </si>
  <si>
    <t>A4812_DPN</t>
  </si>
  <si>
    <t>거래선 계</t>
    <phoneticPr fontId="12" type="noConversion"/>
  </si>
  <si>
    <t>BOE</t>
  </si>
  <si>
    <t>A1514_EPN</t>
  </si>
  <si>
    <t>A2514_FPN</t>
    <phoneticPr fontId="12" type="noConversion"/>
  </si>
  <si>
    <t>생활가전</t>
    <phoneticPr fontId="12" type="noConversion"/>
  </si>
  <si>
    <t>HVPS</t>
    <phoneticPr fontId="12" type="noConversion"/>
  </si>
  <si>
    <t>Aircon</t>
  </si>
  <si>
    <t>Printer</t>
    <phoneticPr fontId="12" type="noConversion"/>
  </si>
  <si>
    <t>PN018SPR-HV</t>
    <phoneticPr fontId="12" type="noConversion"/>
  </si>
  <si>
    <t>237A</t>
    <phoneticPr fontId="12" type="noConversion"/>
  </si>
  <si>
    <t>PN019SPR-HV</t>
    <phoneticPr fontId="12" type="noConversion"/>
  </si>
  <si>
    <t>239A</t>
    <phoneticPr fontId="12" type="noConversion"/>
  </si>
  <si>
    <t>PNM4530-HV</t>
    <phoneticPr fontId="12" type="noConversion"/>
  </si>
  <si>
    <t>239B</t>
    <phoneticPr fontId="12" type="noConversion"/>
  </si>
  <si>
    <t>PN023SPR-HV</t>
    <phoneticPr fontId="12" type="noConversion"/>
  </si>
  <si>
    <t>238A</t>
    <phoneticPr fontId="12" type="noConversion"/>
  </si>
  <si>
    <t>PN029SPR-HV</t>
    <phoneticPr fontId="12" type="noConversion"/>
  </si>
  <si>
    <t>240A</t>
    <phoneticPr fontId="12" type="noConversion"/>
  </si>
  <si>
    <t>PNX7600-HV</t>
    <phoneticPr fontId="12" type="noConversion"/>
  </si>
  <si>
    <t>240B</t>
    <phoneticPr fontId="12" type="noConversion"/>
  </si>
  <si>
    <t>PNK7600-HV</t>
    <phoneticPr fontId="12" type="noConversion"/>
  </si>
  <si>
    <t>241A</t>
    <phoneticPr fontId="12" type="noConversion"/>
  </si>
  <si>
    <t>K7600-TIGER-HVPS</t>
    <phoneticPr fontId="12" type="noConversion"/>
  </si>
  <si>
    <t>241B</t>
    <phoneticPr fontId="12" type="noConversion"/>
  </si>
  <si>
    <t>PNC3010-HV</t>
    <phoneticPr fontId="12" type="noConversion"/>
  </si>
  <si>
    <t>242A</t>
    <phoneticPr fontId="12" type="noConversion"/>
  </si>
  <si>
    <t>PNC3020-HV</t>
    <phoneticPr fontId="12" type="noConversion"/>
  </si>
  <si>
    <t>243A</t>
    <phoneticPr fontId="12" type="noConversion"/>
  </si>
  <si>
    <t>PNC3030-HV</t>
    <phoneticPr fontId="12" type="noConversion"/>
  </si>
  <si>
    <t>244A</t>
    <phoneticPr fontId="12" type="noConversion"/>
  </si>
  <si>
    <t>PN034SPR-HV</t>
    <phoneticPr fontId="12" type="noConversion"/>
  </si>
  <si>
    <t>169A</t>
    <phoneticPr fontId="12" type="noConversion"/>
  </si>
  <si>
    <t>PN035SPR-HV</t>
    <phoneticPr fontId="12" type="noConversion"/>
  </si>
  <si>
    <t>177A</t>
    <phoneticPr fontId="12" type="noConversion"/>
  </si>
  <si>
    <t>PN032SPR-HV</t>
    <phoneticPr fontId="12" type="noConversion"/>
  </si>
  <si>
    <t>196A</t>
    <phoneticPr fontId="12" type="noConversion"/>
  </si>
  <si>
    <t>PN031SPR-HV</t>
  </si>
  <si>
    <t>205A</t>
  </si>
  <si>
    <t>PNX4300-HV</t>
    <phoneticPr fontId="12" type="noConversion"/>
  </si>
  <si>
    <t>212C</t>
    <phoneticPr fontId="12" type="noConversion"/>
  </si>
  <si>
    <t>PNK4350-HV</t>
    <phoneticPr fontId="12" type="noConversion"/>
  </si>
  <si>
    <t>237B</t>
    <phoneticPr fontId="12" type="noConversion"/>
  </si>
  <si>
    <t>PSPN2-TYPE3-V1</t>
    <phoneticPr fontId="12" type="noConversion"/>
  </si>
  <si>
    <t>097H</t>
    <phoneticPr fontId="12" type="noConversion"/>
  </si>
  <si>
    <t>PSPN2-TYPE3-V2</t>
    <phoneticPr fontId="12" type="noConversion"/>
  </si>
  <si>
    <t>090H</t>
    <phoneticPr fontId="12" type="noConversion"/>
  </si>
  <si>
    <t>PSPN2-TYPE3R-V1</t>
    <phoneticPr fontId="12" type="noConversion"/>
  </si>
  <si>
    <t>222D</t>
    <phoneticPr fontId="12" type="noConversion"/>
  </si>
  <si>
    <t>PSPN2-TYPE3R-V2</t>
    <phoneticPr fontId="12" type="noConversion"/>
  </si>
  <si>
    <t>223D</t>
    <phoneticPr fontId="12" type="noConversion"/>
  </si>
  <si>
    <t>PSPN2-TYPE4H-V2</t>
  </si>
  <si>
    <t>248A</t>
    <phoneticPr fontId="12" type="noConversion"/>
  </si>
  <si>
    <t>PSPN2-TYPE5H-V1</t>
    <phoneticPr fontId="12" type="noConversion"/>
  </si>
  <si>
    <t>249A</t>
    <phoneticPr fontId="12" type="noConversion"/>
  </si>
  <si>
    <t>PSPN2-TYPE5H-V2</t>
    <phoneticPr fontId="12" type="noConversion"/>
  </si>
  <si>
    <t>250A</t>
    <phoneticPr fontId="12" type="noConversion"/>
  </si>
  <si>
    <t>한화테크윈</t>
    <phoneticPr fontId="12" type="noConversion"/>
  </si>
  <si>
    <t>PD-Board</t>
    <phoneticPr fontId="12" type="noConversion"/>
  </si>
  <si>
    <t>232E</t>
    <phoneticPr fontId="12" type="noConversion"/>
  </si>
  <si>
    <t>Coway</t>
    <phoneticPr fontId="12" type="noConversion"/>
  </si>
  <si>
    <t>SMPS</t>
    <phoneticPr fontId="12" type="noConversion"/>
  </si>
  <si>
    <t>PN010MWJ-VF</t>
    <phoneticPr fontId="12" type="noConversion"/>
  </si>
  <si>
    <t>PN035MWJ-VF(C)</t>
    <phoneticPr fontId="12" type="noConversion"/>
  </si>
  <si>
    <t>PN036MWJ-VF</t>
    <phoneticPr fontId="12" type="noConversion"/>
  </si>
  <si>
    <t>PN022WWJ-VF(A)</t>
    <phoneticPr fontId="12" type="noConversion"/>
  </si>
  <si>
    <t>루시II</t>
    <phoneticPr fontId="12" type="noConversion"/>
  </si>
  <si>
    <t>미주향</t>
    <phoneticPr fontId="12" type="noConversion"/>
  </si>
  <si>
    <t>PN053WWJ-VF</t>
    <phoneticPr fontId="12" type="noConversion"/>
  </si>
  <si>
    <t>PN053WWJ-VF(A)</t>
    <phoneticPr fontId="12" type="noConversion"/>
  </si>
  <si>
    <t>비데</t>
  </si>
  <si>
    <t>PN020BWJ-VDC(A)</t>
    <phoneticPr fontId="12" type="noConversion"/>
  </si>
  <si>
    <t>PN020WWJ-VDC</t>
    <phoneticPr fontId="12" type="noConversion"/>
  </si>
  <si>
    <t>쥬서기</t>
  </si>
  <si>
    <t>기타</t>
  </si>
  <si>
    <t>PN20U-24J11</t>
  </si>
  <si>
    <t>대덕 GDS</t>
    <phoneticPr fontId="12" type="noConversion"/>
  </si>
  <si>
    <t>PLL035-D15</t>
    <phoneticPr fontId="12" type="noConversion"/>
  </si>
  <si>
    <t>PLL035-D18-47M</t>
    <phoneticPr fontId="12" type="noConversion"/>
  </si>
  <si>
    <t>내장형</t>
    <phoneticPr fontId="12" type="noConversion"/>
  </si>
  <si>
    <t>내장형</t>
  </si>
  <si>
    <t>PLL024-P13</t>
    <phoneticPr fontId="12" type="noConversion"/>
  </si>
  <si>
    <t>PLL024-P17</t>
    <phoneticPr fontId="12" type="noConversion"/>
  </si>
  <si>
    <t>PLL024-P18</t>
    <phoneticPr fontId="12" type="noConversion"/>
  </si>
  <si>
    <t>580mm, 5K</t>
    <phoneticPr fontId="12" type="noConversion"/>
  </si>
  <si>
    <t>T08</t>
    <phoneticPr fontId="12" type="noConversion"/>
  </si>
  <si>
    <t>AV</t>
    <phoneticPr fontId="12" type="noConversion"/>
  </si>
  <si>
    <t>A4514_FPNA</t>
    <phoneticPr fontId="12" type="noConversion"/>
  </si>
  <si>
    <t>800C</t>
    <phoneticPr fontId="12" type="noConversion"/>
  </si>
  <si>
    <t>799A</t>
    <phoneticPr fontId="12" type="noConversion"/>
  </si>
  <si>
    <t>799B</t>
    <phoneticPr fontId="12" type="noConversion"/>
  </si>
  <si>
    <t>799C</t>
    <phoneticPr fontId="12" type="noConversion"/>
  </si>
  <si>
    <t>799D</t>
    <phoneticPr fontId="12" type="noConversion"/>
  </si>
  <si>
    <t>PN4012NL</t>
    <phoneticPr fontId="12" type="noConversion"/>
  </si>
  <si>
    <t>A4012_FPN</t>
    <phoneticPr fontId="12" type="noConversion"/>
  </si>
  <si>
    <t>116A</t>
    <phoneticPr fontId="12" type="noConversion"/>
  </si>
  <si>
    <t>A5919_KPNL</t>
    <phoneticPr fontId="12" type="noConversion"/>
  </si>
  <si>
    <t>A5919N_KPNL</t>
    <phoneticPr fontId="12" type="noConversion"/>
  </si>
  <si>
    <t>A5919_KPNL_TH</t>
    <phoneticPr fontId="12" type="noConversion"/>
  </si>
  <si>
    <t>887C</t>
    <phoneticPr fontId="12" type="noConversion"/>
  </si>
  <si>
    <t>A5919_KPNL_WW</t>
    <phoneticPr fontId="12" type="noConversion"/>
  </si>
  <si>
    <t>887D</t>
    <phoneticPr fontId="12" type="noConversion"/>
  </si>
  <si>
    <t>A5919_KPNL_WW(W)</t>
    <phoneticPr fontId="12" type="noConversion"/>
  </si>
  <si>
    <t>887E</t>
    <phoneticPr fontId="12" type="noConversion"/>
  </si>
  <si>
    <t>A5919_KPNL(W)</t>
    <phoneticPr fontId="12" type="noConversion"/>
  </si>
  <si>
    <t>887F</t>
    <phoneticPr fontId="12" type="noConversion"/>
  </si>
  <si>
    <t>A5919N_KPNL_ITE</t>
    <phoneticPr fontId="12" type="noConversion"/>
  </si>
  <si>
    <t>887G</t>
    <phoneticPr fontId="12" type="noConversion"/>
  </si>
  <si>
    <t>POE</t>
    <phoneticPr fontId="12" type="noConversion"/>
  </si>
  <si>
    <t>P3014P_FPN</t>
    <phoneticPr fontId="12" type="noConversion"/>
  </si>
  <si>
    <t>850A</t>
    <phoneticPr fontId="12" type="noConversion"/>
  </si>
  <si>
    <t>기타</t>
    <phoneticPr fontId="12" type="noConversion"/>
  </si>
  <si>
    <t>PN3012AL</t>
    <phoneticPr fontId="12" type="noConversion"/>
  </si>
  <si>
    <t>013A</t>
    <phoneticPr fontId="12" type="noConversion"/>
  </si>
  <si>
    <t>PWL2204STCCM(K)</t>
    <phoneticPr fontId="12" type="noConversion"/>
  </si>
  <si>
    <t>232F</t>
    <phoneticPr fontId="12" type="noConversion"/>
  </si>
  <si>
    <t>W4(PN005STCA(N))</t>
    <phoneticPr fontId="12" type="noConversion"/>
  </si>
  <si>
    <t>PN020HTCA-9020V</t>
    <phoneticPr fontId="12" type="noConversion"/>
  </si>
  <si>
    <t>PN020HTCA-HCP6320(INDOOR)</t>
    <phoneticPr fontId="12" type="noConversion"/>
  </si>
  <si>
    <t>2745A</t>
    <phoneticPr fontId="12" type="noConversion"/>
  </si>
  <si>
    <t>2746A</t>
    <phoneticPr fontId="12" type="noConversion"/>
  </si>
  <si>
    <t>PN020STCA-NWF(A)</t>
    <phoneticPr fontId="12" type="noConversion"/>
  </si>
  <si>
    <t>APN-1105EBWW</t>
    <phoneticPr fontId="12" type="noConversion"/>
  </si>
  <si>
    <t>PN026BWJ-S1200</t>
    <phoneticPr fontId="12" type="noConversion"/>
  </si>
  <si>
    <t>PN026BWJ-S1400</t>
    <phoneticPr fontId="12" type="noConversion"/>
  </si>
  <si>
    <t>PN026BWJ-VF(A)</t>
    <phoneticPr fontId="12" type="noConversion"/>
  </si>
  <si>
    <t>PN038BWJ-VF</t>
    <phoneticPr fontId="12" type="noConversion"/>
  </si>
  <si>
    <t>PN007MWJ-V2</t>
    <phoneticPr fontId="12" type="noConversion"/>
  </si>
  <si>
    <t>PN007MWJ-V4</t>
    <phoneticPr fontId="12" type="noConversion"/>
  </si>
  <si>
    <t>청정기</t>
    <phoneticPr fontId="12" type="noConversion"/>
  </si>
  <si>
    <t>정수기</t>
    <phoneticPr fontId="12" type="noConversion"/>
  </si>
  <si>
    <t>1200mm, 3K</t>
    <phoneticPr fontId="12" type="noConversion"/>
  </si>
  <si>
    <t>OKI</t>
    <phoneticPr fontId="12" type="noConversion"/>
  </si>
  <si>
    <t>PN020POK-V2</t>
    <phoneticPr fontId="12" type="noConversion"/>
  </si>
  <si>
    <t>PN086POK-V1</t>
    <phoneticPr fontId="12" type="noConversion"/>
  </si>
  <si>
    <t>PN086POK-V2(A)</t>
    <phoneticPr fontId="12" type="noConversion"/>
  </si>
  <si>
    <t>PN086POK-V2(C)</t>
    <phoneticPr fontId="12" type="noConversion"/>
  </si>
  <si>
    <t>기타(관세, 환차 외)</t>
    <phoneticPr fontId="12" type="noConversion"/>
  </si>
  <si>
    <t>USD</t>
  </si>
  <si>
    <t>KRW</t>
  </si>
  <si>
    <t>1Q</t>
    <phoneticPr fontId="3" type="noConversion"/>
  </si>
  <si>
    <t>2Q</t>
    <phoneticPr fontId="3" type="noConversion"/>
  </si>
  <si>
    <t>3Q</t>
    <phoneticPr fontId="3" type="noConversion"/>
  </si>
  <si>
    <t>4Q</t>
    <phoneticPr fontId="3" type="noConversion"/>
  </si>
  <si>
    <t>단가</t>
    <phoneticPr fontId="3" type="noConversion"/>
  </si>
  <si>
    <t>PN002SHA(A)</t>
    <phoneticPr fontId="12" type="noConversion"/>
  </si>
  <si>
    <t>1375A</t>
    <phoneticPr fontId="12" type="noConversion"/>
  </si>
  <si>
    <t>PN003SHA(A)</t>
    <phoneticPr fontId="12" type="noConversion"/>
  </si>
  <si>
    <t>3190A</t>
    <phoneticPr fontId="12" type="noConversion"/>
  </si>
  <si>
    <t>PN004SHA(A)</t>
    <phoneticPr fontId="12" type="noConversion"/>
  </si>
  <si>
    <t>3822A</t>
    <phoneticPr fontId="12" type="noConversion"/>
  </si>
  <si>
    <t>A4012_FPNDA</t>
    <phoneticPr fontId="12" type="noConversion"/>
  </si>
  <si>
    <t>0009A</t>
    <phoneticPr fontId="12" type="noConversion"/>
  </si>
  <si>
    <t>1분기</t>
    <phoneticPr fontId="12" type="noConversion"/>
  </si>
  <si>
    <t>4월</t>
    <phoneticPr fontId="12" type="noConversion"/>
  </si>
  <si>
    <t>5월</t>
    <phoneticPr fontId="12" type="noConversion"/>
  </si>
  <si>
    <t>6월</t>
    <phoneticPr fontId="12" type="noConversion"/>
  </si>
  <si>
    <t>2분기</t>
    <phoneticPr fontId="12" type="noConversion"/>
  </si>
  <si>
    <t>상반기</t>
    <phoneticPr fontId="12" type="noConversion"/>
  </si>
  <si>
    <t>7월</t>
    <phoneticPr fontId="12" type="noConversion"/>
  </si>
  <si>
    <t>8월</t>
    <phoneticPr fontId="12" type="noConversion"/>
  </si>
  <si>
    <t>3분기</t>
    <phoneticPr fontId="12" type="noConversion"/>
  </si>
  <si>
    <t>11월</t>
    <phoneticPr fontId="12" type="noConversion"/>
  </si>
  <si>
    <t>12월</t>
    <phoneticPr fontId="12" type="noConversion"/>
  </si>
  <si>
    <t>4분기</t>
    <phoneticPr fontId="12" type="noConversion"/>
  </si>
  <si>
    <t>하반기</t>
    <phoneticPr fontId="12" type="noConversion"/>
  </si>
  <si>
    <t>PLF020-D33</t>
    <phoneticPr fontId="12" type="noConversion"/>
  </si>
  <si>
    <t>746F</t>
    <phoneticPr fontId="12" type="noConversion"/>
  </si>
  <si>
    <t>L23S0DSR_MPN</t>
    <phoneticPr fontId="12" type="noConversion"/>
  </si>
  <si>
    <t>887H</t>
    <phoneticPr fontId="12" type="noConversion"/>
  </si>
  <si>
    <t>A5919_KPNL_AR</t>
    <phoneticPr fontId="12" type="noConversion"/>
  </si>
  <si>
    <t>339B</t>
    <phoneticPr fontId="12" type="noConversion"/>
  </si>
  <si>
    <t>V220SN_MPN</t>
    <phoneticPr fontId="12" type="noConversion"/>
  </si>
  <si>
    <t>844D</t>
    <phoneticPr fontId="12" type="noConversion"/>
  </si>
  <si>
    <t>P32SF_MPN</t>
    <phoneticPr fontId="12" type="noConversion"/>
  </si>
  <si>
    <t>PLF020-D44</t>
    <phoneticPr fontId="12" type="noConversion"/>
  </si>
  <si>
    <t>PLL024-P12(A)</t>
    <phoneticPr fontId="12" type="noConversion"/>
  </si>
  <si>
    <t>PLL024-P15(A)</t>
    <phoneticPr fontId="12" type="noConversion"/>
  </si>
  <si>
    <t>PN026BWJ-S1400(A)</t>
    <phoneticPr fontId="12" type="noConversion"/>
  </si>
  <si>
    <t>827B</t>
    <phoneticPr fontId="12" type="noConversion"/>
  </si>
  <si>
    <t>887A</t>
    <phoneticPr fontId="12" type="noConversion"/>
  </si>
  <si>
    <t>887B</t>
    <phoneticPr fontId="12" type="noConversion"/>
  </si>
  <si>
    <t>소   계</t>
    <phoneticPr fontId="12" type="noConversion"/>
  </si>
  <si>
    <t>869A</t>
    <phoneticPr fontId="12" type="noConversion"/>
  </si>
  <si>
    <t>869B</t>
    <phoneticPr fontId="12" type="noConversion"/>
  </si>
  <si>
    <t>870A</t>
    <phoneticPr fontId="12" type="noConversion"/>
  </si>
  <si>
    <t>공장등</t>
    <phoneticPr fontId="12" type="noConversion"/>
  </si>
  <si>
    <t>PLS013-P100-48</t>
    <phoneticPr fontId="12" type="noConversion"/>
  </si>
  <si>
    <t>PLS013-P120-48</t>
    <phoneticPr fontId="12" type="noConversion"/>
  </si>
  <si>
    <t>PLS013-P150-48</t>
    <phoneticPr fontId="12" type="noConversion"/>
  </si>
  <si>
    <t>PSPN2-TYPE3R Lite-V1</t>
  </si>
  <si>
    <t>222F</t>
  </si>
  <si>
    <t>PSPN2-TYPE3R Lite-V2</t>
  </si>
  <si>
    <t>223G</t>
  </si>
  <si>
    <t>832D</t>
    <phoneticPr fontId="12" type="noConversion"/>
  </si>
  <si>
    <t>A3514_FPNT</t>
    <phoneticPr fontId="12" type="noConversion"/>
  </si>
  <si>
    <t>PN003SHA(B)</t>
    <phoneticPr fontId="12" type="noConversion"/>
  </si>
  <si>
    <t>PN003SHA(C)</t>
    <phoneticPr fontId="12" type="noConversion"/>
  </si>
  <si>
    <t>PN003SHA(D)</t>
    <phoneticPr fontId="12" type="noConversion"/>
  </si>
  <si>
    <t>3190B</t>
    <phoneticPr fontId="12" type="noConversion"/>
  </si>
  <si>
    <t>3190C</t>
    <phoneticPr fontId="12" type="noConversion"/>
  </si>
  <si>
    <t>3190D</t>
    <phoneticPr fontId="12" type="noConversion"/>
  </si>
  <si>
    <t>PN033BWJ-VF</t>
    <phoneticPr fontId="12" type="noConversion"/>
  </si>
  <si>
    <t>PN053WWJ-VF(B)</t>
    <phoneticPr fontId="12" type="noConversion"/>
  </si>
  <si>
    <t>년계</t>
    <phoneticPr fontId="3" type="noConversion"/>
  </si>
  <si>
    <t>80W</t>
    <phoneticPr fontId="12" type="noConversion"/>
  </si>
  <si>
    <t>100W</t>
    <phoneticPr fontId="12" type="noConversion"/>
  </si>
  <si>
    <t>120W</t>
    <phoneticPr fontId="12" type="noConversion"/>
  </si>
  <si>
    <t>제조지</t>
    <phoneticPr fontId="12" type="noConversion"/>
  </si>
  <si>
    <t>QD</t>
  </si>
  <si>
    <t>SY</t>
  </si>
  <si>
    <t>SY</t>
    <phoneticPr fontId="12" type="noConversion"/>
  </si>
  <si>
    <t>SY</t>
    <phoneticPr fontId="12" type="noConversion"/>
  </si>
  <si>
    <t>QD</t>
    <phoneticPr fontId="12" type="noConversion"/>
  </si>
  <si>
    <t>SY</t>
    <phoneticPr fontId="12" type="noConversion"/>
  </si>
  <si>
    <t>SY</t>
    <phoneticPr fontId="12" type="noConversion"/>
  </si>
  <si>
    <t>기타</t>
    <phoneticPr fontId="12" type="noConversion"/>
  </si>
  <si>
    <t>SMPS</t>
    <phoneticPr fontId="12" type="noConversion"/>
  </si>
  <si>
    <t>1200mm, 5K</t>
    <phoneticPr fontId="12" type="noConversion"/>
  </si>
  <si>
    <t>580mm, 3K</t>
    <phoneticPr fontId="12" type="noConversion"/>
  </si>
  <si>
    <t>T08</t>
    <phoneticPr fontId="12" type="noConversion"/>
  </si>
  <si>
    <t>580mm, 5K</t>
    <phoneticPr fontId="12" type="noConversion"/>
  </si>
  <si>
    <t>PLN021-T0809150T4R-562</t>
    <phoneticPr fontId="12" type="noConversion"/>
  </si>
  <si>
    <t>T08</t>
    <phoneticPr fontId="12" type="noConversion"/>
  </si>
  <si>
    <t>1200mm, 4K</t>
    <phoneticPr fontId="12" type="noConversion"/>
  </si>
  <si>
    <t>T08</t>
    <phoneticPr fontId="12" type="noConversion"/>
  </si>
  <si>
    <t>1200mm, 5K</t>
    <phoneticPr fontId="12" type="noConversion"/>
  </si>
  <si>
    <t>T09</t>
    <phoneticPr fontId="12" type="noConversion"/>
  </si>
  <si>
    <t>T09</t>
    <phoneticPr fontId="12" type="noConversion"/>
  </si>
  <si>
    <t>T09</t>
    <phoneticPr fontId="12" type="noConversion"/>
  </si>
  <si>
    <t>T09</t>
    <phoneticPr fontId="12" type="noConversion"/>
  </si>
  <si>
    <t>1200mm, 3.5K</t>
    <phoneticPr fontId="12" type="noConversion"/>
  </si>
  <si>
    <t>T09</t>
    <phoneticPr fontId="12" type="noConversion"/>
  </si>
  <si>
    <t>1200mm, 5K</t>
    <phoneticPr fontId="12" type="noConversion"/>
  </si>
  <si>
    <t>PLN021-T0917350N2R-562</t>
    <phoneticPr fontId="12" type="noConversion"/>
  </si>
  <si>
    <t>1200mm, 5K</t>
    <phoneticPr fontId="12" type="noConversion"/>
  </si>
  <si>
    <t>T09</t>
    <phoneticPr fontId="12" type="noConversion"/>
  </si>
  <si>
    <t>PLN021-T0912340N2R-562</t>
    <phoneticPr fontId="12" type="noConversion"/>
  </si>
  <si>
    <t>PLN021-T0912350N2R-562</t>
    <phoneticPr fontId="12" type="noConversion"/>
  </si>
  <si>
    <t>PLN021-T0912365N2R-562</t>
    <phoneticPr fontId="12" type="noConversion"/>
  </si>
  <si>
    <t>2400mm, 5K</t>
    <phoneticPr fontId="12" type="noConversion"/>
  </si>
  <si>
    <t>580mm, 5K</t>
    <phoneticPr fontId="12" type="noConversion"/>
  </si>
  <si>
    <t>PLN021-T1010150T4S-562</t>
    <phoneticPr fontId="12" type="noConversion"/>
  </si>
  <si>
    <t>T10</t>
    <phoneticPr fontId="12" type="noConversion"/>
  </si>
  <si>
    <t>630mm, 5K</t>
    <phoneticPr fontId="12" type="noConversion"/>
  </si>
  <si>
    <t>PLN021-T1010650T4S-562</t>
    <phoneticPr fontId="12" type="noConversion"/>
  </si>
  <si>
    <t>PLN021-T1010665T4S-562</t>
    <phoneticPr fontId="12" type="noConversion"/>
  </si>
  <si>
    <t>830mm, 5K</t>
    <phoneticPr fontId="12" type="noConversion"/>
  </si>
  <si>
    <t>PLN021-T1015750T4S-562</t>
    <phoneticPr fontId="12" type="noConversion"/>
  </si>
  <si>
    <t>PLN021-T1015765T4S-562</t>
    <phoneticPr fontId="12" type="noConversion"/>
  </si>
  <si>
    <t>1200mm, 6.5K</t>
    <phoneticPr fontId="12" type="noConversion"/>
  </si>
  <si>
    <t>PLN021-T1038450T2C-562</t>
    <phoneticPr fontId="12" type="noConversion"/>
  </si>
  <si>
    <t>T09</t>
    <phoneticPr fontId="12" type="noConversion"/>
  </si>
  <si>
    <t>P230NQ_NPN</t>
  </si>
  <si>
    <t>934A</t>
    <phoneticPr fontId="12" type="noConversion"/>
  </si>
  <si>
    <t>P270NQ_NPN</t>
    <phoneticPr fontId="12" type="noConversion"/>
  </si>
  <si>
    <t>933A</t>
    <phoneticPr fontId="12" type="noConversion"/>
  </si>
  <si>
    <t>SY</t>
    <phoneticPr fontId="12" type="noConversion"/>
  </si>
  <si>
    <t>870B</t>
    <phoneticPr fontId="12" type="noConversion"/>
  </si>
  <si>
    <t>L32E1NR_KPN</t>
    <phoneticPr fontId="12" type="noConversion"/>
  </si>
  <si>
    <t>PN004SHA(B)</t>
    <phoneticPr fontId="12" type="noConversion"/>
  </si>
  <si>
    <t>3822B</t>
    <phoneticPr fontId="12" type="noConversion"/>
  </si>
  <si>
    <t>PN004SHA(C)</t>
    <phoneticPr fontId="12" type="noConversion"/>
  </si>
  <si>
    <t>3822C</t>
    <phoneticPr fontId="12" type="noConversion"/>
  </si>
  <si>
    <t>PN085SHA-VF</t>
    <phoneticPr fontId="12" type="noConversion"/>
  </si>
  <si>
    <t>0795B</t>
    <phoneticPr fontId="12" type="noConversion"/>
  </si>
  <si>
    <t>SY</t>
    <phoneticPr fontId="12" type="noConversion"/>
  </si>
  <si>
    <t>PLL035-D14A</t>
  </si>
  <si>
    <t>PLL029-D09A</t>
    <phoneticPr fontId="12" type="noConversion"/>
  </si>
  <si>
    <t>9월</t>
    <phoneticPr fontId="12" type="noConversion"/>
  </si>
  <si>
    <t>수량</t>
    <phoneticPr fontId="3" type="noConversion"/>
  </si>
  <si>
    <t>금액</t>
    <phoneticPr fontId="3" type="noConversion"/>
  </si>
  <si>
    <t>SMPS</t>
    <phoneticPr fontId="12" type="noConversion"/>
  </si>
  <si>
    <t>PLL031-P08</t>
  </si>
  <si>
    <t>PLL031-P12(A)</t>
  </si>
  <si>
    <t>PLL031-P13</t>
  </si>
  <si>
    <t>PLL031-P15(A)</t>
  </si>
  <si>
    <t>PLL031-P17</t>
  </si>
  <si>
    <t>PLL031-P18</t>
  </si>
  <si>
    <t>PLL038-P08</t>
  </si>
  <si>
    <t>A4024_FPN</t>
  </si>
  <si>
    <t>862A</t>
  </si>
  <si>
    <t>928D</t>
  </si>
  <si>
    <t>928A</t>
  </si>
  <si>
    <t>794E</t>
  </si>
  <si>
    <t xml:space="preserve">SOCKET BASE </t>
    <phoneticPr fontId="12" type="noConversion"/>
  </si>
  <si>
    <t>SY</t>
    <phoneticPr fontId="12" type="noConversion"/>
  </si>
  <si>
    <t>BRACKET (80W)</t>
    <phoneticPr fontId="12" type="noConversion"/>
  </si>
  <si>
    <t>BRACKET (100W)</t>
    <phoneticPr fontId="12" type="noConversion"/>
  </si>
  <si>
    <t>CHAIN</t>
    <phoneticPr fontId="12" type="noConversion"/>
  </si>
  <si>
    <t xml:space="preserve">PENDANT </t>
    <phoneticPr fontId="12" type="noConversion"/>
  </si>
  <si>
    <t>SY</t>
    <phoneticPr fontId="12" type="noConversion"/>
  </si>
  <si>
    <t>120도</t>
    <phoneticPr fontId="12" type="noConversion"/>
  </si>
  <si>
    <t>PLN044-HB10150T412-563</t>
    <phoneticPr fontId="12" type="noConversion"/>
  </si>
  <si>
    <t>HVPS</t>
    <phoneticPr fontId="12" type="noConversion"/>
  </si>
  <si>
    <t>Printer</t>
    <phoneticPr fontId="12" type="noConversion"/>
  </si>
  <si>
    <t>PN015SPR-HV</t>
    <phoneticPr fontId="12" type="noConversion"/>
  </si>
  <si>
    <t>234A</t>
    <phoneticPr fontId="12" type="noConversion"/>
  </si>
  <si>
    <t>10월</t>
    <phoneticPr fontId="12" type="noConversion"/>
  </si>
  <si>
    <t>832E</t>
    <phoneticPr fontId="12" type="noConversion"/>
  </si>
  <si>
    <t>A3514_FPN  HF</t>
    <phoneticPr fontId="12" type="noConversion"/>
  </si>
  <si>
    <t>842D</t>
    <phoneticPr fontId="12" type="noConversion"/>
  </si>
  <si>
    <t>843D</t>
    <phoneticPr fontId="12" type="noConversion"/>
  </si>
  <si>
    <t>P2514Z_FPN  HF</t>
    <phoneticPr fontId="12" type="noConversion"/>
  </si>
  <si>
    <t>P3514Z_FPN  HF</t>
    <phoneticPr fontId="12" type="noConversion"/>
  </si>
  <si>
    <t>PLN021-T0908135N2R-562</t>
    <phoneticPr fontId="12" type="noConversion"/>
  </si>
  <si>
    <t>80도</t>
    <phoneticPr fontId="12" type="noConversion"/>
  </si>
  <si>
    <t>PLN044-HB10150T480-563</t>
    <phoneticPr fontId="12" type="noConversion"/>
  </si>
  <si>
    <t>80도</t>
    <phoneticPr fontId="12" type="noConversion"/>
  </si>
  <si>
    <t>PLN044-HB12150T480-563</t>
    <phoneticPr fontId="12" type="noConversion"/>
  </si>
  <si>
    <t>PN003SHA(E)</t>
    <phoneticPr fontId="12" type="noConversion"/>
  </si>
  <si>
    <t>3190E</t>
    <phoneticPr fontId="12" type="noConversion"/>
  </si>
  <si>
    <t>PN006SHA(A)</t>
    <phoneticPr fontId="12" type="noConversion"/>
  </si>
  <si>
    <t>PN006SHA(B)</t>
    <phoneticPr fontId="12" type="noConversion"/>
  </si>
  <si>
    <t>PN006SHA(C)</t>
    <phoneticPr fontId="12" type="noConversion"/>
  </si>
  <si>
    <t>4432A</t>
    <phoneticPr fontId="12" type="noConversion"/>
  </si>
  <si>
    <t>4432C</t>
    <phoneticPr fontId="12" type="noConversion"/>
  </si>
  <si>
    <t>4432B</t>
    <phoneticPr fontId="12" type="noConversion"/>
  </si>
  <si>
    <t>PLN021-T0916350N2R-563</t>
    <phoneticPr fontId="12" type="noConversion"/>
  </si>
  <si>
    <t>794G</t>
    <phoneticPr fontId="12" type="noConversion"/>
  </si>
  <si>
    <t>794H</t>
    <phoneticPr fontId="12" type="noConversion"/>
  </si>
  <si>
    <t>A10024_NPNT</t>
    <phoneticPr fontId="12" type="noConversion"/>
  </si>
  <si>
    <t>A10024_NPNF</t>
    <phoneticPr fontId="12" type="noConversion"/>
  </si>
  <si>
    <t>A5924_NPNF_WW</t>
    <phoneticPr fontId="12" type="noConversion"/>
  </si>
  <si>
    <t>A5924_NPNF</t>
    <phoneticPr fontId="12" type="noConversion"/>
  </si>
  <si>
    <t>A10024N_NPNT</t>
    <phoneticPr fontId="12" type="noConversion"/>
  </si>
  <si>
    <t>A6524_NPNL</t>
    <phoneticPr fontId="12" type="noConversion"/>
  </si>
  <si>
    <t>7772A</t>
    <phoneticPr fontId="12" type="noConversion"/>
  </si>
  <si>
    <t>PN110SHA-VF</t>
    <phoneticPr fontId="12" type="noConversion"/>
  </si>
  <si>
    <t>1064A</t>
    <phoneticPr fontId="12" type="noConversion"/>
  </si>
  <si>
    <t>237C</t>
    <phoneticPr fontId="12" type="noConversion"/>
  </si>
  <si>
    <t>PNK4350-R-HV</t>
    <phoneticPr fontId="12" type="noConversion"/>
  </si>
  <si>
    <t>2630A</t>
    <phoneticPr fontId="12" type="noConversion"/>
  </si>
  <si>
    <t>PN078AWJ-VF</t>
    <phoneticPr fontId="12" type="noConversion"/>
  </si>
  <si>
    <t>PLN044-HB08150T460-563</t>
    <phoneticPr fontId="12" type="noConversion"/>
  </si>
  <si>
    <t>60도</t>
    <phoneticPr fontId="12" type="noConversion"/>
  </si>
  <si>
    <t>PLN044-HB10150T460-563</t>
    <phoneticPr fontId="12" type="noConversion"/>
  </si>
  <si>
    <t>60도</t>
    <phoneticPr fontId="12" type="noConversion"/>
  </si>
  <si>
    <t>PLN044-HB12150T460-563</t>
    <phoneticPr fontId="12" type="noConversion"/>
  </si>
  <si>
    <t>PLN021-T0809165T4R-562</t>
    <phoneticPr fontId="12" type="noConversion"/>
  </si>
  <si>
    <t>600mm, 3K</t>
    <phoneticPr fontId="12" type="noConversion"/>
  </si>
  <si>
    <t>600mm, 3.5K</t>
    <phoneticPr fontId="12" type="noConversion"/>
  </si>
  <si>
    <t>600mm, 4K</t>
    <phoneticPr fontId="12" type="noConversion"/>
  </si>
  <si>
    <t>600mm, 5K</t>
    <phoneticPr fontId="12" type="noConversion"/>
  </si>
  <si>
    <t>600mm, 6.5K</t>
    <phoneticPr fontId="12" type="noConversion"/>
  </si>
  <si>
    <t>PLN021-T0908165N2R-562</t>
    <phoneticPr fontId="12" type="noConversion"/>
  </si>
  <si>
    <t>PLN021-T0911350N2R-563</t>
    <phoneticPr fontId="12" type="noConversion"/>
  </si>
  <si>
    <t>PLN021-T0911365N2R-563</t>
    <phoneticPr fontId="12" type="noConversion"/>
  </si>
  <si>
    <t>1200mm, 5K</t>
    <phoneticPr fontId="12" type="noConversion"/>
  </si>
  <si>
    <t>1200mm, 6.5K</t>
    <phoneticPr fontId="12" type="noConversion"/>
  </si>
  <si>
    <t>1200mm, 3K</t>
    <phoneticPr fontId="12" type="noConversion"/>
  </si>
  <si>
    <t>1200mm, 3.5K</t>
    <phoneticPr fontId="12" type="noConversion"/>
  </si>
  <si>
    <t>1200mm, 4K</t>
    <phoneticPr fontId="12" type="noConversion"/>
  </si>
  <si>
    <t>PLN021-T0916365N2R-563</t>
    <phoneticPr fontId="12" type="noConversion"/>
  </si>
  <si>
    <t xml:space="preserve">T9 회전소켓 </t>
  </si>
  <si>
    <t>T9 R17D</t>
    <phoneticPr fontId="12" type="noConversion"/>
  </si>
  <si>
    <t>T10 일반</t>
    <phoneticPr fontId="12" type="noConversion"/>
  </si>
  <si>
    <t>2400mm, 3K</t>
    <phoneticPr fontId="12" type="noConversion"/>
  </si>
  <si>
    <t>2400mm, 4K</t>
    <phoneticPr fontId="12" type="noConversion"/>
  </si>
  <si>
    <t>630mm, 6.5K</t>
    <phoneticPr fontId="12" type="noConversion"/>
  </si>
  <si>
    <t>830mm, 6.5K</t>
    <phoneticPr fontId="12" type="noConversion"/>
  </si>
  <si>
    <t>PLN021-T1019350T4S-562</t>
    <phoneticPr fontId="12" type="noConversion"/>
  </si>
  <si>
    <t>공장등</t>
    <phoneticPr fontId="12" type="noConversion"/>
  </si>
  <si>
    <t>T8 회전소켓</t>
    <phoneticPr fontId="12" type="noConversion"/>
  </si>
  <si>
    <t>T8 R17D</t>
    <phoneticPr fontId="12" type="noConversion"/>
  </si>
  <si>
    <t>2400mm, 5K</t>
    <phoneticPr fontId="12" type="noConversion"/>
  </si>
  <si>
    <t>2400mm, 6.5K</t>
    <phoneticPr fontId="12" type="noConversion"/>
  </si>
  <si>
    <t>신도리코</t>
    <phoneticPr fontId="12" type="noConversion"/>
  </si>
  <si>
    <t>Printer</t>
    <phoneticPr fontId="12" type="noConversion"/>
  </si>
  <si>
    <t>Printer</t>
    <phoneticPr fontId="12" type="noConversion"/>
  </si>
  <si>
    <t>금액</t>
    <phoneticPr fontId="3" type="noConversion"/>
  </si>
  <si>
    <t>844E</t>
    <phoneticPr fontId="12" type="noConversion"/>
  </si>
  <si>
    <t>P32SFN_MPN</t>
    <phoneticPr fontId="12" type="noConversion"/>
  </si>
  <si>
    <t>PS30W-14J2</t>
    <phoneticPr fontId="12" type="noConversion"/>
  </si>
  <si>
    <t>566A</t>
    <phoneticPr fontId="12" type="noConversion"/>
  </si>
  <si>
    <t>794F</t>
    <phoneticPr fontId="12" type="noConversion"/>
  </si>
  <si>
    <t>A10024N_NPNF</t>
    <phoneticPr fontId="12" type="noConversion"/>
  </si>
  <si>
    <t>928B</t>
    <phoneticPr fontId="12" type="noConversion"/>
  </si>
  <si>
    <t>A5924N_NPNF</t>
    <phoneticPr fontId="12" type="noConversion"/>
  </si>
  <si>
    <t>PLN021-T0911340N2R-563</t>
    <phoneticPr fontId="12" type="noConversion"/>
  </si>
  <si>
    <t>1200mm, 4K</t>
    <phoneticPr fontId="12" type="noConversion"/>
  </si>
  <si>
    <t>PN1702CWM-600KR</t>
    <phoneticPr fontId="12" type="noConversion"/>
  </si>
  <si>
    <t>PN180WWJ-VF</t>
    <phoneticPr fontId="12" type="noConversion"/>
  </si>
  <si>
    <t>PN130ACW-VF</t>
    <phoneticPr fontId="12" type="noConversion"/>
  </si>
  <si>
    <t>PN080MCW-VF</t>
    <phoneticPr fontId="12" type="noConversion"/>
  </si>
  <si>
    <t>PLL019-D15-39M</t>
    <phoneticPr fontId="12" type="noConversion"/>
  </si>
  <si>
    <t>1200mm, 4K</t>
    <phoneticPr fontId="12" type="noConversion"/>
  </si>
  <si>
    <t>PLN044-HB08150T480-563</t>
    <phoneticPr fontId="12" type="noConversion"/>
  </si>
  <si>
    <t>PLN044-HB-B80</t>
    <phoneticPr fontId="12" type="noConversion"/>
  </si>
  <si>
    <t>PLN044-HB-B100</t>
    <phoneticPr fontId="12" type="noConversion"/>
  </si>
  <si>
    <t>PLN044-HB-P</t>
    <phoneticPr fontId="12" type="noConversion"/>
  </si>
  <si>
    <t>PLN044-HB-C</t>
    <phoneticPr fontId="12" type="noConversion"/>
  </si>
  <si>
    <t>PN105WCW-VF(A)</t>
    <phoneticPr fontId="12" type="noConversion"/>
  </si>
  <si>
    <t>339C</t>
    <phoneticPr fontId="12" type="noConversion"/>
  </si>
  <si>
    <t>V220S_MPN</t>
    <phoneticPr fontId="12" type="noConversion"/>
  </si>
  <si>
    <t>934B</t>
    <phoneticPr fontId="12" type="noConversion"/>
  </si>
  <si>
    <t>P270NQB_NPN</t>
    <phoneticPr fontId="12" type="noConversion"/>
  </si>
  <si>
    <t>PLF045-D30</t>
    <phoneticPr fontId="12" type="noConversion"/>
  </si>
  <si>
    <t>PLF045-D40</t>
    <phoneticPr fontId="12" type="noConversion"/>
  </si>
  <si>
    <t>Base Light</t>
  </si>
  <si>
    <t>1200mm, 3K</t>
    <phoneticPr fontId="12" type="noConversion"/>
  </si>
  <si>
    <t>PN037WCW-RY(A)</t>
    <phoneticPr fontId="12" type="noConversion"/>
  </si>
  <si>
    <t>PN037WCW-VF(A)</t>
    <phoneticPr fontId="12" type="noConversion"/>
  </si>
  <si>
    <t>PN048WWJ-VF(A)</t>
    <phoneticPr fontId="12" type="noConversion"/>
  </si>
  <si>
    <t>PLN021-T0907165N2R-563</t>
    <phoneticPr fontId="12" type="noConversion"/>
  </si>
  <si>
    <t>PN048WWJ-VF(B)</t>
    <phoneticPr fontId="12" type="noConversion"/>
  </si>
  <si>
    <t>L32S0XN_EPN</t>
    <phoneticPr fontId="12" type="noConversion"/>
  </si>
  <si>
    <t>750B</t>
    <phoneticPr fontId="12" type="noConversion"/>
  </si>
  <si>
    <t>V220SN_MPN_VE</t>
    <phoneticPr fontId="12" type="noConversion"/>
  </si>
  <si>
    <t>339D</t>
    <phoneticPr fontId="12" type="noConversion"/>
  </si>
  <si>
    <t>3190F</t>
    <phoneticPr fontId="12" type="noConversion"/>
  </si>
  <si>
    <t>PN003SHA(F)</t>
    <phoneticPr fontId="12" type="noConversion"/>
  </si>
  <si>
    <t>HP 프린팅</t>
    <phoneticPr fontId="12" type="noConversion"/>
  </si>
  <si>
    <t>PN048HTCA-9320VQP</t>
    <phoneticPr fontId="12" type="noConversion"/>
  </si>
  <si>
    <t>PN045WCW-FILTER</t>
    <phoneticPr fontId="12" type="noConversion"/>
  </si>
  <si>
    <t>PN120MWJ-VF(A)</t>
    <phoneticPr fontId="12" type="noConversion"/>
  </si>
  <si>
    <t>PLF020-D25</t>
    <phoneticPr fontId="12" type="noConversion"/>
  </si>
  <si>
    <t>PLF027-D13</t>
    <phoneticPr fontId="12" type="noConversion"/>
  </si>
  <si>
    <t>1200mm, 3K</t>
    <phoneticPr fontId="12" type="noConversion"/>
  </si>
  <si>
    <t>1200mm, 5K</t>
    <phoneticPr fontId="12" type="noConversion"/>
  </si>
  <si>
    <t>PLN021-T0813350T4R-563</t>
    <phoneticPr fontId="12" type="noConversion"/>
  </si>
  <si>
    <t>PLN021-T0908130N2R-562</t>
    <phoneticPr fontId="12" type="noConversion"/>
  </si>
  <si>
    <t>PLN021-T0912330N2R-562</t>
    <phoneticPr fontId="12" type="noConversion"/>
  </si>
  <si>
    <t>PLN021-T0916340N2R-563</t>
    <phoneticPr fontId="12" type="noConversion"/>
  </si>
  <si>
    <t>PLN044-HB-S</t>
    <phoneticPr fontId="12" type="noConversion"/>
  </si>
  <si>
    <t>PLF027-D17</t>
    <phoneticPr fontId="12" type="noConversion"/>
  </si>
  <si>
    <t>588mm, 高</t>
    <phoneticPr fontId="12" type="noConversion"/>
  </si>
  <si>
    <t>588mm, 50K</t>
    <phoneticPr fontId="12" type="noConversion"/>
  </si>
  <si>
    <t>1200mm, 高</t>
    <phoneticPr fontId="12" type="noConversion"/>
  </si>
  <si>
    <t>1200mm, 3.5K</t>
    <phoneticPr fontId="12" type="noConversion"/>
  </si>
  <si>
    <t>PN039BCW-VF</t>
    <phoneticPr fontId="12" type="noConversion"/>
  </si>
  <si>
    <t>PN052MWJ-VF(C)</t>
    <phoneticPr fontId="12" type="noConversion"/>
  </si>
  <si>
    <t>PN054ACW-LED</t>
    <phoneticPr fontId="12" type="noConversion"/>
  </si>
  <si>
    <t>PN054ACW-LKEY</t>
    <phoneticPr fontId="12" type="noConversion"/>
  </si>
  <si>
    <t>PN054ACW-LMAIN</t>
    <phoneticPr fontId="12" type="noConversion"/>
  </si>
  <si>
    <t>PN1703CWM-600JP</t>
    <phoneticPr fontId="12" type="noConversion"/>
  </si>
  <si>
    <t>TV/MFM</t>
  </si>
  <si>
    <t>LFD</t>
  </si>
  <si>
    <t>TV</t>
  </si>
  <si>
    <t>TV</t>
    <phoneticPr fontId="12" type="noConversion"/>
  </si>
  <si>
    <t>MNT</t>
    <phoneticPr fontId="12" type="noConversion"/>
  </si>
  <si>
    <t>MNT</t>
    <phoneticPr fontId="12" type="noConversion"/>
  </si>
  <si>
    <t>STB</t>
  </si>
  <si>
    <t>직관 내장</t>
    <phoneticPr fontId="12" type="noConversion"/>
  </si>
  <si>
    <t>PN054ACW-HKEY</t>
    <phoneticPr fontId="12" type="noConversion"/>
  </si>
  <si>
    <t>PN054ACW-LMAIN(A)</t>
    <phoneticPr fontId="12" type="noConversion"/>
  </si>
  <si>
    <t>PN054ACW-HMAIN(A)</t>
    <phoneticPr fontId="12" type="noConversion"/>
  </si>
  <si>
    <t>PN054ACW-HMAIN</t>
    <phoneticPr fontId="12" type="noConversion"/>
  </si>
  <si>
    <t>PN120MWJ-VF(B)</t>
    <phoneticPr fontId="12" type="noConversion"/>
  </si>
  <si>
    <t>PN120MWJ-VF(C)</t>
    <phoneticPr fontId="12" type="noConversion"/>
  </si>
  <si>
    <t>PLN021-T0835450T2C-563</t>
    <phoneticPr fontId="12" type="noConversion"/>
  </si>
  <si>
    <t>588mm, 3K</t>
    <phoneticPr fontId="12" type="noConversion"/>
  </si>
  <si>
    <t>588mm, 5K</t>
    <phoneticPr fontId="12" type="noConversion"/>
  </si>
  <si>
    <t>990A</t>
    <phoneticPr fontId="12" type="noConversion"/>
  </si>
  <si>
    <t>A3514_RPN</t>
    <phoneticPr fontId="12" type="noConversion"/>
  </si>
  <si>
    <t>PN007SHA(A)</t>
    <phoneticPr fontId="12" type="noConversion"/>
  </si>
  <si>
    <t>4704A</t>
    <phoneticPr fontId="12" type="noConversion"/>
  </si>
  <si>
    <t>HVPS+SMPS</t>
    <phoneticPr fontId="12" type="noConversion"/>
  </si>
  <si>
    <t>Printer</t>
    <phoneticPr fontId="12" type="noConversion"/>
  </si>
  <si>
    <t>X-MEN-V1</t>
  </si>
  <si>
    <t>A2514_RPN</t>
    <phoneticPr fontId="12" type="noConversion"/>
  </si>
  <si>
    <t>989A</t>
    <phoneticPr fontId="12" type="noConversion"/>
  </si>
  <si>
    <t>PN005SHA(A)</t>
    <phoneticPr fontId="12" type="noConversion"/>
  </si>
  <si>
    <t>4695A</t>
    <phoneticPr fontId="12" type="noConversion"/>
  </si>
  <si>
    <t>PN053WWJ-VF(C)</t>
    <phoneticPr fontId="12" type="noConversion"/>
  </si>
  <si>
    <t>PN005MWJ-VF(A)</t>
    <phoneticPr fontId="12" type="noConversion"/>
  </si>
  <si>
    <t>PN054ACW-JAGUAR</t>
    <phoneticPr fontId="12" type="noConversion"/>
  </si>
  <si>
    <t>PN019AWJ-V2</t>
    <phoneticPr fontId="12" type="noConversion"/>
  </si>
  <si>
    <t>PLL019-D19-48</t>
    <phoneticPr fontId="12" type="noConversion"/>
  </si>
  <si>
    <t>PLL019-D19-48M</t>
    <phoneticPr fontId="12" type="noConversion"/>
  </si>
  <si>
    <t>PLL029-D09</t>
    <phoneticPr fontId="12" type="noConversion"/>
  </si>
  <si>
    <t>PLL035-D14-37M</t>
    <phoneticPr fontId="12" type="noConversion"/>
  </si>
  <si>
    <t>PLF045-D27</t>
    <phoneticPr fontId="12" type="noConversion"/>
  </si>
  <si>
    <t>PLS013-P80-48</t>
    <phoneticPr fontId="12" type="noConversion"/>
  </si>
  <si>
    <t>PLN021-T0838430T2C-562</t>
    <phoneticPr fontId="12" type="noConversion"/>
  </si>
  <si>
    <t>PLN021-T0838450T2C-562</t>
    <phoneticPr fontId="12" type="noConversion"/>
  </si>
  <si>
    <t>PLN021-T0838465T2C-562</t>
    <phoneticPr fontId="12" type="noConversion"/>
  </si>
  <si>
    <t>PLN021-T0809130T4R-562</t>
    <phoneticPr fontId="12" type="noConversion"/>
  </si>
  <si>
    <t>PLN021-T0809140T4R-563</t>
    <phoneticPr fontId="12" type="noConversion"/>
  </si>
  <si>
    <t>PLN021-T0813330T4R-563</t>
    <phoneticPr fontId="12" type="noConversion"/>
  </si>
  <si>
    <t>PLN021-T0813340T4R-563</t>
    <phoneticPr fontId="12" type="noConversion"/>
  </si>
  <si>
    <t>PLN021-T0815330T4R-562</t>
    <phoneticPr fontId="12" type="noConversion"/>
  </si>
  <si>
    <t>PLN021-T0815340T4R-562</t>
    <phoneticPr fontId="12" type="noConversion"/>
  </si>
  <si>
    <t>PLN021-T0815350T4R-562</t>
    <phoneticPr fontId="12" type="noConversion"/>
  </si>
  <si>
    <t>PLN021-T0815365T4R-562</t>
    <phoneticPr fontId="12" type="noConversion"/>
  </si>
  <si>
    <t>PLN021-T0925430N2C-562</t>
    <phoneticPr fontId="12" type="noConversion"/>
  </si>
  <si>
    <t>PLN021-T0925440N2C-562</t>
    <phoneticPr fontId="12" type="noConversion"/>
  </si>
  <si>
    <t>PLN021-T0925450N2C-562</t>
    <phoneticPr fontId="12" type="noConversion"/>
  </si>
  <si>
    <t>PLN021-T0917330N2R-562</t>
    <phoneticPr fontId="12" type="noConversion"/>
  </si>
  <si>
    <t>PLN021-T0917335N2R-562</t>
    <phoneticPr fontId="12" type="noConversion"/>
  </si>
  <si>
    <t>PLN021-T0917340N2R-562</t>
    <phoneticPr fontId="12" type="noConversion"/>
  </si>
  <si>
    <t>PLN021-T0908140N2R-562</t>
    <phoneticPr fontId="12" type="noConversion"/>
  </si>
  <si>
    <t>PLN021-T0908150N2R-562</t>
    <phoneticPr fontId="12" type="noConversion"/>
  </si>
  <si>
    <t>PLN021-T0907150N2R-563</t>
    <phoneticPr fontId="12" type="noConversion"/>
  </si>
  <si>
    <t>PLN021-T0907550N2R-563</t>
    <phoneticPr fontId="12" type="noConversion"/>
  </si>
  <si>
    <t>PLN021-T0911330N2R-563</t>
    <phoneticPr fontId="12" type="noConversion"/>
  </si>
  <si>
    <t>PLN021-T0916330N2R-563</t>
    <phoneticPr fontId="12" type="noConversion"/>
  </si>
  <si>
    <t>PLN021-T0912335N2R-562</t>
    <phoneticPr fontId="12" type="noConversion"/>
  </si>
  <si>
    <t>PLN021-T0916330N2R-562</t>
    <phoneticPr fontId="12" type="noConversion"/>
  </si>
  <si>
    <t>PLN021-T0916335N2R-563</t>
    <phoneticPr fontId="12" type="noConversion"/>
  </si>
  <si>
    <t>PLN044-HB08150T412-563</t>
    <phoneticPr fontId="12" type="noConversion"/>
  </si>
  <si>
    <t>PLN044-HB12150T412-563</t>
    <phoneticPr fontId="12" type="noConversion"/>
  </si>
  <si>
    <t>SDH-SDPW2(SDH-SDPW1)</t>
    <phoneticPr fontId="12" type="noConversion"/>
  </si>
  <si>
    <t>신재생에너지</t>
    <phoneticPr fontId="12" type="noConversion"/>
  </si>
  <si>
    <t>태양광</t>
    <phoneticPr fontId="12" type="noConversion"/>
  </si>
  <si>
    <t>300W</t>
  </si>
  <si>
    <t>3KW</t>
  </si>
  <si>
    <t>PIP101-3K</t>
  </si>
  <si>
    <t>10KW</t>
  </si>
  <si>
    <t>PIP301-10K</t>
  </si>
  <si>
    <t>PN006SHA(D)</t>
    <phoneticPr fontId="12" type="noConversion"/>
  </si>
  <si>
    <t>4432D</t>
    <phoneticPr fontId="12" type="noConversion"/>
  </si>
  <si>
    <t>4735A</t>
    <phoneticPr fontId="12" type="noConversion"/>
  </si>
  <si>
    <t>PN008SHA(A)</t>
    <phoneticPr fontId="12" type="noConversion"/>
  </si>
  <si>
    <t>KINGBIRD-V1 N</t>
  </si>
  <si>
    <t>207D</t>
  </si>
  <si>
    <t>KINGBIRD-V2 N</t>
  </si>
  <si>
    <t>206D</t>
  </si>
  <si>
    <t>1200mm, 3K</t>
    <phoneticPr fontId="12" type="noConversion"/>
  </si>
  <si>
    <t>PLN021-T0813365T4R-563</t>
    <phoneticPr fontId="12" type="noConversion"/>
  </si>
  <si>
    <t>1200mm, 6.5K</t>
    <phoneticPr fontId="12" type="noConversion"/>
  </si>
  <si>
    <t>PLN021-T0907540N2R-563</t>
    <phoneticPr fontId="12" type="noConversion"/>
  </si>
  <si>
    <t>588mm, 4K</t>
    <phoneticPr fontId="12" type="noConversion"/>
  </si>
  <si>
    <t>2400mm, 6.5K</t>
    <phoneticPr fontId="12" type="noConversion"/>
  </si>
  <si>
    <t>PN054ACW-HMAIN(TW)</t>
    <phoneticPr fontId="12" type="noConversion"/>
  </si>
  <si>
    <t>PN054ACW-JAGUAR(A)</t>
    <phoneticPr fontId="12" type="noConversion"/>
  </si>
  <si>
    <t>HKC</t>
    <phoneticPr fontId="12" type="noConversion"/>
  </si>
  <si>
    <t>A3514_FPN(VE)</t>
  </si>
  <si>
    <t>800C</t>
  </si>
  <si>
    <t>동아</t>
    <phoneticPr fontId="12" type="noConversion"/>
  </si>
  <si>
    <t>SMPS</t>
    <phoneticPr fontId="12" type="noConversion"/>
  </si>
  <si>
    <t>AV</t>
    <phoneticPr fontId="12" type="noConversion"/>
  </si>
  <si>
    <t>V200SR_EPN V</t>
  </si>
  <si>
    <t>323D</t>
  </si>
  <si>
    <t>V200SRN_EPN V</t>
  </si>
  <si>
    <t>323E</t>
  </si>
  <si>
    <t>799B</t>
  </si>
  <si>
    <t>범진</t>
    <phoneticPr fontId="12" type="noConversion"/>
  </si>
  <si>
    <t>323C</t>
    <phoneticPr fontId="12" type="noConversion"/>
  </si>
  <si>
    <t>323D</t>
    <phoneticPr fontId="12" type="noConversion"/>
  </si>
  <si>
    <t>323E</t>
    <phoneticPr fontId="12" type="noConversion"/>
  </si>
  <si>
    <t>P64QF_EPN</t>
  </si>
  <si>
    <t>690A</t>
  </si>
  <si>
    <t>L32S0Z_EPN</t>
  </si>
  <si>
    <t>786A</t>
  </si>
  <si>
    <t>A3514N_RPN</t>
    <phoneticPr fontId="12" type="noConversion"/>
  </si>
  <si>
    <t>990B</t>
    <phoneticPr fontId="12" type="noConversion"/>
  </si>
  <si>
    <t>X-MEN-V2I</t>
  </si>
  <si>
    <t>254B</t>
  </si>
  <si>
    <t>PN052MWJ-VF(D)</t>
    <phoneticPr fontId="12" type="noConversion"/>
  </si>
  <si>
    <t>PN054ACW-HMAIN(CEE)</t>
    <phoneticPr fontId="12" type="noConversion"/>
  </si>
  <si>
    <t>PN054ACW-LKEY(A)</t>
    <phoneticPr fontId="12" type="noConversion"/>
  </si>
  <si>
    <t>PN054ACW-LMAIN(B)</t>
    <phoneticPr fontId="12" type="noConversion"/>
  </si>
  <si>
    <t>PN054ACW-LMAIN(CEE)</t>
    <phoneticPr fontId="12" type="noConversion"/>
  </si>
  <si>
    <t>989A</t>
  </si>
  <si>
    <t>989B</t>
  </si>
  <si>
    <t>말타니</t>
    <phoneticPr fontId="12" type="noConversion"/>
  </si>
  <si>
    <t>에어컨</t>
  </si>
  <si>
    <t>A4012_FPNDA</t>
  </si>
  <si>
    <t>0009A</t>
  </si>
  <si>
    <t>A4012_MT</t>
    <phoneticPr fontId="12" type="noConversion"/>
  </si>
  <si>
    <t>400W</t>
  </si>
  <si>
    <t>3.6KW</t>
  </si>
  <si>
    <t>PIP104-3K6</t>
  </si>
  <si>
    <t>V100LN_DPN2</t>
    <phoneticPr fontId="12" type="noConversion"/>
  </si>
  <si>
    <t>L46SF_DPN</t>
  </si>
  <si>
    <t>610B</t>
  </si>
  <si>
    <t>PN011MWJ-VF</t>
    <phoneticPr fontId="12" type="noConversion"/>
  </si>
  <si>
    <t>PN011MWJ-VF(A)</t>
    <phoneticPr fontId="12" type="noConversion"/>
  </si>
  <si>
    <t>PN020ACW-V2</t>
    <phoneticPr fontId="12" type="noConversion"/>
  </si>
  <si>
    <t>PN036MWJ-VF(A)</t>
    <phoneticPr fontId="12" type="noConversion"/>
  </si>
  <si>
    <t>PN054ACW-HMAIN(HK)</t>
    <phoneticPr fontId="12" type="noConversion"/>
  </si>
  <si>
    <t>PN054ACW-LMAIN(DACH)</t>
    <phoneticPr fontId="12" type="noConversion"/>
  </si>
  <si>
    <t>PN1702CWM-500WIFI</t>
    <phoneticPr fontId="12" type="noConversion"/>
  </si>
  <si>
    <t>990A</t>
    <phoneticPr fontId="12" type="noConversion"/>
  </si>
  <si>
    <t>990B</t>
    <phoneticPr fontId="12" type="noConversion"/>
  </si>
  <si>
    <t>1200mm, 5K</t>
    <phoneticPr fontId="12" type="noConversion"/>
  </si>
  <si>
    <t>PN045WCW-FILTER(A)</t>
    <phoneticPr fontId="12" type="noConversion"/>
  </si>
  <si>
    <t>V70D_DPN(E)</t>
    <phoneticPr fontId="12" type="noConversion"/>
  </si>
  <si>
    <t>297C</t>
    <phoneticPr fontId="12" type="noConversion"/>
  </si>
  <si>
    <t>V170LN_FPN</t>
  </si>
  <si>
    <t>325B</t>
    <phoneticPr fontId="12" type="noConversion"/>
  </si>
  <si>
    <t>101B</t>
    <phoneticPr fontId="12" type="noConversion"/>
  </si>
  <si>
    <t>PN3012NL</t>
  </si>
  <si>
    <t>PLF027-D22</t>
    <phoneticPr fontId="12" type="noConversion"/>
  </si>
  <si>
    <t>PN021BWJ-VF(A)</t>
    <phoneticPr fontId="12" type="noConversion"/>
  </si>
  <si>
    <t>PN021BWJ-VF(B)</t>
    <phoneticPr fontId="12" type="noConversion"/>
  </si>
  <si>
    <t>A2514N_RPN</t>
    <phoneticPr fontId="12" type="noConversion"/>
  </si>
  <si>
    <t>989B</t>
    <phoneticPr fontId="12" type="noConversion"/>
  </si>
  <si>
    <t>PN045WCW-VDC(B)</t>
    <phoneticPr fontId="12" type="noConversion"/>
  </si>
  <si>
    <t>PN053WWJ-VF(D)</t>
    <phoneticPr fontId="12" type="noConversion"/>
  </si>
  <si>
    <t>1200mm, 3.5K</t>
    <phoneticPr fontId="12" type="noConversion"/>
  </si>
  <si>
    <t>PLN021-T0813335T4R-563</t>
    <phoneticPr fontId="12" type="noConversion"/>
  </si>
  <si>
    <t>1200mm, 3.5K</t>
    <phoneticPr fontId="12" type="noConversion"/>
  </si>
  <si>
    <t>PLN021-T0911335N2R-563</t>
    <phoneticPr fontId="12" type="noConversion"/>
  </si>
  <si>
    <t>PN020ACW-V2(A)</t>
    <phoneticPr fontId="12" type="noConversion"/>
  </si>
  <si>
    <t>A1514_EPN2</t>
    <phoneticPr fontId="12" type="noConversion"/>
  </si>
  <si>
    <t>590D</t>
    <phoneticPr fontId="12" type="noConversion"/>
  </si>
  <si>
    <t>PN002SHA(B)</t>
    <phoneticPr fontId="12" type="noConversion"/>
  </si>
  <si>
    <t>1375B</t>
    <phoneticPr fontId="12" type="noConversion"/>
  </si>
  <si>
    <t>PN3012NL-KT</t>
    <phoneticPr fontId="12" type="noConversion"/>
  </si>
  <si>
    <t>101J</t>
    <phoneticPr fontId="12" type="noConversion"/>
  </si>
  <si>
    <t>PN24E-12J10L</t>
    <phoneticPr fontId="12" type="noConversion"/>
  </si>
  <si>
    <t>110A</t>
    <phoneticPr fontId="12" type="noConversion"/>
  </si>
  <si>
    <t>SMPS</t>
    <phoneticPr fontId="3" type="noConversion"/>
  </si>
  <si>
    <t>Adapt</t>
    <phoneticPr fontId="3" type="noConversion"/>
  </si>
  <si>
    <t>거래선계</t>
    <phoneticPr fontId="3" type="noConversion"/>
  </si>
  <si>
    <t>SEC 가전</t>
    <phoneticPr fontId="3" type="noConversion"/>
  </si>
  <si>
    <t>에어컨외</t>
    <phoneticPr fontId="3" type="noConversion"/>
  </si>
  <si>
    <t>HVPS</t>
    <phoneticPr fontId="3" type="noConversion"/>
  </si>
  <si>
    <t>냉장고</t>
    <phoneticPr fontId="3" type="noConversion"/>
  </si>
  <si>
    <t>HP</t>
    <phoneticPr fontId="3" type="noConversion"/>
  </si>
  <si>
    <t>Laser-Print</t>
    <phoneticPr fontId="3" type="noConversion"/>
  </si>
  <si>
    <t>LVPS</t>
    <phoneticPr fontId="3" type="noConversion"/>
  </si>
  <si>
    <t>일체형</t>
    <phoneticPr fontId="3" type="noConversion"/>
  </si>
  <si>
    <t>코웨이</t>
    <phoneticPr fontId="3" type="noConversion"/>
  </si>
  <si>
    <t>청정기</t>
  </si>
  <si>
    <t>대덕-C</t>
    <phoneticPr fontId="3" type="noConversion"/>
  </si>
  <si>
    <t>LED 조명</t>
    <phoneticPr fontId="3" type="noConversion"/>
  </si>
  <si>
    <t>SET</t>
    <phoneticPr fontId="3" type="noConversion"/>
  </si>
  <si>
    <t>한화테크윈</t>
    <phoneticPr fontId="3" type="noConversion"/>
  </si>
  <si>
    <t>CCD</t>
    <phoneticPr fontId="3" type="noConversion"/>
  </si>
  <si>
    <t>SMPS외</t>
    <phoneticPr fontId="3" type="noConversion"/>
  </si>
  <si>
    <t>신사업</t>
    <phoneticPr fontId="3" type="noConversion"/>
  </si>
  <si>
    <t>태양광</t>
    <phoneticPr fontId="3" type="noConversion"/>
  </si>
  <si>
    <t>인버터외</t>
    <phoneticPr fontId="3" type="noConversion"/>
  </si>
  <si>
    <t>기타(신도,OKI, 말타니, 위니아)</t>
    <phoneticPr fontId="3" type="noConversion"/>
  </si>
  <si>
    <t>SEC VD</t>
    <phoneticPr fontId="3" type="noConversion"/>
  </si>
  <si>
    <t>TV</t>
    <phoneticPr fontId="3" type="noConversion"/>
  </si>
  <si>
    <t>PD-B'D</t>
    <phoneticPr fontId="3" type="noConversion"/>
  </si>
  <si>
    <t>SMPS</t>
    <phoneticPr fontId="3" type="noConversion"/>
  </si>
  <si>
    <t>계</t>
    <phoneticPr fontId="3" type="noConversion"/>
  </si>
  <si>
    <t>MNT</t>
    <phoneticPr fontId="3" type="noConversion"/>
  </si>
  <si>
    <t>Adapt</t>
    <phoneticPr fontId="3" type="noConversion"/>
  </si>
  <si>
    <t>계</t>
    <phoneticPr fontId="3" type="noConversion"/>
  </si>
  <si>
    <t>AV</t>
    <phoneticPr fontId="3" type="noConversion"/>
  </si>
  <si>
    <t>STB</t>
    <phoneticPr fontId="3" type="noConversion"/>
  </si>
  <si>
    <t>거래선계</t>
    <phoneticPr fontId="3" type="noConversion"/>
  </si>
  <si>
    <t>청정기외</t>
    <phoneticPr fontId="3" type="noConversion"/>
  </si>
  <si>
    <t>합 계</t>
    <phoneticPr fontId="12" type="noConversion"/>
  </si>
  <si>
    <t>구분</t>
    <phoneticPr fontId="3" type="noConversion"/>
  </si>
  <si>
    <t>212D</t>
    <phoneticPr fontId="12" type="noConversion"/>
  </si>
  <si>
    <t>PNX4300-CITRINE</t>
    <phoneticPr fontId="12" type="noConversion"/>
  </si>
  <si>
    <t>237D</t>
    <phoneticPr fontId="12" type="noConversion"/>
  </si>
  <si>
    <t>PNK4350-PEARL</t>
    <phoneticPr fontId="12" type="noConversion"/>
  </si>
  <si>
    <t>PN039BCW-V1</t>
    <phoneticPr fontId="12" type="noConversion"/>
  </si>
  <si>
    <t>L32E1P_KPN V</t>
    <phoneticPr fontId="12" type="noConversion"/>
  </si>
  <si>
    <t>V70DN_DPN(E)</t>
    <phoneticPr fontId="12" type="noConversion"/>
  </si>
  <si>
    <t>746G</t>
    <phoneticPr fontId="12" type="noConversion"/>
  </si>
  <si>
    <t>843C</t>
    <phoneticPr fontId="12" type="noConversion"/>
  </si>
  <si>
    <t>P3514ZN_FPN</t>
    <phoneticPr fontId="12" type="noConversion"/>
  </si>
  <si>
    <t>A6524_NPNL_TH</t>
    <phoneticPr fontId="12" type="noConversion"/>
  </si>
  <si>
    <t>A6524_NPNL_POL</t>
    <phoneticPr fontId="12" type="noConversion"/>
  </si>
  <si>
    <t>7772B</t>
    <phoneticPr fontId="12" type="noConversion"/>
  </si>
  <si>
    <t>7772C</t>
    <phoneticPr fontId="12" type="noConversion"/>
  </si>
  <si>
    <t>2400mm, 3.5K</t>
    <phoneticPr fontId="12" type="noConversion"/>
  </si>
  <si>
    <t>PLN021-T1019365T4S-562</t>
    <phoneticPr fontId="12" type="noConversion"/>
  </si>
  <si>
    <t>1200mm, 6.5K</t>
    <phoneticPr fontId="12" type="noConversion"/>
  </si>
  <si>
    <t>L23S0DSR_RPN</t>
    <phoneticPr fontId="12" type="noConversion"/>
  </si>
  <si>
    <t>A2514N_RPN(BOE)</t>
    <phoneticPr fontId="12" type="noConversion"/>
  </si>
  <si>
    <t>A6524_RPN</t>
    <phoneticPr fontId="12" type="noConversion"/>
  </si>
  <si>
    <t>7772D</t>
    <phoneticPr fontId="12" type="noConversion"/>
  </si>
  <si>
    <t>PN020BWJ-VDC</t>
    <phoneticPr fontId="12" type="noConversion"/>
  </si>
  <si>
    <t>PN026BWJ-VF(E)</t>
    <phoneticPr fontId="12" type="noConversion"/>
  </si>
  <si>
    <t>PLL029-D09-24M</t>
    <phoneticPr fontId="12" type="noConversion"/>
  </si>
  <si>
    <t>PLL024-P08</t>
    <phoneticPr fontId="12" type="noConversion"/>
  </si>
  <si>
    <t>PLL048-P08</t>
    <phoneticPr fontId="12" type="noConversion"/>
  </si>
  <si>
    <t>PLL048-P12</t>
    <phoneticPr fontId="12" type="noConversion"/>
  </si>
  <si>
    <t>PLL048-P17</t>
    <phoneticPr fontId="12" type="noConversion"/>
  </si>
  <si>
    <t>PN002ACW-CHARGER(A)</t>
    <phoneticPr fontId="12" type="noConversion"/>
  </si>
  <si>
    <t>PN002ACW-KEY</t>
    <phoneticPr fontId="12" type="noConversion"/>
  </si>
  <si>
    <t>PIP102-300</t>
    <phoneticPr fontId="12" type="noConversion"/>
  </si>
  <si>
    <t>PLL048-P18</t>
    <phoneticPr fontId="12" type="noConversion"/>
  </si>
  <si>
    <t>580mm, 5K</t>
  </si>
  <si>
    <t>PLN021-T0907150N2R-563B</t>
    <phoneticPr fontId="12" type="noConversion"/>
  </si>
  <si>
    <t>1200mm, 5K</t>
  </si>
  <si>
    <t>PLN021-T0920350N2R-564</t>
    <phoneticPr fontId="12" type="noConversion"/>
  </si>
  <si>
    <t>PN105WCW-VF(C)</t>
    <phoneticPr fontId="12" type="noConversion"/>
  </si>
  <si>
    <t>PN105WCW-VF(D)</t>
    <phoneticPr fontId="12" type="noConversion"/>
  </si>
  <si>
    <t>882B</t>
    <phoneticPr fontId="12" type="noConversion"/>
  </si>
  <si>
    <t>F32E1P_RPN</t>
    <phoneticPr fontId="12" type="noConversion"/>
  </si>
  <si>
    <t>P230NQ_TPN</t>
    <phoneticPr fontId="12" type="noConversion"/>
  </si>
  <si>
    <t>1066B</t>
    <phoneticPr fontId="12" type="noConversion"/>
  </si>
  <si>
    <t>P270NQ_TPN</t>
    <phoneticPr fontId="12" type="noConversion"/>
  </si>
  <si>
    <t>1066A</t>
    <phoneticPr fontId="12" type="noConversion"/>
  </si>
  <si>
    <t>A14024_TPN</t>
    <phoneticPr fontId="12" type="noConversion"/>
  </si>
  <si>
    <t>1024A</t>
    <phoneticPr fontId="12" type="noConversion"/>
  </si>
  <si>
    <t>PN009SHA(B)</t>
    <phoneticPr fontId="12" type="noConversion"/>
  </si>
  <si>
    <t>4704C</t>
    <phoneticPr fontId="12" type="noConversion"/>
  </si>
  <si>
    <t>PLL048-P11</t>
    <phoneticPr fontId="12" type="noConversion"/>
  </si>
  <si>
    <t>PLL048-P14</t>
    <phoneticPr fontId="12" type="noConversion"/>
  </si>
  <si>
    <t>PLN021-T0907150N2R-564B</t>
    <phoneticPr fontId="12" type="noConversion"/>
  </si>
  <si>
    <t>PN054ACW-JAGUAR(B)</t>
    <phoneticPr fontId="12" type="noConversion"/>
  </si>
  <si>
    <t>0007C</t>
  </si>
  <si>
    <t>3446B</t>
    <phoneticPr fontId="12" type="noConversion"/>
  </si>
  <si>
    <t>PN012DWJ-V2</t>
    <phoneticPr fontId="12" type="noConversion"/>
  </si>
  <si>
    <t>PN120MWJ-VF</t>
    <phoneticPr fontId="12" type="noConversion"/>
  </si>
  <si>
    <t>PN052MWJ-VF</t>
    <phoneticPr fontId="12" type="noConversion"/>
  </si>
  <si>
    <t>PN001ACW-MAIN</t>
  </si>
  <si>
    <t>PN001ACW-KEY</t>
  </si>
  <si>
    <t>PN001ACW-FND</t>
  </si>
  <si>
    <t>PN008SHA(B)</t>
    <phoneticPr fontId="12" type="noConversion"/>
  </si>
  <si>
    <t>4735B</t>
    <phoneticPr fontId="12" type="noConversion"/>
  </si>
  <si>
    <t>0007A</t>
    <phoneticPr fontId="12" type="noConversion"/>
  </si>
  <si>
    <t>0007B</t>
    <phoneticPr fontId="12" type="noConversion"/>
  </si>
  <si>
    <t>0007D</t>
    <phoneticPr fontId="12" type="noConversion"/>
  </si>
  <si>
    <t>0008A</t>
    <phoneticPr fontId="12" type="noConversion"/>
  </si>
  <si>
    <t>0009A</t>
    <phoneticPr fontId="12" type="noConversion"/>
  </si>
  <si>
    <t>A3026U_RPN</t>
    <phoneticPr fontId="12" type="noConversion"/>
  </si>
  <si>
    <t>A3026H_RPN</t>
    <phoneticPr fontId="12" type="noConversion"/>
  </si>
  <si>
    <t>A3026T_RPN</t>
    <phoneticPr fontId="12" type="noConversion"/>
  </si>
  <si>
    <t>A2525_RPN</t>
    <phoneticPr fontId="12" type="noConversion"/>
  </si>
  <si>
    <t>A6325_RPN</t>
    <phoneticPr fontId="12" type="noConversion"/>
  </si>
  <si>
    <t>PLN021-T0907130N2R-564B</t>
    <phoneticPr fontId="12" type="noConversion"/>
  </si>
  <si>
    <t>580mm, 3K</t>
    <phoneticPr fontId="12" type="noConversion"/>
  </si>
  <si>
    <t>580mm, 4K</t>
    <phoneticPr fontId="12" type="noConversion"/>
  </si>
  <si>
    <t>580mm, 6.5K</t>
    <phoneticPr fontId="12" type="noConversion"/>
  </si>
  <si>
    <t>PLN021-T0911330N2R-564</t>
    <phoneticPr fontId="12" type="noConversion"/>
  </si>
  <si>
    <t>PN130ACW-VF(A)</t>
    <phoneticPr fontId="12" type="noConversion"/>
  </si>
  <si>
    <t>A14024N_TPN</t>
  </si>
  <si>
    <t>1024B</t>
    <phoneticPr fontId="12" type="noConversion"/>
  </si>
  <si>
    <t>X4300-GEM-HVPS</t>
  </si>
  <si>
    <t>8GR98-60001</t>
  </si>
  <si>
    <t>삼성 IM</t>
    <phoneticPr fontId="12" type="noConversion"/>
  </si>
  <si>
    <t>N/PC</t>
  </si>
  <si>
    <t>A65PD_TPN</t>
  </si>
  <si>
    <t>361A</t>
    <phoneticPr fontId="12" type="noConversion"/>
  </si>
  <si>
    <t>A3026A_RPN</t>
    <phoneticPr fontId="12" type="noConversion"/>
  </si>
  <si>
    <t>0007E</t>
    <phoneticPr fontId="12" type="noConversion"/>
  </si>
  <si>
    <t>PLN021-T0916340N2R-564</t>
    <phoneticPr fontId="12" type="noConversion"/>
  </si>
  <si>
    <t>PN054ACW-JAGUAR(TW)</t>
    <phoneticPr fontId="12" type="noConversion"/>
  </si>
  <si>
    <t>PN120MWJ-VF(D)</t>
    <phoneticPr fontId="12" type="noConversion"/>
  </si>
  <si>
    <t>P2514Z_TPN</t>
    <phoneticPr fontId="12" type="noConversion"/>
  </si>
  <si>
    <t>842E</t>
    <phoneticPr fontId="12" type="noConversion"/>
  </si>
  <si>
    <t>749D</t>
    <phoneticPr fontId="12" type="noConversion"/>
  </si>
  <si>
    <t>A10024_NPNTA</t>
    <phoneticPr fontId="12" type="noConversion"/>
  </si>
  <si>
    <t>PESI</t>
    <phoneticPr fontId="12" type="noConversion"/>
  </si>
  <si>
    <t>A3514_FPN(PS)</t>
  </si>
  <si>
    <t>PN037WCW-VF(M)</t>
    <phoneticPr fontId="12" type="noConversion"/>
  </si>
  <si>
    <t>PN048WWJ-VF(A)R</t>
    <phoneticPr fontId="12" type="noConversion"/>
  </si>
  <si>
    <t>PN270WCW-VF</t>
    <phoneticPr fontId="12" type="noConversion"/>
  </si>
  <si>
    <t>PN054ACW-JAGUAR(IN)</t>
    <phoneticPr fontId="12" type="noConversion"/>
  </si>
  <si>
    <t>PN001ACW-MAIN(EU)</t>
    <phoneticPr fontId="12" type="noConversion"/>
  </si>
  <si>
    <t>머큐리</t>
    <phoneticPr fontId="12" type="noConversion"/>
  </si>
  <si>
    <t>AP공유기</t>
    <phoneticPr fontId="12" type="noConversion"/>
  </si>
  <si>
    <t>STB</t>
    <phoneticPr fontId="12" type="noConversion"/>
  </si>
  <si>
    <t>QD</t>
    <phoneticPr fontId="3" type="noConversion"/>
  </si>
  <si>
    <t>거래선 계</t>
    <phoneticPr fontId="12" type="noConversion"/>
  </si>
  <si>
    <t>1200mm, 5K</t>
    <phoneticPr fontId="12" type="noConversion"/>
  </si>
  <si>
    <t>A6524_RPN_TAI</t>
  </si>
  <si>
    <t>7772E</t>
  </si>
  <si>
    <t>A6524_RPN_AUS</t>
  </si>
  <si>
    <t>7772F</t>
  </si>
  <si>
    <t>A9024_TPN</t>
  </si>
  <si>
    <t>A65PD_TPN EU</t>
  </si>
  <si>
    <t>361B</t>
    <phoneticPr fontId="12" type="noConversion"/>
  </si>
  <si>
    <t>P2514_TPN</t>
    <phoneticPr fontId="12" type="noConversion"/>
  </si>
  <si>
    <t>PN031BCW-KEY</t>
  </si>
  <si>
    <t>PN031BCW-VF</t>
  </si>
  <si>
    <t>A2626_TPN</t>
  </si>
  <si>
    <t>A6526_TPN_W</t>
  </si>
  <si>
    <t>323B</t>
    <phoneticPr fontId="12" type="noConversion"/>
  </si>
  <si>
    <t>V200SN_EPN</t>
    <phoneticPr fontId="12" type="noConversion"/>
  </si>
  <si>
    <t>794B</t>
    <phoneticPr fontId="12" type="noConversion"/>
  </si>
  <si>
    <t>A10024N_EPN</t>
  </si>
  <si>
    <t>0007F</t>
    <phoneticPr fontId="12" type="noConversion"/>
  </si>
  <si>
    <t>0007H</t>
    <phoneticPr fontId="12" type="noConversion"/>
  </si>
  <si>
    <t>A3026K_RPN</t>
    <phoneticPr fontId="12" type="noConversion"/>
  </si>
  <si>
    <t>A3026U_RPN_UAE</t>
    <phoneticPr fontId="12" type="noConversion"/>
  </si>
  <si>
    <t>A10024_NPNTE</t>
    <phoneticPr fontId="12" type="noConversion"/>
  </si>
  <si>
    <t>749F</t>
    <phoneticPr fontId="12" type="noConversion"/>
  </si>
  <si>
    <t>P2514_TPNC</t>
    <phoneticPr fontId="12" type="noConversion"/>
  </si>
  <si>
    <t>842F</t>
    <phoneticPr fontId="12" type="noConversion"/>
  </si>
  <si>
    <t>P2514Z_TPNC</t>
    <phoneticPr fontId="12" type="noConversion"/>
  </si>
  <si>
    <t>FPL</t>
    <phoneticPr fontId="12" type="noConversion"/>
  </si>
  <si>
    <t>PLN039-F3612250N2S-564</t>
    <phoneticPr fontId="12" type="noConversion"/>
  </si>
  <si>
    <t>PLN039-F2707150N2S-564</t>
    <phoneticPr fontId="12" type="noConversion"/>
  </si>
  <si>
    <t>27形</t>
    <phoneticPr fontId="12" type="noConversion"/>
  </si>
  <si>
    <t>V200SR_EPN V (CKD)</t>
    <phoneticPr fontId="12" type="noConversion"/>
  </si>
  <si>
    <t>323D</t>
    <phoneticPr fontId="12" type="noConversion"/>
  </si>
  <si>
    <t>PN120MWJ-VF(E)</t>
    <phoneticPr fontId="12" type="noConversion"/>
  </si>
  <si>
    <t>PN037WCW-RY</t>
    <phoneticPr fontId="12" type="noConversion"/>
  </si>
  <si>
    <t>PN052MWJ-VF(E)</t>
    <phoneticPr fontId="12" type="noConversion"/>
  </si>
  <si>
    <t>PNC4010-HV</t>
    <phoneticPr fontId="12" type="noConversion"/>
  </si>
  <si>
    <t>7YT44-60015</t>
    <phoneticPr fontId="12" type="noConversion"/>
  </si>
  <si>
    <t>FDB</t>
    <phoneticPr fontId="12" type="noConversion"/>
  </si>
  <si>
    <t>JADE-FDB-V1</t>
    <phoneticPr fontId="12" type="noConversion"/>
  </si>
  <si>
    <t>JADE-FDB-V2</t>
    <phoneticPr fontId="12" type="noConversion"/>
  </si>
  <si>
    <t>8GR94-60001</t>
  </si>
  <si>
    <t>8GR94-60002</t>
  </si>
  <si>
    <t>749E</t>
    <phoneticPr fontId="12" type="noConversion"/>
  </si>
  <si>
    <t>P2514N_TPN</t>
    <phoneticPr fontId="12" type="noConversion"/>
  </si>
  <si>
    <t>0007G</t>
    <phoneticPr fontId="12" type="noConversion"/>
  </si>
  <si>
    <t>A3026D_RPN</t>
    <phoneticPr fontId="12" type="noConversion"/>
  </si>
  <si>
    <t>PN053HTCA-9300RW</t>
    <phoneticPr fontId="12" type="noConversion"/>
  </si>
  <si>
    <t>PLN021-T0907165N2R-564</t>
    <phoneticPr fontId="12" type="noConversion"/>
  </si>
  <si>
    <t>PLN021-T0911365N2R-564</t>
    <phoneticPr fontId="12" type="noConversion"/>
  </si>
  <si>
    <t>PLN021-T0916330N2R-564</t>
    <phoneticPr fontId="12" type="noConversion"/>
  </si>
  <si>
    <t>PLN021-T0916335N2R-564B</t>
    <phoneticPr fontId="12" type="noConversion"/>
  </si>
  <si>
    <t>PLN021-T0916365N2R-564</t>
    <phoneticPr fontId="12" type="noConversion"/>
  </si>
  <si>
    <t>A2514_RPN(BOE)</t>
    <phoneticPr fontId="12" type="noConversion"/>
  </si>
  <si>
    <t>PLN021-T0907530N2R-564</t>
    <phoneticPr fontId="12" type="noConversion"/>
  </si>
  <si>
    <t>PLN021-T0907540N2R-564</t>
    <phoneticPr fontId="12" type="noConversion"/>
  </si>
  <si>
    <t>PLN021-T0907565N2R-564</t>
    <phoneticPr fontId="12" type="noConversion"/>
  </si>
  <si>
    <t>PLN021-T0911335N2R-564B</t>
    <phoneticPr fontId="12" type="noConversion"/>
  </si>
  <si>
    <t>PLN039-F5515335N2S-564</t>
    <phoneticPr fontId="12" type="noConversion"/>
  </si>
  <si>
    <t>A10024_APN</t>
    <phoneticPr fontId="12" type="noConversion"/>
  </si>
  <si>
    <t>A11024_TPN</t>
    <phoneticPr fontId="12" type="noConversion"/>
  </si>
  <si>
    <t>A10024_NPNTH</t>
    <phoneticPr fontId="12" type="noConversion"/>
  </si>
  <si>
    <t>A10024_NPNTE(UK)</t>
    <phoneticPr fontId="12" type="noConversion"/>
  </si>
  <si>
    <t>1098A</t>
    <phoneticPr fontId="12" type="noConversion"/>
  </si>
  <si>
    <t>P4519_APN</t>
    <phoneticPr fontId="12" type="noConversion"/>
  </si>
  <si>
    <t>1122A</t>
    <phoneticPr fontId="12" type="noConversion"/>
  </si>
  <si>
    <t>F24SFD_APN</t>
    <phoneticPr fontId="12" type="noConversion"/>
  </si>
  <si>
    <t>240C</t>
    <phoneticPr fontId="12" type="noConversion"/>
  </si>
  <si>
    <t>L55SA8NA_APN</t>
  </si>
  <si>
    <t>L55SA9NA_APN</t>
  </si>
  <si>
    <t>다운라이트</t>
    <phoneticPr fontId="12" type="noConversion"/>
  </si>
  <si>
    <t>PLD052-D05</t>
  </si>
  <si>
    <t>PLD052-D08</t>
  </si>
  <si>
    <t>PLD052-D11</t>
  </si>
  <si>
    <t>PLD052-D15</t>
  </si>
  <si>
    <t>PLN065-D750550-565</t>
  </si>
  <si>
    <t>PLN065-D750850-565</t>
  </si>
  <si>
    <t>PLN065-D751150-565</t>
  </si>
  <si>
    <t>PLN065-D751550-565</t>
  </si>
  <si>
    <t>7.5W</t>
  </si>
  <si>
    <t>12.7W</t>
  </si>
  <si>
    <t>15.8W</t>
  </si>
  <si>
    <t>19.8W</t>
  </si>
  <si>
    <t>25.2W</t>
  </si>
  <si>
    <t>31.8W</t>
  </si>
  <si>
    <t>39.8W</t>
  </si>
  <si>
    <t>20形</t>
  </si>
  <si>
    <t>400形</t>
  </si>
  <si>
    <t>베이스라이트</t>
    <phoneticPr fontId="12" type="noConversion"/>
  </si>
  <si>
    <t>5.5W</t>
    <phoneticPr fontId="12" type="noConversion"/>
  </si>
  <si>
    <t>8.4W</t>
    <phoneticPr fontId="12" type="noConversion"/>
  </si>
  <si>
    <t>11.7W</t>
    <phoneticPr fontId="12" type="noConversion"/>
  </si>
  <si>
    <t>15.2W</t>
    <phoneticPr fontId="12" type="noConversion"/>
  </si>
  <si>
    <t>1114A</t>
    <phoneticPr fontId="12" type="noConversion"/>
  </si>
  <si>
    <t>1114B</t>
    <phoneticPr fontId="12" type="noConversion"/>
  </si>
  <si>
    <t>P55SA9N_APN</t>
  </si>
  <si>
    <t>1123A</t>
  </si>
  <si>
    <t>P4519S_APN</t>
  </si>
  <si>
    <t>1139A</t>
  </si>
  <si>
    <t>P6519_APN</t>
  </si>
  <si>
    <t>1132A</t>
  </si>
  <si>
    <t>P10020_APN</t>
  </si>
  <si>
    <t>1138A</t>
  </si>
  <si>
    <t>1137A</t>
    <phoneticPr fontId="12" type="noConversion"/>
  </si>
  <si>
    <t>V250S_APND</t>
  </si>
  <si>
    <t>-</t>
    <phoneticPr fontId="12" type="noConversion"/>
  </si>
  <si>
    <t>PN120MWJ-VF(F)</t>
    <phoneticPr fontId="12" type="noConversion"/>
  </si>
  <si>
    <t>P4519N_APN</t>
    <phoneticPr fontId="12" type="noConversion"/>
  </si>
  <si>
    <t>1098B</t>
    <phoneticPr fontId="12" type="noConversion"/>
  </si>
  <si>
    <t>PN052MWJ-VF(G)</t>
    <phoneticPr fontId="12" type="noConversion"/>
  </si>
  <si>
    <t>7432A</t>
    <phoneticPr fontId="12" type="noConversion"/>
  </si>
  <si>
    <t>PLD052-D04</t>
    <phoneticPr fontId="12" type="noConversion"/>
  </si>
  <si>
    <t>PLD052-D07</t>
    <phoneticPr fontId="12" type="noConversion"/>
  </si>
  <si>
    <t>V100S_APN</t>
  </si>
  <si>
    <t>V125S_APN</t>
  </si>
  <si>
    <t>3870A</t>
    <phoneticPr fontId="12" type="noConversion"/>
  </si>
  <si>
    <t>3871A</t>
    <phoneticPr fontId="12" type="noConversion"/>
  </si>
  <si>
    <t>862A</t>
    <phoneticPr fontId="12" type="noConversion"/>
  </si>
  <si>
    <t>A6524_NPNL_BESPOKE</t>
    <phoneticPr fontId="12" type="noConversion"/>
  </si>
  <si>
    <t>PN009SHA(D)</t>
    <phoneticPr fontId="12" type="noConversion"/>
  </si>
  <si>
    <t>4704D</t>
    <phoneticPr fontId="12" type="noConversion"/>
  </si>
  <si>
    <t>PN011SHA(A)</t>
  </si>
  <si>
    <t>5049A</t>
  </si>
  <si>
    <t>PN011SHA(B)</t>
  </si>
  <si>
    <t>5049B</t>
  </si>
  <si>
    <t>39211A</t>
    <phoneticPr fontId="12" type="noConversion"/>
  </si>
  <si>
    <t>PJB01-22</t>
    <phoneticPr fontId="12" type="noConversion"/>
  </si>
  <si>
    <t>PLN065-D750540-565</t>
    <phoneticPr fontId="12" type="noConversion"/>
  </si>
  <si>
    <t>PLN065-D750830-565</t>
    <phoneticPr fontId="12" type="noConversion"/>
  </si>
  <si>
    <t>PLN065-D750840-565</t>
    <phoneticPr fontId="12" type="noConversion"/>
  </si>
  <si>
    <t>PLN065-D751130-565</t>
    <phoneticPr fontId="12" type="noConversion"/>
  </si>
  <si>
    <t>PLN065-D751140-565</t>
    <phoneticPr fontId="12" type="noConversion"/>
  </si>
  <si>
    <t>PLN065-D751530-565</t>
    <phoneticPr fontId="12" type="noConversion"/>
  </si>
  <si>
    <t>F24SFDN_APN</t>
  </si>
  <si>
    <t>1122B</t>
  </si>
  <si>
    <t>P4519SN_APN</t>
  </si>
  <si>
    <t>1139B</t>
  </si>
  <si>
    <t>P6519N_APN</t>
  </si>
  <si>
    <t>1132B</t>
  </si>
  <si>
    <t>P10020N_APN</t>
  </si>
  <si>
    <t>1138B</t>
  </si>
  <si>
    <t>832A</t>
    <phoneticPr fontId="12" type="noConversion"/>
  </si>
  <si>
    <t>V250SN_APND</t>
    <phoneticPr fontId="12" type="noConversion"/>
  </si>
  <si>
    <t>3870B</t>
    <phoneticPr fontId="12" type="noConversion"/>
  </si>
  <si>
    <t>V100SN_APN</t>
    <phoneticPr fontId="12" type="noConversion"/>
  </si>
  <si>
    <t>V125SN_APN</t>
  </si>
  <si>
    <t>3871B</t>
  </si>
  <si>
    <t>A2626A_APN</t>
  </si>
  <si>
    <t>0010A</t>
    <phoneticPr fontId="12" type="noConversion"/>
  </si>
  <si>
    <t>0011A</t>
    <phoneticPr fontId="12" type="noConversion"/>
  </si>
  <si>
    <t>0012A</t>
    <phoneticPr fontId="12" type="noConversion"/>
  </si>
  <si>
    <t>0014G</t>
    <phoneticPr fontId="12" type="noConversion"/>
  </si>
  <si>
    <t>A6524_RPN_CIS</t>
  </si>
  <si>
    <t>7772H</t>
  </si>
  <si>
    <t>CARLSEN-V1 Rebadge</t>
  </si>
  <si>
    <t>213C</t>
  </si>
  <si>
    <t>CARLSEN-V2 Rebadge</t>
  </si>
  <si>
    <t>214C</t>
  </si>
  <si>
    <t>253A</t>
  </si>
  <si>
    <t>X-MEN-V2</t>
  </si>
  <si>
    <t>254A</t>
  </si>
  <si>
    <t>A6019N_APN</t>
  </si>
  <si>
    <t>373A</t>
  </si>
  <si>
    <t>PN045WCW-VDC(C)</t>
    <phoneticPr fontId="12" type="noConversion"/>
  </si>
  <si>
    <t>PN016ACW-VF</t>
  </si>
  <si>
    <t>PN001ACW-MAIN(NCO)</t>
  </si>
  <si>
    <t>PN007MWJ-V1</t>
    <phoneticPr fontId="12" type="noConversion"/>
  </si>
  <si>
    <t>PN20K-24J11</t>
  </si>
  <si>
    <t>PN20K-24J22</t>
  </si>
  <si>
    <t>PN20E-24J11(A)</t>
  </si>
  <si>
    <t>PN20U-24J22</t>
  </si>
  <si>
    <t>PN20T-24J22</t>
  </si>
  <si>
    <t>PN20E-24J22</t>
  </si>
  <si>
    <t>PN20U-24J22(A)</t>
  </si>
  <si>
    <t>RUSH-329AC</t>
  </si>
  <si>
    <t>RUSH-329AC-A</t>
  </si>
  <si>
    <t>KM15-103H (GWH 11ax PI2.0)</t>
  </si>
  <si>
    <t>접속반</t>
  </si>
  <si>
    <t>39211B</t>
    <phoneticPr fontId="12" type="noConversion"/>
  </si>
  <si>
    <t>A2626U_APN</t>
  </si>
  <si>
    <t>A2626T_APN</t>
  </si>
  <si>
    <t>0014D</t>
    <phoneticPr fontId="12" type="noConversion"/>
  </si>
  <si>
    <t>0014E</t>
    <phoneticPr fontId="12" type="noConversion"/>
  </si>
  <si>
    <t>0014H</t>
    <phoneticPr fontId="12" type="noConversion"/>
  </si>
  <si>
    <t>A2626E_APN</t>
    <phoneticPr fontId="12" type="noConversion"/>
  </si>
  <si>
    <t>PN020STCA-NWF(B)</t>
    <phoneticPr fontId="12" type="noConversion"/>
  </si>
  <si>
    <t>4667A</t>
    <phoneticPr fontId="12" type="noConversion"/>
  </si>
  <si>
    <t>PN050ACW-VF</t>
  </si>
  <si>
    <t>PN050ACW-AMKEY</t>
  </si>
  <si>
    <t>0013A</t>
    <phoneticPr fontId="12" type="noConversion"/>
  </si>
  <si>
    <t>A3630K_TPN</t>
    <phoneticPr fontId="12" type="noConversion"/>
  </si>
  <si>
    <t>PN004WCW-MAIN</t>
  </si>
  <si>
    <t>PN005WCW-FRONT</t>
  </si>
  <si>
    <t>PN005WCW-MAIN</t>
  </si>
  <si>
    <t>PN037WCW-V1</t>
    <phoneticPr fontId="12" type="noConversion"/>
  </si>
  <si>
    <t>PN1703CWM-600TW</t>
    <phoneticPr fontId="12" type="noConversion"/>
  </si>
  <si>
    <t xml:space="preserve">P3514_APN </t>
  </si>
  <si>
    <t>1150A</t>
    <phoneticPr fontId="12" type="noConversion"/>
  </si>
  <si>
    <t>구분</t>
    <phoneticPr fontId="12" type="noConversion"/>
  </si>
  <si>
    <t>신</t>
  </si>
  <si>
    <t>신</t>
    <phoneticPr fontId="12" type="noConversion"/>
  </si>
  <si>
    <t>신</t>
    <phoneticPr fontId="12" type="noConversion"/>
  </si>
  <si>
    <t>신</t>
    <phoneticPr fontId="12" type="noConversion"/>
  </si>
  <si>
    <t>구</t>
  </si>
  <si>
    <t>구</t>
    <phoneticPr fontId="12" type="noConversion"/>
  </si>
  <si>
    <t>구</t>
    <phoneticPr fontId="12" type="noConversion"/>
  </si>
  <si>
    <t>신</t>
    <phoneticPr fontId="12" type="noConversion"/>
  </si>
  <si>
    <t>구</t>
    <phoneticPr fontId="12" type="noConversion"/>
  </si>
  <si>
    <t>구</t>
    <phoneticPr fontId="12" type="noConversion"/>
  </si>
  <si>
    <t>달</t>
    <phoneticPr fontId="12" type="noConversion"/>
  </si>
  <si>
    <t>원</t>
    <phoneticPr fontId="12" type="noConversion"/>
  </si>
  <si>
    <t>A2626K_APN</t>
  </si>
  <si>
    <t>0014A</t>
    <phoneticPr fontId="12" type="noConversion"/>
  </si>
  <si>
    <t>신</t>
    <phoneticPr fontId="12" type="noConversion"/>
  </si>
  <si>
    <t>PN1702CWM-600ID</t>
  </si>
  <si>
    <t>PN1702CWM-600US</t>
  </si>
  <si>
    <t>PN050ACW-VF(A)</t>
  </si>
  <si>
    <t>SY</t>
    <phoneticPr fontId="12" type="noConversion"/>
  </si>
  <si>
    <t>0014F</t>
    <phoneticPr fontId="12" type="noConversion"/>
  </si>
  <si>
    <t>A2626H_APN</t>
  </si>
  <si>
    <t>MCR-WMSBE-CWP(40)</t>
    <phoneticPr fontId="12" type="noConversion"/>
  </si>
  <si>
    <t>신</t>
    <phoneticPr fontId="12" type="noConversion"/>
  </si>
  <si>
    <t>QD</t>
    <phoneticPr fontId="12" type="noConversion"/>
  </si>
  <si>
    <t>PLN021-T0911350N2R-565</t>
  </si>
  <si>
    <t>SY</t>
    <phoneticPr fontId="12" type="noConversion"/>
  </si>
  <si>
    <t>PLN021-T0916350N2R-565</t>
  </si>
  <si>
    <t>580mm, 6.5K</t>
  </si>
  <si>
    <t>PLN021-T1010165T4S-562</t>
  </si>
  <si>
    <t>PLN051-B4039230N2S-564 (PLF045-D40W)</t>
  </si>
  <si>
    <t>PN003ACW-CLASSIC(TW)</t>
    <phoneticPr fontId="12" type="noConversion"/>
  </si>
  <si>
    <t>구</t>
    <phoneticPr fontId="12" type="noConversion"/>
  </si>
  <si>
    <t>PLN021-T0907150N2R-565</t>
    <phoneticPr fontId="12" type="noConversion"/>
  </si>
  <si>
    <t>PLN051-B4039250N2S-565 (PLF045-D40W)</t>
    <phoneticPr fontId="12" type="noConversion"/>
  </si>
  <si>
    <t>PN003ACW-CLASSIC</t>
    <phoneticPr fontId="12" type="noConversion"/>
  </si>
  <si>
    <t>PN003ACW-CLASSIC(EU)</t>
    <phoneticPr fontId="12" type="noConversion"/>
  </si>
  <si>
    <t>PN105WCW-VF(E)</t>
  </si>
  <si>
    <t>PN105WCW-VF(F)</t>
  </si>
  <si>
    <t>PN20K-24J33</t>
    <phoneticPr fontId="12" type="noConversion"/>
  </si>
  <si>
    <t>2828A</t>
    <phoneticPr fontId="12" type="noConversion"/>
  </si>
  <si>
    <t>2828C</t>
    <phoneticPr fontId="12" type="noConversion"/>
  </si>
  <si>
    <t>2828D</t>
    <phoneticPr fontId="12" type="noConversion"/>
  </si>
  <si>
    <t>2828E</t>
    <phoneticPr fontId="12" type="noConversion"/>
  </si>
  <si>
    <t>PN003ACW-CLASSIC(BO)</t>
    <phoneticPr fontId="12" type="noConversion"/>
  </si>
  <si>
    <t>PN018ACW-VF(A)</t>
    <phoneticPr fontId="12" type="noConversion"/>
  </si>
  <si>
    <t>PN018ACW-PLASMA</t>
    <phoneticPr fontId="12" type="noConversion"/>
  </si>
  <si>
    <t>V250S_APND (CKD)</t>
    <phoneticPr fontId="12" type="noConversion"/>
  </si>
  <si>
    <t>-</t>
    <phoneticPr fontId="12" type="noConversion"/>
  </si>
  <si>
    <t>PN054ACW-HPOC(HK)</t>
  </si>
  <si>
    <t>PN054ACW-HPOC(TW)</t>
  </si>
  <si>
    <t>PN054ACW-LPOC(B)</t>
    <phoneticPr fontId="12" type="noConversion"/>
  </si>
  <si>
    <t>PN20E-24J33</t>
    <phoneticPr fontId="12" type="noConversion"/>
  </si>
  <si>
    <t>PN20T-24J33</t>
    <phoneticPr fontId="12" type="noConversion"/>
  </si>
  <si>
    <t>PIP105-400</t>
    <phoneticPr fontId="12" type="noConversion"/>
  </si>
  <si>
    <t>한화테크윈</t>
    <phoneticPr fontId="12" type="noConversion"/>
  </si>
  <si>
    <t>990A</t>
  </si>
  <si>
    <t>990B</t>
  </si>
  <si>
    <t>PLN051-B4019250N2S-565 (PLF050-D20W)</t>
  </si>
  <si>
    <t>PLN051-B4025250N2S-565 (PLF045-D25W)</t>
  </si>
  <si>
    <t>P230NQ_TPN (CKD)</t>
  </si>
  <si>
    <t>P270NQ_TPN (CKD)</t>
  </si>
  <si>
    <t>P270NQ_APN</t>
  </si>
  <si>
    <t>1066C</t>
  </si>
  <si>
    <t>1066B</t>
  </si>
  <si>
    <t>1066A</t>
  </si>
  <si>
    <t>P3514N_APN</t>
  </si>
  <si>
    <t>1150B</t>
    <phoneticPr fontId="12" type="noConversion"/>
  </si>
  <si>
    <t>AUO</t>
    <phoneticPr fontId="12" type="noConversion"/>
  </si>
  <si>
    <t>Adaptor</t>
    <phoneticPr fontId="12" type="noConversion"/>
  </si>
  <si>
    <t>MNT</t>
    <phoneticPr fontId="12" type="noConversion"/>
  </si>
  <si>
    <t>A6524_RPN_BESPOKE</t>
  </si>
  <si>
    <t>PNMX7N-HV</t>
    <phoneticPr fontId="12" type="noConversion"/>
  </si>
  <si>
    <t>PN120MWJ-VF(G)</t>
    <phoneticPr fontId="12" type="noConversion"/>
  </si>
  <si>
    <t>PN013MCW-V2</t>
    <phoneticPr fontId="12" type="noConversion"/>
  </si>
  <si>
    <t>PN022WWJ-VF</t>
    <phoneticPr fontId="12" type="noConversion"/>
  </si>
  <si>
    <t>PN037WCW-VF</t>
    <phoneticPr fontId="12" type="noConversion"/>
  </si>
  <si>
    <t>PN048WWJ-VF</t>
    <phoneticPr fontId="12" type="noConversion"/>
  </si>
  <si>
    <t>PN105WCW-VF</t>
    <phoneticPr fontId="12" type="noConversion"/>
  </si>
  <si>
    <t>PN040WWJ-V2</t>
    <phoneticPr fontId="12" type="noConversion"/>
  </si>
  <si>
    <t>PN021BWJ-VF</t>
    <phoneticPr fontId="12" type="noConversion"/>
  </si>
  <si>
    <t>PN052MWJ-VF(B)</t>
    <phoneticPr fontId="12" type="noConversion"/>
  </si>
  <si>
    <t>PN054ACW-LKEY(P)</t>
    <phoneticPr fontId="12" type="noConversion"/>
  </si>
  <si>
    <t>PN054ACW-LKEY(PA)</t>
    <phoneticPr fontId="12" type="noConversion"/>
  </si>
  <si>
    <t>PN002ACW-CHARGER</t>
    <phoneticPr fontId="12" type="noConversion"/>
  </si>
  <si>
    <t>PN018ACW-VF</t>
    <phoneticPr fontId="12" type="noConversion"/>
  </si>
  <si>
    <t>PI500DCW-V2</t>
  </si>
  <si>
    <t>PN050DCW-V2</t>
  </si>
  <si>
    <t>PN050DCW-FILTER</t>
  </si>
  <si>
    <t>신</t>
    <phoneticPr fontId="12" type="noConversion"/>
  </si>
  <si>
    <t>PLN021-T0814350T4R-565</t>
    <phoneticPr fontId="12" type="noConversion"/>
  </si>
  <si>
    <t>PLN021-T0822350T4R-560</t>
    <phoneticPr fontId="12" type="noConversion"/>
  </si>
  <si>
    <t>PLN021-T0819350T4R-560</t>
    <phoneticPr fontId="12" type="noConversion"/>
  </si>
  <si>
    <t>PLN021-T0907150N2R-564</t>
    <phoneticPr fontId="12" type="noConversion"/>
  </si>
  <si>
    <t>PLN021-T0907550N2R-564</t>
    <phoneticPr fontId="12" type="noConversion"/>
  </si>
  <si>
    <t>PLN021-T0911350N2R-564</t>
    <phoneticPr fontId="12" type="noConversion"/>
  </si>
  <si>
    <t>PLN021-T0916350N2R-564</t>
    <phoneticPr fontId="12" type="noConversion"/>
  </si>
  <si>
    <t>PLN065-D750530-565</t>
    <phoneticPr fontId="12" type="noConversion"/>
  </si>
  <si>
    <t>39211C</t>
    <phoneticPr fontId="12" type="noConversion"/>
  </si>
  <si>
    <t>PLL028-D14-35M</t>
    <phoneticPr fontId="12" type="noConversion"/>
  </si>
  <si>
    <t>PLN021-T0936465N2C-565</t>
    <phoneticPr fontId="12" type="noConversion"/>
  </si>
  <si>
    <t>신</t>
    <phoneticPr fontId="12" type="noConversion"/>
  </si>
  <si>
    <t>PLN051-B4019250N2A-560</t>
    <phoneticPr fontId="12" type="noConversion"/>
  </si>
  <si>
    <t>PN001ACW-MAIN(CO)</t>
    <phoneticPr fontId="12" type="noConversion"/>
  </si>
  <si>
    <t>PN016ACW-WIFI(CO)</t>
    <phoneticPr fontId="12" type="noConversion"/>
  </si>
  <si>
    <t>A3026N_APN</t>
    <phoneticPr fontId="12" type="noConversion"/>
  </si>
  <si>
    <t>0007J</t>
    <phoneticPr fontId="12" type="noConversion"/>
  </si>
  <si>
    <t>신</t>
    <phoneticPr fontId="12" type="noConversion"/>
  </si>
  <si>
    <t>1066D</t>
    <phoneticPr fontId="12" type="noConversion"/>
  </si>
  <si>
    <t>P270NQ_APND</t>
    <phoneticPr fontId="12" type="noConversion"/>
  </si>
  <si>
    <t>PLN021-T0814330T4R-565</t>
    <phoneticPr fontId="12" type="noConversion"/>
  </si>
  <si>
    <t>PLN039-F3612240N2S-565</t>
    <phoneticPr fontId="12" type="noConversion"/>
  </si>
  <si>
    <t>PLN039-F9632450N2S-565</t>
    <phoneticPr fontId="12" type="noConversion"/>
  </si>
  <si>
    <t>PN003ACW-CLASSIC(MY)</t>
    <phoneticPr fontId="12" type="noConversion"/>
  </si>
  <si>
    <t>PN051BCW-VF(A)</t>
    <phoneticPr fontId="12" type="noConversion"/>
  </si>
  <si>
    <t>PN110WCW-VF</t>
  </si>
  <si>
    <t>PN110WCW-VF(A)</t>
  </si>
  <si>
    <t>PN120MWJ-VF(H)</t>
  </si>
  <si>
    <t>PN20A-24J33</t>
    <phoneticPr fontId="12" type="noConversion"/>
  </si>
  <si>
    <t>PN20U-24J33</t>
    <phoneticPr fontId="12" type="noConversion"/>
  </si>
  <si>
    <t>A2626U_APN(UAE)</t>
    <phoneticPr fontId="12" type="noConversion"/>
  </si>
  <si>
    <t>0014B</t>
    <phoneticPr fontId="12" type="noConversion"/>
  </si>
  <si>
    <t>신</t>
    <phoneticPr fontId="12" type="noConversion"/>
  </si>
  <si>
    <t>SY</t>
    <phoneticPr fontId="12" type="noConversion"/>
  </si>
  <si>
    <t>A3630A_TPN</t>
  </si>
  <si>
    <t>A3630E_TPN</t>
  </si>
  <si>
    <t>0013G</t>
    <phoneticPr fontId="12" type="noConversion"/>
  </si>
  <si>
    <t>0013H</t>
    <phoneticPr fontId="12" type="noConversion"/>
  </si>
  <si>
    <t>A6024N_FPN_C(DA)</t>
  </si>
  <si>
    <t>A4024_FPN_C(DA)</t>
  </si>
  <si>
    <t>990A</t>
    <phoneticPr fontId="12" type="noConversion"/>
  </si>
  <si>
    <t>990B</t>
    <phoneticPr fontId="12" type="noConversion"/>
  </si>
  <si>
    <t>MCR-WMSBE-CWP(48M)</t>
    <phoneticPr fontId="12" type="noConversion"/>
  </si>
  <si>
    <t>Display(냉장고)</t>
  </si>
  <si>
    <t>PN027SHA-Basic</t>
  </si>
  <si>
    <t>PN027SHA-19962K</t>
  </si>
  <si>
    <t>PN027SHA-19962L</t>
  </si>
  <si>
    <t>PN027SHA-19962M</t>
  </si>
  <si>
    <t>PN027SHA-19962N</t>
  </si>
  <si>
    <t>PN027SHA-19962Q</t>
  </si>
  <si>
    <t>PN027SHA-19962R</t>
  </si>
  <si>
    <t>PN027SHA-19962S</t>
  </si>
  <si>
    <t>PN027SHA-19962T</t>
  </si>
  <si>
    <t>PN027SHA-19962U</t>
  </si>
  <si>
    <t>19962K</t>
    <phoneticPr fontId="12" type="noConversion"/>
  </si>
  <si>
    <t>19962L</t>
    <phoneticPr fontId="12" type="noConversion"/>
  </si>
  <si>
    <t>19962M</t>
    <phoneticPr fontId="12" type="noConversion"/>
  </si>
  <si>
    <t>19962N</t>
    <phoneticPr fontId="12" type="noConversion"/>
  </si>
  <si>
    <t>19962Q</t>
    <phoneticPr fontId="12" type="noConversion"/>
  </si>
  <si>
    <t>19962R</t>
    <phoneticPr fontId="12" type="noConversion"/>
  </si>
  <si>
    <t>19962S</t>
    <phoneticPr fontId="12" type="noConversion"/>
  </si>
  <si>
    <t>19962T</t>
    <phoneticPr fontId="12" type="noConversion"/>
  </si>
  <si>
    <t>19962U</t>
    <phoneticPr fontId="12" type="noConversion"/>
  </si>
  <si>
    <t>PN036MWJ-VF(B)</t>
    <phoneticPr fontId="12" type="noConversion"/>
  </si>
  <si>
    <t>PN120MWJ-VF(I)</t>
    <phoneticPr fontId="12" type="noConversion"/>
  </si>
  <si>
    <t>PN120MWJ-VF(J)</t>
    <phoneticPr fontId="12" type="noConversion"/>
  </si>
  <si>
    <t>A6024N_FPN_C(BJ)</t>
  </si>
  <si>
    <t>14824A</t>
  </si>
  <si>
    <t>A4024_FPN_C(BJ)</t>
    <phoneticPr fontId="12" type="noConversion"/>
  </si>
  <si>
    <t>14826A</t>
    <phoneticPr fontId="12" type="noConversion"/>
  </si>
  <si>
    <t>A4024_FPN_TH_C(BJ)</t>
  </si>
  <si>
    <t>14825A</t>
    <phoneticPr fontId="12" type="noConversion"/>
  </si>
  <si>
    <t>MCR-WMSBE-CWP(48)</t>
    <phoneticPr fontId="12" type="noConversion"/>
  </si>
  <si>
    <t>A6524_NPNL_BESPOKE_TH</t>
    <phoneticPr fontId="12" type="noConversion"/>
  </si>
  <si>
    <t>39211F</t>
    <phoneticPr fontId="12" type="noConversion"/>
  </si>
  <si>
    <t>신</t>
    <phoneticPr fontId="12" type="noConversion"/>
  </si>
  <si>
    <t>SY</t>
    <phoneticPr fontId="12" type="noConversion"/>
  </si>
  <si>
    <t>PLN021-T0809150T4R-565</t>
    <phoneticPr fontId="12" type="noConversion"/>
  </si>
  <si>
    <t>PLN021-T0911340N2R-565</t>
    <phoneticPr fontId="12" type="noConversion"/>
  </si>
  <si>
    <t>PN001ACW-MAIN(NKR)</t>
    <phoneticPr fontId="12" type="noConversion"/>
  </si>
  <si>
    <t>PN006WCW-FND</t>
    <phoneticPr fontId="12" type="noConversion"/>
  </si>
  <si>
    <t>PN028HCW-VF</t>
    <phoneticPr fontId="12" type="noConversion"/>
  </si>
  <si>
    <t>PN051BCW-VF</t>
    <phoneticPr fontId="12" type="noConversion"/>
  </si>
  <si>
    <t>PN051BCW-HEATER</t>
    <phoneticPr fontId="12" type="noConversion"/>
  </si>
  <si>
    <t>PNC03ACW-VF</t>
  </si>
  <si>
    <t>PNC08ACW-VF</t>
  </si>
  <si>
    <t>이랜텍</t>
    <phoneticPr fontId="12" type="noConversion"/>
  </si>
  <si>
    <t>AV</t>
    <phoneticPr fontId="12" type="noConversion"/>
  </si>
  <si>
    <t>A4024_FPNT</t>
  </si>
  <si>
    <t>A6024N_FPNT</t>
  </si>
  <si>
    <t>-</t>
    <phoneticPr fontId="12" type="noConversion"/>
  </si>
  <si>
    <t>091A</t>
    <phoneticPr fontId="12" type="noConversion"/>
  </si>
  <si>
    <t>MCR-WMSBE-CWP(40W)</t>
    <phoneticPr fontId="12" type="noConversion"/>
  </si>
  <si>
    <t>신</t>
    <phoneticPr fontId="12" type="noConversion"/>
  </si>
  <si>
    <t>QD</t>
    <phoneticPr fontId="12" type="noConversion"/>
  </si>
  <si>
    <t>PLN039-F2707150N2S-565</t>
    <phoneticPr fontId="12" type="noConversion"/>
  </si>
  <si>
    <t>PN011MWJ-V1</t>
    <phoneticPr fontId="12" type="noConversion"/>
  </si>
  <si>
    <t>PN120MWJ-VF(K)</t>
    <phoneticPr fontId="12" type="noConversion"/>
  </si>
  <si>
    <t>PN20E-24J11</t>
    <phoneticPr fontId="12" type="noConversion"/>
  </si>
  <si>
    <t>PNC04ACW-VF</t>
  </si>
  <si>
    <t>PNC06ACW-VF</t>
  </si>
  <si>
    <t>PSPN2-TYPE5H-V1-SR</t>
  </si>
  <si>
    <t>PSPN2-TYPE5H-V2-SR</t>
  </si>
  <si>
    <t>PSPN2-TYPE5H-V1 A-SR</t>
  </si>
  <si>
    <t>PSPN2-TYPE5H-V2 A-SR</t>
  </si>
  <si>
    <t>5QJ83-60002</t>
  </si>
  <si>
    <t>5QJ83-60003</t>
  </si>
  <si>
    <t>5QJ90-60014</t>
  </si>
  <si>
    <t>5QJ90-60015</t>
  </si>
  <si>
    <t>V220S_BPN</t>
  </si>
  <si>
    <t>5048A</t>
    <phoneticPr fontId="12" type="noConversion"/>
  </si>
  <si>
    <t>청정기</t>
    <phoneticPr fontId="12" type="noConversion"/>
  </si>
  <si>
    <t>Aircon</t>
    <phoneticPr fontId="12" type="noConversion"/>
  </si>
  <si>
    <t>냉장고</t>
  </si>
  <si>
    <t>냉장고</t>
    <phoneticPr fontId="12" type="noConversion"/>
  </si>
  <si>
    <t>청소기</t>
  </si>
  <si>
    <t>청소기</t>
    <phoneticPr fontId="12" type="noConversion"/>
  </si>
  <si>
    <t>냉장고</t>
    <phoneticPr fontId="12" type="noConversion"/>
  </si>
  <si>
    <t>A14020_BPNW</t>
  </si>
  <si>
    <t>1187A</t>
  </si>
  <si>
    <t>A14020N_BPNW</t>
  </si>
  <si>
    <t>1187B</t>
  </si>
  <si>
    <t>A14020_BPN</t>
  </si>
  <si>
    <t>1187C</t>
  </si>
  <si>
    <t>A3630H_TPN</t>
  </si>
  <si>
    <t>0013F</t>
    <phoneticPr fontId="12" type="noConversion"/>
  </si>
  <si>
    <t>신</t>
    <phoneticPr fontId="12" type="noConversion"/>
  </si>
  <si>
    <t>A3630U_TPN</t>
  </si>
  <si>
    <t>0013D</t>
    <phoneticPr fontId="12" type="noConversion"/>
  </si>
  <si>
    <t>P2514_BPN</t>
  </si>
  <si>
    <t>749G</t>
    <phoneticPr fontId="12" type="noConversion"/>
  </si>
  <si>
    <t>MCR-WMDBE-CWP(40)</t>
    <phoneticPr fontId="12" type="noConversion"/>
  </si>
  <si>
    <t>PLN021-T0911330N2R-565</t>
    <phoneticPr fontId="12" type="noConversion"/>
  </si>
  <si>
    <t>PLN021-T0911365N2R-565</t>
    <phoneticPr fontId="12" type="noConversion"/>
  </si>
  <si>
    <t>PLN021-T0916340N2R-565</t>
    <phoneticPr fontId="12" type="noConversion"/>
  </si>
  <si>
    <t>PN185WCW-VF</t>
  </si>
  <si>
    <t>PN185WCW-VF(A)</t>
  </si>
  <si>
    <t>PN185WCW-MAIN</t>
  </si>
  <si>
    <t>PN185WCW-CON</t>
  </si>
  <si>
    <t>PNC01ACW-VF</t>
    <phoneticPr fontId="12" type="noConversion"/>
  </si>
  <si>
    <t>PNC12ACW-VF</t>
    <phoneticPr fontId="12" type="noConversion"/>
  </si>
  <si>
    <t>PNC05ACW-VFQ</t>
  </si>
  <si>
    <t>PNC07ACW-VFQ</t>
  </si>
  <si>
    <t>신</t>
    <phoneticPr fontId="12" type="noConversion"/>
  </si>
  <si>
    <t>V220SN_BPN</t>
    <phoneticPr fontId="12" type="noConversion"/>
  </si>
  <si>
    <t>5048B</t>
    <phoneticPr fontId="12" type="noConversion"/>
  </si>
  <si>
    <t>V220S_MPNA</t>
  </si>
  <si>
    <t>V220SN_MPNA</t>
  </si>
  <si>
    <t>5505A</t>
    <phoneticPr fontId="12" type="noConversion"/>
  </si>
  <si>
    <t>5505B</t>
    <phoneticPr fontId="12" type="noConversion"/>
  </si>
  <si>
    <t>V220S_BPNA</t>
  </si>
  <si>
    <t>V220SN_BPNA</t>
  </si>
  <si>
    <t>5048C</t>
  </si>
  <si>
    <t>5048D</t>
  </si>
  <si>
    <t>A6524_RPN_BESPOKE_MAS</t>
  </si>
  <si>
    <t>39211E</t>
    <phoneticPr fontId="12" type="noConversion"/>
  </si>
  <si>
    <t>A6524_RPN_BESPOKE_INA</t>
  </si>
  <si>
    <t>A6524_RPN_BESPOKE_AUS</t>
  </si>
  <si>
    <t>39211G</t>
    <phoneticPr fontId="12" type="noConversion"/>
  </si>
  <si>
    <t>39211H</t>
    <phoneticPr fontId="12" type="noConversion"/>
  </si>
  <si>
    <t>4364B</t>
    <phoneticPr fontId="12" type="noConversion"/>
  </si>
  <si>
    <t>PN185WCW-VF(B)</t>
    <phoneticPr fontId="12" type="noConversion"/>
  </si>
  <si>
    <t>PN185WCW-VF(C)</t>
    <phoneticPr fontId="12" type="noConversion"/>
  </si>
  <si>
    <t>PN021BWJ-VF(D)</t>
    <phoneticPr fontId="12" type="noConversion"/>
  </si>
  <si>
    <t>PN052MWJ-VF(J)</t>
    <phoneticPr fontId="12" type="noConversion"/>
  </si>
  <si>
    <t>PLN021-T0936450N2C-565</t>
    <phoneticPr fontId="12" type="noConversion"/>
  </si>
  <si>
    <t>PLN021-T0916330N2R-565</t>
    <phoneticPr fontId="12" type="noConversion"/>
  </si>
  <si>
    <t>PLN021-T0916365N2R-565</t>
    <phoneticPr fontId="12" type="noConversion"/>
  </si>
  <si>
    <t>PLN051-B4031250N2A-560</t>
    <phoneticPr fontId="12" type="noConversion"/>
  </si>
  <si>
    <t>PLN051-B4039230N2S-565 (PLF045-D40W)</t>
    <phoneticPr fontId="12" type="noConversion"/>
  </si>
  <si>
    <t>PLN039-F3612250N2S-565</t>
    <phoneticPr fontId="12" type="noConversion"/>
  </si>
  <si>
    <t>PLN021-T0920350N2R-565</t>
    <phoneticPr fontId="12" type="noConversion"/>
  </si>
  <si>
    <t>PLN021-T0927850N2R-565</t>
    <phoneticPr fontId="12" type="noConversion"/>
  </si>
  <si>
    <t>PLN051-B2007130N2S-565 (PLF050-D07W)</t>
    <phoneticPr fontId="12" type="noConversion"/>
  </si>
  <si>
    <t>PLN051-B2011150N2S-565 (PLF050-D12W)</t>
    <phoneticPr fontId="12" type="noConversion"/>
  </si>
  <si>
    <t>PLN051-B2015130N2S-565 (PLF050-D16W)</t>
  </si>
  <si>
    <t>PLN051-B2015150N2S-565 (PLF050-D16W)</t>
  </si>
  <si>
    <t>PLN051-B2019130N2S-565 (PLF050-D20W)</t>
  </si>
  <si>
    <t>PLN051-B2019150N2S-565 (PLF050-D20W)</t>
  </si>
  <si>
    <t>PLN051-B4012230N2S-565 (PLF050-D12W)</t>
  </si>
  <si>
    <t>PLN051-B4012250N2S-565 (PLF050-D12W)</t>
  </si>
  <si>
    <t>PLN051-B4015230N2S-565 (PLF050-D16W)</t>
    <phoneticPr fontId="12" type="noConversion"/>
  </si>
  <si>
    <t>PLN051-B4019230N2S-565 (PLF050-D20W)</t>
  </si>
  <si>
    <t>PLN051-B4025230N2S-565 (PLF045-D25W)</t>
  </si>
  <si>
    <t>PLN051-B4025240N2S-565 (PLF045-D25W)</t>
  </si>
  <si>
    <t>PLN051-B4025265N2S-565 (PLF045-D25W)</t>
  </si>
  <si>
    <t>PLN051-B4031230N2S-565 (PLF045-D32W)</t>
  </si>
  <si>
    <t>PLN051-B4031240N2S-565 (PLF045-D32W)</t>
  </si>
  <si>
    <t>PLN051-B4031250N2S-565 (PLF045-D32W)</t>
  </si>
  <si>
    <t>PLN051-B4031265N2S-565 (PLF045-D32W)</t>
  </si>
  <si>
    <t>PN022WWJ-VF(A-1)</t>
    <phoneticPr fontId="12" type="noConversion"/>
  </si>
  <si>
    <t>PNC09ACW-VF</t>
    <phoneticPr fontId="12" type="noConversion"/>
  </si>
  <si>
    <t>P5015_APN</t>
  </si>
  <si>
    <t>P5015N_APN</t>
  </si>
  <si>
    <t>VG-FSA3BA/ZA</t>
  </si>
  <si>
    <t>VG-FSA3BA/XL</t>
  </si>
  <si>
    <t>PLN021-T0907130N2R-565</t>
    <phoneticPr fontId="12" type="noConversion"/>
  </si>
  <si>
    <t>PLN021-T0905650N2R-565</t>
  </si>
  <si>
    <t>PLN021-T0905750N2R-565</t>
  </si>
  <si>
    <t>330mm, 5K</t>
  </si>
  <si>
    <t>436mm, 5K</t>
  </si>
  <si>
    <t>PLN021-T0907140N2R-565</t>
    <phoneticPr fontId="12" type="noConversion"/>
  </si>
  <si>
    <t>PLN021-T0907165N2R-565</t>
    <phoneticPr fontId="12" type="noConversion"/>
  </si>
  <si>
    <t>PLN039-F5515350N2S-565</t>
    <phoneticPr fontId="12" type="noConversion"/>
  </si>
  <si>
    <t>PLN051-B4015250N2S-565 (PLF050-D16W)</t>
    <phoneticPr fontId="12" type="noConversion"/>
  </si>
  <si>
    <t>PN028SHA-20552R</t>
  </si>
  <si>
    <t>20552R</t>
  </si>
  <si>
    <t>PLN021-T0809130T4R-565</t>
    <phoneticPr fontId="12" type="noConversion"/>
  </si>
  <si>
    <t>PLN021-T0814340T4R-565</t>
    <phoneticPr fontId="12" type="noConversion"/>
  </si>
  <si>
    <t>PLN021-T0905630N2R-565</t>
    <phoneticPr fontId="12" type="noConversion"/>
  </si>
  <si>
    <t>PLN021-T0905730N2R-565</t>
    <phoneticPr fontId="12" type="noConversion"/>
  </si>
  <si>
    <t>PLN039-F9632430N2S-565</t>
    <phoneticPr fontId="12" type="noConversion"/>
  </si>
  <si>
    <t>PLN051-B2007150N2S-565</t>
    <phoneticPr fontId="12" type="noConversion"/>
  </si>
  <si>
    <t>PN052MWJ-VF(H)</t>
    <phoneticPr fontId="12" type="noConversion"/>
  </si>
  <si>
    <t>PN180WWJ-VF(A)</t>
    <phoneticPr fontId="12" type="noConversion"/>
  </si>
  <si>
    <t>V220S_BPNA</t>
    <phoneticPr fontId="12" type="noConversion"/>
  </si>
  <si>
    <t>5048C</t>
    <phoneticPr fontId="12" type="noConversion"/>
  </si>
  <si>
    <t>V220SN_BPNA</t>
    <phoneticPr fontId="12" type="noConversion"/>
  </si>
  <si>
    <t>5048D</t>
    <phoneticPr fontId="12" type="noConversion"/>
  </si>
  <si>
    <t>PLA064-D40</t>
  </si>
  <si>
    <t>PLA064-D60</t>
  </si>
  <si>
    <t>A14020_BPNW(SAMEX)</t>
    <phoneticPr fontId="12" type="noConversion"/>
  </si>
  <si>
    <t>A14020_BPN(SAMEX)</t>
    <phoneticPr fontId="12" type="noConversion"/>
  </si>
  <si>
    <t>1187C</t>
    <phoneticPr fontId="12" type="noConversion"/>
  </si>
  <si>
    <t>A3630D_TPN</t>
    <phoneticPr fontId="12" type="noConversion"/>
  </si>
  <si>
    <t>0013C</t>
    <phoneticPr fontId="12" type="noConversion"/>
  </si>
  <si>
    <t>1187D</t>
    <phoneticPr fontId="12" type="noConversion"/>
  </si>
  <si>
    <t>A14020N_BPN</t>
    <phoneticPr fontId="12" type="noConversion"/>
  </si>
  <si>
    <t>PN001ACW-MAIN(NEU)</t>
    <phoneticPr fontId="12" type="noConversion"/>
  </si>
  <si>
    <t>PN047WCW-VF</t>
    <phoneticPr fontId="12" type="noConversion"/>
  </si>
  <si>
    <t>PN060WCW-VF</t>
    <phoneticPr fontId="12" type="noConversion"/>
  </si>
  <si>
    <t>PNC02ACW-VF</t>
    <phoneticPr fontId="12" type="noConversion"/>
  </si>
  <si>
    <t>KINGBIRD-V2 N-TOEC</t>
    <phoneticPr fontId="12" type="noConversion"/>
  </si>
  <si>
    <t>4G156-60018</t>
  </si>
  <si>
    <t>PLN021-T0911350N2R-565A</t>
    <phoneticPr fontId="12" type="noConversion"/>
  </si>
  <si>
    <t>PLN021-T0916350N2R-565A</t>
    <phoneticPr fontId="12" type="noConversion"/>
  </si>
  <si>
    <t>PN185WCW-VF(D)</t>
    <phoneticPr fontId="12" type="noConversion"/>
  </si>
  <si>
    <t>A3026E_RPN</t>
    <phoneticPr fontId="12" type="noConversion"/>
  </si>
  <si>
    <t>A22020_BPN</t>
    <phoneticPr fontId="12" type="noConversion"/>
  </si>
  <si>
    <t>A3630T_TPN</t>
    <phoneticPr fontId="12" type="noConversion"/>
  </si>
  <si>
    <t>0013E</t>
    <phoneticPr fontId="12" type="noConversion"/>
  </si>
  <si>
    <t>A3630U_TPN(UAE)</t>
    <phoneticPr fontId="12" type="noConversion"/>
  </si>
  <si>
    <t>0013B</t>
    <phoneticPr fontId="12" type="noConversion"/>
  </si>
  <si>
    <t>MCR-WMSBE-CWP(40WI)</t>
  </si>
  <si>
    <t>PNC03ACW-VF(IN)</t>
    <phoneticPr fontId="12" type="noConversion"/>
  </si>
  <si>
    <t>1207A</t>
    <phoneticPr fontId="12" type="noConversion"/>
  </si>
  <si>
    <t>749H</t>
    <phoneticPr fontId="12" type="noConversion"/>
  </si>
  <si>
    <t>P2514N_BPN</t>
  </si>
  <si>
    <t>PLN051-B2007140N2S-565</t>
    <phoneticPr fontId="12" type="noConversion"/>
  </si>
  <si>
    <t>PLN051-B2015165N2S-565 (PLF050-D16W)</t>
    <phoneticPr fontId="12" type="noConversion"/>
  </si>
  <si>
    <t>PLN051-B4015265N2S-565 (PLF050-D16W)</t>
    <phoneticPr fontId="12" type="noConversion"/>
  </si>
  <si>
    <t>PLN051-B4039265N2S-565 (PLF045-D40W)</t>
    <phoneticPr fontId="12" type="noConversion"/>
  </si>
  <si>
    <t>PLN021-T0907530N2R-565</t>
    <phoneticPr fontId="12" type="noConversion"/>
  </si>
  <si>
    <t>PLN021-T0907550N2R-565</t>
    <phoneticPr fontId="12" type="noConversion"/>
  </si>
  <si>
    <t>PLN039-F2707130N2S-565</t>
    <phoneticPr fontId="12" type="noConversion"/>
  </si>
  <si>
    <t>PLN039-F2707140N2S-565</t>
    <phoneticPr fontId="12" type="noConversion"/>
  </si>
  <si>
    <t>PLN051-B4039250N2U-560</t>
    <phoneticPr fontId="12" type="noConversion"/>
  </si>
  <si>
    <t>PN001ACW-MAIN(NJP)</t>
    <phoneticPr fontId="12" type="noConversion"/>
  </si>
  <si>
    <t>PN022WWJ-VF(B)</t>
    <phoneticPr fontId="12" type="noConversion"/>
  </si>
  <si>
    <t>PN022WWJ-VF(B-1)</t>
    <phoneticPr fontId="12" type="noConversion"/>
  </si>
  <si>
    <t>삼진</t>
    <phoneticPr fontId="12" type="noConversion"/>
  </si>
  <si>
    <t>SMPS</t>
    <phoneticPr fontId="12" type="noConversion"/>
  </si>
  <si>
    <t>AV</t>
    <phoneticPr fontId="12" type="noConversion"/>
  </si>
  <si>
    <t>A4024_FPN_C(SJ)</t>
    <phoneticPr fontId="12" type="noConversion"/>
  </si>
  <si>
    <t>V250S_APND(SJ)</t>
    <phoneticPr fontId="12" type="noConversion"/>
  </si>
  <si>
    <t>-</t>
    <phoneticPr fontId="12" type="noConversion"/>
  </si>
  <si>
    <t>-</t>
    <phoneticPr fontId="12" type="noConversion"/>
  </si>
  <si>
    <t>PLN021-T0927830N2R-565</t>
    <phoneticPr fontId="12" type="noConversion"/>
  </si>
  <si>
    <t>PLN021-T0936430N2C-565</t>
    <phoneticPr fontId="12" type="noConversion"/>
  </si>
  <si>
    <t>PN001ACW-MAIN(CN)</t>
    <phoneticPr fontId="12" type="noConversion"/>
  </si>
  <si>
    <t>PN016ACW-VF(A)</t>
    <phoneticPr fontId="12" type="noConversion"/>
  </si>
  <si>
    <t>PN036MWJ-VF(C)</t>
    <phoneticPr fontId="12" type="noConversion"/>
  </si>
  <si>
    <t>PN037WCW-VF(EU)</t>
    <phoneticPr fontId="12" type="noConversion"/>
  </si>
  <si>
    <t>PN180WWJ-VF(B)</t>
    <phoneticPr fontId="12" type="noConversion"/>
  </si>
  <si>
    <t>SLPS-602FCOT</t>
  </si>
  <si>
    <t>SLPS-A00FEOT</t>
  </si>
  <si>
    <t>0610B</t>
    <phoneticPr fontId="12" type="noConversion"/>
  </si>
  <si>
    <t>0795A</t>
    <phoneticPr fontId="12" type="noConversion"/>
  </si>
  <si>
    <t>P2514_BPN HF</t>
    <phoneticPr fontId="12" type="noConversion"/>
  </si>
  <si>
    <t>749K</t>
    <phoneticPr fontId="12" type="noConversion"/>
  </si>
  <si>
    <t>P2514N_BPN HF</t>
    <phoneticPr fontId="12" type="noConversion"/>
  </si>
  <si>
    <t>749J</t>
    <phoneticPr fontId="12" type="noConversion"/>
  </si>
  <si>
    <t>1150C</t>
    <phoneticPr fontId="12" type="noConversion"/>
  </si>
  <si>
    <t>P3514_APN HF</t>
    <phoneticPr fontId="12" type="noConversion"/>
  </si>
  <si>
    <t>P4519S_APN HF</t>
    <phoneticPr fontId="12" type="noConversion"/>
  </si>
  <si>
    <t>1139C</t>
    <phoneticPr fontId="12" type="noConversion"/>
  </si>
  <si>
    <t>P6519_APN HF</t>
    <phoneticPr fontId="12" type="noConversion"/>
  </si>
  <si>
    <t>1132C</t>
    <phoneticPr fontId="12" type="noConversion"/>
  </si>
  <si>
    <t>P10020_APN HF</t>
    <phoneticPr fontId="12" type="noConversion"/>
  </si>
  <si>
    <t>1138C</t>
    <phoneticPr fontId="12" type="noConversion"/>
  </si>
  <si>
    <t>FOXCONN</t>
    <phoneticPr fontId="12" type="noConversion"/>
  </si>
  <si>
    <t xml:space="preserve">KG4100_GBOX </t>
    <phoneticPr fontId="12" type="noConversion"/>
  </si>
  <si>
    <t>PLD070-D17</t>
    <phoneticPr fontId="12" type="noConversion"/>
  </si>
  <si>
    <t>PLD074-D27</t>
    <phoneticPr fontId="12" type="noConversion"/>
  </si>
  <si>
    <t>제균용</t>
    <phoneticPr fontId="12" type="noConversion"/>
  </si>
  <si>
    <t>PLN065-D751750-560</t>
    <phoneticPr fontId="12" type="noConversion"/>
  </si>
  <si>
    <t>PLN065-D752750-560</t>
    <phoneticPr fontId="12" type="noConversion"/>
  </si>
  <si>
    <t>PN034WCW-PUMP(A)</t>
    <phoneticPr fontId="12" type="noConversion"/>
  </si>
  <si>
    <t>PN115WCW-VF(M)</t>
    <phoneticPr fontId="12" type="noConversion"/>
  </si>
  <si>
    <t>A2626N_BPN_W</t>
    <phoneticPr fontId="12" type="noConversion"/>
  </si>
  <si>
    <t>0010B</t>
    <phoneticPr fontId="12" type="noConversion"/>
  </si>
  <si>
    <t>A3630N_BPN</t>
    <phoneticPr fontId="12" type="noConversion"/>
  </si>
  <si>
    <t>0013J</t>
    <phoneticPr fontId="12" type="noConversion"/>
  </si>
  <si>
    <t>PLN021-T0809530T4R-565</t>
    <phoneticPr fontId="12" type="noConversion"/>
  </si>
  <si>
    <t>PLN021-T0809540T4R-565</t>
    <phoneticPr fontId="12" type="noConversion"/>
  </si>
  <si>
    <t>PLN021-T0809550T4R-565</t>
    <phoneticPr fontId="12" type="noConversion"/>
  </si>
  <si>
    <t>PLN021-T0814365T4R-565</t>
    <phoneticPr fontId="12" type="noConversion"/>
  </si>
  <si>
    <t>PN001ACW-MAIN(TW)</t>
    <phoneticPr fontId="12" type="noConversion"/>
  </si>
  <si>
    <t>PN052MWJ-VF(EU)</t>
    <phoneticPr fontId="12" type="noConversion"/>
  </si>
  <si>
    <t>PN185WCW-MAIN(BORK)</t>
    <phoneticPr fontId="12" type="noConversion"/>
  </si>
  <si>
    <t>PN185WCW-VF(BORK)</t>
    <phoneticPr fontId="12" type="noConversion"/>
  </si>
  <si>
    <t>SLPS-250FEOT</t>
    <phoneticPr fontId="12" type="noConversion"/>
  </si>
  <si>
    <t>0675A</t>
    <phoneticPr fontId="12" type="noConversion"/>
  </si>
  <si>
    <t>A14020_BPNW(EU)</t>
    <phoneticPr fontId="12" type="noConversion"/>
  </si>
  <si>
    <t>A14020_BPN(EU)</t>
    <phoneticPr fontId="12" type="noConversion"/>
  </si>
  <si>
    <t>AMTRAN VN</t>
    <phoneticPr fontId="12" type="noConversion"/>
  </si>
  <si>
    <t>KINGBIRD-V2 N GWI</t>
    <phoneticPr fontId="12" type="noConversion"/>
  </si>
  <si>
    <t>635F4-60009</t>
    <phoneticPr fontId="12" type="noConversion"/>
  </si>
  <si>
    <t>PN025SHA-21808V(EN2)</t>
  </si>
  <si>
    <t>PN025SHA-21808X(KR3)</t>
  </si>
  <si>
    <t>21808V</t>
  </si>
  <si>
    <t>21808X</t>
  </si>
  <si>
    <t>PLN039-F3612230N2S-565</t>
    <phoneticPr fontId="12" type="noConversion"/>
  </si>
  <si>
    <t>PLN039-F5515330N2S-565</t>
    <phoneticPr fontId="12" type="noConversion"/>
  </si>
  <si>
    <t>PLN051-B4012240N2S-565 (PLF050-D12W)</t>
    <phoneticPr fontId="12" type="noConversion"/>
  </si>
  <si>
    <t>PLN051-B4015240N2S-565 (PLF050-D16W)</t>
    <phoneticPr fontId="12" type="noConversion"/>
  </si>
  <si>
    <t>PLN051-B4039240N2S-565 (PLF045-D40W)</t>
    <phoneticPr fontId="12" type="noConversion"/>
  </si>
  <si>
    <t>0007K</t>
    <phoneticPr fontId="12" type="noConversion"/>
  </si>
  <si>
    <t>A3026G_RPN</t>
    <phoneticPr fontId="12" type="noConversion"/>
  </si>
  <si>
    <t>자이럭스</t>
    <phoneticPr fontId="12" type="noConversion"/>
  </si>
  <si>
    <t>A4024_FPN_C(ZY)</t>
  </si>
  <si>
    <t>V200SR_EPN V(ZY)</t>
  </si>
  <si>
    <t>GW-ME6110</t>
    <phoneticPr fontId="12" type="noConversion"/>
  </si>
  <si>
    <t>PLN039-F5515340N2S-565</t>
    <phoneticPr fontId="12" type="noConversion"/>
  </si>
  <si>
    <t>PLN051-B2015140N2S-565 (PLF050-D16W)</t>
    <phoneticPr fontId="12" type="noConversion"/>
  </si>
  <si>
    <t>PN003ACW-CLASSIC(JP)</t>
    <phoneticPr fontId="12" type="noConversion"/>
  </si>
  <si>
    <t>PN038BWJ-VF(A)</t>
    <phoneticPr fontId="12" type="noConversion"/>
  </si>
  <si>
    <t>PN054HTCA-3440RQPZ</t>
    <phoneticPr fontId="12" type="noConversion"/>
  </si>
  <si>
    <t>A2626_TPN_W</t>
    <phoneticPr fontId="12" type="noConversion"/>
  </si>
  <si>
    <t>A6524_RPN_BESPOKE_TAI</t>
    <phoneticPr fontId="12" type="noConversion"/>
  </si>
  <si>
    <t>39211K</t>
    <phoneticPr fontId="12" type="noConversion"/>
  </si>
  <si>
    <t>A22020_BPN(EI)</t>
    <phoneticPr fontId="12" type="noConversion"/>
  </si>
  <si>
    <t>1207B</t>
    <phoneticPr fontId="12" type="noConversion"/>
  </si>
  <si>
    <t>PLN051-B4052250N2U-560</t>
    <phoneticPr fontId="12" type="noConversion"/>
  </si>
  <si>
    <t>PLN065-D751740-560</t>
    <phoneticPr fontId="12" type="noConversion"/>
  </si>
  <si>
    <t>PN003ACW-CLASSIC2</t>
    <phoneticPr fontId="12" type="noConversion"/>
  </si>
  <si>
    <t>PLN072-T0807150N2R-565</t>
    <phoneticPr fontId="12" type="noConversion"/>
  </si>
  <si>
    <t>PLN072-T0811350N2R-565</t>
    <phoneticPr fontId="12" type="noConversion"/>
  </si>
  <si>
    <t>PLN072-T0816350N2R-565</t>
    <phoneticPr fontId="12" type="noConversion"/>
  </si>
  <si>
    <t>1200mm</t>
    <phoneticPr fontId="12" type="noConversion"/>
  </si>
  <si>
    <t>1200mm</t>
    <phoneticPr fontId="12" type="noConversion"/>
  </si>
  <si>
    <t>600mm</t>
    <phoneticPr fontId="12" type="noConversion"/>
  </si>
  <si>
    <t>PN029WCW-TANK(A)</t>
  </si>
  <si>
    <t>PN029WCW-TANK(A-1)</t>
  </si>
  <si>
    <t>PN029WCW-TANK(B)</t>
  </si>
  <si>
    <t>PN029WCW-TANK(B-1)</t>
  </si>
  <si>
    <t>PN048WWJ-VF(CN)</t>
    <phoneticPr fontId="12" type="noConversion"/>
  </si>
  <si>
    <t>PN050ACW-AMKEY(A)</t>
    <phoneticPr fontId="12" type="noConversion"/>
  </si>
  <si>
    <t>경동나비엔</t>
    <phoneticPr fontId="12" type="noConversion"/>
  </si>
  <si>
    <t>Adaptor</t>
    <phoneticPr fontId="12" type="noConversion"/>
  </si>
  <si>
    <t>온열매트</t>
    <phoneticPr fontId="12" type="noConversion"/>
  </si>
  <si>
    <t>A150KDN-VF</t>
    <phoneticPr fontId="12" type="noConversion"/>
  </si>
  <si>
    <t>MCR-WMSBI-CWP(40)</t>
    <phoneticPr fontId="12" type="noConversion"/>
  </si>
  <si>
    <t>PLL035-D14-37MN</t>
    <phoneticPr fontId="12" type="noConversion"/>
  </si>
  <si>
    <t>PLL035-D18-47MN</t>
    <phoneticPr fontId="12" type="noConversion"/>
  </si>
  <si>
    <t>PN037WCW-VF(T)</t>
    <phoneticPr fontId="12" type="noConversion"/>
  </si>
  <si>
    <t>PN011SHA(C)</t>
    <phoneticPr fontId="12" type="noConversion"/>
  </si>
  <si>
    <t>PN011SHA(D)</t>
    <phoneticPr fontId="12" type="noConversion"/>
  </si>
  <si>
    <t>5049C</t>
    <phoneticPr fontId="12" type="noConversion"/>
  </si>
  <si>
    <t>5049D</t>
    <phoneticPr fontId="12" type="noConversion"/>
  </si>
  <si>
    <t>PLN065-D752740-560</t>
    <phoneticPr fontId="12" type="noConversion"/>
  </si>
  <si>
    <t>PLN072-T0820350N2R-565</t>
    <phoneticPr fontId="12" type="noConversion"/>
  </si>
  <si>
    <t>1200mm</t>
    <phoneticPr fontId="12" type="noConversion"/>
  </si>
  <si>
    <t>PLN073-B2007150N2W-565</t>
  </si>
  <si>
    <t>PLN073-B2011150N2W-565</t>
  </si>
  <si>
    <t>PLN073-B4012250N2W-565</t>
  </si>
  <si>
    <t>PLN073-B4015250N2W-565</t>
  </si>
  <si>
    <t>PLN073-B4025250N2W-565</t>
  </si>
  <si>
    <t>PLN073-B4031250N2W-565</t>
  </si>
  <si>
    <t>PLN074-F3612230N2S-565</t>
  </si>
  <si>
    <t>PLN074-F3612240N2S-565</t>
  </si>
  <si>
    <t>PLN074-F3612250N2S-565</t>
  </si>
  <si>
    <t>PLN074-F5515350N2S-565</t>
  </si>
  <si>
    <t>PN029WCW-VF</t>
    <phoneticPr fontId="12" type="noConversion"/>
  </si>
  <si>
    <t>PN048WWJ-VF(M)</t>
    <phoneticPr fontId="12" type="noConversion"/>
  </si>
  <si>
    <t>PN051BCW-VF(B)</t>
    <phoneticPr fontId="12" type="noConversion"/>
  </si>
  <si>
    <t>PLD070-D15</t>
    <phoneticPr fontId="12" type="noConversion"/>
  </si>
  <si>
    <t>PLD077-D11</t>
    <phoneticPr fontId="12" type="noConversion"/>
  </si>
  <si>
    <t>PLD077-D05</t>
    <phoneticPr fontId="12" type="noConversion"/>
  </si>
  <si>
    <t>PLD077-D08</t>
    <phoneticPr fontId="12" type="noConversion"/>
  </si>
  <si>
    <t>PN049BCW-VF</t>
    <phoneticPr fontId="12" type="noConversion"/>
  </si>
  <si>
    <t>PN054HTCA-3440RQPZ</t>
    <phoneticPr fontId="12" type="noConversion"/>
  </si>
  <si>
    <t>5401A</t>
    <phoneticPr fontId="12" type="noConversion"/>
  </si>
  <si>
    <t>Tonly</t>
    <phoneticPr fontId="12" type="noConversion"/>
  </si>
  <si>
    <t>GGEC</t>
    <phoneticPr fontId="12" type="noConversion"/>
  </si>
  <si>
    <t>A6024N_FPN_C</t>
    <phoneticPr fontId="12" type="noConversion"/>
  </si>
  <si>
    <t>A5919_DPN V</t>
    <phoneticPr fontId="12" type="noConversion"/>
  </si>
  <si>
    <t>A5919_DPNS V</t>
    <phoneticPr fontId="12" type="noConversion"/>
  </si>
  <si>
    <t>A5919_DPNT V</t>
    <phoneticPr fontId="12" type="noConversion"/>
  </si>
  <si>
    <t>-</t>
    <phoneticPr fontId="12" type="noConversion"/>
  </si>
  <si>
    <t>F32E6_CPN</t>
    <phoneticPr fontId="12" type="noConversion"/>
  </si>
  <si>
    <t>1256A</t>
    <phoneticPr fontId="12" type="noConversion"/>
  </si>
  <si>
    <t>PLL028-D14-35MN</t>
    <phoneticPr fontId="12" type="noConversion"/>
  </si>
  <si>
    <t>PLL028-D14D</t>
    <phoneticPr fontId="12" type="noConversion"/>
  </si>
  <si>
    <t>PLL030-P28DN</t>
    <phoneticPr fontId="12" type="noConversion"/>
  </si>
  <si>
    <t>PLN072-T0807550N2R-565</t>
    <phoneticPr fontId="12" type="noConversion"/>
  </si>
  <si>
    <t>PLN072-T0811330N2R-565</t>
    <phoneticPr fontId="12" type="noConversion"/>
  </si>
  <si>
    <t>PLN072-T0811340N2R-565</t>
    <phoneticPr fontId="12" type="noConversion"/>
  </si>
  <si>
    <t>PLN072-T0816330N2R-565</t>
    <phoneticPr fontId="12" type="noConversion"/>
  </si>
  <si>
    <t>PLN072-T0816340N2R-565</t>
    <phoneticPr fontId="12" type="noConversion"/>
  </si>
  <si>
    <t>PLN072-T0827830N2R-565</t>
    <phoneticPr fontId="12" type="noConversion"/>
  </si>
  <si>
    <t>PLN072-T0827850N2R-565</t>
    <phoneticPr fontId="12" type="noConversion"/>
  </si>
  <si>
    <t>PN035MWJ-VF</t>
    <phoneticPr fontId="12" type="noConversion"/>
  </si>
  <si>
    <t>PN043WCW-TANK(SA)</t>
    <phoneticPr fontId="12" type="noConversion"/>
  </si>
  <si>
    <t>PN048WWJ-V1</t>
    <phoneticPr fontId="12" type="noConversion"/>
  </si>
  <si>
    <t>PN048WWJ-V2</t>
    <phoneticPr fontId="12" type="noConversion"/>
  </si>
  <si>
    <t>V200SR_CPN</t>
    <phoneticPr fontId="12" type="noConversion"/>
  </si>
  <si>
    <t>16912A</t>
    <phoneticPr fontId="12" type="noConversion"/>
  </si>
  <si>
    <t>A150KDN-VF(GRAY)</t>
    <phoneticPr fontId="12" type="noConversion"/>
  </si>
  <si>
    <t>L50F7_DPN</t>
    <phoneticPr fontId="12" type="noConversion"/>
  </si>
  <si>
    <t>L55F8_DPN</t>
    <phoneticPr fontId="12" type="noConversion"/>
  </si>
  <si>
    <t>PLD070-D15L</t>
    <phoneticPr fontId="12" type="noConversion"/>
  </si>
  <si>
    <t>PLD077-D05L</t>
    <phoneticPr fontId="12" type="noConversion"/>
  </si>
  <si>
    <t>PLD077-D08L</t>
    <phoneticPr fontId="12" type="noConversion"/>
  </si>
  <si>
    <t>PLD077-D11L</t>
    <phoneticPr fontId="12" type="noConversion"/>
  </si>
  <si>
    <t>PLL029-D09-24MN</t>
    <phoneticPr fontId="12" type="noConversion"/>
  </si>
  <si>
    <t>PLL030-P28-35MN</t>
    <phoneticPr fontId="12" type="noConversion"/>
  </si>
  <si>
    <t>PLN021-T0911350N2R-565F</t>
    <phoneticPr fontId="12" type="noConversion"/>
  </si>
  <si>
    <t>PLN021-T0916350N2R-565F</t>
    <phoneticPr fontId="12" type="noConversion"/>
  </si>
  <si>
    <t>`</t>
    <phoneticPr fontId="12" type="noConversion"/>
  </si>
  <si>
    <t>PLN065-D750530-565L</t>
    <phoneticPr fontId="12" type="noConversion"/>
  </si>
  <si>
    <t>PLN065-D750550-565L</t>
    <phoneticPr fontId="12" type="noConversion"/>
  </si>
  <si>
    <t>PLN065-D750830-565L</t>
    <phoneticPr fontId="12" type="noConversion"/>
  </si>
  <si>
    <t>PLN065-D750850-565L</t>
    <phoneticPr fontId="12" type="noConversion"/>
  </si>
  <si>
    <t>PLN065-D751130-565L</t>
    <phoneticPr fontId="12" type="noConversion"/>
  </si>
  <si>
    <t>PLN065-D751150-565L</t>
    <phoneticPr fontId="12" type="noConversion"/>
  </si>
  <si>
    <t>PLN065-D751530-565L</t>
    <phoneticPr fontId="12" type="noConversion"/>
  </si>
  <si>
    <t>PLN065-D751550-565L</t>
    <phoneticPr fontId="12" type="noConversion"/>
  </si>
  <si>
    <t>PLN072-T0805750N2R-565</t>
    <phoneticPr fontId="12" type="noConversion"/>
  </si>
  <si>
    <t>PLN072-T0807130N2R-565</t>
    <phoneticPr fontId="12" type="noConversion"/>
  </si>
  <si>
    <t>PLN072-T0811365N2R-565</t>
    <phoneticPr fontId="12" type="noConversion"/>
  </si>
  <si>
    <t>PLN072-T0816365N2R-565</t>
    <phoneticPr fontId="12" type="noConversion"/>
  </si>
  <si>
    <t>PLN074-F2707150N2S-565</t>
    <phoneticPr fontId="12" type="noConversion"/>
  </si>
  <si>
    <t>PN016ACW-VF(B)</t>
    <phoneticPr fontId="12" type="noConversion"/>
  </si>
  <si>
    <t>PN016ACW-MAIN(KEY)</t>
    <phoneticPr fontId="12" type="noConversion"/>
  </si>
  <si>
    <t>V200SR_CPN</t>
    <phoneticPr fontId="12" type="noConversion"/>
  </si>
  <si>
    <t>16912A</t>
    <phoneticPr fontId="12" type="noConversion"/>
  </si>
  <si>
    <t>V220S_MPNA</t>
    <phoneticPr fontId="12" type="noConversion"/>
  </si>
  <si>
    <t>5505A</t>
    <phoneticPr fontId="12" type="noConversion"/>
  </si>
  <si>
    <t>L43F7_DPN</t>
    <phoneticPr fontId="12" type="noConversion"/>
  </si>
  <si>
    <t>1117C</t>
    <phoneticPr fontId="12" type="noConversion"/>
  </si>
  <si>
    <t>1118C</t>
    <phoneticPr fontId="12" type="noConversion"/>
  </si>
  <si>
    <t>1119C</t>
    <phoneticPr fontId="12" type="noConversion"/>
  </si>
  <si>
    <t>V250S_DPNB</t>
    <phoneticPr fontId="12" type="noConversion"/>
  </si>
  <si>
    <t>PLN074-F9632450N2S-565</t>
    <phoneticPr fontId="12" type="noConversion"/>
  </si>
  <si>
    <t>A5919_DPNSW V</t>
    <phoneticPr fontId="12" type="noConversion"/>
  </si>
  <si>
    <t>A5919_DPNTW V</t>
    <phoneticPr fontId="12" type="noConversion"/>
  </si>
  <si>
    <t>A5919_DPNW V</t>
    <phoneticPr fontId="12" type="noConversion"/>
  </si>
  <si>
    <t>L55S6_DVD</t>
    <phoneticPr fontId="12" type="noConversion"/>
  </si>
  <si>
    <t>L65S6N_DVD</t>
    <phoneticPr fontId="12" type="noConversion"/>
  </si>
  <si>
    <t>L75S6N_DVD</t>
    <phoneticPr fontId="12" type="noConversion"/>
  </si>
  <si>
    <t>L85S6N_DVD</t>
    <phoneticPr fontId="12" type="noConversion"/>
  </si>
  <si>
    <t>PN185WCW-VF(E)</t>
    <phoneticPr fontId="12" type="noConversion"/>
  </si>
  <si>
    <t>PNC13ACW-VF</t>
    <phoneticPr fontId="12" type="noConversion"/>
  </si>
  <si>
    <t>A5919_DPN V</t>
  </si>
  <si>
    <t>A5919_DPNW V</t>
  </si>
  <si>
    <t>A5919_DPNS V</t>
  </si>
  <si>
    <t>A5919_DPNSW V</t>
  </si>
  <si>
    <t>A5919_DPNT V</t>
  </si>
  <si>
    <t>A5919_DPNTW V</t>
  </si>
  <si>
    <t>A5919_DPNC V</t>
  </si>
  <si>
    <t>A5919_DPNCW V</t>
  </si>
  <si>
    <t>17317A</t>
  </si>
  <si>
    <t>17317B</t>
  </si>
  <si>
    <t>17247A</t>
  </si>
  <si>
    <t>17247B</t>
  </si>
  <si>
    <t>17248A</t>
  </si>
  <si>
    <t>17248B</t>
  </si>
  <si>
    <t>17297A</t>
  </si>
  <si>
    <t>17297B</t>
  </si>
  <si>
    <t>A5919_DPNC V</t>
    <phoneticPr fontId="12" type="noConversion"/>
  </si>
  <si>
    <t>L43S6_DVD</t>
  </si>
  <si>
    <t>L43S6N_DVD</t>
  </si>
  <si>
    <t>PLN065-D751735-560</t>
    <phoneticPr fontId="12" type="noConversion"/>
  </si>
  <si>
    <t>PLN072-T0805650N2R-565</t>
    <phoneticPr fontId="12" type="noConversion"/>
  </si>
  <si>
    <t>PLN072-T0807565N2R-565</t>
    <phoneticPr fontId="12" type="noConversion"/>
  </si>
  <si>
    <t>PLN074-F5515330N2S-565</t>
    <phoneticPr fontId="12" type="noConversion"/>
  </si>
  <si>
    <t>PLN074-F5515340N2S-565</t>
    <phoneticPr fontId="12" type="noConversion"/>
  </si>
  <si>
    <t>PN036MWJ-VF(D)</t>
    <phoneticPr fontId="12" type="noConversion"/>
  </si>
  <si>
    <t>PN185WCW-VF(M)</t>
    <phoneticPr fontId="12" type="noConversion"/>
  </si>
  <si>
    <t>V200SR_CPN</t>
  </si>
  <si>
    <t>PLN051-B4031350N2S-565</t>
    <phoneticPr fontId="12" type="noConversion"/>
  </si>
  <si>
    <t>PLN072-T0816350N2D-565</t>
    <phoneticPr fontId="12" type="noConversion"/>
  </si>
  <si>
    <t>`</t>
    <phoneticPr fontId="12" type="noConversion"/>
  </si>
  <si>
    <t>PLN074-F2707130N2S-565</t>
    <phoneticPr fontId="12" type="noConversion"/>
  </si>
  <si>
    <t>PLN074-F5520350T2S-565</t>
    <phoneticPr fontId="12" type="noConversion"/>
  </si>
  <si>
    <t>PN001SHA-V2</t>
    <phoneticPr fontId="12" type="noConversion"/>
  </si>
  <si>
    <t xml:space="preserve">PN015SHA(A) </t>
    <phoneticPr fontId="12" type="noConversion"/>
  </si>
  <si>
    <t>5705A</t>
    <phoneticPr fontId="12" type="noConversion"/>
  </si>
  <si>
    <t>Basic</t>
    <phoneticPr fontId="12" type="noConversion"/>
  </si>
  <si>
    <t>PN025SHA-24205D</t>
    <phoneticPr fontId="12" type="noConversion"/>
  </si>
  <si>
    <t>PN025SHA-24205G</t>
    <phoneticPr fontId="12" type="noConversion"/>
  </si>
  <si>
    <t>24205D</t>
    <phoneticPr fontId="12" type="noConversion"/>
  </si>
  <si>
    <t>24205G</t>
    <phoneticPr fontId="12" type="noConversion"/>
  </si>
  <si>
    <t>PN031BCW-VF(A)</t>
    <phoneticPr fontId="12" type="noConversion"/>
  </si>
  <si>
    <t>EMS</t>
    <phoneticPr fontId="12" type="noConversion"/>
  </si>
  <si>
    <t>마이티 청정기</t>
    <phoneticPr fontId="12" type="noConversion"/>
  </si>
  <si>
    <t>▣ 24년 매출 마감현황</t>
    <phoneticPr fontId="12" type="noConversion"/>
  </si>
  <si>
    <t>1266A</t>
    <phoneticPr fontId="12" type="noConversion"/>
  </si>
  <si>
    <t>1266B</t>
    <phoneticPr fontId="12" type="noConversion"/>
  </si>
  <si>
    <t>1267A</t>
    <phoneticPr fontId="12" type="noConversion"/>
  </si>
  <si>
    <t>L55S6N_DVD</t>
    <phoneticPr fontId="12" type="noConversion"/>
  </si>
  <si>
    <t>1267B</t>
    <phoneticPr fontId="12" type="noConversion"/>
  </si>
  <si>
    <t>L65S6_DVD</t>
    <phoneticPr fontId="12" type="noConversion"/>
  </si>
  <si>
    <t>1268A</t>
    <phoneticPr fontId="12" type="noConversion"/>
  </si>
  <si>
    <t>1268B</t>
    <phoneticPr fontId="12" type="noConversion"/>
  </si>
  <si>
    <t>1269A</t>
    <phoneticPr fontId="12" type="noConversion"/>
  </si>
  <si>
    <t>1270A</t>
    <phoneticPr fontId="12" type="noConversion"/>
  </si>
  <si>
    <t>RAKEN</t>
    <phoneticPr fontId="12" type="noConversion"/>
  </si>
  <si>
    <t>A2514_RPN(RAKEN)</t>
    <phoneticPr fontId="12" type="noConversion"/>
  </si>
  <si>
    <t>A2514N_RPN(RAKEN)</t>
    <phoneticPr fontId="12" type="noConversion"/>
  </si>
  <si>
    <t>A2514_RPN(AMTRAN)</t>
    <phoneticPr fontId="12" type="noConversion"/>
  </si>
  <si>
    <t>A2514N_RPN(AMTRAN)</t>
    <phoneticPr fontId="12" type="noConversion"/>
  </si>
  <si>
    <t>A2514_RPN(HKC)</t>
    <phoneticPr fontId="12" type="noConversion"/>
  </si>
  <si>
    <t>A2514N_RPN(HKC)</t>
    <phoneticPr fontId="12" type="noConversion"/>
  </si>
  <si>
    <t>A3514_RPN(HKC)</t>
    <phoneticPr fontId="12" type="noConversion"/>
  </si>
  <si>
    <t>A3514N_RPN(HKC)</t>
    <phoneticPr fontId="12" type="noConversion"/>
  </si>
  <si>
    <t>A2514_RPN(AUO)</t>
    <phoneticPr fontId="12" type="noConversion"/>
  </si>
  <si>
    <t>A2514N_RPN(AUO)</t>
    <phoneticPr fontId="12" type="noConversion"/>
  </si>
  <si>
    <t>A3514_RPN(AUO)</t>
    <phoneticPr fontId="12" type="noConversion"/>
  </si>
  <si>
    <t>A3514N_RPN(AUO)</t>
    <phoneticPr fontId="12" type="noConversion"/>
  </si>
  <si>
    <t>A2514_RPN(Foxconn)</t>
    <phoneticPr fontId="12" type="noConversion"/>
  </si>
  <si>
    <t>A2514N_RPN(Foxconn)</t>
    <phoneticPr fontId="12" type="noConversion"/>
  </si>
  <si>
    <t>A3514_RPN(Foxconn)</t>
    <phoneticPr fontId="12" type="noConversion"/>
  </si>
  <si>
    <t>A3514N_RPN(Foxconn)</t>
    <phoneticPr fontId="12" type="noConversion"/>
  </si>
  <si>
    <t>TPV</t>
    <phoneticPr fontId="12" type="noConversion"/>
  </si>
  <si>
    <t>A2514_RPN(TPV)</t>
    <phoneticPr fontId="12" type="noConversion"/>
  </si>
  <si>
    <t>A2514N_RPN(TPV)</t>
    <phoneticPr fontId="12" type="noConversion"/>
  </si>
  <si>
    <t>A4024_FPN_C(TL)</t>
    <phoneticPr fontId="12" type="noConversion"/>
  </si>
  <si>
    <t>A6024N_FPN_C(TL)</t>
    <phoneticPr fontId="12" type="noConversion"/>
  </si>
  <si>
    <t>A4024_FPN_C(GGEC)</t>
    <phoneticPr fontId="12" type="noConversion"/>
  </si>
  <si>
    <t>A10020_DPN</t>
    <phoneticPr fontId="12" type="noConversion"/>
  </si>
  <si>
    <t>-</t>
    <phoneticPr fontId="12" type="noConversion"/>
  </si>
  <si>
    <t>PN029WCW-TANK(C)</t>
    <phoneticPr fontId="12" type="noConversion"/>
  </si>
  <si>
    <t>PN105WCW-RY</t>
    <phoneticPr fontId="12" type="noConversion"/>
  </si>
  <si>
    <t>PN185WCW-VF(TW)</t>
    <phoneticPr fontId="12" type="noConversion"/>
  </si>
  <si>
    <t>PLN072-T0805630N2R-565</t>
    <phoneticPr fontId="12" type="noConversion"/>
  </si>
  <si>
    <t>V125S_APN</t>
    <phoneticPr fontId="12" type="noConversion"/>
  </si>
  <si>
    <t>V200SRN_CPN</t>
    <phoneticPr fontId="12" type="noConversion"/>
  </si>
  <si>
    <t>16913A</t>
    <phoneticPr fontId="12" type="noConversion"/>
  </si>
  <si>
    <t>CORETRONIC</t>
    <phoneticPr fontId="12" type="noConversion"/>
  </si>
  <si>
    <t>A5919N_DPNT V</t>
    <phoneticPr fontId="12" type="noConversion"/>
  </si>
  <si>
    <t>17248C</t>
    <phoneticPr fontId="12" type="noConversion"/>
  </si>
  <si>
    <t>PLN072-T0807630N2R-565</t>
    <phoneticPr fontId="12" type="noConversion"/>
  </si>
  <si>
    <t>PLN072-T0807650N2R-565</t>
    <phoneticPr fontId="12" type="noConversion"/>
  </si>
  <si>
    <t>PLN072-T0811730N2R-565</t>
    <phoneticPr fontId="12" type="noConversion"/>
  </si>
  <si>
    <t>PLN072-T0811750N2R-565</t>
    <phoneticPr fontId="12" type="noConversion"/>
  </si>
  <si>
    <t>PNA-MIGHTY_USA WH2</t>
    <phoneticPr fontId="12" type="noConversion"/>
  </si>
  <si>
    <t>PNA-MIGHTY_USA BK2</t>
    <phoneticPr fontId="12" type="noConversion"/>
  </si>
  <si>
    <t>V250SN_DPNB</t>
    <phoneticPr fontId="12" type="noConversion"/>
  </si>
  <si>
    <t>미주향</t>
    <phoneticPr fontId="12" type="noConversion"/>
  </si>
  <si>
    <t>A150KDN-VF_USA</t>
    <phoneticPr fontId="12" type="noConversion"/>
  </si>
  <si>
    <t>MCR-WMDBE-CWP(40W)</t>
    <phoneticPr fontId="12" type="noConversion"/>
  </si>
  <si>
    <t>990A</t>
    <phoneticPr fontId="12" type="noConversion"/>
  </si>
  <si>
    <t>A3514_RPN(TPV)</t>
    <phoneticPr fontId="12" type="noConversion"/>
  </si>
  <si>
    <t>A3514N_RPN(TPV)</t>
    <phoneticPr fontId="12" type="noConversion"/>
  </si>
  <si>
    <t>A4024_FPN_C(BJ_CKD)</t>
    <phoneticPr fontId="12" type="noConversion"/>
  </si>
  <si>
    <t>990C</t>
    <phoneticPr fontId="12" type="noConversion"/>
  </si>
  <si>
    <t>A3514_RPN(CC)</t>
    <phoneticPr fontId="12" type="noConversion"/>
  </si>
  <si>
    <t>A5919N_DPNS V</t>
    <phoneticPr fontId="12" type="noConversion"/>
  </si>
  <si>
    <t>A5919N_DPNSW V</t>
    <phoneticPr fontId="12" type="noConversion"/>
  </si>
  <si>
    <t>17247C</t>
    <phoneticPr fontId="12" type="noConversion"/>
  </si>
  <si>
    <t>17247D</t>
    <phoneticPr fontId="12" type="noConversion"/>
  </si>
  <si>
    <t>PLN051-B4025250N2U-560</t>
    <phoneticPr fontId="12" type="noConversion"/>
  </si>
  <si>
    <t>PN185WCW-VF(SG)</t>
    <phoneticPr fontId="12" type="noConversion"/>
  </si>
  <si>
    <t>17248A</t>
    <phoneticPr fontId="12" type="noConversion"/>
  </si>
  <si>
    <t>PLN073-B4025250N2U-560</t>
    <phoneticPr fontId="12" type="noConversion"/>
  </si>
  <si>
    <t>PLN073-B4048250N2U-560</t>
    <phoneticPr fontId="12" type="noConversion"/>
  </si>
  <si>
    <t>PN048WWJ-V3</t>
    <phoneticPr fontId="12" type="noConversion"/>
  </si>
  <si>
    <t>KTC</t>
    <phoneticPr fontId="12" type="noConversion"/>
  </si>
  <si>
    <t>A2514_RPN(KTC)</t>
    <phoneticPr fontId="12" type="noConversion"/>
  </si>
  <si>
    <t>A2514N_RPN(KTC)</t>
    <phoneticPr fontId="12" type="noConversion"/>
  </si>
  <si>
    <t>P2514_DPN</t>
    <phoneticPr fontId="12" type="noConversion"/>
  </si>
  <si>
    <t>PN029WCW-TANK(M)</t>
    <phoneticPr fontId="12" type="noConversion"/>
  </si>
  <si>
    <t>L43S6N_DVD_CKD</t>
  </si>
  <si>
    <t>L55S6N_DVD_CKD</t>
  </si>
  <si>
    <t>L65S6N_DVD_CKD</t>
  </si>
  <si>
    <t>1266B</t>
  </si>
  <si>
    <t>1267B</t>
  </si>
  <si>
    <t>1268B</t>
  </si>
  <si>
    <t>구</t>
    <phoneticPr fontId="12" type="noConversion"/>
  </si>
  <si>
    <t>X</t>
    <phoneticPr fontId="12" type="noConversion"/>
  </si>
  <si>
    <t>신</t>
    <phoneticPr fontId="12" type="noConversion"/>
  </si>
  <si>
    <t>구</t>
    <phoneticPr fontId="12" type="noConversion"/>
  </si>
  <si>
    <t>X</t>
    <phoneticPr fontId="12" type="noConversion"/>
  </si>
  <si>
    <t>L43S6_DVD_CKD_SEASA</t>
  </si>
  <si>
    <t>1266A</t>
  </si>
  <si>
    <t>L55S6_DVD_CKD_SEASA</t>
  </si>
  <si>
    <t>1267A</t>
  </si>
  <si>
    <t>L65S6_DVD_CKD_SEASA</t>
  </si>
  <si>
    <t>1268A</t>
  </si>
  <si>
    <t>L75S6N_DVD_CKD_SEASA</t>
  </si>
  <si>
    <t>1269A</t>
  </si>
  <si>
    <t>A3514_RPN(AMTRAN)</t>
  </si>
  <si>
    <t>A3514N_RPN(AMTRAN)</t>
  </si>
  <si>
    <t>A3514_RPN(BOE)</t>
  </si>
  <si>
    <t>A3514N_RPN(BOE)</t>
  </si>
  <si>
    <t>PLN021-T0936440N2C-565</t>
    <phoneticPr fontId="12" type="noConversion"/>
  </si>
  <si>
    <t>PLN072-T0811350N2R-565F</t>
    <phoneticPr fontId="12" type="noConversion"/>
  </si>
  <si>
    <t>PLN072-T0816350N2R-565F</t>
    <phoneticPr fontId="12" type="noConversion"/>
  </si>
  <si>
    <t>PN041WCW-TANK(A)</t>
    <phoneticPr fontId="12" type="noConversion"/>
  </si>
  <si>
    <t>0715A</t>
    <phoneticPr fontId="12" type="noConversion"/>
  </si>
  <si>
    <t>0715B</t>
    <phoneticPr fontId="12" type="noConversion"/>
  </si>
  <si>
    <t>0715C</t>
    <phoneticPr fontId="12" type="noConversion"/>
  </si>
  <si>
    <t>0715D</t>
    <phoneticPr fontId="12" type="noConversion"/>
  </si>
  <si>
    <t>0715E</t>
    <phoneticPr fontId="12" type="noConversion"/>
  </si>
  <si>
    <t>0715F</t>
    <phoneticPr fontId="12" type="noConversion"/>
  </si>
  <si>
    <t>0715G</t>
    <phoneticPr fontId="12" type="noConversion"/>
  </si>
  <si>
    <t>0715H</t>
    <phoneticPr fontId="12" type="noConversion"/>
  </si>
  <si>
    <t>0715J</t>
    <phoneticPr fontId="12" type="noConversion"/>
  </si>
  <si>
    <t>0715K</t>
    <phoneticPr fontId="12" type="noConversion"/>
  </si>
  <si>
    <t>A2515_FPN</t>
  </si>
  <si>
    <t>A2515_FPNW</t>
  </si>
  <si>
    <t>A4520_FPN</t>
  </si>
  <si>
    <t>A4520_FPNW</t>
  </si>
  <si>
    <t>P2514N_DPN</t>
  </si>
  <si>
    <t>P2514Z_DPN</t>
  </si>
  <si>
    <t>PN048WCW-TANK(M)</t>
    <phoneticPr fontId="12" type="noConversion"/>
  </si>
  <si>
    <t>PN085SHA-VF(PI)</t>
    <phoneticPr fontId="12" type="noConversion"/>
  </si>
  <si>
    <t>0795C</t>
    <phoneticPr fontId="12" type="noConversion"/>
  </si>
  <si>
    <t>PNA-CHAMP_USA WH</t>
  </si>
  <si>
    <t>PNA-CHAMP_USA BG</t>
  </si>
  <si>
    <t>PNA-MAGNUM_USA WH(WIFI)</t>
  </si>
  <si>
    <t>PNA-MAGNUM_USA BG(WIFI)</t>
  </si>
  <si>
    <t>챔프</t>
    <phoneticPr fontId="12" type="noConversion"/>
  </si>
  <si>
    <t>매그넘</t>
    <phoneticPr fontId="12" type="noConversion"/>
  </si>
  <si>
    <t>APR</t>
    <phoneticPr fontId="12" type="noConversion"/>
  </si>
  <si>
    <t>배터리</t>
    <phoneticPr fontId="12" type="noConversion"/>
  </si>
  <si>
    <t>CEL 602053-700mAh</t>
  </si>
  <si>
    <t>CEL 3S1P-603063-1400mAh</t>
  </si>
  <si>
    <t>CEL 113840-1900mAh</t>
    <phoneticPr fontId="12" type="noConversion"/>
  </si>
  <si>
    <t>PLN021-T0809140T4R-565</t>
    <phoneticPr fontId="12" type="noConversion"/>
  </si>
  <si>
    <t>V220SB_FPN</t>
    <phoneticPr fontId="12" type="noConversion"/>
  </si>
  <si>
    <t>V380SW_FPN</t>
    <phoneticPr fontId="12" type="noConversion"/>
  </si>
  <si>
    <t>A2514_RPN_CKD</t>
  </si>
  <si>
    <t>A3514_RPN_CKD</t>
  </si>
  <si>
    <t>업    체</t>
  </si>
  <si>
    <t>(모델명)</t>
  </si>
  <si>
    <t>모델명</t>
  </si>
  <si>
    <t>합계 : 수량</t>
  </si>
  <si>
    <t>합계 : 금액</t>
  </si>
  <si>
    <t xml:space="preserve"> EASTECH(동아)
(혜주)</t>
  </si>
  <si>
    <t>16912A</t>
  </si>
  <si>
    <t>799B</t>
    <phoneticPr fontId="3" type="noConversion"/>
  </si>
  <si>
    <t>862A</t>
    <phoneticPr fontId="3" type="noConversion"/>
  </si>
  <si>
    <t>AH81-15048C</t>
  </si>
  <si>
    <t>AH81-15048D</t>
  </si>
  <si>
    <t>AH81-15505A</t>
  </si>
  <si>
    <t>V250SN_APND</t>
  </si>
  <si>
    <t xml:space="preserve"> SAMEX
 (멕시코)</t>
  </si>
  <si>
    <t>P230NQ_TPN</t>
  </si>
  <si>
    <t>1098A</t>
  </si>
  <si>
    <t>P4519_APN</t>
  </si>
  <si>
    <t>1117C</t>
  </si>
  <si>
    <t>L43F7_DPN</t>
  </si>
  <si>
    <t>1118C</t>
  </si>
  <si>
    <t>L50F7_DPN</t>
  </si>
  <si>
    <t>1132C</t>
  </si>
  <si>
    <t>P6519_APN  HF</t>
  </si>
  <si>
    <t>1137A</t>
  </si>
  <si>
    <t>A10024_APN</t>
  </si>
  <si>
    <t>1138C</t>
  </si>
  <si>
    <t>P10020_APN  HF</t>
  </si>
  <si>
    <t>1139C</t>
  </si>
  <si>
    <t>P4519S_APN  HF</t>
  </si>
  <si>
    <t>1207B</t>
  </si>
  <si>
    <t>A22020_BPN(EI)</t>
  </si>
  <si>
    <t>887A</t>
  </si>
  <si>
    <t>A5919_KPNL</t>
  </si>
  <si>
    <t>A2514_RPN</t>
  </si>
  <si>
    <t>A3514_RPN</t>
  </si>
  <si>
    <t xml:space="preserve"> SEH
(헝가리)</t>
  </si>
  <si>
    <t>1066D</t>
  </si>
  <si>
    <t>P270NQ_APND</t>
  </si>
  <si>
    <t>1119C</t>
  </si>
  <si>
    <t>L55F8_DPN</t>
  </si>
  <si>
    <t>746F</t>
  </si>
  <si>
    <t>L23S0DSR_MPN</t>
  </si>
  <si>
    <t>746G</t>
  </si>
  <si>
    <t>L23S0DSR_RPN</t>
  </si>
  <si>
    <t xml:space="preserve"> SESK
(슬로바키아)</t>
  </si>
  <si>
    <t xml:space="preserve"> SIEL C
(인도)</t>
  </si>
  <si>
    <t>P270NQ_TPN</t>
  </si>
  <si>
    <t xml:space="preserve"> 기타</t>
  </si>
  <si>
    <t>AUO</t>
  </si>
  <si>
    <t>A2514_RPN(BOE)</t>
  </si>
  <si>
    <t>A2514N_RPN(BOE)</t>
  </si>
  <si>
    <t>A3514N_RPN</t>
  </si>
  <si>
    <t>BUMJIN
(혜주)</t>
  </si>
  <si>
    <t>AH81-09783A</t>
  </si>
  <si>
    <t>A4024_FPN_C(BJ)</t>
  </si>
  <si>
    <t>AH81-12828A</t>
  </si>
  <si>
    <t>A10024_NPNTA</t>
  </si>
  <si>
    <t>AH81-14824A</t>
  </si>
  <si>
    <t>AH81-15505B</t>
  </si>
  <si>
    <t>V250S_DPNB</t>
  </si>
  <si>
    <t>CORETRONICS</t>
  </si>
  <si>
    <t>A10020_DPN</t>
  </si>
  <si>
    <t>FOXCONN</t>
  </si>
  <si>
    <t>GUOGUANG</t>
  </si>
  <si>
    <t>HKC</t>
  </si>
  <si>
    <t>HVV</t>
  </si>
  <si>
    <t>EP06-004364B</t>
  </si>
  <si>
    <t>PN053HTCA-9300RW</t>
  </si>
  <si>
    <t>RAKEN VN</t>
  </si>
  <si>
    <t>Raymond
(레이몬드)</t>
  </si>
  <si>
    <t>PN052MWJ-VF(B)</t>
  </si>
  <si>
    <t>PN052MWJ-VF(C)</t>
  </si>
  <si>
    <t>PN052MWJ-VF(D)</t>
  </si>
  <si>
    <t>PN054ACW-JAGUAR(B)</t>
  </si>
  <si>
    <t>PN054ACW-JAGUAR(TW)</t>
  </si>
  <si>
    <t>PNC13ACW-VF</t>
  </si>
  <si>
    <t>SEDA M</t>
  </si>
  <si>
    <t>L55S6_DVD</t>
  </si>
  <si>
    <t>L65S6_DVD</t>
  </si>
  <si>
    <t>L75S6N_DVD</t>
  </si>
  <si>
    <t>SEEG
(이집트)</t>
  </si>
  <si>
    <t>1098B</t>
  </si>
  <si>
    <t>P4519N_APN</t>
  </si>
  <si>
    <t>L55S6N_DVD</t>
  </si>
  <si>
    <t>L65S6N_DVD</t>
  </si>
  <si>
    <t>1270A</t>
  </si>
  <si>
    <t>L85S6N_DVD</t>
  </si>
  <si>
    <t>749K</t>
  </si>
  <si>
    <t>P2514_BPN  HF</t>
  </si>
  <si>
    <t>887D</t>
  </si>
  <si>
    <t>A5919_KPNL_WW</t>
  </si>
  <si>
    <t>SEHC</t>
  </si>
  <si>
    <t>1122A</t>
  </si>
  <si>
    <t>F24SFD_APN</t>
  </si>
  <si>
    <t>1150C</t>
  </si>
  <si>
    <t>P3514_APN  HF</t>
  </si>
  <si>
    <t>1256A</t>
  </si>
  <si>
    <t>F32E6_CPN</t>
  </si>
  <si>
    <t>749F</t>
  </si>
  <si>
    <t>P2514_TPN C</t>
  </si>
  <si>
    <t>749J</t>
  </si>
  <si>
    <t>P2514N_BPN  HF</t>
  </si>
  <si>
    <t>842F</t>
  </si>
  <si>
    <t>P2514Z_TPNC</t>
  </si>
  <si>
    <t>882B</t>
  </si>
  <si>
    <t>F32E1P_RPN</t>
  </si>
  <si>
    <t>SEHC(가전)</t>
  </si>
  <si>
    <t>A3026E_RPN  v</t>
  </si>
  <si>
    <t>A3026K_RPN  v</t>
  </si>
  <si>
    <t>A3630E_TPN  v</t>
  </si>
  <si>
    <t>South Africa(남아공)</t>
  </si>
  <si>
    <t>A2514N_RPN</t>
  </si>
  <si>
    <t>SSEC(가전)</t>
  </si>
  <si>
    <t>PN025SHA-24205G</t>
  </si>
  <si>
    <t>TONLY</t>
  </si>
  <si>
    <t>TPV</t>
  </si>
  <si>
    <t>WHF</t>
  </si>
  <si>
    <t xml:space="preserve"> PSPN2-TYPE5H-V2 A-SR</t>
  </si>
  <si>
    <t>JC44-00090H</t>
  </si>
  <si>
    <t>PSPN2-TYPE3-V2</t>
  </si>
  <si>
    <t>JC44-00169A</t>
  </si>
  <si>
    <t>PN034SPR-HV</t>
  </si>
  <si>
    <t>JC44-00177A</t>
  </si>
  <si>
    <t>PN035SPR-HV</t>
  </si>
  <si>
    <t>JC44-00206D</t>
  </si>
  <si>
    <t>JC44-00212D</t>
  </si>
  <si>
    <t>PNX4300-CITRINE</t>
  </si>
  <si>
    <t>JC44-00214C</t>
  </si>
  <si>
    <t>CARLSEN-V2 R</t>
  </si>
  <si>
    <t>JC44-00223G</t>
  </si>
  <si>
    <t>PSPN2-TYPE3R-V2 A(Lite)</t>
  </si>
  <si>
    <t>JC44-00241B</t>
  </si>
  <si>
    <t>K7600-TIGER-HVPS</t>
  </si>
  <si>
    <t>JC44-00242A</t>
  </si>
  <si>
    <t>PNC3010-HV</t>
  </si>
  <si>
    <t>ZYLUX</t>
  </si>
  <si>
    <t>경동나비엔</t>
  </si>
  <si>
    <t>A150KDN-VF(GRAY)</t>
  </si>
  <si>
    <t>뉴모텍</t>
  </si>
  <si>
    <t>A3630K_TPN  v</t>
  </si>
  <si>
    <t>대덕코퍼레이션</t>
  </si>
  <si>
    <t>PLN072-T0807150N2R-565</t>
  </si>
  <si>
    <t>대덕코퍼레이션(중계)</t>
  </si>
  <si>
    <t>PLN021-T0814350T4R-565</t>
  </si>
  <si>
    <t>PLN051-B4015250N2S-565</t>
  </si>
  <si>
    <t>PLN051-B4025250N2S-565</t>
  </si>
  <si>
    <t>PLN051-B4031250N2S-565</t>
  </si>
  <si>
    <t>PLN072-T0811350N2R-565</t>
  </si>
  <si>
    <t>PLN072-T0816350N2D-565</t>
  </si>
  <si>
    <t>PLN072-T0816350N2R-565</t>
  </si>
  <si>
    <t>두영실업</t>
  </si>
  <si>
    <t>A6524_NPNL_BESPOKE</t>
  </si>
  <si>
    <t>머큐리</t>
  </si>
  <si>
    <t>MCR-WMSBE-CWP(40W)</t>
  </si>
  <si>
    <t>삼성 VD</t>
  </si>
  <si>
    <t>삼성생활가전</t>
  </si>
  <si>
    <t>A2626_TPN_W</t>
  </si>
  <si>
    <t>A3026A_RPN</t>
  </si>
  <si>
    <t>A3026H_RPN</t>
  </si>
  <si>
    <t>A3026U_RPN</t>
  </si>
  <si>
    <t>PN003SHA(B)</t>
  </si>
  <si>
    <t>PN003SHA(C)</t>
  </si>
  <si>
    <t>PN003SHA(D)</t>
  </si>
  <si>
    <t>PN003SHA(E)</t>
  </si>
  <si>
    <t>PN003SHA(F)</t>
  </si>
  <si>
    <t>PN005SHA(A)</t>
  </si>
  <si>
    <t>PN008SHA(A)</t>
  </si>
  <si>
    <t>PN015SHA(A)</t>
  </si>
  <si>
    <t>PN085SHA-VF</t>
  </si>
  <si>
    <t>관세환급금</t>
  </si>
  <si>
    <t>세고스</t>
  </si>
  <si>
    <t>워피온</t>
  </si>
  <si>
    <t>재원정밀</t>
  </si>
  <si>
    <t>PN050ACW-AMKEY(A)</t>
  </si>
  <si>
    <t>코웨이(유구)</t>
  </si>
  <si>
    <t>PN003ACW-CLASSIC</t>
  </si>
  <si>
    <t>PN003ACW-CLASSIC(BO)</t>
  </si>
  <si>
    <t>PN003ACW-CLASSIC(MY)</t>
  </si>
  <si>
    <t>PN003ACW-CLASSIC2</t>
  </si>
  <si>
    <t>PN006WCW-FND</t>
  </si>
  <si>
    <t>PN011MWJ-VF(A)</t>
  </si>
  <si>
    <t>PN020ACW-V2</t>
  </si>
  <si>
    <t>PN020ACW-V2(A)</t>
  </si>
  <si>
    <t>PN022WWJ-VF</t>
  </si>
  <si>
    <t>PN022WWJ-VF(A-1)</t>
  </si>
  <si>
    <t>PN022WWJ-VF(B-1)</t>
  </si>
  <si>
    <t>PN029WCW-TANK(C)</t>
  </si>
  <si>
    <t>PN036MWJ-VF</t>
  </si>
  <si>
    <t>PN036MWJ-VF(A)</t>
  </si>
  <si>
    <t>PN036MWJ-VF(C)</t>
  </si>
  <si>
    <t>PN037WCW-V1</t>
  </si>
  <si>
    <t>PN037WCW-VF</t>
  </si>
  <si>
    <t>PN037WCW-VF(A)</t>
  </si>
  <si>
    <t>PN037WCW-VF(EU)</t>
  </si>
  <si>
    <t>PN037WCW-VF(M)</t>
  </si>
  <si>
    <t>PN040WWJ-V2</t>
  </si>
  <si>
    <t>PN045WCW-FILTER</t>
  </si>
  <si>
    <t>PN045WCW-VDC(B)</t>
  </si>
  <si>
    <t>PN047WCW-VF</t>
  </si>
  <si>
    <t>PN048WWJ-V1</t>
  </si>
  <si>
    <t>PN048WWJ-VF</t>
  </si>
  <si>
    <t>PN048WWJ-VF(A)</t>
  </si>
  <si>
    <t>PN048WWJ-VF(A)R</t>
  </si>
  <si>
    <t>PN048WWJ-VF(B)</t>
  </si>
  <si>
    <t>PN048WWJ-VF(CN)</t>
  </si>
  <si>
    <t>PN048WWJ-VF(M)</t>
  </si>
  <si>
    <t>PN052MWJ-VF(E)</t>
  </si>
  <si>
    <t>PN052MWJ-VF(J)</t>
  </si>
  <si>
    <t>PN053WWJ-VF</t>
  </si>
  <si>
    <t>PN053WWJ-VF(C)</t>
  </si>
  <si>
    <t>PN060WCW-VF</t>
  </si>
  <si>
    <t>PN105WCW-RY</t>
  </si>
  <si>
    <t>PN105WCW-VF</t>
  </si>
  <si>
    <t>PN105WCW-VF(C)</t>
  </si>
  <si>
    <t>PN120MWJ-VF</t>
  </si>
  <si>
    <t>PN120MWJ-VF(D)</t>
  </si>
  <si>
    <t>PN120MWJ-VF(E)</t>
  </si>
  <si>
    <t>PN120MWJ-VF(G)</t>
  </si>
  <si>
    <t>PN120MWJ-VF(I)</t>
  </si>
  <si>
    <t>PN120MWJ-VF(J)</t>
  </si>
  <si>
    <t>PN130ACW-VF</t>
  </si>
  <si>
    <t>PN180WWJ-VF(B)</t>
  </si>
  <si>
    <t>PN185WCW-VF(B)</t>
  </si>
  <si>
    <t>PN185WCW-VF(TW)</t>
  </si>
  <si>
    <t>PN20E-24J11</t>
  </si>
  <si>
    <t>PN20K-24J33</t>
  </si>
  <si>
    <t>PN20T-24J33</t>
  </si>
  <si>
    <t>PN20U-24J33</t>
  </si>
  <si>
    <t>PN270WCW-VF</t>
  </si>
  <si>
    <t>PNC01ACW-VF</t>
  </si>
  <si>
    <t>PNC12ACW-VF</t>
  </si>
  <si>
    <t>코웨이(인천)</t>
  </si>
  <si>
    <t>PN021BWJ-VF(A)</t>
  </si>
  <si>
    <t>PN021BWJ-VF(B)</t>
  </si>
  <si>
    <t>PN031BCW-VF(A)</t>
  </si>
  <si>
    <t>PN038BWJ-VF(A)</t>
  </si>
  <si>
    <t>PN039BCW-VF</t>
  </si>
  <si>
    <t>PN049BCW-VF</t>
  </si>
  <si>
    <t>PN051BCW-VF</t>
  </si>
  <si>
    <t>PN051BCW-VF(A)</t>
  </si>
  <si>
    <t>PN051BCW-VF(B)</t>
  </si>
  <si>
    <t>PN185WCW-VF(C)</t>
  </si>
  <si>
    <t>PN185WCW-VF(D)</t>
  </si>
  <si>
    <t>코웨이(포천)</t>
  </si>
  <si>
    <t>PN034WCW-PUMP(A)</t>
  </si>
  <si>
    <t>PN036MWJ-VF(D)</t>
  </si>
  <si>
    <t>파세코</t>
  </si>
  <si>
    <t>PN080MCW-VF</t>
  </si>
  <si>
    <t>파츠플러스</t>
  </si>
  <si>
    <t>PN009SHA(D)</t>
  </si>
  <si>
    <t>PN110SHA-VF</t>
  </si>
  <si>
    <t>SLPS_602FCOT</t>
  </si>
  <si>
    <t>플라텔</t>
  </si>
  <si>
    <t>한화비전</t>
  </si>
  <si>
    <t>EP06-005401A</t>
  </si>
  <si>
    <t>PN054HTCA-3440RQPZ</t>
  </si>
  <si>
    <t>월</t>
    <phoneticPr fontId="3" type="noConversion"/>
  </si>
  <si>
    <t>1월</t>
    <phoneticPr fontId="3" type="noConversion"/>
  </si>
  <si>
    <t>업체</t>
    <phoneticPr fontId="3" type="noConversion"/>
  </si>
  <si>
    <t>AV JDM</t>
    <phoneticPr fontId="3" type="noConversion"/>
  </si>
  <si>
    <t>기타</t>
    <phoneticPr fontId="3" type="noConversion"/>
  </si>
  <si>
    <t>MNT JDM</t>
    <phoneticPr fontId="3" type="noConversion"/>
  </si>
  <si>
    <t>JDM</t>
    <phoneticPr fontId="3" type="noConversion"/>
  </si>
  <si>
    <t>한화비전</t>
    <phoneticPr fontId="3" type="noConversion"/>
  </si>
  <si>
    <t>경동나비엔</t>
    <phoneticPr fontId="3" type="noConversion"/>
  </si>
  <si>
    <t>대덕</t>
    <phoneticPr fontId="3" type="noConversion"/>
  </si>
  <si>
    <t>머큐리</t>
    <phoneticPr fontId="3" type="noConversion"/>
  </si>
  <si>
    <t>대분류</t>
    <phoneticPr fontId="3" type="noConversion"/>
  </si>
  <si>
    <t>16913A</t>
  </si>
  <si>
    <t>V200SRN_CPN</t>
  </si>
  <si>
    <t>AH81-11226A</t>
  </si>
  <si>
    <t>AMTRAN VN</t>
  </si>
  <si>
    <t>A2514_RPN(AMTRAN)</t>
  </si>
  <si>
    <t>A2514N_RPN(AMTRAN)</t>
  </si>
  <si>
    <t>A2514_RPN(AUO)</t>
  </si>
  <si>
    <t>A2514N_RPN(AUO)</t>
  </si>
  <si>
    <t>A3514_RPN(AUO)</t>
  </si>
  <si>
    <t>V100SN_APN</t>
  </si>
  <si>
    <t>A3514_RPN(Foxconn)</t>
  </si>
  <si>
    <t>A2514_RPN(HKC)</t>
  </si>
  <si>
    <t>A3514_RPN(HKC)</t>
  </si>
  <si>
    <t>EP06-000337</t>
  </si>
  <si>
    <t>W4(PN005STCA(N))</t>
  </si>
  <si>
    <t>1024A</t>
  </si>
  <si>
    <t>A14024_TPN</t>
  </si>
  <si>
    <t>1024B</t>
  </si>
  <si>
    <t>887E</t>
  </si>
  <si>
    <t>A5919_KPNL_WW(W)</t>
  </si>
  <si>
    <t>A2514_RPN(TPV)</t>
  </si>
  <si>
    <t>JC44-00205A</t>
  </si>
  <si>
    <t>JC44-00213C</t>
  </si>
  <si>
    <t>CARLSEN-V1 R</t>
  </si>
  <si>
    <t>JC44-00237D</t>
  </si>
  <si>
    <t>PNK4350-PEARL</t>
  </si>
  <si>
    <t>JC44-00243A</t>
  </si>
  <si>
    <t>PNC3020-HV</t>
  </si>
  <si>
    <t>XINBAO
(동림전자)</t>
  </si>
  <si>
    <t>PN001ACW-MAIN(EU)</t>
  </si>
  <si>
    <t>PLN072-T0827850N2R-565</t>
  </si>
  <si>
    <t>PLN051-B2007150N2S-565</t>
  </si>
  <si>
    <t>PLN051-B4012250N2S-565</t>
  </si>
  <si>
    <t>PLN051-B4039250N2S-565</t>
  </si>
  <si>
    <t>PLN072-T0805630N2R-565</t>
  </si>
  <si>
    <t>PLN072-T0807550N2R-565</t>
  </si>
  <si>
    <t>동인하이텍</t>
  </si>
  <si>
    <t>PN051BCW-HEATER</t>
  </si>
  <si>
    <t>MCR-WMSBI-CWP(40)</t>
  </si>
  <si>
    <t>무등스크린</t>
  </si>
  <si>
    <t>PN011SHA(C)</t>
  </si>
  <si>
    <t>PN011SHA(D)</t>
  </si>
  <si>
    <t>A3630K_TPN</t>
  </si>
  <si>
    <t>PN008SHA(B)</t>
  </si>
  <si>
    <t>에이치피프린팅코리아</t>
  </si>
  <si>
    <t>PN019AWJ-V2</t>
  </si>
  <si>
    <t>PN037WCW-VF(T)</t>
  </si>
  <si>
    <t>PN043WCW-TANK(SA)</t>
  </si>
  <si>
    <t>PN053WWJ-VF(A)</t>
  </si>
  <si>
    <t>PN105WCW-VF(A)</t>
  </si>
  <si>
    <t>PN130ACW-VF(A)</t>
  </si>
  <si>
    <t>PN20E-24J33</t>
  </si>
  <si>
    <t>PN021BWJ-VF</t>
  </si>
  <si>
    <t>PN115WCW-VF(M)</t>
  </si>
  <si>
    <t>2월</t>
    <phoneticPr fontId="3" type="noConversion"/>
  </si>
  <si>
    <t>A5919N_DPNT V</t>
  </si>
  <si>
    <t>V250SN_DPNB</t>
  </si>
  <si>
    <t>A2514_RPN(Foxconn)</t>
  </si>
  <si>
    <t>A2514N_RPN(Foxconn)</t>
  </si>
  <si>
    <t>EP06-001005</t>
  </si>
  <si>
    <t>PN020STCA-NWF(A)</t>
  </si>
  <si>
    <t>PN054ACW-JAGUAR(IN)</t>
  </si>
  <si>
    <t>887F</t>
  </si>
  <si>
    <t>A5919_KPNL(W)</t>
  </si>
  <si>
    <t>A4024_FPN_C(TL)</t>
  </si>
  <si>
    <t>A2514N_RPN(TPV)</t>
  </si>
  <si>
    <t>JC44-00223D</t>
  </si>
  <si>
    <t>PSPN2-TYPE3R-V2</t>
  </si>
  <si>
    <t>JC44-00240C</t>
  </si>
  <si>
    <t>PNMX7N-HV</t>
  </si>
  <si>
    <t>A3026E_RPN</t>
  </si>
  <si>
    <t>PLN021-T0809150T4R-565</t>
  </si>
  <si>
    <t>PLN021-T1019365T4S-562</t>
  </si>
  <si>
    <t>PLN072-T0807630N2R-565</t>
  </si>
  <si>
    <t>PLN072-T0807650N2R-565</t>
  </si>
  <si>
    <t xml:space="preserve">PLN072-T0811730N2R-565 </t>
  </si>
  <si>
    <t xml:space="preserve">PLN072-T0811750N2R-565 </t>
  </si>
  <si>
    <t>PLL035-D14-37MN</t>
  </si>
  <si>
    <t>PLN021-T0822350T4R-560</t>
  </si>
  <si>
    <t>PLN021-T0936450N2C-565</t>
  </si>
  <si>
    <t>PLN072-T0811730N2R-565</t>
  </si>
  <si>
    <t>PLN072-T0811750N2R-565</t>
  </si>
  <si>
    <t>대창</t>
  </si>
  <si>
    <t>A11024_TPN</t>
  </si>
  <si>
    <t>무궁화전자</t>
  </si>
  <si>
    <t>A2626K_APN  v</t>
  </si>
  <si>
    <t>PN001SHA-V2</t>
  </si>
  <si>
    <t>알비코리아
(코웨이)</t>
  </si>
  <si>
    <t>PN013MCW-V2</t>
  </si>
  <si>
    <t>제성</t>
  </si>
  <si>
    <t>코웨이 EMS</t>
  </si>
  <si>
    <t>PNA-MIGHTY_USA BK2</t>
  </si>
  <si>
    <t>PNA-MIGHTY_USA WH2</t>
  </si>
  <si>
    <t>PN011MWJ-V1</t>
  </si>
  <si>
    <t>PN053WWJ-VF(B)</t>
  </si>
  <si>
    <t>PN20A-24J33</t>
  </si>
  <si>
    <t>PN026BWJ-S1400</t>
  </si>
  <si>
    <t>PN026BWJ-VF(A)</t>
  </si>
  <si>
    <t>PN038BWJ-VF</t>
  </si>
  <si>
    <t>PN185WCW-VF(M)</t>
  </si>
  <si>
    <t>PN009SHA(B)</t>
  </si>
  <si>
    <t>플로우웨이</t>
  </si>
  <si>
    <t>A5919N_DPNS V</t>
  </si>
  <si>
    <t>A5919N_DPNSW V</t>
  </si>
  <si>
    <t>A3514N_RPN(AUO)</t>
  </si>
  <si>
    <t>AH81-13976A</t>
  </si>
  <si>
    <t>A4024_FPN_C(GGEC)</t>
  </si>
  <si>
    <t>887G</t>
  </si>
  <si>
    <t>A5919N_KPNL_ITE</t>
  </si>
  <si>
    <t>A3630T_TPN  v</t>
  </si>
  <si>
    <t>JC44-00196A</t>
  </si>
  <si>
    <t>PN032SPR-HV</t>
  </si>
  <si>
    <t>JC44-00237C</t>
  </si>
  <si>
    <t>PNK4350-R-HV</t>
  </si>
  <si>
    <t>PLN021-T0916350N2R-565F</t>
  </si>
  <si>
    <t>PLN072-T0820350N2R-565</t>
  </si>
  <si>
    <t>PLN021-T0911350N2R-565F</t>
  </si>
  <si>
    <t>PLN051-B4019250N2S-565</t>
  </si>
  <si>
    <t>PLN051-B4025250N2U-560</t>
  </si>
  <si>
    <t>PLN051-B4031265N2S-565</t>
  </si>
  <si>
    <t>PLN072-T0805750N2R-565</t>
  </si>
  <si>
    <t>MCR-WMDBE-CWP(40W)</t>
  </si>
  <si>
    <t>MCR-WMSBE-CWP(48M)</t>
  </si>
  <si>
    <t>SLPS-250FEOT</t>
  </si>
  <si>
    <t>PN018ACW-PLASMA</t>
  </si>
  <si>
    <t>PN018ACW-VF(A)</t>
  </si>
  <si>
    <t>PN020WWJ-VDC</t>
  </si>
  <si>
    <t>PN185WCW-VF(SG)</t>
  </si>
  <si>
    <t>4월</t>
  </si>
  <si>
    <t>A3514N_RPN(HKC)</t>
  </si>
  <si>
    <t>PN016ACW-VF(A)</t>
  </si>
  <si>
    <t>990C</t>
  </si>
  <si>
    <t>A3514_RPN(CC)</t>
  </si>
  <si>
    <t>A3026T_RPN  v</t>
  </si>
  <si>
    <t>A3514_RPN(TPV)</t>
  </si>
  <si>
    <t>A3514N_RPN(TPV)</t>
  </si>
  <si>
    <t>635F4-60009</t>
  </si>
  <si>
    <t>KINGBIRD-V2 N GWI</t>
  </si>
  <si>
    <t>A150KDN-VF_USA</t>
  </si>
  <si>
    <t>PLL035-D18-47MN</t>
  </si>
  <si>
    <t>PLN072-T0805650N2R-565</t>
  </si>
  <si>
    <t>PLN073-B4025250N2U-560</t>
  </si>
  <si>
    <t>PLN073-B4048250N2U-560</t>
  </si>
  <si>
    <t>PLN074-F5515330N2S-565</t>
  </si>
  <si>
    <t>PN048WWJ-V2</t>
  </si>
  <si>
    <t>PN048WWJ-V3</t>
  </si>
  <si>
    <t>PN052MWJ-VF(H)</t>
  </si>
  <si>
    <t>PNC03ACW-VF(IN)</t>
  </si>
  <si>
    <t>태양광</t>
  </si>
  <si>
    <t>PIP105-400</t>
  </si>
  <si>
    <t>5월</t>
  </si>
  <si>
    <t>단가차이</t>
  </si>
  <si>
    <t>반품처리</t>
  </si>
  <si>
    <t>EP06-004667A</t>
  </si>
  <si>
    <t>PN020STCA-NWF(B)</t>
  </si>
  <si>
    <t>KTC</t>
  </si>
  <si>
    <t>1266B CKD</t>
  </si>
  <si>
    <t>1267B CKD</t>
  </si>
  <si>
    <t>1268B CKD</t>
  </si>
  <si>
    <t>1066B CKD</t>
  </si>
  <si>
    <t>A3630H_TPN  v</t>
  </si>
  <si>
    <t>A3630U_TPN  v</t>
  </si>
  <si>
    <t>A6024N_FPN_C(TL)</t>
  </si>
  <si>
    <t>P2514_DPN</t>
  </si>
  <si>
    <t>ANTMAN-HVPS</t>
  </si>
  <si>
    <t>PN028HCW-VF</t>
  </si>
  <si>
    <t>PN029WCW-TANK(M)</t>
  </si>
  <si>
    <t>6월</t>
  </si>
  <si>
    <t>1266A CKD</t>
  </si>
  <si>
    <t>A3026H_RPN  v</t>
  </si>
  <si>
    <t>A3026U_RPN  v</t>
  </si>
  <si>
    <t>PLN021-T0936440N2C-565</t>
  </si>
  <si>
    <t>PLN072-T0811350N2R-565F</t>
  </si>
  <si>
    <t>PLN072-T0816350N2R-565F</t>
  </si>
  <si>
    <t>PLD077-D11</t>
  </si>
  <si>
    <t>MCR-WMSBE-CWP(40)</t>
  </si>
  <si>
    <t>V220SB_FPN</t>
  </si>
  <si>
    <t>V380SW_FPN</t>
  </si>
  <si>
    <t>오비오</t>
  </si>
  <si>
    <t>PN003ACW-CLASSIC(TW)</t>
  </si>
  <si>
    <t>PN041WCW-TANK(A)</t>
  </si>
  <si>
    <t>PN012DWJ-V2</t>
  </si>
  <si>
    <t>7월</t>
  </si>
  <si>
    <t>BP81-00715A</t>
  </si>
  <si>
    <t>BP81-00715B</t>
  </si>
  <si>
    <t>BP81-00715D</t>
  </si>
  <si>
    <t>BP81-00715E</t>
  </si>
  <si>
    <t>BP81-00715F</t>
  </si>
  <si>
    <t>BP81-00715J</t>
  </si>
  <si>
    <t>BP81-00715K</t>
  </si>
  <si>
    <t>PN001ACW-MAIN(CO)</t>
  </si>
  <si>
    <t>PN001ACW-MAIN(NKR)</t>
  </si>
  <si>
    <t>PN016ACW-WIFI(CO)</t>
  </si>
  <si>
    <t>JC44-00244A</t>
  </si>
  <si>
    <t>PNC3030-HV</t>
  </si>
  <si>
    <t>A150KDN-VF</t>
  </si>
  <si>
    <t>V180S_FPN</t>
  </si>
  <si>
    <t>PN085SHA-VF(PI)</t>
  </si>
  <si>
    <t>PN029WCW-VF</t>
  </si>
  <si>
    <t>PN048WCW-TANK(M)</t>
  </si>
  <si>
    <t>PN120MWJ-VF(A)</t>
  </si>
  <si>
    <t>PN120MWJ-VF(F)</t>
  </si>
  <si>
    <t>PN185WCW-MAIN(BORK)</t>
  </si>
  <si>
    <t>PN185WCW-VF(BORK)</t>
  </si>
  <si>
    <t>PN026BWJ-S1400(A)</t>
  </si>
  <si>
    <t>PN026BWJ-VF(E)</t>
  </si>
  <si>
    <t>8월</t>
  </si>
  <si>
    <t>A4024_FPN_C(BJ_CKD)</t>
  </si>
  <si>
    <t>HP Singapore</t>
  </si>
  <si>
    <t>Lite-on</t>
  </si>
  <si>
    <t>989A CKD</t>
  </si>
  <si>
    <t>990A CKD</t>
  </si>
  <si>
    <t>PLD077-D08</t>
  </si>
  <si>
    <t>PLN021-T0809140T4R-565</t>
  </si>
  <si>
    <t>PLN065-D751130-565</t>
  </si>
  <si>
    <t>PLN074-F2707150N2S-565</t>
  </si>
  <si>
    <t>에이피알</t>
  </si>
  <si>
    <t>CEL 113840-1900mAh</t>
  </si>
  <si>
    <t>에이피알팩토리</t>
  </si>
  <si>
    <t>PN078AWJ-VF</t>
  </si>
  <si>
    <t>PN185WCW-VF(E)</t>
  </si>
  <si>
    <t>EP06-003446B</t>
  </si>
  <si>
    <t>PN048HTCA-9320VQP</t>
  </si>
  <si>
    <t>9월</t>
  </si>
  <si>
    <t>베터리</t>
    <phoneticPr fontId="3" type="noConversion"/>
  </si>
  <si>
    <t>삼성 VD</t>
    <phoneticPr fontId="3" type="noConversion"/>
  </si>
  <si>
    <t>삼성 생활가전</t>
    <phoneticPr fontId="3" type="noConversion"/>
  </si>
  <si>
    <t>1291A</t>
    <phoneticPr fontId="12" type="noConversion"/>
  </si>
  <si>
    <t>1291B</t>
    <phoneticPr fontId="12" type="noConversion"/>
  </si>
  <si>
    <t>1291C</t>
    <phoneticPr fontId="12" type="noConversion"/>
  </si>
  <si>
    <t>PN110WCW-VF(SG)</t>
    <phoneticPr fontId="12" type="noConversion"/>
  </si>
  <si>
    <t>V120SB_FPNB</t>
    <phoneticPr fontId="12" type="noConversion"/>
  </si>
  <si>
    <t>V150SB_FPNB</t>
    <phoneticPr fontId="12" type="noConversion"/>
  </si>
  <si>
    <t>1291A</t>
  </si>
  <si>
    <t>V120SB_FPNB</t>
  </si>
  <si>
    <t>V150SB_FPNB</t>
  </si>
  <si>
    <t>PN1702CWM-500WIFI</t>
  </si>
  <si>
    <t>PN1702CWM-600KR</t>
  </si>
  <si>
    <t>1291B</t>
  </si>
  <si>
    <t>1291C</t>
  </si>
  <si>
    <t>A3630A_TPN  v</t>
  </si>
  <si>
    <t>PN054ACW-JAGUAR(A)</t>
  </si>
  <si>
    <t>PLD070-D15</t>
  </si>
  <si>
    <t>PLD077-D05</t>
  </si>
  <si>
    <t>PLN065-D750530-565</t>
  </si>
  <si>
    <t>PLN065-D750830-565</t>
  </si>
  <si>
    <t>PLN065-D751530-565</t>
  </si>
  <si>
    <t>PN110WCW-VF(SG)</t>
  </si>
  <si>
    <t>10월</t>
  </si>
  <si>
    <t>PLN051-B2007150N2S-565A</t>
    <phoneticPr fontId="12" type="noConversion"/>
  </si>
  <si>
    <t>PN050ACW-VF(A-1)</t>
    <phoneticPr fontId="12" type="noConversion"/>
  </si>
  <si>
    <t>PLN072-T0811365N2R-565</t>
  </si>
  <si>
    <t>PLN021-T1019350T4S-562</t>
  </si>
  <si>
    <t>PLN051-B2007150N2S-565A</t>
  </si>
  <si>
    <t>PLN065-D751735-560</t>
  </si>
  <si>
    <t>PLN072-T0807130N2R-565</t>
  </si>
  <si>
    <t>PLN072-T0816330N2R-565</t>
  </si>
  <si>
    <t>PLN072-T0816365N2R-565</t>
  </si>
  <si>
    <t>A6524_RPN_BESPOKE_TAI</t>
  </si>
  <si>
    <t>PN050ACW-VF(A-1)</t>
  </si>
  <si>
    <t>PIP102-300</t>
  </si>
  <si>
    <t>11월</t>
    <phoneticPr fontId="3" type="noConversion"/>
  </si>
  <si>
    <t>PLN072-T0807165N2R-565</t>
  </si>
  <si>
    <t>PLN074-F2707130N2S-565</t>
  </si>
  <si>
    <t>MCR-WMDBE-CWP(402BI)</t>
  </si>
  <si>
    <t>MCR-WMDBE-CWP(402WI)</t>
  </si>
  <si>
    <t>PNA-MAGNUM_USA BG</t>
  </si>
  <si>
    <t>PNA-MAGNUM_USA WH</t>
  </si>
  <si>
    <t>EP06-001004</t>
  </si>
  <si>
    <t>12월</t>
    <phoneticPr fontId="3" type="noConversion"/>
  </si>
  <si>
    <t>2025. 01. 31</t>
    <phoneticPr fontId="12" type="noConversion"/>
  </si>
  <si>
    <t>PLN072-T0807165N2R-565</t>
    <phoneticPr fontId="12" type="noConversion"/>
  </si>
  <si>
    <t>L43S6N_DVD_CKD</t>
    <phoneticPr fontId="12" type="noConversion"/>
  </si>
  <si>
    <t>P2514_DPN_CKD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</si>
</sst>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\$#,##0.00"/>
    <numFmt numFmtId="177" formatCode="_-* #,##0.00_-;\-* #,##0.00_-;_-* &quot;-&quot;_-;_-@_-"/>
    <numFmt numFmtId="178" formatCode="0.0"/>
    <numFmt numFmtId="179" formatCode="_ * #,##0_ ;_ * \-#,##0_ ;_ * &quot;-&quot;_ ;_ @_ "/>
    <numFmt numFmtId="180" formatCode="_ * #,##0.00_ ;_ * \-#,##0.00_ ;_ * &quot;-&quot;??_ ;_ @_ "/>
    <numFmt numFmtId="181" formatCode="_ * #,##0_ ;_ * \-#,##0_ ;_ * &quot;-&quot;??_ ;_ @_ "/>
    <numFmt numFmtId="182" formatCode="m&quot;월&quot;\ d&quot;일&quot;;@"/>
    <numFmt numFmtId="183" formatCode="_-&quot;NT$&quot;* #,##0_-;\-&quot;NT$&quot;* #,##0_-;_-&quot;NT$&quot;* &quot;-&quot;_-;_-@_-"/>
    <numFmt numFmtId="184" formatCode="#,##0_ "/>
    <numFmt numFmtId="185" formatCode="#,##0_);[Red]\(#,##0\)"/>
    <numFmt numFmtId="186" formatCode="0_);[Red]\(0\)"/>
    <numFmt numFmtId="187" formatCode="[$￥-804]#,##0.0000_);[Red]\([$￥-804]#,##0.0000\)"/>
    <numFmt numFmtId="188" formatCode="0&quot;일&quot;"/>
    <numFmt numFmtId="189" formatCode="0_ "/>
  </numFmts>
  <fonts count="5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宋体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indexed="10"/>
      <name val="宋体"/>
      <family val="3"/>
      <charset val="129"/>
    </font>
    <font>
      <sz val="11"/>
      <color indexed="8"/>
      <name val="宋体"/>
      <family val="3"/>
      <charset val="129"/>
    </font>
    <font>
      <sz val="11"/>
      <color indexed="9"/>
      <name val="宋体"/>
      <family val="3"/>
      <charset val="129"/>
    </font>
    <font>
      <b/>
      <sz val="18"/>
      <color indexed="56"/>
      <name val="宋体"/>
      <family val="3"/>
      <charset val="129"/>
    </font>
    <font>
      <b/>
      <sz val="15"/>
      <color indexed="56"/>
      <name val="宋体"/>
      <family val="3"/>
      <charset val="129"/>
    </font>
    <font>
      <b/>
      <sz val="13"/>
      <color indexed="56"/>
      <name val="宋体"/>
      <family val="3"/>
      <charset val="129"/>
    </font>
    <font>
      <b/>
      <sz val="11"/>
      <color indexed="56"/>
      <name val="宋体"/>
      <family val="3"/>
      <charset val="129"/>
    </font>
    <font>
      <sz val="11"/>
      <color indexed="20"/>
      <name val="宋体"/>
      <family val="3"/>
      <charset val="129"/>
    </font>
    <font>
      <sz val="11"/>
      <color indexed="17"/>
      <name val="宋体"/>
      <family val="3"/>
      <charset val="129"/>
    </font>
    <font>
      <b/>
      <sz val="11"/>
      <color indexed="8"/>
      <name val="宋体"/>
      <family val="3"/>
      <charset val="129"/>
    </font>
    <font>
      <b/>
      <sz val="11"/>
      <color indexed="52"/>
      <name val="宋体"/>
      <family val="3"/>
      <charset val="129"/>
    </font>
    <font>
      <b/>
      <sz val="11"/>
      <color indexed="9"/>
      <name val="宋体"/>
      <family val="3"/>
      <charset val="129"/>
    </font>
    <font>
      <i/>
      <sz val="11"/>
      <color indexed="23"/>
      <name val="宋体"/>
      <family val="3"/>
      <charset val="129"/>
    </font>
    <font>
      <sz val="11"/>
      <color indexed="52"/>
      <name val="宋体"/>
      <family val="3"/>
      <charset val="129"/>
    </font>
    <font>
      <b/>
      <sz val="11"/>
      <color indexed="63"/>
      <name val="宋体"/>
      <family val="3"/>
      <charset val="129"/>
    </font>
    <font>
      <sz val="11"/>
      <color indexed="62"/>
      <name val="宋体"/>
      <family val="3"/>
      <charset val="129"/>
    </font>
    <font>
      <sz val="11"/>
      <color indexed="60"/>
      <name val="맑은 고딕"/>
      <family val="3"/>
      <charset val="129"/>
    </font>
    <font>
      <sz val="12"/>
      <name val="Times New Roman"/>
      <family val="1"/>
    </font>
    <font>
      <sz val="11"/>
      <color theme="1"/>
      <name val="宋体"/>
      <family val="3"/>
      <charset val="129"/>
    </font>
    <font>
      <sz val="11"/>
      <color rgb="FF000000"/>
      <name val="맑은 고딕"/>
      <family val="3"/>
      <charset val="129"/>
    </font>
    <font>
      <sz val="7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9"/>
      <color theme="0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6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hair">
        <color auto="1"/>
      </left>
      <right style="thin">
        <color theme="0" tint="-0.34998626667073579"/>
      </right>
      <top style="hair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thin">
        <color theme="0" tint="-0.34998626667073579"/>
      </bottom>
      <diagonal/>
    </border>
    <border>
      <left style="hair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499984740745262"/>
      </left>
      <right/>
      <top style="thin">
        <color theme="0" tint="-0.24994659260841701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/>
      <top/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hair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auto="1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24994659260841701"/>
      </top>
      <bottom/>
      <diagonal/>
    </border>
    <border>
      <left/>
      <right style="thin">
        <color theme="0" tint="-0.499984740745262"/>
      </right>
      <top/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hair">
        <color auto="1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/>
      <bottom/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24994659260841701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1" tint="0.34998626667073579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/>
      <diagonal/>
    </border>
    <border>
      <left style="hair">
        <color indexed="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1" tint="0.499984740745262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0" tint="-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theme="0" tint="-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0" tint="-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1" tint="0.1499679555650502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</borders>
  <cellStyleXfs count="37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7" fillId="0" borderId="0"/>
    <xf numFmtId="4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7" fillId="0" borderId="0"/>
    <xf numFmtId="0" fontId="7" fillId="5" borderId="11" applyNumberFormat="0" applyFon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/>
    <xf numFmtId="0" fontId="7" fillId="5" borderId="11" applyNumberFormat="0" applyFont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7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7" fillId="0" borderId="0"/>
    <xf numFmtId="0" fontId="10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>
      <alignment vertical="center"/>
    </xf>
    <xf numFmtId="0" fontId="21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181" fontId="17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182" fontId="17" fillId="0" borderId="0" applyFont="0" applyFill="0" applyBorder="0" applyAlignment="0" applyProtection="0">
      <alignment vertical="center"/>
    </xf>
    <xf numFmtId="43" fontId="19" fillId="0" borderId="96" applyFont="0">
      <alignment vertical="center"/>
    </xf>
    <xf numFmtId="180" fontId="17" fillId="0" borderId="0" applyFont="0" applyFill="0" applyBorder="0" applyAlignment="0" applyProtection="0">
      <alignment vertical="center"/>
    </xf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3" fontId="19" fillId="0" borderId="0" applyFont="0" applyFill="0" applyBorder="0" applyAlignment="0" applyProtection="0">
      <alignment vertical="center"/>
    </xf>
    <xf numFmtId="0" fontId="17" fillId="0" borderId="0"/>
    <xf numFmtId="0" fontId="19" fillId="0" borderId="0"/>
    <xf numFmtId="0" fontId="9" fillId="0" borderId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187" fontId="25" fillId="11" borderId="0" applyNumberFormat="0" applyBorder="0" applyAlignment="0" applyProtection="0">
      <alignment vertical="center"/>
    </xf>
    <xf numFmtId="187" fontId="25" fillId="11" borderId="0" applyNumberFormat="0" applyBorder="0" applyAlignment="0" applyProtection="0">
      <alignment vertical="center"/>
    </xf>
    <xf numFmtId="187" fontId="25" fillId="11" borderId="0" applyNumberFormat="0" applyBorder="0" applyAlignment="0" applyProtection="0">
      <alignment vertical="center"/>
    </xf>
    <xf numFmtId="187" fontId="25" fillId="12" borderId="0" applyNumberFormat="0" applyBorder="0" applyAlignment="0" applyProtection="0">
      <alignment vertical="center"/>
    </xf>
    <xf numFmtId="187" fontId="25" fillId="12" borderId="0" applyNumberFormat="0" applyBorder="0" applyAlignment="0" applyProtection="0">
      <alignment vertical="center"/>
    </xf>
    <xf numFmtId="187" fontId="25" fillId="12" borderId="0" applyNumberFormat="0" applyBorder="0" applyAlignment="0" applyProtection="0">
      <alignment vertical="center"/>
    </xf>
    <xf numFmtId="187" fontId="25" fillId="13" borderId="0" applyNumberFormat="0" applyBorder="0" applyAlignment="0" applyProtection="0">
      <alignment vertical="center"/>
    </xf>
    <xf numFmtId="187" fontId="25" fillId="13" borderId="0" applyNumberFormat="0" applyBorder="0" applyAlignment="0" applyProtection="0">
      <alignment vertical="center"/>
    </xf>
    <xf numFmtId="187" fontId="25" fillId="13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6" borderId="0" applyNumberFormat="0" applyBorder="0" applyAlignment="0" applyProtection="0">
      <alignment vertical="center"/>
    </xf>
    <xf numFmtId="187" fontId="25" fillId="16" borderId="0" applyNumberFormat="0" applyBorder="0" applyAlignment="0" applyProtection="0">
      <alignment vertical="center"/>
    </xf>
    <xf numFmtId="187" fontId="25" fillId="16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19" borderId="0" applyNumberFormat="0" applyBorder="0" applyAlignment="0" applyProtection="0">
      <alignment vertical="center"/>
    </xf>
    <xf numFmtId="187" fontId="25" fillId="19" borderId="0" applyNumberFormat="0" applyBorder="0" applyAlignment="0" applyProtection="0">
      <alignment vertical="center"/>
    </xf>
    <xf numFmtId="187" fontId="25" fillId="19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20" borderId="0" applyNumberFormat="0" applyBorder="0" applyAlignment="0" applyProtection="0">
      <alignment vertical="center"/>
    </xf>
    <xf numFmtId="187" fontId="25" fillId="20" borderId="0" applyNumberFormat="0" applyBorder="0" applyAlignment="0" applyProtection="0">
      <alignment vertical="center"/>
    </xf>
    <xf numFmtId="187" fontId="25" fillId="20" borderId="0" applyNumberFormat="0" applyBorder="0" applyAlignment="0" applyProtection="0">
      <alignment vertical="center"/>
    </xf>
    <xf numFmtId="187" fontId="26" fillId="21" borderId="0" applyNumberFormat="0" applyBorder="0" applyAlignment="0" applyProtection="0">
      <alignment vertical="center"/>
    </xf>
    <xf numFmtId="187" fontId="26" fillId="21" borderId="0" applyNumberFormat="0" applyBorder="0" applyAlignment="0" applyProtection="0">
      <alignment vertical="center"/>
    </xf>
    <xf numFmtId="187" fontId="26" fillId="21" borderId="0" applyNumberFormat="0" applyBorder="0" applyAlignment="0" applyProtection="0">
      <alignment vertical="center"/>
    </xf>
    <xf numFmtId="187" fontId="26" fillId="18" borderId="0" applyNumberFormat="0" applyBorder="0" applyAlignment="0" applyProtection="0">
      <alignment vertical="center"/>
    </xf>
    <xf numFmtId="187" fontId="26" fillId="18" borderId="0" applyNumberFormat="0" applyBorder="0" applyAlignment="0" applyProtection="0">
      <alignment vertical="center"/>
    </xf>
    <xf numFmtId="187" fontId="26" fillId="18" borderId="0" applyNumberFormat="0" applyBorder="0" applyAlignment="0" applyProtection="0">
      <alignment vertical="center"/>
    </xf>
    <xf numFmtId="187" fontId="26" fillId="19" borderId="0" applyNumberFormat="0" applyBorder="0" applyAlignment="0" applyProtection="0">
      <alignment vertical="center"/>
    </xf>
    <xf numFmtId="187" fontId="26" fillId="19" borderId="0" applyNumberFormat="0" applyBorder="0" applyAlignment="0" applyProtection="0">
      <alignment vertical="center"/>
    </xf>
    <xf numFmtId="187" fontId="26" fillId="19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5" borderId="0" applyNumberFormat="0" applyBorder="0" applyAlignment="0" applyProtection="0">
      <alignment vertical="center"/>
    </xf>
    <xf numFmtId="187" fontId="26" fillId="25" borderId="0" applyNumberFormat="0" applyBorder="0" applyAlignment="0" applyProtection="0">
      <alignment vertical="center"/>
    </xf>
    <xf numFmtId="187" fontId="26" fillId="25" borderId="0" applyNumberFormat="0" applyBorder="0" applyAlignment="0" applyProtection="0">
      <alignment vertical="center"/>
    </xf>
    <xf numFmtId="187" fontId="26" fillId="26" borderId="0" applyNumberFormat="0" applyBorder="0" applyAlignment="0" applyProtection="0">
      <alignment vertical="center"/>
    </xf>
    <xf numFmtId="187" fontId="26" fillId="26" borderId="0" applyNumberFormat="0" applyBorder="0" applyAlignment="0" applyProtection="0">
      <alignment vertical="center"/>
    </xf>
    <xf numFmtId="187" fontId="26" fillId="26" borderId="0" applyNumberFormat="0" applyBorder="0" applyAlignment="0" applyProtection="0">
      <alignment vertical="center"/>
    </xf>
    <xf numFmtId="187" fontId="26" fillId="27" borderId="0" applyNumberFormat="0" applyBorder="0" applyAlignment="0" applyProtection="0">
      <alignment vertical="center"/>
    </xf>
    <xf numFmtId="187" fontId="26" fillId="27" borderId="0" applyNumberFormat="0" applyBorder="0" applyAlignment="0" applyProtection="0">
      <alignment vertical="center"/>
    </xf>
    <xf numFmtId="187" fontId="26" fillId="27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8" borderId="0" applyNumberFormat="0" applyBorder="0" applyAlignment="0" applyProtection="0">
      <alignment vertical="center"/>
    </xf>
    <xf numFmtId="187" fontId="26" fillId="28" borderId="0" applyNumberFormat="0" applyBorder="0" applyAlignment="0" applyProtection="0">
      <alignment vertical="center"/>
    </xf>
    <xf numFmtId="187" fontId="26" fillId="28" borderId="0" applyNumberFormat="0" applyBorder="0" applyAlignment="0" applyProtection="0">
      <alignment vertical="center"/>
    </xf>
    <xf numFmtId="187" fontId="24" fillId="0" borderId="0" applyNumberFormat="0" applyFill="0" applyBorder="0" applyAlignment="0" applyProtection="0">
      <alignment vertical="center"/>
    </xf>
    <xf numFmtId="187" fontId="24" fillId="0" borderId="0" applyNumberFormat="0" applyFill="0" applyBorder="0" applyAlignment="0" applyProtection="0">
      <alignment vertical="center"/>
    </xf>
    <xf numFmtId="187" fontId="24" fillId="0" borderId="0" applyNumberFormat="0" applyFill="0" applyBorder="0" applyAlignment="0" applyProtection="0">
      <alignment vertical="center"/>
    </xf>
    <xf numFmtId="187" fontId="34" fillId="29" borderId="138" applyNumberFormat="0" applyAlignment="0" applyProtection="0">
      <alignment vertical="center"/>
    </xf>
    <xf numFmtId="187" fontId="34" fillId="29" borderId="138" applyNumberFormat="0" applyAlignment="0" applyProtection="0">
      <alignment vertical="center"/>
    </xf>
    <xf numFmtId="187" fontId="34" fillId="29" borderId="138" applyNumberFormat="0" applyAlignment="0" applyProtection="0">
      <alignment vertical="center"/>
    </xf>
    <xf numFmtId="187" fontId="40" fillId="30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187" fontId="8" fillId="0" borderId="0">
      <alignment vertical="center"/>
    </xf>
    <xf numFmtId="188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0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6" fontId="19" fillId="0" borderId="0"/>
    <xf numFmtId="186" fontId="7" fillId="0" borderId="0"/>
    <xf numFmtId="187" fontId="7" fillId="0" borderId="0"/>
    <xf numFmtId="187" fontId="7" fillId="0" borderId="0"/>
    <xf numFmtId="181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9" fontId="19" fillId="0" borderId="0"/>
    <xf numFmtId="189" fontId="19" fillId="0" borderId="0"/>
    <xf numFmtId="189" fontId="19" fillId="0" borderId="0"/>
    <xf numFmtId="187" fontId="8" fillId="0" borderId="0"/>
    <xf numFmtId="187" fontId="21" fillId="0" borderId="0">
      <alignment vertical="center"/>
    </xf>
    <xf numFmtId="187" fontId="8" fillId="0" borderId="0"/>
    <xf numFmtId="187" fontId="8" fillId="0" borderId="0"/>
    <xf numFmtId="0" fontId="8" fillId="0" borderId="0"/>
    <xf numFmtId="187" fontId="42" fillId="0" borderId="0"/>
    <xf numFmtId="187" fontId="19" fillId="0" borderId="0"/>
    <xf numFmtId="187" fontId="36" fillId="0" borderId="0" applyNumberFormat="0" applyFill="0" applyBorder="0" applyAlignment="0" applyProtection="0">
      <alignment vertical="center"/>
    </xf>
    <xf numFmtId="187" fontId="36" fillId="0" borderId="0" applyNumberFormat="0" applyFill="0" applyBorder="0" applyAlignment="0" applyProtection="0">
      <alignment vertical="center"/>
    </xf>
    <xf numFmtId="187" fontId="36" fillId="0" borderId="0" applyNumberFormat="0" applyFill="0" applyBorder="0" applyAlignment="0" applyProtection="0">
      <alignment vertical="center"/>
    </xf>
    <xf numFmtId="187" fontId="35" fillId="31" borderId="139" applyNumberFormat="0" applyAlignment="0" applyProtection="0">
      <alignment vertical="center"/>
    </xf>
    <xf numFmtId="187" fontId="35" fillId="31" borderId="139" applyNumberFormat="0" applyAlignment="0" applyProtection="0">
      <alignment vertical="center"/>
    </xf>
    <xf numFmtId="187" fontId="35" fillId="31" borderId="139" applyNumberFormat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9" fillId="0" borderId="96" applyFont="0">
      <alignment vertical="center"/>
    </xf>
    <xf numFmtId="43" fontId="19" fillId="0" borderId="96" applyFont="0">
      <alignment vertical="center"/>
    </xf>
    <xf numFmtId="43" fontId="17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80" fontId="17" fillId="0" borderId="0" applyFont="0" applyFill="0" applyBorder="0" applyAlignment="0" applyProtection="0">
      <alignment vertical="center"/>
    </xf>
    <xf numFmtId="187" fontId="7" fillId="0" borderId="0"/>
    <xf numFmtId="187" fontId="41" fillId="0" borderId="0"/>
    <xf numFmtId="187" fontId="37" fillId="0" borderId="140" applyNumberFormat="0" applyFill="0" applyAlignment="0" applyProtection="0">
      <alignment vertical="center"/>
    </xf>
    <xf numFmtId="187" fontId="37" fillId="0" borderId="140" applyNumberFormat="0" applyFill="0" applyAlignment="0" applyProtection="0">
      <alignment vertical="center"/>
    </xf>
    <xf numFmtId="187" fontId="37" fillId="0" borderId="140" applyNumberFormat="0" applyFill="0" applyAlignment="0" applyProtection="0">
      <alignment vertical="center"/>
    </xf>
    <xf numFmtId="187" fontId="33" fillId="0" borderId="141" applyNumberFormat="0" applyFill="0" applyAlignment="0" applyProtection="0">
      <alignment vertical="center"/>
    </xf>
    <xf numFmtId="187" fontId="33" fillId="0" borderId="141" applyNumberFormat="0" applyFill="0" applyAlignment="0" applyProtection="0">
      <alignment vertical="center"/>
    </xf>
    <xf numFmtId="187" fontId="33" fillId="0" borderId="141" applyNumberFormat="0" applyFill="0" applyAlignment="0" applyProtection="0">
      <alignment vertical="center"/>
    </xf>
    <xf numFmtId="187" fontId="39" fillId="16" borderId="138" applyNumberFormat="0" applyAlignment="0" applyProtection="0">
      <alignment vertical="center"/>
    </xf>
    <xf numFmtId="187" fontId="39" fillId="16" borderId="138" applyNumberFormat="0" applyAlignment="0" applyProtection="0">
      <alignment vertical="center"/>
    </xf>
    <xf numFmtId="187" fontId="39" fillId="16" borderId="138" applyNumberFormat="0" applyAlignment="0" applyProtection="0">
      <alignment vertical="center"/>
    </xf>
    <xf numFmtId="187" fontId="28" fillId="0" borderId="142" applyNumberFormat="0" applyFill="0" applyAlignment="0" applyProtection="0">
      <alignment vertical="center"/>
    </xf>
    <xf numFmtId="187" fontId="28" fillId="0" borderId="142" applyNumberFormat="0" applyFill="0" applyAlignment="0" applyProtection="0">
      <alignment vertical="center"/>
    </xf>
    <xf numFmtId="187" fontId="28" fillId="0" borderId="142" applyNumberFormat="0" applyFill="0" applyAlignment="0" applyProtection="0">
      <alignment vertical="center"/>
    </xf>
    <xf numFmtId="187" fontId="29" fillId="0" borderId="143" applyNumberFormat="0" applyFill="0" applyAlignment="0" applyProtection="0">
      <alignment vertical="center"/>
    </xf>
    <xf numFmtId="187" fontId="29" fillId="0" borderId="143" applyNumberFormat="0" applyFill="0" applyAlignment="0" applyProtection="0">
      <alignment vertical="center"/>
    </xf>
    <xf numFmtId="187" fontId="29" fillId="0" borderId="143" applyNumberFormat="0" applyFill="0" applyAlignment="0" applyProtection="0">
      <alignment vertical="center"/>
    </xf>
    <xf numFmtId="187" fontId="30" fillId="0" borderId="144" applyNumberFormat="0" applyFill="0" applyAlignment="0" applyProtection="0">
      <alignment vertical="center"/>
    </xf>
    <xf numFmtId="187" fontId="30" fillId="0" borderId="144" applyNumberFormat="0" applyFill="0" applyAlignment="0" applyProtection="0">
      <alignment vertical="center"/>
    </xf>
    <xf numFmtId="187" fontId="30" fillId="0" borderId="144" applyNumberFormat="0" applyFill="0" applyAlignment="0" applyProtection="0">
      <alignment vertical="center"/>
    </xf>
    <xf numFmtId="187" fontId="30" fillId="0" borderId="0" applyNumberFormat="0" applyFill="0" applyBorder="0" applyAlignment="0" applyProtection="0">
      <alignment vertical="center"/>
    </xf>
    <xf numFmtId="187" fontId="30" fillId="0" borderId="0" applyNumberFormat="0" applyFill="0" applyBorder="0" applyAlignment="0" applyProtection="0">
      <alignment vertical="center"/>
    </xf>
    <xf numFmtId="187" fontId="30" fillId="0" borderId="0" applyNumberFormat="0" applyFill="0" applyBorder="0" applyAlignment="0" applyProtection="0">
      <alignment vertical="center"/>
    </xf>
    <xf numFmtId="187" fontId="27" fillId="0" borderId="0" applyNumberFormat="0" applyFill="0" applyBorder="0" applyAlignment="0" applyProtection="0">
      <alignment vertical="center"/>
    </xf>
    <xf numFmtId="187" fontId="27" fillId="0" borderId="0" applyNumberFormat="0" applyFill="0" applyBorder="0" applyAlignment="0" applyProtection="0">
      <alignment vertical="center"/>
    </xf>
    <xf numFmtId="187" fontId="27" fillId="0" borderId="0" applyNumberFormat="0" applyFill="0" applyBorder="0" applyAlignment="0" applyProtection="0">
      <alignment vertical="center"/>
    </xf>
    <xf numFmtId="187" fontId="32" fillId="13" borderId="0" applyNumberFormat="0" applyBorder="0" applyAlignment="0" applyProtection="0">
      <alignment vertical="center"/>
    </xf>
    <xf numFmtId="187" fontId="32" fillId="13" borderId="0" applyNumberFormat="0" applyBorder="0" applyAlignment="0" applyProtection="0">
      <alignment vertical="center"/>
    </xf>
    <xf numFmtId="187" fontId="32" fillId="13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87" fontId="38" fillId="29" borderId="145" applyNumberFormat="0" applyAlignment="0" applyProtection="0">
      <alignment vertical="center"/>
    </xf>
    <xf numFmtId="187" fontId="38" fillId="29" borderId="145" applyNumberFormat="0" applyAlignment="0" applyProtection="0">
      <alignment vertical="center"/>
    </xf>
    <xf numFmtId="187" fontId="38" fillId="29" borderId="145" applyNumberFormat="0" applyAlignment="0" applyProtection="0">
      <alignment vertical="center"/>
    </xf>
    <xf numFmtId="183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7" fillId="0" borderId="0"/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17" fillId="0" borderId="0"/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19" fillId="0" borderId="0"/>
    <xf numFmtId="187" fontId="7" fillId="0" borderId="0"/>
    <xf numFmtId="187" fontId="25" fillId="0" borderId="0">
      <alignment vertical="center"/>
    </xf>
    <xf numFmtId="187" fontId="25" fillId="0" borderId="0">
      <alignment vertical="center"/>
    </xf>
    <xf numFmtId="187" fontId="7" fillId="0" borderId="0">
      <alignment vertical="center"/>
    </xf>
    <xf numFmtId="187" fontId="8" fillId="0" borderId="0"/>
    <xf numFmtId="187" fontId="25" fillId="0" borderId="0" applyProtection="0">
      <alignment vertical="center"/>
    </xf>
    <xf numFmtId="187" fontId="19" fillId="0" borderId="0"/>
    <xf numFmtId="187" fontId="32" fillId="13" borderId="0" applyNumberFormat="0" applyBorder="0" applyAlignment="0" applyProtection="0">
      <alignment vertical="center"/>
    </xf>
    <xf numFmtId="187" fontId="32" fillId="13" borderId="0" applyNumberFormat="0" applyBorder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188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0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6" fontId="19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9" fontId="19" fillId="0" borderId="0"/>
    <xf numFmtId="189" fontId="19" fillId="0" borderId="0"/>
    <xf numFmtId="189" fontId="19" fillId="0" borderId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3" fontId="19" fillId="0" borderId="96" applyFont="0">
      <alignment vertical="center"/>
    </xf>
    <xf numFmtId="41" fontId="19" fillId="0" borderId="0" applyFont="0" applyFill="0" applyBorder="0" applyAlignment="0" applyProtection="0">
      <alignment vertical="center"/>
    </xf>
    <xf numFmtId="183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9" fontId="43" fillId="0" borderId="0">
      <alignment vertical="center"/>
    </xf>
    <xf numFmtId="41" fontId="4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607">
    <xf numFmtId="0" fontId="0" fillId="0" borderId="0" xfId="0">
      <alignment vertical="center"/>
    </xf>
    <xf numFmtId="0" fontId="2" fillId="0" borderId="0" xfId="0" applyFont="1">
      <alignment vertical="center"/>
    </xf>
    <xf numFmtId="41" fontId="2" fillId="0" borderId="0" xfId="1" applyFont="1">
      <alignment vertical="center"/>
    </xf>
    <xf numFmtId="0" fontId="2" fillId="0" borderId="0" xfId="0" applyFont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0" fontId="6" fillId="0" borderId="0" xfId="0" quotePrefix="1" applyFont="1">
      <alignment vertical="center"/>
    </xf>
    <xf numFmtId="0" fontId="2" fillId="6" borderId="0" xfId="0" applyFont="1" applyFill="1">
      <alignment vertical="center"/>
    </xf>
    <xf numFmtId="3" fontId="2" fillId="0" borderId="0" xfId="0" applyNumberFormat="1" applyFont="1">
      <alignment vertical="center"/>
    </xf>
    <xf numFmtId="41" fontId="5" fillId="2" borderId="7" xfId="1" applyFont="1" applyFill="1" applyBorder="1" applyAlignment="1">
      <alignment horizontal="center" vertical="center"/>
    </xf>
    <xf numFmtId="41" fontId="5" fillId="2" borderId="15" xfId="1" applyFont="1" applyFill="1" applyBorder="1" applyAlignment="1">
      <alignment horizontal="center" vertical="center"/>
    </xf>
    <xf numFmtId="41" fontId="5" fillId="2" borderId="16" xfId="1" applyFont="1" applyFill="1" applyBorder="1" applyAlignment="1">
      <alignment horizontal="center" vertical="center"/>
    </xf>
    <xf numFmtId="41" fontId="5" fillId="2" borderId="18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0" borderId="21" xfId="0" applyFont="1" applyBorder="1">
      <alignment vertical="center"/>
    </xf>
    <xf numFmtId="0" fontId="11" fillId="6" borderId="21" xfId="0" applyFont="1" applyFill="1" applyBorder="1">
      <alignment vertical="center"/>
    </xf>
    <xf numFmtId="0" fontId="11" fillId="0" borderId="22" xfId="0" applyFont="1" applyBorder="1">
      <alignment vertical="center"/>
    </xf>
    <xf numFmtId="0" fontId="11" fillId="6" borderId="23" xfId="0" applyFont="1" applyFill="1" applyBorder="1">
      <alignment vertical="center"/>
    </xf>
    <xf numFmtId="0" fontId="11" fillId="6" borderId="24" xfId="0" applyFont="1" applyFill="1" applyBorder="1" applyAlignment="1">
      <alignment horizontal="center" vertical="center"/>
    </xf>
    <xf numFmtId="26" fontId="11" fillId="0" borderId="23" xfId="0" applyNumberFormat="1" applyFont="1" applyBorder="1">
      <alignment vertical="center"/>
    </xf>
    <xf numFmtId="0" fontId="11" fillId="0" borderId="24" xfId="0" applyFont="1" applyBorder="1">
      <alignment vertical="center"/>
    </xf>
    <xf numFmtId="0" fontId="11" fillId="6" borderId="21" xfId="0" applyFont="1" applyFill="1" applyBorder="1" applyAlignment="1">
      <alignment horizontal="center" vertical="center"/>
    </xf>
    <xf numFmtId="0" fontId="11" fillId="0" borderId="23" xfId="0" applyFont="1" applyBorder="1">
      <alignment vertical="center"/>
    </xf>
    <xf numFmtId="0" fontId="11" fillId="0" borderId="24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5" xfId="0" applyFont="1" applyBorder="1">
      <alignment vertical="center"/>
    </xf>
    <xf numFmtId="0" fontId="11" fillId="6" borderId="27" xfId="0" applyFont="1" applyFill="1" applyBorder="1" applyAlignment="1">
      <alignment horizontal="center" vertical="center"/>
    </xf>
    <xf numFmtId="0" fontId="14" fillId="0" borderId="21" xfId="0" applyFont="1" applyBorder="1">
      <alignment vertical="center"/>
    </xf>
    <xf numFmtId="0" fontId="14" fillId="0" borderId="28" xfId="0" applyFont="1" applyBorder="1">
      <alignment vertical="center"/>
    </xf>
    <xf numFmtId="0" fontId="14" fillId="0" borderId="29" xfId="0" applyFont="1" applyBorder="1">
      <alignment vertical="center"/>
    </xf>
    <xf numFmtId="38" fontId="14" fillId="0" borderId="25" xfId="16" applyNumberFormat="1" applyFont="1" applyFill="1" applyBorder="1">
      <alignment vertical="center"/>
    </xf>
    <xf numFmtId="38" fontId="14" fillId="0" borderId="10" xfId="16" applyNumberFormat="1" applyFont="1" applyFill="1" applyBorder="1">
      <alignment vertical="center"/>
    </xf>
    <xf numFmtId="0" fontId="11" fillId="0" borderId="30" xfId="0" applyFont="1" applyBorder="1">
      <alignment vertical="center"/>
    </xf>
    <xf numFmtId="0" fontId="11" fillId="0" borderId="31" xfId="0" applyFont="1" applyBorder="1" applyAlignment="1">
      <alignment horizontal="center" vertical="center"/>
    </xf>
    <xf numFmtId="0" fontId="13" fillId="0" borderId="21" xfId="0" applyFont="1" applyBorder="1">
      <alignment vertical="center"/>
    </xf>
    <xf numFmtId="0" fontId="13" fillId="6" borderId="21" xfId="0" applyFont="1" applyFill="1" applyBorder="1">
      <alignment vertical="center"/>
    </xf>
    <xf numFmtId="0" fontId="13" fillId="6" borderId="22" xfId="0" applyFont="1" applyFill="1" applyBorder="1">
      <alignment vertical="center"/>
    </xf>
    <xf numFmtId="26" fontId="11" fillId="0" borderId="22" xfId="0" applyNumberFormat="1" applyFont="1" applyBorder="1">
      <alignment vertical="center"/>
    </xf>
    <xf numFmtId="0" fontId="11" fillId="0" borderId="27" xfId="0" applyFont="1" applyBorder="1" applyAlignment="1">
      <alignment horizontal="center" vertical="center"/>
    </xf>
    <xf numFmtId="26" fontId="11" fillId="0" borderId="26" xfId="0" applyNumberFormat="1" applyFont="1" applyBorder="1">
      <alignment vertical="center"/>
    </xf>
    <xf numFmtId="0" fontId="14" fillId="0" borderId="0" xfId="0" applyFont="1">
      <alignment vertical="center"/>
    </xf>
    <xf numFmtId="0" fontId="11" fillId="6" borderId="22" xfId="0" applyFont="1" applyFill="1" applyBorder="1" applyAlignment="1">
      <alignment horizontal="center" vertical="center"/>
    </xf>
    <xf numFmtId="0" fontId="11" fillId="6" borderId="22" xfId="0" applyFont="1" applyFill="1" applyBorder="1">
      <alignment vertical="center"/>
    </xf>
    <xf numFmtId="0" fontId="14" fillId="6" borderId="21" xfId="0" applyFont="1" applyFill="1" applyBorder="1">
      <alignment vertical="center"/>
    </xf>
    <xf numFmtId="0" fontId="14" fillId="6" borderId="35" xfId="0" applyFont="1" applyFill="1" applyBorder="1">
      <alignment vertical="center"/>
    </xf>
    <xf numFmtId="26" fontId="11" fillId="0" borderId="30" xfId="0" applyNumberFormat="1" applyFont="1" applyBorder="1">
      <alignment vertical="center"/>
    </xf>
    <xf numFmtId="0" fontId="11" fillId="6" borderId="23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26" fontId="11" fillId="6" borderId="22" xfId="0" applyNumberFormat="1" applyFont="1" applyFill="1" applyBorder="1">
      <alignment vertical="center"/>
    </xf>
    <xf numFmtId="38" fontId="14" fillId="0" borderId="21" xfId="16" applyNumberFormat="1" applyFont="1" applyFill="1" applyBorder="1">
      <alignment vertical="center"/>
    </xf>
    <xf numFmtId="0" fontId="11" fillId="6" borderId="30" xfId="0" applyFont="1" applyFill="1" applyBorder="1">
      <alignment vertical="center"/>
    </xf>
    <xf numFmtId="0" fontId="11" fillId="6" borderId="31" xfId="0" applyFont="1" applyFill="1" applyBorder="1" applyAlignment="1">
      <alignment horizontal="center" vertical="center"/>
    </xf>
    <xf numFmtId="0" fontId="11" fillId="0" borderId="26" xfId="0" applyFont="1" applyBorder="1">
      <alignment vertical="center"/>
    </xf>
    <xf numFmtId="0" fontId="14" fillId="0" borderId="35" xfId="0" applyFont="1" applyBorder="1">
      <alignment vertical="center"/>
    </xf>
    <xf numFmtId="0" fontId="11" fillId="0" borderId="32" xfId="0" applyFont="1" applyBorder="1">
      <alignment vertical="center"/>
    </xf>
    <xf numFmtId="176" fontId="11" fillId="0" borderId="32" xfId="0" applyNumberFormat="1" applyFont="1" applyBorder="1">
      <alignment vertical="center"/>
    </xf>
    <xf numFmtId="176" fontId="11" fillId="0" borderId="23" xfId="0" applyNumberFormat="1" applyFont="1" applyBorder="1">
      <alignment vertical="center"/>
    </xf>
    <xf numFmtId="0" fontId="11" fillId="0" borderId="34" xfId="0" applyFont="1" applyBorder="1" applyAlignment="1">
      <alignment horizontal="center" vertical="center"/>
    </xf>
    <xf numFmtId="176" fontId="11" fillId="0" borderId="10" xfId="0" applyNumberFormat="1" applyFont="1" applyBorder="1">
      <alignment vertical="center"/>
    </xf>
    <xf numFmtId="176" fontId="11" fillId="0" borderId="26" xfId="0" applyNumberFormat="1" applyFont="1" applyBorder="1">
      <alignment vertical="center"/>
    </xf>
    <xf numFmtId="0" fontId="14" fillId="7" borderId="28" xfId="0" applyFont="1" applyFill="1" applyBorder="1">
      <alignment vertical="center"/>
    </xf>
    <xf numFmtId="0" fontId="14" fillId="7" borderId="29" xfId="0" applyFont="1" applyFill="1" applyBorder="1">
      <alignment vertical="center"/>
    </xf>
    <xf numFmtId="38" fontId="14" fillId="7" borderId="10" xfId="16" applyNumberFormat="1" applyFont="1" applyFill="1" applyBorder="1">
      <alignment vertical="center"/>
    </xf>
    <xf numFmtId="176" fontId="11" fillId="0" borderId="30" xfId="0" applyNumberFormat="1" applyFont="1" applyBorder="1">
      <alignment vertical="center"/>
    </xf>
    <xf numFmtId="0" fontId="11" fillId="0" borderId="38" xfId="0" applyFont="1" applyBorder="1">
      <alignment vertical="center"/>
    </xf>
    <xf numFmtId="0" fontId="11" fillId="0" borderId="39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8" fontId="14" fillId="6" borderId="10" xfId="16" applyNumberFormat="1" applyFont="1" applyFill="1" applyBorder="1">
      <alignment vertical="center"/>
    </xf>
    <xf numFmtId="176" fontId="11" fillId="0" borderId="38" xfId="0" applyNumberFormat="1" applyFont="1" applyBorder="1">
      <alignment vertical="center"/>
    </xf>
    <xf numFmtId="38" fontId="14" fillId="7" borderId="25" xfId="16" applyNumberFormat="1" applyFont="1" applyFill="1" applyBorder="1">
      <alignment vertical="center"/>
    </xf>
    <xf numFmtId="0" fontId="11" fillId="6" borderId="25" xfId="0" applyFont="1" applyFill="1" applyBorder="1">
      <alignment vertical="center"/>
    </xf>
    <xf numFmtId="0" fontId="11" fillId="6" borderId="26" xfId="0" applyFont="1" applyFill="1" applyBorder="1">
      <alignment vertical="center"/>
    </xf>
    <xf numFmtId="0" fontId="14" fillId="6" borderId="28" xfId="0" applyFont="1" applyFill="1" applyBorder="1">
      <alignment vertical="center"/>
    </xf>
    <xf numFmtId="0" fontId="14" fillId="6" borderId="29" xfId="0" applyFont="1" applyFill="1" applyBorder="1">
      <alignment vertical="center"/>
    </xf>
    <xf numFmtId="176" fontId="14" fillId="0" borderId="25" xfId="0" applyNumberFormat="1" applyFont="1" applyBorder="1">
      <alignment vertical="center"/>
    </xf>
    <xf numFmtId="176" fontId="11" fillId="0" borderId="21" xfId="0" applyNumberFormat="1" applyFont="1" applyBorder="1">
      <alignment vertical="center"/>
    </xf>
    <xf numFmtId="176" fontId="14" fillId="0" borderId="10" xfId="0" applyNumberFormat="1" applyFont="1" applyBorder="1">
      <alignment vertical="center"/>
    </xf>
    <xf numFmtId="176" fontId="11" fillId="0" borderId="41" xfId="0" applyNumberFormat="1" applyFont="1" applyBorder="1">
      <alignment vertical="center"/>
    </xf>
    <xf numFmtId="38" fontId="14" fillId="6" borderId="25" xfId="16" applyNumberFormat="1" applyFont="1" applyFill="1" applyBorder="1">
      <alignment vertical="center"/>
    </xf>
    <xf numFmtId="176" fontId="14" fillId="7" borderId="10" xfId="0" applyNumberFormat="1" applyFont="1" applyFill="1" applyBorder="1">
      <alignment vertical="center"/>
    </xf>
    <xf numFmtId="176" fontId="11" fillId="0" borderId="44" xfId="0" applyNumberFormat="1" applyFont="1" applyBorder="1">
      <alignment vertical="center"/>
    </xf>
    <xf numFmtId="176" fontId="11" fillId="0" borderId="25" xfId="0" applyNumberFormat="1" applyFont="1" applyBorder="1">
      <alignment vertical="center"/>
    </xf>
    <xf numFmtId="0" fontId="14" fillId="7" borderId="0" xfId="0" applyFont="1" applyFill="1">
      <alignment vertical="center"/>
    </xf>
    <xf numFmtId="0" fontId="14" fillId="7" borderId="25" xfId="0" applyFont="1" applyFill="1" applyBorder="1">
      <alignment vertical="center"/>
    </xf>
    <xf numFmtId="0" fontId="11" fillId="0" borderId="10" xfId="0" applyFont="1" applyBorder="1">
      <alignment vertical="center"/>
    </xf>
    <xf numFmtId="0" fontId="11" fillId="0" borderId="28" xfId="0" applyFont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41" fontId="5" fillId="2" borderId="46" xfId="1" applyFont="1" applyFill="1" applyBorder="1" applyAlignment="1">
      <alignment horizontal="center" vertical="center"/>
    </xf>
    <xf numFmtId="41" fontId="5" fillId="2" borderId="47" xfId="1" applyFont="1" applyFill="1" applyBorder="1" applyAlignment="1">
      <alignment horizontal="center" vertical="center"/>
    </xf>
    <xf numFmtId="0" fontId="15" fillId="0" borderId="21" xfId="0" applyFont="1" applyBorder="1">
      <alignment vertical="center"/>
    </xf>
    <xf numFmtId="0" fontId="14" fillId="0" borderId="40" xfId="0" applyFont="1" applyBorder="1">
      <alignment vertical="center"/>
    </xf>
    <xf numFmtId="0" fontId="11" fillId="0" borderId="41" xfId="0" applyFont="1" applyBorder="1">
      <alignment vertical="center"/>
    </xf>
    <xf numFmtId="0" fontId="11" fillId="0" borderId="42" xfId="0" applyFont="1" applyBorder="1" applyAlignment="1">
      <alignment horizontal="center" vertical="center"/>
    </xf>
    <xf numFmtId="0" fontId="14" fillId="0" borderId="43" xfId="0" applyFont="1" applyBorder="1">
      <alignment vertical="center"/>
    </xf>
    <xf numFmtId="0" fontId="11" fillId="0" borderId="44" xfId="0" applyFont="1" applyBorder="1">
      <alignment vertical="center"/>
    </xf>
    <xf numFmtId="0" fontId="11" fillId="0" borderId="45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right" vertical="center"/>
    </xf>
    <xf numFmtId="3" fontId="11" fillId="6" borderId="23" xfId="0" applyNumberFormat="1" applyFont="1" applyFill="1" applyBorder="1" applyAlignment="1">
      <alignment horizontal="right" vertical="center"/>
    </xf>
    <xf numFmtId="3" fontId="11" fillId="0" borderId="23" xfId="0" applyNumberFormat="1" applyFont="1" applyBorder="1" applyAlignment="1">
      <alignment horizontal="right" vertical="center"/>
    </xf>
    <xf numFmtId="3" fontId="11" fillId="0" borderId="10" xfId="0" applyNumberFormat="1" applyFont="1" applyBorder="1" applyAlignment="1">
      <alignment horizontal="right" vertical="center"/>
    </xf>
    <xf numFmtId="177" fontId="14" fillId="0" borderId="28" xfId="16" applyNumberFormat="1" applyFont="1" applyFill="1" applyBorder="1">
      <alignment vertical="center"/>
    </xf>
    <xf numFmtId="177" fontId="14" fillId="0" borderId="34" xfId="16" applyNumberFormat="1" applyFont="1" applyFill="1" applyBorder="1">
      <alignment vertical="center"/>
    </xf>
    <xf numFmtId="38" fontId="14" fillId="0" borderId="34" xfId="16" applyNumberFormat="1" applyFont="1" applyFill="1" applyBorder="1">
      <alignment vertical="center"/>
    </xf>
    <xf numFmtId="41" fontId="11" fillId="0" borderId="24" xfId="16" applyFont="1" applyFill="1" applyBorder="1">
      <alignment vertical="center"/>
    </xf>
    <xf numFmtId="38" fontId="14" fillId="0" borderId="28" xfId="16" applyNumberFormat="1" applyFont="1" applyFill="1" applyBorder="1">
      <alignment vertical="center"/>
    </xf>
    <xf numFmtId="38" fontId="14" fillId="7" borderId="34" xfId="16" applyNumberFormat="1" applyFont="1" applyFill="1" applyBorder="1">
      <alignment vertical="center"/>
    </xf>
    <xf numFmtId="41" fontId="11" fillId="0" borderId="31" xfId="16" applyFont="1" applyFill="1" applyBorder="1">
      <alignment vertical="center"/>
    </xf>
    <xf numFmtId="177" fontId="14" fillId="6" borderId="34" xfId="16" applyNumberFormat="1" applyFont="1" applyFill="1" applyBorder="1">
      <alignment vertical="center"/>
    </xf>
    <xf numFmtId="41" fontId="11" fillId="0" borderId="39" xfId="16" applyFont="1" applyFill="1" applyBorder="1">
      <alignment vertical="center"/>
    </xf>
    <xf numFmtId="41" fontId="11" fillId="0" borderId="27" xfId="16" applyFont="1" applyFill="1" applyBorder="1">
      <alignment vertical="center"/>
    </xf>
    <xf numFmtId="38" fontId="14" fillId="7" borderId="28" xfId="16" applyNumberFormat="1" applyFont="1" applyFill="1" applyBorder="1">
      <alignment vertical="center"/>
    </xf>
    <xf numFmtId="38" fontId="14" fillId="6" borderId="28" xfId="16" applyNumberFormat="1" applyFont="1" applyFill="1" applyBorder="1">
      <alignment vertical="center"/>
    </xf>
    <xf numFmtId="38" fontId="14" fillId="6" borderId="34" xfId="16" applyNumberFormat="1" applyFont="1" applyFill="1" applyBorder="1">
      <alignment vertical="center"/>
    </xf>
    <xf numFmtId="41" fontId="11" fillId="0" borderId="42" xfId="16" applyFont="1" applyFill="1" applyBorder="1">
      <alignment vertical="center"/>
    </xf>
    <xf numFmtId="41" fontId="11" fillId="0" borderId="45" xfId="16" applyFont="1" applyFill="1" applyBorder="1">
      <alignment vertical="center"/>
    </xf>
    <xf numFmtId="41" fontId="11" fillId="0" borderId="37" xfId="16" applyFont="1" applyFill="1" applyBorder="1">
      <alignment vertical="center"/>
    </xf>
    <xf numFmtId="41" fontId="11" fillId="0" borderId="22" xfId="16" applyFont="1" applyFill="1" applyBorder="1">
      <alignment vertical="center"/>
    </xf>
    <xf numFmtId="41" fontId="11" fillId="0" borderId="28" xfId="16" applyFont="1" applyFill="1" applyBorder="1">
      <alignment vertical="center"/>
    </xf>
    <xf numFmtId="41" fontId="11" fillId="0" borderId="34" xfId="16" applyFont="1" applyFill="1" applyBorder="1">
      <alignment vertical="center"/>
    </xf>
    <xf numFmtId="41" fontId="14" fillId="0" borderId="28" xfId="16" applyFont="1" applyBorder="1">
      <alignment vertical="center"/>
    </xf>
    <xf numFmtId="3" fontId="11" fillId="0" borderId="21" xfId="0" applyNumberFormat="1" applyFont="1" applyBorder="1" applyAlignment="1">
      <alignment horizontal="right" vertical="center"/>
    </xf>
    <xf numFmtId="3" fontId="11" fillId="6" borderId="26" xfId="0" applyNumberFormat="1" applyFont="1" applyFill="1" applyBorder="1" applyAlignment="1">
      <alignment horizontal="right" vertical="center"/>
    </xf>
    <xf numFmtId="3" fontId="14" fillId="0" borderId="25" xfId="0" applyNumberFormat="1" applyFont="1" applyBorder="1" applyAlignment="1">
      <alignment horizontal="right" vertical="center"/>
    </xf>
    <xf numFmtId="3" fontId="11" fillId="0" borderId="30" xfId="0" applyNumberFormat="1" applyFont="1" applyBorder="1" applyAlignment="1">
      <alignment horizontal="right" vertical="center"/>
    </xf>
    <xf numFmtId="3" fontId="14" fillId="0" borderId="21" xfId="0" applyNumberFormat="1" applyFont="1" applyBorder="1" applyAlignment="1">
      <alignment horizontal="right" vertical="center"/>
    </xf>
    <xf numFmtId="3" fontId="14" fillId="6" borderId="10" xfId="0" applyNumberFormat="1" applyFont="1" applyFill="1" applyBorder="1" applyAlignment="1">
      <alignment horizontal="right" vertical="center"/>
    </xf>
    <xf numFmtId="3" fontId="11" fillId="6" borderId="30" xfId="0" applyNumberFormat="1" applyFont="1" applyFill="1" applyBorder="1" applyAlignment="1">
      <alignment horizontal="right" vertical="center"/>
    </xf>
    <xf numFmtId="3" fontId="14" fillId="0" borderId="10" xfId="0" applyNumberFormat="1" applyFont="1" applyBorder="1" applyAlignment="1">
      <alignment horizontal="right" vertical="center"/>
    </xf>
    <xf numFmtId="3" fontId="14" fillId="7" borderId="25" xfId="0" applyNumberFormat="1" applyFont="1" applyFill="1" applyBorder="1" applyAlignment="1">
      <alignment horizontal="right" vertical="center"/>
    </xf>
    <xf numFmtId="3" fontId="11" fillId="0" borderId="32" xfId="0" applyNumberFormat="1" applyFont="1" applyBorder="1" applyAlignment="1">
      <alignment horizontal="right" vertical="center"/>
    </xf>
    <xf numFmtId="3" fontId="11" fillId="0" borderId="38" xfId="0" applyNumberFormat="1" applyFont="1" applyBorder="1" applyAlignment="1">
      <alignment horizontal="right" vertical="center"/>
    </xf>
    <xf numFmtId="3" fontId="14" fillId="6" borderId="25" xfId="0" applyNumberFormat="1" applyFont="1" applyFill="1" applyBorder="1" applyAlignment="1">
      <alignment horizontal="right" vertical="center"/>
    </xf>
    <xf numFmtId="3" fontId="11" fillId="0" borderId="41" xfId="0" applyNumberFormat="1" applyFont="1" applyBorder="1" applyAlignment="1">
      <alignment horizontal="right" vertical="center"/>
    </xf>
    <xf numFmtId="3" fontId="11" fillId="0" borderId="44" xfId="0" applyNumberFormat="1" applyFont="1" applyBorder="1" applyAlignment="1">
      <alignment horizontal="right" vertical="center"/>
    </xf>
    <xf numFmtId="3" fontId="14" fillId="7" borderId="21" xfId="0" applyNumberFormat="1" applyFont="1" applyFill="1" applyBorder="1" applyAlignment="1">
      <alignment horizontal="right" vertical="center"/>
    </xf>
    <xf numFmtId="3" fontId="11" fillId="0" borderId="25" xfId="0" applyNumberFormat="1" applyFont="1" applyBorder="1" applyAlignment="1">
      <alignment horizontal="right" vertical="center"/>
    </xf>
    <xf numFmtId="0" fontId="14" fillId="7" borderId="21" xfId="0" applyFont="1" applyFill="1" applyBorder="1">
      <alignment vertical="center"/>
    </xf>
    <xf numFmtId="38" fontId="14" fillId="7" borderId="22" xfId="16" applyNumberFormat="1" applyFont="1" applyFill="1" applyBorder="1">
      <alignment vertical="center"/>
    </xf>
    <xf numFmtId="41" fontId="5" fillId="2" borderId="9" xfId="1" applyFont="1" applyFill="1" applyBorder="1" applyAlignment="1">
      <alignment horizontal="center" vertical="center"/>
    </xf>
    <xf numFmtId="26" fontId="11" fillId="6" borderId="23" xfId="0" applyNumberFormat="1" applyFont="1" applyFill="1" applyBorder="1">
      <alignment vertical="center"/>
    </xf>
    <xf numFmtId="38" fontId="14" fillId="0" borderId="43" xfId="16" applyNumberFormat="1" applyFont="1" applyFill="1" applyBorder="1">
      <alignment vertical="center"/>
    </xf>
    <xf numFmtId="38" fontId="14" fillId="0" borderId="40" xfId="16" applyNumberFormat="1" applyFont="1" applyFill="1" applyBorder="1">
      <alignment vertical="center"/>
    </xf>
    <xf numFmtId="38" fontId="14" fillId="0" borderId="53" xfId="16" applyNumberFormat="1" applyFont="1" applyFill="1" applyBorder="1">
      <alignment vertical="center"/>
    </xf>
    <xf numFmtId="176" fontId="11" fillId="0" borderId="50" xfId="0" applyNumberFormat="1" applyFont="1" applyBorder="1">
      <alignment vertical="center"/>
    </xf>
    <xf numFmtId="176" fontId="11" fillId="0" borderId="49" xfId="0" applyNumberFormat="1" applyFont="1" applyBorder="1">
      <alignment vertical="center"/>
    </xf>
    <xf numFmtId="176" fontId="11" fillId="0" borderId="40" xfId="0" applyNumberFormat="1" applyFont="1" applyBorder="1">
      <alignment vertical="center"/>
    </xf>
    <xf numFmtId="176" fontId="11" fillId="0" borderId="51" xfId="0" applyNumberFormat="1" applyFont="1" applyBorder="1">
      <alignment vertical="center"/>
    </xf>
    <xf numFmtId="38" fontId="14" fillId="7" borderId="40" xfId="16" applyNumberFormat="1" applyFont="1" applyFill="1" applyBorder="1">
      <alignment vertical="center"/>
    </xf>
    <xf numFmtId="176" fontId="11" fillId="0" borderId="52" xfId="0" applyNumberFormat="1" applyFont="1" applyBorder="1">
      <alignment vertical="center"/>
    </xf>
    <xf numFmtId="176" fontId="11" fillId="0" borderId="54" xfId="0" applyNumberFormat="1" applyFont="1" applyBorder="1">
      <alignment vertical="center"/>
    </xf>
    <xf numFmtId="38" fontId="14" fillId="6" borderId="40" xfId="16" applyNumberFormat="1" applyFont="1" applyFill="1" applyBorder="1">
      <alignment vertical="center"/>
    </xf>
    <xf numFmtId="38" fontId="14" fillId="7" borderId="43" xfId="16" applyNumberFormat="1" applyFont="1" applyFill="1" applyBorder="1">
      <alignment vertical="center"/>
    </xf>
    <xf numFmtId="176" fontId="14" fillId="0" borderId="43" xfId="0" applyNumberFormat="1" applyFont="1" applyBorder="1">
      <alignment vertical="center"/>
    </xf>
    <xf numFmtId="176" fontId="11" fillId="0" borderId="53" xfId="0" applyNumberFormat="1" applyFont="1" applyBorder="1">
      <alignment vertical="center"/>
    </xf>
    <xf numFmtId="176" fontId="14" fillId="0" borderId="40" xfId="0" applyNumberFormat="1" applyFont="1" applyBorder="1">
      <alignment vertical="center"/>
    </xf>
    <xf numFmtId="176" fontId="11" fillId="0" borderId="55" xfId="0" applyNumberFormat="1" applyFont="1" applyBorder="1">
      <alignment vertical="center"/>
    </xf>
    <xf numFmtId="176" fontId="14" fillId="7" borderId="40" xfId="0" applyNumberFormat="1" applyFont="1" applyFill="1" applyBorder="1">
      <alignment vertical="center"/>
    </xf>
    <xf numFmtId="176" fontId="11" fillId="0" borderId="56" xfId="0" applyNumberFormat="1" applyFont="1" applyBorder="1">
      <alignment vertical="center"/>
    </xf>
    <xf numFmtId="0" fontId="14" fillId="7" borderId="53" xfId="0" applyFont="1" applyFill="1" applyBorder="1">
      <alignment vertical="center"/>
    </xf>
    <xf numFmtId="177" fontId="11" fillId="0" borderId="23" xfId="16" applyNumberFormat="1" applyFont="1" applyFill="1" applyBorder="1">
      <alignment vertical="center"/>
    </xf>
    <xf numFmtId="177" fontId="11" fillId="0" borderId="26" xfId="16" applyNumberFormat="1" applyFont="1" applyFill="1" applyBorder="1">
      <alignment vertical="center"/>
    </xf>
    <xf numFmtId="177" fontId="14" fillId="0" borderId="25" xfId="16" applyNumberFormat="1" applyFont="1" applyFill="1" applyBorder="1">
      <alignment vertical="center"/>
    </xf>
    <xf numFmtId="177" fontId="14" fillId="0" borderId="10" xfId="16" applyNumberFormat="1" applyFont="1" applyFill="1" applyBorder="1">
      <alignment vertical="center"/>
    </xf>
    <xf numFmtId="177" fontId="11" fillId="0" borderId="30" xfId="16" applyNumberFormat="1" applyFont="1" applyFill="1" applyBorder="1">
      <alignment vertical="center"/>
    </xf>
    <xf numFmtId="41" fontId="11" fillId="0" borderId="23" xfId="16" applyFont="1" applyFill="1" applyBorder="1">
      <alignment vertical="center"/>
    </xf>
    <xf numFmtId="41" fontId="11" fillId="0" borderId="30" xfId="16" applyFont="1" applyFill="1" applyBorder="1">
      <alignment vertical="center"/>
    </xf>
    <xf numFmtId="177" fontId="14" fillId="6" borderId="10" xfId="16" applyNumberFormat="1" applyFont="1" applyFill="1" applyBorder="1">
      <alignment vertical="center"/>
    </xf>
    <xf numFmtId="41" fontId="11" fillId="0" borderId="38" xfId="16" applyFont="1" applyFill="1" applyBorder="1">
      <alignment vertical="center"/>
    </xf>
    <xf numFmtId="41" fontId="11" fillId="0" borderId="26" xfId="16" applyFont="1" applyFill="1" applyBorder="1">
      <alignment vertical="center"/>
    </xf>
    <xf numFmtId="41" fontId="11" fillId="0" borderId="41" xfId="16" applyFont="1" applyFill="1" applyBorder="1">
      <alignment vertical="center"/>
    </xf>
    <xf numFmtId="41" fontId="11" fillId="0" borderId="44" xfId="16" applyFont="1" applyFill="1" applyBorder="1">
      <alignment vertical="center"/>
    </xf>
    <xf numFmtId="41" fontId="11" fillId="0" borderId="32" xfId="16" applyFont="1" applyFill="1" applyBorder="1">
      <alignment vertical="center"/>
    </xf>
    <xf numFmtId="41" fontId="11" fillId="0" borderId="21" xfId="16" applyFont="1" applyFill="1" applyBorder="1">
      <alignment vertical="center"/>
    </xf>
    <xf numFmtId="41" fontId="11" fillId="0" borderId="25" xfId="16" applyFont="1" applyFill="1" applyBorder="1">
      <alignment vertical="center"/>
    </xf>
    <xf numFmtId="41" fontId="11" fillId="0" borderId="10" xfId="16" applyFont="1" applyFill="1" applyBorder="1">
      <alignment vertical="center"/>
    </xf>
    <xf numFmtId="41" fontId="14" fillId="0" borderId="25" xfId="16" applyFont="1" applyBorder="1">
      <alignment vertical="center"/>
    </xf>
    <xf numFmtId="38" fontId="14" fillId="7" borderId="21" xfId="16" applyNumberFormat="1" applyFont="1" applyFill="1" applyBorder="1">
      <alignment vertical="center"/>
    </xf>
    <xf numFmtId="3" fontId="11" fillId="6" borderId="24" xfId="0" applyNumberFormat="1" applyFont="1" applyFill="1" applyBorder="1" applyAlignment="1">
      <alignment horizontal="right" vertical="center"/>
    </xf>
    <xf numFmtId="3" fontId="11" fillId="0" borderId="24" xfId="0" applyNumberFormat="1" applyFont="1" applyBorder="1" applyAlignment="1">
      <alignment horizontal="right" vertical="center"/>
    </xf>
    <xf numFmtId="3" fontId="11" fillId="0" borderId="22" xfId="0" applyNumberFormat="1" applyFont="1" applyBorder="1" applyAlignment="1">
      <alignment horizontal="right" vertical="center"/>
    </xf>
    <xf numFmtId="3" fontId="11" fillId="6" borderId="27" xfId="0" applyNumberFormat="1" applyFont="1" applyFill="1" applyBorder="1" applyAlignment="1">
      <alignment horizontal="right" vertical="center"/>
    </xf>
    <xf numFmtId="3" fontId="11" fillId="0" borderId="31" xfId="0" applyNumberFormat="1" applyFont="1" applyBorder="1" applyAlignment="1">
      <alignment horizontal="right" vertical="center"/>
    </xf>
    <xf numFmtId="3" fontId="11" fillId="0" borderId="27" xfId="0" applyNumberFormat="1" applyFont="1" applyBorder="1" applyAlignment="1">
      <alignment horizontal="right" vertical="center"/>
    </xf>
    <xf numFmtId="3" fontId="11" fillId="6" borderId="31" xfId="0" applyNumberFormat="1" applyFont="1" applyFill="1" applyBorder="1" applyAlignment="1">
      <alignment horizontal="right" vertical="center"/>
    </xf>
    <xf numFmtId="3" fontId="11" fillId="0" borderId="37" xfId="0" applyNumberFormat="1" applyFont="1" applyBorder="1" applyAlignment="1">
      <alignment horizontal="right" vertical="center"/>
    </xf>
    <xf numFmtId="3" fontId="11" fillId="0" borderId="39" xfId="0" applyNumberFormat="1" applyFont="1" applyBorder="1" applyAlignment="1">
      <alignment horizontal="right" vertical="center"/>
    </xf>
    <xf numFmtId="3" fontId="11" fillId="0" borderId="42" xfId="0" applyNumberFormat="1" applyFont="1" applyBorder="1" applyAlignment="1">
      <alignment horizontal="right" vertical="center"/>
    </xf>
    <xf numFmtId="3" fontId="11" fillId="0" borderId="45" xfId="0" applyNumberFormat="1" applyFont="1" applyBorder="1" applyAlignment="1">
      <alignment horizontal="right" vertical="center"/>
    </xf>
    <xf numFmtId="3" fontId="11" fillId="0" borderId="28" xfId="0" applyNumberFormat="1" applyFont="1" applyBorder="1" applyAlignment="1">
      <alignment horizontal="right" vertical="center"/>
    </xf>
    <xf numFmtId="41" fontId="5" fillId="2" borderId="6" xfId="1" applyFont="1" applyFill="1" applyBorder="1" applyAlignment="1">
      <alignment horizontal="center" vertical="center"/>
    </xf>
    <xf numFmtId="3" fontId="11" fillId="0" borderId="49" xfId="0" applyNumberFormat="1" applyFont="1" applyBorder="1" applyAlignment="1">
      <alignment horizontal="right" vertical="center"/>
    </xf>
    <xf numFmtId="3" fontId="11" fillId="6" borderId="51" xfId="0" applyNumberFormat="1" applyFont="1" applyFill="1" applyBorder="1" applyAlignment="1">
      <alignment horizontal="right" vertical="center"/>
    </xf>
    <xf numFmtId="3" fontId="11" fillId="0" borderId="52" xfId="0" applyNumberFormat="1" applyFont="1" applyBorder="1" applyAlignment="1">
      <alignment horizontal="right" vertical="center"/>
    </xf>
    <xf numFmtId="3" fontId="11" fillId="6" borderId="49" xfId="0" applyNumberFormat="1" applyFont="1" applyFill="1" applyBorder="1" applyAlignment="1">
      <alignment horizontal="right" vertical="center"/>
    </xf>
    <xf numFmtId="3" fontId="11" fillId="0" borderId="51" xfId="0" applyNumberFormat="1" applyFont="1" applyBorder="1" applyAlignment="1">
      <alignment horizontal="right" vertical="center"/>
    </xf>
    <xf numFmtId="3" fontId="11" fillId="6" borderId="52" xfId="0" applyNumberFormat="1" applyFont="1" applyFill="1" applyBorder="1" applyAlignment="1">
      <alignment horizontal="right" vertical="center"/>
    </xf>
    <xf numFmtId="3" fontId="11" fillId="0" borderId="40" xfId="0" applyNumberFormat="1" applyFont="1" applyBorder="1" applyAlignment="1">
      <alignment horizontal="right" vertical="center"/>
    </xf>
    <xf numFmtId="3" fontId="11" fillId="0" borderId="50" xfId="0" applyNumberFormat="1" applyFont="1" applyBorder="1" applyAlignment="1">
      <alignment horizontal="right" vertical="center"/>
    </xf>
    <xf numFmtId="3" fontId="11" fillId="0" borderId="54" xfId="0" applyNumberFormat="1" applyFont="1" applyBorder="1" applyAlignment="1">
      <alignment horizontal="right" vertical="center"/>
    </xf>
    <xf numFmtId="3" fontId="11" fillId="0" borderId="55" xfId="0" applyNumberFormat="1" applyFont="1" applyBorder="1" applyAlignment="1">
      <alignment horizontal="right" vertical="center"/>
    </xf>
    <xf numFmtId="3" fontId="11" fillId="0" borderId="56" xfId="0" applyNumberFormat="1" applyFont="1" applyBorder="1" applyAlignment="1">
      <alignment horizontal="right" vertical="center"/>
    </xf>
    <xf numFmtId="3" fontId="11" fillId="0" borderId="43" xfId="0" applyNumberFormat="1" applyFont="1" applyBorder="1" applyAlignment="1">
      <alignment horizontal="right" vertical="center"/>
    </xf>
    <xf numFmtId="0" fontId="14" fillId="7" borderId="22" xfId="0" applyFont="1" applyFill="1" applyBorder="1">
      <alignment vertical="center"/>
    </xf>
    <xf numFmtId="177" fontId="11" fillId="6" borderId="23" xfId="16" applyNumberFormat="1" applyFont="1" applyFill="1" applyBorder="1">
      <alignment vertical="center"/>
    </xf>
    <xf numFmtId="41" fontId="5" fillId="2" borderId="4" xfId="1" applyFont="1" applyFill="1" applyBorder="1" applyAlignment="1">
      <alignment horizontal="center" vertical="center"/>
    </xf>
    <xf numFmtId="3" fontId="11" fillId="6" borderId="59" xfId="0" applyNumberFormat="1" applyFont="1" applyFill="1" applyBorder="1" applyAlignment="1">
      <alignment horizontal="right" vertical="center"/>
    </xf>
    <xf numFmtId="3" fontId="11" fillId="6" borderId="60" xfId="0" applyNumberFormat="1" applyFont="1" applyFill="1" applyBorder="1" applyAlignment="1">
      <alignment horizontal="right" vertical="center"/>
    </xf>
    <xf numFmtId="3" fontId="11" fillId="0" borderId="60" xfId="0" applyNumberFormat="1" applyFont="1" applyBorder="1" applyAlignment="1">
      <alignment horizontal="right" vertical="center"/>
    </xf>
    <xf numFmtId="3" fontId="11" fillId="0" borderId="59" xfId="0" applyNumberFormat="1" applyFont="1" applyBorder="1" applyAlignment="1">
      <alignment horizontal="right" vertical="center"/>
    </xf>
    <xf numFmtId="3" fontId="11" fillId="0" borderId="61" xfId="0" applyNumberFormat="1" applyFont="1" applyBorder="1" applyAlignment="1">
      <alignment horizontal="right" vertical="center"/>
    </xf>
    <xf numFmtId="3" fontId="11" fillId="0" borderId="62" xfId="0" applyNumberFormat="1" applyFont="1" applyBorder="1" applyAlignment="1">
      <alignment horizontal="right" vertical="center"/>
    </xf>
    <xf numFmtId="3" fontId="11" fillId="6" borderId="63" xfId="0" applyNumberFormat="1" applyFont="1" applyFill="1" applyBorder="1" applyAlignment="1">
      <alignment horizontal="right" vertical="center"/>
    </xf>
    <xf numFmtId="3" fontId="11" fillId="6" borderId="64" xfId="0" applyNumberFormat="1" applyFont="1" applyFill="1" applyBorder="1" applyAlignment="1">
      <alignment horizontal="right" vertical="center"/>
    </xf>
    <xf numFmtId="3" fontId="11" fillId="0" borderId="66" xfId="0" applyNumberFormat="1" applyFont="1" applyBorder="1" applyAlignment="1">
      <alignment horizontal="right" vertical="center"/>
    </xf>
    <xf numFmtId="3" fontId="11" fillId="0" borderId="67" xfId="0" applyNumberFormat="1" applyFont="1" applyBorder="1" applyAlignment="1">
      <alignment horizontal="right" vertical="center"/>
    </xf>
    <xf numFmtId="3" fontId="11" fillId="0" borderId="63" xfId="0" applyNumberFormat="1" applyFont="1" applyBorder="1" applyAlignment="1">
      <alignment horizontal="right" vertical="center"/>
    </xf>
    <xf numFmtId="3" fontId="11" fillId="0" borderId="64" xfId="0" applyNumberFormat="1" applyFont="1" applyBorder="1" applyAlignment="1">
      <alignment horizontal="right" vertical="center"/>
    </xf>
    <xf numFmtId="3" fontId="14" fillId="0" borderId="62" xfId="0" applyNumberFormat="1" applyFont="1" applyBorder="1" applyAlignment="1">
      <alignment horizontal="right" vertical="center"/>
    </xf>
    <xf numFmtId="3" fontId="11" fillId="6" borderId="66" xfId="0" applyNumberFormat="1" applyFont="1" applyFill="1" applyBorder="1" applyAlignment="1">
      <alignment horizontal="right" vertical="center"/>
    </xf>
    <xf numFmtId="3" fontId="11" fillId="6" borderId="67" xfId="0" applyNumberFormat="1" applyFont="1" applyFill="1" applyBorder="1" applyAlignment="1">
      <alignment horizontal="right" vertical="center"/>
    </xf>
    <xf numFmtId="3" fontId="11" fillId="0" borderId="68" xfId="0" applyNumberFormat="1" applyFont="1" applyBorder="1" applyAlignment="1">
      <alignment horizontal="right" vertical="center"/>
    </xf>
    <xf numFmtId="3" fontId="11" fillId="0" borderId="72" xfId="0" applyNumberFormat="1" applyFont="1" applyBorder="1" applyAlignment="1">
      <alignment horizontal="right" vertical="center"/>
    </xf>
    <xf numFmtId="3" fontId="11" fillId="0" borderId="33" xfId="0" applyNumberFormat="1" applyFont="1" applyBorder="1" applyAlignment="1">
      <alignment horizontal="right" vertical="center"/>
    </xf>
    <xf numFmtId="3" fontId="11" fillId="0" borderId="73" xfId="0" applyNumberFormat="1" applyFont="1" applyBorder="1" applyAlignment="1">
      <alignment horizontal="right" vertical="center"/>
    </xf>
    <xf numFmtId="3" fontId="11" fillId="0" borderId="74" xfId="0" applyNumberFormat="1" applyFont="1" applyBorder="1" applyAlignment="1">
      <alignment horizontal="right" vertical="center"/>
    </xf>
    <xf numFmtId="3" fontId="11" fillId="0" borderId="75" xfId="0" applyNumberFormat="1" applyFont="1" applyBorder="1" applyAlignment="1">
      <alignment horizontal="right" vertical="center"/>
    </xf>
    <xf numFmtId="3" fontId="11" fillId="0" borderId="76" xfId="0" applyNumberFormat="1" applyFont="1" applyBorder="1" applyAlignment="1">
      <alignment horizontal="right" vertical="center"/>
    </xf>
    <xf numFmtId="3" fontId="11" fillId="0" borderId="77" xfId="0" applyNumberFormat="1" applyFont="1" applyBorder="1" applyAlignment="1">
      <alignment horizontal="right" vertical="center"/>
    </xf>
    <xf numFmtId="3" fontId="11" fillId="0" borderId="78" xfId="0" applyNumberFormat="1" applyFont="1" applyBorder="1" applyAlignment="1">
      <alignment horizontal="right" vertical="center"/>
    </xf>
    <xf numFmtId="3" fontId="11" fillId="6" borderId="69" xfId="0" applyNumberFormat="1" applyFont="1" applyFill="1" applyBorder="1" applyAlignment="1">
      <alignment horizontal="right" vertical="center"/>
    </xf>
    <xf numFmtId="3" fontId="11" fillId="0" borderId="70" xfId="0" applyNumberFormat="1" applyFont="1" applyBorder="1" applyAlignment="1">
      <alignment horizontal="right" vertical="center"/>
    </xf>
    <xf numFmtId="3" fontId="11" fillId="0" borderId="71" xfId="0" applyNumberFormat="1" applyFont="1" applyBorder="1" applyAlignment="1">
      <alignment horizontal="right" vertical="center"/>
    </xf>
    <xf numFmtId="41" fontId="5" fillId="2" borderId="5" xfId="1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26" fontId="11" fillId="6" borderId="30" xfId="0" applyNumberFormat="1" applyFont="1" applyFill="1" applyBorder="1">
      <alignment vertical="center"/>
    </xf>
    <xf numFmtId="176" fontId="11" fillId="6" borderId="23" xfId="0" applyNumberFormat="1" applyFont="1" applyFill="1" applyBorder="1">
      <alignment vertical="center"/>
    </xf>
    <xf numFmtId="3" fontId="11" fillId="0" borderId="36" xfId="0" applyNumberFormat="1" applyFont="1" applyBorder="1" applyAlignment="1">
      <alignment horizontal="right" vertical="center"/>
    </xf>
    <xf numFmtId="0" fontId="11" fillId="0" borderId="22" xfId="0" applyFont="1" applyBorder="1" applyAlignment="1">
      <alignment horizontal="center" vertical="center"/>
    </xf>
    <xf numFmtId="176" fontId="11" fillId="6" borderId="32" xfId="0" applyNumberFormat="1" applyFont="1" applyFill="1" applyBorder="1">
      <alignment vertical="center"/>
    </xf>
    <xf numFmtId="41" fontId="11" fillId="6" borderId="37" xfId="16" applyFont="1" applyFill="1" applyBorder="1">
      <alignment vertical="center"/>
    </xf>
    <xf numFmtId="41" fontId="11" fillId="6" borderId="32" xfId="16" applyFont="1" applyFill="1" applyBorder="1">
      <alignment vertical="center"/>
    </xf>
    <xf numFmtId="176" fontId="11" fillId="6" borderId="50" xfId="0" applyNumberFormat="1" applyFont="1" applyFill="1" applyBorder="1">
      <alignment vertical="center"/>
    </xf>
    <xf numFmtId="41" fontId="11" fillId="6" borderId="23" xfId="16" applyFont="1" applyFill="1" applyBorder="1">
      <alignment vertical="center"/>
    </xf>
    <xf numFmtId="176" fontId="11" fillId="6" borderId="49" xfId="0" applyNumberFormat="1" applyFont="1" applyFill="1" applyBorder="1">
      <alignment vertical="center"/>
    </xf>
    <xf numFmtId="41" fontId="5" fillId="2" borderId="81" xfId="1" applyFont="1" applyFill="1" applyBorder="1" applyAlignment="1">
      <alignment horizontal="center" vertical="center"/>
    </xf>
    <xf numFmtId="3" fontId="11" fillId="6" borderId="82" xfId="0" applyNumberFormat="1" applyFont="1" applyFill="1" applyBorder="1" applyAlignment="1">
      <alignment horizontal="right" vertical="center"/>
    </xf>
    <xf numFmtId="3" fontId="11" fillId="0" borderId="82" xfId="0" applyNumberFormat="1" applyFont="1" applyBorder="1" applyAlignment="1">
      <alignment horizontal="right" vertical="center"/>
    </xf>
    <xf numFmtId="3" fontId="11" fillId="0" borderId="83" xfId="0" applyNumberFormat="1" applyFont="1" applyBorder="1" applyAlignment="1">
      <alignment horizontal="right" vertical="center"/>
    </xf>
    <xf numFmtId="3" fontId="11" fillId="6" borderId="84" xfId="0" applyNumberFormat="1" applyFont="1" applyFill="1" applyBorder="1" applyAlignment="1">
      <alignment horizontal="right" vertical="center"/>
    </xf>
    <xf numFmtId="3" fontId="11" fillId="0" borderId="87" xfId="0" applyNumberFormat="1" applyFont="1" applyBorder="1" applyAlignment="1">
      <alignment horizontal="right" vertical="center"/>
    </xf>
    <xf numFmtId="3" fontId="11" fillId="0" borderId="84" xfId="0" applyNumberFormat="1" applyFont="1" applyBorder="1" applyAlignment="1">
      <alignment horizontal="right" vertical="center"/>
    </xf>
    <xf numFmtId="3" fontId="11" fillId="0" borderId="88" xfId="0" applyNumberFormat="1" applyFont="1" applyBorder="1" applyAlignment="1">
      <alignment horizontal="right" vertical="center"/>
    </xf>
    <xf numFmtId="3" fontId="11" fillId="6" borderId="87" xfId="0" applyNumberFormat="1" applyFont="1" applyFill="1" applyBorder="1" applyAlignment="1">
      <alignment horizontal="right" vertical="center"/>
    </xf>
    <xf numFmtId="3" fontId="11" fillId="0" borderId="89" xfId="0" applyNumberFormat="1" applyFont="1" applyBorder="1" applyAlignment="1">
      <alignment horizontal="right" vertical="center"/>
    </xf>
    <xf numFmtId="3" fontId="11" fillId="0" borderId="86" xfId="0" applyNumberFormat="1" applyFont="1" applyBorder="1" applyAlignment="1">
      <alignment horizontal="right" vertical="center"/>
    </xf>
    <xf numFmtId="3" fontId="11" fillId="0" borderId="90" xfId="0" applyNumberFormat="1" applyFont="1" applyBorder="1" applyAlignment="1">
      <alignment horizontal="right" vertical="center"/>
    </xf>
    <xf numFmtId="0" fontId="11" fillId="0" borderId="91" xfId="0" applyFont="1" applyBorder="1" applyAlignment="1">
      <alignment horizontal="center" vertical="center"/>
    </xf>
    <xf numFmtId="176" fontId="11" fillId="0" borderId="92" xfId="0" applyNumberFormat="1" applyFont="1" applyBorder="1">
      <alignment vertical="center"/>
    </xf>
    <xf numFmtId="41" fontId="11" fillId="0" borderId="93" xfId="16" applyFont="1" applyFill="1" applyBorder="1">
      <alignment vertical="center"/>
    </xf>
    <xf numFmtId="41" fontId="11" fillId="0" borderId="92" xfId="16" applyFont="1" applyFill="1" applyBorder="1">
      <alignment vertical="center"/>
    </xf>
    <xf numFmtId="176" fontId="11" fillId="0" borderId="94" xfId="0" applyNumberFormat="1" applyFont="1" applyBorder="1">
      <alignment vertical="center"/>
    </xf>
    <xf numFmtId="0" fontId="11" fillId="0" borderId="48" xfId="0" applyFont="1" applyBorder="1">
      <alignment vertical="center"/>
    </xf>
    <xf numFmtId="0" fontId="11" fillId="0" borderId="48" xfId="0" applyFont="1" applyBorder="1" applyAlignment="1">
      <alignment horizontal="center" vertical="center"/>
    </xf>
    <xf numFmtId="3" fontId="11" fillId="0" borderId="53" xfId="0" applyNumberFormat="1" applyFont="1" applyBorder="1" applyAlignment="1">
      <alignment horizontal="right" vertical="center"/>
    </xf>
    <xf numFmtId="0" fontId="11" fillId="0" borderId="95" xfId="0" applyFont="1" applyBorder="1">
      <alignment vertical="center"/>
    </xf>
    <xf numFmtId="176" fontId="11" fillId="0" borderId="48" xfId="0" applyNumberFormat="1" applyFont="1" applyBorder="1">
      <alignment vertical="center"/>
    </xf>
    <xf numFmtId="41" fontId="11" fillId="0" borderId="57" xfId="16" applyFont="1" applyFill="1" applyBorder="1">
      <alignment vertical="center"/>
    </xf>
    <xf numFmtId="41" fontId="11" fillId="0" borderId="48" xfId="16" applyFont="1" applyFill="1" applyBorder="1">
      <alignment vertical="center"/>
    </xf>
    <xf numFmtId="3" fontId="11" fillId="6" borderId="23" xfId="0" applyNumberFormat="1" applyFont="1" applyFill="1" applyBorder="1" applyAlignment="1">
      <alignment horizontal="center" vertical="center"/>
    </xf>
    <xf numFmtId="3" fontId="11" fillId="0" borderId="23" xfId="0" applyNumberFormat="1" applyFont="1" applyBorder="1" applyAlignment="1">
      <alignment horizontal="center" vertical="center"/>
    </xf>
    <xf numFmtId="3" fontId="11" fillId="0" borderId="21" xfId="0" applyNumberFormat="1" applyFont="1" applyBorder="1" applyAlignment="1">
      <alignment horizontal="center" vertical="center"/>
    </xf>
    <xf numFmtId="3" fontId="11" fillId="6" borderId="26" xfId="0" applyNumberFormat="1" applyFont="1" applyFill="1" applyBorder="1" applyAlignment="1">
      <alignment horizontal="center" vertical="center"/>
    </xf>
    <xf numFmtId="3" fontId="14" fillId="6" borderId="10" xfId="0" applyNumberFormat="1" applyFont="1" applyFill="1" applyBorder="1" applyAlignment="1">
      <alignment horizontal="center" vertical="center"/>
    </xf>
    <xf numFmtId="3" fontId="14" fillId="0" borderId="25" xfId="0" applyNumberFormat="1" applyFont="1" applyBorder="1" applyAlignment="1">
      <alignment horizontal="center" vertical="center"/>
    </xf>
    <xf numFmtId="3" fontId="11" fillId="6" borderId="38" xfId="0" applyNumberFormat="1" applyFont="1" applyFill="1" applyBorder="1" applyAlignment="1">
      <alignment horizontal="center" vertical="center"/>
    </xf>
    <xf numFmtId="3" fontId="11" fillId="0" borderId="30" xfId="0" applyNumberFormat="1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3" fontId="14" fillId="0" borderId="21" xfId="0" applyNumberFormat="1" applyFont="1" applyBorder="1" applyAlignment="1">
      <alignment horizontal="center" vertical="center"/>
    </xf>
    <xf numFmtId="3" fontId="11" fillId="0" borderId="48" xfId="0" applyNumberFormat="1" applyFont="1" applyBorder="1" applyAlignment="1">
      <alignment horizontal="center" vertical="center"/>
    </xf>
    <xf numFmtId="3" fontId="11" fillId="0" borderId="44" xfId="0" applyNumberFormat="1" applyFont="1" applyBorder="1" applyAlignment="1">
      <alignment horizontal="center" vertical="center"/>
    </xf>
    <xf numFmtId="3" fontId="11" fillId="6" borderId="30" xfId="0" applyNumberFormat="1" applyFont="1" applyFill="1" applyBorder="1" applyAlignment="1">
      <alignment horizontal="center" vertical="center"/>
    </xf>
    <xf numFmtId="3" fontId="14" fillId="0" borderId="10" xfId="0" applyNumberFormat="1" applyFont="1" applyBorder="1" applyAlignment="1">
      <alignment horizontal="center" vertical="center"/>
    </xf>
    <xf numFmtId="3" fontId="11" fillId="0" borderId="10" xfId="0" applyNumberFormat="1" applyFont="1" applyBorder="1" applyAlignment="1">
      <alignment horizontal="center" vertical="center"/>
    </xf>
    <xf numFmtId="3" fontId="14" fillId="7" borderId="25" xfId="0" applyNumberFormat="1" applyFont="1" applyFill="1" applyBorder="1" applyAlignment="1">
      <alignment horizontal="center" vertical="center"/>
    </xf>
    <xf numFmtId="3" fontId="11" fillId="0" borderId="32" xfId="0" applyNumberFormat="1" applyFont="1" applyBorder="1" applyAlignment="1">
      <alignment horizontal="center" vertical="center"/>
    </xf>
    <xf numFmtId="3" fontId="11" fillId="0" borderId="38" xfId="0" applyNumberFormat="1" applyFont="1" applyBorder="1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3" fontId="14" fillId="6" borderId="25" xfId="0" applyNumberFormat="1" applyFont="1" applyFill="1" applyBorder="1" applyAlignment="1">
      <alignment horizontal="center" vertical="center"/>
    </xf>
    <xf numFmtId="3" fontId="11" fillId="0" borderId="41" xfId="0" applyNumberFormat="1" applyFont="1" applyBorder="1" applyAlignment="1">
      <alignment horizontal="center" vertical="center"/>
    </xf>
    <xf numFmtId="3" fontId="14" fillId="7" borderId="21" xfId="0" applyNumberFormat="1" applyFont="1" applyFill="1" applyBorder="1" applyAlignment="1">
      <alignment horizontal="center" vertical="center"/>
    </xf>
    <xf numFmtId="0" fontId="11" fillId="0" borderId="29" xfId="0" applyFont="1" applyBorder="1">
      <alignment vertical="center"/>
    </xf>
    <xf numFmtId="0" fontId="11" fillId="6" borderId="41" xfId="0" applyFont="1" applyFill="1" applyBorder="1">
      <alignment vertical="center"/>
    </xf>
    <xf numFmtId="41" fontId="11" fillId="6" borderId="40" xfId="16" applyFont="1" applyFill="1" applyBorder="1">
      <alignment vertical="center"/>
    </xf>
    <xf numFmtId="0" fontId="11" fillId="0" borderId="35" xfId="0" applyFont="1" applyBorder="1">
      <alignment vertical="center"/>
    </xf>
    <xf numFmtId="3" fontId="14" fillId="0" borderId="32" xfId="0" applyNumberFormat="1" applyFont="1" applyBorder="1" applyAlignment="1">
      <alignment horizontal="right" vertical="center"/>
    </xf>
    <xf numFmtId="38" fontId="11" fillId="0" borderId="38" xfId="16" applyNumberFormat="1" applyFont="1" applyFill="1" applyBorder="1">
      <alignment vertical="center"/>
    </xf>
    <xf numFmtId="1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41" fontId="2" fillId="0" borderId="0" xfId="0" applyNumberFormat="1" applyFont="1">
      <alignment vertical="center"/>
    </xf>
    <xf numFmtId="38" fontId="11" fillId="0" borderId="59" xfId="16" applyNumberFormat="1" applyFont="1" applyFill="1" applyBorder="1">
      <alignment vertical="center"/>
    </xf>
    <xf numFmtId="41" fontId="11" fillId="0" borderId="32" xfId="16" applyFont="1" applyFill="1" applyBorder="1" applyAlignment="1">
      <alignment horizontal="left" vertical="center"/>
    </xf>
    <xf numFmtId="0" fontId="11" fillId="0" borderId="38" xfId="0" applyFont="1" applyBorder="1" applyAlignment="1">
      <alignment vertical="center" wrapText="1"/>
    </xf>
    <xf numFmtId="41" fontId="11" fillId="0" borderId="21" xfId="16" applyFont="1" applyFill="1" applyBorder="1" applyAlignment="1">
      <alignment vertical="center"/>
    </xf>
    <xf numFmtId="0" fontId="11" fillId="0" borderId="97" xfId="0" applyFont="1" applyBorder="1">
      <alignment vertical="center"/>
    </xf>
    <xf numFmtId="41" fontId="11" fillId="0" borderId="98" xfId="16" applyFont="1" applyFill="1" applyBorder="1" applyAlignment="1">
      <alignment vertical="center"/>
    </xf>
    <xf numFmtId="41" fontId="11" fillId="0" borderId="97" xfId="16" applyFont="1" applyFill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6" borderId="98" xfId="0" applyFont="1" applyFill="1" applyBorder="1">
      <alignment vertical="center"/>
    </xf>
    <xf numFmtId="0" fontId="11" fillId="6" borderId="21" xfId="0" applyFont="1" applyFill="1" applyBorder="1" applyAlignment="1">
      <alignment horizontal="left" vertical="center"/>
    </xf>
    <xf numFmtId="0" fontId="14" fillId="6" borderId="0" xfId="0" applyFont="1" applyFill="1">
      <alignment vertical="center"/>
    </xf>
    <xf numFmtId="26" fontId="11" fillId="0" borderId="25" xfId="0" applyNumberFormat="1" applyFont="1" applyBorder="1">
      <alignment vertical="center"/>
    </xf>
    <xf numFmtId="177" fontId="11" fillId="0" borderId="25" xfId="16" applyNumberFormat="1" applyFont="1" applyFill="1" applyBorder="1">
      <alignment vertical="center"/>
    </xf>
    <xf numFmtId="26" fontId="11" fillId="6" borderId="25" xfId="0" applyNumberFormat="1" applyFont="1" applyFill="1" applyBorder="1">
      <alignment vertical="center"/>
    </xf>
    <xf numFmtId="0" fontId="11" fillId="6" borderId="37" xfId="0" applyFont="1" applyFill="1" applyBorder="1">
      <alignment vertical="center"/>
    </xf>
    <xf numFmtId="0" fontId="11" fillId="0" borderId="30" xfId="0" applyFont="1" applyBorder="1" applyAlignment="1">
      <alignment horizontal="center" vertical="center"/>
    </xf>
    <xf numFmtId="0" fontId="13" fillId="6" borderId="23" xfId="0" applyFont="1" applyFill="1" applyBorder="1">
      <alignment vertical="center"/>
    </xf>
    <xf numFmtId="0" fontId="11" fillId="6" borderId="30" xfId="0" applyFont="1" applyFill="1" applyBorder="1" applyAlignment="1">
      <alignment horizontal="center" vertical="center"/>
    </xf>
    <xf numFmtId="0" fontId="11" fillId="6" borderId="26" xfId="0" applyFont="1" applyFill="1" applyBorder="1" applyAlignment="1">
      <alignment horizontal="center" vertical="center"/>
    </xf>
    <xf numFmtId="177" fontId="14" fillId="0" borderId="22" xfId="16" applyNumberFormat="1" applyFont="1" applyFill="1" applyBorder="1">
      <alignment vertical="center"/>
    </xf>
    <xf numFmtId="177" fontId="14" fillId="0" borderId="21" xfId="16" applyNumberFormat="1" applyFont="1" applyFill="1" applyBorder="1">
      <alignment vertical="center"/>
    </xf>
    <xf numFmtId="3" fontId="14" fillId="6" borderId="21" xfId="0" applyNumberFormat="1" applyFont="1" applyFill="1" applyBorder="1" applyAlignment="1">
      <alignment horizontal="center" vertical="center"/>
    </xf>
    <xf numFmtId="3" fontId="14" fillId="6" borderId="21" xfId="0" applyNumberFormat="1" applyFont="1" applyFill="1" applyBorder="1" applyAlignment="1">
      <alignment horizontal="right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1" fontId="4" fillId="3" borderId="2" xfId="1" applyFont="1" applyFill="1" applyBorder="1" applyAlignment="1">
      <alignment horizontal="center" vertical="center"/>
    </xf>
    <xf numFmtId="176" fontId="13" fillId="0" borderId="30" xfId="0" applyNumberFormat="1" applyFont="1" applyBorder="1">
      <alignment vertical="center"/>
    </xf>
    <xf numFmtId="176" fontId="11" fillId="6" borderId="26" xfId="0" applyNumberFormat="1" applyFont="1" applyFill="1" applyBorder="1">
      <alignment vertical="center"/>
    </xf>
    <xf numFmtId="41" fontId="11" fillId="6" borderId="26" xfId="16" applyFont="1" applyFill="1" applyBorder="1">
      <alignment vertical="center"/>
    </xf>
    <xf numFmtId="0" fontId="14" fillId="6" borderId="29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176" fontId="14" fillId="0" borderId="21" xfId="0" applyNumberFormat="1" applyFont="1" applyBorder="1">
      <alignment vertical="center"/>
    </xf>
    <xf numFmtId="176" fontId="14" fillId="0" borderId="53" xfId="0" applyNumberFormat="1" applyFont="1" applyBorder="1">
      <alignment vertical="center"/>
    </xf>
    <xf numFmtId="41" fontId="14" fillId="0" borderId="22" xfId="16" applyFont="1" applyFill="1" applyBorder="1">
      <alignment vertical="center"/>
    </xf>
    <xf numFmtId="41" fontId="14" fillId="0" borderId="21" xfId="16" applyFont="1" applyFill="1" applyBorder="1">
      <alignment vertical="center"/>
    </xf>
    <xf numFmtId="176" fontId="14" fillId="0" borderId="32" xfId="0" applyNumberFormat="1" applyFont="1" applyBorder="1">
      <alignment vertical="center"/>
    </xf>
    <xf numFmtId="41" fontId="14" fillId="0" borderId="32" xfId="16" applyFont="1" applyFill="1" applyBorder="1">
      <alignment vertical="center"/>
    </xf>
    <xf numFmtId="41" fontId="14" fillId="0" borderId="37" xfId="16" applyFont="1" applyFill="1" applyBorder="1">
      <alignment vertical="center"/>
    </xf>
    <xf numFmtId="176" fontId="14" fillId="0" borderId="50" xfId="0" applyNumberFormat="1" applyFont="1" applyBorder="1">
      <alignment vertical="center"/>
    </xf>
    <xf numFmtId="41" fontId="11" fillId="6" borderId="21" xfId="16" applyFont="1" applyFill="1" applyBorder="1" applyAlignment="1">
      <alignment horizontal="center" vertical="center"/>
    </xf>
    <xf numFmtId="41" fontId="11" fillId="6" borderId="30" xfId="1" applyFont="1" applyFill="1" applyBorder="1" applyAlignment="1">
      <alignment horizontal="right" vertical="center"/>
    </xf>
    <xf numFmtId="41" fontId="11" fillId="6" borderId="23" xfId="1" applyFont="1" applyFill="1" applyBorder="1" applyAlignment="1">
      <alignment horizontal="right" vertical="center"/>
    </xf>
    <xf numFmtId="41" fontId="11" fillId="0" borderId="23" xfId="1" applyFont="1" applyBorder="1" applyAlignment="1">
      <alignment horizontal="right" vertical="center"/>
    </xf>
    <xf numFmtId="41" fontId="11" fillId="0" borderId="23" xfId="1" applyFont="1" applyFill="1" applyBorder="1" applyAlignment="1">
      <alignment horizontal="right" vertical="center"/>
    </xf>
    <xf numFmtId="41" fontId="11" fillId="0" borderId="26" xfId="1" applyFont="1" applyFill="1" applyBorder="1" applyAlignment="1">
      <alignment horizontal="right" vertical="center"/>
    </xf>
    <xf numFmtId="41" fontId="11" fillId="6" borderId="26" xfId="1" applyFont="1" applyFill="1" applyBorder="1" applyAlignment="1">
      <alignment horizontal="right" vertical="center"/>
    </xf>
    <xf numFmtId="41" fontId="11" fillId="0" borderId="30" xfId="1" applyFont="1" applyBorder="1" applyAlignment="1">
      <alignment horizontal="right" vertical="center"/>
    </xf>
    <xf numFmtId="41" fontId="11" fillId="0" borderId="30" xfId="1" applyFont="1" applyFill="1" applyBorder="1" applyAlignment="1">
      <alignment horizontal="right" vertical="center"/>
    </xf>
    <xf numFmtId="41" fontId="11" fillId="0" borderId="25" xfId="1" applyFont="1" applyFill="1" applyBorder="1" applyAlignment="1">
      <alignment horizontal="right" vertical="center"/>
    </xf>
    <xf numFmtId="41" fontId="11" fillId="0" borderId="32" xfId="1" applyFont="1" applyFill="1" applyBorder="1" applyAlignment="1">
      <alignment horizontal="right" vertical="center"/>
    </xf>
    <xf numFmtId="41" fontId="11" fillId="0" borderId="21" xfId="1" applyFont="1" applyFill="1" applyBorder="1" applyAlignment="1">
      <alignment horizontal="right" vertical="center"/>
    </xf>
    <xf numFmtId="41" fontId="11" fillId="0" borderId="38" xfId="1" applyFont="1" applyFill="1" applyBorder="1" applyAlignment="1">
      <alignment horizontal="right" vertical="center"/>
    </xf>
    <xf numFmtId="41" fontId="11" fillId="0" borderId="44" xfId="1" applyFont="1" applyFill="1" applyBorder="1" applyAlignment="1">
      <alignment horizontal="right" vertical="center"/>
    </xf>
    <xf numFmtId="41" fontId="11" fillId="0" borderId="41" xfId="1" applyFont="1" applyFill="1" applyBorder="1" applyAlignment="1">
      <alignment horizontal="right" vertical="center"/>
    </xf>
    <xf numFmtId="41" fontId="11" fillId="0" borderId="25" xfId="1" applyFont="1" applyBorder="1" applyAlignment="1">
      <alignment horizontal="right" vertical="center"/>
    </xf>
    <xf numFmtId="0" fontId="14" fillId="0" borderId="29" xfId="0" applyFont="1" applyBorder="1" applyAlignment="1">
      <alignment horizontal="center" vertical="center"/>
    </xf>
    <xf numFmtId="26" fontId="11" fillId="0" borderId="21" xfId="0" applyNumberFormat="1" applyFont="1" applyBorder="1">
      <alignment vertical="center"/>
    </xf>
    <xf numFmtId="0" fontId="11" fillId="0" borderId="23" xfId="0" applyFont="1" applyBorder="1" applyAlignment="1">
      <alignment vertical="center" wrapText="1"/>
    </xf>
    <xf numFmtId="0" fontId="16" fillId="0" borderId="32" xfId="0" applyFont="1" applyBorder="1">
      <alignment vertical="center"/>
    </xf>
    <xf numFmtId="0" fontId="13" fillId="0" borderId="22" xfId="0" applyFont="1" applyBorder="1">
      <alignment vertical="center"/>
    </xf>
    <xf numFmtId="0" fontId="13" fillId="0" borderId="23" xfId="0" applyFont="1" applyBorder="1">
      <alignment vertical="center"/>
    </xf>
    <xf numFmtId="0" fontId="13" fillId="0" borderId="26" xfId="0" applyFont="1" applyBorder="1">
      <alignment vertical="center"/>
    </xf>
    <xf numFmtId="0" fontId="11" fillId="0" borderId="34" xfId="0" applyFont="1" applyBorder="1">
      <alignment vertical="center"/>
    </xf>
    <xf numFmtId="177" fontId="11" fillId="0" borderId="34" xfId="16" applyNumberFormat="1" applyFont="1" applyFill="1" applyBorder="1">
      <alignment vertical="center"/>
    </xf>
    <xf numFmtId="177" fontId="11" fillId="0" borderId="10" xfId="16" applyNumberFormat="1" applyFont="1" applyFill="1" applyBorder="1">
      <alignment vertical="center"/>
    </xf>
    <xf numFmtId="41" fontId="11" fillId="0" borderId="10" xfId="1" applyFont="1" applyFill="1" applyBorder="1" applyAlignment="1">
      <alignment horizontal="right" vertical="center"/>
    </xf>
    <xf numFmtId="3" fontId="11" fillId="0" borderId="34" xfId="0" applyNumberFormat="1" applyFont="1" applyBorder="1" applyAlignment="1">
      <alignment horizontal="right" vertical="center"/>
    </xf>
    <xf numFmtId="3" fontId="11" fillId="0" borderId="69" xfId="0" applyNumberFormat="1" applyFont="1" applyBorder="1" applyAlignment="1">
      <alignment horizontal="right" vertical="center"/>
    </xf>
    <xf numFmtId="3" fontId="11" fillId="0" borderId="85" xfId="0" applyNumberFormat="1" applyFont="1" applyBorder="1" applyAlignment="1">
      <alignment horizontal="right" vertical="center"/>
    </xf>
    <xf numFmtId="0" fontId="11" fillId="6" borderId="32" xfId="0" applyFont="1" applyFill="1" applyBorder="1" applyAlignment="1">
      <alignment horizontal="center" vertical="center"/>
    </xf>
    <xf numFmtId="0" fontId="11" fillId="0" borderId="54" xfId="0" applyFont="1" applyBorder="1">
      <alignment vertical="center"/>
    </xf>
    <xf numFmtId="0" fontId="14" fillId="7" borderId="35" xfId="0" applyFont="1" applyFill="1" applyBorder="1">
      <alignment vertical="center"/>
    </xf>
    <xf numFmtId="0" fontId="11" fillId="0" borderId="25" xfId="0" applyFont="1" applyBorder="1" applyAlignment="1">
      <alignment horizontal="center" vertical="center"/>
    </xf>
    <xf numFmtId="49" fontId="11" fillId="0" borderId="23" xfId="0" applyNumberFormat="1" applyFont="1" applyBorder="1">
      <alignment vertical="center"/>
    </xf>
    <xf numFmtId="3" fontId="11" fillId="0" borderId="100" xfId="0" applyNumberFormat="1" applyFont="1" applyBorder="1" applyAlignment="1">
      <alignment horizontal="right" vertical="center"/>
    </xf>
    <xf numFmtId="3" fontId="11" fillId="0" borderId="65" xfId="0" applyNumberFormat="1" applyFont="1" applyBorder="1" applyAlignment="1">
      <alignment horizontal="right" vertical="center"/>
    </xf>
    <xf numFmtId="3" fontId="11" fillId="0" borderId="101" xfId="0" applyNumberFormat="1" applyFont="1" applyBorder="1" applyAlignment="1">
      <alignment horizontal="right" vertical="center"/>
    </xf>
    <xf numFmtId="0" fontId="23" fillId="0" borderId="103" xfId="0" applyFont="1" applyBorder="1">
      <alignment vertical="center"/>
    </xf>
    <xf numFmtId="0" fontId="23" fillId="0" borderId="102" xfId="0" applyFont="1" applyBorder="1">
      <alignment vertical="center"/>
    </xf>
    <xf numFmtId="0" fontId="23" fillId="0" borderId="104" xfId="0" applyFont="1" applyBorder="1">
      <alignment vertical="center"/>
    </xf>
    <xf numFmtId="0" fontId="22" fillId="0" borderId="105" xfId="0" applyFont="1" applyBorder="1">
      <alignment vertical="center"/>
    </xf>
    <xf numFmtId="0" fontId="23" fillId="0" borderId="107" xfId="0" applyFont="1" applyBorder="1">
      <alignment vertical="center"/>
    </xf>
    <xf numFmtId="0" fontId="22" fillId="0" borderId="109" xfId="0" applyFont="1" applyBorder="1">
      <alignment vertical="center"/>
    </xf>
    <xf numFmtId="0" fontId="23" fillId="0" borderId="109" xfId="0" applyFont="1" applyBorder="1">
      <alignment vertical="center"/>
    </xf>
    <xf numFmtId="0" fontId="22" fillId="0" borderId="28" xfId="0" applyFont="1" applyBorder="1">
      <alignment vertical="center"/>
    </xf>
    <xf numFmtId="3" fontId="2" fillId="0" borderId="10" xfId="0" applyNumberFormat="1" applyFont="1" applyBorder="1">
      <alignment vertical="center"/>
    </xf>
    <xf numFmtId="0" fontId="4" fillId="0" borderId="0" xfId="0" applyFont="1">
      <alignment vertical="center"/>
    </xf>
    <xf numFmtId="0" fontId="4" fillId="9" borderId="0" xfId="0" applyFont="1" applyFill="1">
      <alignment vertical="center"/>
    </xf>
    <xf numFmtId="3" fontId="4" fillId="9" borderId="10" xfId="0" applyNumberFormat="1" applyFont="1" applyFill="1" applyBorder="1">
      <alignment vertical="center"/>
    </xf>
    <xf numFmtId="3" fontId="4" fillId="0" borderId="10" xfId="0" applyNumberFormat="1" applyFont="1" applyBorder="1">
      <alignment vertical="center"/>
    </xf>
    <xf numFmtId="3" fontId="4" fillId="0" borderId="10" xfId="1" applyNumberFormat="1" applyFont="1" applyBorder="1">
      <alignment vertical="center"/>
    </xf>
    <xf numFmtId="3" fontId="2" fillId="0" borderId="25" xfId="0" applyNumberFormat="1" applyFont="1" applyBorder="1">
      <alignment vertical="center"/>
    </xf>
    <xf numFmtId="0" fontId="22" fillId="10" borderId="113" xfId="0" applyFont="1" applyFill="1" applyBorder="1" applyAlignment="1">
      <alignment horizontal="center" vertical="center"/>
    </xf>
    <xf numFmtId="0" fontId="22" fillId="10" borderId="114" xfId="0" applyFont="1" applyFill="1" applyBorder="1" applyAlignment="1">
      <alignment horizontal="center" vertical="center"/>
    </xf>
    <xf numFmtId="0" fontId="4" fillId="10" borderId="114" xfId="0" applyFont="1" applyFill="1" applyBorder="1">
      <alignment vertical="center"/>
    </xf>
    <xf numFmtId="3" fontId="2" fillId="0" borderId="43" xfId="0" applyNumberFormat="1" applyFont="1" applyBorder="1">
      <alignment vertical="center"/>
    </xf>
    <xf numFmtId="3" fontId="2" fillId="0" borderId="40" xfId="0" applyNumberFormat="1" applyFont="1" applyBorder="1">
      <alignment vertical="center"/>
    </xf>
    <xf numFmtId="3" fontId="4" fillId="0" borderId="40" xfId="0" applyNumberFormat="1" applyFont="1" applyBorder="1">
      <alignment vertical="center"/>
    </xf>
    <xf numFmtId="3" fontId="4" fillId="0" borderId="40" xfId="1" applyNumberFormat="1" applyFont="1" applyBorder="1">
      <alignment vertical="center"/>
    </xf>
    <xf numFmtId="3" fontId="4" fillId="9" borderId="40" xfId="0" applyNumberFormat="1" applyFont="1" applyFill="1" applyBorder="1">
      <alignment vertical="center"/>
    </xf>
    <xf numFmtId="3" fontId="2" fillId="0" borderId="122" xfId="0" applyNumberFormat="1" applyFont="1" applyBorder="1">
      <alignment vertical="center"/>
    </xf>
    <xf numFmtId="3" fontId="2" fillId="0" borderId="123" xfId="0" applyNumberFormat="1" applyFont="1" applyBorder="1">
      <alignment vertical="center"/>
    </xf>
    <xf numFmtId="3" fontId="2" fillId="0" borderId="124" xfId="0" applyNumberFormat="1" applyFont="1" applyBorder="1">
      <alignment vertical="center"/>
    </xf>
    <xf numFmtId="3" fontId="2" fillId="0" borderId="125" xfId="0" applyNumberFormat="1" applyFont="1" applyBorder="1">
      <alignment vertical="center"/>
    </xf>
    <xf numFmtId="3" fontId="4" fillId="0" borderId="124" xfId="0" applyNumberFormat="1" applyFont="1" applyBorder="1">
      <alignment vertical="center"/>
    </xf>
    <xf numFmtId="3" fontId="4" fillId="0" borderId="125" xfId="0" applyNumberFormat="1" applyFont="1" applyBorder="1">
      <alignment vertical="center"/>
    </xf>
    <xf numFmtId="3" fontId="4" fillId="0" borderId="124" xfId="1" applyNumberFormat="1" applyFont="1" applyBorder="1">
      <alignment vertical="center"/>
    </xf>
    <xf numFmtId="3" fontId="4" fillId="0" borderId="125" xfId="1" applyNumberFormat="1" applyFont="1" applyBorder="1">
      <alignment vertical="center"/>
    </xf>
    <xf numFmtId="3" fontId="4" fillId="9" borderId="124" xfId="0" applyNumberFormat="1" applyFont="1" applyFill="1" applyBorder="1">
      <alignment vertical="center"/>
    </xf>
    <xf numFmtId="3" fontId="4" fillId="9" borderId="125" xfId="0" applyNumberFormat="1" applyFont="1" applyFill="1" applyBorder="1">
      <alignment vertical="center"/>
    </xf>
    <xf numFmtId="3" fontId="2" fillId="0" borderId="126" xfId="0" applyNumberFormat="1" applyFont="1" applyBorder="1">
      <alignment vertical="center"/>
    </xf>
    <xf numFmtId="3" fontId="14" fillId="6" borderId="62" xfId="0" applyNumberFormat="1" applyFont="1" applyFill="1" applyBorder="1" applyAlignment="1">
      <alignment horizontal="right" vertical="center"/>
    </xf>
    <xf numFmtId="3" fontId="11" fillId="6" borderId="25" xfId="0" applyNumberFormat="1" applyFont="1" applyFill="1" applyBorder="1" applyAlignment="1">
      <alignment horizontal="right" vertical="center"/>
    </xf>
    <xf numFmtId="0" fontId="14" fillId="6" borderId="22" xfId="0" applyFont="1" applyFill="1" applyBorder="1">
      <alignment vertical="center"/>
    </xf>
    <xf numFmtId="0" fontId="11" fillId="0" borderId="32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3" fontId="11" fillId="0" borderId="92" xfId="0" applyNumberFormat="1" applyFont="1" applyBorder="1" applyAlignment="1">
      <alignment horizontal="center" vertical="center"/>
    </xf>
    <xf numFmtId="3" fontId="11" fillId="0" borderId="92" xfId="0" applyNumberFormat="1" applyFont="1" applyBorder="1" applyAlignment="1">
      <alignment horizontal="right" vertical="center"/>
    </xf>
    <xf numFmtId="41" fontId="11" fillId="0" borderId="92" xfId="1" applyFont="1" applyFill="1" applyBorder="1" applyAlignment="1">
      <alignment horizontal="right" vertical="center"/>
    </xf>
    <xf numFmtId="3" fontId="11" fillId="0" borderId="127" xfId="0" applyNumberFormat="1" applyFont="1" applyBorder="1" applyAlignment="1">
      <alignment horizontal="right" vertical="center"/>
    </xf>
    <xf numFmtId="3" fontId="11" fillId="0" borderId="94" xfId="0" applyNumberFormat="1" applyFont="1" applyBorder="1" applyAlignment="1">
      <alignment horizontal="right" vertical="center"/>
    </xf>
    <xf numFmtId="3" fontId="11" fillId="0" borderId="93" xfId="0" applyNumberFormat="1" applyFont="1" applyBorder="1" applyAlignment="1">
      <alignment horizontal="right" vertical="center"/>
    </xf>
    <xf numFmtId="3" fontId="11" fillId="0" borderId="128" xfId="0" applyNumberFormat="1" applyFont="1" applyBorder="1" applyAlignment="1">
      <alignment horizontal="right" vertical="center"/>
    </xf>
    <xf numFmtId="3" fontId="11" fillId="0" borderId="129" xfId="0" applyNumberFormat="1" applyFont="1" applyBorder="1" applyAlignment="1">
      <alignment horizontal="right" vertical="center"/>
    </xf>
    <xf numFmtId="0" fontId="11" fillId="0" borderId="39" xfId="0" applyFont="1" applyBorder="1" applyAlignment="1">
      <alignment horizontal="left" vertical="center"/>
    </xf>
    <xf numFmtId="3" fontId="11" fillId="6" borderId="76" xfId="0" applyNumberFormat="1" applyFont="1" applyFill="1" applyBorder="1" applyAlignment="1">
      <alignment horizontal="right" vertical="center"/>
    </xf>
    <xf numFmtId="0" fontId="11" fillId="0" borderId="38" xfId="0" applyFont="1" applyBorder="1" applyAlignment="1">
      <alignment horizontal="center" vertical="center"/>
    </xf>
    <xf numFmtId="26" fontId="11" fillId="0" borderId="38" xfId="0" applyNumberFormat="1" applyFont="1" applyBorder="1">
      <alignment vertical="center"/>
    </xf>
    <xf numFmtId="177" fontId="11" fillId="0" borderId="38" xfId="16" applyNumberFormat="1" applyFont="1" applyFill="1" applyBorder="1">
      <alignment vertical="center"/>
    </xf>
    <xf numFmtId="3" fontId="11" fillId="6" borderId="38" xfId="0" applyNumberFormat="1" applyFont="1" applyFill="1" applyBorder="1" applyAlignment="1">
      <alignment horizontal="right" vertical="center"/>
    </xf>
    <xf numFmtId="41" fontId="11" fillId="0" borderId="21" xfId="16" applyFont="1" applyFill="1" applyBorder="1" applyAlignment="1">
      <alignment horizontal="left" vertical="center"/>
    </xf>
    <xf numFmtId="0" fontId="11" fillId="0" borderId="41" xfId="0" applyFont="1" applyBorder="1" applyAlignment="1">
      <alignment horizontal="center" vertical="center"/>
    </xf>
    <xf numFmtId="176" fontId="11" fillId="6" borderId="41" xfId="0" applyNumberFormat="1" applyFont="1" applyFill="1" applyBorder="1">
      <alignment vertical="center"/>
    </xf>
    <xf numFmtId="26" fontId="11" fillId="0" borderId="41" xfId="0" applyNumberFormat="1" applyFont="1" applyBorder="1">
      <alignment vertical="center"/>
    </xf>
    <xf numFmtId="177" fontId="11" fillId="0" borderId="41" xfId="16" applyNumberFormat="1" applyFont="1" applyFill="1" applyBorder="1">
      <alignment vertical="center"/>
    </xf>
    <xf numFmtId="3" fontId="11" fillId="6" borderId="41" xfId="0" applyNumberFormat="1" applyFont="1" applyFill="1" applyBorder="1" applyAlignment="1">
      <alignment horizontal="right" vertical="center"/>
    </xf>
    <xf numFmtId="3" fontId="11" fillId="6" borderId="62" xfId="0" applyNumberFormat="1" applyFont="1" applyFill="1" applyBorder="1" applyAlignment="1">
      <alignment horizontal="right" vertical="center"/>
    </xf>
    <xf numFmtId="3" fontId="11" fillId="0" borderId="130" xfId="0" applyNumberFormat="1" applyFont="1" applyBorder="1" applyAlignment="1">
      <alignment horizontal="right" vertical="center"/>
    </xf>
    <xf numFmtId="176" fontId="11" fillId="6" borderId="25" xfId="0" applyNumberFormat="1" applyFont="1" applyFill="1" applyBorder="1">
      <alignment vertical="center"/>
    </xf>
    <xf numFmtId="0" fontId="11" fillId="0" borderId="21" xfId="0" applyFont="1" applyBorder="1" applyAlignment="1">
      <alignment horizontal="left" vertical="center"/>
    </xf>
    <xf numFmtId="0" fontId="11" fillId="0" borderId="42" xfId="0" applyFont="1" applyBorder="1">
      <alignment vertical="center"/>
    </xf>
    <xf numFmtId="41" fontId="11" fillId="0" borderId="67" xfId="0" applyNumberFormat="1" applyFont="1" applyBorder="1" applyAlignment="1">
      <alignment horizontal="right" vertical="center"/>
    </xf>
    <xf numFmtId="3" fontId="11" fillId="0" borderId="132" xfId="0" applyNumberFormat="1" applyFont="1" applyBorder="1" applyAlignment="1">
      <alignment horizontal="right" vertical="center"/>
    </xf>
    <xf numFmtId="3" fontId="11" fillId="0" borderId="131" xfId="0" applyNumberFormat="1" applyFont="1" applyBorder="1" applyAlignment="1">
      <alignment horizontal="right" vertical="center"/>
    </xf>
    <xf numFmtId="3" fontId="11" fillId="0" borderId="134" xfId="0" applyNumberFormat="1" applyFont="1" applyBorder="1" applyAlignment="1">
      <alignment horizontal="right" vertical="center"/>
    </xf>
    <xf numFmtId="3" fontId="11" fillId="0" borderId="133" xfId="0" applyNumberFormat="1" applyFont="1" applyBorder="1" applyAlignment="1">
      <alignment horizontal="right" vertical="center"/>
    </xf>
    <xf numFmtId="3" fontId="11" fillId="0" borderId="136" xfId="0" applyNumberFormat="1" applyFont="1" applyBorder="1" applyAlignment="1">
      <alignment horizontal="right" vertical="center"/>
    </xf>
    <xf numFmtId="3" fontId="11" fillId="0" borderId="135" xfId="0" applyNumberFormat="1" applyFont="1" applyBorder="1" applyAlignment="1">
      <alignment horizontal="right" vertical="center"/>
    </xf>
    <xf numFmtId="0" fontId="11" fillId="6" borderId="32" xfId="0" applyFont="1" applyFill="1" applyBorder="1" applyAlignment="1">
      <alignment horizontal="left" vertical="center"/>
    </xf>
    <xf numFmtId="0" fontId="11" fillId="0" borderId="137" xfId="0" applyFont="1" applyBorder="1">
      <alignment vertical="center"/>
    </xf>
    <xf numFmtId="3" fontId="11" fillId="0" borderId="146" xfId="0" applyNumberFormat="1" applyFont="1" applyBorder="1" applyAlignment="1">
      <alignment horizontal="right" vertical="center"/>
    </xf>
    <xf numFmtId="3" fontId="11" fillId="6" borderId="25" xfId="0" applyNumberFormat="1" applyFont="1" applyFill="1" applyBorder="1" applyAlignment="1">
      <alignment horizontal="center" vertical="center"/>
    </xf>
    <xf numFmtId="177" fontId="11" fillId="6" borderId="25" xfId="16" applyNumberFormat="1" applyFont="1" applyFill="1" applyBorder="1">
      <alignment vertical="center"/>
    </xf>
    <xf numFmtId="3" fontId="11" fillId="6" borderId="41" xfId="0" applyNumberFormat="1" applyFont="1" applyFill="1" applyBorder="1" applyAlignment="1">
      <alignment horizontal="center" vertical="center"/>
    </xf>
    <xf numFmtId="26" fontId="11" fillId="6" borderId="41" xfId="0" applyNumberFormat="1" applyFont="1" applyFill="1" applyBorder="1">
      <alignment vertical="center"/>
    </xf>
    <xf numFmtId="177" fontId="11" fillId="6" borderId="41" xfId="16" applyNumberFormat="1" applyFont="1" applyFill="1" applyBorder="1">
      <alignment vertical="center"/>
    </xf>
    <xf numFmtId="41" fontId="11" fillId="6" borderId="41" xfId="1" applyFont="1" applyFill="1" applyBorder="1" applyAlignment="1">
      <alignment horizontal="right" vertical="center"/>
    </xf>
    <xf numFmtId="3" fontId="11" fillId="0" borderId="147" xfId="0" applyNumberFormat="1" applyFont="1" applyBorder="1" applyAlignment="1">
      <alignment horizontal="right" vertical="center"/>
    </xf>
    <xf numFmtId="0" fontId="11" fillId="6" borderId="32" xfId="0" applyFont="1" applyFill="1" applyBorder="1">
      <alignment vertical="center"/>
    </xf>
    <xf numFmtId="0" fontId="11" fillId="6" borderId="22" xfId="0" applyFont="1" applyFill="1" applyBorder="1" applyAlignment="1">
      <alignment horizontal="left" vertical="center"/>
    </xf>
    <xf numFmtId="26" fontId="11" fillId="6" borderId="38" xfId="0" applyNumberFormat="1" applyFont="1" applyFill="1" applyBorder="1">
      <alignment vertical="center"/>
    </xf>
    <xf numFmtId="177" fontId="11" fillId="6" borderId="38" xfId="16" applyNumberFormat="1" applyFont="1" applyFill="1" applyBorder="1">
      <alignment vertical="center"/>
    </xf>
    <xf numFmtId="0" fontId="11" fillId="0" borderId="24" xfId="0" applyFont="1" applyBorder="1" applyAlignment="1">
      <alignment horizontal="left" vertical="center"/>
    </xf>
    <xf numFmtId="41" fontId="11" fillId="0" borderId="60" xfId="0" applyNumberFormat="1" applyFont="1" applyBorder="1" applyAlignment="1">
      <alignment horizontal="right" vertical="center"/>
    </xf>
    <xf numFmtId="3" fontId="14" fillId="6" borderId="148" xfId="0" applyNumberFormat="1" applyFont="1" applyFill="1" applyBorder="1" applyAlignment="1">
      <alignment horizontal="right" vertical="center"/>
    </xf>
    <xf numFmtId="176" fontId="11" fillId="0" borderId="149" xfId="0" applyNumberFormat="1" applyFont="1" applyBorder="1">
      <alignment vertical="center"/>
    </xf>
    <xf numFmtId="26" fontId="11" fillId="0" borderId="150" xfId="0" applyNumberFormat="1" applyFont="1" applyBorder="1">
      <alignment vertical="center"/>
    </xf>
    <xf numFmtId="26" fontId="11" fillId="0" borderId="151" xfId="0" applyNumberFormat="1" applyFont="1" applyBorder="1">
      <alignment vertical="center"/>
    </xf>
    <xf numFmtId="0" fontId="44" fillId="0" borderId="25" xfId="0" applyFont="1" applyBorder="1" applyAlignment="1">
      <alignment horizontal="left" vertical="center"/>
    </xf>
    <xf numFmtId="0" fontId="44" fillId="0" borderId="30" xfId="0" applyFont="1" applyBorder="1" applyAlignment="1">
      <alignment horizontal="left" vertical="center"/>
    </xf>
    <xf numFmtId="38" fontId="11" fillId="0" borderId="61" xfId="16" applyNumberFormat="1" applyFont="1" applyFill="1" applyBorder="1">
      <alignment vertical="center"/>
    </xf>
    <xf numFmtId="41" fontId="11" fillId="6" borderId="25" xfId="1" applyFont="1" applyFill="1" applyBorder="1" applyAlignment="1">
      <alignment horizontal="right" vertical="center"/>
    </xf>
    <xf numFmtId="3" fontId="11" fillId="0" borderId="153" xfId="0" applyNumberFormat="1" applyFont="1" applyBorder="1" applyAlignment="1">
      <alignment horizontal="right" vertical="center"/>
    </xf>
    <xf numFmtId="0" fontId="14" fillId="6" borderId="35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1" fontId="45" fillId="0" borderId="10" xfId="16" applyFont="1" applyFill="1" applyBorder="1">
      <alignment vertical="center"/>
    </xf>
    <xf numFmtId="176" fontId="11" fillId="0" borderId="0" xfId="0" applyNumberFormat="1" applyFont="1">
      <alignment vertical="center"/>
    </xf>
    <xf numFmtId="41" fontId="11" fillId="0" borderId="0" xfId="16" applyFont="1" applyFill="1" applyBorder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right" vertical="center"/>
    </xf>
    <xf numFmtId="41" fontId="11" fillId="0" borderId="0" xfId="1" applyFont="1" applyBorder="1" applyAlignment="1">
      <alignment horizontal="right" vertical="center"/>
    </xf>
    <xf numFmtId="176" fontId="44" fillId="0" borderId="23" xfId="0" applyNumberFormat="1" applyFont="1" applyBorder="1">
      <alignment vertical="center"/>
    </xf>
    <xf numFmtId="41" fontId="44" fillId="0" borderId="23" xfId="16" applyFont="1" applyFill="1" applyBorder="1">
      <alignment vertical="center"/>
    </xf>
    <xf numFmtId="176" fontId="44" fillId="0" borderId="49" xfId="0" applyNumberFormat="1" applyFont="1" applyBorder="1">
      <alignment vertical="center"/>
    </xf>
    <xf numFmtId="0" fontId="11" fillId="6" borderId="38" xfId="0" applyFont="1" applyFill="1" applyBorder="1">
      <alignment vertical="center"/>
    </xf>
    <xf numFmtId="0" fontId="11" fillId="6" borderId="38" xfId="0" applyFont="1" applyFill="1" applyBorder="1" applyAlignment="1">
      <alignment horizontal="center" vertical="center"/>
    </xf>
    <xf numFmtId="176" fontId="11" fillId="6" borderId="38" xfId="0" applyNumberFormat="1" applyFont="1" applyFill="1" applyBorder="1">
      <alignment vertical="center"/>
    </xf>
    <xf numFmtId="41" fontId="11" fillId="6" borderId="38" xfId="16" applyFont="1" applyFill="1" applyBorder="1">
      <alignment vertical="center"/>
    </xf>
    <xf numFmtId="41" fontId="11" fillId="6" borderId="38" xfId="1" applyFont="1" applyFill="1" applyBorder="1" applyAlignment="1">
      <alignment horizontal="right" vertical="center"/>
    </xf>
    <xf numFmtId="0" fontId="11" fillId="0" borderId="154" xfId="0" applyFont="1" applyBorder="1">
      <alignment vertical="center"/>
    </xf>
    <xf numFmtId="0" fontId="11" fillId="0" borderId="154" xfId="0" applyFont="1" applyBorder="1" applyAlignment="1">
      <alignment horizontal="center" vertical="center"/>
    </xf>
    <xf numFmtId="3" fontId="11" fillId="0" borderId="154" xfId="0" applyNumberFormat="1" applyFont="1" applyBorder="1" applyAlignment="1">
      <alignment horizontal="center" vertical="center"/>
    </xf>
    <xf numFmtId="176" fontId="11" fillId="0" borderId="154" xfId="0" applyNumberFormat="1" applyFont="1" applyBorder="1">
      <alignment vertical="center"/>
    </xf>
    <xf numFmtId="41" fontId="11" fillId="0" borderId="154" xfId="16" applyFont="1" applyFill="1" applyBorder="1">
      <alignment vertical="center"/>
    </xf>
    <xf numFmtId="3" fontId="11" fillId="0" borderId="154" xfId="0" applyNumberFormat="1" applyFont="1" applyBorder="1" applyAlignment="1">
      <alignment horizontal="right" vertical="center"/>
    </xf>
    <xf numFmtId="41" fontId="11" fillId="0" borderId="154" xfId="1" applyFont="1" applyFill="1" applyBorder="1" applyAlignment="1">
      <alignment horizontal="right" vertical="center"/>
    </xf>
    <xf numFmtId="0" fontId="46" fillId="6" borderId="0" xfId="0" applyFont="1" applyFill="1">
      <alignment vertical="center"/>
    </xf>
    <xf numFmtId="41" fontId="11" fillId="6" borderId="41" xfId="16" applyFont="1" applyFill="1" applyBorder="1">
      <alignment vertical="center"/>
    </xf>
    <xf numFmtId="41" fontId="11" fillId="6" borderId="25" xfId="16" applyFont="1" applyFill="1" applyBorder="1">
      <alignment vertical="center"/>
    </xf>
    <xf numFmtId="0" fontId="11" fillId="6" borderId="42" xfId="0" applyFont="1" applyFill="1" applyBorder="1" applyAlignment="1">
      <alignment horizontal="center" vertical="center"/>
    </xf>
    <xf numFmtId="176" fontId="11" fillId="6" borderId="55" xfId="0" applyNumberFormat="1" applyFont="1" applyFill="1" applyBorder="1">
      <alignment vertical="center"/>
    </xf>
    <xf numFmtId="0" fontId="11" fillId="0" borderId="155" xfId="0" applyFont="1" applyBorder="1">
      <alignment vertical="center"/>
    </xf>
    <xf numFmtId="176" fontId="11" fillId="0" borderId="156" xfId="0" applyNumberFormat="1" applyFont="1" applyBorder="1">
      <alignment vertical="center"/>
    </xf>
    <xf numFmtId="41" fontId="11" fillId="0" borderId="156" xfId="16" applyFont="1" applyFill="1" applyBorder="1">
      <alignment vertical="center"/>
    </xf>
    <xf numFmtId="176" fontId="11" fillId="0" borderId="157" xfId="0" applyNumberFormat="1" applyFont="1" applyBorder="1">
      <alignment vertical="center"/>
    </xf>
    <xf numFmtId="0" fontId="11" fillId="0" borderId="155" xfId="0" applyFont="1" applyBorder="1" applyAlignment="1">
      <alignment horizontal="center" vertical="center"/>
    </xf>
    <xf numFmtId="3" fontId="11" fillId="0" borderId="155" xfId="0" applyNumberFormat="1" applyFont="1" applyBorder="1" applyAlignment="1">
      <alignment horizontal="center" vertical="center"/>
    </xf>
    <xf numFmtId="176" fontId="11" fillId="0" borderId="155" xfId="0" applyNumberFormat="1" applyFont="1" applyBorder="1">
      <alignment vertical="center"/>
    </xf>
    <xf numFmtId="41" fontId="11" fillId="0" borderId="36" xfId="16" applyFont="1" applyFill="1" applyBorder="1">
      <alignment vertical="center"/>
    </xf>
    <xf numFmtId="41" fontId="11" fillId="0" borderId="155" xfId="16" applyFont="1" applyFill="1" applyBorder="1">
      <alignment vertical="center"/>
    </xf>
    <xf numFmtId="0" fontId="11" fillId="6" borderId="41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0" fontId="11" fillId="0" borderId="149" xfId="0" applyFont="1" applyBorder="1" applyAlignment="1">
      <alignment horizontal="center" vertical="center"/>
    </xf>
    <xf numFmtId="0" fontId="11" fillId="0" borderId="158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1" fillId="6" borderId="57" xfId="0" applyFont="1" applyFill="1" applyBorder="1" applyAlignment="1">
      <alignment horizontal="center" vertical="center"/>
    </xf>
    <xf numFmtId="3" fontId="11" fillId="6" borderId="48" xfId="0" applyNumberFormat="1" applyFont="1" applyFill="1" applyBorder="1" applyAlignment="1">
      <alignment horizontal="center" vertical="center"/>
    </xf>
    <xf numFmtId="176" fontId="11" fillId="6" borderId="48" xfId="0" applyNumberFormat="1" applyFont="1" applyFill="1" applyBorder="1">
      <alignment vertical="center"/>
    </xf>
    <xf numFmtId="41" fontId="11" fillId="6" borderId="48" xfId="16" applyFont="1" applyFill="1" applyBorder="1">
      <alignment vertical="center"/>
    </xf>
    <xf numFmtId="176" fontId="11" fillId="6" borderId="159" xfId="0" applyNumberFormat="1" applyFont="1" applyFill="1" applyBorder="1">
      <alignment vertical="center"/>
    </xf>
    <xf numFmtId="3" fontId="11" fillId="6" borderId="21" xfId="0" applyNumberFormat="1" applyFont="1" applyFill="1" applyBorder="1" applyAlignment="1">
      <alignment horizontal="right" vertical="center"/>
    </xf>
    <xf numFmtId="0" fontId="11" fillId="0" borderId="156" xfId="0" applyFont="1" applyBorder="1">
      <alignment vertical="center"/>
    </xf>
    <xf numFmtId="0" fontId="11" fillId="0" borderId="160" xfId="0" applyFont="1" applyBorder="1" applyAlignment="1">
      <alignment horizontal="center" vertical="center"/>
    </xf>
    <xf numFmtId="0" fontId="11" fillId="0" borderId="156" xfId="0" applyFont="1" applyBorder="1" applyAlignment="1">
      <alignment horizontal="center" vertical="center"/>
    </xf>
    <xf numFmtId="3" fontId="11" fillId="0" borderId="156" xfId="0" applyNumberFormat="1" applyFont="1" applyBorder="1" applyAlignment="1">
      <alignment horizontal="center" vertical="center"/>
    </xf>
    <xf numFmtId="41" fontId="11" fillId="0" borderId="160" xfId="16" applyFont="1" applyFill="1" applyBorder="1">
      <alignment vertical="center"/>
    </xf>
    <xf numFmtId="3" fontId="11" fillId="0" borderId="156" xfId="0" applyNumberFormat="1" applyFont="1" applyBorder="1" applyAlignment="1">
      <alignment horizontal="right" vertical="center"/>
    </xf>
    <xf numFmtId="41" fontId="11" fillId="0" borderId="156" xfId="1" applyFont="1" applyFill="1" applyBorder="1" applyAlignment="1">
      <alignment horizontal="right" vertical="center"/>
    </xf>
    <xf numFmtId="3" fontId="11" fillId="0" borderId="160" xfId="0" applyNumberFormat="1" applyFont="1" applyBorder="1" applyAlignment="1">
      <alignment horizontal="right" vertical="center"/>
    </xf>
    <xf numFmtId="3" fontId="11" fillId="0" borderId="161" xfId="0" applyNumberFormat="1" applyFont="1" applyBorder="1" applyAlignment="1">
      <alignment horizontal="right" vertical="center"/>
    </xf>
    <xf numFmtId="3" fontId="11" fillId="0" borderId="162" xfId="0" applyNumberFormat="1" applyFont="1" applyBorder="1" applyAlignment="1">
      <alignment horizontal="right" vertical="center"/>
    </xf>
    <xf numFmtId="3" fontId="11" fillId="0" borderId="157" xfId="0" applyNumberFormat="1" applyFont="1" applyBorder="1" applyAlignment="1">
      <alignment horizontal="right" vertical="center"/>
    </xf>
    <xf numFmtId="3" fontId="11" fillId="0" borderId="163" xfId="0" applyNumberFormat="1" applyFont="1" applyBorder="1" applyAlignment="1">
      <alignment horizontal="right" vertical="center"/>
    </xf>
    <xf numFmtId="3" fontId="11" fillId="6" borderId="42" xfId="0" applyNumberFormat="1" applyFont="1" applyFill="1" applyBorder="1" applyAlignment="1">
      <alignment horizontal="right" vertical="center"/>
    </xf>
    <xf numFmtId="3" fontId="11" fillId="6" borderId="75" xfId="0" applyNumberFormat="1" applyFont="1" applyFill="1" applyBorder="1" applyAlignment="1">
      <alignment horizontal="right" vertical="center"/>
    </xf>
    <xf numFmtId="3" fontId="11" fillId="6" borderId="55" xfId="0" applyNumberFormat="1" applyFont="1" applyFill="1" applyBorder="1" applyAlignment="1">
      <alignment horizontal="right" vertical="center"/>
    </xf>
    <xf numFmtId="3" fontId="11" fillId="6" borderId="90" xfId="0" applyNumberFormat="1" applyFont="1" applyFill="1" applyBorder="1" applyAlignment="1">
      <alignment horizontal="right" vertical="center"/>
    </xf>
    <xf numFmtId="0" fontId="11" fillId="0" borderId="82" xfId="0" applyFont="1" applyBorder="1">
      <alignment vertical="center"/>
    </xf>
    <xf numFmtId="0" fontId="13" fillId="0" borderId="41" xfId="0" applyFont="1" applyBorder="1">
      <alignment vertical="center"/>
    </xf>
    <xf numFmtId="26" fontId="11" fillId="6" borderId="156" xfId="0" applyNumberFormat="1" applyFont="1" applyFill="1" applyBorder="1">
      <alignment vertical="center"/>
    </xf>
    <xf numFmtId="177" fontId="11" fillId="0" borderId="156" xfId="16" applyNumberFormat="1" applyFont="1" applyFill="1" applyBorder="1">
      <alignment vertical="center"/>
    </xf>
    <xf numFmtId="177" fontId="11" fillId="6" borderId="156" xfId="16" applyNumberFormat="1" applyFont="1" applyFill="1" applyBorder="1">
      <alignment vertical="center"/>
    </xf>
    <xf numFmtId="3" fontId="11" fillId="6" borderId="156" xfId="0" applyNumberFormat="1" applyFont="1" applyFill="1" applyBorder="1" applyAlignment="1">
      <alignment horizontal="right" vertical="center"/>
    </xf>
    <xf numFmtId="0" fontId="11" fillId="0" borderId="25" xfId="0" applyFont="1" applyBorder="1" applyAlignment="1">
      <alignment horizontal="left" vertical="center"/>
    </xf>
    <xf numFmtId="26" fontId="11" fillId="0" borderId="10" xfId="0" applyNumberFormat="1" applyFont="1" applyBorder="1">
      <alignment vertical="center"/>
    </xf>
    <xf numFmtId="3" fontId="14" fillId="0" borderId="69" xfId="0" applyNumberFormat="1" applyFont="1" applyBorder="1" applyAlignment="1">
      <alignment horizontal="right" vertical="center"/>
    </xf>
    <xf numFmtId="3" fontId="14" fillId="6" borderId="69" xfId="0" applyNumberFormat="1" applyFont="1" applyFill="1" applyBorder="1" applyAlignment="1">
      <alignment horizontal="right" vertical="center"/>
    </xf>
    <xf numFmtId="41" fontId="11" fillId="0" borderId="49" xfId="1" applyFont="1" applyFill="1" applyBorder="1" applyAlignment="1">
      <alignment horizontal="right" vertical="center"/>
    </xf>
    <xf numFmtId="0" fontId="44" fillId="0" borderId="39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0" fontId="11" fillId="10" borderId="23" xfId="0" applyFont="1" applyFill="1" applyBorder="1">
      <alignment vertical="center"/>
    </xf>
    <xf numFmtId="0" fontId="11" fillId="10" borderId="41" xfId="0" applyFont="1" applyFill="1" applyBorder="1">
      <alignment vertical="center"/>
    </xf>
    <xf numFmtId="18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1" fontId="4" fillId="10" borderId="115" xfId="1" applyFont="1" applyFill="1" applyBorder="1" applyAlignment="1">
      <alignment horizontal="center" vertical="center"/>
    </xf>
    <xf numFmtId="41" fontId="4" fillId="10" borderId="116" xfId="1" applyFont="1" applyFill="1" applyBorder="1" applyAlignment="1">
      <alignment horizontal="center" vertical="center"/>
    </xf>
    <xf numFmtId="41" fontId="4" fillId="8" borderId="37" xfId="1" applyFont="1" applyFill="1" applyBorder="1" applyAlignment="1">
      <alignment horizontal="center" vertical="center"/>
    </xf>
    <xf numFmtId="41" fontId="4" fillId="8" borderId="50" xfId="1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center" vertical="center"/>
    </xf>
    <xf numFmtId="0" fontId="23" fillId="0" borderId="152" xfId="0" applyFont="1" applyBorder="1" applyAlignment="1">
      <alignment horizontal="center" vertical="center"/>
    </xf>
    <xf numFmtId="0" fontId="23" fillId="0" borderId="106" xfId="0" applyFont="1" applyBorder="1" applyAlignment="1">
      <alignment horizontal="center" vertical="center"/>
    </xf>
    <xf numFmtId="0" fontId="23" fillId="0" borderId="10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9" borderId="35" xfId="0" applyFont="1" applyFill="1" applyBorder="1" applyAlignment="1">
      <alignment horizontal="center" vertical="center"/>
    </xf>
    <xf numFmtId="0" fontId="22" fillId="9" borderId="40" xfId="0" applyFont="1" applyFill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8" borderId="110" xfId="0" applyFont="1" applyFill="1" applyBorder="1" applyAlignment="1">
      <alignment horizontal="center" vertical="center"/>
    </xf>
    <xf numFmtId="0" fontId="22" fillId="8" borderId="111" xfId="0" applyFont="1" applyFill="1" applyBorder="1" applyAlignment="1">
      <alignment horizontal="center" vertical="center"/>
    </xf>
    <xf numFmtId="0" fontId="22" fillId="8" borderId="112" xfId="0" applyFont="1" applyFill="1" applyBorder="1" applyAlignment="1">
      <alignment horizontal="center" vertical="center"/>
    </xf>
    <xf numFmtId="41" fontId="4" fillId="10" borderId="114" xfId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41" fontId="4" fillId="8" borderId="118" xfId="1" applyFont="1" applyFill="1" applyBorder="1" applyAlignment="1">
      <alignment horizontal="center" vertical="center"/>
    </xf>
    <xf numFmtId="41" fontId="4" fillId="8" borderId="119" xfId="1" applyFont="1" applyFill="1" applyBorder="1" applyAlignment="1">
      <alignment horizontal="center" vertical="center"/>
    </xf>
    <xf numFmtId="41" fontId="4" fillId="8" borderId="117" xfId="1" applyFont="1" applyFill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2" fillId="9" borderId="29" xfId="0" applyFont="1" applyFill="1" applyBorder="1" applyAlignment="1">
      <alignment horizontal="center" vertical="center"/>
    </xf>
    <xf numFmtId="0" fontId="22" fillId="9" borderId="43" xfId="0" applyFont="1" applyFill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41" fontId="4" fillId="10" borderId="120" xfId="1" applyFont="1" applyFill="1" applyBorder="1" applyAlignment="1">
      <alignment horizontal="center" vertical="center"/>
    </xf>
    <xf numFmtId="41" fontId="4" fillId="10" borderId="121" xfId="1" applyFont="1" applyFill="1" applyBorder="1" applyAlignment="1">
      <alignment horizontal="center" vertical="center"/>
    </xf>
    <xf numFmtId="41" fontId="5" fillId="2" borderId="13" xfId="1" applyFont="1" applyFill="1" applyBorder="1" applyAlignment="1">
      <alignment horizontal="center" vertical="center"/>
    </xf>
    <xf numFmtId="41" fontId="5" fillId="2" borderId="79" xfId="1" applyFont="1" applyFill="1" applyBorder="1" applyAlignment="1">
      <alignment horizontal="center" vertical="center"/>
    </xf>
    <xf numFmtId="41" fontId="5" fillId="2" borderId="58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/>
    </xf>
    <xf numFmtId="41" fontId="5" fillId="2" borderId="14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41" fontId="5" fillId="2" borderId="17" xfId="1" applyFont="1" applyFill="1" applyBorder="1" applyAlignment="1">
      <alignment horizontal="center" vertical="center"/>
    </xf>
    <xf numFmtId="41" fontId="5" fillId="2" borderId="19" xfId="1" applyFont="1" applyFill="1" applyBorder="1" applyAlignment="1">
      <alignment horizontal="center" vertical="center"/>
    </xf>
  </cellXfs>
  <cellStyles count="378">
    <cellStyle name="20% - 강조색1 2" xfId="73" xr:uid="{00000000-0005-0000-0000-000000000000}"/>
    <cellStyle name="20% - 강조색1 2 2" xfId="74" xr:uid="{00000000-0005-0000-0000-000001000000}"/>
    <cellStyle name="20% - 강조색1 3" xfId="75" xr:uid="{00000000-0005-0000-0000-000002000000}"/>
    <cellStyle name="20% - 강조색2 2" xfId="76" xr:uid="{00000000-0005-0000-0000-000003000000}"/>
    <cellStyle name="20% - 강조색2 2 2" xfId="77" xr:uid="{00000000-0005-0000-0000-000004000000}"/>
    <cellStyle name="20% - 강조색2 3" xfId="78" xr:uid="{00000000-0005-0000-0000-000005000000}"/>
    <cellStyle name="20% - 강조색3 2" xfId="79" xr:uid="{00000000-0005-0000-0000-000006000000}"/>
    <cellStyle name="20% - 강조색3 2 2" xfId="80" xr:uid="{00000000-0005-0000-0000-000007000000}"/>
    <cellStyle name="20% - 강조색3 3" xfId="81" xr:uid="{00000000-0005-0000-0000-000008000000}"/>
    <cellStyle name="20% - 강조색4 2" xfId="82" xr:uid="{00000000-0005-0000-0000-000009000000}"/>
    <cellStyle name="20% - 강조색4 2 2" xfId="83" xr:uid="{00000000-0005-0000-0000-00000A000000}"/>
    <cellStyle name="20% - 강조색4 3" xfId="84" xr:uid="{00000000-0005-0000-0000-00000B000000}"/>
    <cellStyle name="20% - 강조색5 2" xfId="85" xr:uid="{00000000-0005-0000-0000-00000C000000}"/>
    <cellStyle name="20% - 강조색5 2 2" xfId="86" xr:uid="{00000000-0005-0000-0000-00000D000000}"/>
    <cellStyle name="20% - 강조색5 3" xfId="87" xr:uid="{00000000-0005-0000-0000-00000E000000}"/>
    <cellStyle name="20% - 강조색6 2" xfId="88" xr:uid="{00000000-0005-0000-0000-00000F000000}"/>
    <cellStyle name="20% - 강조색6 2 2" xfId="89" xr:uid="{00000000-0005-0000-0000-000010000000}"/>
    <cellStyle name="20% - 강조색6 3" xfId="90" xr:uid="{00000000-0005-0000-0000-000011000000}"/>
    <cellStyle name="40% - 강조색1 2" xfId="91" xr:uid="{00000000-0005-0000-0000-000012000000}"/>
    <cellStyle name="40% - 강조색1 2 2" xfId="92" xr:uid="{00000000-0005-0000-0000-000013000000}"/>
    <cellStyle name="40% - 강조색1 3" xfId="93" xr:uid="{00000000-0005-0000-0000-000014000000}"/>
    <cellStyle name="40% - 강조색2 2" xfId="94" xr:uid="{00000000-0005-0000-0000-000015000000}"/>
    <cellStyle name="40% - 강조색2 2 2" xfId="95" xr:uid="{00000000-0005-0000-0000-000016000000}"/>
    <cellStyle name="40% - 강조색2 3" xfId="96" xr:uid="{00000000-0005-0000-0000-000017000000}"/>
    <cellStyle name="40% - 강조색3 2" xfId="97" xr:uid="{00000000-0005-0000-0000-000018000000}"/>
    <cellStyle name="40% - 강조색3 2 2" xfId="98" xr:uid="{00000000-0005-0000-0000-000019000000}"/>
    <cellStyle name="40% - 강조색3 3" xfId="99" xr:uid="{00000000-0005-0000-0000-00001A000000}"/>
    <cellStyle name="40% - 강조색4 2" xfId="100" xr:uid="{00000000-0005-0000-0000-00001B000000}"/>
    <cellStyle name="40% - 강조색4 2 2" xfId="101" xr:uid="{00000000-0005-0000-0000-00001C000000}"/>
    <cellStyle name="40% - 강조색4 3" xfId="102" xr:uid="{00000000-0005-0000-0000-00001D000000}"/>
    <cellStyle name="40% - 강조색5 2" xfId="103" xr:uid="{00000000-0005-0000-0000-00001E000000}"/>
    <cellStyle name="40% - 강조색5 2 2" xfId="104" xr:uid="{00000000-0005-0000-0000-00001F000000}"/>
    <cellStyle name="40% - 강조색5 3" xfId="105" xr:uid="{00000000-0005-0000-0000-000020000000}"/>
    <cellStyle name="40% - 강조색6 2" xfId="106" xr:uid="{00000000-0005-0000-0000-000021000000}"/>
    <cellStyle name="40% - 강조색6 2 2" xfId="107" xr:uid="{00000000-0005-0000-0000-000022000000}"/>
    <cellStyle name="40% - 강조색6 3" xfId="108" xr:uid="{00000000-0005-0000-0000-000023000000}"/>
    <cellStyle name="60% - 강조색1 2" xfId="109" xr:uid="{00000000-0005-0000-0000-000024000000}"/>
    <cellStyle name="60% - 강조색1 2 2" xfId="110" xr:uid="{00000000-0005-0000-0000-000025000000}"/>
    <cellStyle name="60% - 강조색1 3" xfId="111" xr:uid="{00000000-0005-0000-0000-000026000000}"/>
    <cellStyle name="60% - 강조색2 2" xfId="112" xr:uid="{00000000-0005-0000-0000-000027000000}"/>
    <cellStyle name="60% - 강조색2 2 2" xfId="113" xr:uid="{00000000-0005-0000-0000-000028000000}"/>
    <cellStyle name="60% - 강조색2 3" xfId="114" xr:uid="{00000000-0005-0000-0000-000029000000}"/>
    <cellStyle name="60% - 강조색3 2" xfId="115" xr:uid="{00000000-0005-0000-0000-00002A000000}"/>
    <cellStyle name="60% - 강조색3 2 2" xfId="116" xr:uid="{00000000-0005-0000-0000-00002B000000}"/>
    <cellStyle name="60% - 강조색3 3" xfId="117" xr:uid="{00000000-0005-0000-0000-00002C000000}"/>
    <cellStyle name="60% - 강조색4 2" xfId="118" xr:uid="{00000000-0005-0000-0000-00002D000000}"/>
    <cellStyle name="60% - 강조색4 2 2" xfId="119" xr:uid="{00000000-0005-0000-0000-00002E000000}"/>
    <cellStyle name="60% - 강조색4 3" xfId="120" xr:uid="{00000000-0005-0000-0000-00002F000000}"/>
    <cellStyle name="60% - 강조색5 2" xfId="121" xr:uid="{00000000-0005-0000-0000-000030000000}"/>
    <cellStyle name="60% - 강조색5 2 2" xfId="122" xr:uid="{00000000-0005-0000-0000-000031000000}"/>
    <cellStyle name="60% - 강조색5 3" xfId="123" xr:uid="{00000000-0005-0000-0000-000032000000}"/>
    <cellStyle name="60% - 강조색6 2" xfId="124" xr:uid="{00000000-0005-0000-0000-000033000000}"/>
    <cellStyle name="60% - 강조색6 2 2" xfId="125" xr:uid="{00000000-0005-0000-0000-000034000000}"/>
    <cellStyle name="60% - 강조색6 3" xfId="126" xr:uid="{00000000-0005-0000-0000-000035000000}"/>
    <cellStyle name="Normal_2008년 마감진행(공장별출고, 선적) (1)" xfId="18" xr:uid="{00000000-0005-0000-0000-000036000000}"/>
    <cellStyle name="Normál_C03(12.09)" xfId="7" xr:uid="{00000000-0005-0000-0000-000037000000}"/>
    <cellStyle name="강조색1 2" xfId="127" xr:uid="{00000000-0005-0000-0000-000038000000}"/>
    <cellStyle name="강조색1 2 2" xfId="128" xr:uid="{00000000-0005-0000-0000-000039000000}"/>
    <cellStyle name="강조색1 3" xfId="129" xr:uid="{00000000-0005-0000-0000-00003A000000}"/>
    <cellStyle name="강조색2 2" xfId="130" xr:uid="{00000000-0005-0000-0000-00003B000000}"/>
    <cellStyle name="강조색2 2 2" xfId="131" xr:uid="{00000000-0005-0000-0000-00003C000000}"/>
    <cellStyle name="강조색2 3" xfId="132" xr:uid="{00000000-0005-0000-0000-00003D000000}"/>
    <cellStyle name="강조색3 2" xfId="19" xr:uid="{00000000-0005-0000-0000-00003E000000}"/>
    <cellStyle name="강조색3 2 2" xfId="134" xr:uid="{00000000-0005-0000-0000-00003F000000}"/>
    <cellStyle name="강조색3 2 3" xfId="133" xr:uid="{00000000-0005-0000-0000-000040000000}"/>
    <cellStyle name="강조색3 3" xfId="135" xr:uid="{00000000-0005-0000-0000-000041000000}"/>
    <cellStyle name="강조색4 2" xfId="136" xr:uid="{00000000-0005-0000-0000-000042000000}"/>
    <cellStyle name="강조색4 2 2" xfId="137" xr:uid="{00000000-0005-0000-0000-000043000000}"/>
    <cellStyle name="강조색4 3" xfId="138" xr:uid="{00000000-0005-0000-0000-000044000000}"/>
    <cellStyle name="강조색5 2" xfId="139" xr:uid="{00000000-0005-0000-0000-000045000000}"/>
    <cellStyle name="강조색5 2 2" xfId="140" xr:uid="{00000000-0005-0000-0000-000046000000}"/>
    <cellStyle name="강조색5 3" xfId="141" xr:uid="{00000000-0005-0000-0000-000047000000}"/>
    <cellStyle name="강조색6 2" xfId="142" xr:uid="{00000000-0005-0000-0000-000048000000}"/>
    <cellStyle name="강조색6 2 2" xfId="143" xr:uid="{00000000-0005-0000-0000-000049000000}"/>
    <cellStyle name="강조색6 3" xfId="144" xr:uid="{00000000-0005-0000-0000-00004A000000}"/>
    <cellStyle name="경고문 2" xfId="145" xr:uid="{00000000-0005-0000-0000-00004B000000}"/>
    <cellStyle name="경고문 2 2" xfId="146" xr:uid="{00000000-0005-0000-0000-00004C000000}"/>
    <cellStyle name="경고문 3" xfId="147" xr:uid="{00000000-0005-0000-0000-00004D000000}"/>
    <cellStyle name="계산 2" xfId="148" xr:uid="{00000000-0005-0000-0000-00004E000000}"/>
    <cellStyle name="계산 2 2" xfId="149" xr:uid="{00000000-0005-0000-0000-00004F000000}"/>
    <cellStyle name="계산 3" xfId="150" xr:uid="{00000000-0005-0000-0000-000050000000}"/>
    <cellStyle name="适中" xfId="151" xr:uid="{00000000-0005-0000-0000-000051000000}"/>
    <cellStyle name="나쁨 2" xfId="152" xr:uid="{00000000-0005-0000-0000-000052000000}"/>
    <cellStyle name="나쁨 2 2" xfId="153" xr:uid="{00000000-0005-0000-0000-000053000000}"/>
    <cellStyle name="나쁨 3" xfId="154" xr:uid="{00000000-0005-0000-0000-000054000000}"/>
    <cellStyle name="메모 2" xfId="11" xr:uid="{00000000-0005-0000-0000-000055000000}"/>
    <cellStyle name="메모 2 2" xfId="156" xr:uid="{00000000-0005-0000-0000-000056000000}"/>
    <cellStyle name="메모 2 2 2" xfId="322" xr:uid="{00000000-0005-0000-0000-000057000000}"/>
    <cellStyle name="메모 2 3" xfId="321" xr:uid="{00000000-0005-0000-0000-000058000000}"/>
    <cellStyle name="메모 2 4" xfId="155" xr:uid="{00000000-0005-0000-0000-000059000000}"/>
    <cellStyle name="메모 3" xfId="8" xr:uid="{00000000-0005-0000-0000-00005A000000}"/>
    <cellStyle name="메모 3 2" xfId="323" xr:uid="{00000000-0005-0000-0000-00005B000000}"/>
    <cellStyle name="메모 3 3" xfId="157" xr:uid="{00000000-0005-0000-0000-00005C000000}"/>
    <cellStyle name="百分比 2" xfId="158" xr:uid="{00000000-0005-0000-0000-00005D000000}"/>
    <cellStyle name="百分比 2 2" xfId="324" xr:uid="{00000000-0005-0000-0000-00005E000000}"/>
    <cellStyle name="百分比 3" xfId="159" xr:uid="{00000000-0005-0000-0000-00005F000000}"/>
    <cellStyle name="百分比 3 2" xfId="325" xr:uid="{00000000-0005-0000-0000-000060000000}"/>
    <cellStyle name="백분율 2" xfId="5" xr:uid="{00000000-0005-0000-0000-000062000000}"/>
    <cellStyle name="백분율 2 2" xfId="20" xr:uid="{00000000-0005-0000-0000-000063000000}"/>
    <cellStyle name="백분율 2 2 2" xfId="161" xr:uid="{00000000-0005-0000-0000-000064000000}"/>
    <cellStyle name="백분율 2 2 3" xfId="160" xr:uid="{00000000-0005-0000-0000-000065000000}"/>
    <cellStyle name="백분율 2 3" xfId="162" xr:uid="{00000000-0005-0000-0000-000066000000}"/>
    <cellStyle name="백분율 2 4" xfId="374" xr:uid="{00000000-0005-0000-0000-000067000000}"/>
    <cellStyle name="백분율 2 5" xfId="56" xr:uid="{00000000-0005-0000-0000-000068000000}"/>
    <cellStyle name="백분율 3" xfId="57" xr:uid="{00000000-0005-0000-0000-000069000000}"/>
    <cellStyle name="백분율 3 2" xfId="163" xr:uid="{00000000-0005-0000-0000-00006A000000}"/>
    <cellStyle name="백분율 3 2 2" xfId="326" xr:uid="{00000000-0005-0000-0000-00006B000000}"/>
    <cellStyle name="백분율 4" xfId="58" xr:uid="{00000000-0005-0000-0000-00006C000000}"/>
    <cellStyle name="백분율 4 2" xfId="165" xr:uid="{00000000-0005-0000-0000-00006D000000}"/>
    <cellStyle name="백분율 4 2 2" xfId="328" xr:uid="{00000000-0005-0000-0000-00006E000000}"/>
    <cellStyle name="백분율 4 3" xfId="164" xr:uid="{00000000-0005-0000-0000-00006F000000}"/>
    <cellStyle name="백분율 4 3 2" xfId="327" xr:uid="{00000000-0005-0000-0000-000070000000}"/>
    <cellStyle name="백분율 5" xfId="55" xr:uid="{00000000-0005-0000-0000-000071000000}"/>
    <cellStyle name="백분율 5 2" xfId="166" xr:uid="{00000000-0005-0000-0000-000072000000}"/>
    <cellStyle name="백분율 5 2 2" xfId="329" xr:uid="{00000000-0005-0000-0000-000073000000}"/>
    <cellStyle name="백분율 6" xfId="370" xr:uid="{00000000-0005-0000-0000-000074000000}"/>
    <cellStyle name="常规 10" xfId="167" xr:uid="{00000000-0005-0000-0000-000075000000}"/>
    <cellStyle name="常规 11" xfId="168" xr:uid="{00000000-0005-0000-0000-000076000000}"/>
    <cellStyle name="常规 11 2" xfId="169" xr:uid="{00000000-0005-0000-0000-000077000000}"/>
    <cellStyle name="常规 11 2 2" xfId="331" xr:uid="{00000000-0005-0000-0000-000078000000}"/>
    <cellStyle name="常规 11 3" xfId="170" xr:uid="{00000000-0005-0000-0000-000079000000}"/>
    <cellStyle name="常规 11 3 2" xfId="332" xr:uid="{00000000-0005-0000-0000-00007A000000}"/>
    <cellStyle name="常规 11 4" xfId="171" xr:uid="{00000000-0005-0000-0000-00007B000000}"/>
    <cellStyle name="常规 11 4 2" xfId="333" xr:uid="{00000000-0005-0000-0000-00007C000000}"/>
    <cellStyle name="常规 11 5" xfId="330" xr:uid="{00000000-0005-0000-0000-00007D000000}"/>
    <cellStyle name="常规 12" xfId="172" xr:uid="{00000000-0005-0000-0000-00007E000000}"/>
    <cellStyle name="常规 12 2" xfId="334" xr:uid="{00000000-0005-0000-0000-00007F000000}"/>
    <cellStyle name="常规 13" xfId="173" xr:uid="{00000000-0005-0000-0000-000080000000}"/>
    <cellStyle name="常规 13 2" xfId="335" xr:uid="{00000000-0005-0000-0000-000081000000}"/>
    <cellStyle name="常规 14" xfId="174" xr:uid="{00000000-0005-0000-0000-000082000000}"/>
    <cellStyle name="常规 14 2" xfId="336" xr:uid="{00000000-0005-0000-0000-000083000000}"/>
    <cellStyle name="常规 2" xfId="30" xr:uid="{00000000-0005-0000-0000-000084000000}"/>
    <cellStyle name="常规 2 10" xfId="175" xr:uid="{00000000-0005-0000-0000-000085000000}"/>
    <cellStyle name="常规 2 11" xfId="176" xr:uid="{00000000-0005-0000-0000-000086000000}"/>
    <cellStyle name="常规 2 12" xfId="177" xr:uid="{00000000-0005-0000-0000-000087000000}"/>
    <cellStyle name="常规 2 13" xfId="178" xr:uid="{00000000-0005-0000-0000-000088000000}"/>
    <cellStyle name="常规 2 14" xfId="179" xr:uid="{00000000-0005-0000-0000-000089000000}"/>
    <cellStyle name="常规 2 15" xfId="180" xr:uid="{00000000-0005-0000-0000-00008A000000}"/>
    <cellStyle name="常规 2 16" xfId="181" xr:uid="{00000000-0005-0000-0000-00008B000000}"/>
    <cellStyle name="常规 2 17" xfId="182" xr:uid="{00000000-0005-0000-0000-00008C000000}"/>
    <cellStyle name="常规 2 18" xfId="183" xr:uid="{00000000-0005-0000-0000-00008D000000}"/>
    <cellStyle name="常规 2 19" xfId="184" xr:uid="{00000000-0005-0000-0000-00008E000000}"/>
    <cellStyle name="常规 2 2" xfId="185" xr:uid="{00000000-0005-0000-0000-00008F000000}"/>
    <cellStyle name="常规 2 2 10" xfId="186" xr:uid="{00000000-0005-0000-0000-000090000000}"/>
    <cellStyle name="常规 2 2 10 2" xfId="187" xr:uid="{00000000-0005-0000-0000-000091000000}"/>
    <cellStyle name="常规 2 2 10 2 2" xfId="339" xr:uid="{00000000-0005-0000-0000-000092000000}"/>
    <cellStyle name="常规 2 2 10 3" xfId="188" xr:uid="{00000000-0005-0000-0000-000093000000}"/>
    <cellStyle name="常规 2 2 10 3 2" xfId="340" xr:uid="{00000000-0005-0000-0000-000094000000}"/>
    <cellStyle name="常规 2 2 10 4" xfId="338" xr:uid="{00000000-0005-0000-0000-000095000000}"/>
    <cellStyle name="常规 2 2 11" xfId="189" xr:uid="{00000000-0005-0000-0000-000096000000}"/>
    <cellStyle name="常规 2 2 11 2" xfId="341" xr:uid="{00000000-0005-0000-0000-000097000000}"/>
    <cellStyle name="常规 2 2 12" xfId="190" xr:uid="{00000000-0005-0000-0000-000098000000}"/>
    <cellStyle name="常规 2 2 12 2" xfId="342" xr:uid="{00000000-0005-0000-0000-000099000000}"/>
    <cellStyle name="常规 2 2 13" xfId="337" xr:uid="{00000000-0005-0000-0000-00009A000000}"/>
    <cellStyle name="常规 2 2 2" xfId="191" xr:uid="{00000000-0005-0000-0000-00009B000000}"/>
    <cellStyle name="常规 2 2 2 2" xfId="343" xr:uid="{00000000-0005-0000-0000-00009C000000}"/>
    <cellStyle name="常规 2 2 3" xfId="192" xr:uid="{00000000-0005-0000-0000-00009D000000}"/>
    <cellStyle name="常规 2 2 3 2" xfId="344" xr:uid="{00000000-0005-0000-0000-00009E000000}"/>
    <cellStyle name="常规 2 2 4" xfId="193" xr:uid="{00000000-0005-0000-0000-00009F000000}"/>
    <cellStyle name="常规 2 2 4 2" xfId="345" xr:uid="{00000000-0005-0000-0000-0000A0000000}"/>
    <cellStyle name="常规 2 2 5" xfId="194" xr:uid="{00000000-0005-0000-0000-0000A1000000}"/>
    <cellStyle name="常规 2 2 5 2" xfId="346" xr:uid="{00000000-0005-0000-0000-0000A2000000}"/>
    <cellStyle name="常规 2 2 6" xfId="195" xr:uid="{00000000-0005-0000-0000-0000A3000000}"/>
    <cellStyle name="常规 2 2 6 2" xfId="347" xr:uid="{00000000-0005-0000-0000-0000A4000000}"/>
    <cellStyle name="常规 2 2 7" xfId="196" xr:uid="{00000000-0005-0000-0000-0000A5000000}"/>
    <cellStyle name="常规 2 2 7 2" xfId="348" xr:uid="{00000000-0005-0000-0000-0000A6000000}"/>
    <cellStyle name="常规 2 2 8" xfId="197" xr:uid="{00000000-0005-0000-0000-0000A7000000}"/>
    <cellStyle name="常规 2 2 8 2" xfId="349" xr:uid="{00000000-0005-0000-0000-0000A8000000}"/>
    <cellStyle name="常规 2 2 9" xfId="198" xr:uid="{00000000-0005-0000-0000-0000A9000000}"/>
    <cellStyle name="常规 2 2 9 2" xfId="350" xr:uid="{00000000-0005-0000-0000-0000AA000000}"/>
    <cellStyle name="常规 2 20" xfId="199" xr:uid="{00000000-0005-0000-0000-0000AB000000}"/>
    <cellStyle name="常规 2 21" xfId="200" xr:uid="{00000000-0005-0000-0000-0000AC000000}"/>
    <cellStyle name="常规 2 21 2" xfId="201" xr:uid="{00000000-0005-0000-0000-0000AD000000}"/>
    <cellStyle name="常规 2 22" xfId="202" xr:uid="{00000000-0005-0000-0000-0000AE000000}"/>
    <cellStyle name="常规 2 23" xfId="203" xr:uid="{00000000-0005-0000-0000-0000AF000000}"/>
    <cellStyle name="常规 2 3" xfId="204" xr:uid="{00000000-0005-0000-0000-0000B0000000}"/>
    <cellStyle name="常规 2 4" xfId="205" xr:uid="{00000000-0005-0000-0000-0000B1000000}"/>
    <cellStyle name="常规 2 5" xfId="206" xr:uid="{00000000-0005-0000-0000-0000B2000000}"/>
    <cellStyle name="常规 2 6" xfId="207" xr:uid="{00000000-0005-0000-0000-0000B3000000}"/>
    <cellStyle name="常规 2 7" xfId="208" xr:uid="{00000000-0005-0000-0000-0000B4000000}"/>
    <cellStyle name="常规 2 8" xfId="209" xr:uid="{00000000-0005-0000-0000-0000B5000000}"/>
    <cellStyle name="常规 2 9" xfId="210" xr:uid="{00000000-0005-0000-0000-0000B6000000}"/>
    <cellStyle name="常规 3" xfId="31" xr:uid="{00000000-0005-0000-0000-0000B7000000}"/>
    <cellStyle name="常规 3 2" xfId="211" xr:uid="{00000000-0005-0000-0000-0000B8000000}"/>
    <cellStyle name="常规 3 2 2" xfId="212" xr:uid="{00000000-0005-0000-0000-0000B9000000}"/>
    <cellStyle name="常规 3 2 2 2" xfId="352" xr:uid="{00000000-0005-0000-0000-0000BA000000}"/>
    <cellStyle name="常规 3 2 3" xfId="351" xr:uid="{00000000-0005-0000-0000-0000BB000000}"/>
    <cellStyle name="常规 3 3" xfId="213" xr:uid="{00000000-0005-0000-0000-0000BC000000}"/>
    <cellStyle name="常规 3 3 2" xfId="353" xr:uid="{00000000-0005-0000-0000-0000BD000000}"/>
    <cellStyle name="常规 4" xfId="32" xr:uid="{00000000-0005-0000-0000-0000BE000000}"/>
    <cellStyle name="常规 4 2" xfId="214" xr:uid="{00000000-0005-0000-0000-0000BF000000}"/>
    <cellStyle name="常规 4 2 2" xfId="215" xr:uid="{00000000-0005-0000-0000-0000C0000000}"/>
    <cellStyle name="常规 4 2 2 2" xfId="355" xr:uid="{00000000-0005-0000-0000-0000C1000000}"/>
    <cellStyle name="常规 4 2 3" xfId="354" xr:uid="{00000000-0005-0000-0000-0000C2000000}"/>
    <cellStyle name="常规 4 3" xfId="216" xr:uid="{00000000-0005-0000-0000-0000C3000000}"/>
    <cellStyle name="常规 4 3 2" xfId="356" xr:uid="{00000000-0005-0000-0000-0000C4000000}"/>
    <cellStyle name="常规 5" xfId="33" xr:uid="{00000000-0005-0000-0000-0000C5000000}"/>
    <cellStyle name="常规 5 2" xfId="217" xr:uid="{00000000-0005-0000-0000-0000C6000000}"/>
    <cellStyle name="常规 5 2 2" xfId="218" xr:uid="{00000000-0005-0000-0000-0000C7000000}"/>
    <cellStyle name="常规 5 2 2 2" xfId="358" xr:uid="{00000000-0005-0000-0000-0000C8000000}"/>
    <cellStyle name="常规 5 2 3" xfId="357" xr:uid="{00000000-0005-0000-0000-0000C9000000}"/>
    <cellStyle name="常规 5 3" xfId="219" xr:uid="{00000000-0005-0000-0000-0000CA000000}"/>
    <cellStyle name="常规 5 3 2" xfId="220" xr:uid="{00000000-0005-0000-0000-0000CB000000}"/>
    <cellStyle name="常规 5 3 2 2" xfId="360" xr:uid="{00000000-0005-0000-0000-0000CC000000}"/>
    <cellStyle name="常规 5 3 3" xfId="359" xr:uid="{00000000-0005-0000-0000-0000CD000000}"/>
    <cellStyle name="常规 5 4" xfId="221" xr:uid="{00000000-0005-0000-0000-0000CE000000}"/>
    <cellStyle name="常规 5 4 2" xfId="361" xr:uid="{00000000-0005-0000-0000-0000CF000000}"/>
    <cellStyle name="常规 6" xfId="34" xr:uid="{00000000-0005-0000-0000-0000D0000000}"/>
    <cellStyle name="常规 6 2" xfId="222" xr:uid="{00000000-0005-0000-0000-0000D1000000}"/>
    <cellStyle name="常规 7" xfId="35" xr:uid="{00000000-0005-0000-0000-0000D2000000}"/>
    <cellStyle name="常规 7 2" xfId="223" xr:uid="{00000000-0005-0000-0000-0000D3000000}"/>
    <cellStyle name="常规 8" xfId="224" xr:uid="{00000000-0005-0000-0000-0000D4000000}"/>
    <cellStyle name="常规 8 2" xfId="225" xr:uid="{00000000-0005-0000-0000-0000D5000000}"/>
    <cellStyle name="常规 8 3" xfId="226" xr:uid="{00000000-0005-0000-0000-0000D6000000}"/>
    <cellStyle name="常规 9" xfId="227" xr:uid="{00000000-0005-0000-0000-0000D7000000}"/>
    <cellStyle name="常规_0706-14制造编码管理台帐" xfId="228" xr:uid="{00000000-0005-0000-0000-0000D8000000}"/>
    <cellStyle name="설명 텍스트 2" xfId="229" xr:uid="{00000000-0005-0000-0000-0000D9000000}"/>
    <cellStyle name="설명 텍스트 2 2" xfId="230" xr:uid="{00000000-0005-0000-0000-0000DA000000}"/>
    <cellStyle name="설명 텍스트 3" xfId="231" xr:uid="{00000000-0005-0000-0000-0000DB000000}"/>
    <cellStyle name="셀 확인 2" xfId="232" xr:uid="{00000000-0005-0000-0000-0000DC000000}"/>
    <cellStyle name="셀 확인 2 2" xfId="233" xr:uid="{00000000-0005-0000-0000-0000DD000000}"/>
    <cellStyle name="셀 확인 3" xfId="234" xr:uid="{00000000-0005-0000-0000-0000DE000000}"/>
    <cellStyle name="쉼표 [0]" xfId="1" builtinId="6"/>
    <cellStyle name="쉼표 [0] 2" xfId="2" xr:uid="{00000000-0005-0000-0000-0000E0000000}"/>
    <cellStyle name="쉼표 [0] 2 13" xfId="376" xr:uid="{00000000-0005-0000-0000-0000E1000000}"/>
    <cellStyle name="쉼표 [0] 2 2" xfId="12" xr:uid="{00000000-0005-0000-0000-0000E2000000}"/>
    <cellStyle name="쉼표 [0] 2 2 2" xfId="37" xr:uid="{00000000-0005-0000-0000-0000E3000000}"/>
    <cellStyle name="쉼표 [0] 2 2 3" xfId="236" xr:uid="{00000000-0005-0000-0000-0000E4000000}"/>
    <cellStyle name="쉼표 [0] 2 2 4" xfId="53" xr:uid="{00000000-0005-0000-0000-0000E5000000}"/>
    <cellStyle name="쉼표 [0] 2 3" xfId="22" xr:uid="{00000000-0005-0000-0000-0000E6000000}"/>
    <cellStyle name="쉼표 [0] 2 3 2" xfId="38" xr:uid="{00000000-0005-0000-0000-0000E7000000}"/>
    <cellStyle name="쉼표 [0] 2 3 2 2" xfId="238" xr:uid="{00000000-0005-0000-0000-0000E8000000}"/>
    <cellStyle name="쉼표 [0] 2 3 2 2 2" xfId="362" xr:uid="{00000000-0005-0000-0000-0000E9000000}"/>
    <cellStyle name="쉼표 [0] 2 3 3" xfId="239" xr:uid="{00000000-0005-0000-0000-0000EA000000}"/>
    <cellStyle name="쉼표 [0] 2 3 4" xfId="237" xr:uid="{00000000-0005-0000-0000-0000EB000000}"/>
    <cellStyle name="쉼표 [0] 2 4" xfId="36" xr:uid="{00000000-0005-0000-0000-0000EC000000}"/>
    <cellStyle name="쉼표 [0] 2 4 2" xfId="241" xr:uid="{00000000-0005-0000-0000-0000ED000000}"/>
    <cellStyle name="쉼표 [0] 2 4 3" xfId="240" xr:uid="{00000000-0005-0000-0000-0000EE000000}"/>
    <cellStyle name="쉼표 [0] 2 5" xfId="242" xr:uid="{00000000-0005-0000-0000-0000EF000000}"/>
    <cellStyle name="쉼표 [0] 2 6" xfId="235" xr:uid="{00000000-0005-0000-0000-0000F0000000}"/>
    <cellStyle name="쉼표 [0] 2 7" xfId="373" xr:uid="{00000000-0005-0000-0000-0000F1000000}"/>
    <cellStyle name="쉼표 [0] 2 8" xfId="59" xr:uid="{00000000-0005-0000-0000-0000F2000000}"/>
    <cellStyle name="쉼표 [0] 3" xfId="9" xr:uid="{00000000-0005-0000-0000-0000F3000000}"/>
    <cellStyle name="쉼표 [0] 3 2" xfId="13" xr:uid="{00000000-0005-0000-0000-0000F4000000}"/>
    <cellStyle name="쉼표 [0] 3 2 2" xfId="243" xr:uid="{00000000-0005-0000-0000-0000F5000000}"/>
    <cellStyle name="쉼표 [0] 3 2 3" xfId="60" xr:uid="{00000000-0005-0000-0000-0000F6000000}"/>
    <cellStyle name="쉼표 [0] 3 3" xfId="16" xr:uid="{00000000-0005-0000-0000-0000F7000000}"/>
    <cellStyle name="쉼표 [0] 3 3 2" xfId="244" xr:uid="{00000000-0005-0000-0000-0000F8000000}"/>
    <cellStyle name="쉼표 [0] 3 4" xfId="23" xr:uid="{00000000-0005-0000-0000-0000F9000000}"/>
    <cellStyle name="쉼표 [0] 3 4 2" xfId="245" xr:uid="{00000000-0005-0000-0000-0000FA000000}"/>
    <cellStyle name="쉼표 [0] 3 5" xfId="39" xr:uid="{00000000-0005-0000-0000-0000FB000000}"/>
    <cellStyle name="쉼표 [0] 4" xfId="6" xr:uid="{00000000-0005-0000-0000-0000FC000000}"/>
    <cellStyle name="쉼표 [0] 4 2" xfId="24" xr:uid="{00000000-0005-0000-0000-0000FD000000}"/>
    <cellStyle name="쉼표 [0] 4 2 2" xfId="247" xr:uid="{00000000-0005-0000-0000-0000FE000000}"/>
    <cellStyle name="쉼표 [0] 4 3" xfId="40" xr:uid="{00000000-0005-0000-0000-0000FF000000}"/>
    <cellStyle name="쉼표 [0] 4 3 2" xfId="248" xr:uid="{00000000-0005-0000-0000-000000010000}"/>
    <cellStyle name="쉼표 [0] 4 4" xfId="246" xr:uid="{00000000-0005-0000-0000-000001010000}"/>
    <cellStyle name="쉼표 [0] 5" xfId="25" xr:uid="{00000000-0005-0000-0000-000002010000}"/>
    <cellStyle name="쉼표 [0] 5 2" xfId="250" xr:uid="{00000000-0005-0000-0000-000003010000}"/>
    <cellStyle name="쉼표 [0] 5 3" xfId="249" xr:uid="{00000000-0005-0000-0000-000004010000}"/>
    <cellStyle name="쉼표 [0] 5 4" xfId="61" xr:uid="{00000000-0005-0000-0000-000005010000}"/>
    <cellStyle name="쉼표 [0] 6" xfId="21" xr:uid="{00000000-0005-0000-0000-000006010000}"/>
    <cellStyle name="쉼표 [0] 6 2" xfId="251" xr:uid="{00000000-0005-0000-0000-000007010000}"/>
    <cellStyle name="쉼표 [0] 6 3" xfId="371" xr:uid="{00000000-0005-0000-0000-000008010000}"/>
    <cellStyle name="쉼표 [0] 6 4" xfId="62" xr:uid="{00000000-0005-0000-0000-000009010000}"/>
    <cellStyle name="쉼표 [0] 7" xfId="252" xr:uid="{00000000-0005-0000-0000-00000A010000}"/>
    <cellStyle name="쉼표 [0] 8" xfId="253" xr:uid="{00000000-0005-0000-0000-00000B010000}"/>
    <cellStyle name="쉼표 [0] 8 2" xfId="363" xr:uid="{00000000-0005-0000-0000-00000C010000}"/>
    <cellStyle name="쉼표 [0] 9" xfId="369" xr:uid="{00000000-0005-0000-0000-00000D010000}"/>
    <cellStyle name="쉼표 2" xfId="26" xr:uid="{00000000-0005-0000-0000-00000E010000}"/>
    <cellStyle name="쉼표 2 2" xfId="42" xr:uid="{00000000-0005-0000-0000-00000F010000}"/>
    <cellStyle name="쉼표 2 2 2" xfId="255" xr:uid="{00000000-0005-0000-0000-000010010000}"/>
    <cellStyle name="쉼표 2 2 2 2" xfId="256" xr:uid="{00000000-0005-0000-0000-000011010000}"/>
    <cellStyle name="쉼표 2 2 2 2 2" xfId="364" xr:uid="{00000000-0005-0000-0000-000012010000}"/>
    <cellStyle name="쉼표 2 2 3" xfId="257" xr:uid="{00000000-0005-0000-0000-000013010000}"/>
    <cellStyle name="쉼표 2 2 4" xfId="254" xr:uid="{00000000-0005-0000-0000-000014010000}"/>
    <cellStyle name="쉼표 2 3" xfId="41" xr:uid="{00000000-0005-0000-0000-000015010000}"/>
    <cellStyle name="쉼표 2 4" xfId="258" xr:uid="{00000000-0005-0000-0000-000016010000}"/>
    <cellStyle name="쉼표 3" xfId="43" xr:uid="{00000000-0005-0000-0000-000017010000}"/>
    <cellStyle name="쉼표 3 2" xfId="259" xr:uid="{00000000-0005-0000-0000-000018010000}"/>
    <cellStyle name="스타일 1" xfId="44" xr:uid="{00000000-0005-0000-0000-000019010000}"/>
    <cellStyle name="스타일 1 2" xfId="260" xr:uid="{00000000-0005-0000-0000-00001A010000}"/>
    <cellStyle name="样式 1" xfId="45" xr:uid="{00000000-0005-0000-0000-00001B010000}"/>
    <cellStyle name="样式 1 2" xfId="261" xr:uid="{00000000-0005-0000-0000-00001C010000}"/>
    <cellStyle name="연결된 셀 2" xfId="262" xr:uid="{00000000-0005-0000-0000-00001D010000}"/>
    <cellStyle name="연결된 셀 2 2" xfId="263" xr:uid="{00000000-0005-0000-0000-00001E010000}"/>
    <cellStyle name="연결된 셀 3" xfId="264" xr:uid="{00000000-0005-0000-0000-00001F010000}"/>
    <cellStyle name="요약 2" xfId="265" xr:uid="{00000000-0005-0000-0000-000020010000}"/>
    <cellStyle name="요약 2 2" xfId="266" xr:uid="{00000000-0005-0000-0000-000021010000}"/>
    <cellStyle name="요약 3" xfId="267" xr:uid="{00000000-0005-0000-0000-000022010000}"/>
    <cellStyle name="입력 2" xfId="268" xr:uid="{00000000-0005-0000-0000-000023010000}"/>
    <cellStyle name="입력 2 2" xfId="269" xr:uid="{00000000-0005-0000-0000-000024010000}"/>
    <cellStyle name="입력 3" xfId="270" xr:uid="{00000000-0005-0000-0000-000025010000}"/>
    <cellStyle name="제목 1 2" xfId="271" xr:uid="{00000000-0005-0000-0000-000026010000}"/>
    <cellStyle name="제목 1 2 2" xfId="272" xr:uid="{00000000-0005-0000-0000-000027010000}"/>
    <cellStyle name="제목 1 3" xfId="273" xr:uid="{00000000-0005-0000-0000-000028010000}"/>
    <cellStyle name="제목 2 2" xfId="274" xr:uid="{00000000-0005-0000-0000-000029010000}"/>
    <cellStyle name="제목 2 2 2" xfId="275" xr:uid="{00000000-0005-0000-0000-00002A010000}"/>
    <cellStyle name="제목 2 3" xfId="276" xr:uid="{00000000-0005-0000-0000-00002B010000}"/>
    <cellStyle name="제목 3 2" xfId="277" xr:uid="{00000000-0005-0000-0000-00002C010000}"/>
    <cellStyle name="제목 3 2 2" xfId="278" xr:uid="{00000000-0005-0000-0000-00002D010000}"/>
    <cellStyle name="제목 3 3" xfId="279" xr:uid="{00000000-0005-0000-0000-00002E010000}"/>
    <cellStyle name="제목 4 2" xfId="280" xr:uid="{00000000-0005-0000-0000-00002F010000}"/>
    <cellStyle name="제목 4 2 2" xfId="281" xr:uid="{00000000-0005-0000-0000-000030010000}"/>
    <cellStyle name="제목 4 3" xfId="282" xr:uid="{00000000-0005-0000-0000-000031010000}"/>
    <cellStyle name="제목 5" xfId="283" xr:uid="{00000000-0005-0000-0000-000032010000}"/>
    <cellStyle name="제목 5 2" xfId="284" xr:uid="{00000000-0005-0000-0000-000033010000}"/>
    <cellStyle name="제목 6" xfId="285" xr:uid="{00000000-0005-0000-0000-000034010000}"/>
    <cellStyle name="좋음 2" xfId="286" xr:uid="{00000000-0005-0000-0000-000035010000}"/>
    <cellStyle name="좋음 2 2" xfId="287" xr:uid="{00000000-0005-0000-0000-000036010000}"/>
    <cellStyle name="좋음 3" xfId="288" xr:uid="{00000000-0005-0000-0000-000037010000}"/>
    <cellStyle name="差_2012년 경영계획 (제조지별 물량배분-가공비) 111006 - 생산관리" xfId="289" xr:uid="{00000000-0005-0000-0000-000038010000}"/>
    <cellStyle name="差_2012년 경영계획 (제조지별 물량배분-가공비) 111006 - 생산관리_2012年8月营业计划" xfId="290" xr:uid="{00000000-0005-0000-0000-000039010000}"/>
    <cellStyle name="千位分隔[0] 2" xfId="291" xr:uid="{00000000-0005-0000-0000-00003A010000}"/>
    <cellStyle name="千位分隔[0] 2 2" xfId="365" xr:uid="{00000000-0005-0000-0000-00003B010000}"/>
    <cellStyle name="千位分隔[0] 3" xfId="292" xr:uid="{00000000-0005-0000-0000-00003C010000}"/>
    <cellStyle name="千位分隔[0] 4" xfId="293" xr:uid="{00000000-0005-0000-0000-00003D010000}"/>
    <cellStyle name="千位分隔[0] 5" xfId="294" xr:uid="{00000000-0005-0000-0000-00003E010000}"/>
    <cellStyle name="千位分隔[0]_2008年9月份计划" xfId="295" xr:uid="{00000000-0005-0000-0000-00003F010000}"/>
    <cellStyle name="출력 2" xfId="296" xr:uid="{00000000-0005-0000-0000-000040010000}"/>
    <cellStyle name="출력 2 2" xfId="297" xr:uid="{00000000-0005-0000-0000-000041010000}"/>
    <cellStyle name="출력 3" xfId="298" xr:uid="{00000000-0005-0000-0000-000042010000}"/>
    <cellStyle name="콤마 [0]_laroux" xfId="46" xr:uid="{00000000-0005-0000-0000-000043010000}"/>
    <cellStyle name="콤마_laroux" xfId="47" xr:uid="{00000000-0005-0000-0000-000044010000}"/>
    <cellStyle name="통화 [0] 2" xfId="4" xr:uid="{00000000-0005-0000-0000-000045010000}"/>
    <cellStyle name="통화 [0] 2 2" xfId="48" xr:uid="{00000000-0005-0000-0000-000046010000}"/>
    <cellStyle name="통화 [0] 2 2 2" xfId="299" xr:uid="{00000000-0005-0000-0000-000047010000}"/>
    <cellStyle name="통화 [0] 2 2 2 2" xfId="366" xr:uid="{00000000-0005-0000-0000-000048010000}"/>
    <cellStyle name="통화 [0] 2 2 3" xfId="63" xr:uid="{00000000-0005-0000-0000-000049010000}"/>
    <cellStyle name="통화 [0] 3" xfId="27" xr:uid="{00000000-0005-0000-0000-00004A010000}"/>
    <cellStyle name="표준" xfId="0" builtinId="0"/>
    <cellStyle name="표준 10" xfId="72" xr:uid="{00000000-0005-0000-0000-00004C010000}"/>
    <cellStyle name="표준 10 2 2" xfId="375" xr:uid="{00000000-0005-0000-0000-00004D010000}"/>
    <cellStyle name="표준 11" xfId="367" xr:uid="{00000000-0005-0000-0000-00004E010000}"/>
    <cellStyle name="표준 12" xfId="368" xr:uid="{00000000-0005-0000-0000-00004F010000}"/>
    <cellStyle name="표준 191" xfId="15" xr:uid="{00000000-0005-0000-0000-000050010000}"/>
    <cellStyle name="표준 2" xfId="3" xr:uid="{00000000-0005-0000-0000-000051010000}"/>
    <cellStyle name="표준 2 19" xfId="64" xr:uid="{00000000-0005-0000-0000-000052010000}"/>
    <cellStyle name="표준 2 2" xfId="14" xr:uid="{00000000-0005-0000-0000-000053010000}"/>
    <cellStyle name="표준 2 2 2" xfId="50" xr:uid="{00000000-0005-0000-0000-000054010000}"/>
    <cellStyle name="표준 2 2 2 2" xfId="302" xr:uid="{00000000-0005-0000-0000-000055010000}"/>
    <cellStyle name="표준 2 2 3" xfId="303" xr:uid="{00000000-0005-0000-0000-000056010000}"/>
    <cellStyle name="표준 2 2 3 2" xfId="377" xr:uid="{00000000-0005-0000-0000-000057010000}"/>
    <cellStyle name="표준 2 2 4" xfId="301" xr:uid="{00000000-0005-0000-0000-000058010000}"/>
    <cellStyle name="표준 2 2_2012年8月营业计划" xfId="304" xr:uid="{00000000-0005-0000-0000-000059010000}"/>
    <cellStyle name="표준 2 3" xfId="49" xr:uid="{00000000-0005-0000-0000-00005A010000}"/>
    <cellStyle name="표준 2 3 2" xfId="305" xr:uid="{00000000-0005-0000-0000-00005B010000}"/>
    <cellStyle name="표준 2 4" xfId="306" xr:uid="{00000000-0005-0000-0000-00005C010000}"/>
    <cellStyle name="표준 2 5" xfId="300" xr:uid="{00000000-0005-0000-0000-00005D010000}"/>
    <cellStyle name="표준 2 6" xfId="372" xr:uid="{00000000-0005-0000-0000-00005E010000}"/>
    <cellStyle name="표준 2_2012年8月营业计划" xfId="307" xr:uid="{00000000-0005-0000-0000-00005F010000}"/>
    <cellStyle name="표준 3" xfId="10" xr:uid="{00000000-0005-0000-0000-000060010000}"/>
    <cellStyle name="표준 3 2" xfId="51" xr:uid="{00000000-0005-0000-0000-000061010000}"/>
    <cellStyle name="표준 3 2 2" xfId="66" xr:uid="{00000000-0005-0000-0000-000062010000}"/>
    <cellStyle name="표준 3 2 3" xfId="308" xr:uid="{00000000-0005-0000-0000-000063010000}"/>
    <cellStyle name="표준 3 3" xfId="67" xr:uid="{00000000-0005-0000-0000-000064010000}"/>
    <cellStyle name="표준 3 3 2" xfId="309" xr:uid="{00000000-0005-0000-0000-000065010000}"/>
    <cellStyle name="표준 3 4" xfId="65" xr:uid="{00000000-0005-0000-0000-000066010000}"/>
    <cellStyle name="표준 3_2012年8月营业计划" xfId="310" xr:uid="{00000000-0005-0000-0000-000067010000}"/>
    <cellStyle name="표준 4" xfId="28" xr:uid="{00000000-0005-0000-0000-000068010000}"/>
    <cellStyle name="표준 4 2" xfId="52" xr:uid="{00000000-0005-0000-0000-000069010000}"/>
    <cellStyle name="표준 4 2 2" xfId="69" xr:uid="{00000000-0005-0000-0000-00006A010000}"/>
    <cellStyle name="표준 4 2 2 2" xfId="312" xr:uid="{00000000-0005-0000-0000-00006B010000}"/>
    <cellStyle name="표준 4 3" xfId="313" xr:uid="{00000000-0005-0000-0000-00006C010000}"/>
    <cellStyle name="표준 4 4" xfId="311" xr:uid="{00000000-0005-0000-0000-00006D010000}"/>
    <cellStyle name="표준 4 5" xfId="68" xr:uid="{00000000-0005-0000-0000-00006E010000}"/>
    <cellStyle name="표준 5" xfId="29" xr:uid="{00000000-0005-0000-0000-00006F010000}"/>
    <cellStyle name="표준 5 2" xfId="314" xr:uid="{00000000-0005-0000-0000-000070010000}"/>
    <cellStyle name="표준 5 3" xfId="54" xr:uid="{00000000-0005-0000-0000-000071010000}"/>
    <cellStyle name="표준 6" xfId="17" xr:uid="{00000000-0005-0000-0000-000072010000}"/>
    <cellStyle name="표준 6 2" xfId="315" xr:uid="{00000000-0005-0000-0000-000073010000}"/>
    <cellStyle name="표준 6 3" xfId="70" xr:uid="{00000000-0005-0000-0000-000074010000}"/>
    <cellStyle name="표준 7" xfId="71" xr:uid="{00000000-0005-0000-0000-000075010000}"/>
    <cellStyle name="표준 7 2" xfId="316" xr:uid="{00000000-0005-0000-0000-000076010000}"/>
    <cellStyle name="표준 8" xfId="317" xr:uid="{00000000-0005-0000-0000-000077010000}"/>
    <cellStyle name="표준 9" xfId="318" xr:uid="{00000000-0005-0000-0000-000078010000}"/>
    <cellStyle name="好_2012년 경영계획 (제조지별 물량배분-가공비) 111006 - 생산관리" xfId="319" xr:uid="{00000000-0005-0000-0000-000079010000}"/>
    <cellStyle name="好_2012년 경영계획 (제조지별 물량배분-가공비) 111006 - 생산관리_2012年8月营业计划" xfId="320" xr:uid="{00000000-0005-0000-0000-00007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송 나래" id="{386BA3FD-CB10-449B-971E-66BBA13A4572}" userId="S::narae0205@gopowernet.com::f9106b43-8849-424b-b25b-768a1a790a9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1166" dT="2024-06-24T06:41:49.76" personId="{386BA3FD-CB10-449B-971E-66BBA13A4572}" id="{BE2FCD28-4011-4327-B969-20C41AE7768C}">
    <text>배터리 매출 포함(1억7천)</text>
  </threadedComment>
  <threadedComment ref="AF1166" dT="2024-07-29T05:12:59.43" personId="{386BA3FD-CB10-449B-971E-66BBA13A4572}" id="{1237BBAC-00FD-4FA4-929A-BEA8BCF31F23}">
    <text>단가차이,반품처리 포함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208"/>
  <sheetViews>
    <sheetView showGridLines="0" tabSelected="1" zoomScaleNormal="100" workbookViewId="0">
      <pane xSplit="18" ySplit="6" topLeftCell="S7" activePane="bottomRight" state="frozen"/>
      <selection activeCell="B1" sqref="B1"/>
      <selection pane="topRight" activeCell="R1" sqref="R1"/>
      <selection pane="bottomLeft" activeCell="B7" sqref="B7"/>
      <selection pane="bottomRight" activeCell="AW21" sqref="AW21"/>
    </sheetView>
  </sheetViews>
  <sheetFormatPr defaultRowHeight="12" outlineLevelRow="1" outlineLevelCol="2"/>
  <cols>
    <col min="1" max="1" width="3" style="1" customWidth="1"/>
    <col min="2" max="2" width="11.25" style="1" customWidth="1"/>
    <col min="3" max="3" width="9.625" style="1" customWidth="1"/>
    <col min="4" max="4" width="14.125" style="1" customWidth="1"/>
    <col min="5" max="5" width="19.75" style="1" customWidth="1"/>
    <col min="6" max="6" width="6.875" style="3" bestFit="1" customWidth="1"/>
    <col min="7" max="7" width="6.875" style="3" hidden="1" customWidth="1"/>
    <col min="8" max="8" width="7.625" style="3" hidden="1" customWidth="1"/>
    <col min="9" max="16" width="6.75" style="1" hidden="1" customWidth="1" outlineLevel="1"/>
    <col min="17" max="17" width="6.625" style="2" customWidth="1" collapsed="1"/>
    <col min="18" max="18" width="8.375" style="2" customWidth="1"/>
    <col min="19" max="19" width="6.625" style="2" hidden="1" customWidth="1" outlineLevel="2"/>
    <col min="20" max="20" width="7.5" style="2" hidden="1" customWidth="1" outlineLevel="2"/>
    <col min="21" max="21" width="6.625" style="2" hidden="1" customWidth="1" outlineLevel="2"/>
    <col min="22" max="22" width="7.5" style="1" hidden="1" customWidth="1" outlineLevel="2"/>
    <col min="23" max="23" width="6.625" style="1" hidden="1" customWidth="1" outlineLevel="2"/>
    <col min="24" max="24" width="7.5" style="1" hidden="1" customWidth="1" outlineLevel="2"/>
    <col min="25" max="25" width="6.625" style="1" hidden="1" customWidth="1" outlineLevel="2"/>
    <col min="26" max="26" width="7.5" style="1" hidden="1" customWidth="1" outlineLevel="2"/>
    <col min="27" max="27" width="6.625" style="1" hidden="1" customWidth="1" outlineLevel="2" collapsed="1"/>
    <col min="28" max="28" width="7.5" style="1" hidden="1" customWidth="1" outlineLevel="2"/>
    <col min="29" max="29" width="6.625" style="1" hidden="1" customWidth="1" outlineLevel="2"/>
    <col min="30" max="30" width="7.5" style="1" hidden="1" customWidth="1" outlineLevel="2"/>
    <col min="31" max="31" width="6.625" style="1" hidden="1" customWidth="1" outlineLevel="2"/>
    <col min="32" max="32" width="7.5" style="1" hidden="1" customWidth="1" outlineLevel="2"/>
    <col min="33" max="33" width="6.625" style="1" hidden="1" customWidth="1" outlineLevel="2"/>
    <col min="34" max="34" width="7.5" style="1" hidden="1" customWidth="1" outlineLevel="2"/>
    <col min="35" max="36" width="7.5" style="1" hidden="1" customWidth="1" outlineLevel="1"/>
    <col min="37" max="37" width="6.625" style="1" hidden="1" customWidth="1" collapsed="1"/>
    <col min="38" max="38" width="7.5" style="1" hidden="1" customWidth="1"/>
    <col min="39" max="39" width="6.625" style="1" hidden="1" customWidth="1" collapsed="1"/>
    <col min="40" max="40" width="7.5" style="1" hidden="1" customWidth="1"/>
    <col min="41" max="41" width="6.625" style="1" hidden="1" customWidth="1"/>
    <col min="42" max="42" width="7.5" style="1" hidden="1" customWidth="1"/>
    <col min="43" max="43" width="6.625" style="1" customWidth="1"/>
    <col min="44" max="44" width="7.5" style="1" customWidth="1"/>
    <col min="45" max="46" width="6.625" style="1" customWidth="1"/>
    <col min="47" max="47" width="5.75" style="1" customWidth="1"/>
    <col min="48" max="48" width="6.625" style="1" customWidth="1"/>
    <col min="49" max="50" width="6.625" style="1" bestFit="1" customWidth="1"/>
    <col min="51" max="51" width="6.625" style="1" customWidth="1"/>
    <col min="52" max="52" width="7.5" style="1" customWidth="1"/>
    <col min="53" max="53" width="6.625" style="1" customWidth="1"/>
    <col min="54" max="54" width="7.5" style="1" customWidth="1"/>
    <col min="55" max="56" width="9" style="1" customWidth="1"/>
    <col min="57" max="16384" width="9" style="1"/>
  </cols>
  <sheetData>
    <row r="1" spans="1:56" ht="22.5" customHeight="1">
      <c r="B1" s="5" t="s">
        <v>1697</v>
      </c>
      <c r="D1" s="7"/>
      <c r="E1" s="7"/>
      <c r="V1" s="2"/>
      <c r="W1" s="295"/>
      <c r="X1" s="2"/>
      <c r="Y1" s="295"/>
      <c r="Z1" s="2"/>
      <c r="AA1" s="295"/>
      <c r="AB1" s="2"/>
      <c r="AC1" s="295"/>
      <c r="AD1" s="2"/>
      <c r="AE1" s="295"/>
      <c r="AF1" s="297"/>
      <c r="AG1" s="295"/>
      <c r="AH1" s="295"/>
      <c r="AI1" s="295"/>
      <c r="AJ1" s="295"/>
      <c r="AL1" s="296"/>
      <c r="AM1" s="296"/>
      <c r="AN1" s="296"/>
      <c r="AO1" s="296"/>
      <c r="AP1" s="296"/>
    </row>
    <row r="2" spans="1:56">
      <c r="B2" s="1" t="s">
        <v>2374</v>
      </c>
      <c r="D2" s="7"/>
      <c r="E2" s="2"/>
      <c r="T2" s="2">
        <v>1321.89</v>
      </c>
      <c r="V2" s="2">
        <v>1330.4</v>
      </c>
      <c r="X2" s="7">
        <v>1330.6</v>
      </c>
      <c r="Z2" s="7"/>
      <c r="AB2" s="7">
        <v>1364.12</v>
      </c>
      <c r="AD2" s="7">
        <v>1369.63</v>
      </c>
      <c r="AF2" s="7">
        <v>1378.83</v>
      </c>
      <c r="AH2" s="7"/>
      <c r="AJ2" s="7"/>
      <c r="AL2" s="7">
        <v>1383.08</v>
      </c>
      <c r="AN2" s="7">
        <v>1361.1</v>
      </c>
      <c r="AP2" s="7">
        <v>1332.39</v>
      </c>
      <c r="AR2" s="7"/>
      <c r="AT2" s="7">
        <v>1357.9</v>
      </c>
      <c r="AV2" s="7">
        <v>1391.67</v>
      </c>
      <c r="AX2" s="7">
        <v>1419.33</v>
      </c>
      <c r="AZ2" s="7"/>
      <c r="BB2" s="7"/>
    </row>
    <row r="3" spans="1:56">
      <c r="B3" s="596" t="s">
        <v>0</v>
      </c>
      <c r="C3" s="596" t="s">
        <v>1</v>
      </c>
      <c r="D3" s="596" t="s">
        <v>2</v>
      </c>
      <c r="E3" s="596" t="s">
        <v>3</v>
      </c>
      <c r="F3" s="596" t="s">
        <v>4</v>
      </c>
      <c r="G3" s="597" t="s">
        <v>1100</v>
      </c>
      <c r="H3" s="597" t="s">
        <v>363</v>
      </c>
      <c r="I3" s="602" t="s">
        <v>299</v>
      </c>
      <c r="J3" s="603"/>
      <c r="K3" s="603"/>
      <c r="L3" s="603"/>
      <c r="M3" s="603"/>
      <c r="N3" s="603"/>
      <c r="O3" s="603"/>
      <c r="P3" s="604"/>
      <c r="Q3" s="593" t="s">
        <v>359</v>
      </c>
      <c r="R3" s="593"/>
      <c r="S3" s="593" t="s">
        <v>63</v>
      </c>
      <c r="T3" s="593"/>
      <c r="U3" s="593" t="s">
        <v>66</v>
      </c>
      <c r="V3" s="594"/>
      <c r="W3" s="593" t="s">
        <v>67</v>
      </c>
      <c r="X3" s="593"/>
      <c r="Y3" s="592" t="s">
        <v>308</v>
      </c>
      <c r="Z3" s="591"/>
      <c r="AA3" s="593" t="s">
        <v>309</v>
      </c>
      <c r="AB3" s="593"/>
      <c r="AC3" s="593" t="s">
        <v>310</v>
      </c>
      <c r="AD3" s="594"/>
      <c r="AE3" s="593" t="s">
        <v>311</v>
      </c>
      <c r="AF3" s="593"/>
      <c r="AG3" s="592" t="s">
        <v>312</v>
      </c>
      <c r="AH3" s="595"/>
      <c r="AI3" s="590" t="s">
        <v>313</v>
      </c>
      <c r="AJ3" s="591"/>
      <c r="AK3" s="593" t="s">
        <v>314</v>
      </c>
      <c r="AL3" s="594"/>
      <c r="AM3" s="605" t="s">
        <v>315</v>
      </c>
      <c r="AN3" s="606"/>
      <c r="AO3" s="593" t="s">
        <v>424</v>
      </c>
      <c r="AP3" s="593"/>
      <c r="AQ3" s="592" t="s">
        <v>316</v>
      </c>
      <c r="AR3" s="595"/>
      <c r="AS3" s="590" t="s">
        <v>453</v>
      </c>
      <c r="AT3" s="591"/>
      <c r="AU3" s="593" t="s">
        <v>317</v>
      </c>
      <c r="AV3" s="594"/>
      <c r="AW3" s="593" t="s">
        <v>318</v>
      </c>
      <c r="AX3" s="593"/>
      <c r="AY3" s="592" t="s">
        <v>319</v>
      </c>
      <c r="AZ3" s="595"/>
      <c r="BA3" s="590" t="s">
        <v>320</v>
      </c>
      <c r="BB3" s="595"/>
    </row>
    <row r="4" spans="1:56">
      <c r="B4" s="596"/>
      <c r="C4" s="596"/>
      <c r="D4" s="596"/>
      <c r="E4" s="596"/>
      <c r="F4" s="596"/>
      <c r="G4" s="598"/>
      <c r="H4" s="598"/>
      <c r="I4" s="600" t="s">
        <v>295</v>
      </c>
      <c r="J4" s="601"/>
      <c r="K4" s="600" t="s">
        <v>296</v>
      </c>
      <c r="L4" s="601"/>
      <c r="M4" s="600" t="s">
        <v>297</v>
      </c>
      <c r="N4" s="601"/>
      <c r="O4" s="600" t="s">
        <v>298</v>
      </c>
      <c r="P4" s="601"/>
      <c r="Q4" s="4"/>
      <c r="R4" s="4"/>
      <c r="S4" s="4"/>
      <c r="T4" s="4"/>
      <c r="U4" s="4"/>
      <c r="V4" s="8"/>
      <c r="W4" s="203"/>
      <c r="X4" s="203"/>
      <c r="Y4" s="188"/>
      <c r="Z4" s="231"/>
      <c r="AA4" s="203"/>
      <c r="AB4" s="203"/>
      <c r="AC4" s="203"/>
      <c r="AD4" s="231"/>
      <c r="AE4" s="203"/>
      <c r="AF4" s="203"/>
      <c r="AG4" s="188"/>
      <c r="AH4" s="87"/>
      <c r="AI4" s="86"/>
      <c r="AJ4" s="231"/>
      <c r="AK4" s="203"/>
      <c r="AL4" s="231"/>
      <c r="AM4" s="243"/>
      <c r="AN4" s="231"/>
      <c r="AO4" s="203"/>
      <c r="AP4" s="203"/>
      <c r="AQ4" s="188"/>
      <c r="AR4" s="87"/>
      <c r="AS4" s="86"/>
      <c r="AT4" s="231"/>
      <c r="AU4" s="203"/>
      <c r="AV4" s="231"/>
      <c r="AW4" s="203"/>
      <c r="AX4" s="203"/>
      <c r="AY4" s="188"/>
      <c r="AZ4" s="87"/>
      <c r="BA4" s="86"/>
      <c r="BB4" s="87"/>
    </row>
    <row r="5" spans="1:56">
      <c r="B5" s="596"/>
      <c r="C5" s="596"/>
      <c r="D5" s="596"/>
      <c r="E5" s="596"/>
      <c r="F5" s="596"/>
      <c r="G5" s="599"/>
      <c r="H5" s="599"/>
      <c r="I5" s="85" t="s">
        <v>293</v>
      </c>
      <c r="J5" s="12" t="s">
        <v>294</v>
      </c>
      <c r="K5" s="85" t="s">
        <v>293</v>
      </c>
      <c r="L5" s="12" t="s">
        <v>294</v>
      </c>
      <c r="M5" s="85" t="s">
        <v>293</v>
      </c>
      <c r="N5" s="12" t="s">
        <v>294</v>
      </c>
      <c r="O5" s="85" t="s">
        <v>293</v>
      </c>
      <c r="P5" s="12" t="s">
        <v>294</v>
      </c>
      <c r="Q5" s="4" t="s">
        <v>65</v>
      </c>
      <c r="R5" s="4" t="s">
        <v>64</v>
      </c>
      <c r="S5" s="4" t="s">
        <v>65</v>
      </c>
      <c r="T5" s="4" t="s">
        <v>525</v>
      </c>
      <c r="U5" s="4" t="s">
        <v>65</v>
      </c>
      <c r="V5" s="8" t="s">
        <v>64</v>
      </c>
      <c r="W5" s="4" t="s">
        <v>65</v>
      </c>
      <c r="X5" s="4" t="s">
        <v>64</v>
      </c>
      <c r="Y5" s="137" t="s">
        <v>65</v>
      </c>
      <c r="Z5" s="8" t="s">
        <v>64</v>
      </c>
      <c r="AA5" s="4" t="s">
        <v>65</v>
      </c>
      <c r="AB5" s="4" t="s">
        <v>64</v>
      </c>
      <c r="AC5" s="4" t="s">
        <v>65</v>
      </c>
      <c r="AD5" s="8" t="s">
        <v>64</v>
      </c>
      <c r="AE5" s="4" t="s">
        <v>65</v>
      </c>
      <c r="AF5" s="4" t="s">
        <v>64</v>
      </c>
      <c r="AG5" s="137" t="s">
        <v>65</v>
      </c>
      <c r="AH5" s="10" t="s">
        <v>64</v>
      </c>
      <c r="AI5" s="9" t="s">
        <v>65</v>
      </c>
      <c r="AJ5" s="8" t="s">
        <v>64</v>
      </c>
      <c r="AK5" s="4" t="s">
        <v>65</v>
      </c>
      <c r="AL5" s="8" t="s">
        <v>64</v>
      </c>
      <c r="AM5" s="11" t="s">
        <v>65</v>
      </c>
      <c r="AN5" s="8" t="s">
        <v>64</v>
      </c>
      <c r="AO5" s="4" t="s">
        <v>425</v>
      </c>
      <c r="AP5" s="4" t="s">
        <v>426</v>
      </c>
      <c r="AQ5" s="137" t="s">
        <v>425</v>
      </c>
      <c r="AR5" s="10" t="s">
        <v>64</v>
      </c>
      <c r="AS5" s="9" t="s">
        <v>65</v>
      </c>
      <c r="AT5" s="8" t="s">
        <v>64</v>
      </c>
      <c r="AU5" s="4" t="s">
        <v>65</v>
      </c>
      <c r="AV5" s="8" t="s">
        <v>64</v>
      </c>
      <c r="AW5" s="4" t="s">
        <v>65</v>
      </c>
      <c r="AX5" s="4" t="s">
        <v>64</v>
      </c>
      <c r="AY5" s="137" t="s">
        <v>65</v>
      </c>
      <c r="AZ5" s="10" t="s">
        <v>64</v>
      </c>
      <c r="BA5" s="9" t="s">
        <v>65</v>
      </c>
      <c r="BB5" s="10" t="s">
        <v>64</v>
      </c>
    </row>
    <row r="6" spans="1:56">
      <c r="B6" s="574" t="s">
        <v>68</v>
      </c>
      <c r="C6" s="575"/>
      <c r="D6" s="575"/>
      <c r="E6" s="576"/>
      <c r="F6" s="577"/>
      <c r="G6" s="322"/>
      <c r="H6" s="322"/>
      <c r="I6" s="323"/>
      <c r="J6" s="323"/>
      <c r="K6" s="323"/>
      <c r="L6" s="323"/>
      <c r="M6" s="323"/>
      <c r="N6" s="323"/>
      <c r="O6" s="323"/>
      <c r="P6" s="323"/>
      <c r="Q6" s="324">
        <f>SUM(Q237,Q355,Q459,Q462,Q515,Q519,Q540,Q797,Q813,Q1150,Q1166,Q1143,Q1145,Q1154,Q1161,Q1165)</f>
        <v>23511.342000000004</v>
      </c>
      <c r="R6" s="324">
        <f>SUM(R237,R355,R459,R462,R515,R519,R540,R797,R813,R1150,R1166,R1143,R1145,R1154,R1161,R1165)</f>
        <v>230099.00964587647</v>
      </c>
      <c r="S6" s="324">
        <f>SUM(S237,S355,S459,S462,S515,S519,S540,S797,S813,S1150,S1166,S1143,S1145,S1154,S1161,S1165)</f>
        <v>1744.8869999999999</v>
      </c>
      <c r="T6" s="324">
        <f>SUM(T237,T355,T459,T462,T515,T519,T540,T797,T813,T1150,T1166,T1143,T1145,T1154,T1161,T1165)</f>
        <v>16386.872765041695</v>
      </c>
      <c r="U6" s="324">
        <f>SUM(U237,U355,U459,U462,U515,U519,U540,U797,U813,U1150,U1166,U1143,U1145,U1154,U1161,U1165)</f>
        <v>1736.4449999999997</v>
      </c>
      <c r="V6" s="324">
        <f>SUM(V237,V355,V459,V462,V515,V519,V540,V797,V813,V1150,V1166,V1143,V1145,V1154,V1161,V1165)</f>
        <v>17409.444872504002</v>
      </c>
      <c r="W6" s="324">
        <f>SUM(W237,W355,W459,W462,W515,W519,W540,W797,W813,W1150,W1166,W1143,W1145,W1154,W1161,W1165)</f>
        <v>2128.13</v>
      </c>
      <c r="X6" s="324">
        <f>SUM(X237,X355,X459,X462,X515,X519,X540,X797,X813,X1150,X1166,X1143,X1145,X1154,X1161,X1165)</f>
        <v>19664.557304498001</v>
      </c>
      <c r="Y6" s="324">
        <f>SUM(Y237,Y355,Y459,Y462,Y515,Y519,Y540,Y797,Y813,Y1150,Y1166,Y1143,Y1145,Y1154,Y1161,Y1165)</f>
        <v>5609.4619999999995</v>
      </c>
      <c r="Z6" s="324">
        <f>SUM(Z237,Z355,Z459,Z462,Z515,Z519,Z540,Z797,Z813,Z1150,Z1166,Z1143,Z1145,Z1154,Z1161,Z1165)</f>
        <v>53460.874942043694</v>
      </c>
      <c r="AA6" s="324">
        <f>SUM(AA237,AA355,AA459,AA462,AA515,AA519,AA540,AA797,AA813,AA1150,AA1166,AA1143,AA1145,AA1154,AA1161,AA1165)</f>
        <v>2093.0110000000004</v>
      </c>
      <c r="AB6" s="324">
        <f>SUM(AB237,AB355,AB459,AB462,AB515,AB519,AB540,AB797,AB813,AB1150,AB1166,AB1143,AB1145,AB1154,AB1161,AB1165)</f>
        <v>21193.7643547716</v>
      </c>
      <c r="AC6" s="324">
        <f>SUM(AC237,AC355,AC459,AC462,AC515,AC519,AC540,AC797,AC813,AC1150,AC1166,AC1143,AC1145,AC1154,AC1161,AC1165)</f>
        <v>1992.7180000000003</v>
      </c>
      <c r="AD6" s="324">
        <f>SUM(AD237,AD355,AD459,AD462,AD515,AD519,AD540,AD797,AD813,AD1150,AD1166,AD1143,AD1145,AD1154,AD1161,AD1165)</f>
        <v>21425.115835862794</v>
      </c>
      <c r="AE6" s="324">
        <f>SUM(AE237,AE355,AE459,AE462,AE515,AE519,AE540,AE797,AE813,AE1150,AE1166,AE1143,AE1145,AE1154,AE1161,AE1165)</f>
        <v>2186.9300000000003</v>
      </c>
      <c r="AF6" s="324">
        <f>SUM(AF237,AF355,AF459,AF462,AF515,AF519,AF540,AF797,AF813,AF1150,AF1166,AF1143,AF1145,AF1154,AF1161,AF1165)</f>
        <v>22196.322052570034</v>
      </c>
      <c r="AG6" s="324">
        <f>SUM(AG237,AG355,AG459,AG462,AG515,AG519,AG540,AG797,AG813,AG1150,AG1166,AG1143,AG1145,AG1154,AG1161,AG1165)</f>
        <v>6272.6589999999997</v>
      </c>
      <c r="AH6" s="324">
        <f>SUM(AH237,AH355,AH459,AH462,AH515,AH519,AH540,AH797,AH813,AH1150,AH1166,AH1143,AH1145,AH1154,AH1161,AH1165)</f>
        <v>64815.202243204432</v>
      </c>
      <c r="AI6" s="324">
        <f>SUM(AI237,AI355,AI459,AI462,AI515,AI519,AI540,AI797,AI813,AI1150,AI1166,AI1143,AI1145,AI1154,AI1161,AI1165)</f>
        <v>11882.121000000001</v>
      </c>
      <c r="AJ6" s="324">
        <f>SUM(AJ237,AJ355,AJ459,AJ462,AJ515,AJ519,AJ540,AJ797,AJ813,AJ1150,AJ1166,AJ1143,AJ1145,AJ1154,AJ1161,AJ1165)</f>
        <v>118276.07718524814</v>
      </c>
      <c r="AK6" s="324">
        <f>SUM(AK237,AK355,AK459,AK462,AK515,AK519,AK540,AK797,AK813,AK1150,AK1166,AK1143,AK1145,AK1154,AK1161,AK1165)</f>
        <v>2113.5740000000001</v>
      </c>
      <c r="AL6" s="324">
        <f>SUM(AL237,AL355,AL459,AL462,AL515,AL519,AL540,AL797,AL813,AL1150,AL1166,AL1143,AL1145,AL1154,AL1161,AL1165)</f>
        <v>22215.970414293402</v>
      </c>
      <c r="AM6" s="324">
        <f>SUM(AM237,AM355,AM459,AM462,AM515,AM519,AM540,AM797,AM813,AM1150,AM1166,AM1143,AM1145,AM1154,AM1161,AM1165)</f>
        <v>2361.3890000000001</v>
      </c>
      <c r="AN6" s="324">
        <f>SUM(AN237,AN355,AN459,AN462,AN515,AN519,AN540,AN797,AN813,AN1150,AN1166,AN1143,AN1145,AN1154,AN1161,AN1165)</f>
        <v>22607.389863882261</v>
      </c>
      <c r="AO6" s="324">
        <f>SUM(AO237,AO355,AO459,AO462,AO515,AO519,AO540,AO797,AO813,AO1150,AO1166,AO1143,AO1145,AO1154,AO1161,AO1165)</f>
        <v>2150.1260000000002</v>
      </c>
      <c r="AP6" s="324">
        <f>SUM(AP237,AP355,AP459,AP462,AP515,AP519,AP540,AP797,AP813,AP1150,AP1166,AP1143,AP1145,AP1154,AP1161,AP1165)</f>
        <v>19489.961221136098</v>
      </c>
      <c r="AQ6" s="324">
        <f>SUM(AQ237,AQ355,AQ459,AQ462,AQ515,AQ519,AQ540,AQ797,AQ813,AQ1150,AQ1166,AQ1143,AQ1145,AQ1154,AQ1161,AQ1165)</f>
        <v>6625.0890000000018</v>
      </c>
      <c r="AR6" s="324">
        <f>SUM(AR237,AR355,AR459,AR462,AR515,AR519,AR540,AR797,AR813,AR1150,AR1166,AR1143,AR1145,AR1154,AR1161,AR1165)</f>
        <v>64313.321499311758</v>
      </c>
      <c r="AS6" s="324">
        <f>SUM(AS237,AS355,AS459,AS462,AS515,AS519,AS540,AS797,AS813,AS1150,AS1166,AS1143,AS1145,AS1154,AS1161,AS1165)</f>
        <v>1858.6239999999998</v>
      </c>
      <c r="AT6" s="324">
        <f>SUM(AT237,AT355,AT459,AT462,AT515,AT519,AT540,AT797,AT813,AT1150,AT1166,AT1143,AT1145,AT1154,AT1161,AT1165)</f>
        <v>16987.118756691005</v>
      </c>
      <c r="AU6" s="324">
        <f>SUM(AU237,AU355,AU459,AU462,AU515,AU519,AU540,AU797,AU813,AU1150,AU1166,AU1143,AU1145,AU1154,AU1161,AU1165)</f>
        <v>1627.4870000000001</v>
      </c>
      <c r="AV6" s="324">
        <f>SUM(AV237,AV355,AV459,AV462,AV515,AV519,AV540,AV797,AV813,AV1150,AV1166,AV1143,AV1145,AV1154,AV1161,AV1165)</f>
        <v>14945.789849631345</v>
      </c>
      <c r="AW6" s="324">
        <f>SUM(AW237,AW355,AW459,AW462,AW515,AW519,AW540,AW797,AW813,AW1150,AW1166,AW1143,AW1145,AW1154,AW1161,AW1165)</f>
        <v>1518.0209999999997</v>
      </c>
      <c r="AX6" s="324">
        <f>SUM(AX237,AX355,AX459,AX462,AX515,AX519,AX540,AX797,AX813,AX1150,AX1166,AX1143,AX1145,AX1154,AX1161,AX1165)</f>
        <v>15576.702354994195</v>
      </c>
      <c r="AY6" s="324">
        <f>SUM(AY237,AY355,AY459,AY462,AY515,AY519,AY540,AY797,AY813,AY1150,AY1166,AY1143,AY1145,AY1154,AY1161,AY1165)</f>
        <v>5004.1319999999996</v>
      </c>
      <c r="AZ6" s="324">
        <f>SUM(AZ237,AZ355,AZ459,AZ462,AZ515,AZ519,AZ540,AZ797,AZ813,AZ1150,AZ1166,AZ1143,AZ1145,AZ1154,AZ1161,AZ1165)</f>
        <v>47509.610961316546</v>
      </c>
      <c r="BA6" s="324">
        <f>SUM(BA237,BA355,BA459,BA462,BA515,BA519,BA540,BA797,BA813,BA1150,BA1166,BA1143,BA1145,BA1154,BA1161,BA1165)</f>
        <v>11629.220999999998</v>
      </c>
      <c r="BB6" s="324">
        <f>SUM(BB237,BB355,BB459,BB462,BB515,BB519,BB540,BB797,BB813,BB1150,BB1166,BB1143,BB1145,BB1154,BB1161,BB1165)</f>
        <v>111822.93246062829</v>
      </c>
      <c r="BC6" s="298"/>
      <c r="BD6" s="298"/>
    </row>
    <row r="7" spans="1:56">
      <c r="A7" s="498">
        <v>1</v>
      </c>
      <c r="B7" s="13" t="s">
        <v>80</v>
      </c>
      <c r="C7" s="13" t="s">
        <v>51</v>
      </c>
      <c r="D7" s="13" t="s">
        <v>591</v>
      </c>
      <c r="E7" s="49" t="s">
        <v>5</v>
      </c>
      <c r="F7" s="314" t="s">
        <v>6</v>
      </c>
      <c r="G7" s="314" t="s">
        <v>1105</v>
      </c>
      <c r="H7" s="279" t="s">
        <v>364</v>
      </c>
      <c r="I7" s="233">
        <v>4.12</v>
      </c>
      <c r="J7" s="162"/>
      <c r="K7" s="233">
        <v>4.12</v>
      </c>
      <c r="L7" s="162"/>
      <c r="M7" s="233">
        <v>4.12</v>
      </c>
      <c r="N7" s="162"/>
      <c r="O7" s="233">
        <v>4.12</v>
      </c>
      <c r="P7" s="162"/>
      <c r="Q7" s="125">
        <f t="shared" ref="Q7:Q23" si="0">SUM(AI7+BA7)</f>
        <v>0</v>
      </c>
      <c r="R7" s="339">
        <f t="shared" ref="R7:R23" si="1">SUM(AJ7+BB7)</f>
        <v>0</v>
      </c>
      <c r="S7" s="125"/>
      <c r="T7" s="125">
        <f>I7*S7*$T$2/1000</f>
        <v>0</v>
      </c>
      <c r="U7" s="125"/>
      <c r="V7" s="125">
        <f>I7*U7*$V$2/1000</f>
        <v>0</v>
      </c>
      <c r="W7" s="125"/>
      <c r="X7" s="125">
        <f t="shared" ref="X7:X23" si="2">I7*W7*$X$2/1000</f>
        <v>0</v>
      </c>
      <c r="Y7" s="122">
        <f t="shared" ref="Y7:Y23" si="3">SUM(S7+U7+W7)</f>
        <v>0</v>
      </c>
      <c r="Z7" s="122">
        <f t="shared" ref="Z7:Z23" si="4">SUM(T7,V7,X7)</f>
        <v>0</v>
      </c>
      <c r="AA7" s="125"/>
      <c r="AB7" s="125">
        <f>K7*AA7*$AB$2/1000</f>
        <v>0</v>
      </c>
      <c r="AC7" s="125"/>
      <c r="AD7" s="125">
        <f>K7*AC7*$AD$2/1000</f>
        <v>0</v>
      </c>
      <c r="AE7" s="125"/>
      <c r="AF7" s="122">
        <f t="shared" ref="AF7:AF23" si="5">K7*AE7*$AF$2/1000</f>
        <v>0</v>
      </c>
      <c r="AG7" s="122">
        <f t="shared" ref="AG7:AG23" si="6">SUM(AA7+AC7+AE7)</f>
        <v>0</v>
      </c>
      <c r="AH7" s="122">
        <f t="shared" ref="AH7:AH23" si="7">SUM(AB7,AD7,AF7)</f>
        <v>0</v>
      </c>
      <c r="AI7" s="122">
        <f t="shared" ref="AI7:AI23" si="8">SUM(Y7+AG7)</f>
        <v>0</v>
      </c>
      <c r="AJ7" s="122">
        <f t="shared" ref="AJ7:AJ23" si="9">SUM(Z7,AH7)</f>
        <v>0</v>
      </c>
      <c r="AK7" s="125"/>
      <c r="AL7" s="125">
        <f>M7*AK7*$AL$2/1000</f>
        <v>0</v>
      </c>
      <c r="AM7" s="125"/>
      <c r="AN7" s="125">
        <f t="shared" ref="AN7:AN23" si="10">M7*AM7*$AN$2/1000</f>
        <v>0</v>
      </c>
      <c r="AO7" s="125"/>
      <c r="AP7" s="125">
        <f>M7*AO7*AP2/1000</f>
        <v>0</v>
      </c>
      <c r="AQ7" s="122">
        <f t="shared" ref="AQ7:AQ23" si="11">SUM(AK7+AM7+AO7)</f>
        <v>0</v>
      </c>
      <c r="AR7" s="122">
        <f t="shared" ref="AR7:AR23" si="12">SUM(AL7,AN7,AP7)</f>
        <v>0</v>
      </c>
      <c r="AS7" s="125"/>
      <c r="AT7" s="125">
        <f>O7*AS7*$AT$2/1000</f>
        <v>0</v>
      </c>
      <c r="AU7" s="125"/>
      <c r="AV7" s="125">
        <f>O7*AU7*$AV$2/1000</f>
        <v>0</v>
      </c>
      <c r="AW7" s="125"/>
      <c r="AX7" s="125">
        <f>O7*AW7*$AX$2/1000</f>
        <v>0</v>
      </c>
      <c r="AY7" s="122">
        <f t="shared" ref="AY7:AY23" si="13">SUM(AS7+AU7+AW7)</f>
        <v>0</v>
      </c>
      <c r="AZ7" s="122">
        <f t="shared" ref="AZ7:AZ23" si="14">SUM(AT7,AV7,AX7)</f>
        <v>0</v>
      </c>
      <c r="BA7" s="122">
        <f t="shared" ref="BA7:BA23" si="15">SUM(AQ7+AY7)</f>
        <v>0</v>
      </c>
      <c r="BB7" s="122">
        <f t="shared" ref="BB7:BB23" si="16">SUM(AR7,AZ7)</f>
        <v>0</v>
      </c>
    </row>
    <row r="8" spans="1:56">
      <c r="A8" s="498">
        <v>2</v>
      </c>
      <c r="B8" s="13"/>
      <c r="C8" s="13"/>
      <c r="D8" s="13"/>
      <c r="E8" s="21" t="s">
        <v>7</v>
      </c>
      <c r="F8" s="46" t="s">
        <v>8</v>
      </c>
      <c r="G8" s="46" t="s">
        <v>1105</v>
      </c>
      <c r="H8" s="267" t="s">
        <v>364</v>
      </c>
      <c r="I8" s="138">
        <v>4.13</v>
      </c>
      <c r="J8" s="158"/>
      <c r="K8" s="138">
        <v>4.13</v>
      </c>
      <c r="L8" s="158"/>
      <c r="M8" s="138">
        <v>4.13</v>
      </c>
      <c r="N8" s="158"/>
      <c r="O8" s="138">
        <v>4.13</v>
      </c>
      <c r="P8" s="158"/>
      <c r="Q8" s="96">
        <f>SUM(AI8+BA8)</f>
        <v>0</v>
      </c>
      <c r="R8" s="340">
        <f>SUM(AJ8+BB8)</f>
        <v>0</v>
      </c>
      <c r="S8" s="96"/>
      <c r="T8" s="96">
        <f>I8*S8*$T$2/1000</f>
        <v>0</v>
      </c>
      <c r="U8" s="96"/>
      <c r="V8" s="96">
        <f>I8*U8*$V$2/1000</f>
        <v>0</v>
      </c>
      <c r="W8" s="96"/>
      <c r="X8" s="96">
        <f>I8*W8*$X$2/1000</f>
        <v>0</v>
      </c>
      <c r="Y8" s="97">
        <f>SUM(S8+U8+W8)</f>
        <v>0</v>
      </c>
      <c r="Z8" s="97">
        <f>SUM(T8,V8,X8)</f>
        <v>0</v>
      </c>
      <c r="AA8" s="96"/>
      <c r="AB8" s="96">
        <f>K8*AA8*$AB$2/1000</f>
        <v>0</v>
      </c>
      <c r="AC8" s="96"/>
      <c r="AD8" s="96">
        <f>K8*AC8*$AD$2/1000</f>
        <v>0</v>
      </c>
      <c r="AE8" s="96"/>
      <c r="AF8" s="96">
        <f>K8*AE8*$AF$2/1000</f>
        <v>0</v>
      </c>
      <c r="AG8" s="97">
        <f>SUM(AA8+AC8+AE8)</f>
        <v>0</v>
      </c>
      <c r="AH8" s="97">
        <f>SUM(AB8,AD8,AF8)</f>
        <v>0</v>
      </c>
      <c r="AI8" s="97">
        <f>SUM(Y8+AG8)</f>
        <v>0</v>
      </c>
      <c r="AJ8" s="97">
        <f>SUM(Z8,AH8)</f>
        <v>0</v>
      </c>
      <c r="AK8" s="96"/>
      <c r="AL8" s="96">
        <f>M8*AK8*$AL$2/1000</f>
        <v>0</v>
      </c>
      <c r="AM8" s="96"/>
      <c r="AN8" s="96">
        <f>K8*AM8*$AN$2/1000</f>
        <v>0</v>
      </c>
      <c r="AO8" s="96"/>
      <c r="AP8" s="96">
        <f>M8*AO8*$AP$2/1000</f>
        <v>0</v>
      </c>
      <c r="AQ8" s="97">
        <f>SUM(AK8+AM8+AO8)</f>
        <v>0</v>
      </c>
      <c r="AR8" s="97">
        <f>SUM(AL8,AN8,AP8)</f>
        <v>0</v>
      </c>
      <c r="AS8" s="96"/>
      <c r="AT8" s="96">
        <f>O8*AS8*$AT$2/1000</f>
        <v>0</v>
      </c>
      <c r="AU8" s="96"/>
      <c r="AV8" s="96">
        <f>O8*AU8*$AV$2/1000</f>
        <v>0</v>
      </c>
      <c r="AW8" s="96"/>
      <c r="AX8" s="96">
        <f>O8*AW8*$AX$2/1000</f>
        <v>0</v>
      </c>
      <c r="AY8" s="97">
        <f>SUM(AS8+AU8+AW8)</f>
        <v>0</v>
      </c>
      <c r="AZ8" s="97">
        <f>SUM(AT8,AV8,AX8)</f>
        <v>0</v>
      </c>
      <c r="BA8" s="97">
        <f>SUM(AQ8+AY8)</f>
        <v>0</v>
      </c>
      <c r="BB8" s="97">
        <f>SUM(AR8,AZ8)</f>
        <v>0</v>
      </c>
      <c r="BC8" s="1" t="s">
        <v>1780</v>
      </c>
    </row>
    <row r="9" spans="1:56">
      <c r="A9" s="498">
        <v>3</v>
      </c>
      <c r="B9" s="13"/>
      <c r="C9" s="14"/>
      <c r="D9" s="15"/>
      <c r="E9" s="21" t="s">
        <v>81</v>
      </c>
      <c r="F9" s="46" t="s">
        <v>9</v>
      </c>
      <c r="G9" s="46" t="s">
        <v>1105</v>
      </c>
      <c r="H9" s="267" t="s">
        <v>368</v>
      </c>
      <c r="I9" s="138">
        <v>4.2699999999999996</v>
      </c>
      <c r="J9" s="158"/>
      <c r="K9" s="138">
        <v>4.2699999999999996</v>
      </c>
      <c r="L9" s="158"/>
      <c r="M9" s="138">
        <v>4.2699999999999996</v>
      </c>
      <c r="N9" s="158"/>
      <c r="O9" s="138">
        <v>4.2699999999999996</v>
      </c>
      <c r="P9" s="158"/>
      <c r="Q9" s="96">
        <f>SUM(AI9+BA9)</f>
        <v>0</v>
      </c>
      <c r="R9" s="340">
        <f>SUM(AJ9+BB9)</f>
        <v>0</v>
      </c>
      <c r="S9" s="96"/>
      <c r="T9" s="96">
        <f>I9*S9*$T$2/1000</f>
        <v>0</v>
      </c>
      <c r="U9" s="96"/>
      <c r="V9" s="96">
        <f>I9*U9*$V$2/1000</f>
        <v>0</v>
      </c>
      <c r="W9" s="96"/>
      <c r="X9" s="96">
        <f>I9*W9*$X$2/1000</f>
        <v>0</v>
      </c>
      <c r="Y9" s="97">
        <f>SUM(S9+U9+W9)</f>
        <v>0</v>
      </c>
      <c r="Z9" s="97">
        <f>SUM(T9,V9,X9)</f>
        <v>0</v>
      </c>
      <c r="AA9" s="96"/>
      <c r="AB9" s="96">
        <f>K9*AA9*$AB$2/1000</f>
        <v>0</v>
      </c>
      <c r="AC9" s="96"/>
      <c r="AD9" s="96">
        <f>K9*AC9*$AD$2/1000</f>
        <v>0</v>
      </c>
      <c r="AE9" s="96"/>
      <c r="AF9" s="96">
        <f>K9*AE9*$AF$2/1000</f>
        <v>0</v>
      </c>
      <c r="AG9" s="97">
        <f>SUM(AA9+AC9+AE9)</f>
        <v>0</v>
      </c>
      <c r="AH9" s="97">
        <f>SUM(AB9,AD9,AF9)</f>
        <v>0</v>
      </c>
      <c r="AI9" s="97">
        <f>SUM(Y9+AG9)</f>
        <v>0</v>
      </c>
      <c r="AJ9" s="97">
        <f>SUM(Z9,AH9)</f>
        <v>0</v>
      </c>
      <c r="AK9" s="96"/>
      <c r="AL9" s="96">
        <f>M9*AK9*$AL$2/1000</f>
        <v>0</v>
      </c>
      <c r="AM9" s="96"/>
      <c r="AN9" s="96">
        <f>K9*AM9*$AN$2/1000</f>
        <v>0</v>
      </c>
      <c r="AO9" s="96"/>
      <c r="AP9" s="96">
        <f>M9*AO9*$AP$2/1000</f>
        <v>0</v>
      </c>
      <c r="AQ9" s="97">
        <f>SUM(AK9+AM9+AO9)</f>
        <v>0</v>
      </c>
      <c r="AR9" s="97">
        <f>SUM(AL9,AN9,AP9)</f>
        <v>0</v>
      </c>
      <c r="AS9" s="96"/>
      <c r="AT9" s="96">
        <f>O9*AS9*$AT$2/1000</f>
        <v>0</v>
      </c>
      <c r="AU9" s="96"/>
      <c r="AV9" s="96">
        <f>O9*AU9*$AV$2/1000</f>
        <v>0</v>
      </c>
      <c r="AW9" s="96"/>
      <c r="AX9" s="96">
        <f>O9*AW9*$AX$2/1000</f>
        <v>0</v>
      </c>
      <c r="AY9" s="97">
        <f>SUM(AS9+AU9+AW9)</f>
        <v>0</v>
      </c>
      <c r="AZ9" s="97">
        <f>SUM(AT9,AV9,AX9)</f>
        <v>0</v>
      </c>
      <c r="BA9" s="97">
        <f>SUM(AQ9+AY9)</f>
        <v>0</v>
      </c>
      <c r="BB9" s="97">
        <f>SUM(AR9,AZ9)</f>
        <v>0</v>
      </c>
      <c r="BC9" s="1" t="s">
        <v>1780</v>
      </c>
    </row>
    <row r="10" spans="1:56">
      <c r="A10" s="498">
        <v>4</v>
      </c>
      <c r="B10" s="13"/>
      <c r="C10" s="20"/>
      <c r="D10" s="15"/>
      <c r="E10" s="21" t="s">
        <v>82</v>
      </c>
      <c r="F10" s="46" t="s">
        <v>10</v>
      </c>
      <c r="G10" s="46" t="s">
        <v>1105</v>
      </c>
      <c r="H10" s="267" t="s">
        <v>364</v>
      </c>
      <c r="I10" s="18">
        <v>4.2699999999999996</v>
      </c>
      <c r="J10" s="158"/>
      <c r="K10" s="18">
        <v>4.2699999999999996</v>
      </c>
      <c r="L10" s="158"/>
      <c r="M10" s="18">
        <v>4.2699999999999996</v>
      </c>
      <c r="N10" s="158"/>
      <c r="O10" s="18">
        <v>4.2699999999999996</v>
      </c>
      <c r="P10" s="158"/>
      <c r="Q10" s="96">
        <f t="shared" si="0"/>
        <v>0</v>
      </c>
      <c r="R10" s="340">
        <f t="shared" si="1"/>
        <v>0</v>
      </c>
      <c r="S10" s="96"/>
      <c r="T10" s="96">
        <f>I10*S10*$T$2/1000</f>
        <v>0</v>
      </c>
      <c r="U10" s="96"/>
      <c r="V10" s="96">
        <f>I10*U10*$V$2/1000</f>
        <v>0</v>
      </c>
      <c r="W10" s="96"/>
      <c r="X10" s="96">
        <f t="shared" si="2"/>
        <v>0</v>
      </c>
      <c r="Y10" s="97">
        <f t="shared" si="3"/>
        <v>0</v>
      </c>
      <c r="Z10" s="97">
        <f t="shared" si="4"/>
        <v>0</v>
      </c>
      <c r="AA10" s="96"/>
      <c r="AB10" s="96">
        <f>K10*AA10*$AB$2/1000</f>
        <v>0</v>
      </c>
      <c r="AC10" s="96"/>
      <c r="AD10" s="96">
        <f>K10*AC10*$AD$2/1000</f>
        <v>0</v>
      </c>
      <c r="AE10" s="96"/>
      <c r="AF10" s="97">
        <f t="shared" si="5"/>
        <v>0</v>
      </c>
      <c r="AG10" s="97">
        <f t="shared" si="6"/>
        <v>0</v>
      </c>
      <c r="AH10" s="97">
        <f t="shared" si="7"/>
        <v>0</v>
      </c>
      <c r="AI10" s="97">
        <f t="shared" si="8"/>
        <v>0</v>
      </c>
      <c r="AJ10" s="97">
        <f t="shared" si="9"/>
        <v>0</v>
      </c>
      <c r="AK10" s="96"/>
      <c r="AL10" s="96">
        <f t="shared" ref="AL10:AL14" si="17">M10*AK10*$AL$2/1000</f>
        <v>0</v>
      </c>
      <c r="AM10" s="96"/>
      <c r="AN10" s="96">
        <f t="shared" si="10"/>
        <v>0</v>
      </c>
      <c r="AO10" s="96"/>
      <c r="AP10" s="96">
        <f>M10*AO10*AP2/1000</f>
        <v>0</v>
      </c>
      <c r="AQ10" s="97">
        <f t="shared" si="11"/>
        <v>0</v>
      </c>
      <c r="AR10" s="97">
        <f t="shared" si="12"/>
        <v>0</v>
      </c>
      <c r="AS10" s="96"/>
      <c r="AT10" s="96">
        <f t="shared" ref="AT10:AT23" si="18">O10*AS10*$AT$2/1000</f>
        <v>0</v>
      </c>
      <c r="AU10" s="96"/>
      <c r="AV10" s="96">
        <f t="shared" ref="AV10:AV23" si="19">O10*AU10*$AV$2/1000</f>
        <v>0</v>
      </c>
      <c r="AW10" s="96"/>
      <c r="AX10" s="96">
        <f t="shared" ref="AX10:AX23" si="20">O10*AW10*$AX$2/1000</f>
        <v>0</v>
      </c>
      <c r="AY10" s="97">
        <f t="shared" si="13"/>
        <v>0</v>
      </c>
      <c r="AZ10" s="97">
        <f t="shared" si="14"/>
        <v>0</v>
      </c>
      <c r="BA10" s="97">
        <f t="shared" si="15"/>
        <v>0</v>
      </c>
      <c r="BB10" s="97">
        <f t="shared" si="16"/>
        <v>0</v>
      </c>
      <c r="BC10" s="1" t="s">
        <v>1780</v>
      </c>
    </row>
    <row r="11" spans="1:56">
      <c r="A11" s="498">
        <v>5</v>
      </c>
      <c r="B11" s="13"/>
      <c r="C11" s="13"/>
      <c r="D11" s="15"/>
      <c r="E11" s="21" t="s">
        <v>83</v>
      </c>
      <c r="F11" s="46" t="s">
        <v>84</v>
      </c>
      <c r="G11" s="46" t="s">
        <v>1105</v>
      </c>
      <c r="H11" s="268" t="s">
        <v>364</v>
      </c>
      <c r="I11" s="138">
        <v>5.21</v>
      </c>
      <c r="J11" s="158"/>
      <c r="K11" s="138">
        <v>5.21</v>
      </c>
      <c r="L11" s="158"/>
      <c r="M11" s="138">
        <v>5.21</v>
      </c>
      <c r="N11" s="158"/>
      <c r="O11" s="138">
        <v>5.21</v>
      </c>
      <c r="P11" s="158"/>
      <c r="Q11" s="97">
        <f t="shared" si="0"/>
        <v>0</v>
      </c>
      <c r="R11" s="341">
        <f t="shared" si="1"/>
        <v>0</v>
      </c>
      <c r="S11" s="97"/>
      <c r="T11" s="97">
        <f t="shared" ref="T11:T23" si="21">I11*S11*$T$2/1000</f>
        <v>0</v>
      </c>
      <c r="U11" s="97"/>
      <c r="V11" s="97">
        <f t="shared" ref="V11:V23" si="22">I11*U11*$V$2/1000</f>
        <v>0</v>
      </c>
      <c r="W11" s="97"/>
      <c r="X11" s="97">
        <f t="shared" si="2"/>
        <v>0</v>
      </c>
      <c r="Y11" s="97">
        <f t="shared" si="3"/>
        <v>0</v>
      </c>
      <c r="Z11" s="97">
        <f t="shared" si="4"/>
        <v>0</v>
      </c>
      <c r="AA11" s="97"/>
      <c r="AB11" s="97">
        <f t="shared" ref="AB11:AB13" si="23">K11*AA11*$AB$2/1000</f>
        <v>0</v>
      </c>
      <c r="AC11" s="97"/>
      <c r="AD11" s="96">
        <f t="shared" ref="AD11:AD21" si="24">K11*AC11*$AD$2/1000</f>
        <v>0</v>
      </c>
      <c r="AE11" s="97"/>
      <c r="AF11" s="97">
        <f t="shared" si="5"/>
        <v>0</v>
      </c>
      <c r="AG11" s="97">
        <f t="shared" si="6"/>
        <v>0</v>
      </c>
      <c r="AH11" s="97">
        <f t="shared" si="7"/>
        <v>0</v>
      </c>
      <c r="AI11" s="97">
        <f t="shared" si="8"/>
        <v>0</v>
      </c>
      <c r="AJ11" s="97">
        <f t="shared" si="9"/>
        <v>0</v>
      </c>
      <c r="AK11" s="97"/>
      <c r="AL11" s="97">
        <f t="shared" si="17"/>
        <v>0</v>
      </c>
      <c r="AM11" s="97"/>
      <c r="AN11" s="97">
        <f>M11*AM11*$AN$2/1000</f>
        <v>0</v>
      </c>
      <c r="AO11" s="97"/>
      <c r="AP11" s="97">
        <f>M11*AO11*AP2/1000</f>
        <v>0</v>
      </c>
      <c r="AQ11" s="97">
        <f t="shared" si="11"/>
        <v>0</v>
      </c>
      <c r="AR11" s="97">
        <f t="shared" si="12"/>
        <v>0</v>
      </c>
      <c r="AS11" s="97"/>
      <c r="AT11" s="97">
        <f t="shared" si="18"/>
        <v>0</v>
      </c>
      <c r="AU11" s="97"/>
      <c r="AV11" s="97">
        <f t="shared" si="19"/>
        <v>0</v>
      </c>
      <c r="AW11" s="97"/>
      <c r="AX11" s="97">
        <f t="shared" si="20"/>
        <v>0</v>
      </c>
      <c r="AY11" s="97">
        <f t="shared" si="13"/>
        <v>0</v>
      </c>
      <c r="AZ11" s="97">
        <f t="shared" si="14"/>
        <v>0</v>
      </c>
      <c r="BA11" s="97">
        <f t="shared" si="15"/>
        <v>0</v>
      </c>
      <c r="BB11" s="97">
        <f t="shared" si="16"/>
        <v>0</v>
      </c>
      <c r="BC11" s="1" t="s">
        <v>1780</v>
      </c>
    </row>
    <row r="12" spans="1:56">
      <c r="A12" s="498">
        <v>6</v>
      </c>
      <c r="B12" s="13"/>
      <c r="C12" s="13"/>
      <c r="D12" s="13"/>
      <c r="E12" s="21" t="s">
        <v>85</v>
      </c>
      <c r="F12" s="46" t="s">
        <v>86</v>
      </c>
      <c r="G12" s="46" t="s">
        <v>1105</v>
      </c>
      <c r="H12" s="268" t="s">
        <v>364</v>
      </c>
      <c r="I12" s="138">
        <v>6.32</v>
      </c>
      <c r="J12" s="158"/>
      <c r="K12" s="138">
        <v>6.32</v>
      </c>
      <c r="L12" s="158"/>
      <c r="M12" s="138">
        <v>6.32</v>
      </c>
      <c r="N12" s="158"/>
      <c r="O12" s="138">
        <v>6.32</v>
      </c>
      <c r="P12" s="158"/>
      <c r="Q12" s="97">
        <f t="shared" si="0"/>
        <v>0</v>
      </c>
      <c r="R12" s="341">
        <f t="shared" si="1"/>
        <v>0</v>
      </c>
      <c r="S12" s="97"/>
      <c r="T12" s="97">
        <f t="shared" si="21"/>
        <v>0</v>
      </c>
      <c r="U12" s="97"/>
      <c r="V12" s="97">
        <f t="shared" si="22"/>
        <v>0</v>
      </c>
      <c r="W12" s="97"/>
      <c r="X12" s="97">
        <f t="shared" si="2"/>
        <v>0</v>
      </c>
      <c r="Y12" s="97">
        <f t="shared" si="3"/>
        <v>0</v>
      </c>
      <c r="Z12" s="97">
        <f t="shared" si="4"/>
        <v>0</v>
      </c>
      <c r="AA12" s="97"/>
      <c r="AB12" s="97">
        <f>K12*AA12*$AB$2/1000</f>
        <v>0</v>
      </c>
      <c r="AC12" s="97"/>
      <c r="AD12" s="96">
        <f t="shared" si="24"/>
        <v>0</v>
      </c>
      <c r="AE12" s="97"/>
      <c r="AF12" s="97">
        <f t="shared" si="5"/>
        <v>0</v>
      </c>
      <c r="AG12" s="97">
        <f t="shared" si="6"/>
        <v>0</v>
      </c>
      <c r="AH12" s="97">
        <f t="shared" si="7"/>
        <v>0</v>
      </c>
      <c r="AI12" s="97">
        <f t="shared" si="8"/>
        <v>0</v>
      </c>
      <c r="AJ12" s="97">
        <f t="shared" si="9"/>
        <v>0</v>
      </c>
      <c r="AK12" s="97"/>
      <c r="AL12" s="97">
        <f t="shared" si="17"/>
        <v>0</v>
      </c>
      <c r="AM12" s="97"/>
      <c r="AN12" s="97">
        <f t="shared" si="10"/>
        <v>0</v>
      </c>
      <c r="AO12" s="97"/>
      <c r="AP12" s="97">
        <f>M12*AO12*AP2/1000</f>
        <v>0</v>
      </c>
      <c r="AQ12" s="97">
        <f t="shared" si="11"/>
        <v>0</v>
      </c>
      <c r="AR12" s="97">
        <f t="shared" si="12"/>
        <v>0</v>
      </c>
      <c r="AS12" s="97"/>
      <c r="AT12" s="97">
        <f t="shared" si="18"/>
        <v>0</v>
      </c>
      <c r="AU12" s="97"/>
      <c r="AV12" s="97">
        <f t="shared" si="19"/>
        <v>0</v>
      </c>
      <c r="AW12" s="97"/>
      <c r="AX12" s="97">
        <f t="shared" si="20"/>
        <v>0</v>
      </c>
      <c r="AY12" s="97">
        <f t="shared" si="13"/>
        <v>0</v>
      </c>
      <c r="AZ12" s="97">
        <f t="shared" si="14"/>
        <v>0</v>
      </c>
      <c r="BA12" s="97">
        <f t="shared" si="15"/>
        <v>0</v>
      </c>
      <c r="BB12" s="97">
        <f t="shared" si="16"/>
        <v>0</v>
      </c>
      <c r="BC12" s="1" t="s">
        <v>1780</v>
      </c>
    </row>
    <row r="13" spans="1:56">
      <c r="A13" s="498">
        <v>7</v>
      </c>
      <c r="B13" s="13"/>
      <c r="C13" s="13"/>
      <c r="D13" s="13"/>
      <c r="E13" s="16" t="s">
        <v>323</v>
      </c>
      <c r="F13" s="46" t="s">
        <v>322</v>
      </c>
      <c r="G13" s="46" t="s">
        <v>1105</v>
      </c>
      <c r="H13" s="268" t="s">
        <v>364</v>
      </c>
      <c r="I13" s="18">
        <v>5.01</v>
      </c>
      <c r="J13" s="158"/>
      <c r="K13" s="18">
        <v>5</v>
      </c>
      <c r="L13" s="158"/>
      <c r="M13" s="18">
        <v>5</v>
      </c>
      <c r="N13" s="158"/>
      <c r="O13" s="18">
        <v>5</v>
      </c>
      <c r="P13" s="18"/>
      <c r="Q13" s="97">
        <f t="shared" si="0"/>
        <v>115.536</v>
      </c>
      <c r="R13" s="341">
        <f t="shared" ref="R13:R17" si="25">SUM(AJ13+BB13)</f>
        <v>789.38232501599998</v>
      </c>
      <c r="S13" s="97">
        <v>3.12</v>
      </c>
      <c r="T13" s="97">
        <f t="shared" si="21"/>
        <v>20.662726968000001</v>
      </c>
      <c r="U13" s="97">
        <v>8.9039999999999999</v>
      </c>
      <c r="V13" s="97">
        <f t="shared" si="22"/>
        <v>59.347866816</v>
      </c>
      <c r="W13" s="97">
        <v>9.6720000000000006</v>
      </c>
      <c r="X13" s="97">
        <f t="shared" si="2"/>
        <v>64.476511631999998</v>
      </c>
      <c r="Y13" s="97">
        <f t="shared" si="3"/>
        <v>21.696000000000002</v>
      </c>
      <c r="Z13" s="97">
        <f t="shared" si="4"/>
        <v>144.48710541600002</v>
      </c>
      <c r="AA13" s="97">
        <v>12.336</v>
      </c>
      <c r="AB13" s="97">
        <f t="shared" si="23"/>
        <v>84.138921599999989</v>
      </c>
      <c r="AC13" s="97">
        <v>12.36</v>
      </c>
      <c r="AD13" s="96">
        <f t="shared" si="24"/>
        <v>84.643134000000003</v>
      </c>
      <c r="AE13" s="97">
        <v>12.912000000000001</v>
      </c>
      <c r="AF13" s="97">
        <f t="shared" si="5"/>
        <v>89.017264800000007</v>
      </c>
      <c r="AG13" s="97">
        <f t="shared" si="6"/>
        <v>37.607999999999997</v>
      </c>
      <c r="AH13" s="97">
        <f t="shared" si="7"/>
        <v>257.7993204</v>
      </c>
      <c r="AI13" s="97">
        <f t="shared" si="8"/>
        <v>59.304000000000002</v>
      </c>
      <c r="AJ13" s="97">
        <f t="shared" si="9"/>
        <v>402.28642581600002</v>
      </c>
      <c r="AK13" s="97">
        <v>12.24</v>
      </c>
      <c r="AL13" s="97">
        <f>M13*AK13*$AL$2/1000</f>
        <v>84.644496000000004</v>
      </c>
      <c r="AM13" s="97">
        <v>10.824</v>
      </c>
      <c r="AN13" s="97">
        <f t="shared" ref="AN13:AN17" si="26">M13*AM13*$AN$2/1000</f>
        <v>73.662731999999991</v>
      </c>
      <c r="AO13" s="97">
        <v>5.952</v>
      </c>
      <c r="AP13" s="97">
        <f>M13*AO13*$AP$2/1000</f>
        <v>39.651926400000001</v>
      </c>
      <c r="AQ13" s="97">
        <f t="shared" si="11"/>
        <v>29.015999999999998</v>
      </c>
      <c r="AR13" s="97">
        <f t="shared" si="12"/>
        <v>197.95915440000002</v>
      </c>
      <c r="AS13" s="97">
        <v>11.28</v>
      </c>
      <c r="AT13" s="97">
        <f t="shared" si="18"/>
        <v>76.585560000000001</v>
      </c>
      <c r="AU13" s="97">
        <v>3.9119999999999999</v>
      </c>
      <c r="AV13" s="97">
        <f t="shared" si="19"/>
        <v>27.221065200000002</v>
      </c>
      <c r="AW13" s="97">
        <v>12.023999999999999</v>
      </c>
      <c r="AX13" s="97">
        <f>O13*AW13*$AX$2/1000</f>
        <v>85.330119599999989</v>
      </c>
      <c r="AY13" s="97">
        <f t="shared" si="13"/>
        <v>27.216000000000001</v>
      </c>
      <c r="AZ13" s="97">
        <f t="shared" si="14"/>
        <v>189.13674479999997</v>
      </c>
      <c r="BA13" s="97">
        <f t="shared" si="15"/>
        <v>56.231999999999999</v>
      </c>
      <c r="BB13" s="97">
        <f t="shared" si="16"/>
        <v>387.09589919999996</v>
      </c>
      <c r="BC13" s="1" t="s">
        <v>1780</v>
      </c>
    </row>
    <row r="14" spans="1:56">
      <c r="A14" s="498">
        <v>8</v>
      </c>
      <c r="B14" s="20"/>
      <c r="C14" s="20"/>
      <c r="D14" s="14"/>
      <c r="E14" s="21" t="s">
        <v>813</v>
      </c>
      <c r="F14" s="46" t="s">
        <v>803</v>
      </c>
      <c r="G14" s="46" t="s">
        <v>1105</v>
      </c>
      <c r="H14" s="268" t="s">
        <v>364</v>
      </c>
      <c r="I14" s="18">
        <v>5.03</v>
      </c>
      <c r="J14" s="158"/>
      <c r="K14" s="18">
        <v>5.03</v>
      </c>
      <c r="L14" s="158"/>
      <c r="M14" s="18">
        <v>5.03</v>
      </c>
      <c r="N14" s="158"/>
      <c r="O14" s="18">
        <v>5.03</v>
      </c>
      <c r="P14" s="158"/>
      <c r="Q14" s="97">
        <f>SUM(AI14+BA14)</f>
        <v>5.2560000000000002</v>
      </c>
      <c r="R14" s="342">
        <f t="shared" si="25"/>
        <v>35.900377560000003</v>
      </c>
      <c r="S14" s="97">
        <v>0.28799999999999998</v>
      </c>
      <c r="T14" s="97">
        <f t="shared" si="21"/>
        <v>1.9149427296000001</v>
      </c>
      <c r="U14" s="97">
        <v>0.45600000000000002</v>
      </c>
      <c r="V14" s="97">
        <f t="shared" si="22"/>
        <v>3.0515118720000003</v>
      </c>
      <c r="W14" s="97">
        <v>0.6</v>
      </c>
      <c r="X14" s="97">
        <f t="shared" si="2"/>
        <v>4.0157508000000002</v>
      </c>
      <c r="Y14" s="97">
        <f t="shared" si="3"/>
        <v>1.3439999999999999</v>
      </c>
      <c r="Z14" s="97">
        <f t="shared" si="4"/>
        <v>8.9822054016000017</v>
      </c>
      <c r="AA14" s="97">
        <v>0.69599999999999995</v>
      </c>
      <c r="AB14" s="97">
        <f t="shared" ref="AB14:AB23" si="27">K14*AA14*$AB$2/1000</f>
        <v>4.7756204255999988</v>
      </c>
      <c r="AC14" s="97">
        <v>0.52800000000000002</v>
      </c>
      <c r="AD14" s="96">
        <f t="shared" si="24"/>
        <v>3.6375181392000009</v>
      </c>
      <c r="AE14" s="97">
        <v>0.76800000000000002</v>
      </c>
      <c r="AF14" s="96">
        <f t="shared" si="5"/>
        <v>5.3264754431999997</v>
      </c>
      <c r="AG14" s="97">
        <f t="shared" si="6"/>
        <v>1.992</v>
      </c>
      <c r="AH14" s="97">
        <f t="shared" si="7"/>
        <v>13.739614008</v>
      </c>
      <c r="AI14" s="97">
        <f t="shared" si="8"/>
        <v>3.3359999999999999</v>
      </c>
      <c r="AJ14" s="97">
        <f t="shared" si="9"/>
        <v>22.721819409600002</v>
      </c>
      <c r="AK14" s="97">
        <v>1.032</v>
      </c>
      <c r="AL14" s="97">
        <f t="shared" si="17"/>
        <v>7.1795129568</v>
      </c>
      <c r="AM14" s="97">
        <v>9.6000000000000002E-2</v>
      </c>
      <c r="AN14" s="97">
        <f t="shared" si="26"/>
        <v>0.65724796799999996</v>
      </c>
      <c r="AO14" s="97">
        <v>0.52800000000000002</v>
      </c>
      <c r="AP14" s="97">
        <f t="shared" ref="AP14" si="28">M14*AO14*$AP$2/1000</f>
        <v>3.538614657600001</v>
      </c>
      <c r="AQ14" s="97">
        <f t="shared" si="11"/>
        <v>1.6560000000000001</v>
      </c>
      <c r="AR14" s="97">
        <f t="shared" si="12"/>
        <v>11.3753755824</v>
      </c>
      <c r="AS14" s="97">
        <v>0.26400000000000001</v>
      </c>
      <c r="AT14" s="97">
        <f t="shared" si="18"/>
        <v>1.8031825680000004</v>
      </c>
      <c r="AU14" s="97"/>
      <c r="AV14" s="97">
        <f t="shared" si="19"/>
        <v>0</v>
      </c>
      <c r="AW14" s="97"/>
      <c r="AX14" s="97">
        <f t="shared" si="20"/>
        <v>0</v>
      </c>
      <c r="AY14" s="97">
        <f t="shared" si="13"/>
        <v>0.26400000000000001</v>
      </c>
      <c r="AZ14" s="97">
        <f t="shared" si="14"/>
        <v>1.8031825680000004</v>
      </c>
      <c r="BA14" s="97">
        <f t="shared" si="15"/>
        <v>1.9200000000000002</v>
      </c>
      <c r="BB14" s="97">
        <f t="shared" si="16"/>
        <v>13.178558150400001</v>
      </c>
      <c r="BC14" s="1" t="s">
        <v>1780</v>
      </c>
    </row>
    <row r="15" spans="1:56">
      <c r="A15" s="498">
        <v>9</v>
      </c>
      <c r="B15" s="13"/>
      <c r="C15" s="20"/>
      <c r="D15" s="15"/>
      <c r="E15" s="21" t="s">
        <v>11</v>
      </c>
      <c r="F15" s="46" t="s">
        <v>12</v>
      </c>
      <c r="G15" s="46" t="s">
        <v>1105</v>
      </c>
      <c r="H15" s="268" t="s">
        <v>364</v>
      </c>
      <c r="I15" s="18">
        <v>10.06</v>
      </c>
      <c r="J15" s="158"/>
      <c r="K15" s="18">
        <v>10.06</v>
      </c>
      <c r="L15" s="158"/>
      <c r="M15" s="18">
        <v>10.06</v>
      </c>
      <c r="N15" s="158"/>
      <c r="O15" s="18">
        <v>10.06</v>
      </c>
      <c r="P15" s="158"/>
      <c r="Q15" s="97">
        <f>SUM(AI15+BA15)</f>
        <v>0</v>
      </c>
      <c r="R15" s="342">
        <f t="shared" si="25"/>
        <v>0</v>
      </c>
      <c r="S15" s="97"/>
      <c r="T15" s="97">
        <f t="shared" ref="T15:T17" si="29">I15*S15*$T$2/1000</f>
        <v>0</v>
      </c>
      <c r="U15" s="97"/>
      <c r="V15" s="97">
        <f t="shared" ref="V15:V17" si="30">I15*U15*$V$2/1000</f>
        <v>0</v>
      </c>
      <c r="W15" s="97"/>
      <c r="X15" s="97">
        <f t="shared" ref="X15:X17" si="31">I15*W15*$X$2/1000</f>
        <v>0</v>
      </c>
      <c r="Y15" s="97">
        <f t="shared" ref="Y15:Y17" si="32">SUM(S15+U15+W15)</f>
        <v>0</v>
      </c>
      <c r="Z15" s="97">
        <f t="shared" ref="Z15:Z17" si="33">SUM(T15,V15,X15)</f>
        <v>0</v>
      </c>
      <c r="AA15" s="97"/>
      <c r="AB15" s="97">
        <f t="shared" si="27"/>
        <v>0</v>
      </c>
      <c r="AC15" s="97"/>
      <c r="AD15" s="96">
        <f t="shared" ref="AD15" si="34">K15*AC15*$AD$2/1000</f>
        <v>0</v>
      </c>
      <c r="AE15" s="97"/>
      <c r="AF15" s="96">
        <f t="shared" ref="AF15" si="35">K15*AE15*$AF$2/1000</f>
        <v>0</v>
      </c>
      <c r="AG15" s="97">
        <f t="shared" ref="AG15:AG17" si="36">SUM(AA15+AC15+AE15)</f>
        <v>0</v>
      </c>
      <c r="AH15" s="97">
        <f t="shared" ref="AH15:AH17" si="37">SUM(AB15,AD15,AF15)</f>
        <v>0</v>
      </c>
      <c r="AI15" s="97">
        <f t="shared" ref="AI15:AI17" si="38">SUM(Y15+AG15)</f>
        <v>0</v>
      </c>
      <c r="AJ15" s="97">
        <f t="shared" ref="AJ15:AJ17" si="39">SUM(Z15,AH15)</f>
        <v>0</v>
      </c>
      <c r="AK15" s="97"/>
      <c r="AL15" s="97">
        <f t="shared" ref="AL15:AL17" si="40">M15*AK15*$AL$2/1000</f>
        <v>0</v>
      </c>
      <c r="AM15" s="97"/>
      <c r="AN15" s="97">
        <f t="shared" si="26"/>
        <v>0</v>
      </c>
      <c r="AO15" s="97"/>
      <c r="AP15" s="97">
        <f t="shared" ref="AP15:AP16" si="41">M15*AO15*$AP$2/1000</f>
        <v>0</v>
      </c>
      <c r="AQ15" s="97">
        <f t="shared" ref="AQ15:AQ17" si="42">SUM(AK15+AM15+AO15)</f>
        <v>0</v>
      </c>
      <c r="AR15" s="97">
        <f t="shared" ref="AR15:AR17" si="43">SUM(AL15,AN15,AP15)</f>
        <v>0</v>
      </c>
      <c r="AS15" s="97"/>
      <c r="AT15" s="97">
        <f t="shared" ref="AT15:AT17" si="44">O15*AS15*$AT$2/1000</f>
        <v>0</v>
      </c>
      <c r="AU15" s="97"/>
      <c r="AV15" s="97">
        <f>O15*AU15*$AV$2/1000</f>
        <v>0</v>
      </c>
      <c r="AW15" s="97"/>
      <c r="AX15" s="97">
        <f t="shared" ref="AX15:AX17" si="45">O15*AW15*$AX$2/1000</f>
        <v>0</v>
      </c>
      <c r="AY15" s="97">
        <f t="shared" ref="AY15:AY17" si="46">SUM(AS15+AU15+AW15)</f>
        <v>0</v>
      </c>
      <c r="AZ15" s="97">
        <f t="shared" ref="AZ15:AZ17" si="47">SUM(AT15,AV15,AX15)</f>
        <v>0</v>
      </c>
      <c r="BA15" s="97">
        <f t="shared" ref="BA15:BA17" si="48">SUM(AQ15+AY15)</f>
        <v>0</v>
      </c>
      <c r="BB15" s="97">
        <f t="shared" ref="BB15:BB17" si="49">SUM(AR15,AZ15)</f>
        <v>0</v>
      </c>
      <c r="BC15" s="1" t="s">
        <v>1780</v>
      </c>
    </row>
    <row r="16" spans="1:56">
      <c r="A16" s="498">
        <v>10</v>
      </c>
      <c r="B16" s="20"/>
      <c r="C16" s="20"/>
      <c r="D16" s="14"/>
      <c r="E16" s="21" t="s">
        <v>561</v>
      </c>
      <c r="F16" s="46" t="s">
        <v>562</v>
      </c>
      <c r="G16" s="46" t="s">
        <v>1105</v>
      </c>
      <c r="H16" s="268" t="s">
        <v>364</v>
      </c>
      <c r="I16" s="138">
        <v>12.19</v>
      </c>
      <c r="J16" s="158"/>
      <c r="K16" s="138">
        <v>12.19</v>
      </c>
      <c r="L16" s="158"/>
      <c r="M16" s="138">
        <v>12.19</v>
      </c>
      <c r="N16" s="158"/>
      <c r="O16" s="138">
        <v>12.19</v>
      </c>
      <c r="P16" s="158"/>
      <c r="Q16" s="97">
        <f t="shared" ref="Q16" si="50">SUM(AI16+BA16)</f>
        <v>0</v>
      </c>
      <c r="R16" s="342">
        <f t="shared" si="25"/>
        <v>0</v>
      </c>
      <c r="S16" s="97"/>
      <c r="T16" s="97">
        <f t="shared" si="29"/>
        <v>0</v>
      </c>
      <c r="U16" s="97"/>
      <c r="V16" s="97">
        <f t="shared" si="30"/>
        <v>0</v>
      </c>
      <c r="W16" s="97"/>
      <c r="X16" s="97">
        <f t="shared" si="31"/>
        <v>0</v>
      </c>
      <c r="Y16" s="97">
        <f t="shared" si="32"/>
        <v>0</v>
      </c>
      <c r="Z16" s="97">
        <f t="shared" si="33"/>
        <v>0</v>
      </c>
      <c r="AA16" s="97"/>
      <c r="AB16" s="97">
        <f t="shared" si="27"/>
        <v>0</v>
      </c>
      <c r="AC16" s="97"/>
      <c r="AD16" s="96">
        <f t="shared" ref="AD16:AD18" si="51">K16*AC16*$AD$2/1000</f>
        <v>0</v>
      </c>
      <c r="AE16" s="97"/>
      <c r="AF16" s="96">
        <f>K16*AE16*$AF$2/1000</f>
        <v>0</v>
      </c>
      <c r="AG16" s="97">
        <f t="shared" si="36"/>
        <v>0</v>
      </c>
      <c r="AH16" s="97">
        <f t="shared" si="37"/>
        <v>0</v>
      </c>
      <c r="AI16" s="97">
        <f t="shared" si="38"/>
        <v>0</v>
      </c>
      <c r="AJ16" s="97">
        <f t="shared" si="39"/>
        <v>0</v>
      </c>
      <c r="AK16" s="97"/>
      <c r="AL16" s="97">
        <f t="shared" si="40"/>
        <v>0</v>
      </c>
      <c r="AM16" s="97"/>
      <c r="AN16" s="97">
        <f t="shared" si="26"/>
        <v>0</v>
      </c>
      <c r="AO16" s="97"/>
      <c r="AP16" s="97">
        <f t="shared" si="41"/>
        <v>0</v>
      </c>
      <c r="AQ16" s="97">
        <f t="shared" si="42"/>
        <v>0</v>
      </c>
      <c r="AR16" s="97">
        <f t="shared" si="43"/>
        <v>0</v>
      </c>
      <c r="AS16" s="97"/>
      <c r="AT16" s="97">
        <f t="shared" si="44"/>
        <v>0</v>
      </c>
      <c r="AU16" s="97"/>
      <c r="AV16" s="97">
        <f t="shared" ref="AV16:AV17" si="52">O16*AU16*$AV$2/1000</f>
        <v>0</v>
      </c>
      <c r="AW16" s="97"/>
      <c r="AX16" s="97">
        <f t="shared" si="45"/>
        <v>0</v>
      </c>
      <c r="AY16" s="97">
        <f t="shared" si="46"/>
        <v>0</v>
      </c>
      <c r="AZ16" s="97">
        <f t="shared" si="47"/>
        <v>0</v>
      </c>
      <c r="BA16" s="97">
        <f t="shared" si="48"/>
        <v>0</v>
      </c>
      <c r="BB16" s="97">
        <f t="shared" si="49"/>
        <v>0</v>
      </c>
      <c r="BC16" s="1" t="s">
        <v>1780</v>
      </c>
    </row>
    <row r="17" spans="1:55">
      <c r="A17" s="498">
        <v>11</v>
      </c>
      <c r="B17" s="20"/>
      <c r="C17" s="20"/>
      <c r="D17" s="14"/>
      <c r="E17" s="21" t="s">
        <v>968</v>
      </c>
      <c r="F17" s="46" t="s">
        <v>967</v>
      </c>
      <c r="G17" s="46" t="s">
        <v>1102</v>
      </c>
      <c r="H17" s="268" t="s">
        <v>366</v>
      </c>
      <c r="I17" s="18">
        <v>7.33</v>
      </c>
      <c r="J17" s="158"/>
      <c r="K17" s="18">
        <v>7.33</v>
      </c>
      <c r="L17" s="158"/>
      <c r="M17" s="18">
        <v>7.32</v>
      </c>
      <c r="N17" s="158"/>
      <c r="O17" s="18">
        <v>7.32</v>
      </c>
      <c r="P17" s="158"/>
      <c r="Q17" s="97">
        <f>SUM(AI17+BA17)</f>
        <v>26.5</v>
      </c>
      <c r="R17" s="342">
        <f t="shared" si="25"/>
        <v>264.25194385500004</v>
      </c>
      <c r="S17" s="97">
        <v>2.17</v>
      </c>
      <c r="T17" s="97">
        <f t="shared" si="29"/>
        <v>21.026114529000001</v>
      </c>
      <c r="U17" s="97">
        <v>2.16</v>
      </c>
      <c r="V17" s="97">
        <f t="shared" si="30"/>
        <v>21.063957120000001</v>
      </c>
      <c r="W17" s="97">
        <v>1.44</v>
      </c>
      <c r="X17" s="97">
        <f t="shared" si="31"/>
        <v>14.044749119999999</v>
      </c>
      <c r="Y17" s="97">
        <f t="shared" si="32"/>
        <v>5.77</v>
      </c>
      <c r="Z17" s="97">
        <f t="shared" si="33"/>
        <v>56.134820769000001</v>
      </c>
      <c r="AA17" s="97">
        <v>2.4</v>
      </c>
      <c r="AB17" s="97">
        <f t="shared" si="27"/>
        <v>23.997599039999997</v>
      </c>
      <c r="AC17" s="97">
        <v>1.44</v>
      </c>
      <c r="AD17" s="96">
        <f t="shared" ref="AD17" si="53">K17*AC17*$AD$2/1000</f>
        <v>14.456718576</v>
      </c>
      <c r="AE17" s="97">
        <v>4.74</v>
      </c>
      <c r="AF17" s="96">
        <f t="shared" ref="AF17" si="54">K17*AE17*$AF$2/1000</f>
        <v>47.906345285999997</v>
      </c>
      <c r="AG17" s="97">
        <f t="shared" si="36"/>
        <v>8.58</v>
      </c>
      <c r="AH17" s="97">
        <f t="shared" si="37"/>
        <v>86.360662902000001</v>
      </c>
      <c r="AI17" s="97">
        <f t="shared" si="38"/>
        <v>14.35</v>
      </c>
      <c r="AJ17" s="97">
        <f t="shared" si="39"/>
        <v>142.49548367099999</v>
      </c>
      <c r="AK17" s="97">
        <v>3.48</v>
      </c>
      <c r="AL17" s="97">
        <f t="shared" si="40"/>
        <v>35.232026687999998</v>
      </c>
      <c r="AM17" s="97">
        <v>2.0099999999999998</v>
      </c>
      <c r="AN17" s="97">
        <f t="shared" si="26"/>
        <v>20.026136519999998</v>
      </c>
      <c r="AO17" s="97">
        <v>3.6</v>
      </c>
      <c r="AP17" s="97">
        <f>M17*AO17*$AP$2/1000</f>
        <v>35.111141280000005</v>
      </c>
      <c r="AQ17" s="97">
        <f t="shared" si="42"/>
        <v>9.09</v>
      </c>
      <c r="AR17" s="97">
        <f t="shared" si="43"/>
        <v>90.369304488000012</v>
      </c>
      <c r="AS17" s="97">
        <v>0.9</v>
      </c>
      <c r="AT17" s="97">
        <f t="shared" si="44"/>
        <v>8.9458452000000008</v>
      </c>
      <c r="AU17" s="97"/>
      <c r="AV17" s="97">
        <f t="shared" si="52"/>
        <v>0</v>
      </c>
      <c r="AW17" s="97">
        <v>2.16</v>
      </c>
      <c r="AX17" s="97">
        <f t="shared" si="45"/>
        <v>22.441310496000003</v>
      </c>
      <c r="AY17" s="97">
        <f t="shared" si="46"/>
        <v>3.06</v>
      </c>
      <c r="AZ17" s="97">
        <f t="shared" si="47"/>
        <v>31.387155696000004</v>
      </c>
      <c r="BA17" s="97">
        <f t="shared" si="48"/>
        <v>12.15</v>
      </c>
      <c r="BB17" s="97">
        <f t="shared" si="49"/>
        <v>121.75646018400002</v>
      </c>
      <c r="BC17" s="1" t="s">
        <v>1780</v>
      </c>
    </row>
    <row r="18" spans="1:55">
      <c r="A18" s="498">
        <v>12</v>
      </c>
      <c r="B18" s="20"/>
      <c r="C18" s="20"/>
      <c r="D18" s="14"/>
      <c r="E18" s="21" t="s">
        <v>1035</v>
      </c>
      <c r="F18" s="46" t="s">
        <v>1036</v>
      </c>
      <c r="G18" s="46" t="s">
        <v>1102</v>
      </c>
      <c r="H18" s="268" t="s">
        <v>366</v>
      </c>
      <c r="I18" s="18">
        <v>7.9</v>
      </c>
      <c r="J18" s="158"/>
      <c r="K18" s="18">
        <v>7.9</v>
      </c>
      <c r="L18" s="158"/>
      <c r="M18" s="18">
        <v>7.9</v>
      </c>
      <c r="N18" s="158"/>
      <c r="O18" s="18">
        <v>7.9</v>
      </c>
      <c r="P18" s="158"/>
      <c r="Q18" s="97">
        <f>SUM(AI18+BA18)</f>
        <v>4.6959999999999997</v>
      </c>
      <c r="R18" s="342">
        <f t="shared" ref="R18" si="55">SUM(AJ18+BB18)</f>
        <v>49.915883848999997</v>
      </c>
      <c r="S18" s="97">
        <v>0.10199999999999999</v>
      </c>
      <c r="T18" s="97">
        <f t="shared" ref="T18" si="56">I18*S18*$T$2/1000</f>
        <v>1.0651789620000001</v>
      </c>
      <c r="U18" s="97">
        <v>0.54</v>
      </c>
      <c r="V18" s="97">
        <f t="shared" ref="V18" si="57">I18*U18*$V$2/1000</f>
        <v>5.6754864000000014</v>
      </c>
      <c r="W18" s="97">
        <v>2.11</v>
      </c>
      <c r="X18" s="97">
        <f t="shared" ref="X18" si="58">I18*W18*$X$2/1000</f>
        <v>22.179771399999996</v>
      </c>
      <c r="Y18" s="97">
        <f t="shared" ref="Y18" si="59">SUM(S18+U18+W18)</f>
        <v>2.7519999999999998</v>
      </c>
      <c r="Z18" s="97">
        <f t="shared" ref="Z18" si="60">SUM(T18,V18,X18)</f>
        <v>28.920436761999998</v>
      </c>
      <c r="AA18" s="97"/>
      <c r="AB18" s="97">
        <f t="shared" ref="AB18" si="61">K18*AA18*$AB$2/1000</f>
        <v>0</v>
      </c>
      <c r="AC18" s="97">
        <v>0.33</v>
      </c>
      <c r="AD18" s="96">
        <f t="shared" si="51"/>
        <v>3.5706254100000008</v>
      </c>
      <c r="AE18" s="97">
        <v>0.18</v>
      </c>
      <c r="AF18" s="96">
        <f t="shared" ref="AF18" si="62">K18*AE18*$AF$2/1000</f>
        <v>1.9606962599999997</v>
      </c>
      <c r="AG18" s="97">
        <f t="shared" ref="AG18" si="63">SUM(AA18+AC18+AE18)</f>
        <v>0.51</v>
      </c>
      <c r="AH18" s="97">
        <f t="shared" ref="AH18" si="64">SUM(AB18,AD18,AF18)</f>
        <v>5.5313216700000005</v>
      </c>
      <c r="AI18" s="97">
        <f t="shared" ref="AI18" si="65">SUM(Y18+AG18)</f>
        <v>3.2619999999999996</v>
      </c>
      <c r="AJ18" s="97">
        <f t="shared" ref="AJ18" si="66">SUM(Z18,AH18)</f>
        <v>34.451758431999998</v>
      </c>
      <c r="AK18" s="97">
        <v>0.24</v>
      </c>
      <c r="AL18" s="97">
        <f t="shared" ref="AL18" si="67">M18*AK18*$AL$2/1000</f>
        <v>2.6223196799999995</v>
      </c>
      <c r="AM18" s="97">
        <v>0.3</v>
      </c>
      <c r="AN18" s="97">
        <f t="shared" ref="AN18" si="68">M18*AM18*$AN$2/1000</f>
        <v>3.2258069999999996</v>
      </c>
      <c r="AO18" s="97">
        <v>0.26</v>
      </c>
      <c r="AP18" s="97">
        <f>M18*AO18*$AP$2/1000</f>
        <v>2.7367290600000005</v>
      </c>
      <c r="AQ18" s="97">
        <f t="shared" ref="AQ18" si="69">SUM(AK18+AM18+AO18)</f>
        <v>0.8</v>
      </c>
      <c r="AR18" s="97">
        <f t="shared" ref="AR18" si="70">SUM(AL18,AN18,AP18)</f>
        <v>8.5848557400000001</v>
      </c>
      <c r="AS18" s="97">
        <v>0.41499999999999998</v>
      </c>
      <c r="AT18" s="97">
        <f t="shared" ref="AT18" si="71">O18*AS18*$AT$2/1000</f>
        <v>4.4518751500000011</v>
      </c>
      <c r="AU18" s="97">
        <v>0.129</v>
      </c>
      <c r="AV18" s="97">
        <f t="shared" ref="AV18" si="72">O18*AU18*$AV$2/1000</f>
        <v>1.4182508970000003</v>
      </c>
      <c r="AW18" s="97">
        <v>0.09</v>
      </c>
      <c r="AX18" s="97">
        <f t="shared" ref="AX18" si="73">O18*AW18*$AX$2/1000</f>
        <v>1.0091436299999998</v>
      </c>
      <c r="AY18" s="97">
        <f t="shared" ref="AY18" si="74">SUM(AS18+AU18+AW18)</f>
        <v>0.63400000000000001</v>
      </c>
      <c r="AZ18" s="97">
        <f t="shared" ref="AZ18" si="75">SUM(AT18,AV18,AX18)</f>
        <v>6.8792696770000008</v>
      </c>
      <c r="BA18" s="97">
        <f t="shared" ref="BA18" si="76">SUM(AQ18+AY18)</f>
        <v>1.4340000000000002</v>
      </c>
      <c r="BB18" s="97">
        <f t="shared" ref="BB18" si="77">SUM(AR18,AZ18)</f>
        <v>15.464125417000002</v>
      </c>
      <c r="BC18" s="1" t="s">
        <v>1780</v>
      </c>
    </row>
    <row r="19" spans="1:55">
      <c r="A19" s="498">
        <v>13</v>
      </c>
      <c r="B19" s="20"/>
      <c r="C19" s="20"/>
      <c r="D19" s="14"/>
      <c r="E19" s="21" t="s">
        <v>87</v>
      </c>
      <c r="F19" s="46" t="s">
        <v>88</v>
      </c>
      <c r="G19" s="46" t="s">
        <v>1105</v>
      </c>
      <c r="H19" s="268" t="s">
        <v>364</v>
      </c>
      <c r="I19" s="18">
        <v>4.1900000000000004</v>
      </c>
      <c r="J19" s="158"/>
      <c r="K19" s="18">
        <v>4.1900000000000004</v>
      </c>
      <c r="L19" s="158"/>
      <c r="M19" s="18">
        <v>4.1900000000000004</v>
      </c>
      <c r="N19" s="158"/>
      <c r="O19" s="18">
        <v>4.1900000000000004</v>
      </c>
      <c r="P19" s="158"/>
      <c r="Q19" s="97">
        <f t="shared" si="0"/>
        <v>0</v>
      </c>
      <c r="R19" s="342">
        <f t="shared" si="1"/>
        <v>0</v>
      </c>
      <c r="S19" s="97"/>
      <c r="T19" s="97">
        <f t="shared" si="21"/>
        <v>0</v>
      </c>
      <c r="U19" s="97"/>
      <c r="V19" s="97">
        <f t="shared" si="22"/>
        <v>0</v>
      </c>
      <c r="W19" s="97"/>
      <c r="X19" s="97">
        <f t="shared" si="2"/>
        <v>0</v>
      </c>
      <c r="Y19" s="97">
        <f t="shared" si="3"/>
        <v>0</v>
      </c>
      <c r="Z19" s="97">
        <f t="shared" si="4"/>
        <v>0</v>
      </c>
      <c r="AA19" s="97"/>
      <c r="AB19" s="97">
        <f t="shared" si="27"/>
        <v>0</v>
      </c>
      <c r="AC19" s="97"/>
      <c r="AD19" s="96">
        <f t="shared" si="24"/>
        <v>0</v>
      </c>
      <c r="AE19" s="97"/>
      <c r="AF19" s="96">
        <f t="shared" si="5"/>
        <v>0</v>
      </c>
      <c r="AG19" s="97">
        <f t="shared" si="6"/>
        <v>0</v>
      </c>
      <c r="AH19" s="97">
        <f t="shared" si="7"/>
        <v>0</v>
      </c>
      <c r="AI19" s="97">
        <f t="shared" si="8"/>
        <v>0</v>
      </c>
      <c r="AJ19" s="97">
        <f t="shared" si="9"/>
        <v>0</v>
      </c>
      <c r="AK19" s="97"/>
      <c r="AL19" s="97">
        <f t="shared" ref="AL19:AL23" si="78">M19*AK19*$AL$2/1000</f>
        <v>0</v>
      </c>
      <c r="AM19" s="97"/>
      <c r="AN19" s="97">
        <f t="shared" si="10"/>
        <v>0</v>
      </c>
      <c r="AO19" s="97"/>
      <c r="AP19" s="97">
        <f t="shared" ref="AP19:AP23" si="79">M19*AO19*$AP$2/1000</f>
        <v>0</v>
      </c>
      <c r="AQ19" s="97">
        <f t="shared" si="11"/>
        <v>0</v>
      </c>
      <c r="AR19" s="97">
        <f t="shared" si="12"/>
        <v>0</v>
      </c>
      <c r="AS19" s="97"/>
      <c r="AT19" s="97">
        <f t="shared" si="18"/>
        <v>0</v>
      </c>
      <c r="AU19" s="97"/>
      <c r="AV19" s="97">
        <f t="shared" si="19"/>
        <v>0</v>
      </c>
      <c r="AW19" s="97"/>
      <c r="AX19" s="97">
        <f t="shared" si="20"/>
        <v>0</v>
      </c>
      <c r="AY19" s="97">
        <f t="shared" si="13"/>
        <v>0</v>
      </c>
      <c r="AZ19" s="97">
        <f t="shared" si="14"/>
        <v>0</v>
      </c>
      <c r="BA19" s="97">
        <f t="shared" si="15"/>
        <v>0</v>
      </c>
      <c r="BB19" s="97">
        <f t="shared" si="16"/>
        <v>0</v>
      </c>
      <c r="BC19" s="1" t="s">
        <v>1780</v>
      </c>
    </row>
    <row r="20" spans="1:55">
      <c r="A20" s="498">
        <v>14</v>
      </c>
      <c r="B20" s="23"/>
      <c r="C20" s="23"/>
      <c r="D20" s="13"/>
      <c r="E20" s="21" t="s">
        <v>89</v>
      </c>
      <c r="F20" s="46" t="s">
        <v>338</v>
      </c>
      <c r="G20" s="46" t="s">
        <v>1105</v>
      </c>
      <c r="H20" s="268" t="s">
        <v>366</v>
      </c>
      <c r="I20" s="18">
        <v>8.64</v>
      </c>
      <c r="J20" s="158"/>
      <c r="K20" s="18">
        <v>8.64</v>
      </c>
      <c r="L20" s="158"/>
      <c r="M20" s="18">
        <v>8.64</v>
      </c>
      <c r="N20" s="158"/>
      <c r="O20" s="18">
        <v>8.64</v>
      </c>
      <c r="P20" s="158"/>
      <c r="Q20" s="97">
        <f t="shared" si="0"/>
        <v>0</v>
      </c>
      <c r="R20" s="342">
        <f t="shared" si="1"/>
        <v>0</v>
      </c>
      <c r="S20" s="97"/>
      <c r="T20" s="97">
        <f t="shared" si="21"/>
        <v>0</v>
      </c>
      <c r="U20" s="97"/>
      <c r="V20" s="97">
        <f t="shared" si="22"/>
        <v>0</v>
      </c>
      <c r="W20" s="97"/>
      <c r="X20" s="97">
        <f t="shared" si="2"/>
        <v>0</v>
      </c>
      <c r="Y20" s="97">
        <f t="shared" si="3"/>
        <v>0</v>
      </c>
      <c r="Z20" s="97">
        <f t="shared" si="4"/>
        <v>0</v>
      </c>
      <c r="AA20" s="97"/>
      <c r="AB20" s="97">
        <f t="shared" si="27"/>
        <v>0</v>
      </c>
      <c r="AC20" s="97"/>
      <c r="AD20" s="96">
        <f t="shared" si="24"/>
        <v>0</v>
      </c>
      <c r="AE20" s="97"/>
      <c r="AF20" s="96">
        <f t="shared" si="5"/>
        <v>0</v>
      </c>
      <c r="AG20" s="97">
        <f t="shared" si="6"/>
        <v>0</v>
      </c>
      <c r="AH20" s="97">
        <f t="shared" si="7"/>
        <v>0</v>
      </c>
      <c r="AI20" s="97">
        <f t="shared" si="8"/>
        <v>0</v>
      </c>
      <c r="AJ20" s="97">
        <f t="shared" si="9"/>
        <v>0</v>
      </c>
      <c r="AK20" s="97"/>
      <c r="AL20" s="97">
        <f t="shared" si="78"/>
        <v>0</v>
      </c>
      <c r="AM20" s="97"/>
      <c r="AN20" s="97">
        <f t="shared" si="10"/>
        <v>0</v>
      </c>
      <c r="AO20" s="97"/>
      <c r="AP20" s="97">
        <f t="shared" si="79"/>
        <v>0</v>
      </c>
      <c r="AQ20" s="97">
        <f t="shared" si="11"/>
        <v>0</v>
      </c>
      <c r="AR20" s="97">
        <f t="shared" si="12"/>
        <v>0</v>
      </c>
      <c r="AS20" s="97"/>
      <c r="AT20" s="97">
        <f t="shared" si="18"/>
        <v>0</v>
      </c>
      <c r="AU20" s="97"/>
      <c r="AV20" s="97">
        <f t="shared" si="19"/>
        <v>0</v>
      </c>
      <c r="AW20" s="97"/>
      <c r="AX20" s="97">
        <f t="shared" si="20"/>
        <v>0</v>
      </c>
      <c r="AY20" s="97">
        <f t="shared" si="13"/>
        <v>0</v>
      </c>
      <c r="AZ20" s="97">
        <f t="shared" si="14"/>
        <v>0</v>
      </c>
      <c r="BA20" s="97">
        <f t="shared" si="15"/>
        <v>0</v>
      </c>
      <c r="BB20" s="97">
        <f t="shared" si="16"/>
        <v>0</v>
      </c>
      <c r="BC20" s="1" t="s">
        <v>1780</v>
      </c>
    </row>
    <row r="21" spans="1:55">
      <c r="A21" s="498">
        <v>15</v>
      </c>
      <c r="B21" s="23"/>
      <c r="C21" s="23"/>
      <c r="D21" s="13"/>
      <c r="E21" s="21" t="s">
        <v>801</v>
      </c>
      <c r="F21" s="46" t="s">
        <v>339</v>
      </c>
      <c r="G21" s="46" t="s">
        <v>1105</v>
      </c>
      <c r="H21" s="268" t="s">
        <v>366</v>
      </c>
      <c r="I21" s="18">
        <v>7.7</v>
      </c>
      <c r="J21" s="158"/>
      <c r="K21" s="18">
        <v>7.7</v>
      </c>
      <c r="L21" s="158"/>
      <c r="M21" s="18">
        <v>7.7</v>
      </c>
      <c r="N21" s="158"/>
      <c r="O21" s="18">
        <v>7.7</v>
      </c>
      <c r="P21" s="158"/>
      <c r="Q21" s="97">
        <f t="shared" si="0"/>
        <v>0</v>
      </c>
      <c r="R21" s="342">
        <f t="shared" si="1"/>
        <v>0</v>
      </c>
      <c r="S21" s="97"/>
      <c r="T21" s="97">
        <f t="shared" si="21"/>
        <v>0</v>
      </c>
      <c r="U21" s="97"/>
      <c r="V21" s="97">
        <f t="shared" si="22"/>
        <v>0</v>
      </c>
      <c r="W21" s="97"/>
      <c r="X21" s="97">
        <f t="shared" si="2"/>
        <v>0</v>
      </c>
      <c r="Y21" s="97">
        <f t="shared" si="3"/>
        <v>0</v>
      </c>
      <c r="Z21" s="97">
        <f t="shared" si="4"/>
        <v>0</v>
      </c>
      <c r="AA21" s="97"/>
      <c r="AB21" s="97">
        <f t="shared" si="27"/>
        <v>0</v>
      </c>
      <c r="AC21" s="97"/>
      <c r="AD21" s="96">
        <f t="shared" si="24"/>
        <v>0</v>
      </c>
      <c r="AE21" s="97"/>
      <c r="AF21" s="96">
        <f t="shared" si="5"/>
        <v>0</v>
      </c>
      <c r="AG21" s="97">
        <f t="shared" si="6"/>
        <v>0</v>
      </c>
      <c r="AH21" s="97">
        <f t="shared" si="7"/>
        <v>0</v>
      </c>
      <c r="AI21" s="97">
        <f t="shared" si="8"/>
        <v>0</v>
      </c>
      <c r="AJ21" s="97">
        <f t="shared" si="9"/>
        <v>0</v>
      </c>
      <c r="AK21" s="97"/>
      <c r="AL21" s="97">
        <f t="shared" si="78"/>
        <v>0</v>
      </c>
      <c r="AM21" s="97"/>
      <c r="AN21" s="97">
        <f t="shared" si="10"/>
        <v>0</v>
      </c>
      <c r="AO21" s="97"/>
      <c r="AP21" s="97">
        <f t="shared" si="79"/>
        <v>0</v>
      </c>
      <c r="AQ21" s="97">
        <f t="shared" si="11"/>
        <v>0</v>
      </c>
      <c r="AR21" s="97">
        <f t="shared" si="12"/>
        <v>0</v>
      </c>
      <c r="AS21" s="97"/>
      <c r="AT21" s="97">
        <f t="shared" si="18"/>
        <v>0</v>
      </c>
      <c r="AU21" s="97"/>
      <c r="AV21" s="97">
        <f t="shared" si="19"/>
        <v>0</v>
      </c>
      <c r="AW21" s="97"/>
      <c r="AX21" s="97">
        <f t="shared" si="20"/>
        <v>0</v>
      </c>
      <c r="AY21" s="97">
        <f t="shared" si="13"/>
        <v>0</v>
      </c>
      <c r="AZ21" s="97">
        <f t="shared" si="14"/>
        <v>0</v>
      </c>
      <c r="BA21" s="97">
        <f t="shared" si="15"/>
        <v>0</v>
      </c>
      <c r="BB21" s="97">
        <f t="shared" si="16"/>
        <v>0</v>
      </c>
      <c r="BC21" s="1" t="s">
        <v>1780</v>
      </c>
    </row>
    <row r="22" spans="1:55">
      <c r="A22" s="498">
        <v>16</v>
      </c>
      <c r="B22" s="23"/>
      <c r="C22" s="23"/>
      <c r="D22" s="13"/>
      <c r="E22" s="21" t="s">
        <v>90</v>
      </c>
      <c r="F22" s="46" t="s">
        <v>340</v>
      </c>
      <c r="G22" s="46" t="s">
        <v>1105</v>
      </c>
      <c r="H22" s="268" t="s">
        <v>367</v>
      </c>
      <c r="I22" s="18">
        <v>8.5</v>
      </c>
      <c r="J22" s="158"/>
      <c r="K22" s="18">
        <v>8.5</v>
      </c>
      <c r="L22" s="158"/>
      <c r="M22" s="18">
        <v>8.5</v>
      </c>
      <c r="N22" s="158"/>
      <c r="O22" s="18">
        <v>8.5</v>
      </c>
      <c r="P22" s="158"/>
      <c r="Q22" s="97">
        <f t="shared" si="0"/>
        <v>0</v>
      </c>
      <c r="R22" s="341">
        <f t="shared" si="1"/>
        <v>0</v>
      </c>
      <c r="S22" s="97"/>
      <c r="T22" s="97">
        <f t="shared" si="21"/>
        <v>0</v>
      </c>
      <c r="U22" s="97"/>
      <c r="V22" s="97">
        <f t="shared" si="22"/>
        <v>0</v>
      </c>
      <c r="W22" s="97"/>
      <c r="X22" s="97">
        <f t="shared" si="2"/>
        <v>0</v>
      </c>
      <c r="Y22" s="97">
        <f t="shared" si="3"/>
        <v>0</v>
      </c>
      <c r="Z22" s="97">
        <f t="shared" si="4"/>
        <v>0</v>
      </c>
      <c r="AA22" s="97"/>
      <c r="AB22" s="97">
        <f t="shared" si="27"/>
        <v>0</v>
      </c>
      <c r="AC22" s="97"/>
      <c r="AD22" s="96">
        <f>K22*AC22*$AD$2/1000</f>
        <v>0</v>
      </c>
      <c r="AE22" s="97"/>
      <c r="AF22" s="96">
        <f t="shared" si="5"/>
        <v>0</v>
      </c>
      <c r="AG22" s="97">
        <f t="shared" si="6"/>
        <v>0</v>
      </c>
      <c r="AH22" s="97">
        <f t="shared" si="7"/>
        <v>0</v>
      </c>
      <c r="AI22" s="97">
        <f t="shared" si="8"/>
        <v>0</v>
      </c>
      <c r="AJ22" s="97">
        <f t="shared" si="9"/>
        <v>0</v>
      </c>
      <c r="AK22" s="97"/>
      <c r="AL22" s="97">
        <f t="shared" si="78"/>
        <v>0</v>
      </c>
      <c r="AM22" s="97"/>
      <c r="AN22" s="97">
        <f t="shared" si="10"/>
        <v>0</v>
      </c>
      <c r="AO22" s="97"/>
      <c r="AP22" s="97">
        <f t="shared" si="79"/>
        <v>0</v>
      </c>
      <c r="AQ22" s="97">
        <f t="shared" si="11"/>
        <v>0</v>
      </c>
      <c r="AR22" s="97">
        <f t="shared" si="12"/>
        <v>0</v>
      </c>
      <c r="AS22" s="97"/>
      <c r="AT22" s="97">
        <f t="shared" si="18"/>
        <v>0</v>
      </c>
      <c r="AU22" s="97"/>
      <c r="AV22" s="97">
        <f t="shared" si="19"/>
        <v>0</v>
      </c>
      <c r="AW22" s="97"/>
      <c r="AX22" s="97">
        <f t="shared" si="20"/>
        <v>0</v>
      </c>
      <c r="AY22" s="97">
        <f t="shared" si="13"/>
        <v>0</v>
      </c>
      <c r="AZ22" s="97">
        <f t="shared" si="14"/>
        <v>0</v>
      </c>
      <c r="BA22" s="97">
        <f t="shared" si="15"/>
        <v>0</v>
      </c>
      <c r="BB22" s="97">
        <f t="shared" si="16"/>
        <v>0</v>
      </c>
      <c r="BC22" s="1" t="s">
        <v>1780</v>
      </c>
    </row>
    <row r="23" spans="1:55">
      <c r="A23" s="498">
        <v>17</v>
      </c>
      <c r="B23" s="13"/>
      <c r="C23" s="13"/>
      <c r="D23" s="15"/>
      <c r="E23" s="51" t="s">
        <v>414</v>
      </c>
      <c r="F23" s="65" t="s">
        <v>413</v>
      </c>
      <c r="G23" s="65" t="s">
        <v>1105</v>
      </c>
      <c r="H23" s="275" t="s">
        <v>412</v>
      </c>
      <c r="I23" s="38">
        <v>7.79</v>
      </c>
      <c r="J23" s="159"/>
      <c r="K23" s="38">
        <v>7.79</v>
      </c>
      <c r="L23" s="159"/>
      <c r="M23" s="38">
        <v>7.79</v>
      </c>
      <c r="N23" s="159"/>
      <c r="O23" s="38">
        <v>7.79</v>
      </c>
      <c r="P23" s="159"/>
      <c r="Q23" s="95">
        <f t="shared" si="0"/>
        <v>0</v>
      </c>
      <c r="R23" s="343">
        <f t="shared" si="1"/>
        <v>0</v>
      </c>
      <c r="S23" s="95"/>
      <c r="T23" s="95">
        <f t="shared" si="21"/>
        <v>0</v>
      </c>
      <c r="U23" s="95"/>
      <c r="V23" s="95">
        <f t="shared" si="22"/>
        <v>0</v>
      </c>
      <c r="W23" s="95"/>
      <c r="X23" s="95">
        <f t="shared" si="2"/>
        <v>0</v>
      </c>
      <c r="Y23" s="95">
        <f t="shared" si="3"/>
        <v>0</v>
      </c>
      <c r="Z23" s="95">
        <f t="shared" si="4"/>
        <v>0</v>
      </c>
      <c r="AA23" s="95"/>
      <c r="AB23" s="95">
        <f t="shared" si="27"/>
        <v>0</v>
      </c>
      <c r="AC23" s="95"/>
      <c r="AD23" s="95">
        <f t="shared" ref="AD23" si="80">K23*AC23*$AD$2/1000</f>
        <v>0</v>
      </c>
      <c r="AE23" s="95"/>
      <c r="AF23" s="120">
        <f t="shared" si="5"/>
        <v>0</v>
      </c>
      <c r="AG23" s="95">
        <f t="shared" si="6"/>
        <v>0</v>
      </c>
      <c r="AH23" s="95">
        <f t="shared" si="7"/>
        <v>0</v>
      </c>
      <c r="AI23" s="95">
        <f t="shared" si="8"/>
        <v>0</v>
      </c>
      <c r="AJ23" s="95">
        <f t="shared" si="9"/>
        <v>0</v>
      </c>
      <c r="AK23" s="95"/>
      <c r="AL23" s="95">
        <f t="shared" si="78"/>
        <v>0</v>
      </c>
      <c r="AM23" s="95"/>
      <c r="AN23" s="95">
        <f t="shared" si="10"/>
        <v>0</v>
      </c>
      <c r="AO23" s="95"/>
      <c r="AP23" s="95">
        <f t="shared" si="79"/>
        <v>0</v>
      </c>
      <c r="AQ23" s="95">
        <f t="shared" si="11"/>
        <v>0</v>
      </c>
      <c r="AR23" s="95">
        <f t="shared" si="12"/>
        <v>0</v>
      </c>
      <c r="AS23" s="95"/>
      <c r="AT23" s="95">
        <f t="shared" si="18"/>
        <v>0</v>
      </c>
      <c r="AU23" s="95"/>
      <c r="AV23" s="95">
        <f t="shared" si="19"/>
        <v>0</v>
      </c>
      <c r="AW23" s="95"/>
      <c r="AX23" s="95">
        <f t="shared" si="20"/>
        <v>0</v>
      </c>
      <c r="AY23" s="95">
        <f t="shared" si="13"/>
        <v>0</v>
      </c>
      <c r="AZ23" s="95">
        <f t="shared" si="14"/>
        <v>0</v>
      </c>
      <c r="BA23" s="95">
        <f t="shared" si="15"/>
        <v>0</v>
      </c>
      <c r="BB23" s="95">
        <f t="shared" si="16"/>
        <v>0</v>
      </c>
      <c r="BC23" s="1" t="s">
        <v>1780</v>
      </c>
    </row>
    <row r="24" spans="1:55">
      <c r="A24" s="498">
        <v>18</v>
      </c>
      <c r="B24" s="13"/>
      <c r="C24" s="13"/>
      <c r="D24" s="71"/>
      <c r="E24" s="328" t="s">
        <v>337</v>
      </c>
      <c r="F24" s="309"/>
      <c r="G24" s="39"/>
      <c r="H24" s="320"/>
      <c r="I24" s="48"/>
      <c r="J24" s="318"/>
      <c r="K24" s="48"/>
      <c r="L24" s="319"/>
      <c r="M24" s="48"/>
      <c r="N24" s="319"/>
      <c r="O24" s="141"/>
      <c r="P24" s="318"/>
      <c r="Q24" s="321">
        <f t="shared" ref="Q24:BB24" si="81">SUM(Q7:Q23)</f>
        <v>151.988</v>
      </c>
      <c r="R24" s="321">
        <f t="shared" si="81"/>
        <v>1139.4505302800001</v>
      </c>
      <c r="S24" s="321">
        <f t="shared" si="81"/>
        <v>5.68</v>
      </c>
      <c r="T24" s="321">
        <f t="shared" si="81"/>
        <v>44.668963188599996</v>
      </c>
      <c r="U24" s="321">
        <f t="shared" si="81"/>
        <v>12.059999999999999</v>
      </c>
      <c r="V24" s="321">
        <f t="shared" si="81"/>
        <v>89.138822207999993</v>
      </c>
      <c r="W24" s="321">
        <f t="shared" si="81"/>
        <v>13.821999999999999</v>
      </c>
      <c r="X24" s="321">
        <f t="shared" si="81"/>
        <v>104.71678295199999</v>
      </c>
      <c r="Y24" s="321">
        <f t="shared" si="81"/>
        <v>31.562000000000001</v>
      </c>
      <c r="Z24" s="321">
        <f t="shared" si="81"/>
        <v>238.52456834860004</v>
      </c>
      <c r="AA24" s="321">
        <f t="shared" si="81"/>
        <v>15.432</v>
      </c>
      <c r="AB24" s="321">
        <f t="shared" si="81"/>
        <v>112.91214106559998</v>
      </c>
      <c r="AC24" s="321">
        <f t="shared" si="81"/>
        <v>14.657999999999999</v>
      </c>
      <c r="AD24" s="321">
        <f t="shared" si="81"/>
        <v>106.30799612520001</v>
      </c>
      <c r="AE24" s="321">
        <f>SUM(AE7:AE23)</f>
        <v>18.600000000000001</v>
      </c>
      <c r="AF24" s="321">
        <f>SUM(AF7:AF23)</f>
        <v>144.21078178919998</v>
      </c>
      <c r="AG24" s="321">
        <f t="shared" si="81"/>
        <v>48.689999999999991</v>
      </c>
      <c r="AH24" s="321">
        <f t="shared" si="81"/>
        <v>363.43091898</v>
      </c>
      <c r="AI24" s="321">
        <f t="shared" si="81"/>
        <v>80.251999999999995</v>
      </c>
      <c r="AJ24" s="321">
        <f t="shared" si="81"/>
        <v>601.95548732860004</v>
      </c>
      <c r="AK24" s="321">
        <f t="shared" si="81"/>
        <v>16.991999999999997</v>
      </c>
      <c r="AL24" s="321">
        <f t="shared" si="81"/>
        <v>129.67835532480001</v>
      </c>
      <c r="AM24" s="321">
        <f t="shared" si="81"/>
        <v>13.23</v>
      </c>
      <c r="AN24" s="321">
        <f t="shared" si="81"/>
        <v>97.571923487999982</v>
      </c>
      <c r="AO24" s="321">
        <f t="shared" si="81"/>
        <v>10.34</v>
      </c>
      <c r="AP24" s="321">
        <f t="shared" si="81"/>
        <v>81.038411397600001</v>
      </c>
      <c r="AQ24" s="321">
        <f t="shared" si="81"/>
        <v>40.561999999999998</v>
      </c>
      <c r="AR24" s="321">
        <f t="shared" si="81"/>
        <v>308.28869021040003</v>
      </c>
      <c r="AS24" s="321">
        <f t="shared" si="81"/>
        <v>12.858999999999998</v>
      </c>
      <c r="AT24" s="321">
        <f t="shared" si="81"/>
        <v>91.786462918000012</v>
      </c>
      <c r="AU24" s="321">
        <f t="shared" si="81"/>
        <v>4.0410000000000004</v>
      </c>
      <c r="AV24" s="321">
        <f t="shared" si="81"/>
        <v>28.639316097000002</v>
      </c>
      <c r="AW24" s="321">
        <f t="shared" si="81"/>
        <v>14.273999999999999</v>
      </c>
      <c r="AX24" s="321">
        <f t="shared" si="81"/>
        <v>108.78057372599999</v>
      </c>
      <c r="AY24" s="321">
        <f t="shared" si="81"/>
        <v>31.173999999999999</v>
      </c>
      <c r="AZ24" s="321">
        <f t="shared" si="81"/>
        <v>229.20635274099999</v>
      </c>
      <c r="BA24" s="321">
        <f t="shared" si="81"/>
        <v>71.736000000000004</v>
      </c>
      <c r="BB24" s="321">
        <f t="shared" si="81"/>
        <v>537.49504295140002</v>
      </c>
      <c r="BC24" s="1" t="s">
        <v>1781</v>
      </c>
    </row>
    <row r="25" spans="1:55" ht="12.75" customHeight="1">
      <c r="A25" s="498">
        <v>19</v>
      </c>
      <c r="B25" s="14"/>
      <c r="C25" s="41"/>
      <c r="D25" s="13" t="s">
        <v>592</v>
      </c>
      <c r="E25" s="49" t="s">
        <v>133</v>
      </c>
      <c r="F25" s="316" t="s">
        <v>134</v>
      </c>
      <c r="G25" s="314" t="s">
        <v>1105</v>
      </c>
      <c r="H25" s="279" t="s">
        <v>364</v>
      </c>
      <c r="I25" s="44">
        <v>10.199999999999999</v>
      </c>
      <c r="J25" s="162"/>
      <c r="K25" s="44">
        <v>10.199999999999999</v>
      </c>
      <c r="L25" s="162"/>
      <c r="M25" s="44">
        <v>10.199999999999999</v>
      </c>
      <c r="N25" s="162"/>
      <c r="O25" s="44">
        <v>10.199999999999999</v>
      </c>
      <c r="P25" s="162"/>
      <c r="Q25" s="125">
        <f t="shared" ref="Q25:R26" si="82">SUM(AI25+BA25)</f>
        <v>0</v>
      </c>
      <c r="R25" s="339">
        <f t="shared" si="82"/>
        <v>0</v>
      </c>
      <c r="S25" s="125"/>
      <c r="T25" s="125">
        <f>I25*S25*$T$2/1000</f>
        <v>0</v>
      </c>
      <c r="U25" s="125"/>
      <c r="V25" s="125">
        <f>I25*U25*$V$2/1000</f>
        <v>0</v>
      </c>
      <c r="W25" s="125"/>
      <c r="X25" s="125">
        <f>I25*W25*$X$2/1000</f>
        <v>0</v>
      </c>
      <c r="Y25" s="125">
        <f t="shared" ref="Y25:Z26" si="83">SUM(S25+U25+W25)</f>
        <v>0</v>
      </c>
      <c r="Z25" s="125">
        <f t="shared" si="83"/>
        <v>0</v>
      </c>
      <c r="AA25" s="125"/>
      <c r="AB25" s="125">
        <f>K25*AA25*$AB$2/1000</f>
        <v>0</v>
      </c>
      <c r="AC25" s="125"/>
      <c r="AD25" s="125">
        <f>K25*AC25*$AD$2/1000</f>
        <v>0</v>
      </c>
      <c r="AE25" s="125"/>
      <c r="AF25" s="125">
        <f>K25*AE25*$AF$2/1000</f>
        <v>0</v>
      </c>
      <c r="AG25" s="125">
        <f t="shared" ref="AG25:AH26" si="84">SUM(AA25+AC25+AE25)</f>
        <v>0</v>
      </c>
      <c r="AH25" s="125">
        <f t="shared" si="84"/>
        <v>0</v>
      </c>
      <c r="AI25" s="125">
        <f>SUM(Y25+AG25)</f>
        <v>0</v>
      </c>
      <c r="AJ25" s="125">
        <f>SUM(Z25,AH25)</f>
        <v>0</v>
      </c>
      <c r="AK25" s="125"/>
      <c r="AL25" s="125">
        <f>M25*AK25*$AL$2/1000</f>
        <v>0</v>
      </c>
      <c r="AM25" s="125"/>
      <c r="AN25" s="125">
        <f>M25*AM25*$AN$2/1000</f>
        <v>0</v>
      </c>
      <c r="AO25" s="125"/>
      <c r="AP25" s="125">
        <f>M25*AO25*$AP$2/1000</f>
        <v>0</v>
      </c>
      <c r="AQ25" s="125">
        <f t="shared" ref="AQ25:AR26" si="85">SUM(AK25+AM25+AO25)</f>
        <v>0</v>
      </c>
      <c r="AR25" s="125">
        <f t="shared" si="85"/>
        <v>0</v>
      </c>
      <c r="AS25" s="125"/>
      <c r="AT25" s="125">
        <f>O25*AS25*$AT$2/1000</f>
        <v>0</v>
      </c>
      <c r="AU25" s="125"/>
      <c r="AV25" s="125">
        <f>O25*AU25*$AV$2/1000</f>
        <v>0</v>
      </c>
      <c r="AW25" s="125"/>
      <c r="AX25" s="125">
        <f>O25*AW25*$AX$2/1000</f>
        <v>0</v>
      </c>
      <c r="AY25" s="125">
        <f t="shared" ref="AY25:AZ26" si="86">SUM(AS25+AU25+AW25)</f>
        <v>0</v>
      </c>
      <c r="AZ25" s="125">
        <f t="shared" si="86"/>
        <v>0</v>
      </c>
      <c r="BA25" s="125">
        <f>SUM(AQ25+AY25)</f>
        <v>0</v>
      </c>
      <c r="BB25" s="125">
        <f>SUM(AR25,AZ25)</f>
        <v>0</v>
      </c>
      <c r="BC25" s="1" t="s">
        <v>1780</v>
      </c>
    </row>
    <row r="26" spans="1:55">
      <c r="A26" s="498">
        <v>20</v>
      </c>
      <c r="B26" s="14"/>
      <c r="C26" s="40"/>
      <c r="D26" s="41"/>
      <c r="E26" s="16" t="s">
        <v>1590</v>
      </c>
      <c r="F26" s="45" t="s">
        <v>1591</v>
      </c>
      <c r="G26" s="46" t="s">
        <v>1105</v>
      </c>
      <c r="H26" s="268" t="s">
        <v>365</v>
      </c>
      <c r="I26" s="18">
        <v>12.9</v>
      </c>
      <c r="J26" s="158"/>
      <c r="K26" s="18">
        <v>12.39</v>
      </c>
      <c r="L26" s="158"/>
      <c r="M26" s="18">
        <v>11.98</v>
      </c>
      <c r="N26" s="158"/>
      <c r="O26" s="18">
        <v>11.98</v>
      </c>
      <c r="P26" s="158"/>
      <c r="Q26" s="96">
        <f t="shared" si="82"/>
        <v>101.682</v>
      </c>
      <c r="R26" s="340">
        <f t="shared" si="82"/>
        <v>1709.4460576716001</v>
      </c>
      <c r="S26" s="96">
        <v>5.1840000000000002</v>
      </c>
      <c r="T26" s="96">
        <f>I26*S26*$T$2/1000</f>
        <v>88.399543104000031</v>
      </c>
      <c r="U26" s="96">
        <v>13.032</v>
      </c>
      <c r="V26" s="96">
        <f>I26*U26*$V$2/1000</f>
        <v>223.65726912000002</v>
      </c>
      <c r="W26" s="96">
        <v>8.64</v>
      </c>
      <c r="X26" s="96">
        <f>I26*W26*$X$2/1000</f>
        <v>148.30335360000001</v>
      </c>
      <c r="Y26" s="96">
        <f t="shared" si="83"/>
        <v>26.856000000000002</v>
      </c>
      <c r="Z26" s="96">
        <f t="shared" si="83"/>
        <v>460.36016582400009</v>
      </c>
      <c r="AA26" s="96">
        <v>10.673999999999999</v>
      </c>
      <c r="AB26" s="96">
        <f>K26*AA26*$AB$2/1000</f>
        <v>180.40604314319995</v>
      </c>
      <c r="AC26" s="96">
        <v>11.88</v>
      </c>
      <c r="AD26" s="96">
        <f>K26*AC26*$AD$2/1000</f>
        <v>201.60022251600003</v>
      </c>
      <c r="AE26" s="96">
        <v>9.3960000000000008</v>
      </c>
      <c r="AF26" s="96">
        <f>K26*AE26*$AF$2/1000</f>
        <v>160.51847996520002</v>
      </c>
      <c r="AG26" s="96">
        <f t="shared" si="84"/>
        <v>31.950000000000003</v>
      </c>
      <c r="AH26" s="96">
        <f t="shared" si="84"/>
        <v>542.5247456244</v>
      </c>
      <c r="AI26" s="96">
        <f>SUM(Y26+AG26)</f>
        <v>58.806000000000004</v>
      </c>
      <c r="AJ26" s="96">
        <f>SUM(Z26,AH26)</f>
        <v>1002.8849114484001</v>
      </c>
      <c r="AK26" s="96">
        <v>13.284000000000001</v>
      </c>
      <c r="AL26" s="96">
        <f>M26*AK26*$AL$2/1000</f>
        <v>220.1065599456</v>
      </c>
      <c r="AM26" s="96">
        <v>8.1</v>
      </c>
      <c r="AN26" s="96">
        <f>M26*AM26*$AN$2/1000</f>
        <v>132.07842179999997</v>
      </c>
      <c r="AO26" s="96">
        <v>3.8879999999999999</v>
      </c>
      <c r="AP26" s="96">
        <f>M26*AO26*$AP$2/1000</f>
        <v>62.060381193600008</v>
      </c>
      <c r="AQ26" s="96">
        <f t="shared" si="85"/>
        <v>25.271999999999998</v>
      </c>
      <c r="AR26" s="96">
        <f t="shared" si="85"/>
        <v>414.24536293919999</v>
      </c>
      <c r="AS26" s="96">
        <v>7.3440000000000003</v>
      </c>
      <c r="AT26" s="96">
        <f>O26*AS26*$AT$2/1000</f>
        <v>119.46956284800001</v>
      </c>
      <c r="AU26" s="96">
        <v>4.8600000000000003</v>
      </c>
      <c r="AV26" s="96">
        <f>O26*AU26*$AV$2/1000</f>
        <v>81.026924076000014</v>
      </c>
      <c r="AW26" s="96">
        <v>5.4</v>
      </c>
      <c r="AX26" s="96">
        <f>O26*AW26*$AX$2/1000</f>
        <v>91.81929636000001</v>
      </c>
      <c r="AY26" s="96">
        <f t="shared" si="86"/>
        <v>17.603999999999999</v>
      </c>
      <c r="AZ26" s="96">
        <f t="shared" si="86"/>
        <v>292.31578328400002</v>
      </c>
      <c r="BA26" s="96">
        <f>SUM(AQ26+AY26)</f>
        <v>42.875999999999998</v>
      </c>
      <c r="BB26" s="96">
        <f>SUM(AR26,AZ26)</f>
        <v>706.56114622320001</v>
      </c>
      <c r="BC26" s="1" t="s">
        <v>1780</v>
      </c>
    </row>
    <row r="27" spans="1:55">
      <c r="A27" s="498">
        <v>21</v>
      </c>
      <c r="B27" s="14"/>
      <c r="C27" s="40"/>
      <c r="D27" s="41"/>
      <c r="E27" s="70" t="s">
        <v>835</v>
      </c>
      <c r="F27" s="317" t="s">
        <v>834</v>
      </c>
      <c r="G27" s="65" t="s">
        <v>1105</v>
      </c>
      <c r="H27" s="275" t="s">
        <v>365</v>
      </c>
      <c r="I27" s="38">
        <v>9.7200000000000006</v>
      </c>
      <c r="J27" s="159"/>
      <c r="K27" s="38">
        <v>9.7100000000000009</v>
      </c>
      <c r="L27" s="159"/>
      <c r="M27" s="38">
        <v>9.7100000000000009</v>
      </c>
      <c r="N27" s="159"/>
      <c r="O27" s="38">
        <v>9.7100000000000009</v>
      </c>
      <c r="P27" s="159"/>
      <c r="Q27" s="120">
        <f t="shared" ref="Q27" si="87">SUM(AI27+BA27)</f>
        <v>3.9960000000000004</v>
      </c>
      <c r="R27" s="344">
        <f t="shared" ref="R27" si="88">SUM(AJ27+BB27)</f>
        <v>53.061816179700003</v>
      </c>
      <c r="S27" s="120">
        <v>8.1000000000000003E-2</v>
      </c>
      <c r="T27" s="120">
        <f>I27*S27*$T$2/1000</f>
        <v>1.0407504348000003</v>
      </c>
      <c r="U27" s="120">
        <v>0.32400000000000001</v>
      </c>
      <c r="V27" s="120">
        <f>I27*U27*$V$2/1000</f>
        <v>4.1898021120000015</v>
      </c>
      <c r="W27" s="120">
        <v>0.432</v>
      </c>
      <c r="X27" s="120">
        <f>I27*W27*$X$2/1000</f>
        <v>5.5872426239999999</v>
      </c>
      <c r="Y27" s="120">
        <f t="shared" ref="Y27" si="89">SUM(S27+U27+W27)</f>
        <v>0.83699999999999997</v>
      </c>
      <c r="Z27" s="120">
        <f>SUM(T27+V27+X27)</f>
        <v>10.817795170800002</v>
      </c>
      <c r="AA27" s="120">
        <v>0.64800000000000002</v>
      </c>
      <c r="AB27" s="120">
        <f>K27*AA27*$AB$2/1000</f>
        <v>8.5831521695999999</v>
      </c>
      <c r="AC27" s="120">
        <v>0.59399999999999997</v>
      </c>
      <c r="AD27" s="120">
        <f>K27*AC27*$AD$2/1000</f>
        <v>7.8996697362000008</v>
      </c>
      <c r="AE27" s="120">
        <v>0.45900000000000002</v>
      </c>
      <c r="AF27" s="120">
        <f>K27*AE27*$AF$2/1000</f>
        <v>6.1452936387000001</v>
      </c>
      <c r="AG27" s="120">
        <f t="shared" ref="AG27" si="90">SUM(AA27+AC27+AE27)</f>
        <v>1.7010000000000001</v>
      </c>
      <c r="AH27" s="120">
        <f>SUM(AB27+AD27+AF27)</f>
        <v>22.628115544500002</v>
      </c>
      <c r="AI27" s="120">
        <f>SUM(Y27+AG27)</f>
        <v>2.5380000000000003</v>
      </c>
      <c r="AJ27" s="120">
        <f>SUM(Z27,AH27)</f>
        <v>33.445910715300002</v>
      </c>
      <c r="AK27" s="120">
        <v>0.56699999999999995</v>
      </c>
      <c r="AL27" s="120">
        <f>M27*AK27*$AL$2/1000</f>
        <v>7.6146437555999995</v>
      </c>
      <c r="AM27" s="120">
        <v>0.35099999999999998</v>
      </c>
      <c r="AN27" s="120">
        <f>M27*AM27*$AN$2/1000</f>
        <v>4.6389146309999996</v>
      </c>
      <c r="AO27" s="120"/>
      <c r="AP27" s="120">
        <f>M27*AO27*$AP$2/1000</f>
        <v>0</v>
      </c>
      <c r="AQ27" s="120">
        <f t="shared" ref="AQ27" si="91">SUM(AK27+AM27+AO27)</f>
        <v>0.91799999999999993</v>
      </c>
      <c r="AR27" s="120">
        <f>SUM(AL27+AN27+AP27)</f>
        <v>12.253558386599998</v>
      </c>
      <c r="AS27" s="120"/>
      <c r="AT27" s="120">
        <f>O27*AS27*$AT$2/1000</f>
        <v>0</v>
      </c>
      <c r="AU27" s="120">
        <v>0.29699999999999999</v>
      </c>
      <c r="AV27" s="120">
        <f>O27*AU27*$AV$2/1000</f>
        <v>4.0133953628999999</v>
      </c>
      <c r="AW27" s="120">
        <v>0.24299999999999999</v>
      </c>
      <c r="AX27" s="120">
        <f>O27*AW27*$AX$2/1000</f>
        <v>3.3489517149000001</v>
      </c>
      <c r="AY27" s="120">
        <f t="shared" ref="AY27" si="92">SUM(AS27+AU27+AW27)</f>
        <v>0.54</v>
      </c>
      <c r="AZ27" s="120">
        <f>SUM(AT27+AV27+AX27)</f>
        <v>7.3623470778</v>
      </c>
      <c r="BA27" s="120">
        <f>SUM(AQ27+AY27)</f>
        <v>1.458</v>
      </c>
      <c r="BB27" s="120">
        <f>SUM(AR27,AZ27)</f>
        <v>19.615905464399997</v>
      </c>
      <c r="BC27" s="1" t="s">
        <v>1780</v>
      </c>
    </row>
    <row r="28" spans="1:55">
      <c r="A28" s="498">
        <v>22</v>
      </c>
      <c r="B28" s="14"/>
      <c r="C28" s="40"/>
      <c r="D28" s="71"/>
      <c r="E28" s="328" t="s">
        <v>337</v>
      </c>
      <c r="F28" s="72"/>
      <c r="G28" s="28"/>
      <c r="H28" s="285"/>
      <c r="I28" s="310"/>
      <c r="J28" s="311"/>
      <c r="K28" s="312"/>
      <c r="L28" s="311"/>
      <c r="M28" s="310"/>
      <c r="N28" s="311"/>
      <c r="O28" s="310"/>
      <c r="P28" s="311"/>
      <c r="Q28" s="130">
        <f t="shared" ref="Q28:BB28" si="93">SUM(Q25:Q27)</f>
        <v>105.678</v>
      </c>
      <c r="R28" s="130">
        <f t="shared" si="93"/>
        <v>1762.5078738513</v>
      </c>
      <c r="S28" s="130">
        <f t="shared" si="93"/>
        <v>5.2650000000000006</v>
      </c>
      <c r="T28" s="130">
        <f t="shared" si="93"/>
        <v>89.440293538800034</v>
      </c>
      <c r="U28" s="130">
        <f t="shared" si="93"/>
        <v>13.356</v>
      </c>
      <c r="V28" s="130">
        <f t="shared" si="93"/>
        <v>227.84707123200002</v>
      </c>
      <c r="W28" s="130">
        <f t="shared" si="93"/>
        <v>9.072000000000001</v>
      </c>
      <c r="X28" s="130">
        <f t="shared" si="93"/>
        <v>153.89059622400001</v>
      </c>
      <c r="Y28" s="130">
        <f t="shared" si="93"/>
        <v>27.693000000000001</v>
      </c>
      <c r="Z28" s="130">
        <f t="shared" si="93"/>
        <v>471.17796099480012</v>
      </c>
      <c r="AA28" s="130">
        <f t="shared" si="93"/>
        <v>11.321999999999999</v>
      </c>
      <c r="AB28" s="130">
        <f t="shared" si="93"/>
        <v>188.98919531279995</v>
      </c>
      <c r="AC28" s="130">
        <f t="shared" si="93"/>
        <v>12.474</v>
      </c>
      <c r="AD28" s="130">
        <f t="shared" si="93"/>
        <v>209.49989225220003</v>
      </c>
      <c r="AE28" s="130">
        <f t="shared" si="93"/>
        <v>9.8550000000000004</v>
      </c>
      <c r="AF28" s="130">
        <f t="shared" si="93"/>
        <v>166.66377360390001</v>
      </c>
      <c r="AG28" s="130">
        <f t="shared" si="93"/>
        <v>33.651000000000003</v>
      </c>
      <c r="AH28" s="130">
        <f t="shared" si="93"/>
        <v>565.15286116890002</v>
      </c>
      <c r="AI28" s="130">
        <f t="shared" si="93"/>
        <v>61.344000000000008</v>
      </c>
      <c r="AJ28" s="130">
        <f t="shared" si="93"/>
        <v>1036.3308221637001</v>
      </c>
      <c r="AK28" s="130">
        <f t="shared" si="93"/>
        <v>13.851000000000001</v>
      </c>
      <c r="AL28" s="130">
        <f t="shared" si="93"/>
        <v>227.72120370120001</v>
      </c>
      <c r="AM28" s="130">
        <f t="shared" si="93"/>
        <v>8.4510000000000005</v>
      </c>
      <c r="AN28" s="130">
        <f t="shared" si="93"/>
        <v>136.71733643099998</v>
      </c>
      <c r="AO28" s="130">
        <f t="shared" si="93"/>
        <v>3.8879999999999999</v>
      </c>
      <c r="AP28" s="130">
        <f t="shared" si="93"/>
        <v>62.060381193600008</v>
      </c>
      <c r="AQ28" s="130">
        <f t="shared" si="93"/>
        <v>26.189999999999998</v>
      </c>
      <c r="AR28" s="130">
        <f t="shared" si="93"/>
        <v>426.49892132579998</v>
      </c>
      <c r="AS28" s="130">
        <f t="shared" si="93"/>
        <v>7.3440000000000003</v>
      </c>
      <c r="AT28" s="130">
        <f t="shared" si="93"/>
        <v>119.46956284800001</v>
      </c>
      <c r="AU28" s="130">
        <f t="shared" si="93"/>
        <v>5.157</v>
      </c>
      <c r="AV28" s="130">
        <f t="shared" si="93"/>
        <v>85.040319438900013</v>
      </c>
      <c r="AW28" s="130">
        <f t="shared" si="93"/>
        <v>5.6430000000000007</v>
      </c>
      <c r="AX28" s="130">
        <f t="shared" si="93"/>
        <v>95.168248074900006</v>
      </c>
      <c r="AY28" s="130">
        <f t="shared" si="93"/>
        <v>18.143999999999998</v>
      </c>
      <c r="AZ28" s="130">
        <f t="shared" si="93"/>
        <v>299.67813036180002</v>
      </c>
      <c r="BA28" s="130">
        <f t="shared" si="93"/>
        <v>44.333999999999996</v>
      </c>
      <c r="BB28" s="130">
        <f t="shared" si="93"/>
        <v>726.17705168760006</v>
      </c>
      <c r="BC28" s="1" t="s">
        <v>1781</v>
      </c>
    </row>
    <row r="29" spans="1:55">
      <c r="A29" s="498">
        <v>23</v>
      </c>
      <c r="B29" s="26"/>
      <c r="C29" s="27" t="s">
        <v>91</v>
      </c>
      <c r="D29" s="28"/>
      <c r="E29" s="39"/>
      <c r="F29" s="39"/>
      <c r="G29" s="39"/>
      <c r="H29" s="276"/>
      <c r="I29" s="48"/>
      <c r="J29" s="318"/>
      <c r="K29" s="48"/>
      <c r="L29" s="319"/>
      <c r="M29" s="48"/>
      <c r="N29" s="319"/>
      <c r="O29" s="141"/>
      <c r="P29" s="318"/>
      <c r="Q29" s="123">
        <f t="shared" ref="Q29:BB29" si="94">+Q24+Q28</f>
        <v>257.666</v>
      </c>
      <c r="R29" s="123">
        <f t="shared" si="94"/>
        <v>2901.9584041313001</v>
      </c>
      <c r="S29" s="123">
        <f t="shared" si="94"/>
        <v>10.945</v>
      </c>
      <c r="T29" s="123">
        <f t="shared" si="94"/>
        <v>134.10925672740004</v>
      </c>
      <c r="U29" s="123">
        <f t="shared" si="94"/>
        <v>25.415999999999997</v>
      </c>
      <c r="V29" s="123">
        <f t="shared" si="94"/>
        <v>316.98589344000004</v>
      </c>
      <c r="W29" s="123">
        <f t="shared" si="94"/>
        <v>22.893999999999998</v>
      </c>
      <c r="X29" s="123">
        <f t="shared" si="94"/>
        <v>258.60737917599999</v>
      </c>
      <c r="Y29" s="123">
        <f t="shared" si="94"/>
        <v>59.255000000000003</v>
      </c>
      <c r="Z29" s="123">
        <f t="shared" si="94"/>
        <v>709.7025293434001</v>
      </c>
      <c r="AA29" s="123">
        <f t="shared" si="94"/>
        <v>26.753999999999998</v>
      </c>
      <c r="AB29" s="123">
        <f t="shared" si="94"/>
        <v>301.90133637839995</v>
      </c>
      <c r="AC29" s="123">
        <f t="shared" si="94"/>
        <v>27.131999999999998</v>
      </c>
      <c r="AD29" s="123">
        <f t="shared" si="94"/>
        <v>315.80788837740005</v>
      </c>
      <c r="AE29" s="123">
        <f t="shared" si="94"/>
        <v>28.455000000000002</v>
      </c>
      <c r="AF29" s="321">
        <f t="shared" si="94"/>
        <v>310.87455539309997</v>
      </c>
      <c r="AG29" s="123">
        <f t="shared" si="94"/>
        <v>82.340999999999994</v>
      </c>
      <c r="AH29" s="123">
        <f t="shared" si="94"/>
        <v>928.58378014890002</v>
      </c>
      <c r="AI29" s="123">
        <f t="shared" si="94"/>
        <v>141.596</v>
      </c>
      <c r="AJ29" s="123">
        <f t="shared" si="94"/>
        <v>1638.2863094923</v>
      </c>
      <c r="AK29" s="123">
        <f t="shared" si="94"/>
        <v>30.842999999999996</v>
      </c>
      <c r="AL29" s="123">
        <f t="shared" si="94"/>
        <v>357.39955902600002</v>
      </c>
      <c r="AM29" s="123">
        <f t="shared" si="94"/>
        <v>21.681000000000001</v>
      </c>
      <c r="AN29" s="123">
        <f t="shared" si="94"/>
        <v>234.28925991899996</v>
      </c>
      <c r="AO29" s="123">
        <f t="shared" si="94"/>
        <v>14.228</v>
      </c>
      <c r="AP29" s="123">
        <f t="shared" si="94"/>
        <v>143.09879259120001</v>
      </c>
      <c r="AQ29" s="123">
        <f t="shared" si="94"/>
        <v>66.751999999999995</v>
      </c>
      <c r="AR29" s="123">
        <f t="shared" si="94"/>
        <v>734.78761153620007</v>
      </c>
      <c r="AS29" s="123">
        <f t="shared" si="94"/>
        <v>20.202999999999999</v>
      </c>
      <c r="AT29" s="123">
        <f t="shared" si="94"/>
        <v>211.25602576600002</v>
      </c>
      <c r="AU29" s="123">
        <f t="shared" si="94"/>
        <v>9.1980000000000004</v>
      </c>
      <c r="AV29" s="123">
        <f t="shared" si="94"/>
        <v>113.67963553590002</v>
      </c>
      <c r="AW29" s="123">
        <f t="shared" si="94"/>
        <v>19.917000000000002</v>
      </c>
      <c r="AX29" s="123">
        <f t="shared" si="94"/>
        <v>203.94882180089999</v>
      </c>
      <c r="AY29" s="123">
        <f t="shared" si="94"/>
        <v>49.317999999999998</v>
      </c>
      <c r="AZ29" s="123">
        <f t="shared" si="94"/>
        <v>528.8844831028</v>
      </c>
      <c r="BA29" s="123">
        <f t="shared" si="94"/>
        <v>116.07</v>
      </c>
      <c r="BB29" s="123">
        <f t="shared" si="94"/>
        <v>1263.6720946390001</v>
      </c>
      <c r="BC29" s="1" t="s">
        <v>1781</v>
      </c>
    </row>
    <row r="30" spans="1:55">
      <c r="A30" s="498">
        <v>24</v>
      </c>
      <c r="B30" s="13"/>
      <c r="C30" s="14" t="s">
        <v>13</v>
      </c>
      <c r="D30" s="15" t="s">
        <v>594</v>
      </c>
      <c r="E30" s="31" t="s">
        <v>62</v>
      </c>
      <c r="F30" s="314" t="s">
        <v>92</v>
      </c>
      <c r="G30" s="314" t="s">
        <v>1105</v>
      </c>
      <c r="H30" s="274" t="s">
        <v>364</v>
      </c>
      <c r="I30" s="325">
        <v>5.6</v>
      </c>
      <c r="J30" s="162"/>
      <c r="K30" s="325">
        <v>5.6</v>
      </c>
      <c r="L30" s="162"/>
      <c r="M30" s="325">
        <v>5.6</v>
      </c>
      <c r="N30" s="162"/>
      <c r="O30" s="325">
        <v>5.6</v>
      </c>
      <c r="P30" s="162"/>
      <c r="Q30" s="122">
        <f t="shared" ref="Q30:R33" si="95">SUM(AI30+BA30)</f>
        <v>0</v>
      </c>
      <c r="R30" s="345">
        <f t="shared" si="95"/>
        <v>0</v>
      </c>
      <c r="S30" s="122"/>
      <c r="T30" s="122">
        <f>I30*S30*$T$2/1000</f>
        <v>0</v>
      </c>
      <c r="U30" s="122"/>
      <c r="V30" s="122">
        <f>I30*U30*$V$2/1000</f>
        <v>0</v>
      </c>
      <c r="W30" s="122"/>
      <c r="X30" s="122">
        <f t="shared" ref="X30:X36" si="96">I30*W30*$X$2/1000</f>
        <v>0</v>
      </c>
      <c r="Y30" s="122">
        <f t="shared" ref="Y30:Z46" si="97">SUM(S30+U30+W30)</f>
        <v>0</v>
      </c>
      <c r="Z30" s="122">
        <f t="shared" si="97"/>
        <v>0</v>
      </c>
      <c r="AA30" s="122"/>
      <c r="AB30" s="122">
        <f t="shared" ref="AB30:AB38" si="98">K30*AA30*$AB$2/1000</f>
        <v>0</v>
      </c>
      <c r="AC30" s="122"/>
      <c r="AD30" s="122">
        <f t="shared" ref="AD30:AD46" si="99">K30*AC30*$AD$2/1000</f>
        <v>0</v>
      </c>
      <c r="AE30" s="122"/>
      <c r="AF30" s="125">
        <f>K30*AE30*$AF$2/1000</f>
        <v>0</v>
      </c>
      <c r="AG30" s="122">
        <f t="shared" ref="AG30:AH46" si="100">SUM(AA30+AC30+AE30)</f>
        <v>0</v>
      </c>
      <c r="AH30" s="122">
        <f t="shared" si="100"/>
        <v>0</v>
      </c>
      <c r="AI30" s="122">
        <f>SUM(Y30+AG30)</f>
        <v>0</v>
      </c>
      <c r="AJ30" s="122">
        <f>SUM(Z30,AH30)</f>
        <v>0</v>
      </c>
      <c r="AK30" s="122"/>
      <c r="AL30" s="122">
        <f>M30*AK30*$AL$2/1000</f>
        <v>0</v>
      </c>
      <c r="AM30" s="122"/>
      <c r="AN30" s="122">
        <f t="shared" ref="AN30:AN46" si="101">M30*AM30*$AN$2/1000</f>
        <v>0</v>
      </c>
      <c r="AO30" s="122"/>
      <c r="AP30" s="122">
        <f t="shared" ref="AP30:AP36" si="102">M30*AO30*$AP$2/1000</f>
        <v>0</v>
      </c>
      <c r="AQ30" s="122">
        <f t="shared" ref="AQ30:AR46" si="103">SUM(AK30+AM30+AO30)</f>
        <v>0</v>
      </c>
      <c r="AR30" s="122">
        <f t="shared" si="103"/>
        <v>0</v>
      </c>
      <c r="AS30" s="122"/>
      <c r="AT30" s="122">
        <f>O30*AS30*$AT$2/1000</f>
        <v>0</v>
      </c>
      <c r="AU30" s="122"/>
      <c r="AV30" s="122">
        <f>O30*AU30*$AV$2/1000</f>
        <v>0</v>
      </c>
      <c r="AW30" s="122"/>
      <c r="AX30" s="122">
        <f>O30*AW30*$AX$2/1000</f>
        <v>0</v>
      </c>
      <c r="AY30" s="122">
        <f t="shared" ref="AY30:AZ46" si="104">SUM(AS30+AU30+AW30)</f>
        <v>0</v>
      </c>
      <c r="AZ30" s="122">
        <f t="shared" si="104"/>
        <v>0</v>
      </c>
      <c r="BA30" s="122">
        <f>SUM(AQ30+AY30)</f>
        <v>0</v>
      </c>
      <c r="BB30" s="122">
        <f>SUM(AR30,AZ30)</f>
        <v>0</v>
      </c>
      <c r="BC30" s="1" t="s">
        <v>1105</v>
      </c>
    </row>
    <row r="31" spans="1:55">
      <c r="A31" s="498">
        <v>25</v>
      </c>
      <c r="B31" s="13"/>
      <c r="C31" s="14"/>
      <c r="D31" s="15"/>
      <c r="E31" s="21" t="s">
        <v>69</v>
      </c>
      <c r="F31" s="46" t="s">
        <v>93</v>
      </c>
      <c r="G31" s="46" t="s">
        <v>1105</v>
      </c>
      <c r="H31" s="268" t="s">
        <v>364</v>
      </c>
      <c r="I31" s="18">
        <v>7.03</v>
      </c>
      <c r="J31" s="158"/>
      <c r="K31" s="18">
        <v>7.03</v>
      </c>
      <c r="L31" s="158"/>
      <c r="M31" s="18">
        <v>7.03</v>
      </c>
      <c r="N31" s="158"/>
      <c r="O31" s="18">
        <v>7.03</v>
      </c>
      <c r="P31" s="158"/>
      <c r="Q31" s="97">
        <f t="shared" si="95"/>
        <v>0</v>
      </c>
      <c r="R31" s="341">
        <f t="shared" si="95"/>
        <v>0</v>
      </c>
      <c r="S31" s="97"/>
      <c r="T31" s="97">
        <f>I31*S31*$T$2/1000</f>
        <v>0</v>
      </c>
      <c r="U31" s="97"/>
      <c r="V31" s="97">
        <f>I31*U31*$V$2/1000</f>
        <v>0</v>
      </c>
      <c r="W31" s="97"/>
      <c r="X31" s="97">
        <f t="shared" si="96"/>
        <v>0</v>
      </c>
      <c r="Y31" s="97">
        <f t="shared" si="97"/>
        <v>0</v>
      </c>
      <c r="Z31" s="97">
        <f t="shared" si="97"/>
        <v>0</v>
      </c>
      <c r="AA31" s="97"/>
      <c r="AB31" s="97">
        <f t="shared" si="98"/>
        <v>0</v>
      </c>
      <c r="AC31" s="97"/>
      <c r="AD31" s="97">
        <f>K31*AC31*$AD$2/1000</f>
        <v>0</v>
      </c>
      <c r="AE31" s="97"/>
      <c r="AF31" s="96">
        <f t="shared" ref="AF31:AF46" si="105">K31*AE31*$AF$2/1000</f>
        <v>0</v>
      </c>
      <c r="AG31" s="97">
        <f t="shared" si="100"/>
        <v>0</v>
      </c>
      <c r="AH31" s="97">
        <f t="shared" si="100"/>
        <v>0</v>
      </c>
      <c r="AI31" s="97">
        <f>SUM(Y31+AG31)</f>
        <v>0</v>
      </c>
      <c r="AJ31" s="97">
        <f>SUM(Z31,AH31)</f>
        <v>0</v>
      </c>
      <c r="AK31" s="97"/>
      <c r="AL31" s="97">
        <f>M31*AK31*$AL$2/1000</f>
        <v>0</v>
      </c>
      <c r="AM31" s="97"/>
      <c r="AN31" s="97">
        <f t="shared" si="101"/>
        <v>0</v>
      </c>
      <c r="AO31" s="97"/>
      <c r="AP31" s="97">
        <f t="shared" si="102"/>
        <v>0</v>
      </c>
      <c r="AQ31" s="97">
        <f t="shared" si="103"/>
        <v>0</v>
      </c>
      <c r="AR31" s="97">
        <f t="shared" si="103"/>
        <v>0</v>
      </c>
      <c r="AS31" s="97"/>
      <c r="AT31" s="97">
        <f>O31*AS31*$AT$2/1000</f>
        <v>0</v>
      </c>
      <c r="AU31" s="97"/>
      <c r="AV31" s="97">
        <f>O31*AU31*$AV$2/1000</f>
        <v>0</v>
      </c>
      <c r="AW31" s="97"/>
      <c r="AX31" s="97">
        <f>O31*AW31*$AX$2/1000</f>
        <v>0</v>
      </c>
      <c r="AY31" s="97">
        <f t="shared" si="104"/>
        <v>0</v>
      </c>
      <c r="AZ31" s="97">
        <f t="shared" si="104"/>
        <v>0</v>
      </c>
      <c r="BA31" s="97">
        <f>SUM(AQ31+AY31)</f>
        <v>0</v>
      </c>
      <c r="BB31" s="97">
        <f>SUM(AR31,AZ31)</f>
        <v>0</v>
      </c>
      <c r="BC31" s="1" t="s">
        <v>1105</v>
      </c>
    </row>
    <row r="32" spans="1:55">
      <c r="A32" s="498">
        <v>26</v>
      </c>
      <c r="B32" s="13"/>
      <c r="C32" s="14"/>
      <c r="D32" s="15"/>
      <c r="E32" s="359" t="s">
        <v>94</v>
      </c>
      <c r="F32" s="46" t="s">
        <v>95</v>
      </c>
      <c r="G32" s="46" t="s">
        <v>1105</v>
      </c>
      <c r="H32" s="268" t="s">
        <v>364</v>
      </c>
      <c r="I32" s="18">
        <v>6.45</v>
      </c>
      <c r="J32" s="158"/>
      <c r="K32" s="18">
        <v>6.45</v>
      </c>
      <c r="L32" s="158"/>
      <c r="M32" s="18">
        <v>6.45</v>
      </c>
      <c r="N32" s="158"/>
      <c r="O32" s="18">
        <v>6.45</v>
      </c>
      <c r="P32" s="158"/>
      <c r="Q32" s="96">
        <f t="shared" si="95"/>
        <v>0</v>
      </c>
      <c r="R32" s="340">
        <f t="shared" si="95"/>
        <v>0</v>
      </c>
      <c r="S32" s="96"/>
      <c r="T32" s="96">
        <f>I32*S32*$T$2/1000</f>
        <v>0</v>
      </c>
      <c r="U32" s="96"/>
      <c r="V32" s="96">
        <f>I32*U32*$V$2/1000</f>
        <v>0</v>
      </c>
      <c r="W32" s="96"/>
      <c r="X32" s="96">
        <f t="shared" si="96"/>
        <v>0</v>
      </c>
      <c r="Y32" s="96">
        <f t="shared" si="97"/>
        <v>0</v>
      </c>
      <c r="Z32" s="96">
        <f t="shared" si="97"/>
        <v>0</v>
      </c>
      <c r="AA32" s="96"/>
      <c r="AB32" s="96">
        <f t="shared" si="98"/>
        <v>0</v>
      </c>
      <c r="AC32" s="96"/>
      <c r="AD32" s="96">
        <f t="shared" si="99"/>
        <v>0</v>
      </c>
      <c r="AE32" s="96"/>
      <c r="AF32" s="96">
        <f t="shared" si="105"/>
        <v>0</v>
      </c>
      <c r="AG32" s="96">
        <f t="shared" si="100"/>
        <v>0</v>
      </c>
      <c r="AH32" s="96">
        <f t="shared" si="100"/>
        <v>0</v>
      </c>
      <c r="AI32" s="96">
        <f>SUM(Y32+AG32)</f>
        <v>0</v>
      </c>
      <c r="AJ32" s="96">
        <f>SUM(Z32,AH32)</f>
        <v>0</v>
      </c>
      <c r="AK32" s="96"/>
      <c r="AL32" s="96">
        <f>M32*AK32*$AL$2/1000</f>
        <v>0</v>
      </c>
      <c r="AM32" s="96"/>
      <c r="AN32" s="96">
        <f t="shared" si="101"/>
        <v>0</v>
      </c>
      <c r="AO32" s="96"/>
      <c r="AP32" s="96">
        <f t="shared" si="102"/>
        <v>0</v>
      </c>
      <c r="AQ32" s="96">
        <f t="shared" si="103"/>
        <v>0</v>
      </c>
      <c r="AR32" s="96">
        <f t="shared" si="103"/>
        <v>0</v>
      </c>
      <c r="AS32" s="96"/>
      <c r="AT32" s="96">
        <f>O32*AS32*$AT$2/1000</f>
        <v>0</v>
      </c>
      <c r="AU32" s="96"/>
      <c r="AV32" s="96">
        <f>O32*AU32*$AV$2/1000</f>
        <v>0</v>
      </c>
      <c r="AW32" s="96"/>
      <c r="AX32" s="96">
        <f>O32*AW32*$AX$2/1000</f>
        <v>0</v>
      </c>
      <c r="AY32" s="96">
        <f t="shared" si="104"/>
        <v>0</v>
      </c>
      <c r="AZ32" s="96">
        <f t="shared" si="104"/>
        <v>0</v>
      </c>
      <c r="BA32" s="96">
        <f>SUM(AQ32+AY32)</f>
        <v>0</v>
      </c>
      <c r="BB32" s="96">
        <f>SUM(AR32,AZ32)</f>
        <v>0</v>
      </c>
      <c r="BC32" s="1" t="s">
        <v>1105</v>
      </c>
    </row>
    <row r="33" spans="1:55">
      <c r="A33" s="498">
        <v>27</v>
      </c>
      <c r="B33" s="13"/>
      <c r="C33" s="14"/>
      <c r="D33" s="15"/>
      <c r="E33" s="359" t="s">
        <v>329</v>
      </c>
      <c r="F33" s="46" t="s">
        <v>328</v>
      </c>
      <c r="G33" s="46" t="s">
        <v>1105</v>
      </c>
      <c r="H33" s="268" t="s">
        <v>364</v>
      </c>
      <c r="I33" s="18">
        <v>5.5</v>
      </c>
      <c r="J33" s="158"/>
      <c r="K33" s="18">
        <v>5.5</v>
      </c>
      <c r="L33" s="158"/>
      <c r="M33" s="18">
        <v>5.5</v>
      </c>
      <c r="N33" s="158"/>
      <c r="O33" s="18">
        <v>5.5</v>
      </c>
      <c r="P33" s="158"/>
      <c r="Q33" s="96">
        <f t="shared" si="95"/>
        <v>0</v>
      </c>
      <c r="R33" s="340">
        <f t="shared" si="95"/>
        <v>0</v>
      </c>
      <c r="S33" s="96"/>
      <c r="T33" s="96">
        <f>I33*S33*$T$2/1000</f>
        <v>0</v>
      </c>
      <c r="U33" s="96"/>
      <c r="V33" s="96">
        <f>I33*U33*$V$2/1000</f>
        <v>0</v>
      </c>
      <c r="W33" s="96"/>
      <c r="X33" s="96">
        <f t="shared" si="96"/>
        <v>0</v>
      </c>
      <c r="Y33" s="96">
        <f>SUM(S33+U33+W33)</f>
        <v>0</v>
      </c>
      <c r="Z33" s="96">
        <f t="shared" si="97"/>
        <v>0</v>
      </c>
      <c r="AA33" s="96"/>
      <c r="AB33" s="96">
        <f t="shared" si="98"/>
        <v>0</v>
      </c>
      <c r="AC33" s="96"/>
      <c r="AD33" s="96">
        <f t="shared" si="99"/>
        <v>0</v>
      </c>
      <c r="AE33" s="96"/>
      <c r="AF33" s="96">
        <f t="shared" si="105"/>
        <v>0</v>
      </c>
      <c r="AG33" s="96">
        <f t="shared" si="100"/>
        <v>0</v>
      </c>
      <c r="AH33" s="96">
        <f t="shared" si="100"/>
        <v>0</v>
      </c>
      <c r="AI33" s="96">
        <f>SUM(Y33+AG33)</f>
        <v>0</v>
      </c>
      <c r="AJ33" s="96">
        <f>SUM(Z33,AH33)</f>
        <v>0</v>
      </c>
      <c r="AK33" s="96"/>
      <c r="AL33" s="96">
        <f>M33*AK33*$AL$2/1000</f>
        <v>0</v>
      </c>
      <c r="AM33" s="96"/>
      <c r="AN33" s="96">
        <f t="shared" si="101"/>
        <v>0</v>
      </c>
      <c r="AO33" s="96"/>
      <c r="AP33" s="96">
        <f t="shared" si="102"/>
        <v>0</v>
      </c>
      <c r="AQ33" s="96">
        <f t="shared" si="103"/>
        <v>0</v>
      </c>
      <c r="AR33" s="96">
        <f t="shared" si="103"/>
        <v>0</v>
      </c>
      <c r="AS33" s="96"/>
      <c r="AT33" s="96">
        <f>O33*AS33*$AT$2/1000</f>
        <v>0</v>
      </c>
      <c r="AU33" s="96"/>
      <c r="AV33" s="96">
        <f>O33*AU33*$AV$2/1000</f>
        <v>0</v>
      </c>
      <c r="AW33" s="96"/>
      <c r="AX33" s="96">
        <f>O33*AW33*$AX$2/1000</f>
        <v>0</v>
      </c>
      <c r="AY33" s="96">
        <f t="shared" si="104"/>
        <v>0</v>
      </c>
      <c r="AZ33" s="96">
        <f t="shared" si="104"/>
        <v>0</v>
      </c>
      <c r="BA33" s="96">
        <f>SUM(AQ33+AY33)</f>
        <v>0</v>
      </c>
      <c r="BB33" s="96">
        <f>SUM(AR33,AZ33)</f>
        <v>0</v>
      </c>
      <c r="BC33" s="1" t="s">
        <v>1105</v>
      </c>
    </row>
    <row r="34" spans="1:55">
      <c r="A34" s="498">
        <v>28</v>
      </c>
      <c r="B34" s="13"/>
      <c r="C34" s="14"/>
      <c r="D34" s="15"/>
      <c r="E34" s="359" t="s">
        <v>527</v>
      </c>
      <c r="F34" s="46" t="s">
        <v>526</v>
      </c>
      <c r="G34" s="46" t="s">
        <v>1105</v>
      </c>
      <c r="H34" s="268" t="s">
        <v>364</v>
      </c>
      <c r="I34" s="18">
        <v>5.95</v>
      </c>
      <c r="J34" s="158"/>
      <c r="K34" s="18">
        <v>5.95</v>
      </c>
      <c r="L34" s="158"/>
      <c r="M34" s="18">
        <v>5.95</v>
      </c>
      <c r="N34" s="158"/>
      <c r="O34" s="18">
        <v>5.95</v>
      </c>
      <c r="P34" s="158"/>
      <c r="Q34" s="96">
        <f t="shared" ref="Q34" si="106">SUM(AI34+BA34)</f>
        <v>0</v>
      </c>
      <c r="R34" s="340">
        <f t="shared" ref="R34:R66" si="107">SUM(AJ34+BB34)</f>
        <v>0</v>
      </c>
      <c r="S34" s="96"/>
      <c r="T34" s="96">
        <f>I34*S34*$T$2/1000</f>
        <v>0</v>
      </c>
      <c r="U34" s="96"/>
      <c r="V34" s="96">
        <f>I34*U34*$V$2/1000</f>
        <v>0</v>
      </c>
      <c r="W34" s="96"/>
      <c r="X34" s="96">
        <f t="shared" si="96"/>
        <v>0</v>
      </c>
      <c r="Y34" s="96">
        <f t="shared" ref="Y34" si="108">SUM(S34+U34+W34)</f>
        <v>0</v>
      </c>
      <c r="Z34" s="96">
        <f t="shared" ref="Z34" si="109">SUM(T34+V34+X34)</f>
        <v>0</v>
      </c>
      <c r="AA34" s="96"/>
      <c r="AB34" s="96">
        <f t="shared" si="98"/>
        <v>0</v>
      </c>
      <c r="AC34" s="96"/>
      <c r="AD34" s="96">
        <f t="shared" ref="AD34" si="110">K34*AC34*$AD$2/1000</f>
        <v>0</v>
      </c>
      <c r="AE34" s="96"/>
      <c r="AF34" s="96">
        <f t="shared" si="105"/>
        <v>0</v>
      </c>
      <c r="AG34" s="96">
        <f t="shared" ref="AG34" si="111">SUM(AA34+AC34+AE34)</f>
        <v>0</v>
      </c>
      <c r="AH34" s="96">
        <f t="shared" ref="AH34" si="112">SUM(AB34+AD34+AF34)</f>
        <v>0</v>
      </c>
      <c r="AI34" s="96">
        <f>SUM(Y34+AG34)</f>
        <v>0</v>
      </c>
      <c r="AJ34" s="96">
        <f>SUM(Z34,AH34)</f>
        <v>0</v>
      </c>
      <c r="AK34" s="96"/>
      <c r="AL34" s="96">
        <f>M34*AK34*$AL$2/1000</f>
        <v>0</v>
      </c>
      <c r="AM34" s="96"/>
      <c r="AN34" s="96">
        <f t="shared" ref="AN34" si="113">M34*AM34*$AN$2/1000</f>
        <v>0</v>
      </c>
      <c r="AO34" s="96"/>
      <c r="AP34" s="96">
        <f t="shared" si="102"/>
        <v>0</v>
      </c>
      <c r="AQ34" s="96">
        <f t="shared" ref="AQ34" si="114">SUM(AK34+AM34+AO34)</f>
        <v>0</v>
      </c>
      <c r="AR34" s="96">
        <f t="shared" ref="AR34" si="115">SUM(AL34+AN34+AP34)</f>
        <v>0</v>
      </c>
      <c r="AS34" s="96"/>
      <c r="AT34" s="96">
        <f>O34*AS34*$AT$2/1000</f>
        <v>0</v>
      </c>
      <c r="AU34" s="96"/>
      <c r="AV34" s="96">
        <f>O34*AU34*$AV$2/1000</f>
        <v>0</v>
      </c>
      <c r="AW34" s="96"/>
      <c r="AX34" s="96">
        <f>O34*AW34*$AX$2/1000</f>
        <v>0</v>
      </c>
      <c r="AY34" s="96">
        <f t="shared" ref="AY34" si="116">SUM(AS34+AU34+AW34)</f>
        <v>0</v>
      </c>
      <c r="AZ34" s="96">
        <f t="shared" ref="AZ34" si="117">SUM(AT34+AV34+AX34)</f>
        <v>0</v>
      </c>
      <c r="BA34" s="96">
        <f>SUM(AQ34+AY34)</f>
        <v>0</v>
      </c>
      <c r="BB34" s="96">
        <f>SUM(AR34,AZ34)</f>
        <v>0</v>
      </c>
      <c r="BC34" s="1" t="s">
        <v>1105</v>
      </c>
    </row>
    <row r="35" spans="1:55">
      <c r="A35" s="498">
        <v>29</v>
      </c>
      <c r="B35" s="13"/>
      <c r="C35" s="13"/>
      <c r="D35" s="15"/>
      <c r="E35" s="21" t="s">
        <v>408</v>
      </c>
      <c r="F35" s="46" t="s">
        <v>411</v>
      </c>
      <c r="G35" s="46" t="s">
        <v>1105</v>
      </c>
      <c r="H35" s="268" t="s">
        <v>365</v>
      </c>
      <c r="I35" s="138">
        <v>18.7</v>
      </c>
      <c r="J35" s="158"/>
      <c r="K35" s="138">
        <v>18.7</v>
      </c>
      <c r="L35" s="202"/>
      <c r="M35" s="138">
        <v>18.7</v>
      </c>
      <c r="N35" s="202"/>
      <c r="O35" s="138">
        <v>18.7</v>
      </c>
      <c r="P35" s="158"/>
      <c r="Q35" s="97">
        <f>SUM(AI35+BA35)</f>
        <v>0</v>
      </c>
      <c r="R35" s="342">
        <f>SUM(AJ35+BB35)</f>
        <v>0</v>
      </c>
      <c r="S35" s="97"/>
      <c r="T35" s="97">
        <f t="shared" ref="T35" si="118">I35*S35*$T$2/1000</f>
        <v>0</v>
      </c>
      <c r="U35" s="97"/>
      <c r="V35" s="97">
        <f t="shared" ref="V35:V36" si="119">I35*U35*$V$2/1000</f>
        <v>0</v>
      </c>
      <c r="W35" s="97"/>
      <c r="X35" s="97">
        <f t="shared" si="96"/>
        <v>0</v>
      </c>
      <c r="Y35" s="97">
        <f>SUM(S35+U35+W35)</f>
        <v>0</v>
      </c>
      <c r="Z35" s="97">
        <f t="shared" ref="Z35:Z36" si="120">SUM(T35,V35,X35)</f>
        <v>0</v>
      </c>
      <c r="AA35" s="97"/>
      <c r="AB35" s="97">
        <f t="shared" si="98"/>
        <v>0</v>
      </c>
      <c r="AC35" s="97"/>
      <c r="AD35" s="97">
        <f t="shared" ref="AD35:AD36" si="121">K35*AC35*$AD$2/1000</f>
        <v>0</v>
      </c>
      <c r="AE35" s="97"/>
      <c r="AF35" s="96">
        <f t="shared" si="105"/>
        <v>0</v>
      </c>
      <c r="AG35" s="97">
        <f t="shared" ref="AG35:AG36" si="122">SUM(AA35+AC35+AE35)</f>
        <v>0</v>
      </c>
      <c r="AH35" s="97">
        <f t="shared" ref="AH35:AH36" si="123">SUM(AB35,AD35,AF35)</f>
        <v>0</v>
      </c>
      <c r="AI35" s="97">
        <f t="shared" ref="AI35:AI36" si="124">SUM(Y35+AG35)</f>
        <v>0</v>
      </c>
      <c r="AJ35" s="97">
        <f t="shared" ref="AJ35:AJ36" si="125">SUM(Z35,AH35)</f>
        <v>0</v>
      </c>
      <c r="AK35" s="97"/>
      <c r="AL35" s="97">
        <f t="shared" ref="AL35:AL36" si="126">M35*AK35*$AL$2/1000</f>
        <v>0</v>
      </c>
      <c r="AM35" s="97"/>
      <c r="AN35" s="97">
        <f t="shared" ref="AN35:AN36" si="127">M35*AM35*$AN$2/1000</f>
        <v>0</v>
      </c>
      <c r="AO35" s="97"/>
      <c r="AP35" s="97">
        <f t="shared" si="102"/>
        <v>0</v>
      </c>
      <c r="AQ35" s="97">
        <f t="shared" ref="AQ35:AQ36" si="128">SUM(AK35+AM35+AO35)</f>
        <v>0</v>
      </c>
      <c r="AR35" s="97">
        <f t="shared" ref="AR35:AR36" si="129">SUM(AL35,AN35,AP35)</f>
        <v>0</v>
      </c>
      <c r="AS35" s="97"/>
      <c r="AT35" s="97">
        <f t="shared" ref="AT35:AT36" si="130">O35*AS35*$AT$2/1000</f>
        <v>0</v>
      </c>
      <c r="AU35" s="97"/>
      <c r="AV35" s="97">
        <f t="shared" ref="AV35:AV36" si="131">O35*AU35*$AV$2/1000</f>
        <v>0</v>
      </c>
      <c r="AW35" s="97"/>
      <c r="AX35" s="97">
        <f t="shared" ref="AX35:AX36" si="132">O35*AW35*$AX$2/1000</f>
        <v>0</v>
      </c>
      <c r="AY35" s="97">
        <f t="shared" ref="AY35:AY36" si="133">SUM(AS35+AU35+AW35)</f>
        <v>0</v>
      </c>
      <c r="AZ35" s="97">
        <f t="shared" ref="AZ35:AZ36" si="134">SUM(AT35,AV35,AX35)</f>
        <v>0</v>
      </c>
      <c r="BA35" s="97">
        <f t="shared" ref="BA35:BA36" si="135">SUM(AQ35+AY35)</f>
        <v>0</v>
      </c>
      <c r="BB35" s="97">
        <f t="shared" ref="BB35:BB36" si="136">SUM(AR35,AZ35)</f>
        <v>0</v>
      </c>
      <c r="BC35" s="1" t="s">
        <v>1105</v>
      </c>
    </row>
    <row r="36" spans="1:55">
      <c r="A36" s="498">
        <v>31</v>
      </c>
      <c r="B36" s="13"/>
      <c r="C36" s="13"/>
      <c r="D36" s="15"/>
      <c r="E36" s="21" t="s">
        <v>836</v>
      </c>
      <c r="F36" s="46" t="s">
        <v>837</v>
      </c>
      <c r="G36" s="46" t="s">
        <v>1105</v>
      </c>
      <c r="H36" s="268" t="s">
        <v>365</v>
      </c>
      <c r="I36" s="138">
        <v>19.71</v>
      </c>
      <c r="J36" s="158"/>
      <c r="K36" s="138">
        <v>19.71</v>
      </c>
      <c r="L36" s="202"/>
      <c r="M36" s="138">
        <v>19.7</v>
      </c>
      <c r="N36" s="202"/>
      <c r="O36" s="138">
        <v>19.7</v>
      </c>
      <c r="P36" s="158"/>
      <c r="Q36" s="97">
        <f t="shared" ref="Q36" si="137">SUM(AI36+BA36)</f>
        <v>487.87900000000002</v>
      </c>
      <c r="R36" s="342">
        <f>SUM(AJ36+BB36)</f>
        <v>13100.794050162298</v>
      </c>
      <c r="S36" s="97">
        <v>19.635999999999999</v>
      </c>
      <c r="T36" s="97">
        <f>I36*S36*$T$2/1000</f>
        <v>511.60521750840002</v>
      </c>
      <c r="U36" s="97">
        <v>44.124000000000002</v>
      </c>
      <c r="V36" s="97">
        <f t="shared" si="119"/>
        <v>1157.027646816</v>
      </c>
      <c r="W36" s="97">
        <v>39.384</v>
      </c>
      <c r="X36" s="97">
        <f t="shared" si="96"/>
        <v>1032.8897463839999</v>
      </c>
      <c r="Y36" s="97">
        <f>SUM(S36+U36+W36)</f>
        <v>103.14400000000001</v>
      </c>
      <c r="Z36" s="97">
        <f t="shared" si="120"/>
        <v>2701.5226107084</v>
      </c>
      <c r="AA36" s="97">
        <v>52.8</v>
      </c>
      <c r="AB36" s="97">
        <f t="shared" ref="AB36" si="138">K36*AA36*$AB$2/1000</f>
        <v>1419.6233145600002</v>
      </c>
      <c r="AC36" s="97">
        <v>42.521999999999998</v>
      </c>
      <c r="AD36" s="97">
        <f t="shared" si="121"/>
        <v>1147.8987092105999</v>
      </c>
      <c r="AE36" s="97">
        <v>51.561</v>
      </c>
      <c r="AF36" s="96">
        <f t="shared" ref="AF36" si="139">K36*AE36*$AF$2/1000</f>
        <v>1401.2598550472999</v>
      </c>
      <c r="AG36" s="97">
        <f t="shared" si="122"/>
        <v>146.88300000000001</v>
      </c>
      <c r="AH36" s="97">
        <f t="shared" si="123"/>
        <v>3968.7818788178997</v>
      </c>
      <c r="AI36" s="97">
        <f t="shared" si="124"/>
        <v>250.02700000000002</v>
      </c>
      <c r="AJ36" s="97">
        <f t="shared" si="125"/>
        <v>6670.3044895262992</v>
      </c>
      <c r="AK36" s="97">
        <v>80.046000000000006</v>
      </c>
      <c r="AL36" s="97">
        <f t="shared" si="126"/>
        <v>2180.9874270959999</v>
      </c>
      <c r="AM36" s="97">
        <v>58.584000000000003</v>
      </c>
      <c r="AN36" s="97">
        <f t="shared" si="127"/>
        <v>1570.8520432800001</v>
      </c>
      <c r="AO36" s="97">
        <v>32.003999999999998</v>
      </c>
      <c r="AP36" s="97">
        <f t="shared" si="102"/>
        <v>840.04364833199998</v>
      </c>
      <c r="AQ36" s="97">
        <f t="shared" si="128"/>
        <v>170.63399999999999</v>
      </c>
      <c r="AR36" s="97">
        <f t="shared" si="129"/>
        <v>4591.8831187079995</v>
      </c>
      <c r="AS36" s="97">
        <v>28.506</v>
      </c>
      <c r="AT36" s="97">
        <f t="shared" si="130"/>
        <v>762.55345878000003</v>
      </c>
      <c r="AU36" s="97">
        <v>11.682</v>
      </c>
      <c r="AV36" s="97">
        <f t="shared" si="131"/>
        <v>320.27253211800002</v>
      </c>
      <c r="AW36" s="97">
        <v>27.03</v>
      </c>
      <c r="AX36" s="97">
        <f t="shared" si="132"/>
        <v>755.78045102999999</v>
      </c>
      <c r="AY36" s="97">
        <f t="shared" si="133"/>
        <v>67.218000000000004</v>
      </c>
      <c r="AZ36" s="97">
        <f t="shared" si="134"/>
        <v>1838.6064419280001</v>
      </c>
      <c r="BA36" s="97">
        <f t="shared" si="135"/>
        <v>237.85199999999998</v>
      </c>
      <c r="BB36" s="97">
        <f t="shared" si="136"/>
        <v>6430.4895606359996</v>
      </c>
      <c r="BC36" s="1" t="s">
        <v>1105</v>
      </c>
    </row>
    <row r="37" spans="1:55">
      <c r="A37" s="498">
        <v>32</v>
      </c>
      <c r="B37" s="13"/>
      <c r="C37" s="13"/>
      <c r="D37" s="15"/>
      <c r="E37" s="359" t="s">
        <v>410</v>
      </c>
      <c r="F37" s="46" t="s">
        <v>409</v>
      </c>
      <c r="G37" s="46" t="s">
        <v>1105</v>
      </c>
      <c r="H37" s="268" t="s">
        <v>365</v>
      </c>
      <c r="I37" s="138">
        <v>21.1</v>
      </c>
      <c r="J37" s="158"/>
      <c r="K37" s="138">
        <v>21.1</v>
      </c>
      <c r="L37" s="202"/>
      <c r="M37" s="138">
        <v>21.1</v>
      </c>
      <c r="N37" s="202"/>
      <c r="O37" s="138">
        <v>21.1</v>
      </c>
      <c r="P37" s="158"/>
      <c r="Q37" s="97">
        <f>SUM(AI37+BA37)</f>
        <v>0</v>
      </c>
      <c r="R37" s="342">
        <f>SUM(AJ37+BB37)</f>
        <v>0</v>
      </c>
      <c r="S37" s="97"/>
      <c r="T37" s="97">
        <f t="shared" ref="T37" si="140">I37*S37*$T$2/1000</f>
        <v>0</v>
      </c>
      <c r="U37" s="97"/>
      <c r="V37" s="97">
        <f t="shared" ref="V37" si="141">I37*U37*$V$2/1000</f>
        <v>0</v>
      </c>
      <c r="W37" s="97"/>
      <c r="X37" s="97">
        <f t="shared" ref="X37" si="142">I37*W37*$X$2/1000</f>
        <v>0</v>
      </c>
      <c r="Y37" s="97">
        <f t="shared" ref="Y37" si="143">SUM(S37+U37+W37)</f>
        <v>0</v>
      </c>
      <c r="Z37" s="97">
        <f t="shared" ref="Z37" si="144">SUM(T37,V37,X37)</f>
        <v>0</v>
      </c>
      <c r="AA37" s="97"/>
      <c r="AB37" s="97">
        <f>K37*AA37*$AB$2/1000</f>
        <v>0</v>
      </c>
      <c r="AC37" s="97"/>
      <c r="AD37" s="97">
        <f>K37*AC37*$AD$2/1000</f>
        <v>0</v>
      </c>
      <c r="AE37" s="97"/>
      <c r="AF37" s="96">
        <f>K37*AE37*$AF$2/1000</f>
        <v>0</v>
      </c>
      <c r="AG37" s="97">
        <f t="shared" ref="AG37" si="145">SUM(AA37+AC37+AE37)</f>
        <v>0</v>
      </c>
      <c r="AH37" s="97">
        <f t="shared" ref="AH37" si="146">SUM(AB37,AD37,AF37)</f>
        <v>0</v>
      </c>
      <c r="AI37" s="97">
        <f t="shared" ref="AI37" si="147">SUM(Y37+AG37)</f>
        <v>0</v>
      </c>
      <c r="AJ37" s="97">
        <f t="shared" ref="AJ37" si="148">SUM(Z37,AH37)</f>
        <v>0</v>
      </c>
      <c r="AK37" s="97"/>
      <c r="AL37" s="97">
        <f t="shared" ref="AL37" si="149">M37*AK37*$AL$2/1000</f>
        <v>0</v>
      </c>
      <c r="AM37" s="97"/>
      <c r="AN37" s="97">
        <f t="shared" ref="AN37" si="150">M37*AM37*$AN$2/1000</f>
        <v>0</v>
      </c>
      <c r="AO37" s="97"/>
      <c r="AP37" s="97">
        <f t="shared" ref="AP37:AP38" si="151">M37*AO37*$AP$2/1000</f>
        <v>0</v>
      </c>
      <c r="AQ37" s="97">
        <f t="shared" ref="AQ37" si="152">SUM(AK37+AM37+AO37)</f>
        <v>0</v>
      </c>
      <c r="AR37" s="97">
        <f t="shared" ref="AR37" si="153">SUM(AL37,AN37,AP37)</f>
        <v>0</v>
      </c>
      <c r="AS37" s="97"/>
      <c r="AT37" s="97">
        <f t="shared" ref="AT37" si="154">O37*AS37*$AT$2/1000</f>
        <v>0</v>
      </c>
      <c r="AU37" s="97"/>
      <c r="AV37" s="97">
        <f t="shared" ref="AV37" si="155">O37*AU37*$AV$2/1000</f>
        <v>0</v>
      </c>
      <c r="AW37" s="97"/>
      <c r="AX37" s="97">
        <f t="shared" ref="AX37" si="156">O37*AW37*$AX$2/1000</f>
        <v>0</v>
      </c>
      <c r="AY37" s="97">
        <f t="shared" ref="AY37" si="157">SUM(AS37+AU37+AW37)</f>
        <v>0</v>
      </c>
      <c r="AZ37" s="97">
        <f t="shared" ref="AZ37" si="158">SUM(AT37,AV37,AX37)</f>
        <v>0</v>
      </c>
      <c r="BA37" s="97">
        <f t="shared" ref="BA37" si="159">SUM(AQ37+AY37)</f>
        <v>0</v>
      </c>
      <c r="BB37" s="97">
        <f t="shared" ref="BB37" si="160">SUM(AR37,AZ37)</f>
        <v>0</v>
      </c>
      <c r="BC37" s="1" t="s">
        <v>1105</v>
      </c>
    </row>
    <row r="38" spans="1:55">
      <c r="A38" s="498">
        <v>33</v>
      </c>
      <c r="B38" s="13"/>
      <c r="C38" s="13"/>
      <c r="D38" s="15"/>
      <c r="E38" s="21" t="s">
        <v>551</v>
      </c>
      <c r="F38" s="46" t="s">
        <v>550</v>
      </c>
      <c r="G38" s="46" t="s">
        <v>1105</v>
      </c>
      <c r="H38" s="268" t="s">
        <v>365</v>
      </c>
      <c r="I38" s="138">
        <v>20.89</v>
      </c>
      <c r="J38" s="158"/>
      <c r="K38" s="138">
        <v>20.89</v>
      </c>
      <c r="L38" s="202"/>
      <c r="M38" s="138">
        <v>20.89</v>
      </c>
      <c r="N38" s="202"/>
      <c r="O38" s="138">
        <v>20.89</v>
      </c>
      <c r="P38" s="158"/>
      <c r="Q38" s="97">
        <f>SUM(AI38+BA38)</f>
        <v>0</v>
      </c>
      <c r="R38" s="342">
        <f t="shared" ref="R38" si="161">SUM(AJ38+BB38)</f>
        <v>0</v>
      </c>
      <c r="S38" s="97"/>
      <c r="T38" s="97">
        <f t="shared" ref="T38:T39" si="162">I38*S38*$T$2/1000</f>
        <v>0</v>
      </c>
      <c r="U38" s="97"/>
      <c r="V38" s="97">
        <f t="shared" ref="V38:V39" si="163">I38*U38*$V$2/1000</f>
        <v>0</v>
      </c>
      <c r="W38" s="97"/>
      <c r="X38" s="97">
        <f t="shared" ref="X38:X39" si="164">I38*W38*$X$2/1000</f>
        <v>0</v>
      </c>
      <c r="Y38" s="97">
        <f t="shared" ref="Y38:Y39" si="165">SUM(S38+U38+W38)</f>
        <v>0</v>
      </c>
      <c r="Z38" s="97">
        <f t="shared" ref="Z38:Z39" si="166">SUM(T38,V38,X38)</f>
        <v>0</v>
      </c>
      <c r="AA38" s="97"/>
      <c r="AB38" s="97">
        <f t="shared" si="98"/>
        <v>0</v>
      </c>
      <c r="AC38" s="97"/>
      <c r="AD38" s="97">
        <f>K38*AC38*$AD$2/1000</f>
        <v>0</v>
      </c>
      <c r="AE38" s="97"/>
      <c r="AF38" s="96">
        <f t="shared" si="105"/>
        <v>0</v>
      </c>
      <c r="AG38" s="97">
        <f t="shared" ref="AG38:AG39" si="167">SUM(AA38+AC38+AE38)</f>
        <v>0</v>
      </c>
      <c r="AH38" s="97">
        <f t="shared" ref="AH38:AH39" si="168">SUM(AB38,AD38,AF38)</f>
        <v>0</v>
      </c>
      <c r="AI38" s="97">
        <f t="shared" ref="AI38:AI39" si="169">SUM(Y38+AG38)</f>
        <v>0</v>
      </c>
      <c r="AJ38" s="97">
        <f t="shared" ref="AJ38:AJ43" si="170">SUM(Z38,AH38)</f>
        <v>0</v>
      </c>
      <c r="AK38" s="97"/>
      <c r="AL38" s="97">
        <f t="shared" ref="AL38:AL43" si="171">M38*AK38*$AL$2/1000</f>
        <v>0</v>
      </c>
      <c r="AM38" s="97"/>
      <c r="AN38" s="97">
        <f t="shared" ref="AN38:AN43" si="172">M38*AM38*$AN$2/1000</f>
        <v>0</v>
      </c>
      <c r="AO38" s="97"/>
      <c r="AP38" s="97">
        <f t="shared" si="151"/>
        <v>0</v>
      </c>
      <c r="AQ38" s="97">
        <f t="shared" ref="AQ38:AQ39" si="173">SUM(AK38+AM38+AO38)</f>
        <v>0</v>
      </c>
      <c r="AR38" s="97">
        <f t="shared" ref="AR38:AR39" si="174">SUM(AL38,AN38,AP38)</f>
        <v>0</v>
      </c>
      <c r="AS38" s="97"/>
      <c r="AT38" s="97">
        <f t="shared" ref="AT38:AT43" si="175">O38*AS38*$AT$2/1000</f>
        <v>0</v>
      </c>
      <c r="AU38" s="97"/>
      <c r="AV38" s="97">
        <f t="shared" ref="AV38:AV43" si="176">O38*AU38*$AV$2/1000</f>
        <v>0</v>
      </c>
      <c r="AW38" s="97"/>
      <c r="AX38" s="97">
        <f t="shared" ref="AX38" si="177">O38*AW38*$AX$2/1000</f>
        <v>0</v>
      </c>
      <c r="AY38" s="97">
        <f t="shared" ref="AY38:AY39" si="178">SUM(AS38+AU38+AW38)</f>
        <v>0</v>
      </c>
      <c r="AZ38" s="97">
        <f t="shared" ref="AZ38:AZ39" si="179">SUM(AT38,AV38,AX38)</f>
        <v>0</v>
      </c>
      <c r="BA38" s="97">
        <f t="shared" ref="BA38:BA39" si="180">SUM(AQ38+AY38)</f>
        <v>0</v>
      </c>
      <c r="BB38" s="97">
        <f t="shared" ref="BB38:BB43" si="181">SUM(AR38,AZ38)</f>
        <v>0</v>
      </c>
      <c r="BC38" s="1" t="s">
        <v>1105</v>
      </c>
    </row>
    <row r="39" spans="1:55">
      <c r="A39" s="498">
        <v>35</v>
      </c>
      <c r="B39" s="13"/>
      <c r="C39" s="13"/>
      <c r="D39" s="15"/>
      <c r="E39" s="21" t="s">
        <v>838</v>
      </c>
      <c r="F39" s="46" t="s">
        <v>839</v>
      </c>
      <c r="G39" s="46" t="s">
        <v>1105</v>
      </c>
      <c r="H39" s="268" t="s">
        <v>365</v>
      </c>
      <c r="I39" s="138">
        <v>21.7</v>
      </c>
      <c r="J39" s="158"/>
      <c r="K39" s="138">
        <v>21.7</v>
      </c>
      <c r="L39" s="202"/>
      <c r="M39" s="138">
        <v>21.69</v>
      </c>
      <c r="N39" s="202"/>
      <c r="O39" s="138">
        <v>21.69</v>
      </c>
      <c r="P39" s="138"/>
      <c r="Q39" s="97">
        <f>SUM(AI39+BA39)</f>
        <v>248.179</v>
      </c>
      <c r="R39" s="342">
        <f>SUM(AJ39+BB39)</f>
        <v>7339.1202834316</v>
      </c>
      <c r="S39" s="97">
        <v>3.3540000000000001</v>
      </c>
      <c r="T39" s="97">
        <f t="shared" si="162"/>
        <v>96.209533602000008</v>
      </c>
      <c r="U39" s="97">
        <v>25.166</v>
      </c>
      <c r="V39" s="97">
        <f t="shared" si="163"/>
        <v>726.53436688000011</v>
      </c>
      <c r="W39" s="97">
        <v>25.14</v>
      </c>
      <c r="X39" s="97">
        <f t="shared" si="164"/>
        <v>725.89286279999999</v>
      </c>
      <c r="Y39" s="97">
        <f t="shared" si="165"/>
        <v>53.66</v>
      </c>
      <c r="Z39" s="97">
        <f t="shared" si="166"/>
        <v>1548.6367632820002</v>
      </c>
      <c r="AA39" s="97">
        <v>27.402000000000001</v>
      </c>
      <c r="AB39" s="97">
        <f t="shared" ref="AB39:AB43" si="182">K39*AA39*$AB$2/1000</f>
        <v>811.13767240799984</v>
      </c>
      <c r="AC39" s="97">
        <v>18.474</v>
      </c>
      <c r="AD39" s="97">
        <f t="shared" ref="AD39" si="183">K39*AC39*$AD$2/1000</f>
        <v>549.06521825400011</v>
      </c>
      <c r="AE39" s="97">
        <v>35.901000000000003</v>
      </c>
      <c r="AF39" s="96">
        <f t="shared" ref="AF39:AF43" si="184">K39*AE39*$AF$2/1000</f>
        <v>1074.1798555110001</v>
      </c>
      <c r="AG39" s="97">
        <f t="shared" si="167"/>
        <v>81.777000000000015</v>
      </c>
      <c r="AH39" s="97">
        <f t="shared" si="168"/>
        <v>2434.3827461729998</v>
      </c>
      <c r="AI39" s="97">
        <f t="shared" si="169"/>
        <v>135.43700000000001</v>
      </c>
      <c r="AJ39" s="97">
        <f t="shared" si="170"/>
        <v>3983.0195094549999</v>
      </c>
      <c r="AK39" s="97">
        <v>28.128</v>
      </c>
      <c r="AL39" s="97">
        <f t="shared" si="171"/>
        <v>843.81201826559993</v>
      </c>
      <c r="AM39" s="97">
        <v>32.207999999999998</v>
      </c>
      <c r="AN39" s="97">
        <f t="shared" si="172"/>
        <v>950.85291787200003</v>
      </c>
      <c r="AO39" s="97">
        <v>12.965999999999999</v>
      </c>
      <c r="AP39" s="97">
        <f t="shared" ref="AP39:AP43" si="185">M39*AO39*$AP$2/1000</f>
        <v>374.71142397060009</v>
      </c>
      <c r="AQ39" s="97">
        <f t="shared" si="173"/>
        <v>73.301999999999992</v>
      </c>
      <c r="AR39" s="97">
        <f t="shared" si="174"/>
        <v>2169.3763601082001</v>
      </c>
      <c r="AS39" s="97">
        <v>14.28</v>
      </c>
      <c r="AT39" s="97">
        <f t="shared" si="175"/>
        <v>420.58671228000003</v>
      </c>
      <c r="AU39" s="97">
        <v>14.034000000000001</v>
      </c>
      <c r="AV39" s="97">
        <f t="shared" si="176"/>
        <v>423.62081315820006</v>
      </c>
      <c r="AW39" s="97">
        <v>11.125999999999999</v>
      </c>
      <c r="AX39" s="97">
        <f>O39*AW39*$AX$2/1000</f>
        <v>342.51688843019997</v>
      </c>
      <c r="AY39" s="97">
        <f t="shared" si="178"/>
        <v>39.44</v>
      </c>
      <c r="AZ39" s="97">
        <f t="shared" si="179"/>
        <v>1186.7244138684</v>
      </c>
      <c r="BA39" s="97">
        <f t="shared" si="180"/>
        <v>112.74199999999999</v>
      </c>
      <c r="BB39" s="97">
        <f t="shared" si="181"/>
        <v>3356.1007739766001</v>
      </c>
      <c r="BC39" s="1" t="s">
        <v>1105</v>
      </c>
    </row>
    <row r="40" spans="1:55">
      <c r="B40" s="13"/>
      <c r="C40" s="13"/>
      <c r="D40" s="13"/>
      <c r="E40" s="21" t="s">
        <v>1160</v>
      </c>
      <c r="F40" s="22" t="s">
        <v>1164</v>
      </c>
      <c r="G40" s="46" t="s">
        <v>1102</v>
      </c>
      <c r="H40" s="268" t="s">
        <v>365</v>
      </c>
      <c r="I40" s="55">
        <v>18.75</v>
      </c>
      <c r="J40" s="102"/>
      <c r="K40" s="55">
        <v>18.75</v>
      </c>
      <c r="L40" s="163"/>
      <c r="M40" s="55">
        <v>18.75</v>
      </c>
      <c r="N40" s="163"/>
      <c r="O40" s="55">
        <v>18.75</v>
      </c>
      <c r="P40" s="102"/>
      <c r="Q40" s="97">
        <f t="shared" ref="Q40" si="186">SUM(AI40+BA40)</f>
        <v>1.4999999999999999E-2</v>
      </c>
      <c r="R40" s="342">
        <f t="shared" ref="R40" si="187">SUM(AJ40+BB40)</f>
        <v>0.38779593749999997</v>
      </c>
      <c r="S40" s="97"/>
      <c r="T40" s="97">
        <f t="shared" ref="T40:T43" si="188">I40*S40*$T$2/1000</f>
        <v>0</v>
      </c>
      <c r="U40" s="97"/>
      <c r="V40" s="177">
        <f t="shared" ref="V40:V43" si="189">I40*U40*$V$2/1000</f>
        <v>0</v>
      </c>
      <c r="W40" s="207"/>
      <c r="X40" s="206">
        <f t="shared" ref="X40:X43" si="190">I40*W40*$X$2/1000</f>
        <v>0</v>
      </c>
      <c r="Y40" s="189">
        <f t="shared" ref="Y40" si="191">SUM(S40+U40+W40)</f>
        <v>0</v>
      </c>
      <c r="Z40" s="177">
        <f t="shared" ref="Z40" si="192">SUM(T40+V40+X40)</f>
        <v>0</v>
      </c>
      <c r="AA40" s="207"/>
      <c r="AB40" s="206">
        <f t="shared" si="182"/>
        <v>0</v>
      </c>
      <c r="AC40" s="207"/>
      <c r="AD40" s="177">
        <f t="shared" ref="AD40:AD43" si="193">K40*AC40*$AD$2/1000</f>
        <v>0</v>
      </c>
      <c r="AE40" s="207">
        <v>1.4999999999999999E-2</v>
      </c>
      <c r="AF40" s="206">
        <f t="shared" si="184"/>
        <v>0.38779593749999997</v>
      </c>
      <c r="AG40" s="189">
        <f t="shared" ref="AG40" si="194">SUM(AA40+AC40+AE40)</f>
        <v>1.4999999999999999E-2</v>
      </c>
      <c r="AH40" s="97">
        <f t="shared" ref="AH40" si="195">SUM(AB40+AD40+AF40)</f>
        <v>0.38779593749999997</v>
      </c>
      <c r="AI40" s="97">
        <f t="shared" ref="AI40" si="196">SUM(Y40+AG40)</f>
        <v>1.4999999999999999E-2</v>
      </c>
      <c r="AJ40" s="177">
        <f t="shared" si="170"/>
        <v>0.38779593749999997</v>
      </c>
      <c r="AK40" s="207"/>
      <c r="AL40" s="177">
        <f t="shared" si="171"/>
        <v>0</v>
      </c>
      <c r="AM40" s="245"/>
      <c r="AN40" s="177">
        <f t="shared" si="172"/>
        <v>0</v>
      </c>
      <c r="AO40" s="207"/>
      <c r="AP40" s="206">
        <f t="shared" si="185"/>
        <v>0</v>
      </c>
      <c r="AQ40" s="189">
        <f>SUM(AK40+AM40+AO40)</f>
        <v>0</v>
      </c>
      <c r="AR40" s="97">
        <f t="shared" ref="AR40" si="197">SUM(AL40+AN40+AP40)</f>
        <v>0</v>
      </c>
      <c r="AS40" s="97"/>
      <c r="AT40" s="177">
        <f t="shared" si="175"/>
        <v>0</v>
      </c>
      <c r="AU40" s="207"/>
      <c r="AV40" s="177">
        <f t="shared" si="176"/>
        <v>0</v>
      </c>
      <c r="AW40" s="207"/>
      <c r="AX40" s="206">
        <f t="shared" ref="AX40" si="198">O40*AW40*$AX$2/1000</f>
        <v>0</v>
      </c>
      <c r="AY40" s="189">
        <f t="shared" ref="AY40" si="199">SUM(AS40+AU40+AW40)</f>
        <v>0</v>
      </c>
      <c r="AZ40" s="97">
        <f t="shared" ref="AZ40" si="200">SUM(AT40+AV40+AX40)</f>
        <v>0</v>
      </c>
      <c r="BA40" s="97">
        <f t="shared" ref="BA40" si="201">SUM(AQ40+AY40)</f>
        <v>0</v>
      </c>
      <c r="BB40" s="97">
        <f t="shared" si="181"/>
        <v>0</v>
      </c>
      <c r="BC40" s="1" t="s">
        <v>1105</v>
      </c>
    </row>
    <row r="41" spans="1:55">
      <c r="B41" s="13"/>
      <c r="C41" s="13"/>
      <c r="D41" s="13"/>
      <c r="E41" s="21" t="s">
        <v>1161</v>
      </c>
      <c r="F41" s="22" t="s">
        <v>1165</v>
      </c>
      <c r="G41" s="46" t="s">
        <v>1102</v>
      </c>
      <c r="H41" s="268" t="s">
        <v>365</v>
      </c>
      <c r="I41" s="55">
        <v>20.64</v>
      </c>
      <c r="J41" s="102"/>
      <c r="K41" s="55">
        <v>20.64</v>
      </c>
      <c r="L41" s="163"/>
      <c r="M41" s="55">
        <v>20.64</v>
      </c>
      <c r="N41" s="163"/>
      <c r="O41" s="55">
        <v>20.64</v>
      </c>
      <c r="P41" s="102"/>
      <c r="Q41" s="97">
        <f t="shared" ref="Q41" si="202">SUM(AI41+BA41)</f>
        <v>0</v>
      </c>
      <c r="R41" s="342">
        <f t="shared" ref="R41" si="203">SUM(AJ41+BB41)</f>
        <v>0</v>
      </c>
      <c r="S41" s="97"/>
      <c r="T41" s="97">
        <f t="shared" si="188"/>
        <v>0</v>
      </c>
      <c r="U41" s="97"/>
      <c r="V41" s="177">
        <f t="shared" si="189"/>
        <v>0</v>
      </c>
      <c r="W41" s="207"/>
      <c r="X41" s="206">
        <f t="shared" si="190"/>
        <v>0</v>
      </c>
      <c r="Y41" s="189">
        <f t="shared" ref="Y41" si="204">SUM(S41+U41+W41)</f>
        <v>0</v>
      </c>
      <c r="Z41" s="177">
        <f t="shared" ref="Z41" si="205">SUM(T41+V41+X41)</f>
        <v>0</v>
      </c>
      <c r="AA41" s="207"/>
      <c r="AB41" s="206">
        <f t="shared" si="182"/>
        <v>0</v>
      </c>
      <c r="AC41" s="207"/>
      <c r="AD41" s="177">
        <f t="shared" si="193"/>
        <v>0</v>
      </c>
      <c r="AE41" s="207"/>
      <c r="AF41" s="206">
        <f t="shared" ref="AF41" si="206">K41*AE41*$AF$2/1000</f>
        <v>0</v>
      </c>
      <c r="AG41" s="189">
        <f t="shared" ref="AG41" si="207">SUM(AA41+AC41+AE41)</f>
        <v>0</v>
      </c>
      <c r="AH41" s="97">
        <f t="shared" ref="AH41" si="208">SUM(AB41+AD41+AF41)</f>
        <v>0</v>
      </c>
      <c r="AI41" s="97">
        <f t="shared" ref="AI41" si="209">SUM(Y41+AG41)</f>
        <v>0</v>
      </c>
      <c r="AJ41" s="177">
        <f t="shared" ref="AJ41" si="210">SUM(Z41,AH41)</f>
        <v>0</v>
      </c>
      <c r="AK41" s="207"/>
      <c r="AL41" s="177">
        <f t="shared" ref="AL41" si="211">M41*AK41*$AL$2/1000</f>
        <v>0</v>
      </c>
      <c r="AM41" s="245"/>
      <c r="AN41" s="177">
        <f t="shared" ref="AN41" si="212">M41*AM41*$AN$2/1000</f>
        <v>0</v>
      </c>
      <c r="AO41" s="207"/>
      <c r="AP41" s="206">
        <f t="shared" ref="AP41" si="213">M41*AO41*$AP$2/1000</f>
        <v>0</v>
      </c>
      <c r="AQ41" s="189">
        <f t="shared" ref="AQ41" si="214">SUM(AK41+AM41+AO41)</f>
        <v>0</v>
      </c>
      <c r="AR41" s="97">
        <f t="shared" ref="AR41" si="215">SUM(AL41+AN41+AP41)</f>
        <v>0</v>
      </c>
      <c r="AS41" s="97"/>
      <c r="AT41" s="177">
        <f t="shared" ref="AT41" si="216">O41*AS41*$AT$2/1000</f>
        <v>0</v>
      </c>
      <c r="AU41" s="207"/>
      <c r="AV41" s="177">
        <f t="shared" ref="AV41" si="217">O41*AU41*$AV$2/1000</f>
        <v>0</v>
      </c>
      <c r="AW41" s="207"/>
      <c r="AX41" s="206">
        <f t="shared" ref="AX41" si="218">O41*AW41*$AX$2/1000</f>
        <v>0</v>
      </c>
      <c r="AY41" s="189">
        <f t="shared" ref="AY41" si="219">SUM(AS41+AU41+AW41)</f>
        <v>0</v>
      </c>
      <c r="AZ41" s="97">
        <f t="shared" ref="AZ41" si="220">SUM(AT41+AV41+AX41)</f>
        <v>0</v>
      </c>
      <c r="BA41" s="97">
        <f t="shared" ref="BA41" si="221">SUM(AQ41+AY41)</f>
        <v>0</v>
      </c>
      <c r="BB41" s="97">
        <f t="shared" ref="BB41" si="222">SUM(AR41,AZ41)</f>
        <v>0</v>
      </c>
      <c r="BC41" s="1" t="s">
        <v>1105</v>
      </c>
    </row>
    <row r="42" spans="1:55">
      <c r="B42" s="13"/>
      <c r="C42" s="13"/>
      <c r="D42" s="13"/>
      <c r="E42" s="21" t="s">
        <v>1162</v>
      </c>
      <c r="F42" s="22" t="s">
        <v>1163</v>
      </c>
      <c r="G42" s="46" t="s">
        <v>1102</v>
      </c>
      <c r="H42" s="268" t="s">
        <v>365</v>
      </c>
      <c r="I42" s="55">
        <v>22.77</v>
      </c>
      <c r="J42" s="102"/>
      <c r="K42" s="55">
        <v>22.77</v>
      </c>
      <c r="L42" s="163"/>
      <c r="M42" s="55">
        <v>22.77</v>
      </c>
      <c r="N42" s="163"/>
      <c r="O42" s="55">
        <v>22.77</v>
      </c>
      <c r="P42" s="102"/>
      <c r="Q42" s="97">
        <f t="shared" ref="Q42" si="223">SUM(AI42+BA42)</f>
        <v>13.962</v>
      </c>
      <c r="R42" s="342">
        <f t="shared" ref="R42" si="224">SUM(AJ42+BB42)</f>
        <v>421.453561815</v>
      </c>
      <c r="S42" s="97">
        <v>7.79</v>
      </c>
      <c r="T42" s="97">
        <f t="shared" si="188"/>
        <v>234.474600987</v>
      </c>
      <c r="U42" s="97">
        <v>4.1340000000000003</v>
      </c>
      <c r="V42" s="177">
        <f t="shared" si="189"/>
        <v>125.23212187200001</v>
      </c>
      <c r="W42" s="207">
        <v>2.0379999999999998</v>
      </c>
      <c r="X42" s="206">
        <f t="shared" si="190"/>
        <v>61.746838955999984</v>
      </c>
      <c r="Y42" s="189">
        <f t="shared" ref="Y42" si="225">SUM(S42+U42+W42)</f>
        <v>13.962</v>
      </c>
      <c r="Z42" s="177">
        <f t="shared" ref="Z42" si="226">SUM(T42+V42+X42)</f>
        <v>421.453561815</v>
      </c>
      <c r="AA42" s="207"/>
      <c r="AB42" s="206">
        <f t="shared" ref="AB42" si="227">K42*AA42*$AB$2/1000</f>
        <v>0</v>
      </c>
      <c r="AC42" s="207"/>
      <c r="AD42" s="177">
        <f t="shared" si="193"/>
        <v>0</v>
      </c>
      <c r="AE42" s="207"/>
      <c r="AF42" s="206">
        <f t="shared" ref="AF42" si="228">K42*AE42*$AF$2/1000</f>
        <v>0</v>
      </c>
      <c r="AG42" s="189">
        <f t="shared" ref="AG42" si="229">SUM(AA42+AC42+AE42)</f>
        <v>0</v>
      </c>
      <c r="AH42" s="97">
        <f t="shared" ref="AH42" si="230">SUM(AB42+AD42+AF42)</f>
        <v>0</v>
      </c>
      <c r="AI42" s="97">
        <f t="shared" ref="AI42" si="231">SUM(Y42+AG42)</f>
        <v>13.962</v>
      </c>
      <c r="AJ42" s="177">
        <f t="shared" ref="AJ42" si="232">SUM(Z42,AH42)</f>
        <v>421.453561815</v>
      </c>
      <c r="AK42" s="207"/>
      <c r="AL42" s="177">
        <f t="shared" ref="AL42" si="233">M42*AK42*$AL$2/1000</f>
        <v>0</v>
      </c>
      <c r="AM42" s="245"/>
      <c r="AN42" s="177">
        <f t="shared" ref="AN42" si="234">M42*AM42*$AN$2/1000</f>
        <v>0</v>
      </c>
      <c r="AO42" s="207"/>
      <c r="AP42" s="206">
        <f t="shared" ref="AP42" si="235">M42*AO42*$AP$2/1000</f>
        <v>0</v>
      </c>
      <c r="AQ42" s="189">
        <f t="shared" ref="AQ42" si="236">SUM(AK42+AM42+AO42)</f>
        <v>0</v>
      </c>
      <c r="AR42" s="97">
        <f>SUM(AL42+AN42+AP42)</f>
        <v>0</v>
      </c>
      <c r="AS42" s="97"/>
      <c r="AT42" s="177">
        <f t="shared" ref="AT42" si="237">O42*AS42*$AT$2/1000</f>
        <v>0</v>
      </c>
      <c r="AU42" s="207"/>
      <c r="AV42" s="177">
        <f t="shared" ref="AV42" si="238">O42*AU42*$AV$2/1000</f>
        <v>0</v>
      </c>
      <c r="AW42" s="207"/>
      <c r="AX42" s="206">
        <f t="shared" ref="AX42" si="239">O42*AW42*$AX$2/1000</f>
        <v>0</v>
      </c>
      <c r="AY42" s="189">
        <f t="shared" ref="AY42" si="240">SUM(AS42+AU42+AW42)</f>
        <v>0</v>
      </c>
      <c r="AZ42" s="97">
        <f t="shared" ref="AZ42" si="241">SUM(AT42+AV42+AX42)</f>
        <v>0</v>
      </c>
      <c r="BA42" s="97">
        <f t="shared" ref="BA42" si="242">SUM(AQ42+AY42)</f>
        <v>0</v>
      </c>
      <c r="BB42" s="97">
        <f t="shared" ref="BB42" si="243">SUM(AR42,AZ42)</f>
        <v>0</v>
      </c>
      <c r="BC42" s="1" t="s">
        <v>1105</v>
      </c>
    </row>
    <row r="43" spans="1:55">
      <c r="B43" s="13"/>
      <c r="C43" s="13"/>
      <c r="D43" s="13"/>
      <c r="E43" s="21" t="s">
        <v>1209</v>
      </c>
      <c r="F43" s="22" t="s">
        <v>1208</v>
      </c>
      <c r="G43" s="46" t="s">
        <v>1102</v>
      </c>
      <c r="H43" s="268" t="s">
        <v>365</v>
      </c>
      <c r="I43" s="55">
        <v>22.77</v>
      </c>
      <c r="J43" s="102"/>
      <c r="K43" s="55">
        <v>22.77</v>
      </c>
      <c r="L43" s="163"/>
      <c r="M43" s="55">
        <v>22.77</v>
      </c>
      <c r="N43" s="163"/>
      <c r="O43" s="55">
        <v>22.77</v>
      </c>
      <c r="P43" s="102"/>
      <c r="Q43" s="97">
        <f t="shared" ref="Q43" si="244">SUM(AI43+BA43)</f>
        <v>0.90399999999999991</v>
      </c>
      <c r="R43" s="342">
        <f t="shared" ref="R43" si="245">SUM(AJ43+BB43)</f>
        <v>27.249419142000001</v>
      </c>
      <c r="S43" s="97">
        <v>0.7</v>
      </c>
      <c r="T43" s="97">
        <f t="shared" si="188"/>
        <v>21.06960471</v>
      </c>
      <c r="U43" s="97">
        <v>0.20399999999999999</v>
      </c>
      <c r="V43" s="177">
        <f t="shared" si="189"/>
        <v>6.1798144319999988</v>
      </c>
      <c r="W43" s="207"/>
      <c r="X43" s="206">
        <f t="shared" si="190"/>
        <v>0</v>
      </c>
      <c r="Y43" s="189">
        <f t="shared" ref="Y43" si="246">SUM(S43+U43+W43)</f>
        <v>0.90399999999999991</v>
      </c>
      <c r="Z43" s="177">
        <f t="shared" ref="Z43" si="247">SUM(T43+V43+X43)</f>
        <v>27.249419142000001</v>
      </c>
      <c r="AA43" s="207"/>
      <c r="AB43" s="206">
        <f t="shared" si="182"/>
        <v>0</v>
      </c>
      <c r="AC43" s="207"/>
      <c r="AD43" s="177">
        <f t="shared" si="193"/>
        <v>0</v>
      </c>
      <c r="AE43" s="207"/>
      <c r="AF43" s="206">
        <f t="shared" si="184"/>
        <v>0</v>
      </c>
      <c r="AG43" s="189">
        <f>SUM(AA43+AC43+AE43)</f>
        <v>0</v>
      </c>
      <c r="AH43" s="97">
        <f t="shared" ref="AH43" si="248">SUM(AB43+AD43+AF43)</f>
        <v>0</v>
      </c>
      <c r="AI43" s="97">
        <f t="shared" ref="AI43" si="249">SUM(Y43+AG43)</f>
        <v>0.90399999999999991</v>
      </c>
      <c r="AJ43" s="177">
        <f t="shared" si="170"/>
        <v>27.249419142000001</v>
      </c>
      <c r="AK43" s="207"/>
      <c r="AL43" s="177">
        <f t="shared" si="171"/>
        <v>0</v>
      </c>
      <c r="AM43" s="245"/>
      <c r="AN43" s="177">
        <f t="shared" si="172"/>
        <v>0</v>
      </c>
      <c r="AO43" s="207"/>
      <c r="AP43" s="206">
        <f t="shared" si="185"/>
        <v>0</v>
      </c>
      <c r="AQ43" s="189">
        <f>SUM(AK43+AM43+AO43)</f>
        <v>0</v>
      </c>
      <c r="AR43" s="97">
        <f t="shared" ref="AR43" si="250">SUM(AL43+AN43+AP43)</f>
        <v>0</v>
      </c>
      <c r="AS43" s="97"/>
      <c r="AT43" s="177">
        <f t="shared" si="175"/>
        <v>0</v>
      </c>
      <c r="AU43" s="207"/>
      <c r="AV43" s="177">
        <f t="shared" si="176"/>
        <v>0</v>
      </c>
      <c r="AW43" s="207"/>
      <c r="AX43" s="206">
        <f t="shared" ref="AX43" si="251">O43*AW43*$AX$2/1000</f>
        <v>0</v>
      </c>
      <c r="AY43" s="189">
        <f t="shared" ref="AY43" si="252">SUM(AS43+AU43+AW43)</f>
        <v>0</v>
      </c>
      <c r="AZ43" s="97">
        <f t="shared" ref="AZ43" si="253">SUM(AT43+AV43+AX43)</f>
        <v>0</v>
      </c>
      <c r="BA43" s="97">
        <f t="shared" ref="BA43" si="254">SUM(AQ43+AY43)</f>
        <v>0</v>
      </c>
      <c r="BB43" s="97">
        <f t="shared" si="181"/>
        <v>0</v>
      </c>
      <c r="BC43" s="1" t="s">
        <v>1105</v>
      </c>
    </row>
    <row r="44" spans="1:55">
      <c r="A44" s="498">
        <v>36</v>
      </c>
      <c r="B44" s="13"/>
      <c r="C44" s="13"/>
      <c r="D44" s="15"/>
      <c r="E44" s="21" t="s">
        <v>970</v>
      </c>
      <c r="F44" s="46" t="s">
        <v>995</v>
      </c>
      <c r="G44" s="46" t="s">
        <v>1102</v>
      </c>
      <c r="H44" s="268" t="s">
        <v>365</v>
      </c>
      <c r="I44" s="138">
        <v>29.23</v>
      </c>
      <c r="J44" s="158"/>
      <c r="K44" s="138">
        <v>29.23</v>
      </c>
      <c r="L44" s="202"/>
      <c r="M44" s="138">
        <v>29.23</v>
      </c>
      <c r="N44" s="202"/>
      <c r="O44" s="138">
        <v>29.23</v>
      </c>
      <c r="P44" s="158"/>
      <c r="Q44" s="97">
        <f>SUM(AI44+BA44)</f>
        <v>0</v>
      </c>
      <c r="R44" s="342">
        <f>SUM(AJ44+BB44)</f>
        <v>0</v>
      </c>
      <c r="S44" s="97"/>
      <c r="T44" s="97">
        <f t="shared" ref="T44:T45" si="255">I44*S44*$T$2/1000</f>
        <v>0</v>
      </c>
      <c r="U44" s="97"/>
      <c r="V44" s="97">
        <f t="shared" ref="V44:V45" si="256">I44*U44*$V$2/1000</f>
        <v>0</v>
      </c>
      <c r="W44" s="97"/>
      <c r="X44" s="97">
        <f t="shared" ref="X44:X45" si="257">I44*W44*$X$2/1000</f>
        <v>0</v>
      </c>
      <c r="Y44" s="97">
        <f t="shared" ref="Y44:Y45" si="258">SUM(S44+U44+W44)</f>
        <v>0</v>
      </c>
      <c r="Z44" s="97">
        <f t="shared" ref="Z44:Z45" si="259">SUM(T44,V44,X44)</f>
        <v>0</v>
      </c>
      <c r="AA44" s="97"/>
      <c r="AB44" s="97">
        <f t="shared" ref="AB44:AB45" si="260">K44*AA44*$AB$2/1000</f>
        <v>0</v>
      </c>
      <c r="AC44" s="97"/>
      <c r="AD44" s="97">
        <f t="shared" ref="AD44:AD45" si="261">K44*AC44*$AD$2/1000</f>
        <v>0</v>
      </c>
      <c r="AE44" s="97"/>
      <c r="AF44" s="96">
        <f>K44*AE44*$AF$2/1000</f>
        <v>0</v>
      </c>
      <c r="AG44" s="97">
        <f t="shared" ref="AG44:AG45" si="262">SUM(AA44+AC44+AE44)</f>
        <v>0</v>
      </c>
      <c r="AH44" s="97">
        <f t="shared" ref="AH44:AH45" si="263">SUM(AB44,AD44,AF44)</f>
        <v>0</v>
      </c>
      <c r="AI44" s="97">
        <f t="shared" ref="AI44:AI45" si="264">SUM(Y44+AG44)</f>
        <v>0</v>
      </c>
      <c r="AJ44" s="97">
        <f t="shared" ref="AJ44:AJ45" si="265">SUM(Z44,AH44)</f>
        <v>0</v>
      </c>
      <c r="AK44" s="97"/>
      <c r="AL44" s="97">
        <f t="shared" ref="AL44:AL45" si="266">M44*AK44*$AL$2/1000</f>
        <v>0</v>
      </c>
      <c r="AM44" s="97"/>
      <c r="AN44" s="97">
        <f t="shared" ref="AN44:AN45" si="267">M44*AM44*$AN$2/1000</f>
        <v>0</v>
      </c>
      <c r="AO44" s="97"/>
      <c r="AP44" s="97">
        <f>M44*AO44*$AP$2/1000</f>
        <v>0</v>
      </c>
      <c r="AQ44" s="97">
        <f t="shared" ref="AQ44:AQ45" si="268">SUM(AK44+AM44+AO44)</f>
        <v>0</v>
      </c>
      <c r="AR44" s="97">
        <f t="shared" ref="AR44:AR45" si="269">SUM(AL44,AN44,AP44)</f>
        <v>0</v>
      </c>
      <c r="AS44" s="97"/>
      <c r="AT44" s="97">
        <f t="shared" ref="AT44" si="270">O44*AS44*$AT$2/1000</f>
        <v>0</v>
      </c>
      <c r="AU44" s="97"/>
      <c r="AV44" s="97">
        <f t="shared" ref="AV44:AV45" si="271">O44*AU44*$AV$2/1000</f>
        <v>0</v>
      </c>
      <c r="AW44" s="97"/>
      <c r="AX44" s="97">
        <f t="shared" ref="AX44:AX45" si="272">O44*AW44*$AX$2/1000</f>
        <v>0</v>
      </c>
      <c r="AY44" s="97">
        <f t="shared" ref="AY44:AY45" si="273">SUM(AS44+AU44+AW44)</f>
        <v>0</v>
      </c>
      <c r="AZ44" s="97">
        <f t="shared" ref="AZ44:AZ45" si="274">SUM(AT44,AV44,AX44)</f>
        <v>0</v>
      </c>
      <c r="BA44" s="97">
        <f t="shared" ref="BA44:BA45" si="275">SUM(AQ44+AY44)</f>
        <v>0</v>
      </c>
      <c r="BB44" s="97">
        <f t="shared" ref="BB44:BB45" si="276">SUM(AR44,AZ44)</f>
        <v>0</v>
      </c>
      <c r="BC44" s="1" t="s">
        <v>1105</v>
      </c>
    </row>
    <row r="45" spans="1:55">
      <c r="A45" s="498">
        <v>37</v>
      </c>
      <c r="B45" s="13"/>
      <c r="C45" s="13"/>
      <c r="D45" s="15"/>
      <c r="E45" s="63" t="s">
        <v>971</v>
      </c>
      <c r="F45" s="425" t="s">
        <v>996</v>
      </c>
      <c r="G45" s="425" t="s">
        <v>1103</v>
      </c>
      <c r="H45" s="284" t="s">
        <v>365</v>
      </c>
      <c r="I45" s="459">
        <v>31.67</v>
      </c>
      <c r="J45" s="427"/>
      <c r="K45" s="459">
        <v>31.67</v>
      </c>
      <c r="L45" s="460"/>
      <c r="M45" s="459">
        <v>31.67</v>
      </c>
      <c r="N45" s="460"/>
      <c r="O45" s="459">
        <v>31.67</v>
      </c>
      <c r="P45" s="427"/>
      <c r="Q45" s="129">
        <f t="shared" ref="Q45" si="277">SUM(AI45+BA45)</f>
        <v>0</v>
      </c>
      <c r="R45" s="350">
        <f t="shared" ref="R45" si="278">SUM(AJ45+BB45)</f>
        <v>0</v>
      </c>
      <c r="S45" s="129"/>
      <c r="T45" s="129">
        <f t="shared" si="255"/>
        <v>0</v>
      </c>
      <c r="U45" s="129"/>
      <c r="V45" s="129">
        <f t="shared" si="256"/>
        <v>0</v>
      </c>
      <c r="W45" s="129"/>
      <c r="X45" s="129">
        <f t="shared" si="257"/>
        <v>0</v>
      </c>
      <c r="Y45" s="129">
        <f t="shared" si="258"/>
        <v>0</v>
      </c>
      <c r="Z45" s="129">
        <f t="shared" si="259"/>
        <v>0</v>
      </c>
      <c r="AA45" s="129"/>
      <c r="AB45" s="129">
        <f t="shared" si="260"/>
        <v>0</v>
      </c>
      <c r="AC45" s="129"/>
      <c r="AD45" s="129">
        <f t="shared" si="261"/>
        <v>0</v>
      </c>
      <c r="AE45" s="129"/>
      <c r="AF45" s="428">
        <f t="shared" ref="AF45" si="279">K45*AE45*$AF$2/1000</f>
        <v>0</v>
      </c>
      <c r="AG45" s="129">
        <f t="shared" si="262"/>
        <v>0</v>
      </c>
      <c r="AH45" s="129">
        <f t="shared" si="263"/>
        <v>0</v>
      </c>
      <c r="AI45" s="129">
        <f t="shared" si="264"/>
        <v>0</v>
      </c>
      <c r="AJ45" s="129">
        <f t="shared" si="265"/>
        <v>0</v>
      </c>
      <c r="AK45" s="129"/>
      <c r="AL45" s="129">
        <f t="shared" si="266"/>
        <v>0</v>
      </c>
      <c r="AM45" s="129"/>
      <c r="AN45" s="129">
        <f t="shared" si="267"/>
        <v>0</v>
      </c>
      <c r="AO45" s="129"/>
      <c r="AP45" s="129">
        <f>M45*AO45*$AP$2/1000</f>
        <v>0</v>
      </c>
      <c r="AQ45" s="129">
        <f t="shared" si="268"/>
        <v>0</v>
      </c>
      <c r="AR45" s="129">
        <f t="shared" si="269"/>
        <v>0</v>
      </c>
      <c r="AS45" s="129"/>
      <c r="AT45" s="129">
        <f>O45*AS45*$AT$2/1000</f>
        <v>0</v>
      </c>
      <c r="AU45" s="129"/>
      <c r="AV45" s="129">
        <f t="shared" si="271"/>
        <v>0</v>
      </c>
      <c r="AW45" s="129"/>
      <c r="AX45" s="129">
        <f t="shared" si="272"/>
        <v>0</v>
      </c>
      <c r="AY45" s="129">
        <f t="shared" si="273"/>
        <v>0</v>
      </c>
      <c r="AZ45" s="129">
        <f t="shared" si="274"/>
        <v>0</v>
      </c>
      <c r="BA45" s="129">
        <f t="shared" si="275"/>
        <v>0</v>
      </c>
      <c r="BB45" s="129">
        <f t="shared" si="276"/>
        <v>0</v>
      </c>
      <c r="BC45" s="1" t="s">
        <v>1105</v>
      </c>
    </row>
    <row r="46" spans="1:55">
      <c r="A46" s="498">
        <v>38</v>
      </c>
      <c r="B46" s="13"/>
      <c r="C46" s="13"/>
      <c r="D46" s="15"/>
      <c r="E46" s="523" t="s">
        <v>997</v>
      </c>
      <c r="F46" s="525" t="s">
        <v>998</v>
      </c>
      <c r="G46" s="525" t="s">
        <v>1103</v>
      </c>
      <c r="H46" s="526" t="s">
        <v>365</v>
      </c>
      <c r="I46" s="541">
        <v>30.33</v>
      </c>
      <c r="J46" s="542"/>
      <c r="K46" s="541">
        <v>30.33</v>
      </c>
      <c r="L46" s="543"/>
      <c r="M46" s="541">
        <v>30.33</v>
      </c>
      <c r="N46" s="543"/>
      <c r="O46" s="541">
        <v>30.33</v>
      </c>
      <c r="P46" s="542"/>
      <c r="Q46" s="528">
        <f t="shared" ref="Q46:Q66" si="280">SUM(AI46+BA46)</f>
        <v>0</v>
      </c>
      <c r="R46" s="529">
        <f t="shared" si="107"/>
        <v>0</v>
      </c>
      <c r="S46" s="528"/>
      <c r="T46" s="528">
        <f t="shared" ref="T46" si="281">I46*S46*$T$2/1000</f>
        <v>0</v>
      </c>
      <c r="U46" s="528"/>
      <c r="V46" s="528">
        <f t="shared" ref="V46" si="282">I46*U46*$V$2/1000</f>
        <v>0</v>
      </c>
      <c r="W46" s="528"/>
      <c r="X46" s="528">
        <f t="shared" ref="X46:X66" si="283">I46*W46*$X$2/1000</f>
        <v>0</v>
      </c>
      <c r="Y46" s="528">
        <f t="shared" si="97"/>
        <v>0</v>
      </c>
      <c r="Z46" s="528">
        <f t="shared" ref="Z46" si="284">SUM(T46,V46,X46)</f>
        <v>0</v>
      </c>
      <c r="AA46" s="528"/>
      <c r="AB46" s="528">
        <f t="shared" ref="AB46:AB66" si="285">K46*AA46*$AB$2/1000</f>
        <v>0</v>
      </c>
      <c r="AC46" s="528"/>
      <c r="AD46" s="528">
        <f t="shared" si="99"/>
        <v>0</v>
      </c>
      <c r="AE46" s="528"/>
      <c r="AF46" s="544">
        <f t="shared" si="105"/>
        <v>0</v>
      </c>
      <c r="AG46" s="528">
        <f t="shared" si="100"/>
        <v>0</v>
      </c>
      <c r="AH46" s="528">
        <f t="shared" ref="AH46" si="286">SUM(AB46,AD46,AF46)</f>
        <v>0</v>
      </c>
      <c r="AI46" s="528">
        <f t="shared" ref="AI46" si="287">SUM(Y46+AG46)</f>
        <v>0</v>
      </c>
      <c r="AJ46" s="528">
        <f t="shared" ref="AJ46" si="288">SUM(Z46,AH46)</f>
        <v>0</v>
      </c>
      <c r="AK46" s="528"/>
      <c r="AL46" s="528">
        <f t="shared" ref="AL46" si="289">M46*AK46*$AL$2/1000</f>
        <v>0</v>
      </c>
      <c r="AM46" s="528"/>
      <c r="AN46" s="528">
        <f t="shared" si="101"/>
        <v>0</v>
      </c>
      <c r="AO46" s="528"/>
      <c r="AP46" s="528">
        <f>M46*AO46*$AP$2/1000</f>
        <v>0</v>
      </c>
      <c r="AQ46" s="528">
        <f t="shared" si="103"/>
        <v>0</v>
      </c>
      <c r="AR46" s="528">
        <f t="shared" ref="AR46" si="290">SUM(AL46,AN46,AP46)</f>
        <v>0</v>
      </c>
      <c r="AS46" s="528"/>
      <c r="AT46" s="528">
        <f>O46*AS46*$AT$2/1000</f>
        <v>0</v>
      </c>
      <c r="AU46" s="528"/>
      <c r="AV46" s="528">
        <f>O46*AU46*$AV$2/1000</f>
        <v>0</v>
      </c>
      <c r="AW46" s="528"/>
      <c r="AX46" s="528">
        <f t="shared" ref="AX46" si="291">O46*AW46*$AX$2/1000</f>
        <v>0</v>
      </c>
      <c r="AY46" s="528">
        <f t="shared" si="104"/>
        <v>0</v>
      </c>
      <c r="AZ46" s="528">
        <f t="shared" ref="AZ46" si="292">SUM(AT46,AV46,AX46)</f>
        <v>0</v>
      </c>
      <c r="BA46" s="528">
        <f t="shared" ref="BA46" si="293">SUM(AQ46+AY46)</f>
        <v>0</v>
      </c>
      <c r="BB46" s="528">
        <f t="shared" ref="BB46" si="294">SUM(AR46,AZ46)</f>
        <v>0</v>
      </c>
      <c r="BC46" s="1" t="s">
        <v>1105</v>
      </c>
    </row>
    <row r="47" spans="1:55">
      <c r="A47" s="498">
        <v>27</v>
      </c>
      <c r="B47" s="13"/>
      <c r="C47" s="14"/>
      <c r="D47" s="15"/>
      <c r="E47" s="359" t="s">
        <v>1639</v>
      </c>
      <c r="F47" s="46" t="s">
        <v>1640</v>
      </c>
      <c r="G47" s="46" t="s">
        <v>1105</v>
      </c>
      <c r="H47" s="526" t="s">
        <v>365</v>
      </c>
      <c r="I47" s="18">
        <v>10.61</v>
      </c>
      <c r="J47" s="158"/>
      <c r="K47" s="18">
        <v>10.210000000000001</v>
      </c>
      <c r="L47" s="158"/>
      <c r="M47" s="18">
        <v>10.01</v>
      </c>
      <c r="N47" s="158"/>
      <c r="O47" s="18">
        <v>10.01</v>
      </c>
      <c r="P47" s="158"/>
      <c r="Q47" s="96">
        <f t="shared" si="280"/>
        <v>119.78099999999999</v>
      </c>
      <c r="R47" s="340">
        <f t="shared" si="107"/>
        <v>1669.1238129558001</v>
      </c>
      <c r="S47" s="96">
        <v>4.8970000000000002</v>
      </c>
      <c r="T47" s="96">
        <f>I47*S47*$T$2/1000</f>
        <v>68.681663451299997</v>
      </c>
      <c r="U47" s="96">
        <v>16.72</v>
      </c>
      <c r="V47" s="96">
        <f>I47*U47*$V$2/1000</f>
        <v>236.01189567999998</v>
      </c>
      <c r="W47" s="96">
        <v>5.09</v>
      </c>
      <c r="X47" s="96">
        <f t="shared" si="283"/>
        <v>71.858919939999979</v>
      </c>
      <c r="Y47" s="96">
        <f>SUM(S47+U47+W47)</f>
        <v>26.706999999999997</v>
      </c>
      <c r="Z47" s="96">
        <f t="shared" ref="Z47" si="295">SUM(T47+V47+X47)</f>
        <v>376.55247907129996</v>
      </c>
      <c r="AA47" s="96">
        <v>6.1840000000000002</v>
      </c>
      <c r="AB47" s="96">
        <f t="shared" si="285"/>
        <v>86.128681596800007</v>
      </c>
      <c r="AC47" s="96">
        <v>15.85</v>
      </c>
      <c r="AD47" s="96">
        <f t="shared" ref="AD47" si="296">K47*AC47*$AD$2/1000</f>
        <v>221.64516845500003</v>
      </c>
      <c r="AE47" s="96">
        <v>13.175000000000001</v>
      </c>
      <c r="AF47" s="96">
        <f t="shared" ref="AF47" si="297">K47*AE47*$AF$2/1000</f>
        <v>185.47573040250001</v>
      </c>
      <c r="AG47" s="96">
        <f t="shared" ref="AG47" si="298">SUM(AA47+AC47+AE47)</f>
        <v>35.209000000000003</v>
      </c>
      <c r="AH47" s="96">
        <f t="shared" ref="AH47" si="299">SUM(AB47+AD47+AF47)</f>
        <v>493.24958045430003</v>
      </c>
      <c r="AI47" s="96">
        <f>SUM(Y47+AG47)</f>
        <v>61.915999999999997</v>
      </c>
      <c r="AJ47" s="96">
        <f>SUM(Z47,AH47)</f>
        <v>869.80205952560004</v>
      </c>
      <c r="AK47" s="96">
        <v>16.373999999999999</v>
      </c>
      <c r="AL47" s="96">
        <f>M47*AK47*$AL$2/1000</f>
        <v>226.69198471919995</v>
      </c>
      <c r="AM47" s="96">
        <v>13.329000000000001</v>
      </c>
      <c r="AN47" s="96">
        <f t="shared" ref="AN47" si="300">M47*AM47*$AN$2/1000</f>
        <v>181.602440019</v>
      </c>
      <c r="AO47" s="96">
        <v>4.13</v>
      </c>
      <c r="AP47" s="96">
        <f t="shared" ref="AP47" si="301">M47*AO47*$AP$2/1000</f>
        <v>55.082734707</v>
      </c>
      <c r="AQ47" s="96">
        <f t="shared" ref="AQ47" si="302">SUM(AK47+AM47+AO47)</f>
        <v>33.832999999999998</v>
      </c>
      <c r="AR47" s="96">
        <f t="shared" ref="AR47" si="303">SUM(AL47+AN47+AP47)</f>
        <v>463.37715944519994</v>
      </c>
      <c r="AS47" s="96">
        <v>7.4420000000000002</v>
      </c>
      <c r="AT47" s="96">
        <f>O47*AS47*$AT$2/1000</f>
        <v>101.15597291800002</v>
      </c>
      <c r="AU47" s="96">
        <v>3.3</v>
      </c>
      <c r="AV47" s="96">
        <f>O47*AU47*$AV$2/1000</f>
        <v>45.971035109999995</v>
      </c>
      <c r="AW47" s="96">
        <v>13.29</v>
      </c>
      <c r="AX47" s="96">
        <f>O47*AW47*$AX$2/1000</f>
        <v>188.81758595699998</v>
      </c>
      <c r="AY47" s="96">
        <f t="shared" ref="AY47" si="304">SUM(AS47+AU47+AW47)</f>
        <v>24.032</v>
      </c>
      <c r="AZ47" s="96">
        <f t="shared" ref="AZ47" si="305">SUM(AT47+AV47+AX47)</f>
        <v>335.94459398499998</v>
      </c>
      <c r="BA47" s="96">
        <f>SUM(AQ47+AY47)</f>
        <v>57.864999999999995</v>
      </c>
      <c r="BB47" s="96">
        <f>SUM(AR47,AZ47)</f>
        <v>799.32175343019992</v>
      </c>
      <c r="BC47" s="1" t="s">
        <v>1782</v>
      </c>
    </row>
    <row r="48" spans="1:55">
      <c r="A48" s="498">
        <v>26</v>
      </c>
      <c r="B48" s="13"/>
      <c r="C48" s="14"/>
      <c r="D48" s="15"/>
      <c r="E48" s="540" t="s">
        <v>1609</v>
      </c>
      <c r="F48" s="430" t="s">
        <v>1641</v>
      </c>
      <c r="G48" s="430" t="s">
        <v>1105</v>
      </c>
      <c r="H48" s="526" t="s">
        <v>365</v>
      </c>
      <c r="I48" s="432">
        <v>10.83</v>
      </c>
      <c r="J48" s="433"/>
      <c r="K48" s="432">
        <v>10.45</v>
      </c>
      <c r="L48" s="433"/>
      <c r="M48" s="432">
        <v>10.24</v>
      </c>
      <c r="N48" s="433"/>
      <c r="O48" s="432">
        <v>10.24</v>
      </c>
      <c r="P48" s="433"/>
      <c r="Q48" s="434">
        <f t="shared" si="280"/>
        <v>114.81200000000001</v>
      </c>
      <c r="R48" s="455">
        <f t="shared" si="107"/>
        <v>1631.0703628352003</v>
      </c>
      <c r="S48" s="434">
        <v>10.102</v>
      </c>
      <c r="T48" s="434">
        <f>I48*S48*$T$2/1000</f>
        <v>144.62092600740004</v>
      </c>
      <c r="U48" s="434">
        <v>8.3130000000000006</v>
      </c>
      <c r="V48" s="434">
        <f>I48*U48*$V$2/1000</f>
        <v>119.77563261600002</v>
      </c>
      <c r="W48" s="434">
        <v>8.6489999999999991</v>
      </c>
      <c r="X48" s="434">
        <f t="shared" si="283"/>
        <v>124.63553230199997</v>
      </c>
      <c r="Y48" s="434">
        <f t="shared" ref="Y48" si="306">SUM(S48+U48+W48)</f>
        <v>27.064</v>
      </c>
      <c r="Z48" s="434">
        <f t="shared" ref="Z48:Z66" si="307">SUM(T48+V48+X48)</f>
        <v>389.0320909254001</v>
      </c>
      <c r="AA48" s="434">
        <v>7.88</v>
      </c>
      <c r="AB48" s="434">
        <f t="shared" si="285"/>
        <v>112.32982551999997</v>
      </c>
      <c r="AC48" s="434">
        <v>15.284000000000001</v>
      </c>
      <c r="AD48" s="434">
        <f t="shared" ref="AD48:AD66" si="308">K48*AC48*$AD$2/1000</f>
        <v>218.754290414</v>
      </c>
      <c r="AE48" s="434">
        <v>8.8659999999999997</v>
      </c>
      <c r="AF48" s="434">
        <f t="shared" ref="AF48:AF66" si="309">K48*AE48*$AF$2/1000</f>
        <v>127.74818585099999</v>
      </c>
      <c r="AG48" s="434">
        <f t="shared" ref="AG48:AG66" si="310">SUM(AA48+AC48+AE48)</f>
        <v>32.03</v>
      </c>
      <c r="AH48" s="434">
        <f t="shared" ref="AH48:AH66" si="311">SUM(AB48+AD48+AF48)</f>
        <v>458.83230178499991</v>
      </c>
      <c r="AI48" s="434">
        <f>SUM(Y48+AG48)</f>
        <v>59.094000000000001</v>
      </c>
      <c r="AJ48" s="434">
        <f>SUM(Z48,AH48)</f>
        <v>847.86439271040001</v>
      </c>
      <c r="AK48" s="434">
        <v>16.675000000000001</v>
      </c>
      <c r="AL48" s="434">
        <f>M48*AK48*$AL$2/1000</f>
        <v>236.16367615999999</v>
      </c>
      <c r="AM48" s="434">
        <v>16.428000000000001</v>
      </c>
      <c r="AN48" s="434">
        <f t="shared" ref="AN48:AN66" si="312">M48*AM48*$AN$2/1000</f>
        <v>228.967944192</v>
      </c>
      <c r="AO48" s="434">
        <v>5.3739999999999997</v>
      </c>
      <c r="AP48" s="434">
        <f t="shared" ref="AP48:AP66" si="313">M48*AO48*$AP$2/1000</f>
        <v>73.321101926400004</v>
      </c>
      <c r="AQ48" s="434">
        <f t="shared" ref="AQ48:AQ66" si="314">SUM(AK48+AM48+AO48)</f>
        <v>38.477000000000004</v>
      </c>
      <c r="AR48" s="434">
        <f t="shared" ref="AR48:AR66" si="315">SUM(AL48+AN48+AP48)</f>
        <v>538.45272227840007</v>
      </c>
      <c r="AS48" s="434">
        <v>7.3049999999999997</v>
      </c>
      <c r="AT48" s="434">
        <f>O48*AS48*$AT$2/1000</f>
        <v>101.57526528000001</v>
      </c>
      <c r="AU48" s="434">
        <v>4.3470000000000004</v>
      </c>
      <c r="AV48" s="434">
        <f>O48*AU48*$AV$2/1000</f>
        <v>61.947796377600007</v>
      </c>
      <c r="AW48" s="434">
        <v>5.5890000000000004</v>
      </c>
      <c r="AX48" s="434">
        <f>O48*AW48*$AX$2/1000</f>
        <v>81.230186188800005</v>
      </c>
      <c r="AY48" s="434">
        <f t="shared" ref="AY48:AY66" si="316">SUM(AS48+AU48+AW48)</f>
        <v>17.241</v>
      </c>
      <c r="AZ48" s="434">
        <f t="shared" ref="AZ48:AZ66" si="317">SUM(AT48+AV48+AX48)</f>
        <v>244.75324784640003</v>
      </c>
      <c r="BA48" s="434">
        <f>SUM(AQ48+AY48)</f>
        <v>55.718000000000004</v>
      </c>
      <c r="BB48" s="434">
        <f>SUM(AR48,AZ48)</f>
        <v>783.20597012480016</v>
      </c>
      <c r="BC48" s="1" t="s">
        <v>1782</v>
      </c>
    </row>
    <row r="49" spans="1:55">
      <c r="A49" s="498">
        <v>27</v>
      </c>
      <c r="B49" s="13"/>
      <c r="C49" s="14"/>
      <c r="D49" s="15"/>
      <c r="E49" s="359" t="s">
        <v>1610</v>
      </c>
      <c r="F49" s="46" t="s">
        <v>1642</v>
      </c>
      <c r="G49" s="46" t="s">
        <v>1105</v>
      </c>
      <c r="H49" s="526" t="s">
        <v>365</v>
      </c>
      <c r="I49" s="18">
        <v>11.8</v>
      </c>
      <c r="J49" s="158"/>
      <c r="K49" s="18">
        <v>11.34</v>
      </c>
      <c r="L49" s="158"/>
      <c r="M49" s="18">
        <v>11.11</v>
      </c>
      <c r="N49" s="158"/>
      <c r="O49" s="18">
        <v>11.11</v>
      </c>
      <c r="P49" s="158"/>
      <c r="Q49" s="96">
        <f t="shared" si="280"/>
        <v>257.83100000000002</v>
      </c>
      <c r="R49" s="340">
        <f t="shared" si="107"/>
        <v>3975.6025714543998</v>
      </c>
      <c r="S49" s="96">
        <v>13.648999999999999</v>
      </c>
      <c r="T49" s="96">
        <f>I49*S49*$T$2/1000</f>
        <v>212.90122399800001</v>
      </c>
      <c r="U49" s="96">
        <v>20.687000000000001</v>
      </c>
      <c r="V49" s="96">
        <f>I49*U49*$V$2/1000</f>
        <v>324.75942064000003</v>
      </c>
      <c r="W49" s="96">
        <v>11.332000000000001</v>
      </c>
      <c r="X49" s="96">
        <f t="shared" si="283"/>
        <v>177.92463856000001</v>
      </c>
      <c r="Y49" s="96">
        <f>SUM(S49+U49+W49)</f>
        <v>45.667999999999999</v>
      </c>
      <c r="Z49" s="96">
        <f t="shared" si="307"/>
        <v>715.58528319800007</v>
      </c>
      <c r="AA49" s="96">
        <v>20.663</v>
      </c>
      <c r="AB49" s="96">
        <f t="shared" si="285"/>
        <v>319.63844309039996</v>
      </c>
      <c r="AC49" s="96">
        <v>27.923999999999999</v>
      </c>
      <c r="AD49" s="96">
        <f t="shared" si="308"/>
        <v>433.70451568080006</v>
      </c>
      <c r="AE49" s="96">
        <v>28.024999999999999</v>
      </c>
      <c r="AF49" s="96">
        <f t="shared" si="309"/>
        <v>438.19699990499998</v>
      </c>
      <c r="AG49" s="96">
        <f t="shared" si="310"/>
        <v>76.611999999999995</v>
      </c>
      <c r="AH49" s="96">
        <f t="shared" si="311"/>
        <v>1191.5399586762001</v>
      </c>
      <c r="AI49" s="96">
        <f>SUM(Y49+AG49)</f>
        <v>122.28</v>
      </c>
      <c r="AJ49" s="96">
        <f>SUM(Z49,AH49)</f>
        <v>1907.1252418742001</v>
      </c>
      <c r="AK49" s="96">
        <v>43.484000000000002</v>
      </c>
      <c r="AL49" s="96">
        <f>M49*AK49*$AL$2/1000</f>
        <v>668.17596149919996</v>
      </c>
      <c r="AM49" s="96">
        <v>34.914999999999999</v>
      </c>
      <c r="AN49" s="96">
        <f t="shared" si="312"/>
        <v>527.9783802149999</v>
      </c>
      <c r="AO49" s="96">
        <v>17.265999999999998</v>
      </c>
      <c r="AP49" s="96">
        <f t="shared" si="313"/>
        <v>255.58605817139997</v>
      </c>
      <c r="AQ49" s="96">
        <f t="shared" si="314"/>
        <v>95.664999999999992</v>
      </c>
      <c r="AR49" s="96">
        <f t="shared" si="315"/>
        <v>1451.7403998855998</v>
      </c>
      <c r="AS49" s="96">
        <v>14.678000000000001</v>
      </c>
      <c r="AT49" s="96">
        <f>O49*AS49*$AT$2/1000</f>
        <v>221.43625638199998</v>
      </c>
      <c r="AU49" s="96">
        <v>7.1529999999999996</v>
      </c>
      <c r="AV49" s="96">
        <f>O49*AU49*$AV$2/1000</f>
        <v>110.59577831609998</v>
      </c>
      <c r="AW49" s="96">
        <v>18.055</v>
      </c>
      <c r="AX49" s="96">
        <f>O49*AW49*$AX$2/1000</f>
        <v>284.7048949965</v>
      </c>
      <c r="AY49" s="96">
        <f t="shared" si="316"/>
        <v>39.885999999999996</v>
      </c>
      <c r="AZ49" s="96">
        <f t="shared" si="317"/>
        <v>616.73692969459989</v>
      </c>
      <c r="BA49" s="96">
        <f>SUM(AQ49+AY49)</f>
        <v>135.55099999999999</v>
      </c>
      <c r="BB49" s="96">
        <f>SUM(AR49,AZ49)</f>
        <v>2068.4773295801997</v>
      </c>
      <c r="BC49" s="1" t="s">
        <v>1782</v>
      </c>
    </row>
    <row r="50" spans="1:55">
      <c r="A50" s="498">
        <v>36</v>
      </c>
      <c r="B50" s="13"/>
      <c r="C50" s="13"/>
      <c r="D50" s="15"/>
      <c r="E50" s="21" t="s">
        <v>2376</v>
      </c>
      <c r="F50" s="46" t="s">
        <v>1777</v>
      </c>
      <c r="G50" s="46" t="s">
        <v>1102</v>
      </c>
      <c r="H50" s="268" t="s">
        <v>365</v>
      </c>
      <c r="I50" s="138"/>
      <c r="J50" s="158"/>
      <c r="K50" s="138">
        <v>7.8849999999999998</v>
      </c>
      <c r="L50" s="202"/>
      <c r="M50" s="138">
        <v>7.8849999999999998</v>
      </c>
      <c r="N50" s="202"/>
      <c r="O50" s="138">
        <v>7.8849999999999998</v>
      </c>
      <c r="P50" s="158"/>
      <c r="Q50" s="97">
        <f>SUM(AI50+BA50)</f>
        <v>8.2089999999999996</v>
      </c>
      <c r="R50" s="342">
        <f>SUM(AJ50+BB50)</f>
        <v>88.669604068249996</v>
      </c>
      <c r="S50" s="97"/>
      <c r="T50" s="97">
        <f t="shared" ref="T50:T56" si="318">I50*S50*$T$2/1000</f>
        <v>0</v>
      </c>
      <c r="U50" s="97"/>
      <c r="V50" s="97">
        <f t="shared" ref="V50:V56" si="319">I50*U50*$V$2/1000</f>
        <v>0</v>
      </c>
      <c r="W50" s="97"/>
      <c r="X50" s="97">
        <f t="shared" si="283"/>
        <v>0</v>
      </c>
      <c r="Y50" s="97">
        <f t="shared" ref="Y50:Y56" si="320">SUM(S50+U50+W50)</f>
        <v>0</v>
      </c>
      <c r="Z50" s="97">
        <f t="shared" ref="Z50:Z56" si="321">SUM(T50,V50,X50)</f>
        <v>0</v>
      </c>
      <c r="AA50" s="97"/>
      <c r="AB50" s="97">
        <f t="shared" si="285"/>
        <v>0</v>
      </c>
      <c r="AC50" s="97"/>
      <c r="AD50" s="97">
        <f t="shared" si="308"/>
        <v>0</v>
      </c>
      <c r="AE50" s="97">
        <v>0.60299999999999998</v>
      </c>
      <c r="AF50" s="96">
        <f>K50*AE50*$AF$2/1000</f>
        <v>6.555860953649999</v>
      </c>
      <c r="AG50" s="97">
        <f t="shared" si="310"/>
        <v>0.60299999999999998</v>
      </c>
      <c r="AH50" s="97">
        <f t="shared" ref="AH50:AH56" si="322">SUM(AB50,AD50,AF50)</f>
        <v>6.555860953649999</v>
      </c>
      <c r="AI50" s="97">
        <f t="shared" ref="AI50:AI56" si="323">SUM(Y50+AG50)</f>
        <v>0.60299999999999998</v>
      </c>
      <c r="AJ50" s="97">
        <f t="shared" ref="AJ50:AJ56" si="324">SUM(Z50,AH50)</f>
        <v>6.555860953649999</v>
      </c>
      <c r="AK50" s="97">
        <v>0.109</v>
      </c>
      <c r="AL50" s="97">
        <f t="shared" ref="AL50:AL56" si="325">M50*AK50*$AL$2/1000</f>
        <v>1.1887088522</v>
      </c>
      <c r="AM50" s="97">
        <v>3.359</v>
      </c>
      <c r="AN50" s="97">
        <f t="shared" si="312"/>
        <v>36.049706686499995</v>
      </c>
      <c r="AO50" s="97">
        <v>9.4E-2</v>
      </c>
      <c r="AP50" s="97">
        <f t="shared" ref="AP50:AP56" si="326">M50*AO50*$AP$2/1000</f>
        <v>0.9875541441000002</v>
      </c>
      <c r="AQ50" s="97">
        <f t="shared" si="314"/>
        <v>3.5619999999999998</v>
      </c>
      <c r="AR50" s="97">
        <f t="shared" ref="AR50:AR56" si="327">SUM(AL50,AN50,AP50)</f>
        <v>38.225969682799999</v>
      </c>
      <c r="AS50" s="97">
        <v>2.0099999999999998</v>
      </c>
      <c r="AT50" s="97">
        <f t="shared" ref="AT50" si="328">O50*AS50*$AT$2/1000</f>
        <v>21.521153415000001</v>
      </c>
      <c r="AU50" s="97">
        <v>1.819</v>
      </c>
      <c r="AV50" s="97">
        <f t="shared" ref="AV50:AV51" si="329">O50*AU50*$AV$2/1000</f>
        <v>19.960465351050001</v>
      </c>
      <c r="AW50" s="97">
        <v>0.215</v>
      </c>
      <c r="AX50" s="97">
        <f t="shared" ref="AX50:AX56" si="330">O50*AW50*$AX$2/1000</f>
        <v>2.4061546657499999</v>
      </c>
      <c r="AY50" s="97">
        <f t="shared" si="316"/>
        <v>4.0439999999999996</v>
      </c>
      <c r="AZ50" s="97">
        <f t="shared" ref="AZ50:AZ56" si="331">SUM(AT50,AV50,AX50)</f>
        <v>43.887773431800007</v>
      </c>
      <c r="BA50" s="97">
        <f t="shared" ref="BA50:BA56" si="332">SUM(AQ50+AY50)</f>
        <v>7.6059999999999999</v>
      </c>
      <c r="BB50" s="97">
        <f t="shared" ref="BB50:BB56" si="333">SUM(AR50,AZ50)</f>
        <v>82.113743114599998</v>
      </c>
      <c r="BC50" s="1" t="s">
        <v>1782</v>
      </c>
    </row>
    <row r="51" spans="1:55">
      <c r="A51" s="498">
        <v>37</v>
      </c>
      <c r="B51" s="13"/>
      <c r="C51" s="13"/>
      <c r="D51" s="15"/>
      <c r="E51" s="63" t="s">
        <v>1775</v>
      </c>
      <c r="F51" s="425" t="s">
        <v>1778</v>
      </c>
      <c r="G51" s="425" t="s">
        <v>1102</v>
      </c>
      <c r="H51" s="284" t="s">
        <v>365</v>
      </c>
      <c r="I51" s="459"/>
      <c r="J51" s="427"/>
      <c r="K51" s="459">
        <v>8.9395000000000007</v>
      </c>
      <c r="L51" s="460"/>
      <c r="M51" s="459">
        <v>8.9395000000000007</v>
      </c>
      <c r="N51" s="460"/>
      <c r="O51" s="459">
        <v>8.9395000000000007</v>
      </c>
      <c r="P51" s="427"/>
      <c r="Q51" s="129">
        <f t="shared" ref="Q51" si="334">SUM(AI51+BA51)</f>
        <v>2.5179999999999998</v>
      </c>
      <c r="R51" s="350">
        <f t="shared" ref="R51" si="335">SUM(AJ51+BB51)</f>
        <v>31.036995876630002</v>
      </c>
      <c r="S51" s="129"/>
      <c r="T51" s="129">
        <f t="shared" si="318"/>
        <v>0</v>
      </c>
      <c r="U51" s="129"/>
      <c r="V51" s="129">
        <f t="shared" si="319"/>
        <v>0</v>
      </c>
      <c r="W51" s="129"/>
      <c r="X51" s="129">
        <f t="shared" si="283"/>
        <v>0</v>
      </c>
      <c r="Y51" s="129">
        <f t="shared" si="320"/>
        <v>0</v>
      </c>
      <c r="Z51" s="129">
        <f t="shared" si="321"/>
        <v>0</v>
      </c>
      <c r="AA51" s="129"/>
      <c r="AB51" s="129">
        <f t="shared" si="285"/>
        <v>0</v>
      </c>
      <c r="AC51" s="129"/>
      <c r="AD51" s="129">
        <f t="shared" si="308"/>
        <v>0</v>
      </c>
      <c r="AE51" s="129">
        <v>2.5179999999999998</v>
      </c>
      <c r="AF51" s="428">
        <f t="shared" ref="AF51:AF52" si="336">K51*AE51*$AF$2/1000</f>
        <v>31.036995876630002</v>
      </c>
      <c r="AG51" s="129">
        <f t="shared" si="310"/>
        <v>2.5179999999999998</v>
      </c>
      <c r="AH51" s="129">
        <f t="shared" si="322"/>
        <v>31.036995876630002</v>
      </c>
      <c r="AI51" s="129">
        <f t="shared" si="323"/>
        <v>2.5179999999999998</v>
      </c>
      <c r="AJ51" s="129">
        <f t="shared" si="324"/>
        <v>31.036995876630002</v>
      </c>
      <c r="AK51" s="129"/>
      <c r="AL51" s="129">
        <f t="shared" si="325"/>
        <v>0</v>
      </c>
      <c r="AM51" s="129"/>
      <c r="AN51" s="129">
        <f t="shared" si="312"/>
        <v>0</v>
      </c>
      <c r="AO51" s="129"/>
      <c r="AP51" s="129">
        <f t="shared" si="326"/>
        <v>0</v>
      </c>
      <c r="AQ51" s="129">
        <f t="shared" si="314"/>
        <v>0</v>
      </c>
      <c r="AR51" s="129">
        <f t="shared" si="327"/>
        <v>0</v>
      </c>
      <c r="AS51" s="129"/>
      <c r="AT51" s="129">
        <f>O51*AS51*$AT$2/1000</f>
        <v>0</v>
      </c>
      <c r="AU51" s="129"/>
      <c r="AV51" s="129">
        <f t="shared" si="329"/>
        <v>0</v>
      </c>
      <c r="AW51" s="129"/>
      <c r="AX51" s="129">
        <f t="shared" si="330"/>
        <v>0</v>
      </c>
      <c r="AY51" s="129">
        <f t="shared" si="316"/>
        <v>0</v>
      </c>
      <c r="AZ51" s="129">
        <f t="shared" si="331"/>
        <v>0</v>
      </c>
      <c r="BA51" s="129">
        <f t="shared" si="332"/>
        <v>0</v>
      </c>
      <c r="BB51" s="129">
        <f t="shared" si="333"/>
        <v>0</v>
      </c>
      <c r="BC51" s="1" t="s">
        <v>1782</v>
      </c>
    </row>
    <row r="52" spans="1:55">
      <c r="A52" s="498">
        <v>38</v>
      </c>
      <c r="B52" s="13"/>
      <c r="C52" s="13"/>
      <c r="D52" s="15"/>
      <c r="E52" s="523" t="s">
        <v>1776</v>
      </c>
      <c r="F52" s="525" t="s">
        <v>1779</v>
      </c>
      <c r="G52" s="525" t="s">
        <v>1102</v>
      </c>
      <c r="H52" s="526" t="s">
        <v>365</v>
      </c>
      <c r="I52" s="541"/>
      <c r="J52" s="542"/>
      <c r="K52" s="541">
        <v>9.9655000000000005</v>
      </c>
      <c r="L52" s="543"/>
      <c r="M52" s="541">
        <v>9.9655000000000005</v>
      </c>
      <c r="N52" s="543"/>
      <c r="O52" s="541">
        <v>9.9655000000000005</v>
      </c>
      <c r="P52" s="542"/>
      <c r="Q52" s="528">
        <f>SUM(AI52+BA52)</f>
        <v>0.86399999999999999</v>
      </c>
      <c r="R52" s="529">
        <f>SUM(AJ52+BB52)</f>
        <v>11.871991035359999</v>
      </c>
      <c r="S52" s="528"/>
      <c r="T52" s="528">
        <f t="shared" si="318"/>
        <v>0</v>
      </c>
      <c r="U52" s="528"/>
      <c r="V52" s="528">
        <f t="shared" si="319"/>
        <v>0</v>
      </c>
      <c r="W52" s="528"/>
      <c r="X52" s="528">
        <f t="shared" ref="X52:X56" si="337">I52*W52*$X$2/1000</f>
        <v>0</v>
      </c>
      <c r="Y52" s="528">
        <f t="shared" si="320"/>
        <v>0</v>
      </c>
      <c r="Z52" s="528">
        <f t="shared" si="321"/>
        <v>0</v>
      </c>
      <c r="AA52" s="528"/>
      <c r="AB52" s="528">
        <f t="shared" ref="AB52:AB56" si="338">K52*AA52*$AB$2/1000</f>
        <v>0</v>
      </c>
      <c r="AC52" s="528"/>
      <c r="AD52" s="528">
        <f t="shared" si="308"/>
        <v>0</v>
      </c>
      <c r="AE52" s="528">
        <v>0.86399999999999999</v>
      </c>
      <c r="AF52" s="544">
        <f t="shared" si="336"/>
        <v>11.871991035359999</v>
      </c>
      <c r="AG52" s="528">
        <f t="shared" si="310"/>
        <v>0.86399999999999999</v>
      </c>
      <c r="AH52" s="528">
        <f t="shared" si="322"/>
        <v>11.871991035359999</v>
      </c>
      <c r="AI52" s="528">
        <f t="shared" si="323"/>
        <v>0.86399999999999999</v>
      </c>
      <c r="AJ52" s="528">
        <f t="shared" si="324"/>
        <v>11.871991035359999</v>
      </c>
      <c r="AK52" s="528"/>
      <c r="AL52" s="528">
        <f t="shared" si="325"/>
        <v>0</v>
      </c>
      <c r="AM52" s="528"/>
      <c r="AN52" s="528">
        <f t="shared" si="312"/>
        <v>0</v>
      </c>
      <c r="AO52" s="528"/>
      <c r="AP52" s="528">
        <f t="shared" si="326"/>
        <v>0</v>
      </c>
      <c r="AQ52" s="528">
        <f t="shared" si="314"/>
        <v>0</v>
      </c>
      <c r="AR52" s="528">
        <f t="shared" si="327"/>
        <v>0</v>
      </c>
      <c r="AS52" s="528"/>
      <c r="AT52" s="528">
        <f>O52*AS52*$AT$2/1000</f>
        <v>0</v>
      </c>
      <c r="AU52" s="528"/>
      <c r="AV52" s="528">
        <f>O52*AU52*$AV$2/1000</f>
        <v>0</v>
      </c>
      <c r="AW52" s="528"/>
      <c r="AX52" s="528">
        <f t="shared" si="330"/>
        <v>0</v>
      </c>
      <c r="AY52" s="528">
        <f t="shared" si="316"/>
        <v>0</v>
      </c>
      <c r="AZ52" s="528">
        <f t="shared" si="331"/>
        <v>0</v>
      </c>
      <c r="BA52" s="528">
        <f t="shared" si="332"/>
        <v>0</v>
      </c>
      <c r="BB52" s="528">
        <f t="shared" si="333"/>
        <v>0</v>
      </c>
      <c r="BC52" s="1" t="s">
        <v>1782</v>
      </c>
    </row>
    <row r="53" spans="1:55">
      <c r="A53" s="498">
        <v>36</v>
      </c>
      <c r="B53" s="13"/>
      <c r="C53" s="13"/>
      <c r="D53" s="15"/>
      <c r="E53" s="21" t="s">
        <v>1785</v>
      </c>
      <c r="F53" s="46" t="s">
        <v>1786</v>
      </c>
      <c r="G53" s="46" t="s">
        <v>1102</v>
      </c>
      <c r="H53" s="268" t="s">
        <v>365</v>
      </c>
      <c r="I53" s="138"/>
      <c r="J53" s="158"/>
      <c r="K53" s="138"/>
      <c r="L53" s="202"/>
      <c r="M53" s="138">
        <v>7.99</v>
      </c>
      <c r="N53" s="202"/>
      <c r="O53" s="138">
        <v>7.99</v>
      </c>
      <c r="P53" s="158"/>
      <c r="Q53" s="97">
        <f>SUM(AI53+BA53)</f>
        <v>96.341000000000008</v>
      </c>
      <c r="R53" s="342">
        <f>SUM(AJ53+BB53)</f>
        <v>1064.6149532057002</v>
      </c>
      <c r="S53" s="97"/>
      <c r="T53" s="97">
        <f t="shared" si="318"/>
        <v>0</v>
      </c>
      <c r="U53" s="97"/>
      <c r="V53" s="97">
        <f t="shared" si="319"/>
        <v>0</v>
      </c>
      <c r="W53" s="97"/>
      <c r="X53" s="97">
        <f t="shared" si="337"/>
        <v>0</v>
      </c>
      <c r="Y53" s="97">
        <f t="shared" si="320"/>
        <v>0</v>
      </c>
      <c r="Z53" s="97">
        <f t="shared" si="321"/>
        <v>0</v>
      </c>
      <c r="AA53" s="97"/>
      <c r="AB53" s="97">
        <f t="shared" si="338"/>
        <v>0</v>
      </c>
      <c r="AC53" s="97"/>
      <c r="AD53" s="97">
        <f t="shared" si="308"/>
        <v>0</v>
      </c>
      <c r="AE53" s="97"/>
      <c r="AF53" s="96">
        <f>K53*AE53*$AF$2/1000</f>
        <v>0</v>
      </c>
      <c r="AG53" s="97">
        <f t="shared" si="310"/>
        <v>0</v>
      </c>
      <c r="AH53" s="97">
        <f t="shared" si="322"/>
        <v>0</v>
      </c>
      <c r="AI53" s="97">
        <f t="shared" si="323"/>
        <v>0</v>
      </c>
      <c r="AJ53" s="97">
        <f t="shared" si="324"/>
        <v>0</v>
      </c>
      <c r="AK53" s="97">
        <v>15.804</v>
      </c>
      <c r="AL53" s="97">
        <f t="shared" si="325"/>
        <v>174.64698859679999</v>
      </c>
      <c r="AM53" s="97">
        <v>27.111000000000001</v>
      </c>
      <c r="AN53" s="97">
        <f t="shared" si="312"/>
        <v>294.83724897900004</v>
      </c>
      <c r="AO53" s="97">
        <v>3.2029999999999998</v>
      </c>
      <c r="AP53" s="97">
        <f t="shared" si="326"/>
        <v>34.098484908300001</v>
      </c>
      <c r="AQ53" s="97">
        <f t="shared" si="314"/>
        <v>46.118000000000002</v>
      </c>
      <c r="AR53" s="97">
        <f t="shared" si="327"/>
        <v>503.58272248410003</v>
      </c>
      <c r="AS53" s="97">
        <v>7.859</v>
      </c>
      <c r="AT53" s="97">
        <f t="shared" ref="AT53" si="339">O53*AS53*$AT$2/1000</f>
        <v>85.267171439000009</v>
      </c>
      <c r="AU53" s="97">
        <v>21.093</v>
      </c>
      <c r="AV53" s="97">
        <f t="shared" ref="AV53:AV55" si="340">O53*AU53*$AV$2/1000</f>
        <v>234.54241752690001</v>
      </c>
      <c r="AW53" s="97">
        <v>21.271000000000001</v>
      </c>
      <c r="AX53" s="97">
        <f t="shared" si="330"/>
        <v>241.22264175570001</v>
      </c>
      <c r="AY53" s="97">
        <f t="shared" si="316"/>
        <v>50.222999999999999</v>
      </c>
      <c r="AZ53" s="97">
        <f t="shared" si="331"/>
        <v>561.03223072160006</v>
      </c>
      <c r="BA53" s="97">
        <f t="shared" si="332"/>
        <v>96.341000000000008</v>
      </c>
      <c r="BB53" s="97">
        <f t="shared" si="333"/>
        <v>1064.6149532057002</v>
      </c>
      <c r="BC53" s="1" t="s">
        <v>1105</v>
      </c>
    </row>
    <row r="54" spans="1:55">
      <c r="A54" s="498">
        <v>37</v>
      </c>
      <c r="B54" s="13"/>
      <c r="C54" s="13"/>
      <c r="D54" s="15"/>
      <c r="E54" s="63" t="s">
        <v>1787</v>
      </c>
      <c r="F54" s="425" t="s">
        <v>1788</v>
      </c>
      <c r="G54" s="425" t="s">
        <v>1102</v>
      </c>
      <c r="H54" s="284" t="s">
        <v>365</v>
      </c>
      <c r="I54" s="459"/>
      <c r="J54" s="427"/>
      <c r="K54" s="459"/>
      <c r="L54" s="460"/>
      <c r="M54" s="459">
        <v>8.94</v>
      </c>
      <c r="N54" s="460"/>
      <c r="O54" s="459">
        <v>8.94</v>
      </c>
      <c r="P54" s="427"/>
      <c r="Q54" s="129">
        <f t="shared" ref="Q54" si="341">SUM(AI54+BA54)</f>
        <v>0</v>
      </c>
      <c r="R54" s="350">
        <f t="shared" ref="R54" si="342">SUM(AJ54+BB54)</f>
        <v>0</v>
      </c>
      <c r="S54" s="129"/>
      <c r="T54" s="129">
        <f t="shared" ref="T54" si="343">I54*S54*$T$2/1000</f>
        <v>0</v>
      </c>
      <c r="U54" s="129"/>
      <c r="V54" s="129">
        <f t="shared" ref="V54" si="344">I54*U54*$V$2/1000</f>
        <v>0</v>
      </c>
      <c r="W54" s="129"/>
      <c r="X54" s="129">
        <f t="shared" ref="X54" si="345">I54*W54*$X$2/1000</f>
        <v>0</v>
      </c>
      <c r="Y54" s="129">
        <f t="shared" ref="Y54" si="346">SUM(S54+U54+W54)</f>
        <v>0</v>
      </c>
      <c r="Z54" s="129">
        <f t="shared" ref="Z54" si="347">SUM(T54,V54,X54)</f>
        <v>0</v>
      </c>
      <c r="AA54" s="129"/>
      <c r="AB54" s="129">
        <f t="shared" ref="AB54" si="348">K54*AA54*$AB$2/1000</f>
        <v>0</v>
      </c>
      <c r="AC54" s="129"/>
      <c r="AD54" s="129">
        <f t="shared" ref="AD54" si="349">K54*AC54*$AD$2/1000</f>
        <v>0</v>
      </c>
      <c r="AE54" s="129"/>
      <c r="AF54" s="428">
        <f t="shared" ref="AF54" si="350">K54*AE54*$AF$2/1000</f>
        <v>0</v>
      </c>
      <c r="AG54" s="129">
        <f t="shared" ref="AG54" si="351">SUM(AA54+AC54+AE54)</f>
        <v>0</v>
      </c>
      <c r="AH54" s="129">
        <f t="shared" ref="AH54" si="352">SUM(AB54,AD54,AF54)</f>
        <v>0</v>
      </c>
      <c r="AI54" s="129">
        <f t="shared" ref="AI54" si="353">SUM(Y54+AG54)</f>
        <v>0</v>
      </c>
      <c r="AJ54" s="129">
        <f t="shared" ref="AJ54" si="354">SUM(Z54,AH54)</f>
        <v>0</v>
      </c>
      <c r="AK54" s="129"/>
      <c r="AL54" s="129">
        <f t="shared" ref="AL54" si="355">M54*AK54*$AL$2/1000</f>
        <v>0</v>
      </c>
      <c r="AM54" s="129"/>
      <c r="AN54" s="129">
        <f t="shared" ref="AN54" si="356">M54*AM54*$AN$2/1000</f>
        <v>0</v>
      </c>
      <c r="AO54" s="129"/>
      <c r="AP54" s="129">
        <f t="shared" si="326"/>
        <v>0</v>
      </c>
      <c r="AQ54" s="129">
        <f t="shared" ref="AQ54" si="357">SUM(AK54+AM54+AO54)</f>
        <v>0</v>
      </c>
      <c r="AR54" s="129">
        <f t="shared" ref="AR54" si="358">SUM(AL54,AN54,AP54)</f>
        <v>0</v>
      </c>
      <c r="AS54" s="129"/>
      <c r="AT54" s="129">
        <f>O54*AS54*$AT$2/1000</f>
        <v>0</v>
      </c>
      <c r="AU54" s="129"/>
      <c r="AV54" s="129">
        <f t="shared" ref="AV54" si="359">O54*AU54*$AV$2/1000</f>
        <v>0</v>
      </c>
      <c r="AW54" s="129"/>
      <c r="AX54" s="129">
        <f t="shared" ref="AX54" si="360">O54*AW54*$AX$2/1000</f>
        <v>0</v>
      </c>
      <c r="AY54" s="129">
        <f t="shared" ref="AY54" si="361">SUM(AS54+AU54+AW54)</f>
        <v>0</v>
      </c>
      <c r="AZ54" s="129">
        <f t="shared" ref="AZ54" si="362">SUM(AT54,AV54,AX54)</f>
        <v>0</v>
      </c>
      <c r="BA54" s="129">
        <f t="shared" ref="BA54" si="363">SUM(AQ54+AY54)</f>
        <v>0</v>
      </c>
      <c r="BB54" s="129">
        <f t="shared" ref="BB54" si="364">SUM(AR54,AZ54)</f>
        <v>0</v>
      </c>
      <c r="BC54" s="1" t="s">
        <v>1105</v>
      </c>
    </row>
    <row r="55" spans="1:55">
      <c r="A55" s="498">
        <v>37</v>
      </c>
      <c r="B55" s="13"/>
      <c r="C55" s="13"/>
      <c r="D55" s="15"/>
      <c r="E55" s="63" t="s">
        <v>1789</v>
      </c>
      <c r="F55" s="425" t="s">
        <v>1790</v>
      </c>
      <c r="G55" s="425" t="s">
        <v>1102</v>
      </c>
      <c r="H55" s="284" t="s">
        <v>365</v>
      </c>
      <c r="I55" s="459"/>
      <c r="J55" s="427"/>
      <c r="K55" s="459"/>
      <c r="L55" s="460"/>
      <c r="M55" s="459">
        <v>9.86</v>
      </c>
      <c r="N55" s="460"/>
      <c r="O55" s="459">
        <v>9.86</v>
      </c>
      <c r="P55" s="427"/>
      <c r="Q55" s="129">
        <f>SUM(AI55+BA55)</f>
        <v>0</v>
      </c>
      <c r="R55" s="350">
        <f>SUM(AJ55+BB55)</f>
        <v>0</v>
      </c>
      <c r="S55" s="129"/>
      <c r="T55" s="129">
        <f t="shared" si="318"/>
        <v>0</v>
      </c>
      <c r="U55" s="129"/>
      <c r="V55" s="129">
        <f t="shared" si="319"/>
        <v>0</v>
      </c>
      <c r="W55" s="129"/>
      <c r="X55" s="129">
        <f t="shared" si="337"/>
        <v>0</v>
      </c>
      <c r="Y55" s="129">
        <f t="shared" si="320"/>
        <v>0</v>
      </c>
      <c r="Z55" s="129">
        <f t="shared" si="321"/>
        <v>0</v>
      </c>
      <c r="AA55" s="129"/>
      <c r="AB55" s="129">
        <f t="shared" si="338"/>
        <v>0</v>
      </c>
      <c r="AC55" s="129"/>
      <c r="AD55" s="129">
        <f t="shared" si="308"/>
        <v>0</v>
      </c>
      <c r="AE55" s="129"/>
      <c r="AF55" s="428">
        <f t="shared" ref="AF55:AF56" si="365">K55*AE55*$AF$2/1000</f>
        <v>0</v>
      </c>
      <c r="AG55" s="129">
        <f t="shared" si="310"/>
        <v>0</v>
      </c>
      <c r="AH55" s="129">
        <f t="shared" si="322"/>
        <v>0</v>
      </c>
      <c r="AI55" s="129">
        <f t="shared" si="323"/>
        <v>0</v>
      </c>
      <c r="AJ55" s="129">
        <f t="shared" si="324"/>
        <v>0</v>
      </c>
      <c r="AK55" s="129"/>
      <c r="AL55" s="129">
        <f t="shared" si="325"/>
        <v>0</v>
      </c>
      <c r="AM55" s="129"/>
      <c r="AN55" s="129">
        <f t="shared" si="312"/>
        <v>0</v>
      </c>
      <c r="AO55" s="129"/>
      <c r="AP55" s="129">
        <f t="shared" si="326"/>
        <v>0</v>
      </c>
      <c r="AQ55" s="129">
        <f t="shared" si="314"/>
        <v>0</v>
      </c>
      <c r="AR55" s="129">
        <f t="shared" si="327"/>
        <v>0</v>
      </c>
      <c r="AS55" s="129"/>
      <c r="AT55" s="129">
        <f>O55*AS55*$AT$2/1000</f>
        <v>0</v>
      </c>
      <c r="AU55" s="129"/>
      <c r="AV55" s="129">
        <f t="shared" si="340"/>
        <v>0</v>
      </c>
      <c r="AW55" s="129"/>
      <c r="AX55" s="129">
        <f t="shared" si="330"/>
        <v>0</v>
      </c>
      <c r="AY55" s="129">
        <f t="shared" si="316"/>
        <v>0</v>
      </c>
      <c r="AZ55" s="129">
        <f t="shared" si="331"/>
        <v>0</v>
      </c>
      <c r="BA55" s="129">
        <f t="shared" si="332"/>
        <v>0</v>
      </c>
      <c r="BB55" s="129">
        <f t="shared" si="333"/>
        <v>0</v>
      </c>
      <c r="BC55" s="1" t="s">
        <v>1105</v>
      </c>
    </row>
    <row r="56" spans="1:55">
      <c r="A56" s="498">
        <v>38</v>
      </c>
      <c r="B56" s="13"/>
      <c r="C56" s="13"/>
      <c r="D56" s="15"/>
      <c r="E56" s="523" t="s">
        <v>1791</v>
      </c>
      <c r="F56" s="525" t="s">
        <v>1792</v>
      </c>
      <c r="G56" s="525" t="s">
        <v>1102</v>
      </c>
      <c r="H56" s="526" t="s">
        <v>365</v>
      </c>
      <c r="I56" s="541"/>
      <c r="J56" s="542"/>
      <c r="K56" s="541"/>
      <c r="L56" s="543"/>
      <c r="M56" s="541">
        <v>12.94</v>
      </c>
      <c r="N56" s="543"/>
      <c r="O56" s="541">
        <v>12.94</v>
      </c>
      <c r="P56" s="542"/>
      <c r="Q56" s="528">
        <f t="shared" ref="Q56" si="366">SUM(AI56+BA56)</f>
        <v>0</v>
      </c>
      <c r="R56" s="529">
        <f t="shared" ref="R56" si="367">SUM(AJ56+BB56)</f>
        <v>0</v>
      </c>
      <c r="S56" s="528"/>
      <c r="T56" s="528">
        <f t="shared" si="318"/>
        <v>0</v>
      </c>
      <c r="U56" s="528"/>
      <c r="V56" s="528">
        <f t="shared" si="319"/>
        <v>0</v>
      </c>
      <c r="W56" s="528"/>
      <c r="X56" s="528">
        <f t="shared" si="337"/>
        <v>0</v>
      </c>
      <c r="Y56" s="528">
        <f t="shared" si="320"/>
        <v>0</v>
      </c>
      <c r="Z56" s="528">
        <f t="shared" si="321"/>
        <v>0</v>
      </c>
      <c r="AA56" s="528"/>
      <c r="AB56" s="528">
        <f t="shared" si="338"/>
        <v>0</v>
      </c>
      <c r="AC56" s="528"/>
      <c r="AD56" s="528">
        <f t="shared" si="308"/>
        <v>0</v>
      </c>
      <c r="AE56" s="528"/>
      <c r="AF56" s="544">
        <f t="shared" si="365"/>
        <v>0</v>
      </c>
      <c r="AG56" s="528">
        <f t="shared" si="310"/>
        <v>0</v>
      </c>
      <c r="AH56" s="528">
        <f t="shared" si="322"/>
        <v>0</v>
      </c>
      <c r="AI56" s="528">
        <f t="shared" si="323"/>
        <v>0</v>
      </c>
      <c r="AJ56" s="528">
        <f t="shared" si="324"/>
        <v>0</v>
      </c>
      <c r="AK56" s="528"/>
      <c r="AL56" s="528">
        <f t="shared" si="325"/>
        <v>0</v>
      </c>
      <c r="AM56" s="528"/>
      <c r="AN56" s="528">
        <f t="shared" si="312"/>
        <v>0</v>
      </c>
      <c r="AO56" s="528"/>
      <c r="AP56" s="528">
        <f t="shared" si="326"/>
        <v>0</v>
      </c>
      <c r="AQ56" s="528">
        <f t="shared" si="314"/>
        <v>0</v>
      </c>
      <c r="AR56" s="528">
        <f t="shared" si="327"/>
        <v>0</v>
      </c>
      <c r="AS56" s="528"/>
      <c r="AT56" s="528">
        <f>O56*AS56*$AT$2/1000</f>
        <v>0</v>
      </c>
      <c r="AU56" s="528"/>
      <c r="AV56" s="528">
        <f>O56*AU56*$AV$2/1000</f>
        <v>0</v>
      </c>
      <c r="AW56" s="528"/>
      <c r="AX56" s="528">
        <f t="shared" si="330"/>
        <v>0</v>
      </c>
      <c r="AY56" s="528">
        <f t="shared" si="316"/>
        <v>0</v>
      </c>
      <c r="AZ56" s="528">
        <f t="shared" si="331"/>
        <v>0</v>
      </c>
      <c r="BA56" s="528">
        <f t="shared" si="332"/>
        <v>0</v>
      </c>
      <c r="BB56" s="528">
        <f t="shared" si="333"/>
        <v>0</v>
      </c>
      <c r="BC56" s="1" t="s">
        <v>1105</v>
      </c>
    </row>
    <row r="57" spans="1:55">
      <c r="B57" s="13"/>
      <c r="C57" s="13"/>
      <c r="D57" s="13"/>
      <c r="E57" s="21" t="s">
        <v>1671</v>
      </c>
      <c r="F57" s="22" t="s">
        <v>1698</v>
      </c>
      <c r="G57" s="46" t="s">
        <v>1102</v>
      </c>
      <c r="H57" s="268" t="s">
        <v>365</v>
      </c>
      <c r="I57" s="55">
        <v>7.99</v>
      </c>
      <c r="J57" s="102"/>
      <c r="K57" s="55">
        <v>7.99</v>
      </c>
      <c r="L57" s="163"/>
      <c r="M57" s="55">
        <v>7.99</v>
      </c>
      <c r="N57" s="163"/>
      <c r="O57" s="55">
        <v>7.86</v>
      </c>
      <c r="P57" s="102"/>
      <c r="Q57" s="97">
        <f t="shared" ref="Q57" si="368">SUM(AI57+BA57)</f>
        <v>291.92899999999997</v>
      </c>
      <c r="R57" s="342">
        <f t="shared" ref="R57" si="369">SUM(AJ57+BB57)</f>
        <v>3152.9345117400999</v>
      </c>
      <c r="S57" s="97">
        <v>26.904</v>
      </c>
      <c r="T57" s="97">
        <f t="shared" ref="T57" si="370">I57*S57*$T$2/1000</f>
        <v>284.15738719440003</v>
      </c>
      <c r="U57" s="97">
        <v>16.914000000000001</v>
      </c>
      <c r="V57" s="177">
        <f t="shared" ref="V57" si="371">I57*U57*$V$2/1000</f>
        <v>179.79406094400002</v>
      </c>
      <c r="W57" s="207">
        <v>48.131999999999998</v>
      </c>
      <c r="X57" s="206">
        <f t="shared" ref="X57" si="372">I57*W57*$X$2/1000</f>
        <v>511.71506920799999</v>
      </c>
      <c r="Y57" s="189">
        <f t="shared" ref="Y57" si="373">SUM(S57+U57+W57)</f>
        <v>91.949999999999989</v>
      </c>
      <c r="Z57" s="177">
        <f t="shared" ref="Z57" si="374">SUM(T57+V57+X57)</f>
        <v>975.66651734640004</v>
      </c>
      <c r="AA57" s="207">
        <v>39.756</v>
      </c>
      <c r="AB57" s="206">
        <f t="shared" ref="AB57" si="375">K57*AA57*$AB$2/1000</f>
        <v>433.31331821279997</v>
      </c>
      <c r="AC57" s="207">
        <v>63.072000000000003</v>
      </c>
      <c r="AD57" s="177">
        <f t="shared" ref="AD57" si="376">K57*AC57*$AD$2/1000</f>
        <v>690.21857384640009</v>
      </c>
      <c r="AE57" s="207">
        <v>29.965</v>
      </c>
      <c r="AF57" s="206">
        <f t="shared" ref="AF57" si="377">K57*AE57*$AF$2/1000</f>
        <v>330.11996119050002</v>
      </c>
      <c r="AG57" s="189">
        <f t="shared" ref="AG57" si="378">SUM(AA57+AC57+AE57)</f>
        <v>132.79300000000001</v>
      </c>
      <c r="AH57" s="97">
        <f t="shared" ref="AH57" si="379">SUM(AB57+AD57+AF57)</f>
        <v>1453.6518532497003</v>
      </c>
      <c r="AI57" s="97">
        <f t="shared" ref="AI57" si="380">SUM(Y57+AG57)</f>
        <v>224.74299999999999</v>
      </c>
      <c r="AJ57" s="177">
        <f t="shared" ref="AJ57" si="381">SUM(Z57,AH57)</f>
        <v>2429.3183705961001</v>
      </c>
      <c r="AK57" s="207">
        <v>10.19</v>
      </c>
      <c r="AL57" s="177">
        <f t="shared" ref="AL57" si="382">M57*AK57*$AL$2/1000</f>
        <v>112.60774574799999</v>
      </c>
      <c r="AM57" s="245">
        <v>18.366</v>
      </c>
      <c r="AN57" s="177">
        <f t="shared" ref="AN57" si="383">M57*AM57*$AN$2/1000</f>
        <v>199.73372117399998</v>
      </c>
      <c r="AO57" s="207">
        <v>37.619999999999997</v>
      </c>
      <c r="AP57" s="206">
        <f t="shared" ref="AP57" si="384">M57*AO57*$AP$2/1000</f>
        <v>400.49484928200002</v>
      </c>
      <c r="AQ57" s="189">
        <f t="shared" ref="AQ57" si="385">SUM(AK57+AM57+AO57)</f>
        <v>66.175999999999988</v>
      </c>
      <c r="AR57" s="97">
        <f t="shared" ref="AR57" si="386">SUM(AL57+AN57+AP57)</f>
        <v>712.83631620400001</v>
      </c>
      <c r="AS57" s="97">
        <v>1.01</v>
      </c>
      <c r="AT57" s="177">
        <f t="shared" ref="AT57" si="387">O57*AS57*$AT$2/1000</f>
        <v>10.779824940000001</v>
      </c>
      <c r="AU57" s="207"/>
      <c r="AV57" s="177">
        <f t="shared" ref="AV57" si="388">O57*AU57*$AV$2/1000</f>
        <v>0</v>
      </c>
      <c r="AW57" s="207"/>
      <c r="AX57" s="206">
        <f t="shared" ref="AX57" si="389">O57*AW57*$AX$2/1000</f>
        <v>0</v>
      </c>
      <c r="AY57" s="189">
        <f t="shared" ref="AY57" si="390">SUM(AS57+AU57+AW57)</f>
        <v>1.01</v>
      </c>
      <c r="AZ57" s="97">
        <f t="shared" ref="AZ57" si="391">SUM(AT57+AV57+AX57)</f>
        <v>10.779824940000001</v>
      </c>
      <c r="BA57" s="97">
        <f t="shared" ref="BA57" si="392">SUM(AQ57+AY57)</f>
        <v>67.185999999999993</v>
      </c>
      <c r="BB57" s="97">
        <f t="shared" ref="BB57" si="393">SUM(AR57,AZ57)</f>
        <v>723.61614114400004</v>
      </c>
      <c r="BC57" s="1" t="s">
        <v>1782</v>
      </c>
    </row>
    <row r="58" spans="1:55">
      <c r="B58" s="13"/>
      <c r="C58" s="13"/>
      <c r="D58" s="13"/>
      <c r="E58" s="21" t="s">
        <v>1672</v>
      </c>
      <c r="F58" s="22" t="s">
        <v>1699</v>
      </c>
      <c r="G58" s="46" t="s">
        <v>1102</v>
      </c>
      <c r="H58" s="268" t="s">
        <v>365</v>
      </c>
      <c r="I58" s="55">
        <v>8.3000000000000007</v>
      </c>
      <c r="J58" s="102"/>
      <c r="K58" s="55">
        <v>8.3000000000000007</v>
      </c>
      <c r="L58" s="163"/>
      <c r="M58" s="55">
        <v>8.3000000000000007</v>
      </c>
      <c r="N58" s="163"/>
      <c r="O58" s="55">
        <v>8.2899999999999991</v>
      </c>
      <c r="P58" s="102"/>
      <c r="Q58" s="97">
        <f t="shared" si="280"/>
        <v>94.751999999999995</v>
      </c>
      <c r="R58" s="342">
        <f t="shared" si="107"/>
        <v>1058.7391970253002</v>
      </c>
      <c r="S58" s="97">
        <v>8.6760000000000002</v>
      </c>
      <c r="T58" s="97">
        <f t="shared" ref="T58" si="394">I58*S58*$T$2/1000</f>
        <v>95.190356412000014</v>
      </c>
      <c r="U58" s="97">
        <v>27.452000000000002</v>
      </c>
      <c r="V58" s="177">
        <f t="shared" ref="V58" si="395">I58*U58*$V$2/1000</f>
        <v>303.13376864000008</v>
      </c>
      <c r="W58" s="207">
        <v>10.116</v>
      </c>
      <c r="X58" s="206">
        <f t="shared" si="283"/>
        <v>111.72090168</v>
      </c>
      <c r="Y58" s="189">
        <f t="shared" ref="Y58" si="396">SUM(S58+U58+W58)</f>
        <v>46.244</v>
      </c>
      <c r="Z58" s="177">
        <f t="shared" si="307"/>
        <v>510.04502673200011</v>
      </c>
      <c r="AA58" s="207">
        <v>4.6900000000000004</v>
      </c>
      <c r="AB58" s="206">
        <f t="shared" si="285"/>
        <v>53.101099240000003</v>
      </c>
      <c r="AC58" s="207">
        <v>6.6959999999999997</v>
      </c>
      <c r="AD58" s="177">
        <f t="shared" si="308"/>
        <v>76.119652584000008</v>
      </c>
      <c r="AE58" s="207">
        <v>2.16</v>
      </c>
      <c r="AF58" s="206">
        <f t="shared" si="309"/>
        <v>24.719664240000007</v>
      </c>
      <c r="AG58" s="189">
        <f t="shared" si="310"/>
        <v>13.545999999999999</v>
      </c>
      <c r="AH58" s="97">
        <f t="shared" si="311"/>
        <v>153.94041606400003</v>
      </c>
      <c r="AI58" s="97">
        <f t="shared" ref="AI58" si="397">SUM(Y58+AG58)</f>
        <v>59.79</v>
      </c>
      <c r="AJ58" s="177">
        <f t="shared" ref="AJ58" si="398">SUM(Z58,AH58)</f>
        <v>663.98544279600014</v>
      </c>
      <c r="AK58" s="207">
        <v>7.2359999999999998</v>
      </c>
      <c r="AL58" s="177">
        <f t="shared" ref="AL58" si="399">M58*AK58*$AL$2/1000</f>
        <v>83.066125104000008</v>
      </c>
      <c r="AM58" s="245">
        <v>17.027999999999999</v>
      </c>
      <c r="AN58" s="177">
        <f t="shared" si="312"/>
        <v>192.36752963999999</v>
      </c>
      <c r="AO58" s="207">
        <v>8.6489999999999991</v>
      </c>
      <c r="AP58" s="206">
        <f t="shared" si="313"/>
        <v>95.647881213000005</v>
      </c>
      <c r="AQ58" s="189">
        <f t="shared" si="314"/>
        <v>32.912999999999997</v>
      </c>
      <c r="AR58" s="97">
        <f t="shared" si="315"/>
        <v>371.08153595700003</v>
      </c>
      <c r="AS58" s="97"/>
      <c r="AT58" s="177">
        <f t="shared" ref="AT58" si="400">O58*AS58*$AT$2/1000</f>
        <v>0</v>
      </c>
      <c r="AU58" s="207">
        <v>1.905</v>
      </c>
      <c r="AV58" s="177">
        <f t="shared" ref="AV58" si="401">O58*AU58*$AV$2/1000</f>
        <v>21.977878891500001</v>
      </c>
      <c r="AW58" s="207">
        <v>0.14399999999999999</v>
      </c>
      <c r="AX58" s="206">
        <f t="shared" ref="AX58" si="402">O58*AW58*$AX$2/1000</f>
        <v>1.6943393807999994</v>
      </c>
      <c r="AY58" s="189">
        <f t="shared" si="316"/>
        <v>2.0489999999999999</v>
      </c>
      <c r="AZ58" s="97">
        <f t="shared" si="317"/>
        <v>23.6722182723</v>
      </c>
      <c r="BA58" s="97">
        <f t="shared" ref="BA58" si="403">SUM(AQ58+AY58)</f>
        <v>34.961999999999996</v>
      </c>
      <c r="BB58" s="97">
        <f t="shared" ref="BB58" si="404">SUM(AR58,AZ58)</f>
        <v>394.75375422930006</v>
      </c>
      <c r="BC58" s="1" t="s">
        <v>1782</v>
      </c>
    </row>
    <row r="59" spans="1:55">
      <c r="B59" s="13"/>
      <c r="C59" s="13"/>
      <c r="D59" s="13"/>
      <c r="E59" s="553" t="s">
        <v>1648</v>
      </c>
      <c r="F59" s="91" t="s">
        <v>1700</v>
      </c>
      <c r="G59" s="430" t="s">
        <v>1102</v>
      </c>
      <c r="H59" s="287" t="s">
        <v>365</v>
      </c>
      <c r="I59" s="76">
        <v>8.94</v>
      </c>
      <c r="J59" s="112"/>
      <c r="K59" s="76">
        <v>8.94</v>
      </c>
      <c r="L59" s="168"/>
      <c r="M59" s="76">
        <v>8.94</v>
      </c>
      <c r="N59" s="168"/>
      <c r="O59" s="76">
        <v>8.94</v>
      </c>
      <c r="P59" s="112"/>
      <c r="Q59" s="131">
        <f t="shared" ref="Q59:Q60" si="405">SUM(AI59+BA59)</f>
        <v>854.14200000000005</v>
      </c>
      <c r="R59" s="352">
        <f t="shared" ref="R59:R60" si="406">SUM(AJ59+BB59)</f>
        <v>10382.8445561688</v>
      </c>
      <c r="S59" s="131">
        <v>80.575999999999993</v>
      </c>
      <c r="T59" s="131">
        <f t="shared" ref="T59:T60" si="407">I59*S59*$T$2/1000</f>
        <v>952.22272124159986</v>
      </c>
      <c r="U59" s="131">
        <v>60.853999999999999</v>
      </c>
      <c r="V59" s="185">
        <f t="shared" ref="V59:V60" si="408">I59*U59*$V$2/1000</f>
        <v>723.7838447040001</v>
      </c>
      <c r="W59" s="224">
        <v>105.804</v>
      </c>
      <c r="X59" s="225">
        <f t="shared" ref="X59:X60" si="409">I59*W59*$X$2/1000</f>
        <v>1258.5982534559998</v>
      </c>
      <c r="Y59" s="198">
        <f t="shared" ref="Y59:Y60" si="410">SUM(S59+U59+W59)</f>
        <v>247.23400000000001</v>
      </c>
      <c r="Z59" s="185">
        <f t="shared" ref="Z59" si="411">SUM(T59+V59+X59)</f>
        <v>2934.6048194015998</v>
      </c>
      <c r="AA59" s="224">
        <v>90.623999999999995</v>
      </c>
      <c r="AB59" s="225">
        <f t="shared" ref="AB59:AB60" si="412">K59*AA59*$AB$2/1000</f>
        <v>1105.1807772672</v>
      </c>
      <c r="AC59" s="224">
        <v>151.84800000000001</v>
      </c>
      <c r="AD59" s="185">
        <f t="shared" ref="AD59:AD60" si="413">K59*AC59*$AD$2/1000</f>
        <v>1859.3016515856004</v>
      </c>
      <c r="AE59" s="224">
        <v>176.28800000000001</v>
      </c>
      <c r="AF59" s="225">
        <f t="shared" ref="AF59:AF60" si="414">K59*AE59*$AF$2/1000</f>
        <v>2173.0563763775999</v>
      </c>
      <c r="AG59" s="198">
        <f t="shared" ref="AG59:AG60" si="415">SUM(AA59+AC59+AE59)</f>
        <v>418.76</v>
      </c>
      <c r="AH59" s="131">
        <f t="shared" ref="AH59" si="416">SUM(AB59+AD59+AF59)</f>
        <v>5137.5388052304006</v>
      </c>
      <c r="AI59" s="131">
        <f t="shared" ref="AI59" si="417">SUM(Y59+AG59)</f>
        <v>665.99400000000003</v>
      </c>
      <c r="AJ59" s="185">
        <f t="shared" ref="AJ59" si="418">SUM(Z59,AH59)</f>
        <v>8072.1436246320009</v>
      </c>
      <c r="AK59" s="224">
        <v>108.254</v>
      </c>
      <c r="AL59" s="185">
        <f t="shared" ref="AL59:AL60" si="419">M59*AK59*$AL$2/1000</f>
        <v>1338.5320443407998</v>
      </c>
      <c r="AM59" s="254">
        <v>79.894000000000005</v>
      </c>
      <c r="AN59" s="185">
        <f t="shared" ref="AN59:AN60" si="420">M59*AM59*$AN$2/1000</f>
        <v>972.1688871959999</v>
      </c>
      <c r="AO59" s="224"/>
      <c r="AP59" s="225">
        <f t="shared" ref="AP59:AP60" si="421">M59*AO59*$AP$2/1000</f>
        <v>0</v>
      </c>
      <c r="AQ59" s="198">
        <f t="shared" ref="AQ59:AQ60" si="422">SUM(AK59+AM59+AO59)</f>
        <v>188.14800000000002</v>
      </c>
      <c r="AR59" s="131">
        <f t="shared" ref="AR59" si="423">SUM(AL59+AN59+AP59)</f>
        <v>2310.7009315367995</v>
      </c>
      <c r="AS59" s="131"/>
      <c r="AT59" s="185">
        <f t="shared" ref="AT59" si="424">O59*AS59*$AT$2/1000</f>
        <v>0</v>
      </c>
      <c r="AU59" s="224"/>
      <c r="AV59" s="185">
        <f t="shared" ref="AV59" si="425">O59*AU59*$AV$2/1000</f>
        <v>0</v>
      </c>
      <c r="AW59" s="224"/>
      <c r="AX59" s="225">
        <f t="shared" ref="AX59:AX60" si="426">O59*AW59*$AX$2/1000</f>
        <v>0</v>
      </c>
      <c r="AY59" s="198">
        <f t="shared" ref="AY59:AY60" si="427">SUM(AS59+AU59+AW59)</f>
        <v>0</v>
      </c>
      <c r="AZ59" s="131">
        <f t="shared" ref="AZ59" si="428">SUM(AT59+AV59+AX59)</f>
        <v>0</v>
      </c>
      <c r="BA59" s="131">
        <f t="shared" ref="BA59" si="429">SUM(AQ59+AY59)</f>
        <v>188.14800000000002</v>
      </c>
      <c r="BB59" s="131">
        <f t="shared" ref="BB59:BB60" si="430">SUM(AR59,AZ59)</f>
        <v>2310.7009315367995</v>
      </c>
      <c r="BC59" s="1" t="s">
        <v>1782</v>
      </c>
    </row>
    <row r="60" spans="1:55">
      <c r="A60" s="498">
        <v>38</v>
      </c>
      <c r="B60" s="13"/>
      <c r="C60" s="13"/>
      <c r="D60" s="15"/>
      <c r="E60" s="553" t="s">
        <v>1648</v>
      </c>
      <c r="F60" s="91" t="s">
        <v>1700</v>
      </c>
      <c r="G60" s="430" t="s">
        <v>1102</v>
      </c>
      <c r="H60" s="287" t="s">
        <v>365</v>
      </c>
      <c r="I60" s="76">
        <v>8.94</v>
      </c>
      <c r="J60" s="112"/>
      <c r="K60" s="76">
        <v>8.94</v>
      </c>
      <c r="L60" s="543"/>
      <c r="M60" s="541">
        <v>8.4499999999999993</v>
      </c>
      <c r="N60" s="543"/>
      <c r="O60" s="541">
        <v>8.4499999999999993</v>
      </c>
      <c r="P60" s="542"/>
      <c r="Q60" s="528">
        <f t="shared" si="405"/>
        <v>323.88200000000001</v>
      </c>
      <c r="R60" s="529">
        <f t="shared" si="406"/>
        <v>3759.0443923629996</v>
      </c>
      <c r="S60" s="528"/>
      <c r="T60" s="528">
        <f t="shared" si="407"/>
        <v>0</v>
      </c>
      <c r="U60" s="528"/>
      <c r="V60" s="528">
        <f t="shared" si="408"/>
        <v>0</v>
      </c>
      <c r="W60" s="528"/>
      <c r="X60" s="528">
        <f t="shared" si="409"/>
        <v>0</v>
      </c>
      <c r="Y60" s="528">
        <f t="shared" si="410"/>
        <v>0</v>
      </c>
      <c r="Z60" s="528">
        <f t="shared" ref="Z60" si="431">SUM(T60,V60,X60)</f>
        <v>0</v>
      </c>
      <c r="AA60" s="528"/>
      <c r="AB60" s="528">
        <f t="shared" si="412"/>
        <v>0</v>
      </c>
      <c r="AC60" s="528"/>
      <c r="AD60" s="528">
        <f t="shared" si="413"/>
        <v>0</v>
      </c>
      <c r="AE60" s="528"/>
      <c r="AF60" s="544">
        <f t="shared" si="414"/>
        <v>0</v>
      </c>
      <c r="AG60" s="528">
        <f t="shared" si="415"/>
        <v>0</v>
      </c>
      <c r="AH60" s="528">
        <f t="shared" ref="AH60" si="432">SUM(AB60,AD60,AF60)</f>
        <v>0</v>
      </c>
      <c r="AI60" s="528">
        <f>SUM(Y60+AG60)</f>
        <v>0</v>
      </c>
      <c r="AJ60" s="528">
        <f>SUM(Z60,AH60)</f>
        <v>0</v>
      </c>
      <c r="AK60" s="528"/>
      <c r="AL60" s="528">
        <f t="shared" si="419"/>
        <v>0</v>
      </c>
      <c r="AM60" s="528"/>
      <c r="AN60" s="528">
        <f t="shared" si="420"/>
        <v>0</v>
      </c>
      <c r="AO60" s="528">
        <v>84.341999999999999</v>
      </c>
      <c r="AP60" s="528">
        <f t="shared" si="421"/>
        <v>949.58089586100004</v>
      </c>
      <c r="AQ60" s="528">
        <f t="shared" si="422"/>
        <v>84.341999999999999</v>
      </c>
      <c r="AR60" s="528">
        <f>SUM(AL60,AN60,AP60)</f>
        <v>949.58089586100004</v>
      </c>
      <c r="AS60" s="528">
        <v>80.552000000000007</v>
      </c>
      <c r="AT60" s="528">
        <f>O60*AS60*$AT$2/1000</f>
        <v>924.27418876000002</v>
      </c>
      <c r="AU60" s="528">
        <v>92.447999999999993</v>
      </c>
      <c r="AV60" s="528">
        <f>O60*AU60*$AV$2/1000</f>
        <v>1087.1525639519998</v>
      </c>
      <c r="AW60" s="528">
        <v>66.540000000000006</v>
      </c>
      <c r="AX60" s="528">
        <f t="shared" si="426"/>
        <v>798.03674378999995</v>
      </c>
      <c r="AY60" s="528">
        <f t="shared" si="427"/>
        <v>239.54000000000002</v>
      </c>
      <c r="AZ60" s="528">
        <f>SUM(AT60,AV60,AX60)</f>
        <v>2809.4634965019995</v>
      </c>
      <c r="BA60" s="528">
        <f>SUM(AQ60+AY60)</f>
        <v>323.88200000000001</v>
      </c>
      <c r="BB60" s="528">
        <f t="shared" si="430"/>
        <v>3759.0443923629996</v>
      </c>
      <c r="BC60" s="1" t="s">
        <v>1105</v>
      </c>
    </row>
    <row r="61" spans="1:55">
      <c r="B61" s="13"/>
      <c r="C61" s="13"/>
      <c r="D61" s="13"/>
      <c r="E61" s="21" t="s">
        <v>1701</v>
      </c>
      <c r="F61" s="22" t="s">
        <v>1702</v>
      </c>
      <c r="G61" s="46"/>
      <c r="H61" s="268"/>
      <c r="I61" s="55">
        <v>9.41</v>
      </c>
      <c r="J61" s="102"/>
      <c r="K61" s="55">
        <v>9.41</v>
      </c>
      <c r="L61" s="163"/>
      <c r="M61" s="55">
        <v>9.41</v>
      </c>
      <c r="N61" s="163"/>
      <c r="O61" s="55">
        <v>9.4</v>
      </c>
      <c r="P61" s="102"/>
      <c r="Q61" s="97">
        <f t="shared" ref="Q61:Q62" si="433">SUM(AI61+BA61)</f>
        <v>415.745</v>
      </c>
      <c r="R61" s="342">
        <f t="shared" ref="R61:R62" si="434">SUM(AJ61+BB61)</f>
        <v>5322.6389006044001</v>
      </c>
      <c r="S61" s="97">
        <v>28.547999999999998</v>
      </c>
      <c r="T61" s="97">
        <f t="shared" ref="T61:T62" si="435">I61*S61*$T$2/1000</f>
        <v>355.10814092520002</v>
      </c>
      <c r="U61" s="97">
        <v>55.445999999999998</v>
      </c>
      <c r="V61" s="177">
        <f t="shared" ref="V61:V62" si="436">I61*U61*$V$2/1000</f>
        <v>694.13202254400005</v>
      </c>
      <c r="W61" s="207">
        <v>17.856000000000002</v>
      </c>
      <c r="X61" s="206">
        <f t="shared" ref="X61:X62" si="437">I61*W61*$X$2/1000</f>
        <v>223.57401177599999</v>
      </c>
      <c r="Y61" s="189">
        <f t="shared" ref="Y61" si="438">SUM(S61+U61+W61)</f>
        <v>101.85</v>
      </c>
      <c r="Z61" s="177">
        <f t="shared" ref="Z61:Z62" si="439">SUM(T61+V61+X61)</f>
        <v>1272.8141752452</v>
      </c>
      <c r="AA61" s="207">
        <v>15.382</v>
      </c>
      <c r="AB61" s="206">
        <f t="shared" ref="AB61:AB62" si="440">K61*AA61*$AB$2/1000</f>
        <v>197.44903103439998</v>
      </c>
      <c r="AC61" s="207">
        <v>34.56</v>
      </c>
      <c r="AD61" s="177">
        <f t="shared" ref="AD61:AD62" si="441">K61*AC61*$AD$2/1000</f>
        <v>445.41682444800006</v>
      </c>
      <c r="AE61" s="207">
        <v>25.344000000000001</v>
      </c>
      <c r="AF61" s="206">
        <f t="shared" ref="AF61:AF62" si="442">K61*AE61*$AF$2/1000</f>
        <v>328.83308536319998</v>
      </c>
      <c r="AG61" s="189">
        <f t="shared" ref="AG61:AG62" si="443">SUM(AA61+AC61+AE61)</f>
        <v>75.286000000000001</v>
      </c>
      <c r="AH61" s="97">
        <f t="shared" ref="AH61:AH62" si="444">SUM(AB61+AD61+AF61)</f>
        <v>971.69894084560008</v>
      </c>
      <c r="AI61" s="97">
        <f t="shared" ref="AI61:AI62" si="445">SUM(Y61+AG61)</f>
        <v>177.136</v>
      </c>
      <c r="AJ61" s="177">
        <f t="shared" ref="AJ61:AJ62" si="446">SUM(Z61,AH61)</f>
        <v>2244.5131160907999</v>
      </c>
      <c r="AK61" s="207">
        <v>45.143999999999998</v>
      </c>
      <c r="AL61" s="177">
        <f t="shared" ref="AL61:AL62" si="447">M61*AK61*$AL$2/1000</f>
        <v>587.53935472319995</v>
      </c>
      <c r="AM61" s="245">
        <v>35.567999999999998</v>
      </c>
      <c r="AN61" s="177">
        <f t="shared" ref="AN61:AN62" si="448">M61*AM61*$AN$2/1000</f>
        <v>455.55320116799999</v>
      </c>
      <c r="AO61" s="207">
        <v>64.516000000000005</v>
      </c>
      <c r="AP61" s="206">
        <f t="shared" ref="AP61:AP62" si="449">M61*AO61*$AP$2/1000</f>
        <v>808.88805318840025</v>
      </c>
      <c r="AQ61" s="189">
        <f t="shared" ref="AQ61:AQ62" si="450">SUM(AK61+AM61+AO61)</f>
        <v>145.22800000000001</v>
      </c>
      <c r="AR61" s="97">
        <f t="shared" ref="AR61:AR62" si="451">SUM(AL61+AN61+AP61)</f>
        <v>1851.9806090796001</v>
      </c>
      <c r="AS61" s="97">
        <v>19.8</v>
      </c>
      <c r="AT61" s="177">
        <f t="shared" ref="AT61:AT62" si="452">O61*AS61*$AT$2/1000</f>
        <v>252.73234800000003</v>
      </c>
      <c r="AU61" s="207">
        <v>31.856999999999999</v>
      </c>
      <c r="AV61" s="177">
        <f t="shared" ref="AV61:AV62" si="453">O61*AU61*$AV$2/1000</f>
        <v>416.74365318600002</v>
      </c>
      <c r="AW61" s="207">
        <v>41.723999999999997</v>
      </c>
      <c r="AX61" s="206">
        <f t="shared" ref="AX61:AX62" si="454">O61*AW61*$AX$2/1000</f>
        <v>556.66917424799999</v>
      </c>
      <c r="AY61" s="189">
        <f t="shared" ref="AY61:AY62" si="455">SUM(AS61+AU61+AW61)</f>
        <v>93.381</v>
      </c>
      <c r="AZ61" s="97">
        <f t="shared" ref="AZ61:AZ62" si="456">SUM(AT61+AV61+AX61)</f>
        <v>1226.1451754340001</v>
      </c>
      <c r="BA61" s="97">
        <f t="shared" ref="BA61:BA62" si="457">SUM(AQ61+AY61)</f>
        <v>238.60900000000001</v>
      </c>
      <c r="BB61" s="97">
        <f t="shared" ref="BB61:BB62" si="458">SUM(AR61,AZ61)</f>
        <v>3078.1257845136001</v>
      </c>
      <c r="BC61" s="1" t="s">
        <v>1782</v>
      </c>
    </row>
    <row r="62" spans="1:55">
      <c r="B62" s="13"/>
      <c r="C62" s="13"/>
      <c r="D62" s="13"/>
      <c r="E62" s="21" t="s">
        <v>1703</v>
      </c>
      <c r="F62" s="22" t="s">
        <v>1704</v>
      </c>
      <c r="G62" s="46" t="s">
        <v>1102</v>
      </c>
      <c r="H62" s="268" t="s">
        <v>365</v>
      </c>
      <c r="I62" s="55">
        <v>9.86</v>
      </c>
      <c r="J62" s="102"/>
      <c r="K62" s="55">
        <v>9.86</v>
      </c>
      <c r="L62" s="163"/>
      <c r="M62" s="55">
        <v>9.86</v>
      </c>
      <c r="N62" s="163"/>
      <c r="O62" s="55">
        <v>9.34</v>
      </c>
      <c r="P62" s="102"/>
      <c r="Q62" s="97">
        <f t="shared" si="433"/>
        <v>436.78700000000003</v>
      </c>
      <c r="R62" s="342">
        <f t="shared" si="434"/>
        <v>5818.4033172155996</v>
      </c>
      <c r="S62" s="97">
        <v>25.85</v>
      </c>
      <c r="T62" s="97">
        <f t="shared" si="435"/>
        <v>336.92464509000001</v>
      </c>
      <c r="U62" s="97">
        <v>10.103999999999999</v>
      </c>
      <c r="V62" s="177">
        <f t="shared" si="436"/>
        <v>132.54168537599998</v>
      </c>
      <c r="W62" s="207">
        <v>33.494999999999997</v>
      </c>
      <c r="X62" s="206">
        <f t="shared" si="437"/>
        <v>439.44488741999987</v>
      </c>
      <c r="Y62" s="189">
        <f>SUM(S62+U62+W62)</f>
        <v>69.448999999999998</v>
      </c>
      <c r="Z62" s="177">
        <f t="shared" si="439"/>
        <v>908.9112178859998</v>
      </c>
      <c r="AA62" s="207">
        <v>39.612000000000002</v>
      </c>
      <c r="AB62" s="206">
        <f t="shared" si="440"/>
        <v>532.79024139839998</v>
      </c>
      <c r="AC62" s="207">
        <v>83.555999999999997</v>
      </c>
      <c r="AD62" s="177">
        <f t="shared" si="441"/>
        <v>1128.3863302007999</v>
      </c>
      <c r="AE62" s="207">
        <v>51.183</v>
      </c>
      <c r="AF62" s="206">
        <f t="shared" si="442"/>
        <v>695.8463870754</v>
      </c>
      <c r="AG62" s="189">
        <f t="shared" si="443"/>
        <v>174.351</v>
      </c>
      <c r="AH62" s="97">
        <f t="shared" si="444"/>
        <v>2357.0229586746</v>
      </c>
      <c r="AI62" s="97">
        <f t="shared" si="445"/>
        <v>243.8</v>
      </c>
      <c r="AJ62" s="177">
        <f t="shared" si="446"/>
        <v>3265.9341765605996</v>
      </c>
      <c r="AK62" s="207">
        <v>40.959000000000003</v>
      </c>
      <c r="AL62" s="177">
        <f t="shared" si="447"/>
        <v>558.5647968792</v>
      </c>
      <c r="AM62" s="245">
        <v>26.649000000000001</v>
      </c>
      <c r="AN62" s="177">
        <f t="shared" si="448"/>
        <v>357.64146545400001</v>
      </c>
      <c r="AO62" s="207">
        <v>36.497999999999998</v>
      </c>
      <c r="AP62" s="206">
        <f t="shared" si="449"/>
        <v>479.48756236920002</v>
      </c>
      <c r="AQ62" s="189">
        <f t="shared" si="450"/>
        <v>104.10599999999999</v>
      </c>
      <c r="AR62" s="97">
        <f t="shared" si="451"/>
        <v>1395.6938247024</v>
      </c>
      <c r="AS62" s="97">
        <v>8.64</v>
      </c>
      <c r="AT62" s="177">
        <f t="shared" si="452"/>
        <v>109.57927104000002</v>
      </c>
      <c r="AU62" s="207">
        <v>63.954000000000001</v>
      </c>
      <c r="AV62" s="177">
        <f t="shared" si="453"/>
        <v>831.28674210120016</v>
      </c>
      <c r="AW62" s="207">
        <v>16.286999999999999</v>
      </c>
      <c r="AX62" s="206">
        <f t="shared" si="454"/>
        <v>215.90930281139998</v>
      </c>
      <c r="AY62" s="189">
        <f t="shared" si="455"/>
        <v>88.881</v>
      </c>
      <c r="AZ62" s="97">
        <f t="shared" si="456"/>
        <v>1156.7753159526001</v>
      </c>
      <c r="BA62" s="97">
        <f t="shared" si="457"/>
        <v>192.98699999999999</v>
      </c>
      <c r="BB62" s="97">
        <f t="shared" si="458"/>
        <v>2552.469140655</v>
      </c>
      <c r="BC62" s="1" t="s">
        <v>1782</v>
      </c>
    </row>
    <row r="63" spans="1:55">
      <c r="B63" s="13"/>
      <c r="C63" s="13"/>
      <c r="D63" s="13"/>
      <c r="E63" s="21" t="s">
        <v>1649</v>
      </c>
      <c r="F63" s="22" t="s">
        <v>1705</v>
      </c>
      <c r="G63" s="46" t="s">
        <v>1102</v>
      </c>
      <c r="H63" s="268" t="s">
        <v>365</v>
      </c>
      <c r="I63" s="55">
        <v>10.49</v>
      </c>
      <c r="J63" s="102"/>
      <c r="K63" s="55">
        <v>10.49</v>
      </c>
      <c r="L63" s="163"/>
      <c r="M63" s="55">
        <v>10.49</v>
      </c>
      <c r="N63" s="163"/>
      <c r="O63" s="55">
        <v>10.48</v>
      </c>
      <c r="P63" s="102"/>
      <c r="Q63" s="97">
        <f t="shared" si="280"/>
        <v>291.09499999999997</v>
      </c>
      <c r="R63" s="342">
        <f t="shared" si="107"/>
        <v>4152.5408867956994</v>
      </c>
      <c r="S63" s="97">
        <v>10.989000000000001</v>
      </c>
      <c r="T63" s="97">
        <f t="shared" ref="T63" si="459">I63*S63*$T$2/1000</f>
        <v>152.38035421290002</v>
      </c>
      <c r="U63" s="97">
        <v>31.184999999999999</v>
      </c>
      <c r="V63" s="177">
        <f t="shared" ref="V63" si="460">I63*U63*$V$2/1000</f>
        <v>435.21461676000001</v>
      </c>
      <c r="W63" s="207">
        <v>41.712000000000003</v>
      </c>
      <c r="X63" s="206">
        <f t="shared" si="283"/>
        <v>582.21584572800009</v>
      </c>
      <c r="Y63" s="189">
        <f t="shared" ref="Y63" si="461">SUM(S63+U63+W63)</f>
        <v>83.885999999999996</v>
      </c>
      <c r="Z63" s="177">
        <f t="shared" si="307"/>
        <v>1169.8108167009</v>
      </c>
      <c r="AA63" s="207">
        <v>19.149999999999999</v>
      </c>
      <c r="AB63" s="206">
        <f t="shared" si="285"/>
        <v>274.02920001999996</v>
      </c>
      <c r="AC63" s="207">
        <v>11.946</v>
      </c>
      <c r="AD63" s="177">
        <f t="shared" si="308"/>
        <v>171.63318379020001</v>
      </c>
      <c r="AE63" s="207">
        <v>25.942</v>
      </c>
      <c r="AF63" s="206">
        <f t="shared" si="309"/>
        <v>375.22318645139995</v>
      </c>
      <c r="AG63" s="189">
        <f t="shared" si="310"/>
        <v>57.037999999999997</v>
      </c>
      <c r="AH63" s="97">
        <f t="shared" si="311"/>
        <v>820.88557026159992</v>
      </c>
      <c r="AI63" s="97">
        <f t="shared" ref="AI63" si="462">SUM(Y63+AG63)</f>
        <v>140.92399999999998</v>
      </c>
      <c r="AJ63" s="177">
        <f t="shared" ref="AJ63" si="463">SUM(Z63,AH63)</f>
        <v>1990.6963869624999</v>
      </c>
      <c r="AK63" s="207">
        <v>27.72</v>
      </c>
      <c r="AL63" s="177">
        <f t="shared" ref="AL63" si="464">M63*AK63*$AL$2/1000</f>
        <v>402.17587502399999</v>
      </c>
      <c r="AM63" s="245">
        <v>16.236000000000001</v>
      </c>
      <c r="AN63" s="177">
        <f t="shared" si="312"/>
        <v>231.81661760399999</v>
      </c>
      <c r="AO63" s="207">
        <v>30.852</v>
      </c>
      <c r="AP63" s="206">
        <f t="shared" si="313"/>
        <v>431.21134197719999</v>
      </c>
      <c r="AQ63" s="189">
        <f t="shared" si="314"/>
        <v>74.808000000000007</v>
      </c>
      <c r="AR63" s="97">
        <f t="shared" si="315"/>
        <v>1065.2038346052</v>
      </c>
      <c r="AS63" s="97">
        <v>31.036000000000001</v>
      </c>
      <c r="AT63" s="177">
        <f t="shared" ref="AT63" si="465">O63*AS63*$AT$2/1000</f>
        <v>441.66686051200008</v>
      </c>
      <c r="AU63" s="207">
        <v>15.081</v>
      </c>
      <c r="AV63" s="177">
        <f t="shared" ref="AV63" si="466">O63*AU63*$AV$2/1000</f>
        <v>219.95188482960003</v>
      </c>
      <c r="AW63" s="207">
        <v>29.245999999999999</v>
      </c>
      <c r="AX63" s="206">
        <f t="shared" ref="AX63" si="467">O63*AW63*$AX$2/1000</f>
        <v>435.02191988639998</v>
      </c>
      <c r="AY63" s="189">
        <f t="shared" si="316"/>
        <v>75.363</v>
      </c>
      <c r="AZ63" s="97">
        <f t="shared" si="317"/>
        <v>1096.640665228</v>
      </c>
      <c r="BA63" s="97">
        <f t="shared" ref="BA63" si="468">SUM(AQ63+AY63)</f>
        <v>150.17099999999999</v>
      </c>
      <c r="BB63" s="97">
        <f t="shared" ref="BB63" si="469">SUM(AR63,AZ63)</f>
        <v>2161.8444998331997</v>
      </c>
      <c r="BC63" s="1" t="s">
        <v>1782</v>
      </c>
    </row>
    <row r="64" spans="1:55">
      <c r="B64" s="13"/>
      <c r="C64" s="13"/>
      <c r="D64" s="13"/>
      <c r="E64" s="552" t="s">
        <v>1650</v>
      </c>
      <c r="F64" s="22" t="s">
        <v>1706</v>
      </c>
      <c r="G64" s="46" t="s">
        <v>1102</v>
      </c>
      <c r="H64" s="268" t="s">
        <v>365</v>
      </c>
      <c r="I64" s="55">
        <v>12.94</v>
      </c>
      <c r="J64" s="102"/>
      <c r="K64" s="55">
        <v>12.94</v>
      </c>
      <c r="L64" s="163"/>
      <c r="M64" s="55">
        <v>12.94</v>
      </c>
      <c r="N64" s="163"/>
      <c r="O64" s="55">
        <v>12.94</v>
      </c>
      <c r="P64" s="102"/>
      <c r="Q64" s="97">
        <f t="shared" ref="Q64:Q65" si="470">SUM(AI64+BA64)</f>
        <v>171.87899999999999</v>
      </c>
      <c r="R64" s="342">
        <f t="shared" ref="R64:R65" si="471">SUM(AJ64+BB64)</f>
        <v>3018.8345639663999</v>
      </c>
      <c r="S64" s="97">
        <v>16.664000000000001</v>
      </c>
      <c r="T64" s="97">
        <f t="shared" ref="T64:T65" si="472">I64*S64*$T$2/1000</f>
        <v>285.04199598240001</v>
      </c>
      <c r="U64" s="97">
        <v>14.007999999999999</v>
      </c>
      <c r="V64" s="177">
        <f t="shared" ref="V64:V65" si="473">I64*U64*$V$2/1000</f>
        <v>241.15298700799997</v>
      </c>
      <c r="W64" s="207">
        <v>26.388000000000002</v>
      </c>
      <c r="X64" s="206">
        <f t="shared" ref="X64:X65" si="474">I64*W64*$X$2/1000</f>
        <v>454.34763403199992</v>
      </c>
      <c r="Y64" s="189">
        <f t="shared" ref="Y64:Y65" si="475">SUM(S64+U64+W64)</f>
        <v>57.06</v>
      </c>
      <c r="Z64" s="177">
        <f t="shared" ref="Z64" si="476">SUM(T64+V64+X64)</f>
        <v>980.54261702239978</v>
      </c>
      <c r="AA64" s="207">
        <v>22.98</v>
      </c>
      <c r="AB64" s="206">
        <f t="shared" ref="AB64:AB65" si="477">K64*AA64*$AB$2/1000</f>
        <v>405.63636014399998</v>
      </c>
      <c r="AC64" s="207">
        <v>12.6</v>
      </c>
      <c r="AD64" s="177">
        <f t="shared" ref="AD64:AD65" si="478">K64*AC64*$AD$2/1000</f>
        <v>223.30995371999998</v>
      </c>
      <c r="AE64" s="207">
        <v>37.975999999999999</v>
      </c>
      <c r="AF64" s="206">
        <f t="shared" ref="AF64:AF65" si="479">K64*AE64*$AF$2/1000</f>
        <v>677.57007815519989</v>
      </c>
      <c r="AG64" s="189">
        <f t="shared" ref="AG64:AG65" si="480">SUM(AA64+AC64+AE64)</f>
        <v>73.555999999999997</v>
      </c>
      <c r="AH64" s="97">
        <f t="shared" ref="AH64" si="481">SUM(AB64+AD64+AF64)</f>
        <v>1306.5163920191999</v>
      </c>
      <c r="AI64" s="97">
        <f t="shared" ref="AI64" si="482">SUM(Y64+AG64)</f>
        <v>130.61599999999999</v>
      </c>
      <c r="AJ64" s="177">
        <f t="shared" ref="AJ64" si="483">SUM(Z64,AH64)</f>
        <v>2287.0590090415999</v>
      </c>
      <c r="AK64" s="207">
        <v>17.669</v>
      </c>
      <c r="AL64" s="177">
        <f t="shared" ref="AL64:AL65" si="484">M64*AK64*$AL$2/1000</f>
        <v>316.22306832879997</v>
      </c>
      <c r="AM64" s="245">
        <v>23.594000000000001</v>
      </c>
      <c r="AN64" s="177">
        <f t="shared" ref="AN64:AN65" si="485">M64*AM64*$AN$2/1000</f>
        <v>415.55248659599999</v>
      </c>
      <c r="AO64" s="207"/>
      <c r="AP64" s="206">
        <f t="shared" ref="AP64:AP65" si="486">M64*AO64*$AP$2/1000</f>
        <v>0</v>
      </c>
      <c r="AQ64" s="189">
        <f t="shared" ref="AQ64:AQ65" si="487">SUM(AK64+AM64+AO64)</f>
        <v>41.263000000000005</v>
      </c>
      <c r="AR64" s="97">
        <f t="shared" ref="AR64" si="488">SUM(AL64+AN64+AP64)</f>
        <v>731.77555492479996</v>
      </c>
      <c r="AS64" s="97"/>
      <c r="AT64" s="177">
        <f t="shared" ref="AT64" si="489">O64*AS64*$AT$2/1000</f>
        <v>0</v>
      </c>
      <c r="AU64" s="207"/>
      <c r="AV64" s="177">
        <f t="shared" ref="AV64" si="490">O64*AU64*$AV$2/1000</f>
        <v>0</v>
      </c>
      <c r="AW64" s="207"/>
      <c r="AX64" s="206">
        <f t="shared" ref="AX64:AX65" si="491">O64*AW64*$AX$2/1000</f>
        <v>0</v>
      </c>
      <c r="AY64" s="189">
        <f t="shared" ref="AY64:AY65" si="492">SUM(AS64+AU64+AW64)</f>
        <v>0</v>
      </c>
      <c r="AZ64" s="97">
        <f t="shared" ref="AZ64" si="493">SUM(AT64+AV64+AX64)</f>
        <v>0</v>
      </c>
      <c r="BA64" s="97">
        <f t="shared" ref="BA64" si="494">SUM(AQ64+AY64)</f>
        <v>41.263000000000005</v>
      </c>
      <c r="BB64" s="97">
        <f t="shared" ref="BB64:BB65" si="495">SUM(AR64,AZ64)</f>
        <v>731.77555492479996</v>
      </c>
      <c r="BC64" s="1" t="s">
        <v>1782</v>
      </c>
    </row>
    <row r="65" spans="1:55">
      <c r="A65" s="498">
        <v>38</v>
      </c>
      <c r="B65" s="13"/>
      <c r="C65" s="13"/>
      <c r="D65" s="15"/>
      <c r="E65" s="552" t="s">
        <v>1650</v>
      </c>
      <c r="F65" s="22" t="s">
        <v>1706</v>
      </c>
      <c r="G65" s="430" t="s">
        <v>1102</v>
      </c>
      <c r="H65" s="287" t="s">
        <v>365</v>
      </c>
      <c r="I65" s="55">
        <v>12.94</v>
      </c>
      <c r="J65" s="102"/>
      <c r="K65" s="55">
        <v>12.94</v>
      </c>
      <c r="L65" s="543"/>
      <c r="M65" s="541">
        <v>12.26</v>
      </c>
      <c r="N65" s="543"/>
      <c r="O65" s="541">
        <v>12.26</v>
      </c>
      <c r="P65" s="542"/>
      <c r="Q65" s="528">
        <f t="shared" si="470"/>
        <v>98.01400000000001</v>
      </c>
      <c r="R65" s="529">
        <f t="shared" si="471"/>
        <v>1654.0195212960002</v>
      </c>
      <c r="S65" s="528"/>
      <c r="T65" s="528">
        <f t="shared" si="472"/>
        <v>0</v>
      </c>
      <c r="U65" s="528"/>
      <c r="V65" s="528">
        <f t="shared" si="473"/>
        <v>0</v>
      </c>
      <c r="W65" s="528"/>
      <c r="X65" s="528">
        <f t="shared" si="474"/>
        <v>0</v>
      </c>
      <c r="Y65" s="528">
        <f t="shared" si="475"/>
        <v>0</v>
      </c>
      <c r="Z65" s="528">
        <f t="shared" ref="Z65" si="496">SUM(T65,V65,X65)</f>
        <v>0</v>
      </c>
      <c r="AA65" s="528"/>
      <c r="AB65" s="528">
        <f t="shared" si="477"/>
        <v>0</v>
      </c>
      <c r="AC65" s="528"/>
      <c r="AD65" s="528">
        <f t="shared" si="478"/>
        <v>0</v>
      </c>
      <c r="AE65" s="528"/>
      <c r="AF65" s="544">
        <f t="shared" si="479"/>
        <v>0</v>
      </c>
      <c r="AG65" s="528">
        <f t="shared" si="480"/>
        <v>0</v>
      </c>
      <c r="AH65" s="528">
        <f t="shared" ref="AH65" si="497">SUM(AB65,AD65,AF65)</f>
        <v>0</v>
      </c>
      <c r="AI65" s="528">
        <f>SUM(Y65+AG65)</f>
        <v>0</v>
      </c>
      <c r="AJ65" s="528">
        <f>SUM(Z65,AH65)</f>
        <v>0</v>
      </c>
      <c r="AK65" s="528"/>
      <c r="AL65" s="528">
        <f t="shared" si="484"/>
        <v>0</v>
      </c>
      <c r="AM65" s="528"/>
      <c r="AN65" s="528">
        <f t="shared" si="485"/>
        <v>0</v>
      </c>
      <c r="AO65" s="528">
        <v>27.231999999999999</v>
      </c>
      <c r="AP65" s="528">
        <f t="shared" si="486"/>
        <v>444.83748132480002</v>
      </c>
      <c r="AQ65" s="528">
        <f t="shared" si="487"/>
        <v>27.231999999999999</v>
      </c>
      <c r="AR65" s="528">
        <f>SUM(AL65,AN65,AP65)</f>
        <v>444.83748132480002</v>
      </c>
      <c r="AS65" s="528">
        <v>19.818000000000001</v>
      </c>
      <c r="AT65" s="528">
        <f>O65*AS65*$AT$2/1000</f>
        <v>329.92717057200002</v>
      </c>
      <c r="AU65" s="528">
        <v>22.32</v>
      </c>
      <c r="AV65" s="528">
        <f>O65*AU65*$AV$2/1000</f>
        <v>380.82103214400001</v>
      </c>
      <c r="AW65" s="528">
        <v>28.643999999999998</v>
      </c>
      <c r="AX65" s="528">
        <f t="shared" si="491"/>
        <v>498.43383725519999</v>
      </c>
      <c r="AY65" s="528">
        <f t="shared" si="492"/>
        <v>70.782000000000011</v>
      </c>
      <c r="AZ65" s="528">
        <f>SUM(AT65,AV65,AX65)</f>
        <v>1209.1820399712001</v>
      </c>
      <c r="BA65" s="528">
        <f>SUM(AQ65+AY65)</f>
        <v>98.01400000000001</v>
      </c>
      <c r="BB65" s="528">
        <f t="shared" si="495"/>
        <v>1654.0195212960002</v>
      </c>
      <c r="BC65" s="1" t="s">
        <v>1105</v>
      </c>
    </row>
    <row r="66" spans="1:55">
      <c r="B66" s="13"/>
      <c r="C66" s="13"/>
      <c r="D66" s="13"/>
      <c r="E66" s="51" t="s">
        <v>1651</v>
      </c>
      <c r="F66" s="37" t="s">
        <v>1707</v>
      </c>
      <c r="G66" s="65" t="s">
        <v>1102</v>
      </c>
      <c r="H66" s="275" t="s">
        <v>365</v>
      </c>
      <c r="I66" s="58">
        <v>17.22</v>
      </c>
      <c r="J66" s="108"/>
      <c r="K66" s="58">
        <v>17.22</v>
      </c>
      <c r="L66" s="167"/>
      <c r="M66" s="58">
        <v>17.22</v>
      </c>
      <c r="N66" s="167"/>
      <c r="O66" s="58">
        <v>16.32</v>
      </c>
      <c r="P66" s="108"/>
      <c r="Q66" s="95">
        <f t="shared" si="280"/>
        <v>22.688000000000002</v>
      </c>
      <c r="R66" s="343">
        <f t="shared" si="107"/>
        <v>527.17631724180001</v>
      </c>
      <c r="S66" s="95">
        <v>0.85</v>
      </c>
      <c r="T66" s="95">
        <f t="shared" ref="T66" si="498">I66*S66*$T$2/1000</f>
        <v>19.34850393</v>
      </c>
      <c r="U66" s="95">
        <v>1.51</v>
      </c>
      <c r="V66" s="181">
        <f t="shared" ref="V66" si="499">I66*U66*$V$2/1000</f>
        <v>34.593326879999999</v>
      </c>
      <c r="W66" s="214">
        <v>2.2320000000000002</v>
      </c>
      <c r="X66" s="215">
        <f t="shared" si="283"/>
        <v>51.141664224000003</v>
      </c>
      <c r="Y66" s="193">
        <f t="shared" ref="Y66" si="500">SUM(S66+U66+W66)</f>
        <v>4.5920000000000005</v>
      </c>
      <c r="Z66" s="181">
        <f t="shared" si="307"/>
        <v>105.08349503400001</v>
      </c>
      <c r="AA66" s="214">
        <v>1.62</v>
      </c>
      <c r="AB66" s="215">
        <f t="shared" si="285"/>
        <v>38.054037167999994</v>
      </c>
      <c r="AC66" s="214">
        <v>1.764</v>
      </c>
      <c r="AD66" s="181">
        <f t="shared" si="308"/>
        <v>41.603990450399998</v>
      </c>
      <c r="AE66" s="214">
        <v>3.839</v>
      </c>
      <c r="AF66" s="215">
        <f t="shared" si="309"/>
        <v>91.151114531399983</v>
      </c>
      <c r="AG66" s="193">
        <f t="shared" si="310"/>
        <v>7.2230000000000008</v>
      </c>
      <c r="AH66" s="95">
        <f t="shared" si="311"/>
        <v>170.80914214979998</v>
      </c>
      <c r="AI66" s="95">
        <f t="shared" ref="AI66" si="501">SUM(Y66+AG66)</f>
        <v>11.815000000000001</v>
      </c>
      <c r="AJ66" s="181">
        <f t="shared" ref="AJ66" si="502">SUM(Z66,AH66)</f>
        <v>275.89263718379999</v>
      </c>
      <c r="AK66" s="214">
        <v>2.9790000000000001</v>
      </c>
      <c r="AL66" s="181">
        <f t="shared" ref="AL66" si="503">M66*AK66*$AL$2/1000</f>
        <v>70.949763410399996</v>
      </c>
      <c r="AM66" s="249">
        <v>1.36</v>
      </c>
      <c r="AN66" s="181">
        <f t="shared" si="312"/>
        <v>31.875873119999998</v>
      </c>
      <c r="AO66" s="214">
        <v>0.73799999999999999</v>
      </c>
      <c r="AP66" s="215">
        <f t="shared" si="313"/>
        <v>16.932491780399999</v>
      </c>
      <c r="AQ66" s="193">
        <f t="shared" si="314"/>
        <v>5.077</v>
      </c>
      <c r="AR66" s="95">
        <f t="shared" si="315"/>
        <v>119.75812831079999</v>
      </c>
      <c r="AS66" s="95">
        <v>2.3290000000000002</v>
      </c>
      <c r="AT66" s="181">
        <f t="shared" ref="AT66" si="504">O66*AS66*$AT$2/1000</f>
        <v>51.612801312000009</v>
      </c>
      <c r="AU66" s="214">
        <v>0.875</v>
      </c>
      <c r="AV66" s="181">
        <f t="shared" ref="AV66" si="505">O66*AU66*$AV$2/1000</f>
        <v>19.873047600000003</v>
      </c>
      <c r="AW66" s="214">
        <v>2.5920000000000001</v>
      </c>
      <c r="AX66" s="215">
        <f t="shared" ref="AX66" si="506">O66*AW66*$AX$2/1000</f>
        <v>60.039702835199996</v>
      </c>
      <c r="AY66" s="193">
        <f t="shared" si="316"/>
        <v>5.7960000000000003</v>
      </c>
      <c r="AZ66" s="95">
        <f t="shared" si="317"/>
        <v>131.52555174720001</v>
      </c>
      <c r="BA66" s="95">
        <f t="shared" ref="BA66" si="507">SUM(AQ66+AY66)</f>
        <v>10.873000000000001</v>
      </c>
      <c r="BB66" s="95">
        <f t="shared" ref="BB66" si="508">SUM(AR66,AZ66)</f>
        <v>251.28368005800002</v>
      </c>
      <c r="BC66" s="1" t="s">
        <v>1782</v>
      </c>
    </row>
    <row r="67" spans="1:55">
      <c r="A67" s="498">
        <v>39</v>
      </c>
      <c r="B67" s="26"/>
      <c r="C67" s="26"/>
      <c r="D67" s="27"/>
      <c r="E67" s="328" t="s">
        <v>337</v>
      </c>
      <c r="F67" s="28"/>
      <c r="G67" s="28"/>
      <c r="H67" s="272"/>
      <c r="I67" s="29"/>
      <c r="J67" s="99"/>
      <c r="K67" s="77"/>
      <c r="L67" s="160"/>
      <c r="M67" s="29"/>
      <c r="N67" s="160"/>
      <c r="O67" s="139"/>
      <c r="P67" s="99"/>
      <c r="Q67" s="121">
        <f>SUM(Q30:Q66)</f>
        <v>4352.2080000000005</v>
      </c>
      <c r="R67" s="121">
        <f>SUM(R30:R66)</f>
        <v>68208.171566336838</v>
      </c>
      <c r="S67" s="121">
        <f t="shared" ref="S67:BB67" si="509">SUM(S30:S66)</f>
        <v>259.185</v>
      </c>
      <c r="T67" s="121">
        <f t="shared" si="509"/>
        <v>3769.9368752525997</v>
      </c>
      <c r="U67" s="121">
        <f t="shared" si="509"/>
        <v>336.82099999999997</v>
      </c>
      <c r="V67" s="121">
        <f t="shared" si="509"/>
        <v>5439.8672117920014</v>
      </c>
      <c r="W67" s="121">
        <f t="shared" si="509"/>
        <v>377.36800000000005</v>
      </c>
      <c r="X67" s="121">
        <f t="shared" si="509"/>
        <v>5827.7068064659998</v>
      </c>
      <c r="Y67" s="121">
        <f t="shared" si="509"/>
        <v>973.37399999999991</v>
      </c>
      <c r="Z67" s="121">
        <f t="shared" si="509"/>
        <v>15037.510893510598</v>
      </c>
      <c r="AA67" s="121">
        <f t="shared" si="509"/>
        <v>348.74299999999999</v>
      </c>
      <c r="AB67" s="121">
        <f t="shared" si="509"/>
        <v>5788.4120016599991</v>
      </c>
      <c r="AC67" s="121">
        <f t="shared" si="509"/>
        <v>486.09600000000006</v>
      </c>
      <c r="AD67" s="121">
        <f t="shared" si="509"/>
        <v>7207.0580626397987</v>
      </c>
      <c r="AE67" s="121">
        <f t="shared" si="509"/>
        <v>494.22500000000002</v>
      </c>
      <c r="AF67" s="121">
        <f t="shared" si="509"/>
        <v>7973.2331239046389</v>
      </c>
      <c r="AG67" s="121">
        <f t="shared" si="509"/>
        <v>1329.0639999999999</v>
      </c>
      <c r="AH67" s="121">
        <f t="shared" si="509"/>
        <v>20968.703188204432</v>
      </c>
      <c r="AI67" s="121">
        <f t="shared" si="509"/>
        <v>2302.4379999999996</v>
      </c>
      <c r="AJ67" s="121">
        <f t="shared" si="509"/>
        <v>36006.214081715043</v>
      </c>
      <c r="AK67" s="121">
        <f t="shared" si="509"/>
        <v>460.77100000000002</v>
      </c>
      <c r="AL67" s="121">
        <f t="shared" si="509"/>
        <v>7801.3255387473982</v>
      </c>
      <c r="AM67" s="121">
        <f t="shared" si="509"/>
        <v>404.62899999999996</v>
      </c>
      <c r="AN67" s="121">
        <f t="shared" si="509"/>
        <v>6647.8504631954993</v>
      </c>
      <c r="AO67" s="121">
        <f t="shared" si="509"/>
        <v>365.48399999999998</v>
      </c>
      <c r="AP67" s="121">
        <f t="shared" si="509"/>
        <v>5260.9115631558006</v>
      </c>
      <c r="AQ67" s="121">
        <f t="shared" si="509"/>
        <v>1230.8839999999998</v>
      </c>
      <c r="AR67" s="121">
        <f t="shared" si="509"/>
        <v>19710.087565098704</v>
      </c>
      <c r="AS67" s="121">
        <f t="shared" si="509"/>
        <v>245.26500000000001</v>
      </c>
      <c r="AT67" s="121">
        <f t="shared" si="509"/>
        <v>3834.6684556300011</v>
      </c>
      <c r="AU67" s="121">
        <f t="shared" si="509"/>
        <v>291.86799999999999</v>
      </c>
      <c r="AV67" s="121">
        <f t="shared" si="509"/>
        <v>4194.7176406621502</v>
      </c>
      <c r="AW67" s="121">
        <f t="shared" si="509"/>
        <v>281.75299999999999</v>
      </c>
      <c r="AX67" s="121">
        <f t="shared" si="509"/>
        <v>4462.4838232309494</v>
      </c>
      <c r="AY67" s="121">
        <f t="shared" si="509"/>
        <v>818.88600000000008</v>
      </c>
      <c r="AZ67" s="121">
        <f t="shared" si="509"/>
        <v>12491.8699195231</v>
      </c>
      <c r="BA67" s="121">
        <f t="shared" si="509"/>
        <v>2049.77</v>
      </c>
      <c r="BB67" s="121">
        <f t="shared" si="509"/>
        <v>32201.957484621798</v>
      </c>
      <c r="BC67" s="1" t="s">
        <v>1781</v>
      </c>
    </row>
    <row r="68" spans="1:55">
      <c r="A68" s="498">
        <v>40</v>
      </c>
      <c r="B68" s="13"/>
      <c r="C68" s="14"/>
      <c r="D68" s="313" t="s">
        <v>595</v>
      </c>
      <c r="E68" s="31" t="s">
        <v>120</v>
      </c>
      <c r="F68" s="314" t="s">
        <v>16</v>
      </c>
      <c r="G68" s="314" t="s">
        <v>1106</v>
      </c>
      <c r="H68" s="279" t="s">
        <v>365</v>
      </c>
      <c r="I68" s="44">
        <v>2.61</v>
      </c>
      <c r="J68" s="162"/>
      <c r="K68" s="44">
        <v>2.61</v>
      </c>
      <c r="L68" s="162"/>
      <c r="M68" s="44">
        <v>2.61</v>
      </c>
      <c r="N68" s="162"/>
      <c r="O68" s="44">
        <v>2.61</v>
      </c>
      <c r="P68" s="162"/>
      <c r="Q68" s="125">
        <f t="shared" ref="Q68:R104" si="510">SUM(AI68+BA68)</f>
        <v>0</v>
      </c>
      <c r="R68" s="339">
        <f t="shared" si="510"/>
        <v>0</v>
      </c>
      <c r="S68" s="125"/>
      <c r="T68" s="125">
        <f t="shared" ref="T68:T104" si="511">I68*S68*$T$2/1000</f>
        <v>0</v>
      </c>
      <c r="U68" s="125"/>
      <c r="V68" s="125">
        <f t="shared" ref="V68:V104" si="512">I68*U68*$V$2/1000</f>
        <v>0</v>
      </c>
      <c r="W68" s="125"/>
      <c r="X68" s="125">
        <f t="shared" ref="X68:X104" si="513">I68*W68*$X$2/1000</f>
        <v>0</v>
      </c>
      <c r="Y68" s="125">
        <f t="shared" ref="Y68:Z104" si="514">SUM(S68+U68+W68)</f>
        <v>0</v>
      </c>
      <c r="Z68" s="125">
        <f t="shared" si="514"/>
        <v>0</v>
      </c>
      <c r="AA68" s="125"/>
      <c r="AB68" s="125">
        <f t="shared" ref="AB68:AB104" si="515">K68*AA68*$AB$2/1000</f>
        <v>0</v>
      </c>
      <c r="AC68" s="125"/>
      <c r="AD68" s="125">
        <f t="shared" ref="AD68:AD104" si="516">K68*AC68*$AD$2/1000</f>
        <v>0</v>
      </c>
      <c r="AE68" s="125"/>
      <c r="AF68" s="125">
        <f>K68*AE68*$AF$2/1000</f>
        <v>0</v>
      </c>
      <c r="AG68" s="125">
        <f t="shared" ref="AG68:AH104" si="517">SUM(AA68+AC68+AE68)</f>
        <v>0</v>
      </c>
      <c r="AH68" s="125">
        <f t="shared" si="517"/>
        <v>0</v>
      </c>
      <c r="AI68" s="125">
        <f t="shared" ref="AI68:AI104" si="518">SUM(Y68+AG68)</f>
        <v>0</v>
      </c>
      <c r="AJ68" s="125">
        <f t="shared" ref="AJ68:AJ104" si="519">SUM(Z68,AH68)</f>
        <v>0</v>
      </c>
      <c r="AK68" s="125"/>
      <c r="AL68" s="125">
        <f t="shared" ref="AL68:AL104" si="520">M68*AK68*$AL$2/1000</f>
        <v>0</v>
      </c>
      <c r="AM68" s="125"/>
      <c r="AN68" s="125">
        <f t="shared" ref="AN68:AN81" si="521">M68*AM68*$AN$2/1000</f>
        <v>0</v>
      </c>
      <c r="AO68" s="125"/>
      <c r="AP68" s="125">
        <f t="shared" ref="AP68:AP104" si="522">M68*AO68*$AP$2/1000</f>
        <v>0</v>
      </c>
      <c r="AQ68" s="125">
        <f t="shared" ref="AQ68:AR104" si="523">SUM(AK68+AM68+AO68)</f>
        <v>0</v>
      </c>
      <c r="AR68" s="125">
        <f t="shared" si="523"/>
        <v>0</v>
      </c>
      <c r="AS68" s="125"/>
      <c r="AT68" s="125">
        <f t="shared" ref="AT68:AT104" si="524">O68*AS68*$AT$2/1000</f>
        <v>0</v>
      </c>
      <c r="AU68" s="125"/>
      <c r="AV68" s="125">
        <f t="shared" ref="AV68:AV104" si="525">O68*AU68*$AV$2/1000</f>
        <v>0</v>
      </c>
      <c r="AW68" s="125"/>
      <c r="AX68" s="125">
        <f t="shared" ref="AX68:AX104" si="526">O68*AW68*$AX$2/1000</f>
        <v>0</v>
      </c>
      <c r="AY68" s="125">
        <f t="shared" ref="AY68:AZ104" si="527">SUM(AS68+AU68+AW68)</f>
        <v>0</v>
      </c>
      <c r="AZ68" s="125">
        <f t="shared" si="527"/>
        <v>0</v>
      </c>
      <c r="BA68" s="125">
        <f t="shared" ref="BA68:BA104" si="528">SUM(AQ68+AY68)</f>
        <v>0</v>
      </c>
      <c r="BB68" s="125">
        <f t="shared" ref="BB68:BB104" si="529">SUM(AR68,AZ68)</f>
        <v>0</v>
      </c>
      <c r="BC68" s="1" t="s">
        <v>1780</v>
      </c>
    </row>
    <row r="69" spans="1:55">
      <c r="A69" s="498">
        <v>41</v>
      </c>
      <c r="B69" s="13"/>
      <c r="C69" s="20"/>
      <c r="D69" s="41"/>
      <c r="E69" s="21" t="s">
        <v>121</v>
      </c>
      <c r="F69" s="46" t="s">
        <v>122</v>
      </c>
      <c r="G69" s="46" t="s">
        <v>1105</v>
      </c>
      <c r="H69" s="267" t="s">
        <v>365</v>
      </c>
      <c r="I69" s="18">
        <v>2.76</v>
      </c>
      <c r="J69" s="158"/>
      <c r="K69" s="18">
        <v>2.76</v>
      </c>
      <c r="L69" s="158"/>
      <c r="M69" s="18">
        <v>2.76</v>
      </c>
      <c r="N69" s="158"/>
      <c r="O69" s="18">
        <v>2.76</v>
      </c>
      <c r="P69" s="158"/>
      <c r="Q69" s="96">
        <f t="shared" si="510"/>
        <v>0</v>
      </c>
      <c r="R69" s="340">
        <f t="shared" si="510"/>
        <v>0</v>
      </c>
      <c r="S69" s="96"/>
      <c r="T69" s="96">
        <f t="shared" si="511"/>
        <v>0</v>
      </c>
      <c r="U69" s="96"/>
      <c r="V69" s="96">
        <f t="shared" si="512"/>
        <v>0</v>
      </c>
      <c r="W69" s="96"/>
      <c r="X69" s="96">
        <f>I69*W69*$X$2/1000</f>
        <v>0</v>
      </c>
      <c r="Y69" s="96">
        <f t="shared" si="514"/>
        <v>0</v>
      </c>
      <c r="Z69" s="96">
        <f t="shared" si="514"/>
        <v>0</v>
      </c>
      <c r="AA69" s="96"/>
      <c r="AB69" s="96">
        <f t="shared" si="515"/>
        <v>0</v>
      </c>
      <c r="AC69" s="96"/>
      <c r="AD69" s="96">
        <f>K69*AC69*$AD$2/1000</f>
        <v>0</v>
      </c>
      <c r="AE69" s="96"/>
      <c r="AF69" s="96">
        <f t="shared" ref="AF69:AF90" si="530">K69*AE69*$AF$2/1000</f>
        <v>0</v>
      </c>
      <c r="AG69" s="96">
        <f t="shared" si="517"/>
        <v>0</v>
      </c>
      <c r="AH69" s="96">
        <f t="shared" si="517"/>
        <v>0</v>
      </c>
      <c r="AI69" s="96">
        <f t="shared" si="518"/>
        <v>0</v>
      </c>
      <c r="AJ69" s="96">
        <f t="shared" si="519"/>
        <v>0</v>
      </c>
      <c r="AK69" s="96"/>
      <c r="AL69" s="96">
        <f t="shared" si="520"/>
        <v>0</v>
      </c>
      <c r="AM69" s="96"/>
      <c r="AN69" s="96">
        <f t="shared" si="521"/>
        <v>0</v>
      </c>
      <c r="AO69" s="96"/>
      <c r="AP69" s="96">
        <f t="shared" si="522"/>
        <v>0</v>
      </c>
      <c r="AQ69" s="96">
        <f t="shared" si="523"/>
        <v>0</v>
      </c>
      <c r="AR69" s="96">
        <f t="shared" si="523"/>
        <v>0</v>
      </c>
      <c r="AS69" s="96"/>
      <c r="AT69" s="96">
        <f t="shared" si="524"/>
        <v>0</v>
      </c>
      <c r="AU69" s="96"/>
      <c r="AV69" s="96">
        <f t="shared" si="525"/>
        <v>0</v>
      </c>
      <c r="AW69" s="96"/>
      <c r="AX69" s="96">
        <f t="shared" si="526"/>
        <v>0</v>
      </c>
      <c r="AY69" s="96">
        <f t="shared" si="527"/>
        <v>0</v>
      </c>
      <c r="AZ69" s="96">
        <f t="shared" si="527"/>
        <v>0</v>
      </c>
      <c r="BA69" s="96">
        <f t="shared" si="528"/>
        <v>0</v>
      </c>
      <c r="BB69" s="96">
        <f t="shared" si="529"/>
        <v>0</v>
      </c>
      <c r="BC69" s="1" t="s">
        <v>1780</v>
      </c>
    </row>
    <row r="70" spans="1:55">
      <c r="A70" s="498">
        <v>42</v>
      </c>
      <c r="B70" s="14"/>
      <c r="C70" s="14"/>
      <c r="D70" s="15"/>
      <c r="E70" s="21" t="s">
        <v>911</v>
      </c>
      <c r="F70" s="46" t="s">
        <v>889</v>
      </c>
      <c r="G70" s="46" t="s">
        <v>1105</v>
      </c>
      <c r="H70" s="268" t="s">
        <v>365</v>
      </c>
      <c r="I70" s="55">
        <v>3.11</v>
      </c>
      <c r="J70" s="163"/>
      <c r="K70" s="55">
        <v>3.11</v>
      </c>
      <c r="L70" s="163"/>
      <c r="M70" s="55">
        <v>3.11</v>
      </c>
      <c r="N70" s="163"/>
      <c r="O70" s="55">
        <v>3.11</v>
      </c>
      <c r="P70" s="163"/>
      <c r="Q70" s="97">
        <f t="shared" ref="Q70:R71" si="531">SUM(AI70+BA70)</f>
        <v>0</v>
      </c>
      <c r="R70" s="342">
        <f t="shared" si="531"/>
        <v>0</v>
      </c>
      <c r="S70" s="97"/>
      <c r="T70" s="97">
        <f t="shared" si="511"/>
        <v>0</v>
      </c>
      <c r="U70" s="97"/>
      <c r="V70" s="97">
        <f t="shared" si="512"/>
        <v>0</v>
      </c>
      <c r="W70" s="97"/>
      <c r="X70" s="97">
        <f t="shared" ref="X70:X76" si="532">I70*W70*$X$2/1000</f>
        <v>0</v>
      </c>
      <c r="Y70" s="97">
        <f t="shared" si="514"/>
        <v>0</v>
      </c>
      <c r="Z70" s="97">
        <f t="shared" ref="Z70:Z76" si="533">SUM(T70+V70+X70)</f>
        <v>0</v>
      </c>
      <c r="AA70" s="97"/>
      <c r="AB70" s="97">
        <f t="shared" si="515"/>
        <v>0</v>
      </c>
      <c r="AC70" s="97"/>
      <c r="AD70" s="97">
        <f t="shared" ref="AD70:AD76" si="534">K70*AC70*$AD$2/1000</f>
        <v>0</v>
      </c>
      <c r="AE70" s="97"/>
      <c r="AF70" s="96">
        <f t="shared" si="530"/>
        <v>0</v>
      </c>
      <c r="AG70" s="97">
        <f t="shared" si="517"/>
        <v>0</v>
      </c>
      <c r="AH70" s="97">
        <f t="shared" ref="AH70:AH76" si="535">SUM(AB70+AD70+AF70)</f>
        <v>0</v>
      </c>
      <c r="AI70" s="97">
        <f t="shared" si="518"/>
        <v>0</v>
      </c>
      <c r="AJ70" s="97">
        <f t="shared" si="519"/>
        <v>0</v>
      </c>
      <c r="AK70" s="97"/>
      <c r="AL70" s="97">
        <f t="shared" ref="AL70:AL76" si="536">M70*AK70*$AL$2/1000</f>
        <v>0</v>
      </c>
      <c r="AM70" s="97"/>
      <c r="AN70" s="97">
        <f t="shared" si="521"/>
        <v>0</v>
      </c>
      <c r="AO70" s="97"/>
      <c r="AP70" s="97">
        <f t="shared" si="522"/>
        <v>0</v>
      </c>
      <c r="AQ70" s="97">
        <f t="shared" si="523"/>
        <v>0</v>
      </c>
      <c r="AR70" s="97">
        <f t="shared" ref="AR70:AR76" si="537">SUM(AL70+AN70+AP70)</f>
        <v>0</v>
      </c>
      <c r="AS70" s="97"/>
      <c r="AT70" s="97">
        <f t="shared" si="524"/>
        <v>0</v>
      </c>
      <c r="AU70" s="97"/>
      <c r="AV70" s="97">
        <f t="shared" si="525"/>
        <v>0</v>
      </c>
      <c r="AW70" s="97"/>
      <c r="AX70" s="97">
        <f t="shared" si="526"/>
        <v>0</v>
      </c>
      <c r="AY70" s="97">
        <f t="shared" si="527"/>
        <v>0</v>
      </c>
      <c r="AZ70" s="97">
        <f t="shared" ref="AZ70:AZ74" si="538">SUM(AT70+AV70+AX70)</f>
        <v>0</v>
      </c>
      <c r="BA70" s="97">
        <f t="shared" si="528"/>
        <v>0</v>
      </c>
      <c r="BB70" s="97">
        <f t="shared" si="529"/>
        <v>0</v>
      </c>
      <c r="BC70" s="1" t="s">
        <v>1780</v>
      </c>
    </row>
    <row r="71" spans="1:55">
      <c r="A71" s="498">
        <v>43</v>
      </c>
      <c r="B71" s="14"/>
      <c r="C71" s="14"/>
      <c r="D71" s="15"/>
      <c r="E71" s="21" t="s">
        <v>926</v>
      </c>
      <c r="F71" s="46" t="s">
        <v>925</v>
      </c>
      <c r="G71" s="46" t="s">
        <v>1105</v>
      </c>
      <c r="H71" s="268" t="s">
        <v>365</v>
      </c>
      <c r="I71" s="55">
        <v>3.36</v>
      </c>
      <c r="J71" s="163"/>
      <c r="K71" s="55">
        <v>3.36</v>
      </c>
      <c r="L71" s="163"/>
      <c r="M71" s="55">
        <v>3.36</v>
      </c>
      <c r="N71" s="163"/>
      <c r="O71" s="55">
        <v>3.36</v>
      </c>
      <c r="P71" s="55"/>
      <c r="Q71" s="97">
        <f t="shared" si="531"/>
        <v>10.538</v>
      </c>
      <c r="R71" s="342">
        <f t="shared" si="531"/>
        <v>47.995197465599993</v>
      </c>
      <c r="S71" s="97">
        <v>1.056</v>
      </c>
      <c r="T71" s="97">
        <f t="shared" si="511"/>
        <v>4.6902772224000007</v>
      </c>
      <c r="U71" s="97">
        <v>1.9139999999999999</v>
      </c>
      <c r="V71" s="97">
        <f t="shared" si="512"/>
        <v>8.5558556159999988</v>
      </c>
      <c r="W71" s="97">
        <v>0.79200000000000004</v>
      </c>
      <c r="X71" s="97">
        <f t="shared" si="532"/>
        <v>3.5408862719999998</v>
      </c>
      <c r="Y71" s="97">
        <f t="shared" si="514"/>
        <v>3.7619999999999996</v>
      </c>
      <c r="Z71" s="97">
        <f t="shared" si="533"/>
        <v>16.787019110399999</v>
      </c>
      <c r="AA71" s="97">
        <v>0.79200000000000004</v>
      </c>
      <c r="AB71" s="97">
        <f t="shared" ref="AB71" si="539">K71*AA71*$AB$2/1000</f>
        <v>3.6300870143999995</v>
      </c>
      <c r="AC71" s="97">
        <v>4.7519999999999998</v>
      </c>
      <c r="AD71" s="97">
        <f t="shared" si="534"/>
        <v>21.868498713599998</v>
      </c>
      <c r="AE71" s="97">
        <v>1.1879999999999999</v>
      </c>
      <c r="AF71" s="96">
        <f t="shared" si="530"/>
        <v>5.5038481343999992</v>
      </c>
      <c r="AG71" s="97">
        <f t="shared" si="517"/>
        <v>6.7319999999999993</v>
      </c>
      <c r="AH71" s="97">
        <f t="shared" si="535"/>
        <v>31.002433862399997</v>
      </c>
      <c r="AI71" s="97">
        <f t="shared" si="518"/>
        <v>10.494</v>
      </c>
      <c r="AJ71" s="97">
        <f t="shared" si="519"/>
        <v>47.789452972799992</v>
      </c>
      <c r="AK71" s="97"/>
      <c r="AL71" s="97">
        <f t="shared" si="536"/>
        <v>0</v>
      </c>
      <c r="AM71" s="97"/>
      <c r="AN71" s="97">
        <f t="shared" si="521"/>
        <v>0</v>
      </c>
      <c r="AO71" s="97"/>
      <c r="AP71" s="97">
        <f t="shared" si="522"/>
        <v>0</v>
      </c>
      <c r="AQ71" s="97">
        <f t="shared" si="523"/>
        <v>0</v>
      </c>
      <c r="AR71" s="97">
        <f t="shared" si="537"/>
        <v>0</v>
      </c>
      <c r="AS71" s="97"/>
      <c r="AT71" s="97">
        <f t="shared" si="524"/>
        <v>0</v>
      </c>
      <c r="AU71" s="97">
        <v>4.3999999999999997E-2</v>
      </c>
      <c r="AV71" s="97">
        <f t="shared" si="525"/>
        <v>0.20574449280000001</v>
      </c>
      <c r="AW71" s="97"/>
      <c r="AX71" s="97">
        <f>O71*AW71*$AX$2/1000</f>
        <v>0</v>
      </c>
      <c r="AY71" s="97">
        <f t="shared" si="527"/>
        <v>4.3999999999999997E-2</v>
      </c>
      <c r="AZ71" s="97">
        <f t="shared" si="538"/>
        <v>0.20574449280000001</v>
      </c>
      <c r="BA71" s="97">
        <f t="shared" si="528"/>
        <v>4.3999999999999997E-2</v>
      </c>
      <c r="BB71" s="97">
        <f t="shared" si="529"/>
        <v>0.20574449280000001</v>
      </c>
      <c r="BC71" s="1" t="s">
        <v>1780</v>
      </c>
    </row>
    <row r="72" spans="1:55">
      <c r="A72" s="498">
        <v>46</v>
      </c>
      <c r="B72" s="14"/>
      <c r="C72" s="14"/>
      <c r="D72" s="15"/>
      <c r="E72" s="21" t="s">
        <v>1319</v>
      </c>
      <c r="F72" s="46" t="s">
        <v>1320</v>
      </c>
      <c r="G72" s="46" t="s">
        <v>1316</v>
      </c>
      <c r="H72" s="268" t="s">
        <v>365</v>
      </c>
      <c r="I72" s="55">
        <v>3.47</v>
      </c>
      <c r="J72" s="163"/>
      <c r="K72" s="55">
        <v>3.47</v>
      </c>
      <c r="L72" s="163"/>
      <c r="M72" s="55">
        <v>3.47</v>
      </c>
      <c r="N72" s="163"/>
      <c r="O72" s="55">
        <v>3.47</v>
      </c>
      <c r="P72" s="163"/>
      <c r="Q72" s="97">
        <f t="shared" ref="Q72" si="540">SUM(AI72+BA72)</f>
        <v>0</v>
      </c>
      <c r="R72" s="342">
        <f t="shared" ref="R72" si="541">SUM(AJ72+BB72)</f>
        <v>0</v>
      </c>
      <c r="S72" s="97"/>
      <c r="T72" s="97">
        <f t="shared" ref="T72:T73" si="542">I72*S72*$T$2/1000</f>
        <v>0</v>
      </c>
      <c r="U72" s="97"/>
      <c r="V72" s="97">
        <f t="shared" ref="V72:V73" si="543">I72*U72*$V$2/1000</f>
        <v>0</v>
      </c>
      <c r="W72" s="97"/>
      <c r="X72" s="97">
        <f t="shared" ref="X72" si="544">I72*W72*$X$2/1000</f>
        <v>0</v>
      </c>
      <c r="Y72" s="97">
        <f t="shared" ref="Y72:Y73" si="545">SUM(S72+U72+W72)</f>
        <v>0</v>
      </c>
      <c r="Z72" s="97">
        <f t="shared" si="533"/>
        <v>0</v>
      </c>
      <c r="AA72" s="97"/>
      <c r="AB72" s="97">
        <f t="shared" ref="AB72:AB73" si="546">K72*AA72*$AB$2/1000</f>
        <v>0</v>
      </c>
      <c r="AC72" s="97"/>
      <c r="AD72" s="97">
        <f t="shared" ref="AD72" si="547">K72*AC72*$AD$2/1000</f>
        <v>0</v>
      </c>
      <c r="AE72" s="97"/>
      <c r="AF72" s="96">
        <f t="shared" ref="AF72:AF73" si="548">K72*AE72*$AF$2/1000</f>
        <v>0</v>
      </c>
      <c r="AG72" s="97">
        <f t="shared" ref="AG72:AG73" si="549">SUM(AA72+AC72+AE72)</f>
        <v>0</v>
      </c>
      <c r="AH72" s="97">
        <f t="shared" si="535"/>
        <v>0</v>
      </c>
      <c r="AI72" s="97">
        <f t="shared" ref="AI72:AI73" si="550">SUM(Y72+AG72)</f>
        <v>0</v>
      </c>
      <c r="AJ72" s="97">
        <f t="shared" ref="AJ72:AJ73" si="551">SUM(Z72,AH72)</f>
        <v>0</v>
      </c>
      <c r="AK72" s="97"/>
      <c r="AL72" s="97">
        <f t="shared" si="536"/>
        <v>0</v>
      </c>
      <c r="AM72" s="97"/>
      <c r="AN72" s="97">
        <f t="shared" ref="AN72:AN73" si="552">M72*AM72*$AN$2/1000</f>
        <v>0</v>
      </c>
      <c r="AO72" s="97"/>
      <c r="AP72" s="97">
        <f t="shared" ref="AP72:AP73" si="553">M72*AO72*$AP$2/1000</f>
        <v>0</v>
      </c>
      <c r="AQ72" s="97">
        <f t="shared" ref="AQ72:AQ73" si="554">SUM(AK72+AM72+AO72)</f>
        <v>0</v>
      </c>
      <c r="AR72" s="97">
        <f t="shared" si="537"/>
        <v>0</v>
      </c>
      <c r="AS72" s="97"/>
      <c r="AT72" s="97">
        <f t="shared" ref="AT72:AT73" si="555">O72*AS72*$AT$2/1000</f>
        <v>0</v>
      </c>
      <c r="AU72" s="97"/>
      <c r="AV72" s="97">
        <f t="shared" ref="AV72:AV73" si="556">O72*AU72*$AV$2/1000</f>
        <v>0</v>
      </c>
      <c r="AW72" s="97"/>
      <c r="AX72" s="97">
        <f t="shared" ref="AX72:AX73" si="557">O72*AW72*$AX$2/1000</f>
        <v>0</v>
      </c>
      <c r="AY72" s="97">
        <f t="shared" ref="AY72:AY73" si="558">SUM(AS72+AU72+AW72)</f>
        <v>0</v>
      </c>
      <c r="AZ72" s="97">
        <f t="shared" si="538"/>
        <v>0</v>
      </c>
      <c r="BA72" s="97">
        <f t="shared" ref="BA72:BA73" si="559">SUM(AQ72+AY72)</f>
        <v>0</v>
      </c>
      <c r="BB72" s="97">
        <f t="shared" ref="BB72:BB73" si="560">SUM(AR72,AZ72)</f>
        <v>0</v>
      </c>
      <c r="BC72" s="1" t="s">
        <v>1780</v>
      </c>
    </row>
    <row r="73" spans="1:55">
      <c r="A73" s="498">
        <v>41</v>
      </c>
      <c r="B73" s="13"/>
      <c r="C73" s="20"/>
      <c r="D73" s="41"/>
      <c r="E73" s="21" t="s">
        <v>1468</v>
      </c>
      <c r="F73" s="46" t="s">
        <v>1469</v>
      </c>
      <c r="G73" s="46" t="s">
        <v>1105</v>
      </c>
      <c r="H73" s="267" t="s">
        <v>365</v>
      </c>
      <c r="I73" s="18">
        <v>3.5</v>
      </c>
      <c r="J73" s="158"/>
      <c r="K73" s="18">
        <v>3.4</v>
      </c>
      <c r="L73" s="158"/>
      <c r="M73" s="18">
        <v>3.4</v>
      </c>
      <c r="N73" s="158"/>
      <c r="O73" s="18">
        <v>3.3</v>
      </c>
      <c r="P73" s="158"/>
      <c r="Q73" s="96">
        <f>SUM(AI73+BA73)</f>
        <v>848.07799999999997</v>
      </c>
      <c r="R73" s="340">
        <f>SUM(AJ73+BB73)</f>
        <v>3931.8549821739998</v>
      </c>
      <c r="S73" s="96">
        <v>44.22</v>
      </c>
      <c r="T73" s="96">
        <f t="shared" si="542"/>
        <v>204.5889153</v>
      </c>
      <c r="U73" s="96">
        <v>72.754000000000005</v>
      </c>
      <c r="V73" s="96">
        <f t="shared" si="543"/>
        <v>338.77172560000008</v>
      </c>
      <c r="W73" s="96">
        <v>91.52</v>
      </c>
      <c r="X73" s="96">
        <f>I73*W73*$X$2/1000</f>
        <v>426.21779199999997</v>
      </c>
      <c r="Y73" s="96">
        <f t="shared" si="545"/>
        <v>208.494</v>
      </c>
      <c r="Z73" s="96">
        <f t="shared" si="533"/>
        <v>969.57843290000005</v>
      </c>
      <c r="AA73" s="96">
        <v>74.272000000000006</v>
      </c>
      <c r="AB73" s="96">
        <f t="shared" si="546"/>
        <v>344.47413017599996</v>
      </c>
      <c r="AC73" s="96">
        <v>79.811999999999998</v>
      </c>
      <c r="AD73" s="96">
        <f>K73*AC73*$AD$2/1000</f>
        <v>371.66389250399999</v>
      </c>
      <c r="AE73" s="96">
        <v>126.764</v>
      </c>
      <c r="AF73" s="96">
        <f t="shared" si="548"/>
        <v>594.27242080799988</v>
      </c>
      <c r="AG73" s="96">
        <f t="shared" si="549"/>
        <v>280.84800000000001</v>
      </c>
      <c r="AH73" s="96">
        <f t="shared" si="535"/>
        <v>1310.4104434879998</v>
      </c>
      <c r="AI73" s="96">
        <f t="shared" si="550"/>
        <v>489.34199999999998</v>
      </c>
      <c r="AJ73" s="96">
        <f t="shared" si="551"/>
        <v>2279.9888763879999</v>
      </c>
      <c r="AK73" s="96">
        <v>70.817999999999998</v>
      </c>
      <c r="AL73" s="96">
        <f t="shared" si="536"/>
        <v>333.01966209599999</v>
      </c>
      <c r="AM73" s="96">
        <v>102.458</v>
      </c>
      <c r="AN73" s="96">
        <f t="shared" si="552"/>
        <v>474.14898491999998</v>
      </c>
      <c r="AO73" s="96">
        <v>86.768000000000001</v>
      </c>
      <c r="AP73" s="96">
        <f t="shared" si="553"/>
        <v>393.06997276799996</v>
      </c>
      <c r="AQ73" s="96">
        <f t="shared" si="554"/>
        <v>260.04399999999998</v>
      </c>
      <c r="AR73" s="96">
        <f t="shared" si="537"/>
        <v>1200.2386197840001</v>
      </c>
      <c r="AS73" s="96">
        <v>43.625999999999998</v>
      </c>
      <c r="AT73" s="96">
        <f t="shared" si="555"/>
        <v>195.49115981999998</v>
      </c>
      <c r="AU73" s="96">
        <v>19.513999999999999</v>
      </c>
      <c r="AV73" s="96">
        <f t="shared" si="556"/>
        <v>89.618259653999999</v>
      </c>
      <c r="AW73" s="96">
        <v>35.552</v>
      </c>
      <c r="AX73" s="96">
        <f t="shared" si="557"/>
        <v>166.51806652799996</v>
      </c>
      <c r="AY73" s="96">
        <f t="shared" si="558"/>
        <v>98.692000000000007</v>
      </c>
      <c r="AZ73" s="96">
        <f>SUM(AT73+AV73+AX73)</f>
        <v>451.62748600199996</v>
      </c>
      <c r="BA73" s="96">
        <f t="shared" si="559"/>
        <v>358.73599999999999</v>
      </c>
      <c r="BB73" s="96">
        <f t="shared" si="560"/>
        <v>1651.8661057859999</v>
      </c>
      <c r="BC73" s="1" t="s">
        <v>1780</v>
      </c>
    </row>
    <row r="74" spans="1:55">
      <c r="A74" s="498">
        <v>45</v>
      </c>
      <c r="B74" s="14"/>
      <c r="C74" s="14"/>
      <c r="D74" s="15"/>
      <c r="E74" s="21" t="s">
        <v>946</v>
      </c>
      <c r="F74" s="46" t="s">
        <v>945</v>
      </c>
      <c r="G74" s="46" t="s">
        <v>1105</v>
      </c>
      <c r="H74" s="268" t="s">
        <v>365</v>
      </c>
      <c r="I74" s="55">
        <v>3.45</v>
      </c>
      <c r="J74" s="163"/>
      <c r="K74" s="55">
        <v>3.45</v>
      </c>
      <c r="L74" s="163"/>
      <c r="M74" s="55">
        <v>3.45</v>
      </c>
      <c r="N74" s="163"/>
      <c r="O74" s="55">
        <v>3.45</v>
      </c>
      <c r="P74" s="163"/>
      <c r="Q74" s="97">
        <f t="shared" ref="Q74" si="561">SUM(AI74+BA74)</f>
        <v>0</v>
      </c>
      <c r="R74" s="342">
        <f t="shared" ref="R74" si="562">SUM(AJ74+BB74)</f>
        <v>0</v>
      </c>
      <c r="S74" s="97"/>
      <c r="T74" s="97">
        <f t="shared" si="511"/>
        <v>0</v>
      </c>
      <c r="U74" s="97"/>
      <c r="V74" s="97">
        <f t="shared" si="512"/>
        <v>0</v>
      </c>
      <c r="W74" s="97"/>
      <c r="X74" s="97">
        <f t="shared" si="532"/>
        <v>0</v>
      </c>
      <c r="Y74" s="97">
        <f t="shared" si="514"/>
        <v>0</v>
      </c>
      <c r="Z74" s="97">
        <f t="shared" si="533"/>
        <v>0</v>
      </c>
      <c r="AA74" s="97"/>
      <c r="AB74" s="97">
        <f t="shared" ref="AB74:AB76" si="563">K74*AA74*$AB$2/1000</f>
        <v>0</v>
      </c>
      <c r="AC74" s="97"/>
      <c r="AD74" s="97">
        <f t="shared" si="534"/>
        <v>0</v>
      </c>
      <c r="AE74" s="97"/>
      <c r="AF74" s="96">
        <f t="shared" si="530"/>
        <v>0</v>
      </c>
      <c r="AG74" s="97">
        <f t="shared" si="517"/>
        <v>0</v>
      </c>
      <c r="AH74" s="97">
        <f t="shared" si="535"/>
        <v>0</v>
      </c>
      <c r="AI74" s="97">
        <f t="shared" si="518"/>
        <v>0</v>
      </c>
      <c r="AJ74" s="97">
        <f t="shared" si="519"/>
        <v>0</v>
      </c>
      <c r="AK74" s="97"/>
      <c r="AL74" s="97">
        <f t="shared" si="536"/>
        <v>0</v>
      </c>
      <c r="AM74" s="97"/>
      <c r="AN74" s="97">
        <f t="shared" si="521"/>
        <v>0</v>
      </c>
      <c r="AO74" s="97"/>
      <c r="AP74" s="97">
        <f t="shared" si="522"/>
        <v>0</v>
      </c>
      <c r="AQ74" s="97">
        <f t="shared" si="523"/>
        <v>0</v>
      </c>
      <c r="AR74" s="97">
        <f t="shared" si="537"/>
        <v>0</v>
      </c>
      <c r="AS74" s="97"/>
      <c r="AT74" s="97">
        <f t="shared" si="524"/>
        <v>0</v>
      </c>
      <c r="AU74" s="97"/>
      <c r="AV74" s="97">
        <f t="shared" si="525"/>
        <v>0</v>
      </c>
      <c r="AW74" s="97"/>
      <c r="AX74" s="97">
        <f t="shared" si="526"/>
        <v>0</v>
      </c>
      <c r="AY74" s="97">
        <f t="shared" si="527"/>
        <v>0</v>
      </c>
      <c r="AZ74" s="97">
        <f t="shared" si="538"/>
        <v>0</v>
      </c>
      <c r="BA74" s="97">
        <f t="shared" si="528"/>
        <v>0</v>
      </c>
      <c r="BB74" s="97">
        <f t="shared" si="529"/>
        <v>0</v>
      </c>
      <c r="BC74" s="1" t="s">
        <v>1780</v>
      </c>
    </row>
    <row r="75" spans="1:55">
      <c r="A75" s="498">
        <v>48</v>
      </c>
      <c r="B75" s="13"/>
      <c r="C75" s="23"/>
      <c r="D75" s="36"/>
      <c r="E75" s="21" t="s">
        <v>1437</v>
      </c>
      <c r="F75" s="46" t="s">
        <v>1436</v>
      </c>
      <c r="G75" s="46" t="s">
        <v>1105</v>
      </c>
      <c r="H75" s="268" t="s">
        <v>365</v>
      </c>
      <c r="I75" s="18">
        <v>3.82</v>
      </c>
      <c r="J75" s="158"/>
      <c r="K75" s="18">
        <v>3.82</v>
      </c>
      <c r="L75" s="158"/>
      <c r="M75" s="18">
        <v>3.82</v>
      </c>
      <c r="N75" s="158"/>
      <c r="O75" s="18">
        <v>3.82</v>
      </c>
      <c r="P75" s="18"/>
      <c r="Q75" s="97">
        <f t="shared" ref="Q75" si="564">SUM(AI75+BA75)</f>
        <v>0</v>
      </c>
      <c r="R75" s="342">
        <f t="shared" ref="R75" si="565">SUM(AJ75+BB75)</f>
        <v>0</v>
      </c>
      <c r="S75" s="97"/>
      <c r="T75" s="97">
        <f>I75*S75*$T$2/1000</f>
        <v>0</v>
      </c>
      <c r="U75" s="97"/>
      <c r="V75" s="97">
        <f t="shared" ref="V75:V76" si="566">I75*U75*$V$2/1000</f>
        <v>0</v>
      </c>
      <c r="W75" s="97"/>
      <c r="X75" s="97">
        <f t="shared" si="532"/>
        <v>0</v>
      </c>
      <c r="Y75" s="97">
        <f t="shared" ref="Y75:Y76" si="567">SUM(S75+U75+W75)</f>
        <v>0</v>
      </c>
      <c r="Z75" s="97">
        <f t="shared" si="533"/>
        <v>0</v>
      </c>
      <c r="AA75" s="97"/>
      <c r="AB75" s="97">
        <f t="shared" si="563"/>
        <v>0</v>
      </c>
      <c r="AC75" s="97"/>
      <c r="AD75" s="97">
        <f t="shared" si="534"/>
        <v>0</v>
      </c>
      <c r="AE75" s="97"/>
      <c r="AF75" s="96">
        <f t="shared" ref="AF75:AF76" si="568">K75*AE75*$AF$2/1000</f>
        <v>0</v>
      </c>
      <c r="AG75" s="97">
        <f t="shared" ref="AG75:AG76" si="569">SUM(AA75+AC75+AE75)</f>
        <v>0</v>
      </c>
      <c r="AH75" s="97">
        <f t="shared" si="535"/>
        <v>0</v>
      </c>
      <c r="AI75" s="97">
        <f t="shared" ref="AI75:AI76" si="570">SUM(Y75+AG75)</f>
        <v>0</v>
      </c>
      <c r="AJ75" s="97">
        <f t="shared" ref="AJ75:AJ76" si="571">SUM(Z75,AH75)</f>
        <v>0</v>
      </c>
      <c r="AK75" s="97"/>
      <c r="AL75" s="97">
        <f t="shared" si="536"/>
        <v>0</v>
      </c>
      <c r="AM75" s="97"/>
      <c r="AN75" s="97">
        <f t="shared" ref="AN75:AN76" si="572">M75*AM75*$AN$2/1000</f>
        <v>0</v>
      </c>
      <c r="AO75" s="97"/>
      <c r="AP75" s="97">
        <f t="shared" ref="AP75:AP76" si="573">M75*AO75*$AP$2/1000</f>
        <v>0</v>
      </c>
      <c r="AQ75" s="97">
        <f t="shared" ref="AQ75:AQ76" si="574">SUM(AK75+AM75+AO75)</f>
        <v>0</v>
      </c>
      <c r="AR75" s="97">
        <f t="shared" si="537"/>
        <v>0</v>
      </c>
      <c r="AS75" s="97"/>
      <c r="AT75" s="97">
        <f t="shared" ref="AT75:AT76" si="575">O75*AS75*$AT$2/1000</f>
        <v>0</v>
      </c>
      <c r="AU75" s="97"/>
      <c r="AV75" s="97">
        <f t="shared" ref="AV75:AV76" si="576">O75*AU75*$AV$2/1000</f>
        <v>0</v>
      </c>
      <c r="AW75" s="97"/>
      <c r="AX75" s="97">
        <f>O75*AW75*$AX$2/1000</f>
        <v>0</v>
      </c>
      <c r="AY75" s="97">
        <f t="shared" ref="AY75:AY76" si="577">SUM(AS75+AU75+AW75)</f>
        <v>0</v>
      </c>
      <c r="AZ75" s="97">
        <f t="shared" ref="AZ75" si="578">SUM(AT75+AV75+AX75)</f>
        <v>0</v>
      </c>
      <c r="BA75" s="97">
        <f t="shared" ref="BA75:BA76" si="579">SUM(AQ75+AY75)</f>
        <v>0</v>
      </c>
      <c r="BB75" s="97">
        <f t="shared" ref="BB75:BB76" si="580">SUM(AR75,AZ75)</f>
        <v>0</v>
      </c>
      <c r="BC75" s="1" t="s">
        <v>1780</v>
      </c>
    </row>
    <row r="76" spans="1:55">
      <c r="A76" s="498">
        <v>48</v>
      </c>
      <c r="B76" s="13"/>
      <c r="C76" s="23"/>
      <c r="D76" s="36"/>
      <c r="E76" s="21" t="s">
        <v>1470</v>
      </c>
      <c r="F76" s="46" t="s">
        <v>1471</v>
      </c>
      <c r="G76" s="46" t="s">
        <v>1105</v>
      </c>
      <c r="H76" s="268" t="s">
        <v>365</v>
      </c>
      <c r="I76" s="18">
        <v>4.07</v>
      </c>
      <c r="J76" s="158"/>
      <c r="K76" s="18">
        <v>4.07</v>
      </c>
      <c r="L76" s="158"/>
      <c r="M76" s="18">
        <v>4.07</v>
      </c>
      <c r="N76" s="158"/>
      <c r="O76" s="18">
        <v>4.07</v>
      </c>
      <c r="P76" s="18"/>
      <c r="Q76" s="97">
        <f t="shared" ref="Q76" si="581">SUM(AI76+BA76)</f>
        <v>11.103999999999999</v>
      </c>
      <c r="R76" s="342">
        <f t="shared" ref="R76" si="582">SUM(AJ76+BB76)</f>
        <v>61.038580475400011</v>
      </c>
      <c r="S76" s="97">
        <v>2.3479999999999999</v>
      </c>
      <c r="T76" s="97">
        <f>I76*S76*$T$2/1000</f>
        <v>12.632456720400002</v>
      </c>
      <c r="U76" s="97">
        <v>0.68200000000000005</v>
      </c>
      <c r="V76" s="97">
        <f t="shared" si="566"/>
        <v>3.6928444960000006</v>
      </c>
      <c r="W76" s="97">
        <v>0.99099999999999999</v>
      </c>
      <c r="X76" s="97">
        <f t="shared" si="532"/>
        <v>5.3668021220000002</v>
      </c>
      <c r="Y76" s="97">
        <f t="shared" si="567"/>
        <v>4.0209999999999999</v>
      </c>
      <c r="Z76" s="97">
        <f t="shared" si="533"/>
        <v>21.692103338400003</v>
      </c>
      <c r="AA76" s="97"/>
      <c r="AB76" s="97">
        <f t="shared" si="563"/>
        <v>0</v>
      </c>
      <c r="AC76" s="97">
        <v>1.276</v>
      </c>
      <c r="AD76" s="97">
        <f t="shared" si="534"/>
        <v>7.1129268716000018</v>
      </c>
      <c r="AE76" s="97">
        <v>1.6779999999999999</v>
      </c>
      <c r="AF76" s="96">
        <f t="shared" si="568"/>
        <v>9.4166643317999981</v>
      </c>
      <c r="AG76" s="97">
        <f t="shared" si="569"/>
        <v>2.9539999999999997</v>
      </c>
      <c r="AH76" s="97">
        <f t="shared" si="535"/>
        <v>16.529591203399999</v>
      </c>
      <c r="AI76" s="97">
        <f t="shared" si="570"/>
        <v>6.9749999999999996</v>
      </c>
      <c r="AJ76" s="97">
        <f t="shared" si="571"/>
        <v>38.221694541800005</v>
      </c>
      <c r="AK76" s="97">
        <v>0.79200000000000004</v>
      </c>
      <c r="AL76" s="97">
        <f t="shared" si="536"/>
        <v>4.4582753952000003</v>
      </c>
      <c r="AM76" s="97">
        <v>0.89500000000000002</v>
      </c>
      <c r="AN76" s="97">
        <f t="shared" si="572"/>
        <v>4.958010915</v>
      </c>
      <c r="AO76" s="97">
        <v>1.252</v>
      </c>
      <c r="AP76" s="97">
        <f t="shared" si="573"/>
        <v>6.7893797796000008</v>
      </c>
      <c r="AQ76" s="97">
        <f t="shared" si="574"/>
        <v>2.9390000000000001</v>
      </c>
      <c r="AR76" s="97">
        <f t="shared" si="537"/>
        <v>16.205666089800001</v>
      </c>
      <c r="AS76" s="97">
        <v>1.052</v>
      </c>
      <c r="AT76" s="97">
        <f t="shared" si="575"/>
        <v>5.814038956000001</v>
      </c>
      <c r="AU76" s="97"/>
      <c r="AV76" s="97">
        <f t="shared" si="576"/>
        <v>0</v>
      </c>
      <c r="AW76" s="97">
        <v>0.13800000000000001</v>
      </c>
      <c r="AX76" s="97">
        <f>O76*AW76*$AX$2/1000</f>
        <v>0.79718088780000007</v>
      </c>
      <c r="AY76" s="97">
        <f t="shared" si="577"/>
        <v>1.19</v>
      </c>
      <c r="AZ76" s="97">
        <f t="shared" ref="AZ76" si="583">SUM(AT76+AV76+AX76)</f>
        <v>6.6112198438000007</v>
      </c>
      <c r="BA76" s="97">
        <f t="shared" si="579"/>
        <v>4.1289999999999996</v>
      </c>
      <c r="BB76" s="97">
        <f t="shared" si="580"/>
        <v>22.816885933600002</v>
      </c>
      <c r="BC76" s="1" t="s">
        <v>1780</v>
      </c>
    </row>
    <row r="77" spans="1:55">
      <c r="A77" s="498">
        <v>48</v>
      </c>
      <c r="B77" s="13"/>
      <c r="C77" s="23"/>
      <c r="D77" s="36"/>
      <c r="E77" s="21" t="s">
        <v>123</v>
      </c>
      <c r="F77" s="46" t="s">
        <v>124</v>
      </c>
      <c r="G77" s="46" t="s">
        <v>1105</v>
      </c>
      <c r="H77" s="268" t="s">
        <v>365</v>
      </c>
      <c r="I77" s="18">
        <v>3.73</v>
      </c>
      <c r="J77" s="158"/>
      <c r="K77" s="18">
        <v>3.73</v>
      </c>
      <c r="L77" s="158"/>
      <c r="M77" s="18">
        <v>3.73</v>
      </c>
      <c r="N77" s="158"/>
      <c r="O77" s="18">
        <v>3.73</v>
      </c>
      <c r="P77" s="18"/>
      <c r="Q77" s="97">
        <f t="shared" si="510"/>
        <v>0</v>
      </c>
      <c r="R77" s="342">
        <f t="shared" si="510"/>
        <v>0</v>
      </c>
      <c r="S77" s="97"/>
      <c r="T77" s="97">
        <f>I77*S77*$T$2/1000</f>
        <v>0</v>
      </c>
      <c r="U77" s="97"/>
      <c r="V77" s="97">
        <f t="shared" si="512"/>
        <v>0</v>
      </c>
      <c r="W77" s="97"/>
      <c r="X77" s="97">
        <f t="shared" si="513"/>
        <v>0</v>
      </c>
      <c r="Y77" s="97">
        <f t="shared" si="514"/>
        <v>0</v>
      </c>
      <c r="Z77" s="97">
        <f t="shared" si="514"/>
        <v>0</v>
      </c>
      <c r="AA77" s="97"/>
      <c r="AB77" s="97">
        <f t="shared" si="515"/>
        <v>0</v>
      </c>
      <c r="AC77" s="97"/>
      <c r="AD77" s="97">
        <f t="shared" si="516"/>
        <v>0</v>
      </c>
      <c r="AE77" s="97"/>
      <c r="AF77" s="96">
        <f t="shared" si="530"/>
        <v>0</v>
      </c>
      <c r="AG77" s="97">
        <f t="shared" si="517"/>
        <v>0</v>
      </c>
      <c r="AH77" s="97">
        <f t="shared" si="517"/>
        <v>0</v>
      </c>
      <c r="AI77" s="97">
        <f t="shared" si="518"/>
        <v>0</v>
      </c>
      <c r="AJ77" s="97">
        <f t="shared" si="519"/>
        <v>0</v>
      </c>
      <c r="AK77" s="97"/>
      <c r="AL77" s="97">
        <f t="shared" si="520"/>
        <v>0</v>
      </c>
      <c r="AM77" s="97"/>
      <c r="AN77" s="97">
        <f t="shared" si="521"/>
        <v>0</v>
      </c>
      <c r="AO77" s="97"/>
      <c r="AP77" s="97">
        <f t="shared" si="522"/>
        <v>0</v>
      </c>
      <c r="AQ77" s="97">
        <f t="shared" si="523"/>
        <v>0</v>
      </c>
      <c r="AR77" s="97">
        <f t="shared" si="523"/>
        <v>0</v>
      </c>
      <c r="AS77" s="97"/>
      <c r="AT77" s="97">
        <f t="shared" si="524"/>
        <v>0</v>
      </c>
      <c r="AU77" s="97"/>
      <c r="AV77" s="97">
        <f t="shared" si="525"/>
        <v>0</v>
      </c>
      <c r="AW77" s="97"/>
      <c r="AX77" s="97">
        <f>O77*AW77*$AX$2/1000</f>
        <v>0</v>
      </c>
      <c r="AY77" s="97">
        <f t="shared" si="527"/>
        <v>0</v>
      </c>
      <c r="AZ77" s="97">
        <f t="shared" si="527"/>
        <v>0</v>
      </c>
      <c r="BA77" s="97">
        <f t="shared" si="528"/>
        <v>0</v>
      </c>
      <c r="BB77" s="97">
        <f t="shared" si="529"/>
        <v>0</v>
      </c>
      <c r="BC77" s="1" t="s">
        <v>1780</v>
      </c>
    </row>
    <row r="78" spans="1:55">
      <c r="A78" s="498">
        <v>49</v>
      </c>
      <c r="B78" s="13"/>
      <c r="C78" s="23"/>
      <c r="D78" s="36"/>
      <c r="E78" s="21" t="s">
        <v>125</v>
      </c>
      <c r="F78" s="46" t="s">
        <v>126</v>
      </c>
      <c r="G78" s="46" t="s">
        <v>1105</v>
      </c>
      <c r="H78" s="268" t="s">
        <v>365</v>
      </c>
      <c r="I78" s="18">
        <v>4.34</v>
      </c>
      <c r="J78" s="158"/>
      <c r="K78" s="18">
        <v>4.34</v>
      </c>
      <c r="L78" s="158"/>
      <c r="M78" s="18">
        <v>4.34</v>
      </c>
      <c r="N78" s="158"/>
      <c r="O78" s="18">
        <v>4.34</v>
      </c>
      <c r="P78" s="158"/>
      <c r="Q78" s="97">
        <f t="shared" si="510"/>
        <v>0</v>
      </c>
      <c r="R78" s="342">
        <f t="shared" si="510"/>
        <v>0</v>
      </c>
      <c r="S78" s="97"/>
      <c r="T78" s="97">
        <f t="shared" si="511"/>
        <v>0</v>
      </c>
      <c r="U78" s="97"/>
      <c r="V78" s="97">
        <f t="shared" si="512"/>
        <v>0</v>
      </c>
      <c r="W78" s="97"/>
      <c r="X78" s="97">
        <f t="shared" si="513"/>
        <v>0</v>
      </c>
      <c r="Y78" s="97">
        <f t="shared" si="514"/>
        <v>0</v>
      </c>
      <c r="Z78" s="97">
        <f t="shared" si="514"/>
        <v>0</v>
      </c>
      <c r="AA78" s="97"/>
      <c r="AB78" s="97">
        <f t="shared" si="515"/>
        <v>0</v>
      </c>
      <c r="AC78" s="97"/>
      <c r="AD78" s="97">
        <f t="shared" si="516"/>
        <v>0</v>
      </c>
      <c r="AE78" s="97"/>
      <c r="AF78" s="96">
        <f t="shared" si="530"/>
        <v>0</v>
      </c>
      <c r="AG78" s="97">
        <f t="shared" si="517"/>
        <v>0</v>
      </c>
      <c r="AH78" s="97">
        <f t="shared" si="517"/>
        <v>0</v>
      </c>
      <c r="AI78" s="97">
        <f t="shared" si="518"/>
        <v>0</v>
      </c>
      <c r="AJ78" s="97">
        <f t="shared" si="519"/>
        <v>0</v>
      </c>
      <c r="AK78" s="97"/>
      <c r="AL78" s="97">
        <f t="shared" si="520"/>
        <v>0</v>
      </c>
      <c r="AM78" s="97"/>
      <c r="AN78" s="97">
        <f t="shared" si="521"/>
        <v>0</v>
      </c>
      <c r="AO78" s="97"/>
      <c r="AP78" s="97">
        <f t="shared" si="522"/>
        <v>0</v>
      </c>
      <c r="AQ78" s="97">
        <f t="shared" si="523"/>
        <v>0</v>
      </c>
      <c r="AR78" s="97">
        <f t="shared" si="523"/>
        <v>0</v>
      </c>
      <c r="AS78" s="97"/>
      <c r="AT78" s="97">
        <f t="shared" si="524"/>
        <v>0</v>
      </c>
      <c r="AU78" s="97"/>
      <c r="AV78" s="97">
        <f t="shared" si="525"/>
        <v>0</v>
      </c>
      <c r="AW78" s="97"/>
      <c r="AX78" s="97">
        <f t="shared" si="526"/>
        <v>0</v>
      </c>
      <c r="AY78" s="97">
        <f t="shared" si="527"/>
        <v>0</v>
      </c>
      <c r="AZ78" s="97">
        <f t="shared" si="527"/>
        <v>0</v>
      </c>
      <c r="BA78" s="97">
        <f t="shared" si="528"/>
        <v>0</v>
      </c>
      <c r="BB78" s="97">
        <f t="shared" si="529"/>
        <v>0</v>
      </c>
      <c r="BC78" s="1" t="s">
        <v>1780</v>
      </c>
    </row>
    <row r="79" spans="1:55" s="6" customFormat="1">
      <c r="A79" s="498">
        <v>50</v>
      </c>
      <c r="B79" s="14"/>
      <c r="C79" s="20"/>
      <c r="D79" s="47"/>
      <c r="E79" s="21" t="s">
        <v>458</v>
      </c>
      <c r="F79" s="46" t="s">
        <v>456</v>
      </c>
      <c r="G79" s="46" t="s">
        <v>1105</v>
      </c>
      <c r="H79" s="267" t="s">
        <v>365</v>
      </c>
      <c r="I79" s="18">
        <v>3.93</v>
      </c>
      <c r="J79" s="202"/>
      <c r="K79" s="18">
        <v>3.93</v>
      </c>
      <c r="L79" s="202"/>
      <c r="M79" s="18">
        <v>3.93</v>
      </c>
      <c r="N79" s="202"/>
      <c r="O79" s="18">
        <v>3.93</v>
      </c>
      <c r="P79" s="202"/>
      <c r="Q79" s="96">
        <f>SUM(AI79+BA79)</f>
        <v>0</v>
      </c>
      <c r="R79" s="340">
        <f>SUM(AJ79+BB79)</f>
        <v>0</v>
      </c>
      <c r="S79" s="96"/>
      <c r="T79" s="96">
        <f t="shared" ref="T79:T85" si="584">I79*S79*$T$2/1000</f>
        <v>0</v>
      </c>
      <c r="U79" s="96"/>
      <c r="V79" s="96">
        <f t="shared" ref="V79:V85" si="585">I79*U79*$V$2/1000</f>
        <v>0</v>
      </c>
      <c r="W79" s="96"/>
      <c r="X79" s="96">
        <f t="shared" ref="X79:X85" si="586">I79*W79*$X$2/1000</f>
        <v>0</v>
      </c>
      <c r="Y79" s="96">
        <f t="shared" ref="Y79:Y85" si="587">SUM(S79+U79+W79)</f>
        <v>0</v>
      </c>
      <c r="Z79" s="96">
        <f>SUM(T79+V79+X79)</f>
        <v>0</v>
      </c>
      <c r="AA79" s="96"/>
      <c r="AB79" s="96">
        <f t="shared" si="515"/>
        <v>0</v>
      </c>
      <c r="AC79" s="96"/>
      <c r="AD79" s="96">
        <f t="shared" ref="AD79:AD85" si="588">K79*AC79*$AD$2/1000</f>
        <v>0</v>
      </c>
      <c r="AE79" s="96"/>
      <c r="AF79" s="96">
        <f t="shared" si="530"/>
        <v>0</v>
      </c>
      <c r="AG79" s="96">
        <f t="shared" ref="AG79:AG85" si="589">SUM(AA79+AC79+AE79)</f>
        <v>0</v>
      </c>
      <c r="AH79" s="96">
        <f>SUM(AB79+AD79+AF79)</f>
        <v>0</v>
      </c>
      <c r="AI79" s="96">
        <f t="shared" ref="AI79:AI85" si="590">SUM(Y79+AG79)</f>
        <v>0</v>
      </c>
      <c r="AJ79" s="96">
        <f t="shared" ref="AJ79:AJ85" si="591">SUM(Z79,AH79)</f>
        <v>0</v>
      </c>
      <c r="AK79" s="96"/>
      <c r="AL79" s="96">
        <f t="shared" si="520"/>
        <v>0</v>
      </c>
      <c r="AM79" s="96"/>
      <c r="AN79" s="96">
        <f t="shared" si="521"/>
        <v>0</v>
      </c>
      <c r="AO79" s="96"/>
      <c r="AP79" s="96">
        <f t="shared" si="522"/>
        <v>0</v>
      </c>
      <c r="AQ79" s="96">
        <f>SUM(AK79+AM79+AO79)</f>
        <v>0</v>
      </c>
      <c r="AR79" s="96">
        <f>SUM(AL79+AN79+AP79)</f>
        <v>0</v>
      </c>
      <c r="AS79" s="96"/>
      <c r="AT79" s="96">
        <f t="shared" ref="AT79:AT85" si="592">O79*AS79*$AT$2/1000</f>
        <v>0</v>
      </c>
      <c r="AU79" s="96"/>
      <c r="AV79" s="96">
        <f t="shared" ref="AV79:AV85" si="593">O79*AU79*$AV$2/1000</f>
        <v>0</v>
      </c>
      <c r="AW79" s="96"/>
      <c r="AX79" s="96">
        <f t="shared" ref="AX79:AX80" si="594">O79*AW79*$AX$2/1000</f>
        <v>0</v>
      </c>
      <c r="AY79" s="96">
        <f t="shared" ref="AY79:AY80" si="595">SUM(AS79+AU79+AW79)</f>
        <v>0</v>
      </c>
      <c r="AZ79" s="96">
        <f>SUM(AT79+AV79+AX79)</f>
        <v>0</v>
      </c>
      <c r="BA79" s="96">
        <f t="shared" ref="BA79:BA85" si="596">SUM(AQ79+AY79)</f>
        <v>0</v>
      </c>
      <c r="BB79" s="96">
        <f t="shared" ref="BB79:BB85" si="597">SUM(AR79,AZ79)</f>
        <v>0</v>
      </c>
      <c r="BC79" s="1" t="s">
        <v>1780</v>
      </c>
    </row>
    <row r="80" spans="1:55">
      <c r="A80" s="498">
        <v>51</v>
      </c>
      <c r="B80" s="13"/>
      <c r="C80" s="23"/>
      <c r="D80" s="36"/>
      <c r="E80" s="21" t="s">
        <v>887</v>
      </c>
      <c r="F80" s="46" t="s">
        <v>888</v>
      </c>
      <c r="G80" s="46" t="s">
        <v>1105</v>
      </c>
      <c r="H80" s="268" t="s">
        <v>365</v>
      </c>
      <c r="I80" s="18">
        <v>4.12</v>
      </c>
      <c r="J80" s="158"/>
      <c r="K80" s="18">
        <v>4.12</v>
      </c>
      <c r="L80" s="158"/>
      <c r="M80" s="18">
        <v>4.12</v>
      </c>
      <c r="N80" s="158"/>
      <c r="O80" s="18">
        <v>4.12</v>
      </c>
      <c r="P80" s="158"/>
      <c r="Q80" s="97">
        <f t="shared" ref="Q80" si="598">SUM(AI80+BA80)</f>
        <v>0</v>
      </c>
      <c r="R80" s="342">
        <f t="shared" ref="R80" si="599">SUM(AJ80+BB80)</f>
        <v>0</v>
      </c>
      <c r="S80" s="97"/>
      <c r="T80" s="97">
        <f t="shared" si="584"/>
        <v>0</v>
      </c>
      <c r="U80" s="97"/>
      <c r="V80" s="97">
        <f t="shared" si="585"/>
        <v>0</v>
      </c>
      <c r="W80" s="97"/>
      <c r="X80" s="97">
        <f t="shared" si="586"/>
        <v>0</v>
      </c>
      <c r="Y80" s="97">
        <f t="shared" si="587"/>
        <v>0</v>
      </c>
      <c r="Z80" s="97">
        <f t="shared" ref="Z80" si="600">SUM(T80+V80+X80)</f>
        <v>0</v>
      </c>
      <c r="AA80" s="97"/>
      <c r="AB80" s="97">
        <f t="shared" si="515"/>
        <v>0</v>
      </c>
      <c r="AC80" s="97"/>
      <c r="AD80" s="97">
        <f t="shared" si="588"/>
        <v>0</v>
      </c>
      <c r="AE80" s="97"/>
      <c r="AF80" s="96">
        <f t="shared" ref="AF80" si="601">K80*AE80*$AF$2/1000</f>
        <v>0</v>
      </c>
      <c r="AG80" s="97">
        <f t="shared" si="589"/>
        <v>0</v>
      </c>
      <c r="AH80" s="97">
        <f t="shared" ref="AH80" si="602">SUM(AB80+AD80+AF80)</f>
        <v>0</v>
      </c>
      <c r="AI80" s="97">
        <f t="shared" si="590"/>
        <v>0</v>
      </c>
      <c r="AJ80" s="97">
        <f t="shared" si="591"/>
        <v>0</v>
      </c>
      <c r="AK80" s="97"/>
      <c r="AL80" s="97">
        <f t="shared" ref="AL80" si="603">M80*AK80*$AL$2/1000</f>
        <v>0</v>
      </c>
      <c r="AM80" s="97"/>
      <c r="AN80" s="97">
        <f t="shared" ref="AN80" si="604">M80*AM80*$AN$2/1000</f>
        <v>0</v>
      </c>
      <c r="AO80" s="97"/>
      <c r="AP80" s="97">
        <f t="shared" ref="AP80" si="605">M80*AO80*$AP$2/1000</f>
        <v>0</v>
      </c>
      <c r="AQ80" s="97">
        <f t="shared" ref="AQ80" si="606">SUM(AK80+AM80+AO80)</f>
        <v>0</v>
      </c>
      <c r="AR80" s="97">
        <f t="shared" ref="AR80" si="607">SUM(AL80+AN80+AP80)</f>
        <v>0</v>
      </c>
      <c r="AS80" s="97"/>
      <c r="AT80" s="97">
        <f t="shared" si="592"/>
        <v>0</v>
      </c>
      <c r="AU80" s="97"/>
      <c r="AV80" s="97">
        <f t="shared" si="593"/>
        <v>0</v>
      </c>
      <c r="AW80" s="97"/>
      <c r="AX80" s="97">
        <f t="shared" si="594"/>
        <v>0</v>
      </c>
      <c r="AY80" s="97">
        <f t="shared" si="595"/>
        <v>0</v>
      </c>
      <c r="AZ80" s="97">
        <f t="shared" ref="AZ80" si="608">SUM(AT80+AV80+AX80)</f>
        <v>0</v>
      </c>
      <c r="BA80" s="97">
        <f t="shared" si="596"/>
        <v>0</v>
      </c>
      <c r="BB80" s="97">
        <f t="shared" si="597"/>
        <v>0</v>
      </c>
      <c r="BC80" s="1" t="s">
        <v>1780</v>
      </c>
    </row>
    <row r="81" spans="1:55">
      <c r="A81" s="498">
        <v>51</v>
      </c>
      <c r="B81" s="13"/>
      <c r="C81" s="23"/>
      <c r="D81" s="36"/>
      <c r="E81" s="21" t="s">
        <v>1772</v>
      </c>
      <c r="F81" s="46" t="s">
        <v>2331</v>
      </c>
      <c r="G81" s="46" t="s">
        <v>1105</v>
      </c>
      <c r="H81" s="268" t="s">
        <v>365</v>
      </c>
      <c r="I81" s="18"/>
      <c r="J81" s="158"/>
      <c r="K81" s="18">
        <v>4.5</v>
      </c>
      <c r="L81" s="158"/>
      <c r="M81" s="18">
        <v>4.5</v>
      </c>
      <c r="N81" s="158"/>
      <c r="O81" s="18">
        <v>3.78</v>
      </c>
      <c r="P81" s="158"/>
      <c r="Q81" s="97">
        <f t="shared" ref="Q81" si="609">SUM(AI81+BA81)</f>
        <v>128.76899999999998</v>
      </c>
      <c r="R81" s="342">
        <f t="shared" ref="R81" si="610">SUM(AJ81+BB81)</f>
        <v>688.17536745479993</v>
      </c>
      <c r="S81" s="97"/>
      <c r="T81" s="97">
        <f t="shared" ref="T81:T84" si="611">I81*S81*$T$2/1000</f>
        <v>0</v>
      </c>
      <c r="U81" s="97"/>
      <c r="V81" s="97">
        <f t="shared" ref="V81:V84" si="612">I81*U81*$V$2/1000</f>
        <v>0</v>
      </c>
      <c r="W81" s="97"/>
      <c r="X81" s="97">
        <f t="shared" ref="X81:X84" si="613">I81*W81*$X$2/1000</f>
        <v>0</v>
      </c>
      <c r="Y81" s="97">
        <f t="shared" ref="Y81:Y84" si="614">SUM(S81+U81+W81)</f>
        <v>0</v>
      </c>
      <c r="Z81" s="97">
        <f t="shared" ref="Z81" si="615">SUM(T81+V81+X81)</f>
        <v>0</v>
      </c>
      <c r="AA81" s="97"/>
      <c r="AB81" s="97">
        <f t="shared" ref="AB81:AB84" si="616">K81*AA81*$AB$2/1000</f>
        <v>0</v>
      </c>
      <c r="AC81" s="97"/>
      <c r="AD81" s="97">
        <f t="shared" ref="AD81:AD84" si="617">K81*AC81*$AD$2/1000</f>
        <v>0</v>
      </c>
      <c r="AE81" s="97">
        <v>0.01</v>
      </c>
      <c r="AF81" s="96">
        <f t="shared" si="530"/>
        <v>6.2047349999999994E-2</v>
      </c>
      <c r="AG81" s="97">
        <f t="shared" ref="AG81:AG84" si="618">SUM(AA81+AC81+AE81)</f>
        <v>0.01</v>
      </c>
      <c r="AH81" s="97">
        <f t="shared" ref="AH81" si="619">SUM(AB81+AD81+AF81)</f>
        <v>6.2047349999999994E-2</v>
      </c>
      <c r="AI81" s="97">
        <f t="shared" ref="AI81:AI84" si="620">SUM(Y81+AG81)</f>
        <v>0.01</v>
      </c>
      <c r="AJ81" s="97">
        <f t="shared" ref="AJ81:AJ84" si="621">SUM(Z81,AH81)</f>
        <v>6.2047349999999994E-2</v>
      </c>
      <c r="AK81" s="97"/>
      <c r="AL81" s="97">
        <f t="shared" si="520"/>
        <v>0</v>
      </c>
      <c r="AM81" s="97">
        <v>0.71399999999999997</v>
      </c>
      <c r="AN81" s="97">
        <f t="shared" si="521"/>
        <v>4.3732142999999999</v>
      </c>
      <c r="AO81" s="97">
        <v>8.9710000000000001</v>
      </c>
      <c r="AP81" s="97">
        <f t="shared" si="522"/>
        <v>53.787918105000003</v>
      </c>
      <c r="AQ81" s="97">
        <f>SUM(AK81+AM81+AO81)</f>
        <v>9.6850000000000005</v>
      </c>
      <c r="AR81" s="97">
        <f t="shared" ref="AR81" si="622">SUM(AL81+AN81+AP81)</f>
        <v>58.161132405000004</v>
      </c>
      <c r="AS81" s="97">
        <v>28.885000000000002</v>
      </c>
      <c r="AT81" s="97">
        <f t="shared" ref="AT81:AT84" si="623">O81*AS81*$AT$2/1000</f>
        <v>148.26271887000001</v>
      </c>
      <c r="AU81" s="97">
        <v>20.856000000000002</v>
      </c>
      <c r="AV81" s="97">
        <f t="shared" ref="AV81:AV84" si="624">O81*AU81*$AV$2/1000</f>
        <v>109.7132507856</v>
      </c>
      <c r="AW81" s="97">
        <v>69.332999999999998</v>
      </c>
      <c r="AX81" s="97">
        <f t="shared" ref="AX81:AX84" si="625">O81*AW81*$AX$2/1000</f>
        <v>371.97621804419998</v>
      </c>
      <c r="AY81" s="97">
        <f t="shared" ref="AY81:AY84" si="626">SUM(AS81+AU81+AW81)</f>
        <v>119.074</v>
      </c>
      <c r="AZ81" s="97">
        <f t="shared" ref="AZ81" si="627">SUM(AT81+AV81+AX81)</f>
        <v>629.95218769979999</v>
      </c>
      <c r="BA81" s="97">
        <f t="shared" ref="BA81:BA84" si="628">SUM(AQ81+AY81)</f>
        <v>128.75899999999999</v>
      </c>
      <c r="BB81" s="97">
        <f t="shared" ref="BB81:BB84" si="629">SUM(AR81,AZ81)</f>
        <v>688.11332010479998</v>
      </c>
      <c r="BC81" s="1" t="s">
        <v>1780</v>
      </c>
    </row>
    <row r="82" spans="1:55" s="6" customFormat="1">
      <c r="A82" s="498">
        <v>50</v>
      </c>
      <c r="B82" s="14"/>
      <c r="C82" s="20"/>
      <c r="D82" s="47"/>
      <c r="E82" s="21" t="s">
        <v>1815</v>
      </c>
      <c r="F82" s="46" t="s">
        <v>2332</v>
      </c>
      <c r="G82" s="46" t="s">
        <v>1105</v>
      </c>
      <c r="H82" s="267" t="s">
        <v>365</v>
      </c>
      <c r="I82" s="18"/>
      <c r="J82" s="202"/>
      <c r="K82" s="18"/>
      <c r="L82" s="202"/>
      <c r="M82" s="18">
        <v>5.14</v>
      </c>
      <c r="N82" s="202"/>
      <c r="O82" s="18">
        <v>4.28</v>
      </c>
      <c r="P82" s="202"/>
      <c r="Q82" s="96">
        <f>SUM(AI82+BA82)</f>
        <v>2.5300000000000002</v>
      </c>
      <c r="R82" s="340">
        <f>SUM(AJ82+BB82)</f>
        <v>14.775265948000001</v>
      </c>
      <c r="S82" s="96"/>
      <c r="T82" s="96">
        <f t="shared" si="611"/>
        <v>0</v>
      </c>
      <c r="U82" s="96"/>
      <c r="V82" s="96">
        <f t="shared" si="612"/>
        <v>0</v>
      </c>
      <c r="W82" s="96"/>
      <c r="X82" s="96">
        <f t="shared" si="613"/>
        <v>0</v>
      </c>
      <c r="Y82" s="96">
        <f t="shared" si="614"/>
        <v>0</v>
      </c>
      <c r="Z82" s="96">
        <f>SUM(T82+V82+X82)</f>
        <v>0</v>
      </c>
      <c r="AA82" s="96"/>
      <c r="AB82" s="96">
        <f t="shared" si="616"/>
        <v>0</v>
      </c>
      <c r="AC82" s="96"/>
      <c r="AD82" s="96">
        <f t="shared" si="617"/>
        <v>0</v>
      </c>
      <c r="AE82" s="96"/>
      <c r="AF82" s="96">
        <f t="shared" ref="AF82:AF84" si="630">K82*AE82*$AF$2/1000</f>
        <v>0</v>
      </c>
      <c r="AG82" s="96">
        <f t="shared" si="618"/>
        <v>0</v>
      </c>
      <c r="AH82" s="96">
        <f>SUM(AB82+AD82+AF82)</f>
        <v>0</v>
      </c>
      <c r="AI82" s="96">
        <f t="shared" si="620"/>
        <v>0</v>
      </c>
      <c r="AJ82" s="96">
        <f t="shared" si="621"/>
        <v>0</v>
      </c>
      <c r="AK82" s="96"/>
      <c r="AL82" s="96">
        <f t="shared" ref="AL82:AL84" si="631">M82*AK82*$AL$2/1000</f>
        <v>0</v>
      </c>
      <c r="AM82" s="96">
        <v>0.02</v>
      </c>
      <c r="AN82" s="96">
        <f t="shared" ref="AN82:AN84" si="632">M82*AM82*$AN$2/1000</f>
        <v>0.13992107999999998</v>
      </c>
      <c r="AO82" s="96"/>
      <c r="AP82" s="96">
        <f t="shared" ref="AP82:AP84" si="633">M82*AO82*$AP$2/1000</f>
        <v>0</v>
      </c>
      <c r="AQ82" s="96">
        <f>SUM(AK82+AM82+AO82)</f>
        <v>0.02</v>
      </c>
      <c r="AR82" s="96">
        <f>SUM(AL82+AN82+AP82)</f>
        <v>0.13992107999999998</v>
      </c>
      <c r="AS82" s="96">
        <v>2.1800000000000002</v>
      </c>
      <c r="AT82" s="96">
        <f t="shared" si="623"/>
        <v>12.669750160000001</v>
      </c>
      <c r="AU82" s="96">
        <v>0.33</v>
      </c>
      <c r="AV82" s="96">
        <f t="shared" si="624"/>
        <v>1.9655947080000002</v>
      </c>
      <c r="AW82" s="96"/>
      <c r="AX82" s="96">
        <f t="shared" si="625"/>
        <v>0</v>
      </c>
      <c r="AY82" s="96">
        <f t="shared" si="626"/>
        <v>2.5100000000000002</v>
      </c>
      <c r="AZ82" s="96">
        <f>SUM(AT82+AV82+AX82)</f>
        <v>14.635344868000001</v>
      </c>
      <c r="BA82" s="96">
        <f t="shared" si="628"/>
        <v>2.5300000000000002</v>
      </c>
      <c r="BB82" s="96">
        <f t="shared" si="629"/>
        <v>14.775265948000001</v>
      </c>
      <c r="BC82" s="1" t="s">
        <v>1106</v>
      </c>
    </row>
    <row r="83" spans="1:55">
      <c r="A83" s="498">
        <v>51</v>
      </c>
      <c r="B83" s="13"/>
      <c r="C83" s="23"/>
      <c r="D83" s="36"/>
      <c r="E83" s="21" t="s">
        <v>1816</v>
      </c>
      <c r="F83" s="46" t="s">
        <v>2333</v>
      </c>
      <c r="G83" s="46" t="s">
        <v>1105</v>
      </c>
      <c r="H83" s="268" t="s">
        <v>365</v>
      </c>
      <c r="I83" s="18"/>
      <c r="J83" s="158"/>
      <c r="K83" s="18"/>
      <c r="L83" s="158"/>
      <c r="M83" s="18">
        <v>5.48</v>
      </c>
      <c r="N83" s="158"/>
      <c r="O83" s="18">
        <v>4.57</v>
      </c>
      <c r="P83" s="158"/>
      <c r="Q83" s="97">
        <f t="shared" ref="Q83:Q84" si="634">SUM(AI83+BA83)</f>
        <v>0.39800000000000002</v>
      </c>
      <c r="R83" s="342">
        <f t="shared" ref="R83:R84" si="635">SUM(AJ83+BB83)</f>
        <v>2.7022625710000003</v>
      </c>
      <c r="S83" s="97"/>
      <c r="T83" s="97">
        <f t="shared" si="611"/>
        <v>0</v>
      </c>
      <c r="U83" s="97"/>
      <c r="V83" s="97">
        <f t="shared" si="612"/>
        <v>0</v>
      </c>
      <c r="W83" s="97"/>
      <c r="X83" s="97">
        <f t="shared" si="613"/>
        <v>0</v>
      </c>
      <c r="Y83" s="97">
        <f t="shared" si="614"/>
        <v>0</v>
      </c>
      <c r="Z83" s="97">
        <f t="shared" ref="Z83:Z84" si="636">SUM(T83+V83+X83)</f>
        <v>0</v>
      </c>
      <c r="AA83" s="97"/>
      <c r="AB83" s="97">
        <f t="shared" si="616"/>
        <v>0</v>
      </c>
      <c r="AC83" s="97"/>
      <c r="AD83" s="97">
        <f t="shared" si="617"/>
        <v>0</v>
      </c>
      <c r="AE83" s="97"/>
      <c r="AF83" s="96">
        <f t="shared" si="630"/>
        <v>0</v>
      </c>
      <c r="AG83" s="97">
        <f t="shared" si="618"/>
        <v>0</v>
      </c>
      <c r="AH83" s="97">
        <f t="shared" ref="AH83" si="637">SUM(AB83+AD83+AF83)</f>
        <v>0</v>
      </c>
      <c r="AI83" s="97">
        <f t="shared" si="620"/>
        <v>0</v>
      </c>
      <c r="AJ83" s="97">
        <f t="shared" si="621"/>
        <v>0</v>
      </c>
      <c r="AK83" s="97"/>
      <c r="AL83" s="97">
        <f t="shared" si="631"/>
        <v>0</v>
      </c>
      <c r="AM83" s="97">
        <v>0.13300000000000001</v>
      </c>
      <c r="AN83" s="97">
        <f t="shared" si="632"/>
        <v>0.99202412400000006</v>
      </c>
      <c r="AO83" s="97">
        <v>0.06</v>
      </c>
      <c r="AP83" s="97">
        <f t="shared" si="633"/>
        <v>0.43808983200000007</v>
      </c>
      <c r="AQ83" s="97">
        <f t="shared" ref="AQ83" si="638">SUM(AK83+AM83+AO83)</f>
        <v>0.193</v>
      </c>
      <c r="AR83" s="97">
        <f t="shared" ref="AR83:AR84" si="639">SUM(AL83+AN83+AP83)</f>
        <v>1.430113956</v>
      </c>
      <c r="AS83" s="97">
        <v>0.20499999999999999</v>
      </c>
      <c r="AT83" s="97">
        <f t="shared" si="623"/>
        <v>1.2721486150000001</v>
      </c>
      <c r="AU83" s="97"/>
      <c r="AV83" s="97">
        <f t="shared" si="624"/>
        <v>0</v>
      </c>
      <c r="AW83" s="97"/>
      <c r="AX83" s="97">
        <f t="shared" si="625"/>
        <v>0</v>
      </c>
      <c r="AY83" s="97">
        <f t="shared" si="626"/>
        <v>0.20499999999999999</v>
      </c>
      <c r="AZ83" s="97">
        <f t="shared" ref="AZ83:AZ84" si="640">SUM(AT83+AV83+AX83)</f>
        <v>1.2721486150000001</v>
      </c>
      <c r="BA83" s="97">
        <f t="shared" si="628"/>
        <v>0.39800000000000002</v>
      </c>
      <c r="BB83" s="97">
        <f t="shared" si="629"/>
        <v>2.7022625710000003</v>
      </c>
      <c r="BC83" s="1" t="s">
        <v>1106</v>
      </c>
    </row>
    <row r="84" spans="1:55">
      <c r="A84" s="498">
        <v>51</v>
      </c>
      <c r="B84" s="13"/>
      <c r="C84" s="23"/>
      <c r="D84" s="36"/>
      <c r="E84" s="21" t="s">
        <v>2377</v>
      </c>
      <c r="F84" s="46" t="s">
        <v>2331</v>
      </c>
      <c r="G84" s="46" t="s">
        <v>1105</v>
      </c>
      <c r="H84" s="268" t="s">
        <v>365</v>
      </c>
      <c r="I84" s="18"/>
      <c r="J84" s="158"/>
      <c r="K84" s="18"/>
      <c r="L84" s="158"/>
      <c r="M84" s="18"/>
      <c r="N84" s="158"/>
      <c r="O84" s="18">
        <v>3.78</v>
      </c>
      <c r="P84" s="158"/>
      <c r="Q84" s="97">
        <f t="shared" si="634"/>
        <v>2.2810000000000001</v>
      </c>
      <c r="R84" s="342">
        <f t="shared" si="635"/>
        <v>12.2377187394</v>
      </c>
      <c r="S84" s="97"/>
      <c r="T84" s="97">
        <f t="shared" si="611"/>
        <v>0</v>
      </c>
      <c r="U84" s="97"/>
      <c r="V84" s="97">
        <f t="shared" si="612"/>
        <v>0</v>
      </c>
      <c r="W84" s="97"/>
      <c r="X84" s="97">
        <f t="shared" si="613"/>
        <v>0</v>
      </c>
      <c r="Y84" s="97">
        <f t="shared" si="614"/>
        <v>0</v>
      </c>
      <c r="Z84" s="97">
        <f t="shared" si="636"/>
        <v>0</v>
      </c>
      <c r="AA84" s="97"/>
      <c r="AB84" s="97">
        <f t="shared" si="616"/>
        <v>0</v>
      </c>
      <c r="AC84" s="97"/>
      <c r="AD84" s="97">
        <f t="shared" si="617"/>
        <v>0</v>
      </c>
      <c r="AE84" s="97"/>
      <c r="AF84" s="96">
        <f t="shared" si="630"/>
        <v>0</v>
      </c>
      <c r="AG84" s="97">
        <f t="shared" si="618"/>
        <v>0</v>
      </c>
      <c r="AH84" s="97">
        <f t="shared" ref="AH84" si="641">SUM(AB84+AD84+AF84)</f>
        <v>0</v>
      </c>
      <c r="AI84" s="97">
        <f t="shared" si="620"/>
        <v>0</v>
      </c>
      <c r="AJ84" s="97">
        <f t="shared" si="621"/>
        <v>0</v>
      </c>
      <c r="AK84" s="97"/>
      <c r="AL84" s="97">
        <f t="shared" si="631"/>
        <v>0</v>
      </c>
      <c r="AM84" s="97"/>
      <c r="AN84" s="97">
        <f t="shared" si="632"/>
        <v>0</v>
      </c>
      <c r="AO84" s="97"/>
      <c r="AP84" s="97">
        <f t="shared" si="633"/>
        <v>0</v>
      </c>
      <c r="AQ84" s="97">
        <f t="shared" ref="AQ84" si="642">SUM(AK84+AM84+AO84)</f>
        <v>0</v>
      </c>
      <c r="AR84" s="97">
        <f t="shared" si="639"/>
        <v>0</v>
      </c>
      <c r="AS84" s="97"/>
      <c r="AT84" s="97">
        <f t="shared" si="623"/>
        <v>0</v>
      </c>
      <c r="AU84" s="97"/>
      <c r="AV84" s="97">
        <f t="shared" si="624"/>
        <v>0</v>
      </c>
      <c r="AW84" s="97">
        <v>2.2810000000000001</v>
      </c>
      <c r="AX84" s="97">
        <f t="shared" si="625"/>
        <v>12.2377187394</v>
      </c>
      <c r="AY84" s="97">
        <f t="shared" si="626"/>
        <v>2.2810000000000001</v>
      </c>
      <c r="AZ84" s="97">
        <f t="shared" si="640"/>
        <v>12.2377187394</v>
      </c>
      <c r="BA84" s="97">
        <f t="shared" si="628"/>
        <v>2.2810000000000001</v>
      </c>
      <c r="BB84" s="97">
        <f t="shared" si="629"/>
        <v>12.2377187394</v>
      </c>
      <c r="BC84" s="1" t="s">
        <v>1106</v>
      </c>
    </row>
    <row r="85" spans="1:55">
      <c r="A85" s="498">
        <v>52</v>
      </c>
      <c r="B85" s="13"/>
      <c r="C85" s="23"/>
      <c r="D85" s="36"/>
      <c r="E85" s="21" t="s">
        <v>928</v>
      </c>
      <c r="F85" s="46" t="s">
        <v>927</v>
      </c>
      <c r="G85" s="46" t="s">
        <v>1105</v>
      </c>
      <c r="H85" s="268" t="s">
        <v>365</v>
      </c>
      <c r="I85" s="18">
        <v>4.04</v>
      </c>
      <c r="J85" s="158"/>
      <c r="K85" s="18">
        <v>4.03</v>
      </c>
      <c r="L85" s="158"/>
      <c r="M85" s="18">
        <v>4.03</v>
      </c>
      <c r="N85" s="158"/>
      <c r="O85" s="18">
        <v>4.0199999999999996</v>
      </c>
      <c r="P85" s="18"/>
      <c r="Q85" s="97">
        <f t="shared" ref="Q85" si="643">SUM(AI85+BA85)</f>
        <v>124.53999999999999</v>
      </c>
      <c r="R85" s="342">
        <f t="shared" ref="R85" si="644">SUM(AJ85+BB85)</f>
        <v>681.16635081589993</v>
      </c>
      <c r="S85" s="97">
        <v>10.164</v>
      </c>
      <c r="T85" s="97">
        <f t="shared" si="584"/>
        <v>54.280187438400006</v>
      </c>
      <c r="U85" s="97">
        <v>7.0620000000000003</v>
      </c>
      <c r="V85" s="97">
        <f t="shared" si="585"/>
        <v>37.956950591999998</v>
      </c>
      <c r="W85" s="97">
        <v>7.1280000000000001</v>
      </c>
      <c r="X85" s="97">
        <f t="shared" si="586"/>
        <v>38.317447871999995</v>
      </c>
      <c r="Y85" s="97">
        <f t="shared" si="587"/>
        <v>24.353999999999999</v>
      </c>
      <c r="Z85" s="97">
        <f t="shared" ref="Z85" si="645">SUM(T85+V85+X85)</f>
        <v>130.55458590239999</v>
      </c>
      <c r="AA85" s="97">
        <v>12.53</v>
      </c>
      <c r="AB85" s="97">
        <f t="shared" si="515"/>
        <v>68.882467108</v>
      </c>
      <c r="AC85" s="97">
        <v>17.684999999999999</v>
      </c>
      <c r="AD85" s="97">
        <f t="shared" si="588"/>
        <v>97.614283396499999</v>
      </c>
      <c r="AE85" s="97">
        <v>7.6459999999999999</v>
      </c>
      <c r="AF85" s="96">
        <f t="shared" ref="AF85" si="646">K85*AE85*$AF$2/1000</f>
        <v>42.486412745399996</v>
      </c>
      <c r="AG85" s="97">
        <f t="shared" si="589"/>
        <v>37.860999999999997</v>
      </c>
      <c r="AH85" s="97">
        <f t="shared" ref="AH85" si="647">SUM(AB85+AD85+AF85)</f>
        <v>208.9831632499</v>
      </c>
      <c r="AI85" s="97">
        <f t="shared" si="590"/>
        <v>62.214999999999996</v>
      </c>
      <c r="AJ85" s="97">
        <f t="shared" si="591"/>
        <v>339.53774915229997</v>
      </c>
      <c r="AK85" s="97">
        <v>3.1669999999999998</v>
      </c>
      <c r="AL85" s="97">
        <f t="shared" ref="AL85" si="648">M85*AK85*$AL$2/1000</f>
        <v>17.652263870799999</v>
      </c>
      <c r="AM85" s="97">
        <v>23.782</v>
      </c>
      <c r="AN85" s="97">
        <f t="shared" ref="AN85" si="649">M85*AM85*$AN$2/1000</f>
        <v>130.44981120600002</v>
      </c>
      <c r="AO85" s="97">
        <v>10.868</v>
      </c>
      <c r="AP85" s="97">
        <f t="shared" ref="AP85" si="650">M85*AO85*$AP$2/1000</f>
        <v>58.35607051560001</v>
      </c>
      <c r="AQ85" s="97">
        <f t="shared" ref="AQ85" si="651">SUM(AK85+AM85+AO85)</f>
        <v>37.817</v>
      </c>
      <c r="AR85" s="97">
        <f t="shared" ref="AR85" si="652">SUM(AL85+AN85+AP85)</f>
        <v>206.45814559240003</v>
      </c>
      <c r="AS85" s="97">
        <v>14.74</v>
      </c>
      <c r="AT85" s="97">
        <f t="shared" si="592"/>
        <v>80.462092919999989</v>
      </c>
      <c r="AU85" s="97">
        <v>9.218</v>
      </c>
      <c r="AV85" s="97">
        <f t="shared" si="593"/>
        <v>51.570224521199997</v>
      </c>
      <c r="AW85" s="97">
        <v>0.55000000000000004</v>
      </c>
      <c r="AX85" s="97">
        <f>O85*AW85*$AX$2/1000</f>
        <v>3.1381386299999994</v>
      </c>
      <c r="AY85" s="97">
        <f>SUM(AS85+AU85+AW85)</f>
        <v>24.507999999999999</v>
      </c>
      <c r="AZ85" s="97">
        <f>SUM(AT85+AV85+AX85)</f>
        <v>135.17045607119996</v>
      </c>
      <c r="BA85" s="97">
        <f t="shared" si="596"/>
        <v>62.325000000000003</v>
      </c>
      <c r="BB85" s="97">
        <f t="shared" si="597"/>
        <v>341.62860166359997</v>
      </c>
      <c r="BC85" s="1" t="s">
        <v>1780</v>
      </c>
    </row>
    <row r="86" spans="1:55">
      <c r="A86" s="498">
        <v>53</v>
      </c>
      <c r="B86" s="13"/>
      <c r="C86" s="23"/>
      <c r="D86" s="36"/>
      <c r="E86" s="21" t="s">
        <v>73</v>
      </c>
      <c r="F86" s="46" t="s">
        <v>127</v>
      </c>
      <c r="G86" s="46" t="s">
        <v>1105</v>
      </c>
      <c r="H86" s="268" t="s">
        <v>365</v>
      </c>
      <c r="I86" s="18">
        <v>4.2</v>
      </c>
      <c r="J86" s="158"/>
      <c r="K86" s="18">
        <v>4.2</v>
      </c>
      <c r="L86" s="158"/>
      <c r="M86" s="18">
        <v>4.2</v>
      </c>
      <c r="N86" s="158"/>
      <c r="O86" s="18">
        <v>4.2</v>
      </c>
      <c r="P86" s="158"/>
      <c r="Q86" s="97">
        <f>SUM(AI86+BA86)</f>
        <v>0</v>
      </c>
      <c r="R86" s="342">
        <f>SUM(AJ86+BB86)</f>
        <v>0</v>
      </c>
      <c r="S86" s="97"/>
      <c r="T86" s="97">
        <f t="shared" si="511"/>
        <v>0</v>
      </c>
      <c r="U86" s="97"/>
      <c r="V86" s="97">
        <f t="shared" si="512"/>
        <v>0</v>
      </c>
      <c r="W86" s="97"/>
      <c r="X86" s="97">
        <f t="shared" si="513"/>
        <v>0</v>
      </c>
      <c r="Y86" s="97">
        <f t="shared" si="514"/>
        <v>0</v>
      </c>
      <c r="Z86" s="97">
        <f>SUM(T86+V86+X86)</f>
        <v>0</v>
      </c>
      <c r="AA86" s="97"/>
      <c r="AB86" s="97">
        <f t="shared" si="515"/>
        <v>0</v>
      </c>
      <c r="AC86" s="97"/>
      <c r="AD86" s="97">
        <f t="shared" si="516"/>
        <v>0</v>
      </c>
      <c r="AE86" s="97"/>
      <c r="AF86" s="96">
        <f t="shared" si="530"/>
        <v>0</v>
      </c>
      <c r="AG86" s="97">
        <f t="shared" si="517"/>
        <v>0</v>
      </c>
      <c r="AH86" s="97">
        <f t="shared" si="517"/>
        <v>0</v>
      </c>
      <c r="AI86" s="97">
        <f t="shared" si="518"/>
        <v>0</v>
      </c>
      <c r="AJ86" s="97">
        <f t="shared" si="519"/>
        <v>0</v>
      </c>
      <c r="AK86" s="97"/>
      <c r="AL86" s="97">
        <f t="shared" si="520"/>
        <v>0</v>
      </c>
      <c r="AM86" s="97"/>
      <c r="AN86" s="97">
        <f t="shared" ref="AN86:AN104" si="653">M86*AM86*$AN$2/1000</f>
        <v>0</v>
      </c>
      <c r="AO86" s="97"/>
      <c r="AP86" s="97">
        <f t="shared" si="522"/>
        <v>0</v>
      </c>
      <c r="AQ86" s="97">
        <f t="shared" si="523"/>
        <v>0</v>
      </c>
      <c r="AR86" s="97">
        <f>SUM(AL86+AN86+AP86)</f>
        <v>0</v>
      </c>
      <c r="AS86" s="97"/>
      <c r="AT86" s="97">
        <f t="shared" si="524"/>
        <v>0</v>
      </c>
      <c r="AU86" s="97"/>
      <c r="AV86" s="97">
        <f t="shared" si="525"/>
        <v>0</v>
      </c>
      <c r="AW86" s="97"/>
      <c r="AX86" s="97">
        <f t="shared" si="526"/>
        <v>0</v>
      </c>
      <c r="AY86" s="97">
        <f t="shared" si="527"/>
        <v>0</v>
      </c>
      <c r="AZ86" s="97">
        <f>SUM(AT86+AV86+AX86)</f>
        <v>0</v>
      </c>
      <c r="BA86" s="97">
        <f t="shared" si="528"/>
        <v>0</v>
      </c>
      <c r="BB86" s="97">
        <f t="shared" si="529"/>
        <v>0</v>
      </c>
      <c r="BC86" s="1" t="s">
        <v>1780</v>
      </c>
    </row>
    <row r="87" spans="1:55">
      <c r="A87" s="498">
        <v>55</v>
      </c>
      <c r="B87" s="13"/>
      <c r="C87" s="23"/>
      <c r="D87" s="36"/>
      <c r="E87" s="21" t="s">
        <v>1098</v>
      </c>
      <c r="F87" s="46" t="s">
        <v>1099</v>
      </c>
      <c r="G87" s="46" t="s">
        <v>1102</v>
      </c>
      <c r="H87" s="268" t="s">
        <v>365</v>
      </c>
      <c r="I87" s="18">
        <v>4.49</v>
      </c>
      <c r="J87" s="158"/>
      <c r="K87" s="18">
        <v>4.49</v>
      </c>
      <c r="L87" s="158"/>
      <c r="M87" s="18">
        <v>4.49</v>
      </c>
      <c r="N87" s="158"/>
      <c r="O87" s="18">
        <v>4.49</v>
      </c>
      <c r="P87" s="158"/>
      <c r="Q87" s="97">
        <f t="shared" ref="Q87:R90" si="654">SUM(AI87+BA87)</f>
        <v>0</v>
      </c>
      <c r="R87" s="342">
        <f t="shared" si="654"/>
        <v>0</v>
      </c>
      <c r="S87" s="97"/>
      <c r="T87" s="97">
        <f t="shared" si="511"/>
        <v>0</v>
      </c>
      <c r="U87" s="97"/>
      <c r="V87" s="97">
        <f t="shared" si="512"/>
        <v>0</v>
      </c>
      <c r="W87" s="97"/>
      <c r="X87" s="97">
        <f t="shared" si="513"/>
        <v>0</v>
      </c>
      <c r="Y87" s="97">
        <f t="shared" si="514"/>
        <v>0</v>
      </c>
      <c r="Z87" s="97">
        <f>SUM(T87+V87+X87)</f>
        <v>0</v>
      </c>
      <c r="AA87" s="97"/>
      <c r="AB87" s="97">
        <f t="shared" si="515"/>
        <v>0</v>
      </c>
      <c r="AC87" s="97"/>
      <c r="AD87" s="97">
        <f t="shared" si="516"/>
        <v>0</v>
      </c>
      <c r="AE87" s="97"/>
      <c r="AF87" s="96">
        <f t="shared" ref="AF87:AF89" si="655">K87*AE87*$AF$2/1000</f>
        <v>0</v>
      </c>
      <c r="AG87" s="97">
        <f t="shared" si="517"/>
        <v>0</v>
      </c>
      <c r="AH87" s="97">
        <f t="shared" ref="AH87" si="656">SUM(AB87+AD87+AF87)</f>
        <v>0</v>
      </c>
      <c r="AI87" s="97">
        <f t="shared" si="518"/>
        <v>0</v>
      </c>
      <c r="AJ87" s="97">
        <f t="shared" si="519"/>
        <v>0</v>
      </c>
      <c r="AK87" s="97"/>
      <c r="AL87" s="97">
        <f t="shared" ref="AL87:AL89" si="657">M87*AK87*$AL$2/1000</f>
        <v>0</v>
      </c>
      <c r="AM87" s="97"/>
      <c r="AN87" s="97">
        <f t="shared" si="653"/>
        <v>0</v>
      </c>
      <c r="AO87" s="97"/>
      <c r="AP87" s="97">
        <f t="shared" ref="AP87:AP89" si="658">M87*AO87*$AP$2/1000</f>
        <v>0</v>
      </c>
      <c r="AQ87" s="97">
        <f t="shared" si="523"/>
        <v>0</v>
      </c>
      <c r="AR87" s="97">
        <f>SUM(AL87+AN87+AP87)</f>
        <v>0</v>
      </c>
      <c r="AS87" s="97"/>
      <c r="AT87" s="97">
        <f t="shared" si="524"/>
        <v>0</v>
      </c>
      <c r="AU87" s="97"/>
      <c r="AV87" s="97">
        <f t="shared" si="525"/>
        <v>0</v>
      </c>
      <c r="AW87" s="97"/>
      <c r="AX87" s="97">
        <f t="shared" si="526"/>
        <v>0</v>
      </c>
      <c r="AY87" s="97">
        <f t="shared" si="527"/>
        <v>0</v>
      </c>
      <c r="AZ87" s="97">
        <f>SUM(AT87+AV87+AX87)</f>
        <v>0</v>
      </c>
      <c r="BA87" s="97">
        <f t="shared" si="528"/>
        <v>0</v>
      </c>
      <c r="BB87" s="97">
        <f t="shared" si="529"/>
        <v>0</v>
      </c>
      <c r="BC87" s="1" t="s">
        <v>1780</v>
      </c>
    </row>
    <row r="88" spans="1:55">
      <c r="B88" s="13"/>
      <c r="C88" s="13"/>
      <c r="D88" s="13"/>
      <c r="E88" s="21" t="s">
        <v>1166</v>
      </c>
      <c r="F88" s="22" t="s">
        <v>1167</v>
      </c>
      <c r="G88" s="46" t="s">
        <v>1102</v>
      </c>
      <c r="H88" s="268" t="s">
        <v>365</v>
      </c>
      <c r="I88" s="55">
        <v>4.8</v>
      </c>
      <c r="J88" s="102"/>
      <c r="K88" s="55">
        <v>4.8</v>
      </c>
      <c r="L88" s="163"/>
      <c r="M88" s="55">
        <v>4.8</v>
      </c>
      <c r="N88" s="163"/>
      <c r="O88" s="55">
        <v>4.8</v>
      </c>
      <c r="P88" s="102"/>
      <c r="Q88" s="97">
        <f t="shared" ref="Q88" si="659">SUM(AI88+BA88)</f>
        <v>0</v>
      </c>
      <c r="R88" s="342">
        <f t="shared" ref="R88" si="660">SUM(AJ88+BB88)</f>
        <v>0</v>
      </c>
      <c r="S88" s="97"/>
      <c r="T88" s="97">
        <f>I88*S88*$T$2/1000</f>
        <v>0</v>
      </c>
      <c r="U88" s="97"/>
      <c r="V88" s="177">
        <f>I88*U88*$V$2/1000</f>
        <v>0</v>
      </c>
      <c r="W88" s="207"/>
      <c r="X88" s="206">
        <f>I88*W88*$X$2/1000</f>
        <v>0</v>
      </c>
      <c r="Y88" s="189">
        <f t="shared" si="514"/>
        <v>0</v>
      </c>
      <c r="Z88" s="177">
        <f t="shared" ref="Z88" si="661">SUM(T88+V88+X88)</f>
        <v>0</v>
      </c>
      <c r="AA88" s="207"/>
      <c r="AB88" s="206">
        <f>K88*AA88*$AB$2/1000</f>
        <v>0</v>
      </c>
      <c r="AC88" s="207"/>
      <c r="AD88" s="177">
        <f>K88*AC88*$AD$2/1000</f>
        <v>0</v>
      </c>
      <c r="AE88" s="207"/>
      <c r="AF88" s="206">
        <f t="shared" ref="AF88" si="662">K88*AE88*$AF$2/1000</f>
        <v>0</v>
      </c>
      <c r="AG88" s="189">
        <f t="shared" si="517"/>
        <v>0</v>
      </c>
      <c r="AH88" s="97">
        <f>SUM(AB88+AD88+AF88)</f>
        <v>0</v>
      </c>
      <c r="AI88" s="97">
        <f t="shared" ref="AI88" si="663">SUM(Y88+AG88)</f>
        <v>0</v>
      </c>
      <c r="AJ88" s="177">
        <f t="shared" ref="AJ88" si="664">SUM(Z88,AH88)</f>
        <v>0</v>
      </c>
      <c r="AK88" s="207"/>
      <c r="AL88" s="177">
        <f t="shared" ref="AL88" si="665">M88*AK88*$AL$2/1000</f>
        <v>0</v>
      </c>
      <c r="AM88" s="245"/>
      <c r="AN88" s="177">
        <f t="shared" ref="AN88" si="666">M88*AM88*$AN$2/1000</f>
        <v>0</v>
      </c>
      <c r="AO88" s="207"/>
      <c r="AP88" s="206">
        <f t="shared" ref="AP88" si="667">M88*AO88*$AP$2/1000</f>
        <v>0</v>
      </c>
      <c r="AQ88" s="189">
        <f t="shared" ref="AQ88" si="668">SUM(AK88+AM88+AO88)</f>
        <v>0</v>
      </c>
      <c r="AR88" s="97">
        <f t="shared" ref="AR88" si="669">SUM(AL88+AN88+AP88)</f>
        <v>0</v>
      </c>
      <c r="AS88" s="97"/>
      <c r="AT88" s="177">
        <f t="shared" ref="AT88" si="670">O88*AS88*$AT$2/1000</f>
        <v>0</v>
      </c>
      <c r="AU88" s="207"/>
      <c r="AV88" s="177">
        <f t="shared" ref="AV88" si="671">O88*AU88*$AV$2/1000</f>
        <v>0</v>
      </c>
      <c r="AW88" s="207"/>
      <c r="AX88" s="206">
        <f t="shared" ref="AX88" si="672">O88*AW88*$AX$2/1000</f>
        <v>0</v>
      </c>
      <c r="AY88" s="189">
        <f>SUM(AS88+AU88+AW88)</f>
        <v>0</v>
      </c>
      <c r="AZ88" s="97">
        <f t="shared" ref="AZ88" si="673">SUM(AT88+AV88+AX88)</f>
        <v>0</v>
      </c>
      <c r="BA88" s="97">
        <f t="shared" ref="BA88" si="674">SUM(AQ88+AY88)</f>
        <v>0</v>
      </c>
      <c r="BB88" s="97">
        <f t="shared" ref="BB88" si="675">SUM(AR88,AZ88)</f>
        <v>0</v>
      </c>
      <c r="BC88" s="1" t="s">
        <v>1780</v>
      </c>
    </row>
    <row r="89" spans="1:55">
      <c r="B89" s="13"/>
      <c r="C89" s="13"/>
      <c r="D89" s="13"/>
      <c r="E89" s="21" t="s">
        <v>1473</v>
      </c>
      <c r="F89" s="22" t="s">
        <v>1472</v>
      </c>
      <c r="G89" s="46" t="s">
        <v>1102</v>
      </c>
      <c r="H89" s="268" t="s">
        <v>365</v>
      </c>
      <c r="I89" s="55">
        <v>4.7699999999999996</v>
      </c>
      <c r="J89" s="102"/>
      <c r="K89" s="55">
        <v>4.7699999999999996</v>
      </c>
      <c r="L89" s="163"/>
      <c r="M89" s="55">
        <v>4.76</v>
      </c>
      <c r="N89" s="163"/>
      <c r="O89" s="55">
        <v>4.76</v>
      </c>
      <c r="P89" s="102"/>
      <c r="Q89" s="97">
        <f t="shared" si="654"/>
        <v>59.624000000000002</v>
      </c>
      <c r="R89" s="342">
        <f t="shared" si="654"/>
        <v>386.24524442039996</v>
      </c>
      <c r="S89" s="97">
        <v>4.7160000000000002</v>
      </c>
      <c r="T89" s="97">
        <f>I89*S89*$T$2/1000</f>
        <v>29.7363385548</v>
      </c>
      <c r="U89" s="97">
        <v>3.5619999999999998</v>
      </c>
      <c r="V89" s="177">
        <f>I89*U89*$V$2/1000</f>
        <v>22.604480496000001</v>
      </c>
      <c r="W89" s="207">
        <v>3.9260000000000002</v>
      </c>
      <c r="X89" s="206">
        <f>I89*W89*$X$2/1000</f>
        <v>24.918172811999998</v>
      </c>
      <c r="Y89" s="189">
        <f t="shared" ref="Y89" si="676">SUM(S89+U89+W89)</f>
        <v>12.204000000000001</v>
      </c>
      <c r="Z89" s="177">
        <f>SUM(T89+V89+X89)</f>
        <v>77.258991862800002</v>
      </c>
      <c r="AA89" s="207">
        <v>5.9279999999999999</v>
      </c>
      <c r="AB89" s="206">
        <f>K89*AA89*$AB$2/1000</f>
        <v>38.572621027199993</v>
      </c>
      <c r="AC89" s="207">
        <v>11.327999999999999</v>
      </c>
      <c r="AD89" s="177">
        <f>K89*AC89*$AD$2/1000</f>
        <v>74.007354412799998</v>
      </c>
      <c r="AE89" s="207">
        <v>4.68</v>
      </c>
      <c r="AF89" s="206">
        <f t="shared" si="655"/>
        <v>30.780449387999994</v>
      </c>
      <c r="AG89" s="189">
        <f t="shared" ref="AG89" si="677">SUM(AA89+AC89+AE89)</f>
        <v>21.936</v>
      </c>
      <c r="AH89" s="97">
        <f>SUM(AB89+AD89+AF89)</f>
        <v>143.36042482799999</v>
      </c>
      <c r="AI89" s="97">
        <f t="shared" si="518"/>
        <v>34.14</v>
      </c>
      <c r="AJ89" s="177">
        <f t="shared" si="519"/>
        <v>220.61941669079999</v>
      </c>
      <c r="AK89" s="207">
        <v>7.9560000000000004</v>
      </c>
      <c r="AL89" s="177">
        <f t="shared" si="657"/>
        <v>52.378014124799989</v>
      </c>
      <c r="AM89" s="245">
        <v>15.236000000000001</v>
      </c>
      <c r="AN89" s="177">
        <f t="shared" si="653"/>
        <v>98.711545295999983</v>
      </c>
      <c r="AO89" s="207">
        <v>2.2919999999999998</v>
      </c>
      <c r="AP89" s="206">
        <f t="shared" si="658"/>
        <v>14.536268308799997</v>
      </c>
      <c r="AQ89" s="189">
        <f t="shared" ref="AQ89" si="678">SUM(AK89+AM89+AO89)</f>
        <v>25.484000000000002</v>
      </c>
      <c r="AR89" s="97">
        <f t="shared" ref="AR89" si="679">SUM(AL89+AN89+AP89)</f>
        <v>165.62582772959996</v>
      </c>
      <c r="AS89" s="97"/>
      <c r="AT89" s="177">
        <f t="shared" si="524"/>
        <v>0</v>
      </c>
      <c r="AU89" s="207"/>
      <c r="AV89" s="177">
        <f t="shared" si="525"/>
        <v>0</v>
      </c>
      <c r="AW89" s="207"/>
      <c r="AX89" s="206">
        <f t="shared" si="526"/>
        <v>0</v>
      </c>
      <c r="AY89" s="189">
        <f>SUM(AS89+AU89+AW89)</f>
        <v>0</v>
      </c>
      <c r="AZ89" s="97">
        <f t="shared" ref="AZ89" si="680">SUM(AT89+AV89+AX89)</f>
        <v>0</v>
      </c>
      <c r="BA89" s="97">
        <f t="shared" si="528"/>
        <v>25.484000000000002</v>
      </c>
      <c r="BB89" s="97">
        <f t="shared" si="529"/>
        <v>165.62582772959996</v>
      </c>
      <c r="BC89" s="1" t="s">
        <v>1780</v>
      </c>
    </row>
    <row r="90" spans="1:55">
      <c r="A90" s="498">
        <v>56</v>
      </c>
      <c r="B90" s="13"/>
      <c r="C90" s="23"/>
      <c r="D90" s="36"/>
      <c r="E90" s="21" t="s">
        <v>805</v>
      </c>
      <c r="F90" s="46" t="s">
        <v>804</v>
      </c>
      <c r="G90" s="46" t="s">
        <v>1105</v>
      </c>
      <c r="H90" s="268" t="s">
        <v>365</v>
      </c>
      <c r="I90" s="18">
        <v>4.8</v>
      </c>
      <c r="J90" s="158"/>
      <c r="K90" s="18">
        <v>4.8</v>
      </c>
      <c r="L90" s="158"/>
      <c r="M90" s="18">
        <v>4.8</v>
      </c>
      <c r="N90" s="158"/>
      <c r="O90" s="18">
        <v>4.8</v>
      </c>
      <c r="P90" s="158"/>
      <c r="Q90" s="97">
        <f t="shared" si="654"/>
        <v>0</v>
      </c>
      <c r="R90" s="342">
        <f t="shared" si="654"/>
        <v>0</v>
      </c>
      <c r="S90" s="97"/>
      <c r="T90" s="97">
        <f t="shared" ref="T90:T103" si="681">I90*S90*$T$2/1000</f>
        <v>0</v>
      </c>
      <c r="U90" s="97"/>
      <c r="V90" s="97">
        <f t="shared" ref="V90:V103" si="682">I90*U90*$V$2/1000</f>
        <v>0</v>
      </c>
      <c r="W90" s="97"/>
      <c r="X90" s="97">
        <f t="shared" ref="X90:X103" si="683">I90*W90*$X$2/1000</f>
        <v>0</v>
      </c>
      <c r="Y90" s="97">
        <f t="shared" ref="Y90:Y103" si="684">SUM(S90+U90+W90)</f>
        <v>0</v>
      </c>
      <c r="Z90" s="97">
        <f>SUM(T90+V90+X90)</f>
        <v>0</v>
      </c>
      <c r="AA90" s="97"/>
      <c r="AB90" s="97">
        <f t="shared" si="515"/>
        <v>0</v>
      </c>
      <c r="AC90" s="97"/>
      <c r="AD90" s="97">
        <f t="shared" ref="AD90:AD103" si="685">K90*AC90*$AD$2/1000</f>
        <v>0</v>
      </c>
      <c r="AE90" s="97"/>
      <c r="AF90" s="96">
        <f t="shared" si="530"/>
        <v>0</v>
      </c>
      <c r="AG90" s="97">
        <f t="shared" ref="AG90:AG103" si="686">SUM(AA90+AC90+AE90)</f>
        <v>0</v>
      </c>
      <c r="AH90" s="97">
        <f>SUM(AB90+AD90+AF90)</f>
        <v>0</v>
      </c>
      <c r="AI90" s="97">
        <f t="shared" ref="AI90:AI103" si="687">SUM(Y90+AG90)</f>
        <v>0</v>
      </c>
      <c r="AJ90" s="97">
        <f t="shared" ref="AJ90:AJ103" si="688">SUM(Z90,AH90)</f>
        <v>0</v>
      </c>
      <c r="AK90" s="97"/>
      <c r="AL90" s="97">
        <f t="shared" si="520"/>
        <v>0</v>
      </c>
      <c r="AM90" s="97"/>
      <c r="AN90" s="97">
        <f t="shared" si="653"/>
        <v>0</v>
      </c>
      <c r="AO90" s="97"/>
      <c r="AP90" s="97">
        <f t="shared" si="522"/>
        <v>0</v>
      </c>
      <c r="AQ90" s="97">
        <f t="shared" ref="AQ90:AQ93" si="689">SUM(AK90+AM90+AO90)</f>
        <v>0</v>
      </c>
      <c r="AR90" s="97">
        <f>SUM(AL90+AN90+AP90)</f>
        <v>0</v>
      </c>
      <c r="AS90" s="97"/>
      <c r="AT90" s="97">
        <f t="shared" ref="AT90:AT94" si="690">O90*AS90*$AT$2/1000</f>
        <v>0</v>
      </c>
      <c r="AU90" s="97"/>
      <c r="AV90" s="97">
        <f t="shared" ref="AV90:AV103" si="691">O90*AU90*$AV$2/1000</f>
        <v>0</v>
      </c>
      <c r="AW90" s="97"/>
      <c r="AX90" s="97">
        <f t="shared" ref="AX90:AX103" si="692">O90*AW90*$AX$2/1000</f>
        <v>0</v>
      </c>
      <c r="AY90" s="97">
        <f t="shared" ref="AY90:AY103" si="693">SUM(AS90+AU90+AW90)</f>
        <v>0</v>
      </c>
      <c r="AZ90" s="97">
        <f>SUM(AT90+AV90+AX90)</f>
        <v>0</v>
      </c>
      <c r="BA90" s="97">
        <f t="shared" ref="BA90:BA103" si="694">SUM(AQ90+AY90)</f>
        <v>0</v>
      </c>
      <c r="BB90" s="97">
        <f t="shared" ref="BB90:BB103" si="695">SUM(AR90,AZ90)</f>
        <v>0</v>
      </c>
      <c r="BC90" s="1" t="s">
        <v>1780</v>
      </c>
    </row>
    <row r="91" spans="1:55" s="6" customFormat="1">
      <c r="A91" s="498">
        <v>57</v>
      </c>
      <c r="B91" s="14"/>
      <c r="C91" s="20"/>
      <c r="D91" s="47"/>
      <c r="E91" s="90" t="s">
        <v>459</v>
      </c>
      <c r="F91" s="430" t="s">
        <v>457</v>
      </c>
      <c r="G91" s="430" t="s">
        <v>1105</v>
      </c>
      <c r="H91" s="452" t="s">
        <v>365</v>
      </c>
      <c r="I91" s="453">
        <v>4.43</v>
      </c>
      <c r="J91" s="454"/>
      <c r="K91" s="453">
        <v>4.43</v>
      </c>
      <c r="L91" s="454"/>
      <c r="M91" s="453">
        <v>4.43</v>
      </c>
      <c r="N91" s="454"/>
      <c r="O91" s="453">
        <v>4.43</v>
      </c>
      <c r="P91" s="454"/>
      <c r="Q91" s="434">
        <f t="shared" ref="Q91:Q103" si="696">SUM(AI91+BA91)</f>
        <v>0</v>
      </c>
      <c r="R91" s="455">
        <f t="shared" ref="R91:R103" si="697">SUM(AJ91+BB91)</f>
        <v>0</v>
      </c>
      <c r="S91" s="434"/>
      <c r="T91" s="434">
        <f t="shared" si="681"/>
        <v>0</v>
      </c>
      <c r="U91" s="434"/>
      <c r="V91" s="434">
        <f t="shared" si="682"/>
        <v>0</v>
      </c>
      <c r="W91" s="434"/>
      <c r="X91" s="434">
        <f t="shared" si="683"/>
        <v>0</v>
      </c>
      <c r="Y91" s="434">
        <f t="shared" si="684"/>
        <v>0</v>
      </c>
      <c r="Z91" s="434">
        <f t="shared" ref="Z91" si="698">SUM(T91+V91+X91)</f>
        <v>0</v>
      </c>
      <c r="AA91" s="434"/>
      <c r="AB91" s="434">
        <f t="shared" ref="AB91:AB103" si="699">K91*AA91*$AB$2/1000</f>
        <v>0</v>
      </c>
      <c r="AC91" s="434"/>
      <c r="AD91" s="434">
        <f t="shared" si="685"/>
        <v>0</v>
      </c>
      <c r="AE91" s="434"/>
      <c r="AF91" s="434">
        <f t="shared" ref="AF91:AF104" si="700">K91*AE91*$AF$2/1000</f>
        <v>0</v>
      </c>
      <c r="AG91" s="434">
        <f t="shared" si="686"/>
        <v>0</v>
      </c>
      <c r="AH91" s="434">
        <f t="shared" ref="AH91:AH103" si="701">SUM(AB91+AD91+AF91)</f>
        <v>0</v>
      </c>
      <c r="AI91" s="434">
        <f t="shared" si="687"/>
        <v>0</v>
      </c>
      <c r="AJ91" s="434">
        <f t="shared" si="688"/>
        <v>0</v>
      </c>
      <c r="AK91" s="434"/>
      <c r="AL91" s="434">
        <f t="shared" ref="AL91:AL103" si="702">M91*AK91*$AL$2/1000</f>
        <v>0</v>
      </c>
      <c r="AM91" s="434"/>
      <c r="AN91" s="434">
        <f t="shared" si="653"/>
        <v>0</v>
      </c>
      <c r="AO91" s="434"/>
      <c r="AP91" s="434">
        <f t="shared" ref="AP91:AP103" si="703">M91*AO91*$AP$2/1000</f>
        <v>0</v>
      </c>
      <c r="AQ91" s="434">
        <f t="shared" si="689"/>
        <v>0</v>
      </c>
      <c r="AR91" s="434">
        <f t="shared" ref="AR91:AR103" si="704">SUM(AL91+AN91+AP91)</f>
        <v>0</v>
      </c>
      <c r="AS91" s="434"/>
      <c r="AT91" s="434">
        <f t="shared" si="690"/>
        <v>0</v>
      </c>
      <c r="AU91" s="434"/>
      <c r="AV91" s="434">
        <f t="shared" si="691"/>
        <v>0</v>
      </c>
      <c r="AW91" s="434"/>
      <c r="AX91" s="434">
        <f t="shared" si="692"/>
        <v>0</v>
      </c>
      <c r="AY91" s="434">
        <f t="shared" si="693"/>
        <v>0</v>
      </c>
      <c r="AZ91" s="434">
        <f t="shared" ref="AZ91" si="705">SUM(AT91+AV91+AX91)</f>
        <v>0</v>
      </c>
      <c r="BA91" s="434">
        <f t="shared" si="694"/>
        <v>0</v>
      </c>
      <c r="BB91" s="434">
        <f t="shared" si="695"/>
        <v>0</v>
      </c>
      <c r="BC91" s="1" t="s">
        <v>1780</v>
      </c>
    </row>
    <row r="92" spans="1:55" s="6" customFormat="1">
      <c r="A92" s="498">
        <v>58</v>
      </c>
      <c r="B92" s="14"/>
      <c r="C92" s="20"/>
      <c r="D92" s="47"/>
      <c r="E92" s="21" t="s">
        <v>966</v>
      </c>
      <c r="F92" s="46" t="s">
        <v>965</v>
      </c>
      <c r="G92" s="46" t="s">
        <v>1102</v>
      </c>
      <c r="H92" s="267" t="s">
        <v>365</v>
      </c>
      <c r="I92" s="138">
        <v>5.46</v>
      </c>
      <c r="J92" s="202"/>
      <c r="K92" s="138">
        <v>5.45</v>
      </c>
      <c r="L92" s="202"/>
      <c r="M92" s="138">
        <v>5.45</v>
      </c>
      <c r="N92" s="202"/>
      <c r="O92" s="138">
        <v>5.45</v>
      </c>
      <c r="P92" s="202"/>
      <c r="Q92" s="96">
        <f t="shared" si="696"/>
        <v>81.44</v>
      </c>
      <c r="R92" s="340">
        <f t="shared" si="697"/>
        <v>603.005910976</v>
      </c>
      <c r="S92" s="96">
        <v>4.6399999999999997</v>
      </c>
      <c r="T92" s="96">
        <f t="shared" si="681"/>
        <v>33.489290015999998</v>
      </c>
      <c r="U92" s="96">
        <v>5.2960000000000003</v>
      </c>
      <c r="V92" s="96">
        <f t="shared" si="682"/>
        <v>38.470059264</v>
      </c>
      <c r="W92" s="96">
        <v>13.36</v>
      </c>
      <c r="X92" s="96">
        <f t="shared" si="683"/>
        <v>97.061415359999998</v>
      </c>
      <c r="Y92" s="96">
        <f t="shared" si="684"/>
        <v>23.295999999999999</v>
      </c>
      <c r="Z92" s="96">
        <f t="shared" ref="Z92:Z102" si="706">SUM(T92+V92+X92)</f>
        <v>169.02076463999998</v>
      </c>
      <c r="AA92" s="96">
        <v>8.16</v>
      </c>
      <c r="AB92" s="96">
        <f t="shared" si="699"/>
        <v>60.665144640000001</v>
      </c>
      <c r="AC92" s="96">
        <v>7.2960000000000003</v>
      </c>
      <c r="AD92" s="96">
        <f t="shared" si="685"/>
        <v>54.460871616000013</v>
      </c>
      <c r="AE92" s="96">
        <v>6.8159999999999998</v>
      </c>
      <c r="AF92" s="96">
        <f t="shared" si="700"/>
        <v>51.219673775999993</v>
      </c>
      <c r="AG92" s="96">
        <f t="shared" si="686"/>
        <v>22.271999999999998</v>
      </c>
      <c r="AH92" s="96">
        <f t="shared" si="701"/>
        <v>166.34569003199999</v>
      </c>
      <c r="AI92" s="96">
        <f t="shared" si="687"/>
        <v>45.567999999999998</v>
      </c>
      <c r="AJ92" s="96">
        <f t="shared" si="688"/>
        <v>335.36645467199997</v>
      </c>
      <c r="AK92" s="96">
        <v>8.0640000000000001</v>
      </c>
      <c r="AL92" s="96">
        <f t="shared" si="702"/>
        <v>60.78470630399999</v>
      </c>
      <c r="AM92" s="96">
        <v>5.2960000000000003</v>
      </c>
      <c r="AN92" s="96">
        <f t="shared" si="653"/>
        <v>39.285701520000003</v>
      </c>
      <c r="AO92" s="96">
        <v>7.6319999999999997</v>
      </c>
      <c r="AP92" s="96">
        <f t="shared" si="703"/>
        <v>55.419962616000007</v>
      </c>
      <c r="AQ92" s="96">
        <f t="shared" si="689"/>
        <v>20.991999999999997</v>
      </c>
      <c r="AR92" s="96">
        <f t="shared" si="704"/>
        <v>155.49037043999999</v>
      </c>
      <c r="AS92" s="96">
        <v>6.032</v>
      </c>
      <c r="AT92" s="96">
        <f t="shared" si="690"/>
        <v>44.640147760000005</v>
      </c>
      <c r="AU92" s="96">
        <v>6.1920000000000002</v>
      </c>
      <c r="AV92" s="96">
        <f t="shared" si="691"/>
        <v>46.963852488000001</v>
      </c>
      <c r="AW92" s="96">
        <v>2.6560000000000001</v>
      </c>
      <c r="AX92" s="96">
        <f t="shared" si="692"/>
        <v>20.545085616000001</v>
      </c>
      <c r="AY92" s="96">
        <f t="shared" si="693"/>
        <v>14.88</v>
      </c>
      <c r="AZ92" s="96">
        <f t="shared" ref="AZ92:AZ102" si="707">SUM(AT92+AV92+AX92)</f>
        <v>112.149085864</v>
      </c>
      <c r="BA92" s="96">
        <f t="shared" si="694"/>
        <v>35.872</v>
      </c>
      <c r="BB92" s="96">
        <f t="shared" si="695"/>
        <v>267.63945630399996</v>
      </c>
      <c r="BC92" s="1" t="s">
        <v>1780</v>
      </c>
    </row>
    <row r="93" spans="1:55" s="6" customFormat="1">
      <c r="A93" s="498">
        <v>59</v>
      </c>
      <c r="B93" s="14"/>
      <c r="C93" s="20"/>
      <c r="D93" s="47"/>
      <c r="E93" s="21" t="s">
        <v>1009</v>
      </c>
      <c r="F93" s="46" t="s">
        <v>1010</v>
      </c>
      <c r="G93" s="46" t="s">
        <v>1101</v>
      </c>
      <c r="H93" s="267" t="s">
        <v>365</v>
      </c>
      <c r="I93" s="138">
        <v>6.35</v>
      </c>
      <c r="J93" s="202"/>
      <c r="K93" s="138">
        <v>6.35</v>
      </c>
      <c r="L93" s="202"/>
      <c r="M93" s="138">
        <v>6.35</v>
      </c>
      <c r="N93" s="202"/>
      <c r="O93" s="138">
        <v>6.35</v>
      </c>
      <c r="P93" s="202"/>
      <c r="Q93" s="96">
        <f t="shared" si="696"/>
        <v>13.2</v>
      </c>
      <c r="R93" s="340">
        <f t="shared" si="697"/>
        <v>114.90710368799999</v>
      </c>
      <c r="S93" s="96">
        <v>0.4</v>
      </c>
      <c r="T93" s="96">
        <f t="shared" si="681"/>
        <v>3.3576006</v>
      </c>
      <c r="U93" s="96">
        <v>0.38400000000000001</v>
      </c>
      <c r="V93" s="96">
        <f t="shared" si="682"/>
        <v>3.2440473600000006</v>
      </c>
      <c r="W93" s="96"/>
      <c r="X93" s="96">
        <f t="shared" si="683"/>
        <v>0</v>
      </c>
      <c r="Y93" s="96">
        <f t="shared" si="684"/>
        <v>0.78400000000000003</v>
      </c>
      <c r="Z93" s="96">
        <f t="shared" si="706"/>
        <v>6.6016479600000011</v>
      </c>
      <c r="AA93" s="96">
        <v>1.92</v>
      </c>
      <c r="AB93" s="96">
        <f t="shared" si="699"/>
        <v>16.631351039999998</v>
      </c>
      <c r="AC93" s="96">
        <v>1.1519999999999999</v>
      </c>
      <c r="AD93" s="96">
        <f t="shared" si="685"/>
        <v>10.019117376000001</v>
      </c>
      <c r="AE93" s="96">
        <v>3.4079999999999999</v>
      </c>
      <c r="AF93" s="96">
        <f t="shared" si="700"/>
        <v>29.838984263999997</v>
      </c>
      <c r="AG93" s="96">
        <f t="shared" si="686"/>
        <v>6.48</v>
      </c>
      <c r="AH93" s="96">
        <f t="shared" ref="AH93:AH94" si="708">SUM(AB93+AD93+AF93)</f>
        <v>56.489452679999999</v>
      </c>
      <c r="AI93" s="96">
        <f t="shared" si="687"/>
        <v>7.2640000000000002</v>
      </c>
      <c r="AJ93" s="96">
        <f t="shared" si="688"/>
        <v>63.091100640000001</v>
      </c>
      <c r="AK93" s="96">
        <v>2.6880000000000002</v>
      </c>
      <c r="AL93" s="96">
        <f t="shared" si="702"/>
        <v>23.607515904</v>
      </c>
      <c r="AM93" s="96">
        <v>2.88</v>
      </c>
      <c r="AN93" s="96">
        <f t="shared" ref="AN93:AN94" si="709">M93*AM93*$AN$2/1000</f>
        <v>24.891796799999995</v>
      </c>
      <c r="AO93" s="96"/>
      <c r="AP93" s="96">
        <f t="shared" si="703"/>
        <v>0</v>
      </c>
      <c r="AQ93" s="96">
        <f t="shared" si="689"/>
        <v>5.5679999999999996</v>
      </c>
      <c r="AR93" s="96">
        <f>SUM(AL93+AN93+AP93)</f>
        <v>48.499312703999991</v>
      </c>
      <c r="AS93" s="96"/>
      <c r="AT93" s="96">
        <f t="shared" si="690"/>
        <v>0</v>
      </c>
      <c r="AU93" s="96"/>
      <c r="AV93" s="96">
        <f t="shared" si="691"/>
        <v>0</v>
      </c>
      <c r="AW93" s="96">
        <v>0.36799999999999999</v>
      </c>
      <c r="AX93" s="96">
        <f t="shared" si="692"/>
        <v>3.3166903439999995</v>
      </c>
      <c r="AY93" s="96">
        <f t="shared" si="693"/>
        <v>0.36799999999999999</v>
      </c>
      <c r="AZ93" s="96">
        <f t="shared" ref="AZ93:AZ94" si="710">SUM(AT93+AV93+AX93)</f>
        <v>3.3166903439999995</v>
      </c>
      <c r="BA93" s="96">
        <f t="shared" si="694"/>
        <v>5.9359999999999999</v>
      </c>
      <c r="BB93" s="96">
        <f t="shared" si="695"/>
        <v>51.816003047999992</v>
      </c>
      <c r="BC93" s="1" t="s">
        <v>1780</v>
      </c>
    </row>
    <row r="94" spans="1:55" s="6" customFormat="1">
      <c r="A94" s="498">
        <v>60</v>
      </c>
      <c r="B94" s="14"/>
      <c r="C94" s="20"/>
      <c r="D94" s="47"/>
      <c r="E94" s="21" t="s">
        <v>999</v>
      </c>
      <c r="F94" s="46" t="s">
        <v>1000</v>
      </c>
      <c r="G94" s="46" t="s">
        <v>1101</v>
      </c>
      <c r="H94" s="267" t="s">
        <v>365</v>
      </c>
      <c r="I94" s="138">
        <v>5.7</v>
      </c>
      <c r="J94" s="202"/>
      <c r="K94" s="138">
        <v>5.7</v>
      </c>
      <c r="L94" s="202"/>
      <c r="M94" s="138">
        <v>5.7</v>
      </c>
      <c r="N94" s="202"/>
      <c r="O94" s="138">
        <v>5.7</v>
      </c>
      <c r="P94" s="202"/>
      <c r="Q94" s="96">
        <f t="shared" si="696"/>
        <v>0</v>
      </c>
      <c r="R94" s="340">
        <f t="shared" si="697"/>
        <v>0</v>
      </c>
      <c r="S94" s="96"/>
      <c r="T94" s="96">
        <f t="shared" si="681"/>
        <v>0</v>
      </c>
      <c r="U94" s="96"/>
      <c r="V94" s="96">
        <f t="shared" si="682"/>
        <v>0</v>
      </c>
      <c r="W94" s="96"/>
      <c r="X94" s="96">
        <f t="shared" si="683"/>
        <v>0</v>
      </c>
      <c r="Y94" s="96">
        <f t="shared" si="684"/>
        <v>0</v>
      </c>
      <c r="Z94" s="96">
        <f t="shared" si="706"/>
        <v>0</v>
      </c>
      <c r="AA94" s="96"/>
      <c r="AB94" s="96">
        <f t="shared" si="699"/>
        <v>0</v>
      </c>
      <c r="AC94" s="96"/>
      <c r="AD94" s="96">
        <f t="shared" si="685"/>
        <v>0</v>
      </c>
      <c r="AE94" s="96"/>
      <c r="AF94" s="96">
        <f t="shared" ref="AF94" si="711">K94*AE94*$AF$2/1000</f>
        <v>0</v>
      </c>
      <c r="AG94" s="96">
        <f t="shared" si="686"/>
        <v>0</v>
      </c>
      <c r="AH94" s="96">
        <f t="shared" si="708"/>
        <v>0</v>
      </c>
      <c r="AI94" s="96">
        <f t="shared" si="687"/>
        <v>0</v>
      </c>
      <c r="AJ94" s="96">
        <f t="shared" si="688"/>
        <v>0</v>
      </c>
      <c r="AK94" s="96"/>
      <c r="AL94" s="96">
        <f t="shared" si="702"/>
        <v>0</v>
      </c>
      <c r="AM94" s="96"/>
      <c r="AN94" s="96">
        <f t="shared" si="709"/>
        <v>0</v>
      </c>
      <c r="AO94" s="96"/>
      <c r="AP94" s="96">
        <f t="shared" si="703"/>
        <v>0</v>
      </c>
      <c r="AQ94" s="96">
        <f>SUM(AK94+AM94+AO94)</f>
        <v>0</v>
      </c>
      <c r="AR94" s="96">
        <f>SUM(AL94+AN94+AP94)</f>
        <v>0</v>
      </c>
      <c r="AS94" s="96"/>
      <c r="AT94" s="96">
        <f t="shared" si="690"/>
        <v>0</v>
      </c>
      <c r="AU94" s="96"/>
      <c r="AV94" s="96">
        <f t="shared" si="691"/>
        <v>0</v>
      </c>
      <c r="AW94" s="96"/>
      <c r="AX94" s="96">
        <f t="shared" si="692"/>
        <v>0</v>
      </c>
      <c r="AY94" s="96">
        <f t="shared" si="693"/>
        <v>0</v>
      </c>
      <c r="AZ94" s="96">
        <f t="shared" si="710"/>
        <v>0</v>
      </c>
      <c r="BA94" s="96">
        <f t="shared" si="694"/>
        <v>0</v>
      </c>
      <c r="BB94" s="96">
        <f t="shared" si="695"/>
        <v>0</v>
      </c>
      <c r="BC94" s="1" t="s">
        <v>1780</v>
      </c>
    </row>
    <row r="95" spans="1:55" s="6" customFormat="1">
      <c r="A95" s="498">
        <v>61</v>
      </c>
      <c r="B95" s="14"/>
      <c r="C95" s="20"/>
      <c r="D95" s="47"/>
      <c r="E95" s="21" t="s">
        <v>1037</v>
      </c>
      <c r="F95" s="46" t="s">
        <v>1038</v>
      </c>
      <c r="G95" s="46" t="s">
        <v>1101</v>
      </c>
      <c r="H95" s="267" t="s">
        <v>365</v>
      </c>
      <c r="I95" s="138">
        <v>6.45</v>
      </c>
      <c r="J95" s="202"/>
      <c r="K95" s="138">
        <v>6.45</v>
      </c>
      <c r="L95" s="202"/>
      <c r="M95" s="138">
        <v>6.45</v>
      </c>
      <c r="N95" s="202"/>
      <c r="O95" s="138">
        <v>6.45</v>
      </c>
      <c r="P95" s="202"/>
      <c r="Q95" s="96">
        <f t="shared" ref="Q95:Q99" si="712">SUM(AI95+BA95)</f>
        <v>0</v>
      </c>
      <c r="R95" s="340">
        <f t="shared" ref="R95:R99" si="713">SUM(AJ95+BB95)</f>
        <v>0</v>
      </c>
      <c r="S95" s="96"/>
      <c r="T95" s="96">
        <f t="shared" ref="T95:T99" si="714">I95*S95*$T$2/1000</f>
        <v>0</v>
      </c>
      <c r="U95" s="96"/>
      <c r="V95" s="96">
        <f t="shared" ref="V95:V99" si="715">I95*U95*$V$2/1000</f>
        <v>0</v>
      </c>
      <c r="W95" s="96"/>
      <c r="X95" s="96">
        <f t="shared" ref="X95:X99" si="716">I95*W95*$X$2/1000</f>
        <v>0</v>
      </c>
      <c r="Y95" s="96">
        <f t="shared" ref="Y95:Y99" si="717">SUM(S95+U95+W95)</f>
        <v>0</v>
      </c>
      <c r="Z95" s="96">
        <f t="shared" ref="Z95:Z99" si="718">SUM(T95+V95+X95)</f>
        <v>0</v>
      </c>
      <c r="AA95" s="96"/>
      <c r="AB95" s="96">
        <f t="shared" ref="AB95:AB99" si="719">K95*AA95*$AB$2/1000</f>
        <v>0</v>
      </c>
      <c r="AC95" s="96"/>
      <c r="AD95" s="96">
        <f t="shared" ref="AD95:AD99" si="720">K95*AC95*$AD$2/1000</f>
        <v>0</v>
      </c>
      <c r="AE95" s="96"/>
      <c r="AF95" s="96">
        <f t="shared" si="700"/>
        <v>0</v>
      </c>
      <c r="AG95" s="96">
        <f t="shared" ref="AG95:AG99" si="721">SUM(AA95+AC95+AE95)</f>
        <v>0</v>
      </c>
      <c r="AH95" s="96">
        <f t="shared" ref="AH95:AH97" si="722">SUM(AB95+AD95+AF95)</f>
        <v>0</v>
      </c>
      <c r="AI95" s="96">
        <f t="shared" ref="AI95:AI99" si="723">SUM(Y95+AG95)</f>
        <v>0</v>
      </c>
      <c r="AJ95" s="96">
        <f t="shared" ref="AJ95:AJ99" si="724">SUM(Z95,AH95)</f>
        <v>0</v>
      </c>
      <c r="AK95" s="96"/>
      <c r="AL95" s="96">
        <f t="shared" ref="AL95:AL99" si="725">M95*AK95*$AL$2/1000</f>
        <v>0</v>
      </c>
      <c r="AM95" s="96"/>
      <c r="AN95" s="96">
        <f t="shared" si="653"/>
        <v>0</v>
      </c>
      <c r="AO95" s="96"/>
      <c r="AP95" s="96">
        <f t="shared" ref="AP95:AP99" si="726">M95*AO95*$AP$2/1000</f>
        <v>0</v>
      </c>
      <c r="AQ95" s="96">
        <f>SUM(AK95+AM95+AO95)</f>
        <v>0</v>
      </c>
      <c r="AR95" s="96">
        <f>SUM(AL95+AN95+AP95)</f>
        <v>0</v>
      </c>
      <c r="AS95" s="96"/>
      <c r="AT95" s="96">
        <f t="shared" ref="AT95:AT98" si="727">O95*AS95*$AT$2/1000</f>
        <v>0</v>
      </c>
      <c r="AU95" s="96"/>
      <c r="AV95" s="96">
        <f t="shared" ref="AV95:AV99" si="728">O95*AU95*$AV$2/1000</f>
        <v>0</v>
      </c>
      <c r="AW95" s="96"/>
      <c r="AX95" s="96">
        <f t="shared" ref="AX95:AX99" si="729">O95*AW95*$AX$2/1000</f>
        <v>0</v>
      </c>
      <c r="AY95" s="96">
        <f t="shared" ref="AY95:AY99" si="730">SUM(AS95+AU95+AW95)</f>
        <v>0</v>
      </c>
      <c r="AZ95" s="96">
        <f t="shared" ref="AZ95:AZ99" si="731">SUM(AT95+AV95+AX95)</f>
        <v>0</v>
      </c>
      <c r="BA95" s="96">
        <f t="shared" ref="BA95:BA99" si="732">SUM(AQ95+AY95)</f>
        <v>0</v>
      </c>
      <c r="BB95" s="96">
        <f t="shared" ref="BB95:BB99" si="733">SUM(AR95,AZ95)</f>
        <v>0</v>
      </c>
      <c r="BC95" s="1" t="s">
        <v>1780</v>
      </c>
    </row>
    <row r="96" spans="1:55" s="6" customFormat="1">
      <c r="A96" s="498">
        <v>57</v>
      </c>
      <c r="B96" s="14"/>
      <c r="C96" s="20"/>
      <c r="D96" s="47"/>
      <c r="E96" s="90" t="s">
        <v>1474</v>
      </c>
      <c r="F96" s="430" t="s">
        <v>1475</v>
      </c>
      <c r="G96" s="430" t="s">
        <v>1105</v>
      </c>
      <c r="H96" s="452" t="s">
        <v>365</v>
      </c>
      <c r="I96" s="453">
        <v>6</v>
      </c>
      <c r="J96" s="454"/>
      <c r="K96" s="453">
        <v>6</v>
      </c>
      <c r="L96" s="454"/>
      <c r="M96" s="453">
        <v>6</v>
      </c>
      <c r="N96" s="454"/>
      <c r="O96" s="453">
        <v>6</v>
      </c>
      <c r="P96" s="454"/>
      <c r="Q96" s="434">
        <f t="shared" si="712"/>
        <v>1.3290000000000002</v>
      </c>
      <c r="R96" s="455">
        <f t="shared" si="713"/>
        <v>10.589079300000002</v>
      </c>
      <c r="S96" s="434">
        <v>0.39500000000000002</v>
      </c>
      <c r="T96" s="434">
        <f t="shared" si="714"/>
        <v>3.1328793000000004</v>
      </c>
      <c r="U96" s="434">
        <v>0.40200000000000002</v>
      </c>
      <c r="V96" s="434">
        <f t="shared" si="715"/>
        <v>3.2089248000000001</v>
      </c>
      <c r="W96" s="434">
        <v>0.53200000000000003</v>
      </c>
      <c r="X96" s="434">
        <f t="shared" si="716"/>
        <v>4.2472751999999998</v>
      </c>
      <c r="Y96" s="434">
        <f t="shared" si="717"/>
        <v>1.3290000000000002</v>
      </c>
      <c r="Z96" s="434">
        <f t="shared" si="718"/>
        <v>10.589079300000002</v>
      </c>
      <c r="AA96" s="434"/>
      <c r="AB96" s="434">
        <f t="shared" si="719"/>
        <v>0</v>
      </c>
      <c r="AC96" s="434"/>
      <c r="AD96" s="434">
        <f t="shared" si="720"/>
        <v>0</v>
      </c>
      <c r="AE96" s="434"/>
      <c r="AF96" s="434">
        <f t="shared" ref="AF96" si="734">K96*AE96*$AF$2/1000</f>
        <v>0</v>
      </c>
      <c r="AG96" s="434">
        <f t="shared" si="721"/>
        <v>0</v>
      </c>
      <c r="AH96" s="434">
        <f>SUM(AB96+AD96+AF96)</f>
        <v>0</v>
      </c>
      <c r="AI96" s="434">
        <f t="shared" si="723"/>
        <v>1.3290000000000002</v>
      </c>
      <c r="AJ96" s="434">
        <f t="shared" si="724"/>
        <v>10.589079300000002</v>
      </c>
      <c r="AK96" s="434"/>
      <c r="AL96" s="434">
        <f t="shared" si="725"/>
        <v>0</v>
      </c>
      <c r="AM96" s="434"/>
      <c r="AN96" s="434">
        <f t="shared" ref="AN96" si="735">M96*AM96*$AN$2/1000</f>
        <v>0</v>
      </c>
      <c r="AO96" s="434"/>
      <c r="AP96" s="434">
        <f t="shared" si="726"/>
        <v>0</v>
      </c>
      <c r="AQ96" s="434">
        <f t="shared" ref="AQ96" si="736">SUM(AK96+AM96+AO96)</f>
        <v>0</v>
      </c>
      <c r="AR96" s="434">
        <f t="shared" ref="AR96" si="737">SUM(AL96+AN96+AP96)</f>
        <v>0</v>
      </c>
      <c r="AS96" s="434"/>
      <c r="AT96" s="434">
        <f t="shared" si="727"/>
        <v>0</v>
      </c>
      <c r="AU96" s="434"/>
      <c r="AV96" s="434">
        <f t="shared" si="728"/>
        <v>0</v>
      </c>
      <c r="AW96" s="434"/>
      <c r="AX96" s="434">
        <f t="shared" si="729"/>
        <v>0</v>
      </c>
      <c r="AY96" s="434">
        <f t="shared" si="730"/>
        <v>0</v>
      </c>
      <c r="AZ96" s="434">
        <f t="shared" si="731"/>
        <v>0</v>
      </c>
      <c r="BA96" s="434">
        <f t="shared" si="732"/>
        <v>0</v>
      </c>
      <c r="BB96" s="434">
        <f t="shared" si="733"/>
        <v>0</v>
      </c>
      <c r="BC96" s="1" t="s">
        <v>1780</v>
      </c>
    </row>
    <row r="97" spans="1:55">
      <c r="B97" s="13"/>
      <c r="C97" s="13"/>
      <c r="D97" s="13"/>
      <c r="E97" s="21" t="s">
        <v>1382</v>
      </c>
      <c r="F97" s="22" t="s">
        <v>1384</v>
      </c>
      <c r="G97" s="46" t="s">
        <v>1102</v>
      </c>
      <c r="H97" s="268" t="s">
        <v>365</v>
      </c>
      <c r="I97" s="55">
        <v>19.3</v>
      </c>
      <c r="J97" s="102"/>
      <c r="K97" s="55">
        <v>19.3</v>
      </c>
      <c r="L97" s="163"/>
      <c r="M97" s="55">
        <v>19.3</v>
      </c>
      <c r="N97" s="163"/>
      <c r="O97" s="55">
        <v>19.3</v>
      </c>
      <c r="P97" s="102"/>
      <c r="Q97" s="97">
        <f t="shared" ref="Q97" si="738">SUM(AI97+BA97)</f>
        <v>0.99</v>
      </c>
      <c r="R97" s="342">
        <f t="shared" ref="R97" si="739">SUM(AJ97+BB97)</f>
        <v>25.957699049999999</v>
      </c>
      <c r="S97" s="97">
        <v>0.3</v>
      </c>
      <c r="T97" s="97">
        <f>I97*S97*$T$2/1000</f>
        <v>7.6537431000000007</v>
      </c>
      <c r="U97" s="97"/>
      <c r="V97" s="177">
        <f>I97*U97*$V$2/1000</f>
        <v>0</v>
      </c>
      <c r="W97" s="207">
        <v>0.09</v>
      </c>
      <c r="X97" s="206">
        <f>I97*W97*$X$2/1000</f>
        <v>2.3112521999999998</v>
      </c>
      <c r="Y97" s="189">
        <f t="shared" si="717"/>
        <v>0.39</v>
      </c>
      <c r="Z97" s="177">
        <f t="shared" si="718"/>
        <v>9.9649953</v>
      </c>
      <c r="AA97" s="207"/>
      <c r="AB97" s="206">
        <f>K97*AA97*$AB$2/1000</f>
        <v>0</v>
      </c>
      <c r="AC97" s="207">
        <v>0.09</v>
      </c>
      <c r="AD97" s="177">
        <f>K97*AC97*$AD$2/1000</f>
        <v>2.3790473100000002</v>
      </c>
      <c r="AE97" s="207"/>
      <c r="AF97" s="206">
        <f t="shared" ref="AF97" si="740">K97*AE97*$AF$2/1000</f>
        <v>0</v>
      </c>
      <c r="AG97" s="189">
        <f t="shared" si="721"/>
        <v>0.09</v>
      </c>
      <c r="AH97" s="97">
        <f t="shared" si="722"/>
        <v>2.3790473100000002</v>
      </c>
      <c r="AI97" s="97">
        <f t="shared" ref="AI97" si="741">SUM(Y97+AG97)</f>
        <v>0.48</v>
      </c>
      <c r="AJ97" s="177">
        <f t="shared" ref="AJ97" si="742">SUM(Z97,AH97)</f>
        <v>12.344042610000001</v>
      </c>
      <c r="AK97" s="207">
        <v>0.51</v>
      </c>
      <c r="AL97" s="177">
        <f t="shared" ref="AL97" si="743">M97*AK97*$AL$2/1000</f>
        <v>13.613656439999998</v>
      </c>
      <c r="AM97" s="245"/>
      <c r="AN97" s="177">
        <f t="shared" si="653"/>
        <v>0</v>
      </c>
      <c r="AO97" s="207"/>
      <c r="AP97" s="206">
        <f t="shared" ref="AP97" si="744">M97*AO97*$AP$2/1000</f>
        <v>0</v>
      </c>
      <c r="AQ97" s="189">
        <f t="shared" ref="AQ97" si="745">SUM(AK97+AM97+AO97)</f>
        <v>0.51</v>
      </c>
      <c r="AR97" s="97">
        <f t="shared" ref="AR97" si="746">SUM(AL97+AN97+AP97)</f>
        <v>13.613656439999998</v>
      </c>
      <c r="AS97" s="97"/>
      <c r="AT97" s="177">
        <f t="shared" ref="AT97" si="747">O97*AS97*$AT$2/1000</f>
        <v>0</v>
      </c>
      <c r="AU97" s="207"/>
      <c r="AV97" s="177">
        <f t="shared" ref="AV97" si="748">O97*AU97*$AV$2/1000</f>
        <v>0</v>
      </c>
      <c r="AW97" s="207"/>
      <c r="AX97" s="206">
        <f t="shared" ref="AX97" si="749">O97*AW97*$AX$2/1000</f>
        <v>0</v>
      </c>
      <c r="AY97" s="189">
        <f>SUM(AS97+AU97+AW97)</f>
        <v>0</v>
      </c>
      <c r="AZ97" s="97">
        <f t="shared" si="731"/>
        <v>0</v>
      </c>
      <c r="BA97" s="97">
        <f t="shared" ref="BA97" si="750">SUM(AQ97+AY97)</f>
        <v>0.51</v>
      </c>
      <c r="BB97" s="97">
        <f t="shared" ref="BB97" si="751">SUM(AR97,AZ97)</f>
        <v>13.613656439999998</v>
      </c>
      <c r="BC97" s="1" t="s">
        <v>1780</v>
      </c>
    </row>
    <row r="98" spans="1:55">
      <c r="B98" s="13"/>
      <c r="C98" s="13"/>
      <c r="D98" s="13"/>
      <c r="E98" s="21" t="s">
        <v>1383</v>
      </c>
      <c r="F98" s="22" t="s">
        <v>1385</v>
      </c>
      <c r="G98" s="46" t="s">
        <v>1102</v>
      </c>
      <c r="H98" s="268" t="s">
        <v>365</v>
      </c>
      <c r="I98" s="55">
        <v>19.649999999999999</v>
      </c>
      <c r="J98" s="102"/>
      <c r="K98" s="55">
        <v>19.649999999999999</v>
      </c>
      <c r="L98" s="163"/>
      <c r="M98" s="55">
        <v>19.649999999999999</v>
      </c>
      <c r="N98" s="163"/>
      <c r="O98" s="55">
        <v>19.649999999999999</v>
      </c>
      <c r="P98" s="102"/>
      <c r="Q98" s="97">
        <f t="shared" si="712"/>
        <v>0</v>
      </c>
      <c r="R98" s="342">
        <f t="shared" si="713"/>
        <v>0</v>
      </c>
      <c r="S98" s="97"/>
      <c r="T98" s="97">
        <f>I98*S98*$T$2/1000</f>
        <v>0</v>
      </c>
      <c r="U98" s="97"/>
      <c r="V98" s="177">
        <f>I98*U98*$V$2/1000</f>
        <v>0</v>
      </c>
      <c r="W98" s="207"/>
      <c r="X98" s="206">
        <f>I98*W98*$X$2/1000</f>
        <v>0</v>
      </c>
      <c r="Y98" s="189">
        <f t="shared" ref="Y98" si="752">SUM(S98+U98+W98)</f>
        <v>0</v>
      </c>
      <c r="Z98" s="177">
        <f t="shared" ref="Z98" si="753">SUM(T98+V98+X98)</f>
        <v>0</v>
      </c>
      <c r="AA98" s="207"/>
      <c r="AB98" s="206">
        <f>K98*AA98*$AB$2/1000</f>
        <v>0</v>
      </c>
      <c r="AC98" s="207"/>
      <c r="AD98" s="177">
        <f>K98*AC98*$AD$2/1000</f>
        <v>0</v>
      </c>
      <c r="AE98" s="207"/>
      <c r="AF98" s="206">
        <f t="shared" si="700"/>
        <v>0</v>
      </c>
      <c r="AG98" s="189">
        <f t="shared" ref="AG98" si="754">SUM(AA98+AC98+AE98)</f>
        <v>0</v>
      </c>
      <c r="AH98" s="97">
        <f t="shared" ref="AH98" si="755">SUM(AB98+AD98+AF98)</f>
        <v>0</v>
      </c>
      <c r="AI98" s="97">
        <f t="shared" si="723"/>
        <v>0</v>
      </c>
      <c r="AJ98" s="177">
        <f t="shared" si="724"/>
        <v>0</v>
      </c>
      <c r="AK98" s="207"/>
      <c r="AL98" s="177">
        <f t="shared" si="725"/>
        <v>0</v>
      </c>
      <c r="AM98" s="245"/>
      <c r="AN98" s="177">
        <f t="shared" ref="AN98" si="756">M98*AM98*$AN$2/1000</f>
        <v>0</v>
      </c>
      <c r="AO98" s="207"/>
      <c r="AP98" s="206">
        <f t="shared" si="726"/>
        <v>0</v>
      </c>
      <c r="AQ98" s="189">
        <f t="shared" ref="AQ98" si="757">SUM(AK98+AM98+AO98)</f>
        <v>0</v>
      </c>
      <c r="AR98" s="97">
        <f t="shared" ref="AR98" si="758">SUM(AL98+AN98+AP98)</f>
        <v>0</v>
      </c>
      <c r="AS98" s="97"/>
      <c r="AT98" s="177">
        <f t="shared" si="727"/>
        <v>0</v>
      </c>
      <c r="AU98" s="207"/>
      <c r="AV98" s="177">
        <f t="shared" si="728"/>
        <v>0</v>
      </c>
      <c r="AW98" s="207"/>
      <c r="AX98" s="206">
        <f t="shared" si="729"/>
        <v>0</v>
      </c>
      <c r="AY98" s="189">
        <f>SUM(AS98+AU98+AW98)</f>
        <v>0</v>
      </c>
      <c r="AZ98" s="97">
        <f t="shared" ref="AZ98" si="759">SUM(AT98+AV98+AX98)</f>
        <v>0</v>
      </c>
      <c r="BA98" s="97">
        <f t="shared" si="732"/>
        <v>0</v>
      </c>
      <c r="BB98" s="97">
        <f t="shared" si="733"/>
        <v>0</v>
      </c>
      <c r="BC98" s="1" t="s">
        <v>1780</v>
      </c>
    </row>
    <row r="99" spans="1:55" s="6" customFormat="1">
      <c r="A99" s="498">
        <v>62</v>
      </c>
      <c r="B99" s="14"/>
      <c r="C99" s="20"/>
      <c r="D99" s="47"/>
      <c r="E99" s="21" t="s">
        <v>1001</v>
      </c>
      <c r="F99" s="46" t="s">
        <v>1002</v>
      </c>
      <c r="G99" s="46" t="s">
        <v>1101</v>
      </c>
      <c r="H99" s="267" t="s">
        <v>365</v>
      </c>
      <c r="I99" s="138">
        <v>7.01</v>
      </c>
      <c r="J99" s="202"/>
      <c r="K99" s="138">
        <v>7.01</v>
      </c>
      <c r="L99" s="202"/>
      <c r="M99" s="138">
        <v>7.01</v>
      </c>
      <c r="N99" s="202"/>
      <c r="O99" s="138">
        <v>7.01</v>
      </c>
      <c r="P99" s="202"/>
      <c r="Q99" s="96">
        <f t="shared" si="712"/>
        <v>2.5600000000000005</v>
      </c>
      <c r="R99" s="340">
        <f t="shared" si="713"/>
        <v>23.924977462400001</v>
      </c>
      <c r="S99" s="96">
        <v>0.52800000000000002</v>
      </c>
      <c r="T99" s="96">
        <f t="shared" si="714"/>
        <v>4.8926850192</v>
      </c>
      <c r="U99" s="96">
        <v>1.68</v>
      </c>
      <c r="V99" s="96">
        <f t="shared" si="715"/>
        <v>15.667854720000001</v>
      </c>
      <c r="W99" s="96">
        <v>3.2000000000000001E-2</v>
      </c>
      <c r="X99" s="96">
        <f t="shared" si="716"/>
        <v>0.29848019199999998</v>
      </c>
      <c r="Y99" s="96">
        <f t="shared" si="717"/>
        <v>2.2400000000000002</v>
      </c>
      <c r="Z99" s="96">
        <f t="shared" si="718"/>
        <v>20.859019931200002</v>
      </c>
      <c r="AA99" s="96"/>
      <c r="AB99" s="96">
        <f t="shared" si="719"/>
        <v>0</v>
      </c>
      <c r="AC99" s="96">
        <v>0.08</v>
      </c>
      <c r="AD99" s="96">
        <f t="shared" si="720"/>
        <v>0.76808850400000006</v>
      </c>
      <c r="AE99" s="96">
        <v>6.4000000000000001E-2</v>
      </c>
      <c r="AF99" s="96">
        <f t="shared" ref="AF99" si="760">K99*AE99*$AF$2/1000</f>
        <v>0.61859829119999998</v>
      </c>
      <c r="AG99" s="96">
        <f t="shared" si="721"/>
        <v>0.14400000000000002</v>
      </c>
      <c r="AH99" s="96">
        <f t="shared" ref="AH99" si="761">SUM(AB99+AD99+AF99)</f>
        <v>1.3866867952000002</v>
      </c>
      <c r="AI99" s="96">
        <f t="shared" si="723"/>
        <v>2.3840000000000003</v>
      </c>
      <c r="AJ99" s="96">
        <f t="shared" si="724"/>
        <v>22.245706726400002</v>
      </c>
      <c r="AK99" s="96"/>
      <c r="AL99" s="96">
        <f t="shared" si="725"/>
        <v>0</v>
      </c>
      <c r="AM99" s="96">
        <v>0.17599999999999999</v>
      </c>
      <c r="AN99" s="96">
        <f t="shared" ref="AN99" si="762">M99*AM99*$AN$2/1000</f>
        <v>1.6792707359999999</v>
      </c>
      <c r="AO99" s="96"/>
      <c r="AP99" s="96">
        <f t="shared" si="726"/>
        <v>0</v>
      </c>
      <c r="AQ99" s="96">
        <f t="shared" ref="AQ99" si="763">SUM(AK99+AM99+AO99)</f>
        <v>0.17599999999999999</v>
      </c>
      <c r="AR99" s="96">
        <f t="shared" ref="AR99" si="764">SUM(AL99+AN99+AP99)</f>
        <v>1.6792707359999999</v>
      </c>
      <c r="AS99" s="96"/>
      <c r="AT99" s="96">
        <f>O99*AS99*$AT$2/1000</f>
        <v>0</v>
      </c>
      <c r="AU99" s="96"/>
      <c r="AV99" s="96">
        <f t="shared" si="728"/>
        <v>0</v>
      </c>
      <c r="AW99" s="96"/>
      <c r="AX99" s="96">
        <f t="shared" si="729"/>
        <v>0</v>
      </c>
      <c r="AY99" s="96">
        <f t="shared" si="730"/>
        <v>0</v>
      </c>
      <c r="AZ99" s="96">
        <f t="shared" si="731"/>
        <v>0</v>
      </c>
      <c r="BA99" s="96">
        <f t="shared" si="732"/>
        <v>0.17599999999999999</v>
      </c>
      <c r="BB99" s="96">
        <f t="shared" si="733"/>
        <v>1.6792707359999999</v>
      </c>
      <c r="BC99" s="1" t="s">
        <v>1780</v>
      </c>
    </row>
    <row r="100" spans="1:55" s="6" customFormat="1">
      <c r="A100" s="498">
        <v>63</v>
      </c>
      <c r="B100" s="14"/>
      <c r="C100" s="20"/>
      <c r="D100" s="47"/>
      <c r="E100" s="21" t="s">
        <v>1039</v>
      </c>
      <c r="F100" s="46" t="s">
        <v>1040</v>
      </c>
      <c r="G100" s="46" t="s">
        <v>1101</v>
      </c>
      <c r="H100" s="267" t="s">
        <v>365</v>
      </c>
      <c r="I100" s="138">
        <v>7.75</v>
      </c>
      <c r="J100" s="202"/>
      <c r="K100" s="138">
        <v>7.75</v>
      </c>
      <c r="L100" s="202"/>
      <c r="M100" s="138">
        <v>7.75</v>
      </c>
      <c r="N100" s="202"/>
      <c r="O100" s="138">
        <v>7.75</v>
      </c>
      <c r="P100" s="202"/>
      <c r="Q100" s="96">
        <f t="shared" si="696"/>
        <v>1.056</v>
      </c>
      <c r="R100" s="340">
        <f t="shared" si="697"/>
        <v>11.01549164</v>
      </c>
      <c r="S100" s="96">
        <v>1.6E-2</v>
      </c>
      <c r="T100" s="96">
        <f t="shared" si="681"/>
        <v>0.16391436000000001</v>
      </c>
      <c r="U100" s="96">
        <v>0.57599999999999996</v>
      </c>
      <c r="V100" s="96">
        <f t="shared" si="682"/>
        <v>5.9389056</v>
      </c>
      <c r="W100" s="96"/>
      <c r="X100" s="96">
        <f t="shared" si="683"/>
        <v>0</v>
      </c>
      <c r="Y100" s="96">
        <f t="shared" si="684"/>
        <v>0.59199999999999997</v>
      </c>
      <c r="Z100" s="96">
        <f t="shared" si="706"/>
        <v>6.1028199599999997</v>
      </c>
      <c r="AA100" s="96">
        <v>0.4</v>
      </c>
      <c r="AB100" s="96">
        <f t="shared" si="699"/>
        <v>4.2287720000000002</v>
      </c>
      <c r="AC100" s="96"/>
      <c r="AD100" s="96">
        <f t="shared" si="685"/>
        <v>0</v>
      </c>
      <c r="AE100" s="96">
        <v>6.4000000000000001E-2</v>
      </c>
      <c r="AF100" s="96">
        <f t="shared" si="700"/>
        <v>0.68389968000000001</v>
      </c>
      <c r="AG100" s="96">
        <f t="shared" si="686"/>
        <v>0.46400000000000002</v>
      </c>
      <c r="AH100" s="96">
        <f t="shared" si="701"/>
        <v>4.9126716799999999</v>
      </c>
      <c r="AI100" s="96">
        <f t="shared" si="687"/>
        <v>1.056</v>
      </c>
      <c r="AJ100" s="96">
        <f t="shared" si="688"/>
        <v>11.01549164</v>
      </c>
      <c r="AK100" s="96"/>
      <c r="AL100" s="96">
        <f t="shared" si="702"/>
        <v>0</v>
      </c>
      <c r="AM100" s="96"/>
      <c r="AN100" s="96">
        <f t="shared" si="653"/>
        <v>0</v>
      </c>
      <c r="AO100" s="96"/>
      <c r="AP100" s="96">
        <f t="shared" si="703"/>
        <v>0</v>
      </c>
      <c r="AQ100" s="96">
        <f>SUM(AK100+AM100+AO100)</f>
        <v>0</v>
      </c>
      <c r="AR100" s="96">
        <f>SUM(AL100+AN100+AP100)</f>
        <v>0</v>
      </c>
      <c r="AS100" s="96"/>
      <c r="AT100" s="96">
        <f>O100*AS100*$AT$2/1000</f>
        <v>0</v>
      </c>
      <c r="AU100" s="96"/>
      <c r="AV100" s="96">
        <f t="shared" si="691"/>
        <v>0</v>
      </c>
      <c r="AW100" s="96"/>
      <c r="AX100" s="96">
        <f t="shared" si="692"/>
        <v>0</v>
      </c>
      <c r="AY100" s="96">
        <f t="shared" si="693"/>
        <v>0</v>
      </c>
      <c r="AZ100" s="96">
        <f t="shared" si="707"/>
        <v>0</v>
      </c>
      <c r="BA100" s="96">
        <f t="shared" si="694"/>
        <v>0</v>
      </c>
      <c r="BB100" s="96">
        <f t="shared" si="695"/>
        <v>0</v>
      </c>
      <c r="BC100" s="1" t="s">
        <v>1780</v>
      </c>
    </row>
    <row r="101" spans="1:55" s="6" customFormat="1">
      <c r="A101" s="498">
        <v>57</v>
      </c>
      <c r="B101" s="14"/>
      <c r="C101" s="20"/>
      <c r="D101" s="47"/>
      <c r="E101" s="90" t="s">
        <v>1476</v>
      </c>
      <c r="F101" s="430" t="s">
        <v>1477</v>
      </c>
      <c r="G101" s="430" t="s">
        <v>1105</v>
      </c>
      <c r="H101" s="452" t="s">
        <v>365</v>
      </c>
      <c r="I101" s="453">
        <v>7.3</v>
      </c>
      <c r="J101" s="454"/>
      <c r="K101" s="453">
        <v>6.82</v>
      </c>
      <c r="L101" s="454"/>
      <c r="M101" s="453">
        <v>6.82</v>
      </c>
      <c r="N101" s="454"/>
      <c r="O101" s="453">
        <v>6.82</v>
      </c>
      <c r="P101" s="454"/>
      <c r="Q101" s="434">
        <f t="shared" ref="Q101" si="765">SUM(AI101+BA101)</f>
        <v>22.076000000000001</v>
      </c>
      <c r="R101" s="455">
        <f t="shared" ref="R101" si="766">SUM(AJ101+BB101)</f>
        <v>213.23548442560002</v>
      </c>
      <c r="S101" s="434">
        <v>6.08</v>
      </c>
      <c r="T101" s="434">
        <f t="shared" ref="T101" si="767">I101*S101*$T$2/1000</f>
        <v>58.670765760000002</v>
      </c>
      <c r="U101" s="434">
        <v>8.8160000000000007</v>
      </c>
      <c r="V101" s="434">
        <f t="shared" ref="V101" si="768">I101*U101*$V$2/1000</f>
        <v>85.620286720000024</v>
      </c>
      <c r="W101" s="434">
        <v>5.2320000000000002</v>
      </c>
      <c r="X101" s="434">
        <f t="shared" ref="X101" si="769">I101*W101*$X$2/1000</f>
        <v>50.820404159999995</v>
      </c>
      <c r="Y101" s="434">
        <f t="shared" ref="Y101" si="770">SUM(S101+U101+W101)</f>
        <v>20.128</v>
      </c>
      <c r="Z101" s="434">
        <f t="shared" ref="Z101" si="771">SUM(T101+V101+X101)</f>
        <v>195.11145664000003</v>
      </c>
      <c r="AA101" s="434">
        <v>1.9159999999999999</v>
      </c>
      <c r="AB101" s="434">
        <f t="shared" ref="AB101" si="772">K101*AA101*$AB$2/1000</f>
        <v>17.825119734399994</v>
      </c>
      <c r="AC101" s="434">
        <v>3.2000000000000001E-2</v>
      </c>
      <c r="AD101" s="434">
        <f t="shared" ref="AD101" si="773">K101*AC101*$AD$2/1000</f>
        <v>0.29890805120000002</v>
      </c>
      <c r="AE101" s="434"/>
      <c r="AF101" s="434">
        <f t="shared" ref="AF101" si="774">K101*AE101*$AF$2/1000</f>
        <v>0</v>
      </c>
      <c r="AG101" s="434">
        <f t="shared" ref="AG101" si="775">SUM(AA101+AC101+AE101)</f>
        <v>1.948</v>
      </c>
      <c r="AH101" s="434">
        <f>SUM(AB101+AD101+AF101)</f>
        <v>18.124027785599996</v>
      </c>
      <c r="AI101" s="434">
        <f t="shared" ref="AI101" si="776">SUM(Y101+AG101)</f>
        <v>22.076000000000001</v>
      </c>
      <c r="AJ101" s="434">
        <f t="shared" ref="AJ101" si="777">SUM(Z101,AH101)</f>
        <v>213.23548442560002</v>
      </c>
      <c r="AK101" s="434"/>
      <c r="AL101" s="434">
        <f t="shared" ref="AL101" si="778">M101*AK101*$AL$2/1000</f>
        <v>0</v>
      </c>
      <c r="AM101" s="434"/>
      <c r="AN101" s="434">
        <f t="shared" ref="AN101" si="779">M101*AM101*$AN$2/1000</f>
        <v>0</v>
      </c>
      <c r="AO101" s="434"/>
      <c r="AP101" s="434">
        <f t="shared" ref="AP101" si="780">M101*AO101*$AP$2/1000</f>
        <v>0</v>
      </c>
      <c r="AQ101" s="434">
        <f t="shared" ref="AQ101" si="781">SUM(AK101+AM101+AO101)</f>
        <v>0</v>
      </c>
      <c r="AR101" s="434">
        <f t="shared" ref="AR101" si="782">SUM(AL101+AN101+AP101)</f>
        <v>0</v>
      </c>
      <c r="AS101" s="434"/>
      <c r="AT101" s="434">
        <f t="shared" ref="AT101" si="783">O101*AS101*$AT$2/1000</f>
        <v>0</v>
      </c>
      <c r="AU101" s="434"/>
      <c r="AV101" s="434">
        <f t="shared" ref="AV101" si="784">O101*AU101*$AV$2/1000</f>
        <v>0</v>
      </c>
      <c r="AW101" s="434"/>
      <c r="AX101" s="434">
        <f t="shared" ref="AX101" si="785">O101*AW101*$AX$2/1000</f>
        <v>0</v>
      </c>
      <c r="AY101" s="434">
        <f t="shared" ref="AY101" si="786">SUM(AS101+AU101+AW101)</f>
        <v>0</v>
      </c>
      <c r="AZ101" s="434">
        <f t="shared" ref="AZ101" si="787">SUM(AT101+AV101+AX101)</f>
        <v>0</v>
      </c>
      <c r="BA101" s="434">
        <f t="shared" ref="BA101" si="788">SUM(AQ101+AY101)</f>
        <v>0</v>
      </c>
      <c r="BB101" s="434">
        <f t="shared" ref="BB101" si="789">SUM(AR101,AZ101)</f>
        <v>0</v>
      </c>
      <c r="BC101" s="1" t="s">
        <v>1780</v>
      </c>
    </row>
    <row r="102" spans="1:55" s="6" customFormat="1">
      <c r="A102" s="498">
        <v>57</v>
      </c>
      <c r="B102" s="14"/>
      <c r="C102" s="20"/>
      <c r="D102" s="47"/>
      <c r="E102" s="90" t="s">
        <v>1478</v>
      </c>
      <c r="F102" s="430" t="s">
        <v>1479</v>
      </c>
      <c r="G102" s="430" t="s">
        <v>1105</v>
      </c>
      <c r="H102" s="452" t="s">
        <v>365</v>
      </c>
      <c r="I102" s="453">
        <v>12.86</v>
      </c>
      <c r="J102" s="454"/>
      <c r="K102" s="453">
        <v>12.86</v>
      </c>
      <c r="L102" s="454"/>
      <c r="M102" s="453">
        <v>12.86</v>
      </c>
      <c r="N102" s="454"/>
      <c r="O102" s="453">
        <v>12.86</v>
      </c>
      <c r="P102" s="454"/>
      <c r="Q102" s="434">
        <f t="shared" si="696"/>
        <v>4.4340000000000002</v>
      </c>
      <c r="R102" s="455">
        <f t="shared" si="697"/>
        <v>75.669645083600003</v>
      </c>
      <c r="S102" s="434">
        <v>2.8380000000000001</v>
      </c>
      <c r="T102" s="434">
        <f t="shared" si="681"/>
        <v>48.2445963252</v>
      </c>
      <c r="U102" s="434">
        <v>0.84799999999999998</v>
      </c>
      <c r="V102" s="434">
        <f t="shared" si="682"/>
        <v>14.508384512000001</v>
      </c>
      <c r="W102" s="434">
        <v>0.47599999999999998</v>
      </c>
      <c r="X102" s="434">
        <f t="shared" si="683"/>
        <v>8.1450816159999988</v>
      </c>
      <c r="Y102" s="434">
        <f t="shared" si="684"/>
        <v>4.1619999999999999</v>
      </c>
      <c r="Z102" s="434">
        <f t="shared" si="706"/>
        <v>70.898062453199998</v>
      </c>
      <c r="AA102" s="434">
        <v>0.27200000000000002</v>
      </c>
      <c r="AB102" s="434">
        <f t="shared" si="699"/>
        <v>4.7715826304000002</v>
      </c>
      <c r="AC102" s="434"/>
      <c r="AD102" s="434">
        <f t="shared" si="685"/>
        <v>0</v>
      </c>
      <c r="AE102" s="434"/>
      <c r="AF102" s="434">
        <f t="shared" si="700"/>
        <v>0</v>
      </c>
      <c r="AG102" s="434">
        <f t="shared" si="686"/>
        <v>0.27200000000000002</v>
      </c>
      <c r="AH102" s="434">
        <f t="shared" si="701"/>
        <v>4.7715826304000002</v>
      </c>
      <c r="AI102" s="434">
        <f t="shared" si="687"/>
        <v>4.4340000000000002</v>
      </c>
      <c r="AJ102" s="434">
        <f t="shared" si="688"/>
        <v>75.669645083600003</v>
      </c>
      <c r="AK102" s="434"/>
      <c r="AL102" s="434">
        <f t="shared" si="702"/>
        <v>0</v>
      </c>
      <c r="AM102" s="434"/>
      <c r="AN102" s="434">
        <f t="shared" si="653"/>
        <v>0</v>
      </c>
      <c r="AO102" s="434"/>
      <c r="AP102" s="434">
        <f t="shared" si="703"/>
        <v>0</v>
      </c>
      <c r="AQ102" s="434">
        <f>SUM(AK102+AM102+AO102)</f>
        <v>0</v>
      </c>
      <c r="AR102" s="434">
        <f t="shared" si="704"/>
        <v>0</v>
      </c>
      <c r="AS102" s="434"/>
      <c r="AT102" s="434">
        <f t="shared" ref="AT102" si="790">O102*AS102*$AT$2/1000</f>
        <v>0</v>
      </c>
      <c r="AU102" s="434"/>
      <c r="AV102" s="434">
        <f t="shared" si="691"/>
        <v>0</v>
      </c>
      <c r="AW102" s="434"/>
      <c r="AX102" s="434">
        <f t="shared" si="692"/>
        <v>0</v>
      </c>
      <c r="AY102" s="434">
        <f t="shared" si="693"/>
        <v>0</v>
      </c>
      <c r="AZ102" s="434">
        <f t="shared" si="707"/>
        <v>0</v>
      </c>
      <c r="BA102" s="434">
        <f t="shared" si="694"/>
        <v>0</v>
      </c>
      <c r="BB102" s="434">
        <f t="shared" si="695"/>
        <v>0</v>
      </c>
      <c r="BC102" s="1" t="s">
        <v>1780</v>
      </c>
    </row>
    <row r="103" spans="1:55" s="6" customFormat="1">
      <c r="A103" s="498">
        <v>64</v>
      </c>
      <c r="B103" s="14"/>
      <c r="C103" s="20"/>
      <c r="D103" s="47"/>
      <c r="E103" s="21" t="s">
        <v>1003</v>
      </c>
      <c r="F103" s="46" t="s">
        <v>1004</v>
      </c>
      <c r="G103" s="46" t="s">
        <v>1101</v>
      </c>
      <c r="H103" s="267" t="s">
        <v>365</v>
      </c>
      <c r="I103" s="138">
        <v>12.57</v>
      </c>
      <c r="J103" s="202"/>
      <c r="K103" s="138">
        <v>12.57</v>
      </c>
      <c r="L103" s="202"/>
      <c r="M103" s="138">
        <v>12.57</v>
      </c>
      <c r="N103" s="202"/>
      <c r="O103" s="138">
        <v>12.57</v>
      </c>
      <c r="P103" s="202"/>
      <c r="Q103" s="96">
        <f t="shared" si="696"/>
        <v>0</v>
      </c>
      <c r="R103" s="340">
        <f t="shared" si="697"/>
        <v>0</v>
      </c>
      <c r="S103" s="96"/>
      <c r="T103" s="96">
        <f t="shared" si="681"/>
        <v>0</v>
      </c>
      <c r="U103" s="96"/>
      <c r="V103" s="96">
        <f t="shared" si="682"/>
        <v>0</v>
      </c>
      <c r="W103" s="96"/>
      <c r="X103" s="96">
        <f t="shared" si="683"/>
        <v>0</v>
      </c>
      <c r="Y103" s="96">
        <f t="shared" si="684"/>
        <v>0</v>
      </c>
      <c r="Z103" s="96">
        <f t="shared" ref="Z103" si="791">SUM(T103+V103+X103)</f>
        <v>0</v>
      </c>
      <c r="AA103" s="96"/>
      <c r="AB103" s="96">
        <f t="shared" si="699"/>
        <v>0</v>
      </c>
      <c r="AC103" s="96"/>
      <c r="AD103" s="96">
        <f t="shared" si="685"/>
        <v>0</v>
      </c>
      <c r="AE103" s="96"/>
      <c r="AF103" s="96">
        <f t="shared" ref="AF103" si="792">K103*AE103*$AF$2/1000</f>
        <v>0</v>
      </c>
      <c r="AG103" s="96">
        <f t="shared" si="686"/>
        <v>0</v>
      </c>
      <c r="AH103" s="96">
        <f t="shared" si="701"/>
        <v>0</v>
      </c>
      <c r="AI103" s="96">
        <f t="shared" si="687"/>
        <v>0</v>
      </c>
      <c r="AJ103" s="96">
        <f t="shared" si="688"/>
        <v>0</v>
      </c>
      <c r="AK103" s="96"/>
      <c r="AL103" s="96">
        <f t="shared" si="702"/>
        <v>0</v>
      </c>
      <c r="AM103" s="96"/>
      <c r="AN103" s="96">
        <f t="shared" ref="AN103" si="793">M103*AM103*$AN$2/1000</f>
        <v>0</v>
      </c>
      <c r="AO103" s="96"/>
      <c r="AP103" s="96">
        <f t="shared" si="703"/>
        <v>0</v>
      </c>
      <c r="AQ103" s="96">
        <f t="shared" ref="AQ103" si="794">SUM(AK103+AM103+AO103)</f>
        <v>0</v>
      </c>
      <c r="AR103" s="96">
        <f t="shared" si="704"/>
        <v>0</v>
      </c>
      <c r="AS103" s="96"/>
      <c r="AT103" s="96">
        <f t="shared" ref="AT103" si="795">O103*AS103*$AT$2/1000</f>
        <v>0</v>
      </c>
      <c r="AU103" s="96"/>
      <c r="AV103" s="96">
        <f t="shared" si="691"/>
        <v>0</v>
      </c>
      <c r="AW103" s="96"/>
      <c r="AX103" s="96">
        <f t="shared" si="692"/>
        <v>0</v>
      </c>
      <c r="AY103" s="96">
        <f t="shared" si="693"/>
        <v>0</v>
      </c>
      <c r="AZ103" s="96">
        <f t="shared" ref="AZ103" si="796">SUM(AT103+AV103+AX103)</f>
        <v>0</v>
      </c>
      <c r="BA103" s="96">
        <f t="shared" si="694"/>
        <v>0</v>
      </c>
      <c r="BB103" s="96">
        <f t="shared" si="695"/>
        <v>0</v>
      </c>
      <c r="BC103" s="1" t="s">
        <v>1780</v>
      </c>
    </row>
    <row r="104" spans="1:55" s="6" customFormat="1">
      <c r="A104" s="498">
        <v>65</v>
      </c>
      <c r="B104" s="14"/>
      <c r="C104" s="20"/>
      <c r="D104" s="47"/>
      <c r="E104" s="24" t="s">
        <v>1041</v>
      </c>
      <c r="F104" s="371" t="s">
        <v>1042</v>
      </c>
      <c r="G104" s="371" t="s">
        <v>1101</v>
      </c>
      <c r="H104" s="450" t="s">
        <v>365</v>
      </c>
      <c r="I104" s="312">
        <v>13.25</v>
      </c>
      <c r="J104" s="451"/>
      <c r="K104" s="312">
        <v>13.25</v>
      </c>
      <c r="L104" s="451"/>
      <c r="M104" s="312">
        <v>13.25</v>
      </c>
      <c r="N104" s="451"/>
      <c r="O104" s="312">
        <v>13.25</v>
      </c>
      <c r="P104" s="451"/>
      <c r="Q104" s="411">
        <f t="shared" si="510"/>
        <v>0.18</v>
      </c>
      <c r="R104" s="470">
        <f t="shared" si="510"/>
        <v>3.1858379500000003</v>
      </c>
      <c r="S104" s="411"/>
      <c r="T104" s="411">
        <f t="shared" si="511"/>
        <v>0</v>
      </c>
      <c r="U104" s="411">
        <v>0.16</v>
      </c>
      <c r="V104" s="411">
        <f t="shared" si="512"/>
        <v>2.8204480000000003</v>
      </c>
      <c r="W104" s="411"/>
      <c r="X104" s="411">
        <f t="shared" si="513"/>
        <v>0</v>
      </c>
      <c r="Y104" s="411">
        <f t="shared" si="514"/>
        <v>0.16</v>
      </c>
      <c r="Z104" s="411">
        <f t="shared" si="514"/>
        <v>2.8204480000000003</v>
      </c>
      <c r="AA104" s="411"/>
      <c r="AB104" s="411">
        <f t="shared" si="515"/>
        <v>0</v>
      </c>
      <c r="AC104" s="411"/>
      <c r="AD104" s="411">
        <f t="shared" si="516"/>
        <v>0</v>
      </c>
      <c r="AE104" s="411">
        <v>0.02</v>
      </c>
      <c r="AF104" s="411">
        <f t="shared" si="700"/>
        <v>0.36538995000000002</v>
      </c>
      <c r="AG104" s="411">
        <f t="shared" si="517"/>
        <v>0.02</v>
      </c>
      <c r="AH104" s="411">
        <f t="shared" si="517"/>
        <v>0.36538995000000002</v>
      </c>
      <c r="AI104" s="411">
        <f t="shared" si="518"/>
        <v>0.18</v>
      </c>
      <c r="AJ104" s="411">
        <f t="shared" si="519"/>
        <v>3.1858379500000003</v>
      </c>
      <c r="AK104" s="411"/>
      <c r="AL104" s="411">
        <f t="shared" si="520"/>
        <v>0</v>
      </c>
      <c r="AM104" s="411"/>
      <c r="AN104" s="411">
        <f t="shared" si="653"/>
        <v>0</v>
      </c>
      <c r="AO104" s="411"/>
      <c r="AP104" s="411">
        <f t="shared" si="522"/>
        <v>0</v>
      </c>
      <c r="AQ104" s="411">
        <f t="shared" si="523"/>
        <v>0</v>
      </c>
      <c r="AR104" s="411">
        <f t="shared" si="523"/>
        <v>0</v>
      </c>
      <c r="AS104" s="411"/>
      <c r="AT104" s="411">
        <f t="shared" si="524"/>
        <v>0</v>
      </c>
      <c r="AU104" s="411"/>
      <c r="AV104" s="411">
        <f t="shared" si="525"/>
        <v>0</v>
      </c>
      <c r="AW104" s="411"/>
      <c r="AX104" s="411">
        <f t="shared" si="526"/>
        <v>0</v>
      </c>
      <c r="AY104" s="411">
        <f t="shared" si="527"/>
        <v>0</v>
      </c>
      <c r="AZ104" s="411">
        <f t="shared" si="527"/>
        <v>0</v>
      </c>
      <c r="BA104" s="411">
        <f t="shared" si="528"/>
        <v>0</v>
      </c>
      <c r="BB104" s="411">
        <f t="shared" si="529"/>
        <v>0</v>
      </c>
      <c r="BC104" s="1" t="s">
        <v>1780</v>
      </c>
    </row>
    <row r="105" spans="1:55">
      <c r="A105" s="498">
        <v>66</v>
      </c>
      <c r="B105" s="26"/>
      <c r="C105" s="26"/>
      <c r="D105" s="27"/>
      <c r="E105" s="328" t="s">
        <v>337</v>
      </c>
      <c r="F105" s="52"/>
      <c r="G105" s="52"/>
      <c r="H105" s="280"/>
      <c r="I105" s="30"/>
      <c r="J105" s="100"/>
      <c r="K105" s="30"/>
      <c r="L105" s="161"/>
      <c r="M105" s="30"/>
      <c r="N105" s="161"/>
      <c r="O105" s="140"/>
      <c r="P105" s="100"/>
      <c r="Q105" s="126">
        <f t="shared" ref="Q105:BB105" si="797">SUM(Q68:Q104)</f>
        <v>1315.1270000000002</v>
      </c>
      <c r="R105" s="126">
        <f t="shared" si="797"/>
        <v>6907.6821996400986</v>
      </c>
      <c r="S105" s="126">
        <f t="shared" si="797"/>
        <v>77.700999999999993</v>
      </c>
      <c r="T105" s="126">
        <f t="shared" si="797"/>
        <v>465.53364971639996</v>
      </c>
      <c r="U105" s="126">
        <f t="shared" si="797"/>
        <v>104.13600000000001</v>
      </c>
      <c r="V105" s="126">
        <f t="shared" si="797"/>
        <v>581.06076777600015</v>
      </c>
      <c r="W105" s="126">
        <f t="shared" si="797"/>
        <v>124.07899999999999</v>
      </c>
      <c r="X105" s="126">
        <f t="shared" si="797"/>
        <v>661.24500980599998</v>
      </c>
      <c r="Y105" s="126">
        <f t="shared" si="797"/>
        <v>305.91599999999994</v>
      </c>
      <c r="Z105" s="126">
        <f t="shared" si="797"/>
        <v>1707.8394272984001</v>
      </c>
      <c r="AA105" s="126">
        <f t="shared" si="797"/>
        <v>106.19000000000001</v>
      </c>
      <c r="AB105" s="126">
        <f t="shared" si="797"/>
        <v>559.68127537040004</v>
      </c>
      <c r="AC105" s="126">
        <f t="shared" si="797"/>
        <v>123.503</v>
      </c>
      <c r="AD105" s="126">
        <f t="shared" si="797"/>
        <v>640.19298875570007</v>
      </c>
      <c r="AE105" s="126">
        <f t="shared" si="797"/>
        <v>152.33799999999997</v>
      </c>
      <c r="AF105" s="124">
        <f t="shared" si="797"/>
        <v>765.24838871879979</v>
      </c>
      <c r="AG105" s="126">
        <f t="shared" si="797"/>
        <v>382.03099999999995</v>
      </c>
      <c r="AH105" s="126">
        <f t="shared" si="797"/>
        <v>1965.1226528448997</v>
      </c>
      <c r="AI105" s="126">
        <f t="shared" si="797"/>
        <v>687.947</v>
      </c>
      <c r="AJ105" s="126">
        <f t="shared" si="797"/>
        <v>3672.9620801432998</v>
      </c>
      <c r="AK105" s="126">
        <f t="shared" si="797"/>
        <v>93.995000000000005</v>
      </c>
      <c r="AL105" s="126">
        <f t="shared" si="797"/>
        <v>505.51409413479996</v>
      </c>
      <c r="AM105" s="126">
        <f t="shared" si="797"/>
        <v>151.58999999999995</v>
      </c>
      <c r="AN105" s="126">
        <f t="shared" si="797"/>
        <v>779.63028089699992</v>
      </c>
      <c r="AO105" s="126">
        <f t="shared" si="797"/>
        <v>117.843</v>
      </c>
      <c r="AP105" s="126">
        <f t="shared" si="797"/>
        <v>582.39766192499997</v>
      </c>
      <c r="AQ105" s="126">
        <f t="shared" si="797"/>
        <v>363.42799999999994</v>
      </c>
      <c r="AR105" s="126">
        <f t="shared" si="797"/>
        <v>1867.5420369567998</v>
      </c>
      <c r="AS105" s="126">
        <f t="shared" si="797"/>
        <v>96.72</v>
      </c>
      <c r="AT105" s="126">
        <f t="shared" si="797"/>
        <v>488.61205710099989</v>
      </c>
      <c r="AU105" s="126">
        <f t="shared" si="797"/>
        <v>56.154000000000003</v>
      </c>
      <c r="AV105" s="126">
        <f t="shared" si="797"/>
        <v>300.03692664959999</v>
      </c>
      <c r="AW105" s="126">
        <f t="shared" si="797"/>
        <v>110.878</v>
      </c>
      <c r="AX105" s="126">
        <f t="shared" si="797"/>
        <v>578.52909878939988</v>
      </c>
      <c r="AY105" s="126">
        <f t="shared" si="797"/>
        <v>263.75200000000001</v>
      </c>
      <c r="AZ105" s="126">
        <f t="shared" si="797"/>
        <v>1367.1780825400001</v>
      </c>
      <c r="BA105" s="126">
        <f t="shared" si="797"/>
        <v>627.18000000000006</v>
      </c>
      <c r="BB105" s="126">
        <f t="shared" si="797"/>
        <v>3234.7201194967997</v>
      </c>
      <c r="BC105" s="1" t="s">
        <v>1781</v>
      </c>
    </row>
    <row r="106" spans="1:55" hidden="1">
      <c r="A106" s="498">
        <v>67</v>
      </c>
      <c r="B106" s="13"/>
      <c r="C106" s="13"/>
      <c r="D106" s="15" t="s">
        <v>128</v>
      </c>
      <c r="E106" s="31" t="s">
        <v>14</v>
      </c>
      <c r="F106" s="314" t="s">
        <v>129</v>
      </c>
      <c r="G106" s="314"/>
      <c r="H106" s="274" t="s">
        <v>365</v>
      </c>
      <c r="I106" s="44">
        <v>13</v>
      </c>
      <c r="J106" s="162"/>
      <c r="K106" s="44"/>
      <c r="L106" s="162"/>
      <c r="M106" s="44"/>
      <c r="N106" s="162"/>
      <c r="O106" s="44"/>
      <c r="P106" s="162"/>
      <c r="Q106" s="122">
        <f t="shared" ref="Q106:R109" si="798">SUM(AI106+BA106)</f>
        <v>0</v>
      </c>
      <c r="R106" s="346">
        <f t="shared" si="798"/>
        <v>0</v>
      </c>
      <c r="S106" s="122"/>
      <c r="T106" s="122">
        <f>I106*S106*$T$2/1000</f>
        <v>0</v>
      </c>
      <c r="U106" s="122"/>
      <c r="V106" s="122">
        <f>I106*U106*$V$2/1000</f>
        <v>0</v>
      </c>
      <c r="W106" s="122"/>
      <c r="X106" s="122">
        <f>I106*W106*$X$2/1000</f>
        <v>0</v>
      </c>
      <c r="Y106" s="122">
        <f t="shared" ref="Y106:Z109" si="799">SUM(S106+U106+W106)</f>
        <v>0</v>
      </c>
      <c r="Z106" s="122">
        <f t="shared" si="799"/>
        <v>0</v>
      </c>
      <c r="AA106" s="122"/>
      <c r="AB106" s="122">
        <f>K106*AA106*$AB$2/1000</f>
        <v>0</v>
      </c>
      <c r="AC106" s="122"/>
      <c r="AD106" s="122">
        <f>K106*AC106*$AD$2/1000</f>
        <v>0</v>
      </c>
      <c r="AE106" s="122"/>
      <c r="AF106" s="125">
        <f>K106*AE106*$AF$2/1000</f>
        <v>0</v>
      </c>
      <c r="AG106" s="122">
        <f t="shared" ref="AG106:AH109" si="800">SUM(AA106+AC106+AE106)</f>
        <v>0</v>
      </c>
      <c r="AH106" s="122">
        <f t="shared" si="800"/>
        <v>0</v>
      </c>
      <c r="AI106" s="122">
        <f>SUM(Y106+AG106)</f>
        <v>0</v>
      </c>
      <c r="AJ106" s="122">
        <f>SUM(Z106,AH106)</f>
        <v>0</v>
      </c>
      <c r="AK106" s="122"/>
      <c r="AL106" s="122">
        <f>M106*AK106*$AL$2/1000</f>
        <v>0</v>
      </c>
      <c r="AM106" s="122"/>
      <c r="AN106" s="122">
        <f>M106*AM106*$AN$2/1000</f>
        <v>0</v>
      </c>
      <c r="AO106" s="122"/>
      <c r="AP106" s="122">
        <f>M106*AO106*$AP$2/1000</f>
        <v>0</v>
      </c>
      <c r="AQ106" s="122">
        <f t="shared" ref="AQ106:AR109" si="801">SUM(AK106+AM106+AO106)</f>
        <v>0</v>
      </c>
      <c r="AR106" s="122">
        <f t="shared" si="801"/>
        <v>0</v>
      </c>
      <c r="AS106" s="122"/>
      <c r="AT106" s="122">
        <f>O106*AS106*$AT$2/1000</f>
        <v>0</v>
      </c>
      <c r="AU106" s="122"/>
      <c r="AV106" s="122">
        <f>O106*AU106*$AV$2/1000</f>
        <v>0</v>
      </c>
      <c r="AW106" s="122"/>
      <c r="AX106" s="122">
        <f>O106*AW106*$AX$2/1000</f>
        <v>0</v>
      </c>
      <c r="AY106" s="122">
        <f t="shared" ref="AY106:AZ109" si="802">SUM(AS106+AU106+AW106)</f>
        <v>0</v>
      </c>
      <c r="AZ106" s="122">
        <f t="shared" si="802"/>
        <v>0</v>
      </c>
      <c r="BA106" s="122">
        <f>SUM(AQ106+AY106)</f>
        <v>0</v>
      </c>
      <c r="BB106" s="122">
        <f>SUM(AR106,AZ106)</f>
        <v>0</v>
      </c>
      <c r="BC106" s="1" t="s">
        <v>1783</v>
      </c>
    </row>
    <row r="107" spans="1:55" hidden="1">
      <c r="A107" s="498">
        <v>68</v>
      </c>
      <c r="B107" s="13"/>
      <c r="C107" s="23"/>
      <c r="D107" s="15"/>
      <c r="E107" s="21" t="s">
        <v>720</v>
      </c>
      <c r="F107" s="46" t="s">
        <v>721</v>
      </c>
      <c r="G107" s="46"/>
      <c r="H107" s="268" t="s">
        <v>365</v>
      </c>
      <c r="I107" s="18">
        <v>11.45</v>
      </c>
      <c r="J107" s="158"/>
      <c r="K107" s="18"/>
      <c r="L107" s="158"/>
      <c r="M107" s="18"/>
      <c r="N107" s="158"/>
      <c r="O107" s="18"/>
      <c r="P107" s="158"/>
      <c r="Q107" s="97">
        <f t="shared" si="798"/>
        <v>0</v>
      </c>
      <c r="R107" s="342">
        <f t="shared" si="798"/>
        <v>0</v>
      </c>
      <c r="S107" s="97"/>
      <c r="T107" s="97">
        <f>I107*S107*$T$2/1000</f>
        <v>0</v>
      </c>
      <c r="U107" s="97"/>
      <c r="V107" s="97">
        <f>I107*U107*$V$2/1000</f>
        <v>0</v>
      </c>
      <c r="W107" s="97"/>
      <c r="X107" s="97">
        <f>I107*W107*$X$2/1000</f>
        <v>0</v>
      </c>
      <c r="Y107" s="97">
        <f t="shared" si="799"/>
        <v>0</v>
      </c>
      <c r="Z107" s="97">
        <f t="shared" ref="Z107" si="803">SUM(T107+V107+X107)</f>
        <v>0</v>
      </c>
      <c r="AA107" s="97"/>
      <c r="AB107" s="97">
        <f>K107*AA107*$AB$2/1000</f>
        <v>0</v>
      </c>
      <c r="AC107" s="97"/>
      <c r="AD107" s="97">
        <f>K107*AC107*$AD$2/1000</f>
        <v>0</v>
      </c>
      <c r="AE107" s="97"/>
      <c r="AF107" s="96">
        <f t="shared" ref="AF107" si="804">K107*AE107*$AF$2/1000</f>
        <v>0</v>
      </c>
      <c r="AG107" s="97">
        <f t="shared" si="800"/>
        <v>0</v>
      </c>
      <c r="AH107" s="97">
        <f t="shared" ref="AH107" si="805">SUM(AB107+AD107+AF107)</f>
        <v>0</v>
      </c>
      <c r="AI107" s="97">
        <f>SUM(Y107+AG107)</f>
        <v>0</v>
      </c>
      <c r="AJ107" s="97">
        <f>SUM(Z107,AH107)</f>
        <v>0</v>
      </c>
      <c r="AK107" s="97"/>
      <c r="AL107" s="97">
        <f>M107*AK107*$AL$2/1000</f>
        <v>0</v>
      </c>
      <c r="AM107" s="97"/>
      <c r="AN107" s="97">
        <f>M107*AM107*$AN$2/1000</f>
        <v>0</v>
      </c>
      <c r="AO107" s="97"/>
      <c r="AP107" s="97">
        <f>M107*AO107*$AP$2/1000</f>
        <v>0</v>
      </c>
      <c r="AQ107" s="97">
        <f t="shared" si="801"/>
        <v>0</v>
      </c>
      <c r="AR107" s="97">
        <f t="shared" ref="AR107" si="806">SUM(AL107+AN107+AP107)</f>
        <v>0</v>
      </c>
      <c r="AS107" s="97"/>
      <c r="AT107" s="97">
        <f>O107*AS107*$AT$2/1000</f>
        <v>0</v>
      </c>
      <c r="AU107" s="97"/>
      <c r="AV107" s="97">
        <f>O107*AU107*$AV$2/1000</f>
        <v>0</v>
      </c>
      <c r="AW107" s="97"/>
      <c r="AX107" s="97">
        <f>O107*AW107*$AX$2/1000</f>
        <v>0</v>
      </c>
      <c r="AY107" s="97">
        <f t="shared" si="802"/>
        <v>0</v>
      </c>
      <c r="AZ107" s="97">
        <f t="shared" ref="AZ107" si="807">SUM(AT107+AV107+AX107)</f>
        <v>0</v>
      </c>
      <c r="BA107" s="97">
        <f>SUM(AQ107+AY107)</f>
        <v>0</v>
      </c>
      <c r="BB107" s="97">
        <f>SUM(AR107,AZ107)</f>
        <v>0</v>
      </c>
      <c r="BC107" s="1" t="s">
        <v>1783</v>
      </c>
    </row>
    <row r="108" spans="1:55" hidden="1">
      <c r="A108" s="498">
        <v>69</v>
      </c>
      <c r="B108" s="13"/>
      <c r="C108" s="23"/>
      <c r="D108" s="15"/>
      <c r="E108" s="21" t="s">
        <v>130</v>
      </c>
      <c r="F108" s="46" t="s">
        <v>131</v>
      </c>
      <c r="G108" s="46"/>
      <c r="H108" s="268" t="s">
        <v>365</v>
      </c>
      <c r="I108" s="18">
        <v>4</v>
      </c>
      <c r="J108" s="158"/>
      <c r="K108" s="18"/>
      <c r="L108" s="158"/>
      <c r="M108" s="18"/>
      <c r="N108" s="158"/>
      <c r="O108" s="18"/>
      <c r="P108" s="158"/>
      <c r="Q108" s="97">
        <f t="shared" ref="Q108" si="808">SUM(AI108+BA108)</f>
        <v>0</v>
      </c>
      <c r="R108" s="342">
        <f t="shared" ref="R108" si="809">SUM(AJ108+BB108)</f>
        <v>0</v>
      </c>
      <c r="S108" s="97"/>
      <c r="T108" s="97">
        <f>I108*S108*$T$2/1000</f>
        <v>0</v>
      </c>
      <c r="U108" s="97"/>
      <c r="V108" s="97">
        <f>I108*U108*$V$2/1000</f>
        <v>0</v>
      </c>
      <c r="W108" s="97"/>
      <c r="X108" s="97">
        <f>I108*W108*$X$2/1000</f>
        <v>0</v>
      </c>
      <c r="Y108" s="97">
        <f t="shared" ref="Y108" si="810">SUM(S108+U108+W108)</f>
        <v>0</v>
      </c>
      <c r="Z108" s="97">
        <f>SUM(T108+V108+X108)</f>
        <v>0</v>
      </c>
      <c r="AA108" s="97"/>
      <c r="AB108" s="97">
        <f>K108*AA108*$AB$2/1000</f>
        <v>0</v>
      </c>
      <c r="AC108" s="97"/>
      <c r="AD108" s="97">
        <f>K108*AC108*$AD$2/1000</f>
        <v>0</v>
      </c>
      <c r="AE108" s="97"/>
      <c r="AF108" s="96">
        <f t="shared" ref="AF108" si="811">K108*AE108*$AF$2/1000</f>
        <v>0</v>
      </c>
      <c r="AG108" s="97">
        <f t="shared" ref="AG108" si="812">SUM(AA108+AC108+AE108)</f>
        <v>0</v>
      </c>
      <c r="AH108" s="97">
        <f t="shared" ref="AH108" si="813">SUM(AB108+AD108+AF108)</f>
        <v>0</v>
      </c>
      <c r="AI108" s="97">
        <f>SUM(Y108+AG108)</f>
        <v>0</v>
      </c>
      <c r="AJ108" s="97">
        <f>SUM(Z108,AH108)</f>
        <v>0</v>
      </c>
      <c r="AK108" s="97"/>
      <c r="AL108" s="97">
        <f>M108*AK108*$AL$2/1000</f>
        <v>0</v>
      </c>
      <c r="AM108" s="97"/>
      <c r="AN108" s="97">
        <f>M108*AM108*$AN$2/1000</f>
        <v>0</v>
      </c>
      <c r="AO108" s="97"/>
      <c r="AP108" s="97">
        <f>M108*AO108*$AP$2/1000</f>
        <v>0</v>
      </c>
      <c r="AQ108" s="97">
        <f t="shared" ref="AQ108" si="814">SUM(AK108+AM108+AO108)</f>
        <v>0</v>
      </c>
      <c r="AR108" s="97">
        <f>SUM(AL108+AN108+AP108)</f>
        <v>0</v>
      </c>
      <c r="AS108" s="97"/>
      <c r="AT108" s="97">
        <f>O108*AS108*$AT$2/1000</f>
        <v>0</v>
      </c>
      <c r="AU108" s="97"/>
      <c r="AV108" s="97">
        <f>O108*AU108*$AV$2/1000</f>
        <v>0</v>
      </c>
      <c r="AW108" s="97"/>
      <c r="AX108" s="97">
        <f>O108*AW108*$AX$2/1000</f>
        <v>0</v>
      </c>
      <c r="AY108" s="97">
        <f t="shared" ref="AY108" si="815">SUM(AS108+AU108+AW108)</f>
        <v>0</v>
      </c>
      <c r="AZ108" s="97">
        <f>SUM(AT108+AV108+AX108)</f>
        <v>0</v>
      </c>
      <c r="BA108" s="97">
        <f>SUM(AQ108+AY108)</f>
        <v>0</v>
      </c>
      <c r="BB108" s="97">
        <f>SUM(AR108,AZ108)</f>
        <v>0</v>
      </c>
      <c r="BC108" s="1" t="s">
        <v>1783</v>
      </c>
    </row>
    <row r="109" spans="1:55" hidden="1">
      <c r="A109" s="498">
        <v>70</v>
      </c>
      <c r="B109" s="13"/>
      <c r="C109" s="23"/>
      <c r="D109" s="15"/>
      <c r="E109" s="24" t="s">
        <v>698</v>
      </c>
      <c r="F109" s="371" t="s">
        <v>699</v>
      </c>
      <c r="G109" s="371"/>
      <c r="H109" s="285" t="s">
        <v>365</v>
      </c>
      <c r="I109" s="310">
        <v>19.899999999999999</v>
      </c>
      <c r="J109" s="112"/>
      <c r="K109" s="310"/>
      <c r="L109" s="311"/>
      <c r="M109" s="310"/>
      <c r="N109" s="311"/>
      <c r="O109" s="310"/>
      <c r="P109" s="311"/>
      <c r="Q109" s="134">
        <f t="shared" si="798"/>
        <v>0</v>
      </c>
      <c r="R109" s="347">
        <f t="shared" si="798"/>
        <v>0</v>
      </c>
      <c r="S109" s="134"/>
      <c r="T109" s="134">
        <f>I109*S109*$T$2/1000</f>
        <v>0</v>
      </c>
      <c r="U109" s="134"/>
      <c r="V109" s="134">
        <f>I109*U109*$V$2/1000</f>
        <v>0</v>
      </c>
      <c r="W109" s="134"/>
      <c r="X109" s="134">
        <f>I109*W109*$X$2/1000</f>
        <v>0</v>
      </c>
      <c r="Y109" s="134">
        <f>SUM(S109+U109+W109)</f>
        <v>0</v>
      </c>
      <c r="Z109" s="134">
        <f t="shared" si="799"/>
        <v>0</v>
      </c>
      <c r="AA109" s="134"/>
      <c r="AB109" s="134">
        <f>K109*AA109*$AB$2/1000</f>
        <v>0</v>
      </c>
      <c r="AC109" s="134"/>
      <c r="AD109" s="134">
        <f>K109*AC109*$AD$2/1000</f>
        <v>0</v>
      </c>
      <c r="AE109" s="134"/>
      <c r="AF109" s="411">
        <f t="shared" ref="AF109" si="816">K109*AE109*$AF$2/1000</f>
        <v>0</v>
      </c>
      <c r="AG109" s="134">
        <f t="shared" si="800"/>
        <v>0</v>
      </c>
      <c r="AH109" s="134">
        <f t="shared" si="800"/>
        <v>0</v>
      </c>
      <c r="AI109" s="134">
        <f>SUM(Y109+AG109)</f>
        <v>0</v>
      </c>
      <c r="AJ109" s="134">
        <f>SUM(Z109,AH109)</f>
        <v>0</v>
      </c>
      <c r="AK109" s="134"/>
      <c r="AL109" s="134">
        <f>M109*AK109*$AL$2/1000</f>
        <v>0</v>
      </c>
      <c r="AM109" s="134"/>
      <c r="AN109" s="134">
        <f>M109*AM109*$AN$2/1000</f>
        <v>0</v>
      </c>
      <c r="AO109" s="134"/>
      <c r="AP109" s="134">
        <f>M109*AO109*$AP$2/1000</f>
        <v>0</v>
      </c>
      <c r="AQ109" s="134">
        <f t="shared" si="801"/>
        <v>0</v>
      </c>
      <c r="AR109" s="134">
        <f t="shared" si="801"/>
        <v>0</v>
      </c>
      <c r="AS109" s="134"/>
      <c r="AT109" s="134">
        <f>O109*AS109*$AT$2/1000</f>
        <v>0</v>
      </c>
      <c r="AU109" s="134"/>
      <c r="AV109" s="134">
        <f>O109*AU109*$AV$2/1000</f>
        <v>0</v>
      </c>
      <c r="AW109" s="134"/>
      <c r="AX109" s="134">
        <f>O109*AW109*$AX$2/1000</f>
        <v>0</v>
      </c>
      <c r="AY109" s="134">
        <f t="shared" si="802"/>
        <v>0</v>
      </c>
      <c r="AZ109" s="134">
        <f t="shared" si="802"/>
        <v>0</v>
      </c>
      <c r="BA109" s="134">
        <f>SUM(AQ109+AY109)</f>
        <v>0</v>
      </c>
      <c r="BB109" s="134">
        <f>SUM(AR109,AZ109)</f>
        <v>0</v>
      </c>
      <c r="BC109" s="1" t="s">
        <v>1783</v>
      </c>
    </row>
    <row r="110" spans="1:55" hidden="1">
      <c r="A110" s="498">
        <v>71</v>
      </c>
      <c r="B110" s="26"/>
      <c r="C110" s="42"/>
      <c r="D110" s="27"/>
      <c r="E110" s="328" t="s">
        <v>337</v>
      </c>
      <c r="F110" s="43"/>
      <c r="G110" s="52"/>
      <c r="H110" s="271"/>
      <c r="I110" s="30"/>
      <c r="J110" s="100"/>
      <c r="K110" s="30"/>
      <c r="L110" s="161"/>
      <c r="M110" s="30"/>
      <c r="N110" s="161"/>
      <c r="O110" s="140"/>
      <c r="P110" s="100"/>
      <c r="Q110" s="124">
        <f>SUM(Q106:Q109)</f>
        <v>0</v>
      </c>
      <c r="R110" s="124">
        <f t="shared" ref="R110:BB110" si="817">SUM(R106:R109)</f>
        <v>0</v>
      </c>
      <c r="S110" s="124">
        <f t="shared" si="817"/>
        <v>0</v>
      </c>
      <c r="T110" s="124">
        <f t="shared" si="817"/>
        <v>0</v>
      </c>
      <c r="U110" s="124">
        <f t="shared" si="817"/>
        <v>0</v>
      </c>
      <c r="V110" s="124">
        <f t="shared" si="817"/>
        <v>0</v>
      </c>
      <c r="W110" s="124">
        <f>SUM(W106:W109)</f>
        <v>0</v>
      </c>
      <c r="X110" s="124">
        <f>SUM(X106:X109)</f>
        <v>0</v>
      </c>
      <c r="Y110" s="124">
        <f>SUM(Y106:Y109)</f>
        <v>0</v>
      </c>
      <c r="Z110" s="124">
        <f t="shared" si="817"/>
        <v>0</v>
      </c>
      <c r="AA110" s="124">
        <f>SUM(AA106:AA109)</f>
        <v>0</v>
      </c>
      <c r="AB110" s="124">
        <f t="shared" si="817"/>
        <v>0</v>
      </c>
      <c r="AC110" s="124">
        <f t="shared" si="817"/>
        <v>0</v>
      </c>
      <c r="AD110" s="124">
        <f t="shared" si="817"/>
        <v>0</v>
      </c>
      <c r="AE110" s="124">
        <f t="shared" si="817"/>
        <v>0</v>
      </c>
      <c r="AF110" s="124">
        <f t="shared" si="817"/>
        <v>0</v>
      </c>
      <c r="AG110" s="124">
        <f t="shared" si="817"/>
        <v>0</v>
      </c>
      <c r="AH110" s="124">
        <f t="shared" si="817"/>
        <v>0</v>
      </c>
      <c r="AI110" s="124">
        <f t="shared" si="817"/>
        <v>0</v>
      </c>
      <c r="AJ110" s="124">
        <f t="shared" si="817"/>
        <v>0</v>
      </c>
      <c r="AK110" s="124">
        <f t="shared" si="817"/>
        <v>0</v>
      </c>
      <c r="AL110" s="124">
        <f t="shared" si="817"/>
        <v>0</v>
      </c>
      <c r="AM110" s="124">
        <f t="shared" si="817"/>
        <v>0</v>
      </c>
      <c r="AN110" s="124">
        <f t="shared" si="817"/>
        <v>0</v>
      </c>
      <c r="AO110" s="124">
        <f t="shared" si="817"/>
        <v>0</v>
      </c>
      <c r="AP110" s="124">
        <f t="shared" si="817"/>
        <v>0</v>
      </c>
      <c r="AQ110" s="124">
        <f t="shared" si="817"/>
        <v>0</v>
      </c>
      <c r="AR110" s="124">
        <f t="shared" si="817"/>
        <v>0</v>
      </c>
      <c r="AS110" s="124">
        <f t="shared" si="817"/>
        <v>0</v>
      </c>
      <c r="AT110" s="124">
        <f t="shared" si="817"/>
        <v>0</v>
      </c>
      <c r="AU110" s="124">
        <f t="shared" si="817"/>
        <v>0</v>
      </c>
      <c r="AV110" s="124">
        <f t="shared" si="817"/>
        <v>0</v>
      </c>
      <c r="AW110" s="124">
        <f t="shared" si="817"/>
        <v>0</v>
      </c>
      <c r="AX110" s="124">
        <f t="shared" si="817"/>
        <v>0</v>
      </c>
      <c r="AY110" s="124">
        <f t="shared" si="817"/>
        <v>0</v>
      </c>
      <c r="AZ110" s="124">
        <f t="shared" si="817"/>
        <v>0</v>
      </c>
      <c r="BA110" s="124">
        <f t="shared" si="817"/>
        <v>0</v>
      </c>
      <c r="BB110" s="124">
        <f t="shared" si="817"/>
        <v>0</v>
      </c>
      <c r="BC110" s="1" t="s">
        <v>1784</v>
      </c>
    </row>
    <row r="111" spans="1:55" hidden="1">
      <c r="A111" s="498">
        <v>72</v>
      </c>
      <c r="B111" s="13"/>
      <c r="C111" s="13"/>
      <c r="D111" s="15" t="s">
        <v>96</v>
      </c>
      <c r="E111" s="31" t="s">
        <v>733</v>
      </c>
      <c r="F111" s="314" t="s">
        <v>17</v>
      </c>
      <c r="G111" s="314"/>
      <c r="H111" s="274" t="s">
        <v>364</v>
      </c>
      <c r="I111" s="44">
        <v>5.56</v>
      </c>
      <c r="J111" s="162"/>
      <c r="K111" s="44"/>
      <c r="L111" s="162"/>
      <c r="M111" s="44"/>
      <c r="N111" s="162"/>
      <c r="O111" s="44"/>
      <c r="P111" s="162"/>
      <c r="Q111" s="122">
        <f t="shared" ref="Q111:Q137" si="818">SUM(AI111+BA111)</f>
        <v>0</v>
      </c>
      <c r="R111" s="346">
        <f t="shared" ref="R111:R137" si="819">SUM(AJ111+BB111)</f>
        <v>0</v>
      </c>
      <c r="S111" s="122"/>
      <c r="T111" s="122">
        <f t="shared" ref="T111:T137" si="820">I111*S111*$T$2/1000</f>
        <v>0</v>
      </c>
      <c r="U111" s="122"/>
      <c r="V111" s="122">
        <f t="shared" ref="V111:V137" si="821">I111*U111*$V$2/1000</f>
        <v>0</v>
      </c>
      <c r="W111" s="122"/>
      <c r="X111" s="122">
        <f t="shared" ref="X111:X137" si="822">I111*W111*$X$2/1000</f>
        <v>0</v>
      </c>
      <c r="Y111" s="122">
        <f t="shared" ref="Y111:Y137" si="823">SUM(S111+U111+W111)</f>
        <v>0</v>
      </c>
      <c r="Z111" s="122">
        <f t="shared" ref="Z111:Z137" si="824">SUM(T111+V111+X111)</f>
        <v>0</v>
      </c>
      <c r="AA111" s="122"/>
      <c r="AB111" s="122">
        <f t="shared" ref="AB111:AB123" si="825">K111*AA111*$AB$2/1000</f>
        <v>0</v>
      </c>
      <c r="AC111" s="122"/>
      <c r="AD111" s="122">
        <f t="shared" ref="AD111:AD136" si="826">K111*AC111*$AD$2/1000</f>
        <v>0</v>
      </c>
      <c r="AE111" s="122"/>
      <c r="AF111" s="125">
        <f>K111*AE111*$AF$2/1000</f>
        <v>0</v>
      </c>
      <c r="AG111" s="122">
        <f t="shared" ref="AG111:AG137" si="827">SUM(AA111+AC111+AE111)</f>
        <v>0</v>
      </c>
      <c r="AH111" s="122">
        <f t="shared" ref="AH111:AH137" si="828">SUM(AB111+AD111+AF111)</f>
        <v>0</v>
      </c>
      <c r="AI111" s="122">
        <f t="shared" ref="AI111:AI137" si="829">SUM(Y111+AG111)</f>
        <v>0</v>
      </c>
      <c r="AJ111" s="122">
        <f t="shared" ref="AJ111:AJ137" si="830">SUM(Z111,AH111)</f>
        <v>0</v>
      </c>
      <c r="AK111" s="122"/>
      <c r="AL111" s="122">
        <f t="shared" ref="AL111:AL137" si="831">M111*AK111*$AL$2/1000</f>
        <v>0</v>
      </c>
      <c r="AM111" s="122"/>
      <c r="AN111" s="122">
        <f t="shared" ref="AN111:AN116" si="832">M111*AM111*$AN$2/1000</f>
        <v>0</v>
      </c>
      <c r="AO111" s="122"/>
      <c r="AP111" s="122">
        <f t="shared" ref="AP111:AP137" si="833">M111*AO111*$AP$2/1000</f>
        <v>0</v>
      </c>
      <c r="AQ111" s="122">
        <f t="shared" ref="AQ111:AQ137" si="834">SUM(AK111+AM111+AO111)</f>
        <v>0</v>
      </c>
      <c r="AR111" s="122">
        <f t="shared" ref="AR111:AR137" si="835">SUM(AL111+AN111+AP111)</f>
        <v>0</v>
      </c>
      <c r="AS111" s="122"/>
      <c r="AT111" s="122">
        <f t="shared" ref="AT111:AT137" si="836">O111*AS111*$AT$2/1000</f>
        <v>0</v>
      </c>
      <c r="AU111" s="122"/>
      <c r="AV111" s="122">
        <f t="shared" ref="AV111:AV137" si="837">O111*AU111*$AV$2/1000</f>
        <v>0</v>
      </c>
      <c r="AW111" s="122"/>
      <c r="AX111" s="122">
        <f t="shared" ref="AX111:AX137" si="838">O111*AW111*$AX$2/1000</f>
        <v>0</v>
      </c>
      <c r="AY111" s="122">
        <f t="shared" ref="AY111:AY137" si="839">SUM(AS111+AU111+AW111)</f>
        <v>0</v>
      </c>
      <c r="AZ111" s="122">
        <f t="shared" ref="AZ111:AZ137" si="840">SUM(AT111+AV111+AX111)</f>
        <v>0</v>
      </c>
      <c r="BA111" s="122">
        <f t="shared" ref="BA111:BA137" si="841">SUM(AQ111+AY111)</f>
        <v>0</v>
      </c>
      <c r="BB111" s="122">
        <f t="shared" ref="BB111:BB137" si="842">SUM(AR111,AZ111)</f>
        <v>0</v>
      </c>
      <c r="BC111" s="1" t="s">
        <v>1783</v>
      </c>
    </row>
    <row r="112" spans="1:55" hidden="1">
      <c r="A112" s="498">
        <v>73</v>
      </c>
      <c r="B112" s="13"/>
      <c r="C112" s="13"/>
      <c r="D112" s="15"/>
      <c r="E112" s="90" t="s">
        <v>802</v>
      </c>
      <c r="F112" s="430" t="s">
        <v>734</v>
      </c>
      <c r="G112" s="430"/>
      <c r="H112" s="287" t="s">
        <v>364</v>
      </c>
      <c r="I112" s="432">
        <v>6.2</v>
      </c>
      <c r="J112" s="433"/>
      <c r="K112" s="432"/>
      <c r="L112" s="433"/>
      <c r="M112" s="432"/>
      <c r="N112" s="433"/>
      <c r="O112" s="432"/>
      <c r="P112" s="433"/>
      <c r="Q112" s="131">
        <f t="shared" ref="Q112" si="843">SUM(AI112+BA112)</f>
        <v>0</v>
      </c>
      <c r="R112" s="352">
        <f t="shared" ref="R112" si="844">SUM(AJ112+BB112)</f>
        <v>0</v>
      </c>
      <c r="S112" s="131"/>
      <c r="T112" s="131">
        <f t="shared" ref="T112" si="845">I112*S112*$T$2/1000</f>
        <v>0</v>
      </c>
      <c r="U112" s="131"/>
      <c r="V112" s="131">
        <f t="shared" ref="V112" si="846">I112*U112*$V$2/1000</f>
        <v>0</v>
      </c>
      <c r="W112" s="131"/>
      <c r="X112" s="131">
        <f t="shared" ref="X112" si="847">I112*W112*$X$2/1000</f>
        <v>0</v>
      </c>
      <c r="Y112" s="131">
        <f t="shared" ref="Y112" si="848">SUM(S112+U112+W112)</f>
        <v>0</v>
      </c>
      <c r="Z112" s="131">
        <f t="shared" ref="Z112" si="849">SUM(T112+V112+X112)</f>
        <v>0</v>
      </c>
      <c r="AA112" s="131"/>
      <c r="AB112" s="131">
        <f t="shared" ref="AB112:AB122" si="850">K112*AA112*$AB$2/1000</f>
        <v>0</v>
      </c>
      <c r="AC112" s="131"/>
      <c r="AD112" s="131">
        <f t="shared" ref="AD112" si="851">K112*AC112*$AD$2/1000</f>
        <v>0</v>
      </c>
      <c r="AE112" s="131"/>
      <c r="AF112" s="434">
        <f>K112*AE112*$AF$2/1000</f>
        <v>0</v>
      </c>
      <c r="AG112" s="131">
        <f t="shared" ref="AG112" si="852">SUM(AA112+AC112+AE112)</f>
        <v>0</v>
      </c>
      <c r="AH112" s="131">
        <f t="shared" ref="AH112" si="853">SUM(AB112+AD112+AF112)</f>
        <v>0</v>
      </c>
      <c r="AI112" s="131">
        <f t="shared" ref="AI112" si="854">SUM(Y112+AG112)</f>
        <v>0</v>
      </c>
      <c r="AJ112" s="131">
        <f t="shared" ref="AJ112" si="855">SUM(Z112,AH112)</f>
        <v>0</v>
      </c>
      <c r="AK112" s="131"/>
      <c r="AL112" s="131">
        <f t="shared" ref="AL112" si="856">M112*AK112*$AL$2/1000</f>
        <v>0</v>
      </c>
      <c r="AM112" s="131"/>
      <c r="AN112" s="131">
        <f t="shared" ref="AN112" si="857">M112*AM112*$AN$2/1000</f>
        <v>0</v>
      </c>
      <c r="AO112" s="131"/>
      <c r="AP112" s="131">
        <f t="shared" ref="AP112" si="858">M112*AO112*$AP$2/1000</f>
        <v>0</v>
      </c>
      <c r="AQ112" s="131">
        <f t="shared" ref="AQ112" si="859">SUM(AK112+AM112+AO112)</f>
        <v>0</v>
      </c>
      <c r="AR112" s="131">
        <f t="shared" ref="AR112" si="860">SUM(AL112+AN112+AP112)</f>
        <v>0</v>
      </c>
      <c r="AS112" s="131"/>
      <c r="AT112" s="131">
        <f t="shared" ref="AT112" si="861">O112*AS112*$AT$2/1000</f>
        <v>0</v>
      </c>
      <c r="AU112" s="131"/>
      <c r="AV112" s="131">
        <f t="shared" ref="AV112" si="862">O112*AU112*$AV$2/1000</f>
        <v>0</v>
      </c>
      <c r="AW112" s="131"/>
      <c r="AX112" s="131">
        <f t="shared" ref="AX112" si="863">O112*AW112*$AX$2/1000</f>
        <v>0</v>
      </c>
      <c r="AY112" s="131">
        <f t="shared" ref="AY112" si="864">SUM(AS112+AU112+AW112)</f>
        <v>0</v>
      </c>
      <c r="AZ112" s="131">
        <f t="shared" ref="AZ112" si="865">SUM(AT112+AV112+AX112)</f>
        <v>0</v>
      </c>
      <c r="BA112" s="131">
        <f t="shared" ref="BA112" si="866">SUM(AQ112+AY112)</f>
        <v>0</v>
      </c>
      <c r="BB112" s="131">
        <f t="shared" ref="BB112" si="867">SUM(AR112,AZ112)</f>
        <v>0</v>
      </c>
      <c r="BC112" s="1" t="s">
        <v>1783</v>
      </c>
    </row>
    <row r="113" spans="1:55" hidden="1">
      <c r="A113" s="498">
        <v>74</v>
      </c>
      <c r="B113" s="13"/>
      <c r="C113" s="13"/>
      <c r="D113" s="15"/>
      <c r="E113" s="21" t="s">
        <v>71</v>
      </c>
      <c r="F113" s="46" t="s">
        <v>97</v>
      </c>
      <c r="G113" s="46"/>
      <c r="H113" s="268" t="s">
        <v>364</v>
      </c>
      <c r="I113" s="18">
        <v>5.25</v>
      </c>
      <c r="J113" s="158"/>
      <c r="K113" s="18"/>
      <c r="L113" s="158"/>
      <c r="M113" s="18"/>
      <c r="N113" s="158"/>
      <c r="O113" s="18"/>
      <c r="P113" s="158"/>
      <c r="Q113" s="97">
        <f t="shared" si="818"/>
        <v>0</v>
      </c>
      <c r="R113" s="342">
        <f t="shared" si="819"/>
        <v>0</v>
      </c>
      <c r="S113" s="97"/>
      <c r="T113" s="97">
        <f t="shared" si="820"/>
        <v>0</v>
      </c>
      <c r="U113" s="97"/>
      <c r="V113" s="97">
        <f t="shared" si="821"/>
        <v>0</v>
      </c>
      <c r="W113" s="97"/>
      <c r="X113" s="97">
        <f t="shared" si="822"/>
        <v>0</v>
      </c>
      <c r="Y113" s="97">
        <f t="shared" si="823"/>
        <v>0</v>
      </c>
      <c r="Z113" s="97">
        <f t="shared" si="824"/>
        <v>0</v>
      </c>
      <c r="AA113" s="97"/>
      <c r="AB113" s="97">
        <f t="shared" si="850"/>
        <v>0</v>
      </c>
      <c r="AC113" s="97"/>
      <c r="AD113" s="97">
        <f t="shared" si="826"/>
        <v>0</v>
      </c>
      <c r="AE113" s="97"/>
      <c r="AF113" s="96">
        <f t="shared" ref="AF113:AF137" si="868">K113*AE113*$AF$2/1000</f>
        <v>0</v>
      </c>
      <c r="AG113" s="97">
        <f t="shared" si="827"/>
        <v>0</v>
      </c>
      <c r="AH113" s="97">
        <f t="shared" si="828"/>
        <v>0</v>
      </c>
      <c r="AI113" s="97">
        <f t="shared" si="829"/>
        <v>0</v>
      </c>
      <c r="AJ113" s="97">
        <f t="shared" si="830"/>
        <v>0</v>
      </c>
      <c r="AK113" s="97"/>
      <c r="AL113" s="97">
        <f>M113*AK113*$AL$2/1000</f>
        <v>0</v>
      </c>
      <c r="AM113" s="97"/>
      <c r="AN113" s="97">
        <f t="shared" si="832"/>
        <v>0</v>
      </c>
      <c r="AO113" s="97"/>
      <c r="AP113" s="97">
        <f t="shared" si="833"/>
        <v>0</v>
      </c>
      <c r="AQ113" s="97">
        <f t="shared" si="834"/>
        <v>0</v>
      </c>
      <c r="AR113" s="97">
        <f t="shared" si="835"/>
        <v>0</v>
      </c>
      <c r="AS113" s="97"/>
      <c r="AT113" s="97">
        <f t="shared" si="836"/>
        <v>0</v>
      </c>
      <c r="AU113" s="97"/>
      <c r="AV113" s="97">
        <f t="shared" si="837"/>
        <v>0</v>
      </c>
      <c r="AW113" s="97"/>
      <c r="AX113" s="97">
        <f t="shared" si="838"/>
        <v>0</v>
      </c>
      <c r="AY113" s="97">
        <f t="shared" si="839"/>
        <v>0</v>
      </c>
      <c r="AZ113" s="97">
        <f t="shared" si="840"/>
        <v>0</v>
      </c>
      <c r="BA113" s="97">
        <f t="shared" si="841"/>
        <v>0</v>
      </c>
      <c r="BB113" s="97">
        <f t="shared" si="842"/>
        <v>0</v>
      </c>
      <c r="BC113" s="1" t="s">
        <v>1783</v>
      </c>
    </row>
    <row r="114" spans="1:55" hidden="1">
      <c r="A114" s="498">
        <v>75</v>
      </c>
      <c r="B114" s="13"/>
      <c r="C114" s="13"/>
      <c r="D114" s="15"/>
      <c r="E114" s="21" t="s">
        <v>719</v>
      </c>
      <c r="F114" s="46" t="s">
        <v>98</v>
      </c>
      <c r="G114" s="46"/>
      <c r="H114" s="268" t="s">
        <v>364</v>
      </c>
      <c r="I114" s="18">
        <v>5.88</v>
      </c>
      <c r="J114" s="158"/>
      <c r="K114" s="18"/>
      <c r="L114" s="158"/>
      <c r="M114" s="18"/>
      <c r="N114" s="158"/>
      <c r="O114" s="18"/>
      <c r="P114" s="158"/>
      <c r="Q114" s="97">
        <f t="shared" si="818"/>
        <v>0</v>
      </c>
      <c r="R114" s="342">
        <f t="shared" si="819"/>
        <v>0</v>
      </c>
      <c r="S114" s="97"/>
      <c r="T114" s="97">
        <f t="shared" si="820"/>
        <v>0</v>
      </c>
      <c r="U114" s="97"/>
      <c r="V114" s="97">
        <f t="shared" si="821"/>
        <v>0</v>
      </c>
      <c r="W114" s="97"/>
      <c r="X114" s="97">
        <f t="shared" si="822"/>
        <v>0</v>
      </c>
      <c r="Y114" s="97">
        <f t="shared" si="823"/>
        <v>0</v>
      </c>
      <c r="Z114" s="97">
        <f t="shared" si="824"/>
        <v>0</v>
      </c>
      <c r="AA114" s="97"/>
      <c r="AB114" s="97">
        <f t="shared" si="850"/>
        <v>0</v>
      </c>
      <c r="AC114" s="97"/>
      <c r="AD114" s="97">
        <f t="shared" si="826"/>
        <v>0</v>
      </c>
      <c r="AE114" s="97"/>
      <c r="AF114" s="96">
        <f t="shared" si="868"/>
        <v>0</v>
      </c>
      <c r="AG114" s="97">
        <f t="shared" si="827"/>
        <v>0</v>
      </c>
      <c r="AH114" s="97">
        <f t="shared" si="828"/>
        <v>0</v>
      </c>
      <c r="AI114" s="97">
        <f t="shared" si="829"/>
        <v>0</v>
      </c>
      <c r="AJ114" s="97">
        <f t="shared" si="830"/>
        <v>0</v>
      </c>
      <c r="AK114" s="97"/>
      <c r="AL114" s="97">
        <f t="shared" si="831"/>
        <v>0</v>
      </c>
      <c r="AM114" s="97"/>
      <c r="AN114" s="97">
        <f t="shared" si="832"/>
        <v>0</v>
      </c>
      <c r="AO114" s="97"/>
      <c r="AP114" s="97">
        <f t="shared" si="833"/>
        <v>0</v>
      </c>
      <c r="AQ114" s="97">
        <f t="shared" si="834"/>
        <v>0</v>
      </c>
      <c r="AR114" s="97">
        <f t="shared" si="835"/>
        <v>0</v>
      </c>
      <c r="AS114" s="97"/>
      <c r="AT114" s="97">
        <f t="shared" si="836"/>
        <v>0</v>
      </c>
      <c r="AU114" s="97"/>
      <c r="AV114" s="97">
        <f t="shared" si="837"/>
        <v>0</v>
      </c>
      <c r="AW114" s="97"/>
      <c r="AX114" s="97">
        <f t="shared" si="838"/>
        <v>0</v>
      </c>
      <c r="AY114" s="97">
        <f t="shared" si="839"/>
        <v>0</v>
      </c>
      <c r="AZ114" s="97">
        <f t="shared" si="840"/>
        <v>0</v>
      </c>
      <c r="BA114" s="97">
        <f t="shared" si="841"/>
        <v>0</v>
      </c>
      <c r="BB114" s="97">
        <f t="shared" si="842"/>
        <v>0</v>
      </c>
      <c r="BC114" s="1" t="s">
        <v>1783</v>
      </c>
    </row>
    <row r="115" spans="1:55" hidden="1">
      <c r="A115" s="498">
        <v>76</v>
      </c>
      <c r="B115" s="13"/>
      <c r="C115" s="13"/>
      <c r="D115" s="15"/>
      <c r="E115" s="21" t="s">
        <v>99</v>
      </c>
      <c r="F115" s="46" t="s">
        <v>20</v>
      </c>
      <c r="G115" s="46"/>
      <c r="H115" s="268" t="s">
        <v>364</v>
      </c>
      <c r="I115" s="18">
        <v>6.7</v>
      </c>
      <c r="J115" s="158"/>
      <c r="K115" s="18"/>
      <c r="L115" s="158"/>
      <c r="M115" s="18"/>
      <c r="N115" s="158"/>
      <c r="O115" s="18"/>
      <c r="P115" s="158"/>
      <c r="Q115" s="97">
        <f t="shared" si="818"/>
        <v>0</v>
      </c>
      <c r="R115" s="342">
        <f t="shared" si="819"/>
        <v>0</v>
      </c>
      <c r="S115" s="97"/>
      <c r="T115" s="97">
        <f t="shared" si="820"/>
        <v>0</v>
      </c>
      <c r="U115" s="97"/>
      <c r="V115" s="97">
        <f t="shared" si="821"/>
        <v>0</v>
      </c>
      <c r="W115" s="97"/>
      <c r="X115" s="97">
        <f t="shared" si="822"/>
        <v>0</v>
      </c>
      <c r="Y115" s="97">
        <f t="shared" si="823"/>
        <v>0</v>
      </c>
      <c r="Z115" s="97">
        <f t="shared" si="824"/>
        <v>0</v>
      </c>
      <c r="AA115" s="97"/>
      <c r="AB115" s="97">
        <f t="shared" si="850"/>
        <v>0</v>
      </c>
      <c r="AC115" s="97"/>
      <c r="AD115" s="97">
        <f t="shared" si="826"/>
        <v>0</v>
      </c>
      <c r="AE115" s="97"/>
      <c r="AF115" s="96">
        <f t="shared" si="868"/>
        <v>0</v>
      </c>
      <c r="AG115" s="97">
        <f t="shared" si="827"/>
        <v>0</v>
      </c>
      <c r="AH115" s="97">
        <f t="shared" si="828"/>
        <v>0</v>
      </c>
      <c r="AI115" s="97">
        <f t="shared" si="829"/>
        <v>0</v>
      </c>
      <c r="AJ115" s="97">
        <f t="shared" si="830"/>
        <v>0</v>
      </c>
      <c r="AK115" s="97"/>
      <c r="AL115" s="97">
        <f t="shared" si="831"/>
        <v>0</v>
      </c>
      <c r="AM115" s="97"/>
      <c r="AN115" s="97">
        <f t="shared" si="832"/>
        <v>0</v>
      </c>
      <c r="AO115" s="97"/>
      <c r="AP115" s="97">
        <f t="shared" si="833"/>
        <v>0</v>
      </c>
      <c r="AQ115" s="97">
        <f t="shared" si="834"/>
        <v>0</v>
      </c>
      <c r="AR115" s="97">
        <f t="shared" si="835"/>
        <v>0</v>
      </c>
      <c r="AS115" s="97"/>
      <c r="AT115" s="97">
        <f t="shared" si="836"/>
        <v>0</v>
      </c>
      <c r="AU115" s="97"/>
      <c r="AV115" s="97">
        <f t="shared" si="837"/>
        <v>0</v>
      </c>
      <c r="AW115" s="97"/>
      <c r="AX115" s="97">
        <f t="shared" si="838"/>
        <v>0</v>
      </c>
      <c r="AY115" s="97">
        <f t="shared" si="839"/>
        <v>0</v>
      </c>
      <c r="AZ115" s="97">
        <f t="shared" si="840"/>
        <v>0</v>
      </c>
      <c r="BA115" s="97">
        <f t="shared" si="841"/>
        <v>0</v>
      </c>
      <c r="BB115" s="97">
        <f t="shared" si="842"/>
        <v>0</v>
      </c>
      <c r="BC115" s="1" t="s">
        <v>1783</v>
      </c>
    </row>
    <row r="116" spans="1:55" hidden="1">
      <c r="A116" s="498">
        <v>77</v>
      </c>
      <c r="B116" s="13"/>
      <c r="C116" s="13"/>
      <c r="D116" s="15"/>
      <c r="E116" s="21" t="s">
        <v>21</v>
      </c>
      <c r="F116" s="46" t="s">
        <v>22</v>
      </c>
      <c r="G116" s="46"/>
      <c r="H116" s="268" t="s">
        <v>364</v>
      </c>
      <c r="I116" s="18">
        <v>3.73</v>
      </c>
      <c r="J116" s="158"/>
      <c r="K116" s="18"/>
      <c r="L116" s="158"/>
      <c r="M116" s="18"/>
      <c r="N116" s="158"/>
      <c r="O116" s="18"/>
      <c r="P116" s="158"/>
      <c r="Q116" s="97">
        <f t="shared" si="818"/>
        <v>0</v>
      </c>
      <c r="R116" s="342">
        <f t="shared" si="819"/>
        <v>0</v>
      </c>
      <c r="S116" s="97"/>
      <c r="T116" s="97">
        <f t="shared" si="820"/>
        <v>0</v>
      </c>
      <c r="U116" s="97"/>
      <c r="V116" s="97">
        <f t="shared" si="821"/>
        <v>0</v>
      </c>
      <c r="W116" s="97"/>
      <c r="X116" s="97">
        <f t="shared" si="822"/>
        <v>0</v>
      </c>
      <c r="Y116" s="97">
        <f t="shared" si="823"/>
        <v>0</v>
      </c>
      <c r="Z116" s="97">
        <f t="shared" si="824"/>
        <v>0</v>
      </c>
      <c r="AA116" s="97"/>
      <c r="AB116" s="97">
        <f t="shared" si="850"/>
        <v>0</v>
      </c>
      <c r="AC116" s="97"/>
      <c r="AD116" s="97">
        <f t="shared" si="826"/>
        <v>0</v>
      </c>
      <c r="AE116" s="97"/>
      <c r="AF116" s="96">
        <f t="shared" si="868"/>
        <v>0</v>
      </c>
      <c r="AG116" s="97">
        <f t="shared" si="827"/>
        <v>0</v>
      </c>
      <c r="AH116" s="97">
        <f t="shared" si="828"/>
        <v>0</v>
      </c>
      <c r="AI116" s="97">
        <f t="shared" si="829"/>
        <v>0</v>
      </c>
      <c r="AJ116" s="97">
        <f t="shared" si="830"/>
        <v>0</v>
      </c>
      <c r="AK116" s="97"/>
      <c r="AL116" s="97">
        <f t="shared" si="831"/>
        <v>0</v>
      </c>
      <c r="AM116" s="97"/>
      <c r="AN116" s="97">
        <f t="shared" si="832"/>
        <v>0</v>
      </c>
      <c r="AO116" s="97"/>
      <c r="AP116" s="97">
        <f>M116*AO116*$AP$2/1000</f>
        <v>0</v>
      </c>
      <c r="AQ116" s="97">
        <f t="shared" si="834"/>
        <v>0</v>
      </c>
      <c r="AR116" s="97">
        <f t="shared" si="835"/>
        <v>0</v>
      </c>
      <c r="AS116" s="97"/>
      <c r="AT116" s="97">
        <f t="shared" si="836"/>
        <v>0</v>
      </c>
      <c r="AU116" s="97"/>
      <c r="AV116" s="97">
        <f t="shared" si="837"/>
        <v>0</v>
      </c>
      <c r="AW116" s="97"/>
      <c r="AX116" s="97">
        <f t="shared" si="838"/>
        <v>0</v>
      </c>
      <c r="AY116" s="97">
        <f t="shared" si="839"/>
        <v>0</v>
      </c>
      <c r="AZ116" s="97">
        <f t="shared" si="840"/>
        <v>0</v>
      </c>
      <c r="BA116" s="97">
        <f t="shared" si="841"/>
        <v>0</v>
      </c>
      <c r="BB116" s="97">
        <f t="shared" si="842"/>
        <v>0</v>
      </c>
      <c r="BC116" s="1" t="s">
        <v>1783</v>
      </c>
    </row>
    <row r="117" spans="1:55" hidden="1">
      <c r="A117" s="498">
        <v>78</v>
      </c>
      <c r="B117" s="13"/>
      <c r="C117" s="20"/>
      <c r="D117" s="15"/>
      <c r="E117" s="21" t="s">
        <v>100</v>
      </c>
      <c r="F117" s="46" t="s">
        <v>101</v>
      </c>
      <c r="G117" s="46"/>
      <c r="H117" s="268" t="s">
        <v>364</v>
      </c>
      <c r="I117" s="18">
        <v>3.83</v>
      </c>
      <c r="J117" s="158"/>
      <c r="K117" s="18"/>
      <c r="L117" s="158"/>
      <c r="M117" s="18"/>
      <c r="N117" s="158"/>
      <c r="O117" s="18"/>
      <c r="P117" s="158"/>
      <c r="Q117" s="97">
        <f t="shared" si="818"/>
        <v>0</v>
      </c>
      <c r="R117" s="342">
        <f t="shared" si="819"/>
        <v>0</v>
      </c>
      <c r="S117" s="97"/>
      <c r="T117" s="97">
        <f t="shared" si="820"/>
        <v>0</v>
      </c>
      <c r="U117" s="97"/>
      <c r="V117" s="97">
        <f t="shared" si="821"/>
        <v>0</v>
      </c>
      <c r="W117" s="97"/>
      <c r="X117" s="97">
        <f t="shared" si="822"/>
        <v>0</v>
      </c>
      <c r="Y117" s="97">
        <f t="shared" si="823"/>
        <v>0</v>
      </c>
      <c r="Z117" s="97">
        <f t="shared" si="824"/>
        <v>0</v>
      </c>
      <c r="AA117" s="97"/>
      <c r="AB117" s="97">
        <f t="shared" si="850"/>
        <v>0</v>
      </c>
      <c r="AC117" s="97"/>
      <c r="AD117" s="97">
        <f t="shared" si="826"/>
        <v>0</v>
      </c>
      <c r="AE117" s="97"/>
      <c r="AF117" s="96">
        <f t="shared" si="868"/>
        <v>0</v>
      </c>
      <c r="AG117" s="97">
        <f t="shared" si="827"/>
        <v>0</v>
      </c>
      <c r="AH117" s="97">
        <f t="shared" si="828"/>
        <v>0</v>
      </c>
      <c r="AI117" s="97">
        <f t="shared" si="829"/>
        <v>0</v>
      </c>
      <c r="AJ117" s="97">
        <f t="shared" si="830"/>
        <v>0</v>
      </c>
      <c r="AK117" s="97"/>
      <c r="AL117" s="97">
        <f t="shared" si="831"/>
        <v>0</v>
      </c>
      <c r="AM117" s="97"/>
      <c r="AN117" s="97">
        <f>M117*AM117*$AN$2/1000</f>
        <v>0</v>
      </c>
      <c r="AO117" s="97"/>
      <c r="AP117" s="97">
        <f t="shared" si="833"/>
        <v>0</v>
      </c>
      <c r="AQ117" s="97">
        <f t="shared" si="834"/>
        <v>0</v>
      </c>
      <c r="AR117" s="97">
        <f t="shared" si="835"/>
        <v>0</v>
      </c>
      <c r="AS117" s="97"/>
      <c r="AT117" s="97">
        <f t="shared" si="836"/>
        <v>0</v>
      </c>
      <c r="AU117" s="97"/>
      <c r="AV117" s="97">
        <f t="shared" si="837"/>
        <v>0</v>
      </c>
      <c r="AW117" s="97"/>
      <c r="AX117" s="97">
        <f t="shared" si="838"/>
        <v>0</v>
      </c>
      <c r="AY117" s="97">
        <f t="shared" si="839"/>
        <v>0</v>
      </c>
      <c r="AZ117" s="97">
        <f t="shared" si="840"/>
        <v>0</v>
      </c>
      <c r="BA117" s="97">
        <f t="shared" si="841"/>
        <v>0</v>
      </c>
      <c r="BB117" s="97">
        <f t="shared" si="842"/>
        <v>0</v>
      </c>
      <c r="BC117" s="1" t="s">
        <v>1783</v>
      </c>
    </row>
    <row r="118" spans="1:55" hidden="1">
      <c r="A118" s="498">
        <v>79</v>
      </c>
      <c r="B118" s="13"/>
      <c r="C118" s="13"/>
      <c r="D118" s="15"/>
      <c r="E118" s="21" t="s">
        <v>27</v>
      </c>
      <c r="F118" s="46" t="s">
        <v>28</v>
      </c>
      <c r="G118" s="46"/>
      <c r="H118" s="268" t="s">
        <v>364</v>
      </c>
      <c r="I118" s="18">
        <v>7.04</v>
      </c>
      <c r="J118" s="158"/>
      <c r="K118" s="18"/>
      <c r="L118" s="158"/>
      <c r="M118" s="18"/>
      <c r="N118" s="158"/>
      <c r="O118" s="18"/>
      <c r="P118" s="158"/>
      <c r="Q118" s="97">
        <f t="shared" si="818"/>
        <v>0</v>
      </c>
      <c r="R118" s="342">
        <f t="shared" si="819"/>
        <v>0</v>
      </c>
      <c r="S118" s="97"/>
      <c r="T118" s="97">
        <f t="shared" si="820"/>
        <v>0</v>
      </c>
      <c r="U118" s="97"/>
      <c r="V118" s="97">
        <f t="shared" si="821"/>
        <v>0</v>
      </c>
      <c r="W118" s="97"/>
      <c r="X118" s="97">
        <f t="shared" si="822"/>
        <v>0</v>
      </c>
      <c r="Y118" s="97">
        <f t="shared" si="823"/>
        <v>0</v>
      </c>
      <c r="Z118" s="97">
        <f t="shared" si="824"/>
        <v>0</v>
      </c>
      <c r="AA118" s="97"/>
      <c r="AB118" s="97">
        <f t="shared" si="850"/>
        <v>0</v>
      </c>
      <c r="AC118" s="97"/>
      <c r="AD118" s="97">
        <f t="shared" si="826"/>
        <v>0</v>
      </c>
      <c r="AE118" s="97"/>
      <c r="AF118" s="96">
        <f t="shared" si="868"/>
        <v>0</v>
      </c>
      <c r="AG118" s="97">
        <f t="shared" si="827"/>
        <v>0</v>
      </c>
      <c r="AH118" s="97">
        <f t="shared" si="828"/>
        <v>0</v>
      </c>
      <c r="AI118" s="97">
        <f t="shared" si="829"/>
        <v>0</v>
      </c>
      <c r="AJ118" s="97">
        <f t="shared" si="830"/>
        <v>0</v>
      </c>
      <c r="AK118" s="97"/>
      <c r="AL118" s="97">
        <f t="shared" si="831"/>
        <v>0</v>
      </c>
      <c r="AM118" s="97"/>
      <c r="AN118" s="97">
        <f t="shared" ref="AN118:AN137" si="869">M118*AM118*$AN$2/1000</f>
        <v>0</v>
      </c>
      <c r="AO118" s="97"/>
      <c r="AP118" s="97">
        <f t="shared" si="833"/>
        <v>0</v>
      </c>
      <c r="AQ118" s="97">
        <f t="shared" si="834"/>
        <v>0</v>
      </c>
      <c r="AR118" s="97">
        <f t="shared" si="835"/>
        <v>0</v>
      </c>
      <c r="AS118" s="97"/>
      <c r="AT118" s="97">
        <f t="shared" si="836"/>
        <v>0</v>
      </c>
      <c r="AU118" s="97"/>
      <c r="AV118" s="97">
        <f>O118*AU118*$AV$2/1000</f>
        <v>0</v>
      </c>
      <c r="AW118" s="97"/>
      <c r="AX118" s="97">
        <f t="shared" si="838"/>
        <v>0</v>
      </c>
      <c r="AY118" s="97">
        <f t="shared" si="839"/>
        <v>0</v>
      </c>
      <c r="AZ118" s="97">
        <f t="shared" si="840"/>
        <v>0</v>
      </c>
      <c r="BA118" s="97">
        <f t="shared" si="841"/>
        <v>0</v>
      </c>
      <c r="BB118" s="97">
        <f t="shared" si="842"/>
        <v>0</v>
      </c>
      <c r="BC118" s="1" t="s">
        <v>1783</v>
      </c>
    </row>
    <row r="119" spans="1:55" hidden="1">
      <c r="A119" s="498">
        <v>80</v>
      </c>
      <c r="B119" s="13"/>
      <c r="C119" s="13"/>
      <c r="D119" s="15"/>
      <c r="E119" s="21" t="s">
        <v>29</v>
      </c>
      <c r="F119" s="46" t="s">
        <v>30</v>
      </c>
      <c r="G119" s="46"/>
      <c r="H119" s="268" t="s">
        <v>364</v>
      </c>
      <c r="I119" s="18">
        <v>7.73</v>
      </c>
      <c r="J119" s="158"/>
      <c r="K119" s="18"/>
      <c r="L119" s="158"/>
      <c r="M119" s="18"/>
      <c r="N119" s="158"/>
      <c r="O119" s="18"/>
      <c r="P119" s="158"/>
      <c r="Q119" s="97">
        <f t="shared" si="818"/>
        <v>0</v>
      </c>
      <c r="R119" s="342">
        <f t="shared" si="819"/>
        <v>0</v>
      </c>
      <c r="S119" s="97"/>
      <c r="T119" s="97">
        <f t="shared" si="820"/>
        <v>0</v>
      </c>
      <c r="U119" s="97"/>
      <c r="V119" s="97">
        <f t="shared" si="821"/>
        <v>0</v>
      </c>
      <c r="W119" s="97"/>
      <c r="X119" s="97">
        <f t="shared" si="822"/>
        <v>0</v>
      </c>
      <c r="Y119" s="97">
        <f t="shared" si="823"/>
        <v>0</v>
      </c>
      <c r="Z119" s="97">
        <f t="shared" si="824"/>
        <v>0</v>
      </c>
      <c r="AA119" s="97"/>
      <c r="AB119" s="97">
        <f t="shared" si="850"/>
        <v>0</v>
      </c>
      <c r="AC119" s="97"/>
      <c r="AD119" s="97">
        <f t="shared" si="826"/>
        <v>0</v>
      </c>
      <c r="AE119" s="97"/>
      <c r="AF119" s="96">
        <f t="shared" si="868"/>
        <v>0</v>
      </c>
      <c r="AG119" s="97">
        <f t="shared" si="827"/>
        <v>0</v>
      </c>
      <c r="AH119" s="97">
        <f t="shared" si="828"/>
        <v>0</v>
      </c>
      <c r="AI119" s="97">
        <f t="shared" si="829"/>
        <v>0</v>
      </c>
      <c r="AJ119" s="97">
        <f t="shared" si="830"/>
        <v>0</v>
      </c>
      <c r="AK119" s="97"/>
      <c r="AL119" s="97">
        <f t="shared" si="831"/>
        <v>0</v>
      </c>
      <c r="AM119" s="97"/>
      <c r="AN119" s="97">
        <f t="shared" si="869"/>
        <v>0</v>
      </c>
      <c r="AO119" s="97"/>
      <c r="AP119" s="97">
        <f t="shared" si="833"/>
        <v>0</v>
      </c>
      <c r="AQ119" s="97">
        <f t="shared" si="834"/>
        <v>0</v>
      </c>
      <c r="AR119" s="97">
        <f t="shared" si="835"/>
        <v>0</v>
      </c>
      <c r="AS119" s="97"/>
      <c r="AT119" s="97">
        <f t="shared" si="836"/>
        <v>0</v>
      </c>
      <c r="AU119" s="97"/>
      <c r="AV119" s="97">
        <f t="shared" si="837"/>
        <v>0</v>
      </c>
      <c r="AW119" s="97"/>
      <c r="AX119" s="97">
        <f t="shared" si="838"/>
        <v>0</v>
      </c>
      <c r="AY119" s="97">
        <f t="shared" si="839"/>
        <v>0</v>
      </c>
      <c r="AZ119" s="97">
        <f t="shared" si="840"/>
        <v>0</v>
      </c>
      <c r="BA119" s="97">
        <f t="shared" si="841"/>
        <v>0</v>
      </c>
      <c r="BB119" s="97">
        <f t="shared" si="842"/>
        <v>0</v>
      </c>
      <c r="BC119" s="1" t="s">
        <v>1783</v>
      </c>
    </row>
    <row r="120" spans="1:55" hidden="1">
      <c r="A120" s="498">
        <v>81</v>
      </c>
      <c r="B120" s="13"/>
      <c r="C120" s="13"/>
      <c r="D120" s="15"/>
      <c r="E120" s="21" t="s">
        <v>23</v>
      </c>
      <c r="F120" s="46" t="s">
        <v>24</v>
      </c>
      <c r="G120" s="46"/>
      <c r="H120" s="268" t="s">
        <v>364</v>
      </c>
      <c r="I120" s="18">
        <v>31.6</v>
      </c>
      <c r="J120" s="158"/>
      <c r="K120" s="18"/>
      <c r="L120" s="158"/>
      <c r="M120" s="18"/>
      <c r="N120" s="158"/>
      <c r="O120" s="18"/>
      <c r="P120" s="158"/>
      <c r="Q120" s="97">
        <f t="shared" si="818"/>
        <v>0</v>
      </c>
      <c r="R120" s="342">
        <f t="shared" si="819"/>
        <v>0</v>
      </c>
      <c r="S120" s="97"/>
      <c r="T120" s="97">
        <f t="shared" si="820"/>
        <v>0</v>
      </c>
      <c r="U120" s="97"/>
      <c r="V120" s="97">
        <f t="shared" si="821"/>
        <v>0</v>
      </c>
      <c r="W120" s="97"/>
      <c r="X120" s="97">
        <f t="shared" si="822"/>
        <v>0</v>
      </c>
      <c r="Y120" s="97">
        <f t="shared" si="823"/>
        <v>0</v>
      </c>
      <c r="Z120" s="97">
        <f t="shared" si="824"/>
        <v>0</v>
      </c>
      <c r="AA120" s="97"/>
      <c r="AB120" s="97">
        <f t="shared" si="850"/>
        <v>0</v>
      </c>
      <c r="AC120" s="97"/>
      <c r="AD120" s="97">
        <f t="shared" si="826"/>
        <v>0</v>
      </c>
      <c r="AE120" s="97"/>
      <c r="AF120" s="96">
        <f t="shared" si="868"/>
        <v>0</v>
      </c>
      <c r="AG120" s="97">
        <f t="shared" si="827"/>
        <v>0</v>
      </c>
      <c r="AH120" s="97">
        <f t="shared" si="828"/>
        <v>0</v>
      </c>
      <c r="AI120" s="97">
        <f t="shared" si="829"/>
        <v>0</v>
      </c>
      <c r="AJ120" s="97">
        <f t="shared" si="830"/>
        <v>0</v>
      </c>
      <c r="AK120" s="97"/>
      <c r="AL120" s="97">
        <f t="shared" si="831"/>
        <v>0</v>
      </c>
      <c r="AM120" s="97"/>
      <c r="AN120" s="97">
        <f t="shared" si="869"/>
        <v>0</v>
      </c>
      <c r="AO120" s="97"/>
      <c r="AP120" s="97">
        <f t="shared" si="833"/>
        <v>0</v>
      </c>
      <c r="AQ120" s="97">
        <f t="shared" si="834"/>
        <v>0</v>
      </c>
      <c r="AR120" s="97">
        <f t="shared" si="835"/>
        <v>0</v>
      </c>
      <c r="AS120" s="97"/>
      <c r="AT120" s="97">
        <f t="shared" si="836"/>
        <v>0</v>
      </c>
      <c r="AU120" s="97"/>
      <c r="AV120" s="97">
        <f t="shared" si="837"/>
        <v>0</v>
      </c>
      <c r="AW120" s="97"/>
      <c r="AX120" s="97">
        <f t="shared" si="838"/>
        <v>0</v>
      </c>
      <c r="AY120" s="97">
        <f t="shared" si="839"/>
        <v>0</v>
      </c>
      <c r="AZ120" s="97">
        <f t="shared" si="840"/>
        <v>0</v>
      </c>
      <c r="BA120" s="97">
        <f t="shared" si="841"/>
        <v>0</v>
      </c>
      <c r="BB120" s="97">
        <f t="shared" si="842"/>
        <v>0</v>
      </c>
      <c r="BC120" s="1" t="s">
        <v>1783</v>
      </c>
    </row>
    <row r="121" spans="1:55" hidden="1">
      <c r="A121" s="498">
        <v>82</v>
      </c>
      <c r="B121" s="13"/>
      <c r="C121" s="13"/>
      <c r="D121" s="15"/>
      <c r="E121" s="21" t="s">
        <v>25</v>
      </c>
      <c r="F121" s="46" t="s">
        <v>26</v>
      </c>
      <c r="G121" s="46"/>
      <c r="H121" s="268" t="s">
        <v>364</v>
      </c>
      <c r="I121" s="18">
        <v>34.75</v>
      </c>
      <c r="J121" s="158"/>
      <c r="K121" s="18"/>
      <c r="L121" s="158"/>
      <c r="M121" s="18"/>
      <c r="N121" s="158"/>
      <c r="O121" s="18"/>
      <c r="P121" s="158"/>
      <c r="Q121" s="97">
        <f t="shared" si="818"/>
        <v>0</v>
      </c>
      <c r="R121" s="342">
        <f t="shared" si="819"/>
        <v>0</v>
      </c>
      <c r="S121" s="97"/>
      <c r="T121" s="97">
        <f t="shared" si="820"/>
        <v>0</v>
      </c>
      <c r="U121" s="97"/>
      <c r="V121" s="97">
        <f t="shared" si="821"/>
        <v>0</v>
      </c>
      <c r="W121" s="97"/>
      <c r="X121" s="97">
        <f t="shared" si="822"/>
        <v>0</v>
      </c>
      <c r="Y121" s="97">
        <f t="shared" si="823"/>
        <v>0</v>
      </c>
      <c r="Z121" s="97">
        <f t="shared" si="824"/>
        <v>0</v>
      </c>
      <c r="AA121" s="97"/>
      <c r="AB121" s="97">
        <f t="shared" si="850"/>
        <v>0</v>
      </c>
      <c r="AC121" s="97"/>
      <c r="AD121" s="97">
        <f t="shared" si="826"/>
        <v>0</v>
      </c>
      <c r="AE121" s="97"/>
      <c r="AF121" s="96">
        <f t="shared" si="868"/>
        <v>0</v>
      </c>
      <c r="AG121" s="97">
        <f t="shared" si="827"/>
        <v>0</v>
      </c>
      <c r="AH121" s="97">
        <f t="shared" si="828"/>
        <v>0</v>
      </c>
      <c r="AI121" s="97">
        <f t="shared" si="829"/>
        <v>0</v>
      </c>
      <c r="AJ121" s="97">
        <f t="shared" si="830"/>
        <v>0</v>
      </c>
      <c r="AK121" s="97"/>
      <c r="AL121" s="97">
        <f t="shared" si="831"/>
        <v>0</v>
      </c>
      <c r="AM121" s="97"/>
      <c r="AN121" s="97">
        <f t="shared" si="869"/>
        <v>0</v>
      </c>
      <c r="AO121" s="97"/>
      <c r="AP121" s="97">
        <f t="shared" si="833"/>
        <v>0</v>
      </c>
      <c r="AQ121" s="97">
        <f t="shared" si="834"/>
        <v>0</v>
      </c>
      <c r="AR121" s="97">
        <f t="shared" si="835"/>
        <v>0</v>
      </c>
      <c r="AS121" s="97"/>
      <c r="AT121" s="97">
        <f t="shared" si="836"/>
        <v>0</v>
      </c>
      <c r="AU121" s="97"/>
      <c r="AV121" s="97">
        <f t="shared" si="837"/>
        <v>0</v>
      </c>
      <c r="AW121" s="97"/>
      <c r="AX121" s="97">
        <f t="shared" si="838"/>
        <v>0</v>
      </c>
      <c r="AY121" s="97">
        <f t="shared" si="839"/>
        <v>0</v>
      </c>
      <c r="AZ121" s="97">
        <f t="shared" si="840"/>
        <v>0</v>
      </c>
      <c r="BA121" s="97">
        <f t="shared" si="841"/>
        <v>0</v>
      </c>
      <c r="BB121" s="97">
        <f t="shared" si="842"/>
        <v>0</v>
      </c>
      <c r="BC121" s="1" t="s">
        <v>1783</v>
      </c>
    </row>
    <row r="122" spans="1:55" hidden="1">
      <c r="A122" s="498">
        <v>83</v>
      </c>
      <c r="B122" s="13"/>
      <c r="C122" s="23"/>
      <c r="D122" s="15"/>
      <c r="E122" s="21" t="s">
        <v>735</v>
      </c>
      <c r="F122" s="46" t="s">
        <v>736</v>
      </c>
      <c r="G122" s="46"/>
      <c r="H122" s="268" t="s">
        <v>364</v>
      </c>
      <c r="I122" s="18">
        <v>7.9</v>
      </c>
      <c r="J122" s="158"/>
      <c r="K122" s="18"/>
      <c r="L122" s="158"/>
      <c r="M122" s="18"/>
      <c r="N122" s="158"/>
      <c r="O122" s="18"/>
      <c r="P122" s="158"/>
      <c r="Q122" s="97">
        <f t="shared" ref="Q122" si="870">SUM(AI122+BA122)</f>
        <v>0</v>
      </c>
      <c r="R122" s="342">
        <f t="shared" ref="R122" si="871">SUM(AJ122+BB122)</f>
        <v>0</v>
      </c>
      <c r="S122" s="97"/>
      <c r="T122" s="97">
        <f t="shared" ref="T122" si="872">I122*S122*$T$2/1000</f>
        <v>0</v>
      </c>
      <c r="U122" s="97"/>
      <c r="V122" s="97">
        <f t="shared" ref="V122" si="873">I122*U122*$V$2/1000</f>
        <v>0</v>
      </c>
      <c r="W122" s="97"/>
      <c r="X122" s="97">
        <f t="shared" ref="X122" si="874">I122*W122*$X$2/1000</f>
        <v>0</v>
      </c>
      <c r="Y122" s="97">
        <f t="shared" ref="Y122" si="875">SUM(S122+U122+W122)</f>
        <v>0</v>
      </c>
      <c r="Z122" s="97">
        <f t="shared" ref="Z122" si="876">SUM(T122+V122+X122)</f>
        <v>0</v>
      </c>
      <c r="AA122" s="97"/>
      <c r="AB122" s="97">
        <f t="shared" si="850"/>
        <v>0</v>
      </c>
      <c r="AC122" s="97"/>
      <c r="AD122" s="97">
        <f t="shared" ref="AD122" si="877">K122*AC122*$AD$2/1000</f>
        <v>0</v>
      </c>
      <c r="AE122" s="97"/>
      <c r="AF122" s="96">
        <f t="shared" ref="AF122" si="878">K122*AE122*$AF$2/1000</f>
        <v>0</v>
      </c>
      <c r="AG122" s="97">
        <f t="shared" ref="AG122" si="879">SUM(AA122+AC122+AE122)</f>
        <v>0</v>
      </c>
      <c r="AH122" s="97">
        <f t="shared" ref="AH122" si="880">SUM(AB122+AD122+AF122)</f>
        <v>0</v>
      </c>
      <c r="AI122" s="97">
        <f t="shared" ref="AI122" si="881">SUM(Y122+AG122)</f>
        <v>0</v>
      </c>
      <c r="AJ122" s="97">
        <f t="shared" ref="AJ122" si="882">SUM(Z122,AH122)</f>
        <v>0</v>
      </c>
      <c r="AK122" s="97"/>
      <c r="AL122" s="97">
        <f t="shared" ref="AL122" si="883">M122*AK122*$AL$2/1000</f>
        <v>0</v>
      </c>
      <c r="AM122" s="97"/>
      <c r="AN122" s="97">
        <f t="shared" ref="AN122" si="884">M122*AM122*$AN$2/1000</f>
        <v>0</v>
      </c>
      <c r="AO122" s="97"/>
      <c r="AP122" s="97">
        <f t="shared" ref="AP122" si="885">M122*AO122*$AP$2/1000</f>
        <v>0</v>
      </c>
      <c r="AQ122" s="97">
        <f t="shared" ref="AQ122" si="886">SUM(AK122+AM122+AO122)</f>
        <v>0</v>
      </c>
      <c r="AR122" s="97">
        <f t="shared" ref="AR122" si="887">SUM(AL122+AN122+AP122)</f>
        <v>0</v>
      </c>
      <c r="AS122" s="97"/>
      <c r="AT122" s="97">
        <f t="shared" ref="AT122" si="888">O122*AS122*$AT$2/1000</f>
        <v>0</v>
      </c>
      <c r="AU122" s="97"/>
      <c r="AV122" s="97">
        <f t="shared" ref="AV122" si="889">O122*AU122*$AV$2/1000</f>
        <v>0</v>
      </c>
      <c r="AW122" s="97"/>
      <c r="AX122" s="97">
        <f t="shared" ref="AX122" si="890">O122*AW122*$AX$2/1000</f>
        <v>0</v>
      </c>
      <c r="AY122" s="97">
        <f t="shared" ref="AY122" si="891">SUM(AS122+AU122+AW122)</f>
        <v>0</v>
      </c>
      <c r="AZ122" s="97">
        <f t="shared" ref="AZ122" si="892">SUM(AT122+AV122+AX122)</f>
        <v>0</v>
      </c>
      <c r="BA122" s="97">
        <f t="shared" ref="BA122" si="893">SUM(AQ122+AY122)</f>
        <v>0</v>
      </c>
      <c r="BB122" s="97">
        <f t="shared" ref="BB122" si="894">SUM(AR122,AZ122)</f>
        <v>0</v>
      </c>
      <c r="BC122" s="1" t="s">
        <v>1783</v>
      </c>
    </row>
    <row r="123" spans="1:55" hidden="1">
      <c r="A123" s="498">
        <v>84</v>
      </c>
      <c r="B123" s="13"/>
      <c r="C123" s="23"/>
      <c r="D123" s="15"/>
      <c r="E123" s="21" t="s">
        <v>102</v>
      </c>
      <c r="F123" s="46" t="s">
        <v>103</v>
      </c>
      <c r="G123" s="46"/>
      <c r="H123" s="268" t="s">
        <v>364</v>
      </c>
      <c r="I123" s="18">
        <v>5.45</v>
      </c>
      <c r="J123" s="158"/>
      <c r="K123" s="18"/>
      <c r="L123" s="158"/>
      <c r="M123" s="18"/>
      <c r="N123" s="158"/>
      <c r="O123" s="18"/>
      <c r="P123" s="158"/>
      <c r="Q123" s="97">
        <f t="shared" si="818"/>
        <v>0</v>
      </c>
      <c r="R123" s="342">
        <f t="shared" si="819"/>
        <v>0</v>
      </c>
      <c r="S123" s="97"/>
      <c r="T123" s="97">
        <f t="shared" si="820"/>
        <v>0</v>
      </c>
      <c r="U123" s="97"/>
      <c r="V123" s="97">
        <f t="shared" si="821"/>
        <v>0</v>
      </c>
      <c r="W123" s="97"/>
      <c r="X123" s="97">
        <f t="shared" si="822"/>
        <v>0</v>
      </c>
      <c r="Y123" s="97">
        <f t="shared" si="823"/>
        <v>0</v>
      </c>
      <c r="Z123" s="97">
        <f t="shared" si="824"/>
        <v>0</v>
      </c>
      <c r="AA123" s="97"/>
      <c r="AB123" s="97">
        <f t="shared" si="825"/>
        <v>0</v>
      </c>
      <c r="AC123" s="97"/>
      <c r="AD123" s="97">
        <f t="shared" si="826"/>
        <v>0</v>
      </c>
      <c r="AE123" s="97"/>
      <c r="AF123" s="96">
        <f t="shared" si="868"/>
        <v>0</v>
      </c>
      <c r="AG123" s="97">
        <f t="shared" si="827"/>
        <v>0</v>
      </c>
      <c r="AH123" s="97">
        <f t="shared" si="828"/>
        <v>0</v>
      </c>
      <c r="AI123" s="97">
        <f t="shared" si="829"/>
        <v>0</v>
      </c>
      <c r="AJ123" s="97">
        <f t="shared" si="830"/>
        <v>0</v>
      </c>
      <c r="AK123" s="97"/>
      <c r="AL123" s="97">
        <f t="shared" si="831"/>
        <v>0</v>
      </c>
      <c r="AM123" s="97"/>
      <c r="AN123" s="97">
        <f t="shared" si="869"/>
        <v>0</v>
      </c>
      <c r="AO123" s="97"/>
      <c r="AP123" s="97">
        <f t="shared" si="833"/>
        <v>0</v>
      </c>
      <c r="AQ123" s="97">
        <f t="shared" si="834"/>
        <v>0</v>
      </c>
      <c r="AR123" s="97">
        <f t="shared" si="835"/>
        <v>0</v>
      </c>
      <c r="AS123" s="97"/>
      <c r="AT123" s="97">
        <f t="shared" si="836"/>
        <v>0</v>
      </c>
      <c r="AU123" s="97"/>
      <c r="AV123" s="97">
        <f t="shared" si="837"/>
        <v>0</v>
      </c>
      <c r="AW123" s="97"/>
      <c r="AX123" s="97">
        <f t="shared" si="838"/>
        <v>0</v>
      </c>
      <c r="AY123" s="97">
        <f t="shared" si="839"/>
        <v>0</v>
      </c>
      <c r="AZ123" s="97">
        <f t="shared" si="840"/>
        <v>0</v>
      </c>
      <c r="BA123" s="97">
        <f t="shared" si="841"/>
        <v>0</v>
      </c>
      <c r="BB123" s="97">
        <f t="shared" si="842"/>
        <v>0</v>
      </c>
      <c r="BC123" s="1" t="s">
        <v>1783</v>
      </c>
    </row>
    <row r="124" spans="1:55" hidden="1">
      <c r="A124" s="498">
        <v>85</v>
      </c>
      <c r="B124" s="13"/>
      <c r="C124" s="23"/>
      <c r="D124" s="15"/>
      <c r="E124" s="21" t="s">
        <v>31</v>
      </c>
      <c r="F124" s="46" t="s">
        <v>32</v>
      </c>
      <c r="G124" s="46"/>
      <c r="H124" s="268" t="s">
        <v>364</v>
      </c>
      <c r="I124" s="18">
        <v>6.88</v>
      </c>
      <c r="J124" s="158"/>
      <c r="K124" s="18"/>
      <c r="L124" s="158"/>
      <c r="M124" s="18"/>
      <c r="N124" s="158"/>
      <c r="O124" s="18"/>
      <c r="P124" s="158"/>
      <c r="Q124" s="97">
        <f t="shared" si="818"/>
        <v>0</v>
      </c>
      <c r="R124" s="342">
        <f t="shared" si="819"/>
        <v>0</v>
      </c>
      <c r="S124" s="97"/>
      <c r="T124" s="97">
        <f t="shared" si="820"/>
        <v>0</v>
      </c>
      <c r="U124" s="97"/>
      <c r="V124" s="97">
        <f t="shared" si="821"/>
        <v>0</v>
      </c>
      <c r="W124" s="97"/>
      <c r="X124" s="97">
        <f t="shared" si="822"/>
        <v>0</v>
      </c>
      <c r="Y124" s="97">
        <f t="shared" si="823"/>
        <v>0</v>
      </c>
      <c r="Z124" s="97">
        <f t="shared" si="824"/>
        <v>0</v>
      </c>
      <c r="AA124" s="97"/>
      <c r="AB124" s="97">
        <f t="shared" ref="AB124:AB130" si="895">K124*AA124*$AB$2/1000</f>
        <v>0</v>
      </c>
      <c r="AC124" s="97"/>
      <c r="AD124" s="97">
        <f t="shared" si="826"/>
        <v>0</v>
      </c>
      <c r="AE124" s="97"/>
      <c r="AF124" s="96">
        <f t="shared" si="868"/>
        <v>0</v>
      </c>
      <c r="AG124" s="97">
        <f t="shared" si="827"/>
        <v>0</v>
      </c>
      <c r="AH124" s="97">
        <f t="shared" si="828"/>
        <v>0</v>
      </c>
      <c r="AI124" s="97">
        <f t="shared" si="829"/>
        <v>0</v>
      </c>
      <c r="AJ124" s="97">
        <f t="shared" si="830"/>
        <v>0</v>
      </c>
      <c r="AK124" s="97"/>
      <c r="AL124" s="97">
        <f t="shared" si="831"/>
        <v>0</v>
      </c>
      <c r="AM124" s="97"/>
      <c r="AN124" s="97">
        <f t="shared" si="869"/>
        <v>0</v>
      </c>
      <c r="AO124" s="97"/>
      <c r="AP124" s="97">
        <f t="shared" si="833"/>
        <v>0</v>
      </c>
      <c r="AQ124" s="97">
        <f t="shared" si="834"/>
        <v>0</v>
      </c>
      <c r="AR124" s="97">
        <f t="shared" si="835"/>
        <v>0</v>
      </c>
      <c r="AS124" s="97"/>
      <c r="AT124" s="97">
        <f t="shared" si="836"/>
        <v>0</v>
      </c>
      <c r="AU124" s="97"/>
      <c r="AV124" s="97">
        <f t="shared" si="837"/>
        <v>0</v>
      </c>
      <c r="AW124" s="97"/>
      <c r="AX124" s="97">
        <f t="shared" si="838"/>
        <v>0</v>
      </c>
      <c r="AY124" s="97">
        <f t="shared" si="839"/>
        <v>0</v>
      </c>
      <c r="AZ124" s="97">
        <f t="shared" si="840"/>
        <v>0</v>
      </c>
      <c r="BA124" s="97">
        <f t="shared" si="841"/>
        <v>0</v>
      </c>
      <c r="BB124" s="97">
        <f t="shared" si="842"/>
        <v>0</v>
      </c>
      <c r="BC124" s="1" t="s">
        <v>1783</v>
      </c>
    </row>
    <row r="125" spans="1:55" hidden="1">
      <c r="A125" s="498">
        <v>86</v>
      </c>
      <c r="B125" s="13"/>
      <c r="C125" s="33"/>
      <c r="D125" s="15"/>
      <c r="E125" s="21" t="s">
        <v>104</v>
      </c>
      <c r="F125" s="46" t="s">
        <v>105</v>
      </c>
      <c r="G125" s="46"/>
      <c r="H125" s="268" t="s">
        <v>364</v>
      </c>
      <c r="I125" s="18">
        <v>6.39</v>
      </c>
      <c r="J125" s="158"/>
      <c r="K125" s="18"/>
      <c r="L125" s="158"/>
      <c r="M125" s="18"/>
      <c r="N125" s="158"/>
      <c r="O125" s="18"/>
      <c r="P125" s="158"/>
      <c r="Q125" s="97">
        <f t="shared" si="818"/>
        <v>0</v>
      </c>
      <c r="R125" s="342">
        <f t="shared" si="819"/>
        <v>0</v>
      </c>
      <c r="S125" s="97"/>
      <c r="T125" s="97">
        <f t="shared" si="820"/>
        <v>0</v>
      </c>
      <c r="U125" s="97"/>
      <c r="V125" s="97">
        <f t="shared" si="821"/>
        <v>0</v>
      </c>
      <c r="W125" s="97"/>
      <c r="X125" s="97">
        <f t="shared" si="822"/>
        <v>0</v>
      </c>
      <c r="Y125" s="97">
        <f t="shared" si="823"/>
        <v>0</v>
      </c>
      <c r="Z125" s="97">
        <f t="shared" si="824"/>
        <v>0</v>
      </c>
      <c r="AA125" s="97"/>
      <c r="AB125" s="97">
        <f t="shared" si="895"/>
        <v>0</v>
      </c>
      <c r="AC125" s="97"/>
      <c r="AD125" s="97">
        <f t="shared" si="826"/>
        <v>0</v>
      </c>
      <c r="AE125" s="97"/>
      <c r="AF125" s="96">
        <f t="shared" si="868"/>
        <v>0</v>
      </c>
      <c r="AG125" s="97">
        <f t="shared" si="827"/>
        <v>0</v>
      </c>
      <c r="AH125" s="97">
        <f t="shared" si="828"/>
        <v>0</v>
      </c>
      <c r="AI125" s="97">
        <f t="shared" si="829"/>
        <v>0</v>
      </c>
      <c r="AJ125" s="97">
        <f t="shared" si="830"/>
        <v>0</v>
      </c>
      <c r="AK125" s="97"/>
      <c r="AL125" s="97">
        <f>M125*AK125*$AL$2/1000</f>
        <v>0</v>
      </c>
      <c r="AM125" s="97"/>
      <c r="AN125" s="97">
        <f>M125*AM125*$AN$2/1000</f>
        <v>0</v>
      </c>
      <c r="AO125" s="97"/>
      <c r="AP125" s="97">
        <f t="shared" si="833"/>
        <v>0</v>
      </c>
      <c r="AQ125" s="97">
        <f t="shared" si="834"/>
        <v>0</v>
      </c>
      <c r="AR125" s="97">
        <f t="shared" si="835"/>
        <v>0</v>
      </c>
      <c r="AS125" s="97"/>
      <c r="AT125" s="97">
        <f t="shared" si="836"/>
        <v>0</v>
      </c>
      <c r="AU125" s="97"/>
      <c r="AV125" s="97">
        <f t="shared" si="837"/>
        <v>0</v>
      </c>
      <c r="AW125" s="97"/>
      <c r="AX125" s="97">
        <f t="shared" si="838"/>
        <v>0</v>
      </c>
      <c r="AY125" s="97">
        <f t="shared" si="839"/>
        <v>0</v>
      </c>
      <c r="AZ125" s="97">
        <f t="shared" si="840"/>
        <v>0</v>
      </c>
      <c r="BA125" s="97">
        <f t="shared" si="841"/>
        <v>0</v>
      </c>
      <c r="BB125" s="97">
        <f t="shared" si="842"/>
        <v>0</v>
      </c>
      <c r="BC125" s="1" t="s">
        <v>1783</v>
      </c>
    </row>
    <row r="126" spans="1:55" hidden="1">
      <c r="A126" s="498">
        <v>87</v>
      </c>
      <c r="B126" s="13"/>
      <c r="C126" s="33"/>
      <c r="D126" s="15"/>
      <c r="E126" s="21" t="s">
        <v>106</v>
      </c>
      <c r="F126" s="46" t="s">
        <v>107</v>
      </c>
      <c r="G126" s="46"/>
      <c r="H126" s="268" t="s">
        <v>364</v>
      </c>
      <c r="I126" s="18">
        <v>6.37</v>
      </c>
      <c r="J126" s="158"/>
      <c r="K126" s="18"/>
      <c r="L126" s="158"/>
      <c r="M126" s="18"/>
      <c r="N126" s="158"/>
      <c r="O126" s="18"/>
      <c r="P126" s="158"/>
      <c r="Q126" s="97">
        <f t="shared" si="818"/>
        <v>0</v>
      </c>
      <c r="R126" s="342">
        <f t="shared" si="819"/>
        <v>0</v>
      </c>
      <c r="S126" s="97"/>
      <c r="T126" s="97">
        <f t="shared" si="820"/>
        <v>0</v>
      </c>
      <c r="U126" s="97"/>
      <c r="V126" s="97">
        <f t="shared" si="821"/>
        <v>0</v>
      </c>
      <c r="W126" s="97"/>
      <c r="X126" s="97">
        <f t="shared" si="822"/>
        <v>0</v>
      </c>
      <c r="Y126" s="97">
        <f t="shared" si="823"/>
        <v>0</v>
      </c>
      <c r="Z126" s="97">
        <f t="shared" si="824"/>
        <v>0</v>
      </c>
      <c r="AA126" s="97"/>
      <c r="AB126" s="97">
        <f t="shared" si="895"/>
        <v>0</v>
      </c>
      <c r="AC126" s="97"/>
      <c r="AD126" s="97">
        <f t="shared" si="826"/>
        <v>0</v>
      </c>
      <c r="AE126" s="97"/>
      <c r="AF126" s="96">
        <f t="shared" si="868"/>
        <v>0</v>
      </c>
      <c r="AG126" s="97">
        <f t="shared" si="827"/>
        <v>0</v>
      </c>
      <c r="AH126" s="97">
        <f t="shared" si="828"/>
        <v>0</v>
      </c>
      <c r="AI126" s="97">
        <f t="shared" si="829"/>
        <v>0</v>
      </c>
      <c r="AJ126" s="97">
        <f t="shared" si="830"/>
        <v>0</v>
      </c>
      <c r="AK126" s="97"/>
      <c r="AL126" s="97">
        <f>M126*AK126*$AL$2/1000</f>
        <v>0</v>
      </c>
      <c r="AM126" s="97"/>
      <c r="AN126" s="97">
        <f t="shared" si="869"/>
        <v>0</v>
      </c>
      <c r="AO126" s="97"/>
      <c r="AP126" s="97">
        <f t="shared" si="833"/>
        <v>0</v>
      </c>
      <c r="AQ126" s="97">
        <f t="shared" si="834"/>
        <v>0</v>
      </c>
      <c r="AR126" s="97">
        <f t="shared" si="835"/>
        <v>0</v>
      </c>
      <c r="AS126" s="97"/>
      <c r="AT126" s="97">
        <f t="shared" si="836"/>
        <v>0</v>
      </c>
      <c r="AU126" s="97"/>
      <c r="AV126" s="97">
        <f t="shared" si="837"/>
        <v>0</v>
      </c>
      <c r="AW126" s="97"/>
      <c r="AX126" s="97">
        <f>O126*AW126*$AX$2/1000</f>
        <v>0</v>
      </c>
      <c r="AY126" s="97">
        <f t="shared" si="839"/>
        <v>0</v>
      </c>
      <c r="AZ126" s="97">
        <f t="shared" si="840"/>
        <v>0</v>
      </c>
      <c r="BA126" s="97">
        <f t="shared" si="841"/>
        <v>0</v>
      </c>
      <c r="BB126" s="97">
        <f t="shared" si="842"/>
        <v>0</v>
      </c>
      <c r="BC126" s="1" t="s">
        <v>1783</v>
      </c>
    </row>
    <row r="127" spans="1:55" hidden="1">
      <c r="A127" s="498">
        <v>88</v>
      </c>
      <c r="B127" s="13"/>
      <c r="C127" s="33"/>
      <c r="D127" s="15"/>
      <c r="E127" s="21" t="s">
        <v>108</v>
      </c>
      <c r="F127" s="46" t="s">
        <v>109</v>
      </c>
      <c r="G127" s="46"/>
      <c r="H127" s="268" t="s">
        <v>364</v>
      </c>
      <c r="I127" s="18">
        <v>7.51</v>
      </c>
      <c r="J127" s="158"/>
      <c r="K127" s="18"/>
      <c r="L127" s="158"/>
      <c r="M127" s="18"/>
      <c r="N127" s="158"/>
      <c r="O127" s="18"/>
      <c r="P127" s="158"/>
      <c r="Q127" s="97">
        <f t="shared" si="818"/>
        <v>0</v>
      </c>
      <c r="R127" s="342">
        <f t="shared" si="819"/>
        <v>0</v>
      </c>
      <c r="S127" s="97"/>
      <c r="T127" s="97">
        <f t="shared" si="820"/>
        <v>0</v>
      </c>
      <c r="U127" s="97"/>
      <c r="V127" s="97">
        <f t="shared" si="821"/>
        <v>0</v>
      </c>
      <c r="W127" s="97"/>
      <c r="X127" s="97">
        <f t="shared" si="822"/>
        <v>0</v>
      </c>
      <c r="Y127" s="97">
        <f t="shared" si="823"/>
        <v>0</v>
      </c>
      <c r="Z127" s="97">
        <f t="shared" si="824"/>
        <v>0</v>
      </c>
      <c r="AA127" s="97"/>
      <c r="AB127" s="97">
        <f t="shared" si="895"/>
        <v>0</v>
      </c>
      <c r="AC127" s="97"/>
      <c r="AD127" s="97">
        <f t="shared" si="826"/>
        <v>0</v>
      </c>
      <c r="AE127" s="97"/>
      <c r="AF127" s="96">
        <f t="shared" si="868"/>
        <v>0</v>
      </c>
      <c r="AG127" s="97">
        <f t="shared" si="827"/>
        <v>0</v>
      </c>
      <c r="AH127" s="97">
        <f t="shared" si="828"/>
        <v>0</v>
      </c>
      <c r="AI127" s="97">
        <f t="shared" si="829"/>
        <v>0</v>
      </c>
      <c r="AJ127" s="97">
        <f t="shared" si="830"/>
        <v>0</v>
      </c>
      <c r="AK127" s="97"/>
      <c r="AL127" s="97">
        <f t="shared" si="831"/>
        <v>0</v>
      </c>
      <c r="AM127" s="97"/>
      <c r="AN127" s="97">
        <f t="shared" si="869"/>
        <v>0</v>
      </c>
      <c r="AO127" s="97"/>
      <c r="AP127" s="97">
        <f t="shared" si="833"/>
        <v>0</v>
      </c>
      <c r="AQ127" s="97">
        <f t="shared" si="834"/>
        <v>0</v>
      </c>
      <c r="AR127" s="97">
        <f t="shared" si="835"/>
        <v>0</v>
      </c>
      <c r="AS127" s="97"/>
      <c r="AT127" s="97">
        <f t="shared" si="836"/>
        <v>0</v>
      </c>
      <c r="AU127" s="97"/>
      <c r="AV127" s="97">
        <f t="shared" si="837"/>
        <v>0</v>
      </c>
      <c r="AW127" s="97"/>
      <c r="AX127" s="97">
        <f t="shared" si="838"/>
        <v>0</v>
      </c>
      <c r="AY127" s="97">
        <f t="shared" si="839"/>
        <v>0</v>
      </c>
      <c r="AZ127" s="97">
        <f t="shared" si="840"/>
        <v>0</v>
      </c>
      <c r="BA127" s="97">
        <f t="shared" si="841"/>
        <v>0</v>
      </c>
      <c r="BB127" s="97">
        <f t="shared" si="842"/>
        <v>0</v>
      </c>
      <c r="BC127" s="1" t="s">
        <v>1783</v>
      </c>
    </row>
    <row r="128" spans="1:55" hidden="1">
      <c r="A128" s="498">
        <v>89</v>
      </c>
      <c r="B128" s="13"/>
      <c r="C128" s="23"/>
      <c r="D128" s="15"/>
      <c r="E128" s="21" t="s">
        <v>110</v>
      </c>
      <c r="F128" s="46" t="s">
        <v>111</v>
      </c>
      <c r="G128" s="46"/>
      <c r="H128" s="268" t="s">
        <v>364</v>
      </c>
      <c r="I128" s="18">
        <v>7.68</v>
      </c>
      <c r="J128" s="158"/>
      <c r="K128" s="18"/>
      <c r="L128" s="158"/>
      <c r="M128" s="18"/>
      <c r="N128" s="158"/>
      <c r="O128" s="18"/>
      <c r="P128" s="158"/>
      <c r="Q128" s="97">
        <f t="shared" si="818"/>
        <v>0</v>
      </c>
      <c r="R128" s="342">
        <f t="shared" si="819"/>
        <v>0</v>
      </c>
      <c r="S128" s="97"/>
      <c r="T128" s="97">
        <f t="shared" si="820"/>
        <v>0</v>
      </c>
      <c r="U128" s="97"/>
      <c r="V128" s="97">
        <f t="shared" si="821"/>
        <v>0</v>
      </c>
      <c r="W128" s="97"/>
      <c r="X128" s="97">
        <f t="shared" si="822"/>
        <v>0</v>
      </c>
      <c r="Y128" s="97">
        <f t="shared" si="823"/>
        <v>0</v>
      </c>
      <c r="Z128" s="97">
        <f t="shared" si="824"/>
        <v>0</v>
      </c>
      <c r="AA128" s="97"/>
      <c r="AB128" s="97">
        <f t="shared" si="895"/>
        <v>0</v>
      </c>
      <c r="AC128" s="97"/>
      <c r="AD128" s="97">
        <f t="shared" si="826"/>
        <v>0</v>
      </c>
      <c r="AE128" s="97"/>
      <c r="AF128" s="96">
        <f t="shared" si="868"/>
        <v>0</v>
      </c>
      <c r="AG128" s="97">
        <f t="shared" si="827"/>
        <v>0</v>
      </c>
      <c r="AH128" s="97">
        <f t="shared" si="828"/>
        <v>0</v>
      </c>
      <c r="AI128" s="97">
        <f t="shared" si="829"/>
        <v>0</v>
      </c>
      <c r="AJ128" s="97">
        <f t="shared" si="830"/>
        <v>0</v>
      </c>
      <c r="AK128" s="97"/>
      <c r="AL128" s="97">
        <f t="shared" si="831"/>
        <v>0</v>
      </c>
      <c r="AM128" s="97"/>
      <c r="AN128" s="97">
        <f t="shared" si="869"/>
        <v>0</v>
      </c>
      <c r="AO128" s="97"/>
      <c r="AP128" s="97">
        <f t="shared" si="833"/>
        <v>0</v>
      </c>
      <c r="AQ128" s="97">
        <f t="shared" si="834"/>
        <v>0</v>
      </c>
      <c r="AR128" s="97">
        <f t="shared" si="835"/>
        <v>0</v>
      </c>
      <c r="AS128" s="97"/>
      <c r="AT128" s="97">
        <f>O128*AS128*$AT$2/1000</f>
        <v>0</v>
      </c>
      <c r="AU128" s="97"/>
      <c r="AV128" s="97">
        <f t="shared" si="837"/>
        <v>0</v>
      </c>
      <c r="AW128" s="97"/>
      <c r="AX128" s="97">
        <f t="shared" si="838"/>
        <v>0</v>
      </c>
      <c r="AY128" s="97">
        <f t="shared" si="839"/>
        <v>0</v>
      </c>
      <c r="AZ128" s="97">
        <f t="shared" si="840"/>
        <v>0</v>
      </c>
      <c r="BA128" s="97">
        <f t="shared" si="841"/>
        <v>0</v>
      </c>
      <c r="BB128" s="97">
        <f t="shared" si="842"/>
        <v>0</v>
      </c>
      <c r="BC128" s="1" t="s">
        <v>1783</v>
      </c>
    </row>
    <row r="129" spans="1:55" hidden="1">
      <c r="A129" s="498">
        <v>90</v>
      </c>
      <c r="B129" s="13"/>
      <c r="C129" s="33"/>
      <c r="D129" s="15"/>
      <c r="E129" s="21" t="s">
        <v>113</v>
      </c>
      <c r="F129" s="46" t="s">
        <v>112</v>
      </c>
      <c r="G129" s="46"/>
      <c r="H129" s="268" t="s">
        <v>366</v>
      </c>
      <c r="I129" s="18">
        <v>5.9</v>
      </c>
      <c r="J129" s="158"/>
      <c r="K129" s="18"/>
      <c r="L129" s="158"/>
      <c r="M129" s="18"/>
      <c r="N129" s="158"/>
      <c r="O129" s="18"/>
      <c r="P129" s="158"/>
      <c r="Q129" s="97">
        <f t="shared" si="818"/>
        <v>0</v>
      </c>
      <c r="R129" s="342">
        <f t="shared" si="819"/>
        <v>0</v>
      </c>
      <c r="S129" s="97"/>
      <c r="T129" s="97">
        <f t="shared" si="820"/>
        <v>0</v>
      </c>
      <c r="U129" s="97"/>
      <c r="V129" s="97">
        <f t="shared" si="821"/>
        <v>0</v>
      </c>
      <c r="W129" s="97"/>
      <c r="X129" s="97">
        <f t="shared" si="822"/>
        <v>0</v>
      </c>
      <c r="Y129" s="97">
        <f t="shared" si="823"/>
        <v>0</v>
      </c>
      <c r="Z129" s="97">
        <f t="shared" si="824"/>
        <v>0</v>
      </c>
      <c r="AA129" s="97"/>
      <c r="AB129" s="97">
        <f t="shared" si="895"/>
        <v>0</v>
      </c>
      <c r="AC129" s="97"/>
      <c r="AD129" s="97">
        <f t="shared" si="826"/>
        <v>0</v>
      </c>
      <c r="AE129" s="97"/>
      <c r="AF129" s="96">
        <f t="shared" si="868"/>
        <v>0</v>
      </c>
      <c r="AG129" s="97">
        <f t="shared" si="827"/>
        <v>0</v>
      </c>
      <c r="AH129" s="97">
        <f t="shared" si="828"/>
        <v>0</v>
      </c>
      <c r="AI129" s="97">
        <f t="shared" si="829"/>
        <v>0</v>
      </c>
      <c r="AJ129" s="97">
        <f t="shared" si="830"/>
        <v>0</v>
      </c>
      <c r="AK129" s="97"/>
      <c r="AL129" s="97">
        <f t="shared" si="831"/>
        <v>0</v>
      </c>
      <c r="AM129" s="97"/>
      <c r="AN129" s="97">
        <f t="shared" si="869"/>
        <v>0</v>
      </c>
      <c r="AO129" s="97"/>
      <c r="AP129" s="97">
        <f t="shared" si="833"/>
        <v>0</v>
      </c>
      <c r="AQ129" s="97">
        <f t="shared" si="834"/>
        <v>0</v>
      </c>
      <c r="AR129" s="97">
        <f t="shared" si="835"/>
        <v>0</v>
      </c>
      <c r="AS129" s="97"/>
      <c r="AT129" s="97">
        <f t="shared" si="836"/>
        <v>0</v>
      </c>
      <c r="AU129" s="97"/>
      <c r="AV129" s="97">
        <f t="shared" si="837"/>
        <v>0</v>
      </c>
      <c r="AW129" s="97"/>
      <c r="AX129" s="97">
        <f t="shared" si="838"/>
        <v>0</v>
      </c>
      <c r="AY129" s="97">
        <f t="shared" si="839"/>
        <v>0</v>
      </c>
      <c r="AZ129" s="97">
        <f t="shared" si="840"/>
        <v>0</v>
      </c>
      <c r="BA129" s="97">
        <f t="shared" si="841"/>
        <v>0</v>
      </c>
      <c r="BB129" s="97">
        <f t="shared" si="842"/>
        <v>0</v>
      </c>
      <c r="BC129" s="1" t="s">
        <v>1783</v>
      </c>
    </row>
    <row r="130" spans="1:55" hidden="1">
      <c r="A130" s="498">
        <v>91</v>
      </c>
      <c r="B130" s="13"/>
      <c r="C130" s="33"/>
      <c r="D130" s="15"/>
      <c r="E130" s="21" t="s">
        <v>327</v>
      </c>
      <c r="F130" s="46" t="s">
        <v>326</v>
      </c>
      <c r="G130" s="46"/>
      <c r="H130" s="268" t="s">
        <v>366</v>
      </c>
      <c r="I130" s="18">
        <v>6.25</v>
      </c>
      <c r="J130" s="158"/>
      <c r="K130" s="18"/>
      <c r="L130" s="158"/>
      <c r="M130" s="18"/>
      <c r="N130" s="158"/>
      <c r="O130" s="18"/>
      <c r="P130" s="158"/>
      <c r="Q130" s="97">
        <f t="shared" si="818"/>
        <v>0</v>
      </c>
      <c r="R130" s="342">
        <f t="shared" si="819"/>
        <v>0</v>
      </c>
      <c r="S130" s="97"/>
      <c r="T130" s="97">
        <f t="shared" si="820"/>
        <v>0</v>
      </c>
      <c r="U130" s="97"/>
      <c r="V130" s="97">
        <f t="shared" si="821"/>
        <v>0</v>
      </c>
      <c r="W130" s="97"/>
      <c r="X130" s="97">
        <f t="shared" si="822"/>
        <v>0</v>
      </c>
      <c r="Y130" s="97">
        <f t="shared" si="823"/>
        <v>0</v>
      </c>
      <c r="Z130" s="97">
        <f t="shared" si="824"/>
        <v>0</v>
      </c>
      <c r="AA130" s="97"/>
      <c r="AB130" s="97">
        <f t="shared" si="895"/>
        <v>0</v>
      </c>
      <c r="AC130" s="97"/>
      <c r="AD130" s="97">
        <f t="shared" si="826"/>
        <v>0</v>
      </c>
      <c r="AE130" s="97"/>
      <c r="AF130" s="96">
        <f t="shared" si="868"/>
        <v>0</v>
      </c>
      <c r="AG130" s="97">
        <f t="shared" si="827"/>
        <v>0</v>
      </c>
      <c r="AH130" s="97">
        <f t="shared" si="828"/>
        <v>0</v>
      </c>
      <c r="AI130" s="97">
        <f t="shared" si="829"/>
        <v>0</v>
      </c>
      <c r="AJ130" s="97">
        <f t="shared" si="830"/>
        <v>0</v>
      </c>
      <c r="AK130" s="97"/>
      <c r="AL130" s="97">
        <f t="shared" si="831"/>
        <v>0</v>
      </c>
      <c r="AM130" s="97"/>
      <c r="AN130" s="97">
        <f t="shared" si="869"/>
        <v>0</v>
      </c>
      <c r="AO130" s="97"/>
      <c r="AP130" s="97">
        <f t="shared" si="833"/>
        <v>0</v>
      </c>
      <c r="AQ130" s="97">
        <f t="shared" si="834"/>
        <v>0</v>
      </c>
      <c r="AR130" s="97">
        <f t="shared" si="835"/>
        <v>0</v>
      </c>
      <c r="AS130" s="97"/>
      <c r="AT130" s="97">
        <f t="shared" si="836"/>
        <v>0</v>
      </c>
      <c r="AU130" s="97"/>
      <c r="AV130" s="97">
        <f t="shared" si="837"/>
        <v>0</v>
      </c>
      <c r="AW130" s="97"/>
      <c r="AX130" s="97">
        <f t="shared" si="838"/>
        <v>0</v>
      </c>
      <c r="AY130" s="97">
        <f t="shared" si="839"/>
        <v>0</v>
      </c>
      <c r="AZ130" s="97">
        <f t="shared" si="840"/>
        <v>0</v>
      </c>
      <c r="BA130" s="97">
        <f t="shared" si="841"/>
        <v>0</v>
      </c>
      <c r="BB130" s="97">
        <f t="shared" si="842"/>
        <v>0</v>
      </c>
      <c r="BC130" s="1" t="s">
        <v>1783</v>
      </c>
    </row>
    <row r="131" spans="1:55" hidden="1">
      <c r="A131" s="498">
        <v>92</v>
      </c>
      <c r="B131" s="13"/>
      <c r="C131" s="23"/>
      <c r="D131" s="15"/>
      <c r="E131" s="21" t="s">
        <v>549</v>
      </c>
      <c r="F131" s="46" t="s">
        <v>548</v>
      </c>
      <c r="G131" s="46"/>
      <c r="H131" s="268" t="s">
        <v>366</v>
      </c>
      <c r="I131" s="18">
        <v>6.03</v>
      </c>
      <c r="J131" s="158"/>
      <c r="K131" s="18"/>
      <c r="L131" s="158"/>
      <c r="M131" s="18"/>
      <c r="N131" s="158"/>
      <c r="O131" s="18"/>
      <c r="P131" s="158"/>
      <c r="Q131" s="97">
        <f t="shared" ref="Q131:Q132" si="896">SUM(AI131+BA131)</f>
        <v>0</v>
      </c>
      <c r="R131" s="342">
        <f t="shared" ref="R131:R132" si="897">SUM(AJ131+BB131)</f>
        <v>0</v>
      </c>
      <c r="S131" s="97"/>
      <c r="T131" s="97">
        <f t="shared" ref="T131:T132" si="898">I131*S131*$T$2/1000</f>
        <v>0</v>
      </c>
      <c r="U131" s="97"/>
      <c r="V131" s="97">
        <f t="shared" ref="V131:V132" si="899">I131*U131*$V$2/1000</f>
        <v>0</v>
      </c>
      <c r="W131" s="97"/>
      <c r="X131" s="97">
        <f t="shared" ref="X131:X132" si="900">I131*W131*$X$2/1000</f>
        <v>0</v>
      </c>
      <c r="Y131" s="97">
        <f t="shared" ref="Y131:Y132" si="901">SUM(S131+U131+W131)</f>
        <v>0</v>
      </c>
      <c r="Z131" s="97">
        <f t="shared" ref="Z131:Z132" si="902">SUM(T131+V131+X131)</f>
        <v>0</v>
      </c>
      <c r="AA131" s="97"/>
      <c r="AB131" s="97">
        <f t="shared" ref="AB131" si="903">K131*AA131*$AB$2/1000</f>
        <v>0</v>
      </c>
      <c r="AC131" s="97"/>
      <c r="AD131" s="97">
        <f t="shared" ref="AD131:AD132" si="904">K131*AC131*$AD$2/1000</f>
        <v>0</v>
      </c>
      <c r="AE131" s="97"/>
      <c r="AF131" s="96">
        <f t="shared" si="868"/>
        <v>0</v>
      </c>
      <c r="AG131" s="97">
        <f t="shared" ref="AG131:AG132" si="905">SUM(AA131+AC131+AE131)</f>
        <v>0</v>
      </c>
      <c r="AH131" s="97">
        <f t="shared" ref="AH131:AH132" si="906">SUM(AB131+AD131+AF131)</f>
        <v>0</v>
      </c>
      <c r="AI131" s="97">
        <f t="shared" ref="AI131:AI132" si="907">SUM(Y131+AG131)</f>
        <v>0</v>
      </c>
      <c r="AJ131" s="97">
        <f t="shared" ref="AJ131:AJ132" si="908">SUM(Z131,AH131)</f>
        <v>0</v>
      </c>
      <c r="AK131" s="97"/>
      <c r="AL131" s="97">
        <f t="shared" ref="AL131" si="909">M131*AK131*$AL$2/1000</f>
        <v>0</v>
      </c>
      <c r="AM131" s="97"/>
      <c r="AN131" s="97">
        <f t="shared" ref="AN131" si="910">M131*AM131*$AN$2/1000</f>
        <v>0</v>
      </c>
      <c r="AO131" s="97"/>
      <c r="AP131" s="97">
        <f t="shared" si="833"/>
        <v>0</v>
      </c>
      <c r="AQ131" s="97">
        <f t="shared" ref="AQ131:AQ132" si="911">SUM(AK131+AM131+AO131)</f>
        <v>0</v>
      </c>
      <c r="AR131" s="97">
        <f t="shared" ref="AR131:AR132" si="912">SUM(AL131+AN131+AP131)</f>
        <v>0</v>
      </c>
      <c r="AS131" s="97"/>
      <c r="AT131" s="97">
        <f t="shared" ref="AT131:AT132" si="913">O131*AS131*$AT$2/1000</f>
        <v>0</v>
      </c>
      <c r="AU131" s="97"/>
      <c r="AV131" s="97">
        <f t="shared" ref="AV131:AV132" si="914">O131*AU131*$AV$2/1000</f>
        <v>0</v>
      </c>
      <c r="AW131" s="97"/>
      <c r="AX131" s="97">
        <f t="shared" ref="AX131:AX132" si="915">O131*AW131*$AX$2/1000</f>
        <v>0</v>
      </c>
      <c r="AY131" s="97">
        <f t="shared" ref="AY131:AY132" si="916">SUM(AS131+AU131+AW131)</f>
        <v>0</v>
      </c>
      <c r="AZ131" s="97">
        <f t="shared" ref="AZ131:AZ132" si="917">SUM(AT131+AV131+AX131)</f>
        <v>0</v>
      </c>
      <c r="BA131" s="97">
        <f t="shared" ref="BA131:BA132" si="918">SUM(AQ131+AY131)</f>
        <v>0</v>
      </c>
      <c r="BB131" s="97">
        <f t="shared" ref="BB131:BB132" si="919">SUM(AR131,AZ131)</f>
        <v>0</v>
      </c>
      <c r="BC131" s="1" t="s">
        <v>1783</v>
      </c>
    </row>
    <row r="132" spans="1:55" hidden="1">
      <c r="A132" s="498">
        <v>93</v>
      </c>
      <c r="B132" s="14"/>
      <c r="C132" s="14"/>
      <c r="D132" s="41"/>
      <c r="E132" s="21" t="s">
        <v>563</v>
      </c>
      <c r="F132" s="46" t="s">
        <v>564</v>
      </c>
      <c r="G132" s="46"/>
      <c r="H132" s="268" t="s">
        <v>364</v>
      </c>
      <c r="I132" s="55">
        <v>6.33</v>
      </c>
      <c r="J132" s="163"/>
      <c r="K132" s="55"/>
      <c r="L132" s="163"/>
      <c r="M132" s="55"/>
      <c r="N132" s="163"/>
      <c r="O132" s="55"/>
      <c r="P132" s="163"/>
      <c r="Q132" s="97">
        <f t="shared" si="896"/>
        <v>0</v>
      </c>
      <c r="R132" s="342">
        <f t="shared" si="897"/>
        <v>0</v>
      </c>
      <c r="S132" s="97"/>
      <c r="T132" s="97">
        <f t="shared" si="898"/>
        <v>0</v>
      </c>
      <c r="U132" s="97"/>
      <c r="V132" s="97">
        <f t="shared" si="899"/>
        <v>0</v>
      </c>
      <c r="W132" s="97"/>
      <c r="X132" s="97">
        <f t="shared" si="900"/>
        <v>0</v>
      </c>
      <c r="Y132" s="97">
        <f t="shared" si="901"/>
        <v>0</v>
      </c>
      <c r="Z132" s="97">
        <f t="shared" si="902"/>
        <v>0</v>
      </c>
      <c r="AA132" s="97"/>
      <c r="AB132" s="97">
        <f t="shared" ref="AB132:AB137" si="920">K132*AA132*$AB$2/1000</f>
        <v>0</v>
      </c>
      <c r="AC132" s="97"/>
      <c r="AD132" s="97">
        <f t="shared" si="904"/>
        <v>0</v>
      </c>
      <c r="AE132" s="97"/>
      <c r="AF132" s="96">
        <f t="shared" ref="AF132" si="921">K132*AE132*$AF$2/1000</f>
        <v>0</v>
      </c>
      <c r="AG132" s="97">
        <f t="shared" si="905"/>
        <v>0</v>
      </c>
      <c r="AH132" s="97">
        <f t="shared" si="906"/>
        <v>0</v>
      </c>
      <c r="AI132" s="97">
        <f t="shared" si="907"/>
        <v>0</v>
      </c>
      <c r="AJ132" s="97">
        <f t="shared" si="908"/>
        <v>0</v>
      </c>
      <c r="AK132" s="97"/>
      <c r="AL132" s="97">
        <f>M132*AK132*$AL$2/1000</f>
        <v>0</v>
      </c>
      <c r="AM132" s="97"/>
      <c r="AN132" s="97">
        <f>M132*AM132*$AN$2/1000</f>
        <v>0</v>
      </c>
      <c r="AO132" s="97"/>
      <c r="AP132" s="97">
        <f t="shared" si="833"/>
        <v>0</v>
      </c>
      <c r="AQ132" s="97">
        <f t="shared" si="911"/>
        <v>0</v>
      </c>
      <c r="AR132" s="97">
        <f t="shared" si="912"/>
        <v>0</v>
      </c>
      <c r="AS132" s="97"/>
      <c r="AT132" s="97">
        <f t="shared" si="913"/>
        <v>0</v>
      </c>
      <c r="AU132" s="97"/>
      <c r="AV132" s="97">
        <f t="shared" si="914"/>
        <v>0</v>
      </c>
      <c r="AW132" s="97"/>
      <c r="AX132" s="97">
        <f t="shared" si="915"/>
        <v>0</v>
      </c>
      <c r="AY132" s="97">
        <f t="shared" si="916"/>
        <v>0</v>
      </c>
      <c r="AZ132" s="97">
        <f t="shared" si="917"/>
        <v>0</v>
      </c>
      <c r="BA132" s="97">
        <f t="shared" si="918"/>
        <v>0</v>
      </c>
      <c r="BB132" s="97">
        <f t="shared" si="919"/>
        <v>0</v>
      </c>
      <c r="BC132" s="1" t="s">
        <v>1783</v>
      </c>
    </row>
    <row r="133" spans="1:55" hidden="1">
      <c r="A133" s="498">
        <v>94</v>
      </c>
      <c r="B133" s="13"/>
      <c r="C133" s="23"/>
      <c r="D133" s="15"/>
      <c r="E133" s="21" t="s">
        <v>114</v>
      </c>
      <c r="F133" s="46" t="s">
        <v>115</v>
      </c>
      <c r="G133" s="46"/>
      <c r="H133" s="268" t="s">
        <v>364</v>
      </c>
      <c r="I133" s="18">
        <v>5.68</v>
      </c>
      <c r="J133" s="158"/>
      <c r="K133" s="18"/>
      <c r="L133" s="158"/>
      <c r="M133" s="18"/>
      <c r="N133" s="158"/>
      <c r="O133" s="18"/>
      <c r="P133" s="158"/>
      <c r="Q133" s="97">
        <f t="shared" si="818"/>
        <v>0</v>
      </c>
      <c r="R133" s="342">
        <f t="shared" si="819"/>
        <v>0</v>
      </c>
      <c r="S133" s="97"/>
      <c r="T133" s="97">
        <f t="shared" si="820"/>
        <v>0</v>
      </c>
      <c r="U133" s="97"/>
      <c r="V133" s="97">
        <f t="shared" si="821"/>
        <v>0</v>
      </c>
      <c r="W133" s="97"/>
      <c r="X133" s="97">
        <f t="shared" si="822"/>
        <v>0</v>
      </c>
      <c r="Y133" s="97">
        <f t="shared" si="823"/>
        <v>0</v>
      </c>
      <c r="Z133" s="97">
        <f t="shared" si="824"/>
        <v>0</v>
      </c>
      <c r="AA133" s="97"/>
      <c r="AB133" s="97">
        <f t="shared" si="920"/>
        <v>0</v>
      </c>
      <c r="AC133" s="97"/>
      <c r="AD133" s="97">
        <f t="shared" si="826"/>
        <v>0</v>
      </c>
      <c r="AE133" s="97"/>
      <c r="AF133" s="96">
        <f t="shared" si="868"/>
        <v>0</v>
      </c>
      <c r="AG133" s="97">
        <f t="shared" si="827"/>
        <v>0</v>
      </c>
      <c r="AH133" s="97">
        <f t="shared" si="828"/>
        <v>0</v>
      </c>
      <c r="AI133" s="97">
        <f t="shared" si="829"/>
        <v>0</v>
      </c>
      <c r="AJ133" s="97">
        <f t="shared" si="830"/>
        <v>0</v>
      </c>
      <c r="AK133" s="97"/>
      <c r="AL133" s="97">
        <f t="shared" si="831"/>
        <v>0</v>
      </c>
      <c r="AM133" s="97"/>
      <c r="AN133" s="97">
        <f t="shared" si="869"/>
        <v>0</v>
      </c>
      <c r="AO133" s="97"/>
      <c r="AP133" s="97">
        <f t="shared" si="833"/>
        <v>0</v>
      </c>
      <c r="AQ133" s="97">
        <f t="shared" si="834"/>
        <v>0</v>
      </c>
      <c r="AR133" s="97">
        <f t="shared" si="835"/>
        <v>0</v>
      </c>
      <c r="AS133" s="97"/>
      <c r="AT133" s="97">
        <f t="shared" si="836"/>
        <v>0</v>
      </c>
      <c r="AU133" s="97"/>
      <c r="AV133" s="97">
        <f t="shared" si="837"/>
        <v>0</v>
      </c>
      <c r="AW133" s="97"/>
      <c r="AX133" s="97">
        <f t="shared" si="838"/>
        <v>0</v>
      </c>
      <c r="AY133" s="97">
        <f t="shared" si="839"/>
        <v>0</v>
      </c>
      <c r="AZ133" s="97">
        <f t="shared" si="840"/>
        <v>0</v>
      </c>
      <c r="BA133" s="97">
        <f t="shared" si="841"/>
        <v>0</v>
      </c>
      <c r="BB133" s="97">
        <f t="shared" si="842"/>
        <v>0</v>
      </c>
      <c r="BC133" s="1" t="s">
        <v>1783</v>
      </c>
    </row>
    <row r="134" spans="1:55" hidden="1">
      <c r="A134" s="498">
        <v>95</v>
      </c>
      <c r="B134" s="13"/>
      <c r="C134" s="34"/>
      <c r="D134" s="35"/>
      <c r="E134" s="315" t="s">
        <v>70</v>
      </c>
      <c r="F134" s="45" t="s">
        <v>116</v>
      </c>
      <c r="G134" s="46"/>
      <c r="H134" s="267" t="s">
        <v>364</v>
      </c>
      <c r="I134" s="18">
        <v>7.17</v>
      </c>
      <c r="J134" s="158"/>
      <c r="K134" s="18"/>
      <c r="L134" s="158"/>
      <c r="M134" s="18"/>
      <c r="N134" s="158"/>
      <c r="O134" s="18"/>
      <c r="P134" s="158"/>
      <c r="Q134" s="96">
        <f t="shared" si="818"/>
        <v>0</v>
      </c>
      <c r="R134" s="340">
        <f t="shared" si="819"/>
        <v>0</v>
      </c>
      <c r="S134" s="96"/>
      <c r="T134" s="96">
        <f t="shared" si="820"/>
        <v>0</v>
      </c>
      <c r="U134" s="96"/>
      <c r="V134" s="96">
        <f t="shared" si="821"/>
        <v>0</v>
      </c>
      <c r="W134" s="96"/>
      <c r="X134" s="96">
        <f t="shared" si="822"/>
        <v>0</v>
      </c>
      <c r="Y134" s="96">
        <f t="shared" si="823"/>
        <v>0</v>
      </c>
      <c r="Z134" s="96">
        <f t="shared" si="824"/>
        <v>0</v>
      </c>
      <c r="AA134" s="96"/>
      <c r="AB134" s="96">
        <f t="shared" si="920"/>
        <v>0</v>
      </c>
      <c r="AC134" s="96"/>
      <c r="AD134" s="96">
        <f t="shared" si="826"/>
        <v>0</v>
      </c>
      <c r="AE134" s="96"/>
      <c r="AF134" s="96">
        <f t="shared" si="868"/>
        <v>0</v>
      </c>
      <c r="AG134" s="96">
        <f t="shared" si="827"/>
        <v>0</v>
      </c>
      <c r="AH134" s="96">
        <f t="shared" si="828"/>
        <v>0</v>
      </c>
      <c r="AI134" s="96">
        <f t="shared" si="829"/>
        <v>0</v>
      </c>
      <c r="AJ134" s="96">
        <f t="shared" si="830"/>
        <v>0</v>
      </c>
      <c r="AK134" s="96"/>
      <c r="AL134" s="96">
        <f t="shared" si="831"/>
        <v>0</v>
      </c>
      <c r="AM134" s="96"/>
      <c r="AN134" s="96">
        <f t="shared" si="869"/>
        <v>0</v>
      </c>
      <c r="AO134" s="96"/>
      <c r="AP134" s="96">
        <f t="shared" si="833"/>
        <v>0</v>
      </c>
      <c r="AQ134" s="96">
        <f t="shared" si="834"/>
        <v>0</v>
      </c>
      <c r="AR134" s="96">
        <f t="shared" si="835"/>
        <v>0</v>
      </c>
      <c r="AS134" s="96"/>
      <c r="AT134" s="96">
        <f t="shared" si="836"/>
        <v>0</v>
      </c>
      <c r="AU134" s="96"/>
      <c r="AV134" s="96">
        <f t="shared" si="837"/>
        <v>0</v>
      </c>
      <c r="AW134" s="96"/>
      <c r="AX134" s="96">
        <f t="shared" si="838"/>
        <v>0</v>
      </c>
      <c r="AY134" s="96">
        <f t="shared" si="839"/>
        <v>0</v>
      </c>
      <c r="AZ134" s="96">
        <f t="shared" si="840"/>
        <v>0</v>
      </c>
      <c r="BA134" s="96">
        <f t="shared" si="841"/>
        <v>0</v>
      </c>
      <c r="BB134" s="96">
        <f t="shared" si="842"/>
        <v>0</v>
      </c>
      <c r="BC134" s="1" t="s">
        <v>1783</v>
      </c>
    </row>
    <row r="135" spans="1:55" hidden="1">
      <c r="A135" s="498">
        <v>96</v>
      </c>
      <c r="B135" s="14"/>
      <c r="C135" s="14"/>
      <c r="D135" s="41"/>
      <c r="E135" s="21" t="s">
        <v>18</v>
      </c>
      <c r="F135" s="46" t="s">
        <v>19</v>
      </c>
      <c r="G135" s="46"/>
      <c r="H135" s="268" t="s">
        <v>364</v>
      </c>
      <c r="I135" s="55">
        <v>7.56</v>
      </c>
      <c r="J135" s="163"/>
      <c r="K135" s="55"/>
      <c r="L135" s="163"/>
      <c r="M135" s="55"/>
      <c r="N135" s="163"/>
      <c r="O135" s="55"/>
      <c r="P135" s="163"/>
      <c r="Q135" s="97">
        <f t="shared" si="818"/>
        <v>0</v>
      </c>
      <c r="R135" s="342">
        <f t="shared" si="819"/>
        <v>0</v>
      </c>
      <c r="S135" s="97"/>
      <c r="T135" s="97">
        <f t="shared" si="820"/>
        <v>0</v>
      </c>
      <c r="U135" s="97"/>
      <c r="V135" s="97">
        <f t="shared" si="821"/>
        <v>0</v>
      </c>
      <c r="W135" s="97"/>
      <c r="X135" s="97">
        <f t="shared" si="822"/>
        <v>0</v>
      </c>
      <c r="Y135" s="97">
        <f t="shared" si="823"/>
        <v>0</v>
      </c>
      <c r="Z135" s="97">
        <f t="shared" si="824"/>
        <v>0</v>
      </c>
      <c r="AA135" s="97"/>
      <c r="AB135" s="97">
        <f t="shared" si="920"/>
        <v>0</v>
      </c>
      <c r="AC135" s="97"/>
      <c r="AD135" s="97">
        <f t="shared" si="826"/>
        <v>0</v>
      </c>
      <c r="AE135" s="97"/>
      <c r="AF135" s="96">
        <f t="shared" si="868"/>
        <v>0</v>
      </c>
      <c r="AG135" s="97">
        <f t="shared" si="827"/>
        <v>0</v>
      </c>
      <c r="AH135" s="97">
        <f t="shared" si="828"/>
        <v>0</v>
      </c>
      <c r="AI135" s="97">
        <f t="shared" si="829"/>
        <v>0</v>
      </c>
      <c r="AJ135" s="97">
        <f t="shared" si="830"/>
        <v>0</v>
      </c>
      <c r="AK135" s="97"/>
      <c r="AL135" s="97">
        <f t="shared" si="831"/>
        <v>0</v>
      </c>
      <c r="AM135" s="97"/>
      <c r="AN135" s="97">
        <f t="shared" si="869"/>
        <v>0</v>
      </c>
      <c r="AO135" s="97"/>
      <c r="AP135" s="97">
        <f t="shared" si="833"/>
        <v>0</v>
      </c>
      <c r="AQ135" s="97">
        <f t="shared" si="834"/>
        <v>0</v>
      </c>
      <c r="AR135" s="97">
        <f t="shared" si="835"/>
        <v>0</v>
      </c>
      <c r="AS135" s="97"/>
      <c r="AT135" s="97">
        <f t="shared" si="836"/>
        <v>0</v>
      </c>
      <c r="AU135" s="97"/>
      <c r="AV135" s="97">
        <f t="shared" si="837"/>
        <v>0</v>
      </c>
      <c r="AW135" s="97"/>
      <c r="AX135" s="97">
        <f t="shared" si="838"/>
        <v>0</v>
      </c>
      <c r="AY135" s="97">
        <f t="shared" si="839"/>
        <v>0</v>
      </c>
      <c r="AZ135" s="97">
        <f t="shared" si="840"/>
        <v>0</v>
      </c>
      <c r="BA135" s="97">
        <f t="shared" si="841"/>
        <v>0</v>
      </c>
      <c r="BB135" s="97">
        <f t="shared" si="842"/>
        <v>0</v>
      </c>
      <c r="BC135" s="1" t="s">
        <v>1783</v>
      </c>
    </row>
    <row r="136" spans="1:55" hidden="1">
      <c r="A136" s="498">
        <v>97</v>
      </c>
      <c r="B136" s="13"/>
      <c r="C136" s="13"/>
      <c r="D136" s="15"/>
      <c r="E136" s="21" t="s">
        <v>117</v>
      </c>
      <c r="F136" s="46" t="s">
        <v>118</v>
      </c>
      <c r="G136" s="46"/>
      <c r="H136" s="267" t="s">
        <v>229</v>
      </c>
      <c r="I136" s="18">
        <v>7.75</v>
      </c>
      <c r="J136" s="158"/>
      <c r="K136" s="18"/>
      <c r="L136" s="202"/>
      <c r="M136" s="18"/>
      <c r="N136" s="202"/>
      <c r="O136" s="18"/>
      <c r="P136" s="202"/>
      <c r="Q136" s="96">
        <f t="shared" si="818"/>
        <v>0</v>
      </c>
      <c r="R136" s="340">
        <f t="shared" si="819"/>
        <v>0</v>
      </c>
      <c r="S136" s="96"/>
      <c r="T136" s="97">
        <f t="shared" si="820"/>
        <v>0</v>
      </c>
      <c r="U136" s="96"/>
      <c r="V136" s="97">
        <f t="shared" si="821"/>
        <v>0</v>
      </c>
      <c r="W136" s="96"/>
      <c r="X136" s="96">
        <f t="shared" si="822"/>
        <v>0</v>
      </c>
      <c r="Y136" s="96">
        <f t="shared" si="823"/>
        <v>0</v>
      </c>
      <c r="Z136" s="96">
        <f t="shared" si="824"/>
        <v>0</v>
      </c>
      <c r="AA136" s="96"/>
      <c r="AB136" s="96">
        <f t="shared" si="920"/>
        <v>0</v>
      </c>
      <c r="AC136" s="96"/>
      <c r="AD136" s="96">
        <f t="shared" si="826"/>
        <v>0</v>
      </c>
      <c r="AE136" s="96"/>
      <c r="AF136" s="96">
        <f t="shared" si="868"/>
        <v>0</v>
      </c>
      <c r="AG136" s="96">
        <f t="shared" si="827"/>
        <v>0</v>
      </c>
      <c r="AH136" s="96">
        <f t="shared" si="828"/>
        <v>0</v>
      </c>
      <c r="AI136" s="96">
        <f t="shared" si="829"/>
        <v>0</v>
      </c>
      <c r="AJ136" s="96">
        <f t="shared" si="830"/>
        <v>0</v>
      </c>
      <c r="AK136" s="97"/>
      <c r="AL136" s="96">
        <f t="shared" si="831"/>
        <v>0</v>
      </c>
      <c r="AM136" s="97"/>
      <c r="AN136" s="96">
        <f t="shared" si="869"/>
        <v>0</v>
      </c>
      <c r="AO136" s="97"/>
      <c r="AP136" s="96">
        <f t="shared" si="833"/>
        <v>0</v>
      </c>
      <c r="AQ136" s="97">
        <f t="shared" si="834"/>
        <v>0</v>
      </c>
      <c r="AR136" s="96">
        <f t="shared" si="835"/>
        <v>0</v>
      </c>
      <c r="AS136" s="97"/>
      <c r="AT136" s="96">
        <f t="shared" si="836"/>
        <v>0</v>
      </c>
      <c r="AU136" s="97"/>
      <c r="AV136" s="96">
        <f t="shared" si="837"/>
        <v>0</v>
      </c>
      <c r="AW136" s="97"/>
      <c r="AX136" s="96">
        <f t="shared" si="838"/>
        <v>0</v>
      </c>
      <c r="AY136" s="97">
        <f t="shared" si="839"/>
        <v>0</v>
      </c>
      <c r="AZ136" s="96">
        <f t="shared" si="840"/>
        <v>0</v>
      </c>
      <c r="BA136" s="97">
        <f t="shared" si="841"/>
        <v>0</v>
      </c>
      <c r="BB136" s="96">
        <f t="shared" si="842"/>
        <v>0</v>
      </c>
      <c r="BC136" s="1" t="s">
        <v>1783</v>
      </c>
    </row>
    <row r="137" spans="1:55" hidden="1">
      <c r="A137" s="498">
        <v>98</v>
      </c>
      <c r="B137" s="13"/>
      <c r="C137" s="13"/>
      <c r="D137" s="15"/>
      <c r="E137" s="51" t="s">
        <v>119</v>
      </c>
      <c r="F137" s="65" t="s">
        <v>105</v>
      </c>
      <c r="G137" s="65"/>
      <c r="H137" s="270" t="s">
        <v>229</v>
      </c>
      <c r="I137" s="38">
        <v>6.68</v>
      </c>
      <c r="J137" s="159"/>
      <c r="K137" s="38"/>
      <c r="L137" s="159"/>
      <c r="M137" s="38"/>
      <c r="N137" s="159"/>
      <c r="O137" s="38"/>
      <c r="P137" s="159"/>
      <c r="Q137" s="95">
        <f t="shared" si="818"/>
        <v>0</v>
      </c>
      <c r="R137" s="343">
        <f t="shared" si="819"/>
        <v>0</v>
      </c>
      <c r="S137" s="95"/>
      <c r="T137" s="95">
        <f t="shared" si="820"/>
        <v>0</v>
      </c>
      <c r="U137" s="95"/>
      <c r="V137" s="95">
        <f t="shared" si="821"/>
        <v>0</v>
      </c>
      <c r="W137" s="95"/>
      <c r="X137" s="95">
        <f t="shared" si="822"/>
        <v>0</v>
      </c>
      <c r="Y137" s="95">
        <f t="shared" si="823"/>
        <v>0</v>
      </c>
      <c r="Z137" s="95">
        <f t="shared" si="824"/>
        <v>0</v>
      </c>
      <c r="AA137" s="95"/>
      <c r="AB137" s="95">
        <f t="shared" si="920"/>
        <v>0</v>
      </c>
      <c r="AC137" s="95"/>
      <c r="AD137" s="95">
        <f>K137*AC137*$AD$2/1000</f>
        <v>0</v>
      </c>
      <c r="AE137" s="95"/>
      <c r="AF137" s="120">
        <f t="shared" si="868"/>
        <v>0</v>
      </c>
      <c r="AG137" s="95">
        <f t="shared" si="827"/>
        <v>0</v>
      </c>
      <c r="AH137" s="95">
        <f t="shared" si="828"/>
        <v>0</v>
      </c>
      <c r="AI137" s="95">
        <f t="shared" si="829"/>
        <v>0</v>
      </c>
      <c r="AJ137" s="95">
        <f t="shared" si="830"/>
        <v>0</v>
      </c>
      <c r="AK137" s="95"/>
      <c r="AL137" s="95">
        <f t="shared" si="831"/>
        <v>0</v>
      </c>
      <c r="AM137" s="95"/>
      <c r="AN137" s="95">
        <f t="shared" si="869"/>
        <v>0</v>
      </c>
      <c r="AO137" s="95"/>
      <c r="AP137" s="95">
        <f t="shared" si="833"/>
        <v>0</v>
      </c>
      <c r="AQ137" s="95">
        <f t="shared" si="834"/>
        <v>0</v>
      </c>
      <c r="AR137" s="95">
        <f t="shared" si="835"/>
        <v>0</v>
      </c>
      <c r="AS137" s="95"/>
      <c r="AT137" s="95">
        <f t="shared" si="836"/>
        <v>0</v>
      </c>
      <c r="AU137" s="95"/>
      <c r="AV137" s="95">
        <f t="shared" si="837"/>
        <v>0</v>
      </c>
      <c r="AW137" s="95"/>
      <c r="AX137" s="95">
        <f t="shared" si="838"/>
        <v>0</v>
      </c>
      <c r="AY137" s="95">
        <f t="shared" si="839"/>
        <v>0</v>
      </c>
      <c r="AZ137" s="95">
        <f t="shared" si="840"/>
        <v>0</v>
      </c>
      <c r="BA137" s="95">
        <f t="shared" si="841"/>
        <v>0</v>
      </c>
      <c r="BB137" s="95">
        <f t="shared" si="842"/>
        <v>0</v>
      </c>
      <c r="BC137" s="1" t="s">
        <v>1783</v>
      </c>
    </row>
    <row r="138" spans="1:55" hidden="1">
      <c r="A138" s="498">
        <v>99</v>
      </c>
      <c r="B138" s="26"/>
      <c r="C138" s="26"/>
      <c r="D138" s="27"/>
      <c r="E138" s="328" t="s">
        <v>337</v>
      </c>
      <c r="F138" s="52"/>
      <c r="G138" s="52"/>
      <c r="H138" s="280"/>
      <c r="I138" s="30"/>
      <c r="J138" s="100"/>
      <c r="K138" s="30"/>
      <c r="L138" s="161"/>
      <c r="M138" s="30"/>
      <c r="N138" s="161"/>
      <c r="O138" s="140"/>
      <c r="P138" s="100"/>
      <c r="Q138" s="126">
        <f>SUM(Q111:Q137)</f>
        <v>0</v>
      </c>
      <c r="R138" s="126">
        <f>SUM(R111:R137)</f>
        <v>0</v>
      </c>
      <c r="S138" s="126">
        <f t="shared" ref="S138:BB138" si="922">SUM(S111:S137)</f>
        <v>0</v>
      </c>
      <c r="T138" s="126">
        <f t="shared" si="922"/>
        <v>0</v>
      </c>
      <c r="U138" s="126">
        <f t="shared" si="922"/>
        <v>0</v>
      </c>
      <c r="V138" s="126">
        <f t="shared" si="922"/>
        <v>0</v>
      </c>
      <c r="W138" s="126">
        <f t="shared" si="922"/>
        <v>0</v>
      </c>
      <c r="X138" s="126">
        <f t="shared" si="922"/>
        <v>0</v>
      </c>
      <c r="Y138" s="126">
        <f t="shared" si="922"/>
        <v>0</v>
      </c>
      <c r="Z138" s="126">
        <f t="shared" si="922"/>
        <v>0</v>
      </c>
      <c r="AA138" s="126">
        <f>SUM(AA111:AA137)</f>
        <v>0</v>
      </c>
      <c r="AB138" s="126">
        <f t="shared" si="922"/>
        <v>0</v>
      </c>
      <c r="AC138" s="126">
        <f t="shared" si="922"/>
        <v>0</v>
      </c>
      <c r="AD138" s="126">
        <f t="shared" si="922"/>
        <v>0</v>
      </c>
      <c r="AE138" s="126">
        <f>SUM(AE111:AE137)</f>
        <v>0</v>
      </c>
      <c r="AF138" s="124">
        <f>SUM(AF111:AF137)</f>
        <v>0</v>
      </c>
      <c r="AG138" s="126">
        <f t="shared" si="922"/>
        <v>0</v>
      </c>
      <c r="AH138" s="126">
        <f t="shared" si="922"/>
        <v>0</v>
      </c>
      <c r="AI138" s="126">
        <f t="shared" si="922"/>
        <v>0</v>
      </c>
      <c r="AJ138" s="126">
        <f t="shared" si="922"/>
        <v>0</v>
      </c>
      <c r="AK138" s="126">
        <f t="shared" si="922"/>
        <v>0</v>
      </c>
      <c r="AL138" s="126">
        <f t="shared" si="922"/>
        <v>0</v>
      </c>
      <c r="AM138" s="126">
        <f t="shared" si="922"/>
        <v>0</v>
      </c>
      <c r="AN138" s="126">
        <f t="shared" si="922"/>
        <v>0</v>
      </c>
      <c r="AO138" s="126">
        <f t="shared" si="922"/>
        <v>0</v>
      </c>
      <c r="AP138" s="126">
        <f t="shared" si="922"/>
        <v>0</v>
      </c>
      <c r="AQ138" s="126">
        <f t="shared" si="922"/>
        <v>0</v>
      </c>
      <c r="AR138" s="126">
        <f t="shared" si="922"/>
        <v>0</v>
      </c>
      <c r="AS138" s="126">
        <f t="shared" si="922"/>
        <v>0</v>
      </c>
      <c r="AT138" s="126">
        <f t="shared" si="922"/>
        <v>0</v>
      </c>
      <c r="AU138" s="126">
        <f t="shared" si="922"/>
        <v>0</v>
      </c>
      <c r="AV138" s="126">
        <f t="shared" si="922"/>
        <v>0</v>
      </c>
      <c r="AW138" s="126">
        <f t="shared" si="922"/>
        <v>0</v>
      </c>
      <c r="AX138" s="126">
        <f t="shared" si="922"/>
        <v>0</v>
      </c>
      <c r="AY138" s="126">
        <f t="shared" si="922"/>
        <v>0</v>
      </c>
      <c r="AZ138" s="126">
        <f t="shared" si="922"/>
        <v>0</v>
      </c>
      <c r="BA138" s="126">
        <f t="shared" si="922"/>
        <v>0</v>
      </c>
      <c r="BB138" s="126">
        <f t="shared" si="922"/>
        <v>0</v>
      </c>
      <c r="BC138" s="1" t="s">
        <v>1784</v>
      </c>
    </row>
    <row r="139" spans="1:55">
      <c r="A139" s="498">
        <v>100</v>
      </c>
      <c r="B139" s="26"/>
      <c r="C139" s="27" t="s">
        <v>135</v>
      </c>
      <c r="D139" s="28"/>
      <c r="E139" s="28"/>
      <c r="F139" s="28"/>
      <c r="G139" s="28"/>
      <c r="H139" s="272"/>
      <c r="I139" s="29"/>
      <c r="J139" s="99"/>
      <c r="K139" s="29"/>
      <c r="L139" s="160"/>
      <c r="M139" s="29"/>
      <c r="N139" s="160"/>
      <c r="O139" s="139"/>
      <c r="P139" s="99"/>
      <c r="Q139" s="121">
        <f t="shared" ref="Q139:BB139" si="923">SUM(Q110,Q105,Q138,Q67)</f>
        <v>5667.3350000000009</v>
      </c>
      <c r="R139" s="121">
        <f t="shared" si="923"/>
        <v>75115.853765976935</v>
      </c>
      <c r="S139" s="121">
        <f t="shared" si="923"/>
        <v>336.88599999999997</v>
      </c>
      <c r="T139" s="121">
        <f t="shared" si="923"/>
        <v>4235.4705249689996</v>
      </c>
      <c r="U139" s="121">
        <f t="shared" si="923"/>
        <v>440.95699999999999</v>
      </c>
      <c r="V139" s="121">
        <f t="shared" si="923"/>
        <v>6020.9279795680013</v>
      </c>
      <c r="W139" s="121">
        <f t="shared" si="923"/>
        <v>501.44700000000006</v>
      </c>
      <c r="X139" s="121">
        <f t="shared" si="923"/>
        <v>6488.9518162719996</v>
      </c>
      <c r="Y139" s="121">
        <f t="shared" si="923"/>
        <v>1279.29</v>
      </c>
      <c r="Z139" s="121">
        <f t="shared" si="923"/>
        <v>16745.350320808997</v>
      </c>
      <c r="AA139" s="121">
        <f t="shared" si="923"/>
        <v>454.93299999999999</v>
      </c>
      <c r="AB139" s="121">
        <f t="shared" si="923"/>
        <v>6348.0932770303989</v>
      </c>
      <c r="AC139" s="121">
        <f t="shared" si="923"/>
        <v>609.59900000000005</v>
      </c>
      <c r="AD139" s="121">
        <f t="shared" si="923"/>
        <v>7847.2510513954985</v>
      </c>
      <c r="AE139" s="121">
        <f t="shared" si="923"/>
        <v>646.56299999999999</v>
      </c>
      <c r="AF139" s="130">
        <f t="shared" si="923"/>
        <v>8738.4815126234389</v>
      </c>
      <c r="AG139" s="121">
        <f t="shared" si="923"/>
        <v>1711.0949999999998</v>
      </c>
      <c r="AH139" s="121">
        <f t="shared" si="923"/>
        <v>22933.825841049333</v>
      </c>
      <c r="AI139" s="121">
        <f t="shared" si="923"/>
        <v>2990.3849999999998</v>
      </c>
      <c r="AJ139" s="121">
        <f t="shared" si="923"/>
        <v>39679.17616185834</v>
      </c>
      <c r="AK139" s="121">
        <f t="shared" si="923"/>
        <v>554.76600000000008</v>
      </c>
      <c r="AL139" s="121">
        <f t="shared" si="923"/>
        <v>8306.8396328821982</v>
      </c>
      <c r="AM139" s="121">
        <f t="shared" si="923"/>
        <v>556.21899999999994</v>
      </c>
      <c r="AN139" s="121">
        <f t="shared" si="923"/>
        <v>7427.4807440924997</v>
      </c>
      <c r="AO139" s="121">
        <f t="shared" si="923"/>
        <v>483.327</v>
      </c>
      <c r="AP139" s="121">
        <f t="shared" si="923"/>
        <v>5843.3092250808004</v>
      </c>
      <c r="AQ139" s="121">
        <f t="shared" si="923"/>
        <v>1594.3119999999997</v>
      </c>
      <c r="AR139" s="121">
        <f t="shared" si="923"/>
        <v>21577.629602055502</v>
      </c>
      <c r="AS139" s="121">
        <f t="shared" si="923"/>
        <v>341.98500000000001</v>
      </c>
      <c r="AT139" s="121">
        <f t="shared" si="923"/>
        <v>4323.2805127310012</v>
      </c>
      <c r="AU139" s="121">
        <f t="shared" si="923"/>
        <v>348.02199999999999</v>
      </c>
      <c r="AV139" s="121">
        <f t="shared" si="923"/>
        <v>4494.7545673117502</v>
      </c>
      <c r="AW139" s="121">
        <f t="shared" si="923"/>
        <v>392.63099999999997</v>
      </c>
      <c r="AX139" s="121">
        <f t="shared" si="923"/>
        <v>5041.0129220203489</v>
      </c>
      <c r="AY139" s="121">
        <f t="shared" si="923"/>
        <v>1082.6380000000001</v>
      </c>
      <c r="AZ139" s="121">
        <f t="shared" si="923"/>
        <v>13859.0480020631</v>
      </c>
      <c r="BA139" s="121">
        <f t="shared" si="923"/>
        <v>2676.95</v>
      </c>
      <c r="BB139" s="121">
        <f t="shared" si="923"/>
        <v>35436.677604118595</v>
      </c>
      <c r="BC139" s="1" t="s">
        <v>1781</v>
      </c>
    </row>
    <row r="140" spans="1:55">
      <c r="A140" s="498">
        <v>101</v>
      </c>
      <c r="B140" s="13"/>
      <c r="C140" s="13" t="s">
        <v>136</v>
      </c>
      <c r="D140" s="15" t="s">
        <v>593</v>
      </c>
      <c r="E140" s="31" t="s">
        <v>251</v>
      </c>
      <c r="F140" s="314" t="s">
        <v>335</v>
      </c>
      <c r="G140" s="314" t="s">
        <v>1105</v>
      </c>
      <c r="H140" s="274" t="s">
        <v>365</v>
      </c>
      <c r="I140" s="44">
        <v>6.1</v>
      </c>
      <c r="J140" s="162"/>
      <c r="K140" s="44">
        <v>6.09</v>
      </c>
      <c r="L140" s="162"/>
      <c r="M140" s="44">
        <v>6.09</v>
      </c>
      <c r="N140" s="162"/>
      <c r="O140" s="44">
        <v>6.09</v>
      </c>
      <c r="P140" s="44"/>
      <c r="Q140" s="122">
        <f t="shared" ref="Q140:R143" si="924">SUM(AI140+BA140)</f>
        <v>49.117999999999995</v>
      </c>
      <c r="R140" s="346">
        <f t="shared" si="924"/>
        <v>405.2158030452</v>
      </c>
      <c r="S140" s="122">
        <v>2.6880000000000002</v>
      </c>
      <c r="T140" s="122">
        <f>I140*S140*$T$2/1000</f>
        <v>21.674765952000001</v>
      </c>
      <c r="U140" s="122">
        <v>3.3180000000000001</v>
      </c>
      <c r="V140" s="122">
        <f>I140*U140*$V$2/1000</f>
        <v>26.927029920000003</v>
      </c>
      <c r="W140" s="122">
        <v>6.3840000000000003</v>
      </c>
      <c r="X140" s="122">
        <f>I140*W140*$X$2/1000</f>
        <v>51.816757439999996</v>
      </c>
      <c r="Y140" s="122">
        <f t="shared" ref="Y140:Z143" si="925">SUM(S140+U140+W140)</f>
        <v>12.39</v>
      </c>
      <c r="Z140" s="122">
        <f t="shared" si="925"/>
        <v>100.418553312</v>
      </c>
      <c r="AA140" s="122">
        <v>5.8159999999999998</v>
      </c>
      <c r="AB140" s="122">
        <f>K140*AA140*$AB$2/1000</f>
        <v>48.3163664928</v>
      </c>
      <c r="AC140" s="122">
        <v>1.8480000000000001</v>
      </c>
      <c r="AD140" s="122">
        <f>K140*AC140*$AD$2/1000</f>
        <v>15.414254301600002</v>
      </c>
      <c r="AE140" s="122">
        <v>3.024</v>
      </c>
      <c r="AF140" s="125">
        <f>K140*AE140*$AF$2/1000</f>
        <v>25.392753892799998</v>
      </c>
      <c r="AG140" s="122">
        <f t="shared" ref="AG140:AH143" si="926">SUM(AA140+AC140+AE140)</f>
        <v>10.687999999999999</v>
      </c>
      <c r="AH140" s="122">
        <f t="shared" si="926"/>
        <v>89.123374687199998</v>
      </c>
      <c r="AI140" s="122">
        <f>SUM(Y140+AG140)</f>
        <v>23.077999999999999</v>
      </c>
      <c r="AJ140" s="122">
        <f>SUM(Z140,AH140)</f>
        <v>189.5419279992</v>
      </c>
      <c r="AK140" s="122">
        <v>3.024</v>
      </c>
      <c r="AL140" s="122">
        <f>M140*AK140*$AL$2/1000</f>
        <v>25.471022572799999</v>
      </c>
      <c r="AM140" s="122">
        <v>4.032</v>
      </c>
      <c r="AN140" s="122">
        <f>M140*AM140*$AN$2/1000</f>
        <v>33.421647167999993</v>
      </c>
      <c r="AO140" s="122">
        <v>11.087999999999999</v>
      </c>
      <c r="AP140" s="122">
        <f>M140*AO140*$AP$2/1000</f>
        <v>89.970860548800005</v>
      </c>
      <c r="AQ140" s="122">
        <f t="shared" ref="AQ140:AR143" si="927">SUM(AK140+AM140+AO140)</f>
        <v>18.143999999999998</v>
      </c>
      <c r="AR140" s="122">
        <f t="shared" si="927"/>
        <v>148.86353028959999</v>
      </c>
      <c r="AS140" s="122">
        <v>2.016</v>
      </c>
      <c r="AT140" s="122">
        <f>O140*AS140*$AT$2/1000</f>
        <v>16.671535775999999</v>
      </c>
      <c r="AU140" s="122">
        <v>4.0739999999999998</v>
      </c>
      <c r="AV140" s="122">
        <f>O140*AU140*$AV$2/1000</f>
        <v>34.528251202200003</v>
      </c>
      <c r="AW140" s="122">
        <v>1.806</v>
      </c>
      <c r="AX140" s="122">
        <f>O140*AW140*$AX$2/1000</f>
        <v>15.6105577782</v>
      </c>
      <c r="AY140" s="122">
        <f t="shared" ref="AY140:AZ143" si="928">SUM(AS140+AU140+AW140)</f>
        <v>7.8959999999999999</v>
      </c>
      <c r="AZ140" s="122">
        <f t="shared" si="928"/>
        <v>66.810344756399999</v>
      </c>
      <c r="BA140" s="122">
        <f>SUM(AQ140+AY140)</f>
        <v>26.04</v>
      </c>
      <c r="BB140" s="122">
        <f>SUM(AR140,AZ140)</f>
        <v>215.67387504599998</v>
      </c>
      <c r="BC140" s="1" t="s">
        <v>1780</v>
      </c>
    </row>
    <row r="141" spans="1:55">
      <c r="A141" s="498">
        <v>102</v>
      </c>
      <c r="B141" s="13"/>
      <c r="C141" s="13"/>
      <c r="D141" s="15"/>
      <c r="E141" s="21" t="s">
        <v>252</v>
      </c>
      <c r="F141" s="46" t="s">
        <v>336</v>
      </c>
      <c r="G141" s="46" t="s">
        <v>1105</v>
      </c>
      <c r="H141" s="268" t="s">
        <v>365</v>
      </c>
      <c r="I141" s="18">
        <v>6.23</v>
      </c>
      <c r="J141" s="158"/>
      <c r="K141" s="18">
        <v>6.23</v>
      </c>
      <c r="L141" s="158"/>
      <c r="M141" s="18">
        <v>6.23</v>
      </c>
      <c r="N141" s="158"/>
      <c r="O141" s="18">
        <v>6.23</v>
      </c>
      <c r="P141" s="158"/>
      <c r="Q141" s="97">
        <f t="shared" si="924"/>
        <v>0</v>
      </c>
      <c r="R141" s="342">
        <f t="shared" si="924"/>
        <v>0</v>
      </c>
      <c r="S141" s="97"/>
      <c r="T141" s="97">
        <f>I141*S141*$T$2/1000</f>
        <v>0</v>
      </c>
      <c r="U141" s="97"/>
      <c r="V141" s="97">
        <f>I141*U141*$V$2/1000</f>
        <v>0</v>
      </c>
      <c r="W141" s="97"/>
      <c r="X141" s="97">
        <f>I141*W141*$X$2/1000</f>
        <v>0</v>
      </c>
      <c r="Y141" s="97">
        <f t="shared" si="925"/>
        <v>0</v>
      </c>
      <c r="Z141" s="97">
        <f t="shared" si="925"/>
        <v>0</v>
      </c>
      <c r="AA141" s="97"/>
      <c r="AB141" s="97">
        <f>K141*AA141*$AB$2/1000</f>
        <v>0</v>
      </c>
      <c r="AC141" s="97"/>
      <c r="AD141" s="97">
        <f>K141*AC141*$AD$2/1000</f>
        <v>0</v>
      </c>
      <c r="AE141" s="97"/>
      <c r="AF141" s="96">
        <f>K141*AE141*$AF$2/1000</f>
        <v>0</v>
      </c>
      <c r="AG141" s="97">
        <f t="shared" si="926"/>
        <v>0</v>
      </c>
      <c r="AH141" s="97">
        <f t="shared" si="926"/>
        <v>0</v>
      </c>
      <c r="AI141" s="97">
        <f>SUM(Y141+AG141)</f>
        <v>0</v>
      </c>
      <c r="AJ141" s="97">
        <f>SUM(Z141,AH141)</f>
        <v>0</v>
      </c>
      <c r="AK141" s="97"/>
      <c r="AL141" s="97">
        <f>M141*AK141*$AL$2/1000</f>
        <v>0</v>
      </c>
      <c r="AM141" s="97"/>
      <c r="AN141" s="97">
        <f>M141*AM141*$AN$2/1000</f>
        <v>0</v>
      </c>
      <c r="AO141" s="97"/>
      <c r="AP141" s="97">
        <f>M141*AO141*$AP$2/1000</f>
        <v>0</v>
      </c>
      <c r="AQ141" s="97">
        <f t="shared" si="927"/>
        <v>0</v>
      </c>
      <c r="AR141" s="97">
        <f t="shared" si="927"/>
        <v>0</v>
      </c>
      <c r="AS141" s="97"/>
      <c r="AT141" s="97">
        <f>O141*AS141*$AT$2/1000</f>
        <v>0</v>
      </c>
      <c r="AU141" s="97"/>
      <c r="AV141" s="97">
        <f>O141*AU141*$AV$2/1000</f>
        <v>0</v>
      </c>
      <c r="AW141" s="97"/>
      <c r="AX141" s="97">
        <f>O141*AW141*$AX$2/1000</f>
        <v>0</v>
      </c>
      <c r="AY141" s="97">
        <f t="shared" si="928"/>
        <v>0</v>
      </c>
      <c r="AZ141" s="97">
        <f t="shared" si="928"/>
        <v>0</v>
      </c>
      <c r="BA141" s="97">
        <f>SUM(AQ141+AY141)</f>
        <v>0</v>
      </c>
      <c r="BB141" s="97">
        <f>SUM(AR141,AZ141)</f>
        <v>0</v>
      </c>
      <c r="BC141" s="1" t="s">
        <v>1780</v>
      </c>
    </row>
    <row r="142" spans="1:55">
      <c r="A142" s="498">
        <v>103</v>
      </c>
      <c r="B142" s="13"/>
      <c r="C142" s="13"/>
      <c r="D142" s="15"/>
      <c r="E142" s="21" t="s">
        <v>253</v>
      </c>
      <c r="F142" s="46" t="s">
        <v>254</v>
      </c>
      <c r="G142" s="46" t="s">
        <v>1105</v>
      </c>
      <c r="H142" s="268" t="s">
        <v>365</v>
      </c>
      <c r="I142" s="55">
        <v>5.92</v>
      </c>
      <c r="J142" s="158"/>
      <c r="K142" s="55">
        <v>5.92</v>
      </c>
      <c r="L142" s="158"/>
      <c r="M142" s="55">
        <v>5.92</v>
      </c>
      <c r="N142" s="158"/>
      <c r="O142" s="55">
        <v>5.92</v>
      </c>
      <c r="P142" s="158"/>
      <c r="Q142" s="97">
        <f t="shared" si="924"/>
        <v>0</v>
      </c>
      <c r="R142" s="342">
        <f t="shared" si="924"/>
        <v>0</v>
      </c>
      <c r="S142" s="97"/>
      <c r="T142" s="97">
        <f>I142*S142*$T$2/1000</f>
        <v>0</v>
      </c>
      <c r="U142" s="97"/>
      <c r="V142" s="97">
        <f>I142*U142*$V$2/1000</f>
        <v>0</v>
      </c>
      <c r="W142" s="97"/>
      <c r="X142" s="97">
        <f>I142*W142*$X$2/1000</f>
        <v>0</v>
      </c>
      <c r="Y142" s="97">
        <f t="shared" si="925"/>
        <v>0</v>
      </c>
      <c r="Z142" s="97">
        <f t="shared" si="925"/>
        <v>0</v>
      </c>
      <c r="AA142" s="97"/>
      <c r="AB142" s="97">
        <f>K142*AA142*$AB$2/1000</f>
        <v>0</v>
      </c>
      <c r="AC142" s="97"/>
      <c r="AD142" s="97">
        <f>K142*AC142*$AD$2/1000</f>
        <v>0</v>
      </c>
      <c r="AE142" s="97"/>
      <c r="AF142" s="96">
        <f>K142*AE142*$AF$2/1000</f>
        <v>0</v>
      </c>
      <c r="AG142" s="97">
        <f t="shared" si="926"/>
        <v>0</v>
      </c>
      <c r="AH142" s="97">
        <f t="shared" si="926"/>
        <v>0</v>
      </c>
      <c r="AI142" s="97">
        <f>SUM(Y142+AG142)</f>
        <v>0</v>
      </c>
      <c r="AJ142" s="97">
        <f>SUM(Z142,AH142)</f>
        <v>0</v>
      </c>
      <c r="AK142" s="97"/>
      <c r="AL142" s="97">
        <f>M142*AK142*$AL$2/1000</f>
        <v>0</v>
      </c>
      <c r="AM142" s="97"/>
      <c r="AN142" s="97">
        <f>M142*AM142*$AN$2/1000</f>
        <v>0</v>
      </c>
      <c r="AO142" s="97"/>
      <c r="AP142" s="97">
        <f>M142*AO142*$AP$2/1000</f>
        <v>0</v>
      </c>
      <c r="AQ142" s="97">
        <f t="shared" si="927"/>
        <v>0</v>
      </c>
      <c r="AR142" s="97">
        <f t="shared" si="927"/>
        <v>0</v>
      </c>
      <c r="AS142" s="97"/>
      <c r="AT142" s="97">
        <f>O142*AS142*$AT$2/1000</f>
        <v>0</v>
      </c>
      <c r="AU142" s="97"/>
      <c r="AV142" s="97">
        <f>O142*AU142*$AV$2/1000</f>
        <v>0</v>
      </c>
      <c r="AW142" s="97"/>
      <c r="AX142" s="97">
        <f>O142*AW142*$AX$2/1000</f>
        <v>0</v>
      </c>
      <c r="AY142" s="97">
        <f t="shared" si="928"/>
        <v>0</v>
      </c>
      <c r="AZ142" s="97">
        <f t="shared" si="928"/>
        <v>0</v>
      </c>
      <c r="BA142" s="97">
        <f>SUM(AQ142+AY142)</f>
        <v>0</v>
      </c>
      <c r="BB142" s="97">
        <f>SUM(AR142,AZ142)</f>
        <v>0</v>
      </c>
      <c r="BC142" s="1" t="s">
        <v>1780</v>
      </c>
    </row>
    <row r="143" spans="1:55">
      <c r="A143" s="498">
        <v>104</v>
      </c>
      <c r="B143" s="13"/>
      <c r="C143" s="13"/>
      <c r="D143" s="15"/>
      <c r="E143" s="51" t="s">
        <v>255</v>
      </c>
      <c r="F143" s="65" t="s">
        <v>256</v>
      </c>
      <c r="G143" s="65" t="s">
        <v>1105</v>
      </c>
      <c r="H143" s="275" t="s">
        <v>365</v>
      </c>
      <c r="I143" s="58">
        <v>6.08</v>
      </c>
      <c r="J143" s="159"/>
      <c r="K143" s="58">
        <v>6.07</v>
      </c>
      <c r="L143" s="159"/>
      <c r="M143" s="58">
        <v>6.07</v>
      </c>
      <c r="N143" s="159"/>
      <c r="O143" s="58">
        <v>6.07</v>
      </c>
      <c r="P143" s="546"/>
      <c r="Q143" s="95">
        <f t="shared" si="924"/>
        <v>58.884000000000007</v>
      </c>
      <c r="R143" s="343">
        <f t="shared" si="924"/>
        <v>484.68214350360006</v>
      </c>
      <c r="S143" s="95">
        <v>11.507999999999999</v>
      </c>
      <c r="T143" s="95">
        <f>I143*S143*$T$2/1000</f>
        <v>92.490845529600008</v>
      </c>
      <c r="U143" s="95">
        <v>6.8879999999999999</v>
      </c>
      <c r="V143" s="95">
        <f>I143*U143*$V$2/1000</f>
        <v>55.71587481600001</v>
      </c>
      <c r="W143" s="95">
        <v>2.6040000000000001</v>
      </c>
      <c r="X143" s="95">
        <f>I143*W143*$X$2/1000</f>
        <v>21.066484992000003</v>
      </c>
      <c r="Y143" s="95">
        <f t="shared" si="925"/>
        <v>21</v>
      </c>
      <c r="Z143" s="95">
        <f t="shared" si="925"/>
        <v>169.27320533760002</v>
      </c>
      <c r="AA143" s="95">
        <v>5.46</v>
      </c>
      <c r="AB143" s="95">
        <f>K143*AA143*$AB$2/1000</f>
        <v>45.209937863999997</v>
      </c>
      <c r="AC143" s="95">
        <v>7.476</v>
      </c>
      <c r="AD143" s="95">
        <f>K143*AC143*$AD$2/1000</f>
        <v>62.152878051600005</v>
      </c>
      <c r="AE143" s="95">
        <v>4.032</v>
      </c>
      <c r="AF143" s="120">
        <f>K143*AE143*$AF$2/1000</f>
        <v>33.745816339199997</v>
      </c>
      <c r="AG143" s="95">
        <f t="shared" si="926"/>
        <v>16.968</v>
      </c>
      <c r="AH143" s="95">
        <f t="shared" si="926"/>
        <v>141.1086322548</v>
      </c>
      <c r="AI143" s="95">
        <f>SUM(Y143+AG143)</f>
        <v>37.968000000000004</v>
      </c>
      <c r="AJ143" s="95">
        <f>SUM(Z143,AH143)</f>
        <v>310.38183759240002</v>
      </c>
      <c r="AK143" s="95">
        <v>4.5359999999999996</v>
      </c>
      <c r="AL143" s="95">
        <f>M143*AK143*$AL$2/1000</f>
        <v>38.081060841599999</v>
      </c>
      <c r="AM143" s="95">
        <v>4.9560000000000004</v>
      </c>
      <c r="AN143" s="95">
        <f>M143*AM143*$AN$2/1000</f>
        <v>40.945862412000004</v>
      </c>
      <c r="AO143" s="95">
        <v>3.57</v>
      </c>
      <c r="AP143" s="95">
        <f>M143*AO143*$AP$2/1000</f>
        <v>28.872758060999999</v>
      </c>
      <c r="AQ143" s="95">
        <f>SUM(AK143+AM143+AO143)</f>
        <v>13.062000000000001</v>
      </c>
      <c r="AR143" s="95">
        <f t="shared" si="927"/>
        <v>107.8996813146</v>
      </c>
      <c r="AS143" s="95">
        <v>1.764</v>
      </c>
      <c r="AT143" s="95">
        <f>O143*AS143*$AT$2/1000</f>
        <v>14.539687092000001</v>
      </c>
      <c r="AU143" s="95">
        <v>3.6120000000000001</v>
      </c>
      <c r="AV143" s="95">
        <f>O143*AU143*$AV$2/1000</f>
        <v>30.512142082800004</v>
      </c>
      <c r="AW143" s="95">
        <v>2.4780000000000002</v>
      </c>
      <c r="AX143" s="95">
        <f>O143*AW143*$AX$2/1000</f>
        <v>21.348795421800002</v>
      </c>
      <c r="AY143" s="95">
        <f t="shared" si="928"/>
        <v>7.854000000000001</v>
      </c>
      <c r="AZ143" s="95">
        <f t="shared" si="928"/>
        <v>66.400624596600011</v>
      </c>
      <c r="BA143" s="95">
        <f>SUM(AQ143+AY143)</f>
        <v>20.916000000000004</v>
      </c>
      <c r="BB143" s="95">
        <f>SUM(AR143,AZ143)</f>
        <v>174.30030591120001</v>
      </c>
      <c r="BC143" s="1" t="s">
        <v>1780</v>
      </c>
    </row>
    <row r="144" spans="1:55">
      <c r="A144" s="498">
        <v>105</v>
      </c>
      <c r="B144" s="26"/>
      <c r="C144" s="26"/>
      <c r="D144" s="27"/>
      <c r="E144" s="354" t="s">
        <v>337</v>
      </c>
      <c r="F144" s="28"/>
      <c r="G144" s="28"/>
      <c r="H144" s="272"/>
      <c r="I144" s="30"/>
      <c r="J144" s="100"/>
      <c r="K144" s="30"/>
      <c r="L144" s="161"/>
      <c r="M144" s="30"/>
      <c r="N144" s="161"/>
      <c r="O144" s="140"/>
      <c r="P144" s="100"/>
      <c r="Q144" s="547">
        <f>SUM(Q140:Q143)</f>
        <v>108.00200000000001</v>
      </c>
      <c r="R144" s="547">
        <f t="shared" ref="R144:BB144" si="929">SUM(R140:R143)</f>
        <v>889.89794654880006</v>
      </c>
      <c r="S144" s="547">
        <f t="shared" si="929"/>
        <v>14.196</v>
      </c>
      <c r="T144" s="547">
        <f t="shared" si="929"/>
        <v>114.16561148160001</v>
      </c>
      <c r="U144" s="547">
        <f>SUM(U140:U143)</f>
        <v>10.206</v>
      </c>
      <c r="V144" s="547">
        <f>SUM(V140:V143)</f>
        <v>82.64290473600002</v>
      </c>
      <c r="W144" s="547">
        <f>SUM(W140:W143)</f>
        <v>8.9879999999999995</v>
      </c>
      <c r="X144" s="547">
        <f t="shared" si="929"/>
        <v>72.883242432000003</v>
      </c>
      <c r="Y144" s="547">
        <f t="shared" si="929"/>
        <v>33.39</v>
      </c>
      <c r="Z144" s="547">
        <f t="shared" si="929"/>
        <v>269.69175864960005</v>
      </c>
      <c r="AA144" s="547">
        <f>SUM(AA140:AA143)</f>
        <v>11.276</v>
      </c>
      <c r="AB144" s="547">
        <f t="shared" si="929"/>
        <v>93.526304356799997</v>
      </c>
      <c r="AC144" s="547">
        <f t="shared" si="929"/>
        <v>9.3239999999999998</v>
      </c>
      <c r="AD144" s="547">
        <f t="shared" si="929"/>
        <v>77.567132353200009</v>
      </c>
      <c r="AE144" s="547">
        <f>SUM(AE140:AE143)</f>
        <v>7.056</v>
      </c>
      <c r="AF144" s="548">
        <f>SUM(AF140:AF143)</f>
        <v>59.138570231999992</v>
      </c>
      <c r="AG144" s="547">
        <f t="shared" si="929"/>
        <v>27.655999999999999</v>
      </c>
      <c r="AH144" s="547">
        <f t="shared" si="929"/>
        <v>230.232006942</v>
      </c>
      <c r="AI144" s="547">
        <f t="shared" si="929"/>
        <v>61.046000000000006</v>
      </c>
      <c r="AJ144" s="547">
        <f t="shared" si="929"/>
        <v>499.92376559160004</v>
      </c>
      <c r="AK144" s="547">
        <f t="shared" si="929"/>
        <v>7.56</v>
      </c>
      <c r="AL144" s="547">
        <f t="shared" si="929"/>
        <v>63.552083414400002</v>
      </c>
      <c r="AM144" s="547">
        <f t="shared" si="929"/>
        <v>8.9879999999999995</v>
      </c>
      <c r="AN144" s="547">
        <f t="shared" si="929"/>
        <v>74.367509579999989</v>
      </c>
      <c r="AO144" s="547">
        <f t="shared" si="929"/>
        <v>14.657999999999999</v>
      </c>
      <c r="AP144" s="547">
        <f t="shared" si="929"/>
        <v>118.8436186098</v>
      </c>
      <c r="AQ144" s="547">
        <f t="shared" si="929"/>
        <v>31.206</v>
      </c>
      <c r="AR144" s="547">
        <f t="shared" si="929"/>
        <v>256.76321160420002</v>
      </c>
      <c r="AS144" s="547">
        <f t="shared" si="929"/>
        <v>3.7800000000000002</v>
      </c>
      <c r="AT144" s="547">
        <f t="shared" si="929"/>
        <v>31.211222868</v>
      </c>
      <c r="AU144" s="547">
        <f t="shared" si="929"/>
        <v>7.6859999999999999</v>
      </c>
      <c r="AV144" s="547">
        <f t="shared" si="929"/>
        <v>65.040393285000007</v>
      </c>
      <c r="AW144" s="547">
        <f t="shared" si="929"/>
        <v>4.2840000000000007</v>
      </c>
      <c r="AX144" s="547">
        <f t="shared" si="929"/>
        <v>36.959353200000002</v>
      </c>
      <c r="AY144" s="547">
        <f t="shared" si="929"/>
        <v>15.75</v>
      </c>
      <c r="AZ144" s="547">
        <f t="shared" si="929"/>
        <v>133.210969353</v>
      </c>
      <c r="BA144" s="547">
        <f t="shared" si="929"/>
        <v>46.956000000000003</v>
      </c>
      <c r="BB144" s="547">
        <f t="shared" si="929"/>
        <v>389.97418095720002</v>
      </c>
      <c r="BC144" s="1" t="s">
        <v>1781</v>
      </c>
    </row>
    <row r="145" spans="1:55" hidden="1">
      <c r="A145" s="498">
        <v>106</v>
      </c>
      <c r="B145" s="13"/>
      <c r="C145" s="13"/>
      <c r="D145" s="15" t="s">
        <v>596</v>
      </c>
      <c r="E145" s="31" t="s">
        <v>137</v>
      </c>
      <c r="F145" s="314" t="s">
        <v>34</v>
      </c>
      <c r="G145" s="314" t="s">
        <v>1105</v>
      </c>
      <c r="H145" s="274" t="s">
        <v>365</v>
      </c>
      <c r="I145" s="44">
        <v>3.37</v>
      </c>
      <c r="J145" s="162"/>
      <c r="K145" s="44"/>
      <c r="L145" s="162"/>
      <c r="M145" s="44"/>
      <c r="N145" s="162"/>
      <c r="O145" s="44"/>
      <c r="P145" s="162"/>
      <c r="Q145" s="122">
        <f t="shared" ref="Q145:Q187" si="930">SUM(AI145+BA145)</f>
        <v>0</v>
      </c>
      <c r="R145" s="346">
        <f t="shared" ref="R145:R192" si="931">SUM(AJ145+BB145)</f>
        <v>0</v>
      </c>
      <c r="S145" s="122"/>
      <c r="T145" s="122">
        <f t="shared" ref="T145:T195" si="932">I145*S145*$T$2/1000</f>
        <v>0</v>
      </c>
      <c r="U145" s="122"/>
      <c r="V145" s="122">
        <f t="shared" ref="V145:V195" si="933">I145*U145*$V$2/1000</f>
        <v>0</v>
      </c>
      <c r="W145" s="122"/>
      <c r="X145" s="122">
        <f t="shared" ref="X145:X195" si="934">I145*W145*$X$2/1000</f>
        <v>0</v>
      </c>
      <c r="Y145" s="122">
        <f t="shared" ref="Y145:Y195" si="935">SUM(S145+U145+W145)</f>
        <v>0</v>
      </c>
      <c r="Z145" s="122">
        <f t="shared" ref="Z145:Z195" si="936">SUM(T145+V145+X145)</f>
        <v>0</v>
      </c>
      <c r="AA145" s="122"/>
      <c r="AB145" s="122">
        <f t="shared" ref="AB145:AB196" si="937">K145*AA145*$AB$2/1000</f>
        <v>0</v>
      </c>
      <c r="AC145" s="122"/>
      <c r="AD145" s="122">
        <f t="shared" ref="AD145:AD195" si="938">K145*AC145*$AD$2/1000</f>
        <v>0</v>
      </c>
      <c r="AE145" s="122"/>
      <c r="AF145" s="125">
        <f>K145*AE145*$AF$2/1000</f>
        <v>0</v>
      </c>
      <c r="AG145" s="122">
        <f t="shared" ref="AG145:AG195" si="939">SUM(AA145+AC145+AE145)</f>
        <v>0</v>
      </c>
      <c r="AH145" s="122">
        <f t="shared" ref="AH145:AH195" si="940">SUM(AB145+AD145+AF145)</f>
        <v>0</v>
      </c>
      <c r="AI145" s="122">
        <f t="shared" ref="AI145:AI195" si="941">SUM(Y145+AG145)</f>
        <v>0</v>
      </c>
      <c r="AJ145" s="122">
        <f t="shared" ref="AJ145:AJ195" si="942">SUM(Z145,AH145)</f>
        <v>0</v>
      </c>
      <c r="AK145" s="122"/>
      <c r="AL145" s="122">
        <f t="shared" ref="AL145:AL195" si="943">M145*AK145*$AL$2/1000</f>
        <v>0</v>
      </c>
      <c r="AM145" s="122"/>
      <c r="AN145" s="122">
        <f t="shared" ref="AN145:AN195" si="944">M145*AM145*$AN$2/1000</f>
        <v>0</v>
      </c>
      <c r="AO145" s="122"/>
      <c r="AP145" s="122">
        <f t="shared" ref="AP145:AP167" si="945">M145*AO145*$AP$2/1000</f>
        <v>0</v>
      </c>
      <c r="AQ145" s="122">
        <f t="shared" ref="AQ145:AQ195" si="946">SUM(AK145+AM145+AO145)</f>
        <v>0</v>
      </c>
      <c r="AR145" s="122">
        <f t="shared" ref="AR145:AR195" si="947">SUM(AL145+AN145+AP145)</f>
        <v>0</v>
      </c>
      <c r="AS145" s="122"/>
      <c r="AT145" s="122">
        <f t="shared" ref="AT145:AT195" si="948">O145*AS145*$AT$2/1000</f>
        <v>0</v>
      </c>
      <c r="AU145" s="122"/>
      <c r="AV145" s="122">
        <f t="shared" ref="AV145:AV195" si="949">O145*AU145*$AV$2/1000</f>
        <v>0</v>
      </c>
      <c r="AW145" s="122"/>
      <c r="AX145" s="122">
        <f t="shared" ref="AX145:AX193" si="950">O145*AW145*$AX$2/1000</f>
        <v>0</v>
      </c>
      <c r="AY145" s="122">
        <f t="shared" ref="AY145:AY195" si="951">SUM(AS145+AU145+AW145)</f>
        <v>0</v>
      </c>
      <c r="AZ145" s="122">
        <f t="shared" ref="AZ145:AZ195" si="952">SUM(AT145+AV145+AX145)</f>
        <v>0</v>
      </c>
      <c r="BA145" s="122">
        <f t="shared" ref="BA145:BA195" si="953">SUM(AQ145+AY145)</f>
        <v>0</v>
      </c>
      <c r="BB145" s="122">
        <f t="shared" ref="BB145:BB195" si="954">SUM(AR145,AZ145)</f>
        <v>0</v>
      </c>
      <c r="BC145" s="1" t="s">
        <v>1783</v>
      </c>
    </row>
    <row r="146" spans="1:55" hidden="1">
      <c r="A146" s="498">
        <v>107</v>
      </c>
      <c r="B146" s="13"/>
      <c r="C146" s="13"/>
      <c r="D146" s="15"/>
      <c r="E146" s="21" t="s">
        <v>36</v>
      </c>
      <c r="F146" s="46" t="s">
        <v>138</v>
      </c>
      <c r="G146" s="46" t="s">
        <v>1105</v>
      </c>
      <c r="H146" s="268" t="s">
        <v>365</v>
      </c>
      <c r="I146" s="18">
        <v>2.9</v>
      </c>
      <c r="J146" s="158"/>
      <c r="K146" s="18"/>
      <c r="L146" s="158"/>
      <c r="M146" s="18"/>
      <c r="N146" s="158"/>
      <c r="O146" s="18"/>
      <c r="P146" s="158"/>
      <c r="Q146" s="97">
        <f t="shared" si="930"/>
        <v>0</v>
      </c>
      <c r="R146" s="342">
        <f t="shared" si="931"/>
        <v>0</v>
      </c>
      <c r="S146" s="97"/>
      <c r="T146" s="97">
        <f t="shared" si="932"/>
        <v>0</v>
      </c>
      <c r="U146" s="97"/>
      <c r="V146" s="97">
        <f t="shared" si="933"/>
        <v>0</v>
      </c>
      <c r="W146" s="97"/>
      <c r="X146" s="97">
        <f t="shared" si="934"/>
        <v>0</v>
      </c>
      <c r="Y146" s="97">
        <f t="shared" si="935"/>
        <v>0</v>
      </c>
      <c r="Z146" s="97">
        <f t="shared" si="936"/>
        <v>0</v>
      </c>
      <c r="AA146" s="97"/>
      <c r="AB146" s="97">
        <f t="shared" si="937"/>
        <v>0</v>
      </c>
      <c r="AC146" s="97"/>
      <c r="AD146" s="97">
        <f t="shared" si="938"/>
        <v>0</v>
      </c>
      <c r="AE146" s="97"/>
      <c r="AF146" s="96">
        <f t="shared" ref="AF146:AF196" si="955">K146*AE146*$AF$2/1000</f>
        <v>0</v>
      </c>
      <c r="AG146" s="97">
        <f t="shared" si="939"/>
        <v>0</v>
      </c>
      <c r="AH146" s="97">
        <f t="shared" si="940"/>
        <v>0</v>
      </c>
      <c r="AI146" s="97">
        <f t="shared" si="941"/>
        <v>0</v>
      </c>
      <c r="AJ146" s="97">
        <f t="shared" si="942"/>
        <v>0</v>
      </c>
      <c r="AK146" s="97"/>
      <c r="AL146" s="97">
        <f t="shared" si="943"/>
        <v>0</v>
      </c>
      <c r="AM146" s="97"/>
      <c r="AN146" s="97">
        <f t="shared" si="944"/>
        <v>0</v>
      </c>
      <c r="AO146" s="97"/>
      <c r="AP146" s="97">
        <f t="shared" si="945"/>
        <v>0</v>
      </c>
      <c r="AQ146" s="97">
        <f t="shared" si="946"/>
        <v>0</v>
      </c>
      <c r="AR146" s="97">
        <f t="shared" si="947"/>
        <v>0</v>
      </c>
      <c r="AS146" s="97"/>
      <c r="AT146" s="97">
        <f>O146*AS146*$AT$2/1000</f>
        <v>0</v>
      </c>
      <c r="AU146" s="97"/>
      <c r="AV146" s="97">
        <f t="shared" si="949"/>
        <v>0</v>
      </c>
      <c r="AW146" s="97"/>
      <c r="AX146" s="97">
        <f t="shared" si="950"/>
        <v>0</v>
      </c>
      <c r="AY146" s="97">
        <f t="shared" si="951"/>
        <v>0</v>
      </c>
      <c r="AZ146" s="97">
        <f t="shared" si="952"/>
        <v>0</v>
      </c>
      <c r="BA146" s="97">
        <f t="shared" si="953"/>
        <v>0</v>
      </c>
      <c r="BB146" s="97">
        <f t="shared" si="954"/>
        <v>0</v>
      </c>
      <c r="BC146" s="1" t="s">
        <v>1783</v>
      </c>
    </row>
    <row r="147" spans="1:55" hidden="1">
      <c r="A147" s="498">
        <v>108</v>
      </c>
      <c r="B147" s="13"/>
      <c r="C147" s="13"/>
      <c r="D147" s="15"/>
      <c r="E147" s="21" t="s">
        <v>139</v>
      </c>
      <c r="F147" s="46" t="s">
        <v>37</v>
      </c>
      <c r="G147" s="46" t="s">
        <v>1105</v>
      </c>
      <c r="H147" s="268" t="s">
        <v>365</v>
      </c>
      <c r="I147" s="18">
        <v>3.48</v>
      </c>
      <c r="J147" s="158"/>
      <c r="K147" s="18"/>
      <c r="L147" s="158"/>
      <c r="M147" s="18"/>
      <c r="N147" s="158"/>
      <c r="O147" s="18"/>
      <c r="P147" s="158"/>
      <c r="Q147" s="97">
        <f t="shared" si="930"/>
        <v>0</v>
      </c>
      <c r="R147" s="342">
        <f t="shared" si="931"/>
        <v>0</v>
      </c>
      <c r="S147" s="97"/>
      <c r="T147" s="97">
        <f t="shared" si="932"/>
        <v>0</v>
      </c>
      <c r="U147" s="97"/>
      <c r="V147" s="97">
        <f t="shared" si="933"/>
        <v>0</v>
      </c>
      <c r="W147" s="97"/>
      <c r="X147" s="97">
        <f t="shared" si="934"/>
        <v>0</v>
      </c>
      <c r="Y147" s="97">
        <f t="shared" si="935"/>
        <v>0</v>
      </c>
      <c r="Z147" s="97">
        <f t="shared" si="936"/>
        <v>0</v>
      </c>
      <c r="AA147" s="97"/>
      <c r="AB147" s="97">
        <f t="shared" si="937"/>
        <v>0</v>
      </c>
      <c r="AC147" s="97"/>
      <c r="AD147" s="97">
        <f t="shared" si="938"/>
        <v>0</v>
      </c>
      <c r="AE147" s="97"/>
      <c r="AF147" s="96">
        <f t="shared" si="955"/>
        <v>0</v>
      </c>
      <c r="AG147" s="97">
        <f t="shared" si="939"/>
        <v>0</v>
      </c>
      <c r="AH147" s="97">
        <f t="shared" si="940"/>
        <v>0</v>
      </c>
      <c r="AI147" s="97">
        <f t="shared" si="941"/>
        <v>0</v>
      </c>
      <c r="AJ147" s="97">
        <f t="shared" si="942"/>
        <v>0</v>
      </c>
      <c r="AK147" s="97"/>
      <c r="AL147" s="97">
        <f>M147*AK147*$AL$2/1000</f>
        <v>0</v>
      </c>
      <c r="AM147" s="97"/>
      <c r="AN147" s="97">
        <f t="shared" si="944"/>
        <v>0</v>
      </c>
      <c r="AO147" s="97"/>
      <c r="AP147" s="97">
        <f t="shared" si="945"/>
        <v>0</v>
      </c>
      <c r="AQ147" s="97">
        <f t="shared" si="946"/>
        <v>0</v>
      </c>
      <c r="AR147" s="97">
        <f t="shared" si="947"/>
        <v>0</v>
      </c>
      <c r="AS147" s="97"/>
      <c r="AT147" s="97">
        <f t="shared" si="948"/>
        <v>0</v>
      </c>
      <c r="AU147" s="97"/>
      <c r="AV147" s="97">
        <f t="shared" si="949"/>
        <v>0</v>
      </c>
      <c r="AW147" s="97"/>
      <c r="AX147" s="97">
        <f t="shared" si="950"/>
        <v>0</v>
      </c>
      <c r="AY147" s="97">
        <f t="shared" si="951"/>
        <v>0</v>
      </c>
      <c r="AZ147" s="97">
        <f t="shared" si="952"/>
        <v>0</v>
      </c>
      <c r="BA147" s="97">
        <f t="shared" si="953"/>
        <v>0</v>
      </c>
      <c r="BB147" s="97">
        <f t="shared" si="954"/>
        <v>0</v>
      </c>
      <c r="BC147" s="1" t="s">
        <v>1783</v>
      </c>
    </row>
    <row r="148" spans="1:55" hidden="1">
      <c r="A148" s="498">
        <v>109</v>
      </c>
      <c r="B148" s="13"/>
      <c r="C148" s="13"/>
      <c r="D148" s="15"/>
      <c r="E148" s="21" t="s">
        <v>140</v>
      </c>
      <c r="F148" s="46" t="s">
        <v>38</v>
      </c>
      <c r="G148" s="46" t="s">
        <v>1105</v>
      </c>
      <c r="H148" s="268" t="s">
        <v>365</v>
      </c>
      <c r="I148" s="18">
        <v>4.01</v>
      </c>
      <c r="J148" s="158"/>
      <c r="K148" s="18"/>
      <c r="L148" s="158"/>
      <c r="M148" s="18"/>
      <c r="N148" s="158"/>
      <c r="O148" s="18"/>
      <c r="P148" s="158"/>
      <c r="Q148" s="97">
        <f t="shared" si="930"/>
        <v>0</v>
      </c>
      <c r="R148" s="342">
        <f t="shared" si="931"/>
        <v>0</v>
      </c>
      <c r="S148" s="97"/>
      <c r="T148" s="97">
        <f t="shared" si="932"/>
        <v>0</v>
      </c>
      <c r="U148" s="97"/>
      <c r="V148" s="97">
        <f t="shared" si="933"/>
        <v>0</v>
      </c>
      <c r="W148" s="97"/>
      <c r="X148" s="97">
        <f t="shared" si="934"/>
        <v>0</v>
      </c>
      <c r="Y148" s="97">
        <f t="shared" si="935"/>
        <v>0</v>
      </c>
      <c r="Z148" s="97">
        <f t="shared" si="936"/>
        <v>0</v>
      </c>
      <c r="AA148" s="97"/>
      <c r="AB148" s="97">
        <f t="shared" si="937"/>
        <v>0</v>
      </c>
      <c r="AC148" s="97"/>
      <c r="AD148" s="97">
        <f t="shared" si="938"/>
        <v>0</v>
      </c>
      <c r="AE148" s="97"/>
      <c r="AF148" s="96">
        <f t="shared" si="955"/>
        <v>0</v>
      </c>
      <c r="AG148" s="97">
        <f t="shared" si="939"/>
        <v>0</v>
      </c>
      <c r="AH148" s="97">
        <f t="shared" si="940"/>
        <v>0</v>
      </c>
      <c r="AI148" s="97">
        <f t="shared" si="941"/>
        <v>0</v>
      </c>
      <c r="AJ148" s="97">
        <f t="shared" si="942"/>
        <v>0</v>
      </c>
      <c r="AK148" s="97"/>
      <c r="AL148" s="97">
        <f t="shared" si="943"/>
        <v>0</v>
      </c>
      <c r="AM148" s="97"/>
      <c r="AN148" s="97">
        <f t="shared" si="944"/>
        <v>0</v>
      </c>
      <c r="AO148" s="97"/>
      <c r="AP148" s="97">
        <f t="shared" si="945"/>
        <v>0</v>
      </c>
      <c r="AQ148" s="97">
        <f t="shared" si="946"/>
        <v>0</v>
      </c>
      <c r="AR148" s="97">
        <f t="shared" si="947"/>
        <v>0</v>
      </c>
      <c r="AS148" s="97"/>
      <c r="AT148" s="97">
        <f t="shared" si="948"/>
        <v>0</v>
      </c>
      <c r="AU148" s="97"/>
      <c r="AV148" s="97">
        <f t="shared" si="949"/>
        <v>0</v>
      </c>
      <c r="AW148" s="97"/>
      <c r="AX148" s="97">
        <f t="shared" si="950"/>
        <v>0</v>
      </c>
      <c r="AY148" s="97">
        <f t="shared" si="951"/>
        <v>0</v>
      </c>
      <c r="AZ148" s="97">
        <f t="shared" si="952"/>
        <v>0</v>
      </c>
      <c r="BA148" s="97">
        <f t="shared" si="953"/>
        <v>0</v>
      </c>
      <c r="BB148" s="97">
        <f t="shared" si="954"/>
        <v>0</v>
      </c>
      <c r="BC148" s="1" t="s">
        <v>1783</v>
      </c>
    </row>
    <row r="149" spans="1:55" hidden="1">
      <c r="A149" s="498">
        <v>110</v>
      </c>
      <c r="B149" s="13"/>
      <c r="C149" s="13"/>
      <c r="D149" s="15"/>
      <c r="E149" s="21" t="s">
        <v>141</v>
      </c>
      <c r="F149" s="46" t="s">
        <v>40</v>
      </c>
      <c r="G149" s="46" t="s">
        <v>1105</v>
      </c>
      <c r="H149" s="268" t="s">
        <v>365</v>
      </c>
      <c r="I149" s="18">
        <v>2</v>
      </c>
      <c r="J149" s="158"/>
      <c r="K149" s="18"/>
      <c r="L149" s="158"/>
      <c r="M149" s="18"/>
      <c r="N149" s="158"/>
      <c r="O149" s="18"/>
      <c r="P149" s="158"/>
      <c r="Q149" s="97">
        <f t="shared" si="930"/>
        <v>0</v>
      </c>
      <c r="R149" s="342">
        <f t="shared" si="931"/>
        <v>0</v>
      </c>
      <c r="S149" s="97"/>
      <c r="T149" s="97">
        <f t="shared" si="932"/>
        <v>0</v>
      </c>
      <c r="U149" s="97"/>
      <c r="V149" s="97">
        <f t="shared" si="933"/>
        <v>0</v>
      </c>
      <c r="W149" s="97"/>
      <c r="X149" s="97">
        <f t="shared" si="934"/>
        <v>0</v>
      </c>
      <c r="Y149" s="97">
        <f t="shared" si="935"/>
        <v>0</v>
      </c>
      <c r="Z149" s="97">
        <f t="shared" si="936"/>
        <v>0</v>
      </c>
      <c r="AA149" s="97"/>
      <c r="AB149" s="97">
        <f t="shared" si="937"/>
        <v>0</v>
      </c>
      <c r="AC149" s="97"/>
      <c r="AD149" s="97">
        <f t="shared" si="938"/>
        <v>0</v>
      </c>
      <c r="AE149" s="97"/>
      <c r="AF149" s="96">
        <f t="shared" si="955"/>
        <v>0</v>
      </c>
      <c r="AG149" s="97">
        <f t="shared" si="939"/>
        <v>0</v>
      </c>
      <c r="AH149" s="97">
        <f t="shared" si="940"/>
        <v>0</v>
      </c>
      <c r="AI149" s="97">
        <f t="shared" si="941"/>
        <v>0</v>
      </c>
      <c r="AJ149" s="97">
        <f t="shared" si="942"/>
        <v>0</v>
      </c>
      <c r="AK149" s="97"/>
      <c r="AL149" s="97">
        <f t="shared" si="943"/>
        <v>0</v>
      </c>
      <c r="AM149" s="97"/>
      <c r="AN149" s="97">
        <f t="shared" si="944"/>
        <v>0</v>
      </c>
      <c r="AO149" s="97"/>
      <c r="AP149" s="97">
        <f t="shared" si="945"/>
        <v>0</v>
      </c>
      <c r="AQ149" s="97">
        <f t="shared" si="946"/>
        <v>0</v>
      </c>
      <c r="AR149" s="97">
        <f t="shared" si="947"/>
        <v>0</v>
      </c>
      <c r="AS149" s="97"/>
      <c r="AT149" s="97">
        <f t="shared" si="948"/>
        <v>0</v>
      </c>
      <c r="AU149" s="97"/>
      <c r="AV149" s="97">
        <f t="shared" si="949"/>
        <v>0</v>
      </c>
      <c r="AW149" s="97"/>
      <c r="AX149" s="97">
        <f t="shared" si="950"/>
        <v>0</v>
      </c>
      <c r="AY149" s="97">
        <f t="shared" si="951"/>
        <v>0</v>
      </c>
      <c r="AZ149" s="97">
        <f t="shared" si="952"/>
        <v>0</v>
      </c>
      <c r="BA149" s="97">
        <f t="shared" si="953"/>
        <v>0</v>
      </c>
      <c r="BB149" s="97">
        <f t="shared" si="954"/>
        <v>0</v>
      </c>
      <c r="BC149" s="1" t="s">
        <v>1783</v>
      </c>
    </row>
    <row r="150" spans="1:55">
      <c r="A150" s="498">
        <v>111</v>
      </c>
      <c r="B150" s="13"/>
      <c r="C150" s="13"/>
      <c r="D150" s="15" t="s">
        <v>595</v>
      </c>
      <c r="E150" s="21" t="s">
        <v>142</v>
      </c>
      <c r="F150" s="46" t="s">
        <v>41</v>
      </c>
      <c r="G150" s="46" t="s">
        <v>1105</v>
      </c>
      <c r="H150" s="268" t="s">
        <v>365</v>
      </c>
      <c r="I150" s="18">
        <v>2.87</v>
      </c>
      <c r="J150" s="158"/>
      <c r="K150" s="18">
        <v>2.87</v>
      </c>
      <c r="L150" s="158"/>
      <c r="M150" s="18">
        <v>2.87</v>
      </c>
      <c r="N150" s="158"/>
      <c r="O150" s="18">
        <v>2.87</v>
      </c>
      <c r="P150" s="158"/>
      <c r="Q150" s="97">
        <f t="shared" si="930"/>
        <v>0</v>
      </c>
      <c r="R150" s="342">
        <f t="shared" si="931"/>
        <v>0</v>
      </c>
      <c r="S150" s="97"/>
      <c r="T150" s="97">
        <f t="shared" si="932"/>
        <v>0</v>
      </c>
      <c r="U150" s="97"/>
      <c r="V150" s="97">
        <f t="shared" si="933"/>
        <v>0</v>
      </c>
      <c r="W150" s="97"/>
      <c r="X150" s="97">
        <f t="shared" si="934"/>
        <v>0</v>
      </c>
      <c r="Y150" s="97">
        <f t="shared" si="935"/>
        <v>0</v>
      </c>
      <c r="Z150" s="97">
        <f t="shared" si="936"/>
        <v>0</v>
      </c>
      <c r="AA150" s="97"/>
      <c r="AB150" s="97">
        <f t="shared" si="937"/>
        <v>0</v>
      </c>
      <c r="AC150" s="97"/>
      <c r="AD150" s="97">
        <f t="shared" si="938"/>
        <v>0</v>
      </c>
      <c r="AE150" s="97"/>
      <c r="AF150" s="96">
        <f t="shared" si="955"/>
        <v>0</v>
      </c>
      <c r="AG150" s="97">
        <f t="shared" si="939"/>
        <v>0</v>
      </c>
      <c r="AH150" s="97">
        <f t="shared" si="940"/>
        <v>0</v>
      </c>
      <c r="AI150" s="97">
        <f t="shared" si="941"/>
        <v>0</v>
      </c>
      <c r="AJ150" s="97">
        <f t="shared" si="942"/>
        <v>0</v>
      </c>
      <c r="AK150" s="97"/>
      <c r="AL150" s="97">
        <f t="shared" si="943"/>
        <v>0</v>
      </c>
      <c r="AM150" s="97"/>
      <c r="AN150" s="97">
        <f t="shared" si="944"/>
        <v>0</v>
      </c>
      <c r="AO150" s="97"/>
      <c r="AP150" s="97">
        <f t="shared" si="945"/>
        <v>0</v>
      </c>
      <c r="AQ150" s="97">
        <f t="shared" si="946"/>
        <v>0</v>
      </c>
      <c r="AR150" s="97">
        <f t="shared" si="947"/>
        <v>0</v>
      </c>
      <c r="AS150" s="97"/>
      <c r="AT150" s="97">
        <f t="shared" si="948"/>
        <v>0</v>
      </c>
      <c r="AU150" s="97"/>
      <c r="AV150" s="97">
        <f t="shared" si="949"/>
        <v>0</v>
      </c>
      <c r="AW150" s="97"/>
      <c r="AX150" s="97">
        <f t="shared" si="950"/>
        <v>0</v>
      </c>
      <c r="AY150" s="97">
        <f t="shared" si="951"/>
        <v>0</v>
      </c>
      <c r="AZ150" s="97">
        <f t="shared" si="952"/>
        <v>0</v>
      </c>
      <c r="BA150" s="97">
        <f t="shared" si="953"/>
        <v>0</v>
      </c>
      <c r="BB150" s="97">
        <f t="shared" si="954"/>
        <v>0</v>
      </c>
      <c r="BC150" s="1" t="s">
        <v>1780</v>
      </c>
    </row>
    <row r="151" spans="1:55">
      <c r="A151" s="498">
        <v>112</v>
      </c>
      <c r="B151" s="13"/>
      <c r="C151" s="13"/>
      <c r="D151" s="15"/>
      <c r="E151" s="21" t="s">
        <v>961</v>
      </c>
      <c r="F151" s="46" t="s">
        <v>1005</v>
      </c>
      <c r="G151" s="46" t="s">
        <v>1103</v>
      </c>
      <c r="H151" s="268" t="s">
        <v>365</v>
      </c>
      <c r="I151" s="18">
        <v>12.92</v>
      </c>
      <c r="J151" s="158"/>
      <c r="K151" s="18">
        <v>12.91</v>
      </c>
      <c r="L151" s="158"/>
      <c r="M151" s="18">
        <v>12.91</v>
      </c>
      <c r="N151" s="158"/>
      <c r="O151" s="18">
        <v>12.91</v>
      </c>
      <c r="P151" s="158"/>
      <c r="Q151" s="97">
        <f t="shared" ref="Q151" si="956">SUM(AI151+BA151)</f>
        <v>104.78400000000001</v>
      </c>
      <c r="R151" s="342">
        <f t="shared" ref="R151" si="957">SUM(AJ151+BB151)</f>
        <v>1838.5777780416001</v>
      </c>
      <c r="S151" s="97">
        <v>11.808</v>
      </c>
      <c r="T151" s="97">
        <f t="shared" ref="T151" si="958">I151*S151*$T$2/1000</f>
        <v>201.66669239040002</v>
      </c>
      <c r="U151" s="97">
        <v>12.672000000000001</v>
      </c>
      <c r="V151" s="97">
        <f t="shared" ref="V151" si="959">I151*U151*$V$2/1000</f>
        <v>217.81606809600001</v>
      </c>
      <c r="W151" s="97">
        <v>5.7119999999999997</v>
      </c>
      <c r="X151" s="97">
        <f t="shared" ref="X151" si="960">I151*W151*$X$2/1000</f>
        <v>98.197002623999992</v>
      </c>
      <c r="Y151" s="97">
        <f t="shared" ref="Y151" si="961">SUM(S151+U151+W151)</f>
        <v>30.192</v>
      </c>
      <c r="Z151" s="97">
        <f t="shared" ref="Z151" si="962">SUM(T151+V151+X151)</f>
        <v>517.67976311040002</v>
      </c>
      <c r="AA151" s="97">
        <v>13.656000000000001</v>
      </c>
      <c r="AB151" s="97">
        <f t="shared" ref="AB151" si="963">K151*AA151*$AB$2/1000</f>
        <v>240.49293731520001</v>
      </c>
      <c r="AC151" s="97">
        <v>10.032</v>
      </c>
      <c r="AD151" s="97">
        <f t="shared" ref="AD151" si="964">K151*AC151*$AD$2/1000</f>
        <v>177.38505454560001</v>
      </c>
      <c r="AE151" s="97">
        <v>5.9039999999999999</v>
      </c>
      <c r="AF151" s="96">
        <f t="shared" ref="AF151" si="965">K151*AE151*$AF$2/1000</f>
        <v>105.0953050512</v>
      </c>
      <c r="AG151" s="97">
        <f t="shared" ref="AG151" si="966">SUM(AA151+AC151+AE151)</f>
        <v>29.592000000000002</v>
      </c>
      <c r="AH151" s="97">
        <f t="shared" ref="AH151" si="967">SUM(AB151+AD151+AF151)</f>
        <v>522.97329691200002</v>
      </c>
      <c r="AI151" s="97">
        <f t="shared" ref="AI151" si="968">SUM(Y151+AG151)</f>
        <v>59.784000000000006</v>
      </c>
      <c r="AJ151" s="97">
        <f t="shared" ref="AJ151" si="969">SUM(Z151,AH151)</f>
        <v>1040.6530600224</v>
      </c>
      <c r="AK151" s="97">
        <v>14.256</v>
      </c>
      <c r="AL151" s="97">
        <f t="shared" ref="AL151" si="970">M151*AK151*$AL$2/1000</f>
        <v>254.54890327679999</v>
      </c>
      <c r="AM151" s="97">
        <v>5.9039999999999999</v>
      </c>
      <c r="AN151" s="97">
        <f t="shared" ref="AN151" si="971">M151*AM151*$AN$2/1000</f>
        <v>103.74391310399999</v>
      </c>
      <c r="AO151" s="97">
        <v>6.84</v>
      </c>
      <c r="AP151" s="97">
        <f t="shared" ref="AP151" si="972">M151*AO151*$AP$2/1000</f>
        <v>117.65589951600001</v>
      </c>
      <c r="AQ151" s="97">
        <f t="shared" ref="AQ151" si="973">SUM(AK151+AM151+AO151)</f>
        <v>27</v>
      </c>
      <c r="AR151" s="97">
        <f t="shared" ref="AR151" si="974">SUM(AL151+AN151+AP151)</f>
        <v>475.94871589679997</v>
      </c>
      <c r="AS151" s="97">
        <v>7.032</v>
      </c>
      <c r="AT151" s="97">
        <f t="shared" ref="AT151" si="975">O151*AS151*$AT$2/1000</f>
        <v>123.274398648</v>
      </c>
      <c r="AU151" s="97">
        <v>6.36</v>
      </c>
      <c r="AV151" s="97">
        <f t="shared" ref="AV151" si="976">O151*AU151*$AV$2/1000</f>
        <v>114.266683692</v>
      </c>
      <c r="AW151" s="97">
        <v>4.6079999999999997</v>
      </c>
      <c r="AX151" s="97">
        <f t="shared" ref="AX151" si="977">O151*AW151*$AX$2/1000</f>
        <v>84.434919782399987</v>
      </c>
      <c r="AY151" s="97">
        <f t="shared" ref="AY151" si="978">SUM(AS151+AU151+AW151)</f>
        <v>18</v>
      </c>
      <c r="AZ151" s="97">
        <f t="shared" ref="AZ151" si="979">SUM(AT151+AV151+AX151)</f>
        <v>321.97600212240002</v>
      </c>
      <c r="BA151" s="97">
        <f t="shared" ref="BA151" si="980">SUM(AQ151+AY151)</f>
        <v>45</v>
      </c>
      <c r="BB151" s="97">
        <f t="shared" ref="BB151" si="981">SUM(AR151,AZ151)</f>
        <v>797.92471801919999</v>
      </c>
      <c r="BC151" s="1" t="s">
        <v>1780</v>
      </c>
    </row>
    <row r="152" spans="1:55">
      <c r="A152" s="498">
        <v>113</v>
      </c>
      <c r="B152" s="13"/>
      <c r="C152" s="23"/>
      <c r="D152" s="15"/>
      <c r="E152" s="21" t="s">
        <v>59</v>
      </c>
      <c r="F152" s="46" t="s">
        <v>143</v>
      </c>
      <c r="G152" s="46" t="s">
        <v>1106</v>
      </c>
      <c r="H152" s="268" t="s">
        <v>365</v>
      </c>
      <c r="I152" s="18"/>
      <c r="J152" s="158"/>
      <c r="K152" s="18"/>
      <c r="L152" s="158"/>
      <c r="M152" s="18"/>
      <c r="N152" s="158"/>
      <c r="O152" s="18"/>
      <c r="P152" s="158"/>
      <c r="Q152" s="97">
        <f>SUM(AI152+BA152)</f>
        <v>0</v>
      </c>
      <c r="R152" s="342">
        <f>SUM(AJ152+BB152)</f>
        <v>0</v>
      </c>
      <c r="S152" s="97"/>
      <c r="T152" s="97">
        <f>I152*S152*$T$2/1000</f>
        <v>0</v>
      </c>
      <c r="U152" s="97"/>
      <c r="V152" s="97">
        <f>I152*U152*$V$2/1000</f>
        <v>0</v>
      </c>
      <c r="W152" s="97"/>
      <c r="X152" s="97">
        <f>I152*W152*$X$2/1000</f>
        <v>0</v>
      </c>
      <c r="Y152" s="97">
        <f>SUM(S152+U152+W152)</f>
        <v>0</v>
      </c>
      <c r="Z152" s="97">
        <f>SUM(T152+V152+X152)</f>
        <v>0</v>
      </c>
      <c r="AA152" s="97"/>
      <c r="AB152" s="97">
        <f t="shared" si="937"/>
        <v>0</v>
      </c>
      <c r="AC152" s="97"/>
      <c r="AD152" s="97">
        <f>K152*AC152*$AD$2/1000</f>
        <v>0</v>
      </c>
      <c r="AE152" s="97"/>
      <c r="AF152" s="96">
        <f>K152*AE152*$AF$2/1000</f>
        <v>0</v>
      </c>
      <c r="AG152" s="97">
        <f>SUM(AA152+AC152+AE152)</f>
        <v>0</v>
      </c>
      <c r="AH152" s="97">
        <f>SUM(AB152+AD152+AF152)</f>
        <v>0</v>
      </c>
      <c r="AI152" s="97">
        <f>SUM(Y152+AG152)</f>
        <v>0</v>
      </c>
      <c r="AJ152" s="97">
        <f>SUM(Z152,AH152)</f>
        <v>0</v>
      </c>
      <c r="AK152" s="97"/>
      <c r="AL152" s="97">
        <f>M152*AK152*$AL$2/1000</f>
        <v>0</v>
      </c>
      <c r="AM152" s="97"/>
      <c r="AN152" s="97">
        <f>M152*AM152*$AN$2/1000</f>
        <v>0</v>
      </c>
      <c r="AO152" s="97"/>
      <c r="AP152" s="97">
        <f>M152*AO152*$AP$2/1000</f>
        <v>0</v>
      </c>
      <c r="AQ152" s="97">
        <f>SUM(AK152+AM152+AO152)</f>
        <v>0</v>
      </c>
      <c r="AR152" s="97">
        <f>SUM(AL152+AN152+AP152)</f>
        <v>0</v>
      </c>
      <c r="AS152" s="97"/>
      <c r="AT152" s="97">
        <f>O152*AS152*$AT$2/1000</f>
        <v>0</v>
      </c>
      <c r="AU152" s="97"/>
      <c r="AV152" s="97">
        <f>O152*AU152*$AV$2/1000</f>
        <v>0</v>
      </c>
      <c r="AW152" s="97"/>
      <c r="AX152" s="97">
        <f>O152*AW152*$AX$2/1000</f>
        <v>0</v>
      </c>
      <c r="AY152" s="97">
        <f>SUM(AS152+AU152+AW152)</f>
        <v>0</v>
      </c>
      <c r="AZ152" s="97">
        <f>SUM(AT152+AV152+AX152)</f>
        <v>0</v>
      </c>
      <c r="BA152" s="97">
        <f>SUM(AQ152+AY152)</f>
        <v>0</v>
      </c>
      <c r="BB152" s="97">
        <f>SUM(AR152,AZ152)</f>
        <v>0</v>
      </c>
      <c r="BC152" s="1" t="s">
        <v>1780</v>
      </c>
    </row>
    <row r="153" spans="1:55">
      <c r="A153" s="498">
        <v>114</v>
      </c>
      <c r="B153" s="13"/>
      <c r="C153" s="13"/>
      <c r="D153" s="15"/>
      <c r="E153" s="21" t="s">
        <v>919</v>
      </c>
      <c r="F153" s="46" t="s">
        <v>918</v>
      </c>
      <c r="G153" s="46" t="s">
        <v>1106</v>
      </c>
      <c r="H153" s="268" t="s">
        <v>365</v>
      </c>
      <c r="I153" s="18"/>
      <c r="J153" s="158"/>
      <c r="K153" s="18"/>
      <c r="L153" s="158"/>
      <c r="M153" s="18"/>
      <c r="N153" s="158"/>
      <c r="O153" s="18"/>
      <c r="P153" s="158"/>
      <c r="Q153" s="97">
        <f t="shared" ref="Q153" si="982">SUM(AI153+BA153)</f>
        <v>0</v>
      </c>
      <c r="R153" s="342">
        <f t="shared" ref="R153" si="983">SUM(AJ153+BB153)</f>
        <v>0</v>
      </c>
      <c r="S153" s="97"/>
      <c r="T153" s="97">
        <f t="shared" ref="T153" si="984">I153*S153*$T$2/1000</f>
        <v>0</v>
      </c>
      <c r="U153" s="97"/>
      <c r="V153" s="97">
        <f t="shared" ref="V153" si="985">I153*U153*$V$2/1000</f>
        <v>0</v>
      </c>
      <c r="W153" s="97"/>
      <c r="X153" s="97">
        <f t="shared" ref="X153" si="986">I153*W153*$X$2/1000</f>
        <v>0</v>
      </c>
      <c r="Y153" s="97">
        <f t="shared" ref="Y153" si="987">SUM(S153+U153+W153)</f>
        <v>0</v>
      </c>
      <c r="Z153" s="97">
        <f t="shared" ref="Z153" si="988">SUM(T153+V153+X153)</f>
        <v>0</v>
      </c>
      <c r="AA153" s="97"/>
      <c r="AB153" s="97">
        <f t="shared" ref="AB153" si="989">K153*AA153*$AB$2/1000</f>
        <v>0</v>
      </c>
      <c r="AC153" s="97"/>
      <c r="AD153" s="97">
        <f t="shared" ref="AD153" si="990">K153*AC153*$AD$2/1000</f>
        <v>0</v>
      </c>
      <c r="AE153" s="97"/>
      <c r="AF153" s="96">
        <f t="shared" ref="AF153" si="991">K153*AE153*$AF$2/1000</f>
        <v>0</v>
      </c>
      <c r="AG153" s="97">
        <f t="shared" ref="AG153" si="992">SUM(AA153+AC153+AE153)</f>
        <v>0</v>
      </c>
      <c r="AH153" s="97">
        <f t="shared" ref="AH153" si="993">SUM(AB153+AD153+AF153)</f>
        <v>0</v>
      </c>
      <c r="AI153" s="97">
        <f t="shared" ref="AI153" si="994">SUM(Y153+AG153)</f>
        <v>0</v>
      </c>
      <c r="AJ153" s="97">
        <f t="shared" ref="AJ153" si="995">SUM(Z153,AH153)</f>
        <v>0</v>
      </c>
      <c r="AK153" s="97"/>
      <c r="AL153" s="97">
        <f t="shared" ref="AL153" si="996">M153*AK153*$AL$2/1000</f>
        <v>0</v>
      </c>
      <c r="AM153" s="97"/>
      <c r="AN153" s="97">
        <f t="shared" ref="AN153" si="997">M153*AM153*$AN$2/1000</f>
        <v>0</v>
      </c>
      <c r="AO153" s="97"/>
      <c r="AP153" s="97">
        <f t="shared" ref="AP153" si="998">M153*AO153*$AP$2/1000</f>
        <v>0</v>
      </c>
      <c r="AQ153" s="97">
        <f t="shared" ref="AQ153" si="999">SUM(AK153+AM153+AO153)</f>
        <v>0</v>
      </c>
      <c r="AR153" s="97">
        <f t="shared" ref="AR153" si="1000">SUM(AL153+AN153+AP153)</f>
        <v>0</v>
      </c>
      <c r="AS153" s="97"/>
      <c r="AT153" s="97">
        <f>O153*AS153*$AT$2/1000</f>
        <v>0</v>
      </c>
      <c r="AU153" s="97"/>
      <c r="AV153" s="97">
        <f t="shared" ref="AV153" si="1001">O153*AU153*$AV$2/1000</f>
        <v>0</v>
      </c>
      <c r="AW153" s="97"/>
      <c r="AX153" s="97">
        <f t="shared" ref="AX153" si="1002">O153*AW153*$AX$2/1000</f>
        <v>0</v>
      </c>
      <c r="AY153" s="97">
        <f t="shared" ref="AY153" si="1003">SUM(AS153+AU153+AW153)</f>
        <v>0</v>
      </c>
      <c r="AZ153" s="97">
        <f t="shared" ref="AZ153" si="1004">SUM(AT153+AV153+AX153)</f>
        <v>0</v>
      </c>
      <c r="BA153" s="97">
        <f t="shared" ref="BA153" si="1005">SUM(AQ153+AY153)</f>
        <v>0</v>
      </c>
      <c r="BB153" s="97">
        <f t="shared" ref="BB153" si="1006">SUM(AR153,AZ153)</f>
        <v>0</v>
      </c>
      <c r="BC153" s="1" t="s">
        <v>1780</v>
      </c>
    </row>
    <row r="154" spans="1:55" ht="12.75" customHeight="1">
      <c r="A154" s="498">
        <v>115</v>
      </c>
      <c r="B154" s="13"/>
      <c r="C154" s="23"/>
      <c r="D154" s="15"/>
      <c r="E154" s="21" t="s">
        <v>144</v>
      </c>
      <c r="F154" s="46" t="s">
        <v>145</v>
      </c>
      <c r="G154" s="46" t="s">
        <v>1106</v>
      </c>
      <c r="H154" s="268" t="s">
        <v>365</v>
      </c>
      <c r="I154" s="18">
        <v>8.6999999999999993</v>
      </c>
      <c r="J154" s="158"/>
      <c r="K154" s="18">
        <v>8.6999999999999993</v>
      </c>
      <c r="L154" s="158"/>
      <c r="M154" s="18">
        <v>8.6999999999999993</v>
      </c>
      <c r="N154" s="158"/>
      <c r="O154" s="18">
        <v>8.6999999999999993</v>
      </c>
      <c r="P154" s="158"/>
      <c r="Q154" s="97">
        <f>SUM(AI154+BA154)</f>
        <v>0</v>
      </c>
      <c r="R154" s="342">
        <f>SUM(AJ154+BB154)</f>
        <v>0</v>
      </c>
      <c r="S154" s="97"/>
      <c r="T154" s="97">
        <f>I154*S154*$T$2/1000</f>
        <v>0</v>
      </c>
      <c r="U154" s="97"/>
      <c r="V154" s="97">
        <f>I154*U154*$V$2/1000</f>
        <v>0</v>
      </c>
      <c r="W154" s="97"/>
      <c r="X154" s="97">
        <f>I154*W154*$X$2/1000</f>
        <v>0</v>
      </c>
      <c r="Y154" s="97">
        <f>SUM(S154+U154+W154)</f>
        <v>0</v>
      </c>
      <c r="Z154" s="97">
        <f>SUM(T154+V154+X154)</f>
        <v>0</v>
      </c>
      <c r="AA154" s="97"/>
      <c r="AB154" s="97">
        <f t="shared" si="937"/>
        <v>0</v>
      </c>
      <c r="AC154" s="97"/>
      <c r="AD154" s="97">
        <f>K154*AC154*$AD$2/1000</f>
        <v>0</v>
      </c>
      <c r="AE154" s="97"/>
      <c r="AF154" s="96">
        <f>K154*AE154*$AF$2/1000</f>
        <v>0</v>
      </c>
      <c r="AG154" s="97">
        <f>SUM(AA154+AC154+AE154)</f>
        <v>0</v>
      </c>
      <c r="AH154" s="97">
        <f>SUM(AB154+AD154+AF154)</f>
        <v>0</v>
      </c>
      <c r="AI154" s="97">
        <f>SUM(Y154+AG154)</f>
        <v>0</v>
      </c>
      <c r="AJ154" s="97">
        <f>SUM(Z154,AH154)</f>
        <v>0</v>
      </c>
      <c r="AK154" s="97"/>
      <c r="AL154" s="97">
        <f>M154*AK154*$AL$2/1000</f>
        <v>0</v>
      </c>
      <c r="AM154" s="97"/>
      <c r="AN154" s="97">
        <f>M154*AM154*$AN$2/1000</f>
        <v>0</v>
      </c>
      <c r="AO154" s="97"/>
      <c r="AP154" s="97">
        <f>M154*AO154*$AP$2/1000</f>
        <v>0</v>
      </c>
      <c r="AQ154" s="97">
        <f>SUM(AK154+AM154+AO154)</f>
        <v>0</v>
      </c>
      <c r="AR154" s="97">
        <f>SUM(AL154+AN154+AP154)</f>
        <v>0</v>
      </c>
      <c r="AS154" s="97"/>
      <c r="AT154" s="97">
        <f>O154*AS154*$AT$2/1000</f>
        <v>0</v>
      </c>
      <c r="AU154" s="97"/>
      <c r="AV154" s="97">
        <f>O154*AU154*$AV$2/1000</f>
        <v>0</v>
      </c>
      <c r="AW154" s="97"/>
      <c r="AX154" s="97">
        <f>O154*AW154*$AX$2/1000</f>
        <v>0</v>
      </c>
      <c r="AY154" s="97">
        <f>SUM(AS154+AU154+AW154)</f>
        <v>0</v>
      </c>
      <c r="AZ154" s="97">
        <f>SUM(AT154+AV154+AX154)</f>
        <v>0</v>
      </c>
      <c r="BA154" s="97">
        <f>SUM(AQ154+AY154)</f>
        <v>0</v>
      </c>
      <c r="BB154" s="97">
        <f>SUM(AR154,AZ154)</f>
        <v>0</v>
      </c>
      <c r="BC154" s="1" t="s">
        <v>1780</v>
      </c>
    </row>
    <row r="155" spans="1:55">
      <c r="B155" s="13"/>
      <c r="C155" s="13"/>
      <c r="D155" s="13"/>
      <c r="E155" s="21" t="s">
        <v>1308</v>
      </c>
      <c r="F155" s="22" t="s">
        <v>1309</v>
      </c>
      <c r="G155" s="46" t="s">
        <v>1102</v>
      </c>
      <c r="H155" s="268" t="s">
        <v>365</v>
      </c>
      <c r="I155" s="55">
        <v>16.100000000000001</v>
      </c>
      <c r="J155" s="102"/>
      <c r="K155" s="55">
        <v>16.100000000000001</v>
      </c>
      <c r="L155" s="163"/>
      <c r="M155" s="55">
        <v>16.100000000000001</v>
      </c>
      <c r="N155" s="163"/>
      <c r="O155" s="55">
        <v>16.09</v>
      </c>
      <c r="P155" s="102"/>
      <c r="Q155" s="97">
        <f t="shared" ref="Q155:Q157" si="1007">SUM(AI155+BA155)</f>
        <v>12.065999999999999</v>
      </c>
      <c r="R155" s="342">
        <f t="shared" ref="R155:R157" si="1008">SUM(AJ155+BB155)</f>
        <v>262.28199537660004</v>
      </c>
      <c r="S155" s="97">
        <v>0.624</v>
      </c>
      <c r="T155" s="97">
        <f>I155*S155*$T$2/1000</f>
        <v>13.280235696000002</v>
      </c>
      <c r="U155" s="97">
        <v>1.968</v>
      </c>
      <c r="V155" s="177">
        <f>I155*U155*$V$2/1000</f>
        <v>42.153457920000008</v>
      </c>
      <c r="W155" s="207">
        <v>2.7839999999999998</v>
      </c>
      <c r="X155" s="206">
        <f>I155*W155*$X$2/1000</f>
        <v>59.640685439999999</v>
      </c>
      <c r="Y155" s="189">
        <f t="shared" ref="Y155:Y157" si="1009">SUM(S155+U155+W155)</f>
        <v>5.3759999999999994</v>
      </c>
      <c r="Z155" s="177">
        <f t="shared" ref="Z155:Z157" si="1010">SUM(T155+V155+X155)</f>
        <v>115.07437905600001</v>
      </c>
      <c r="AA155" s="207">
        <v>5.76</v>
      </c>
      <c r="AB155" s="206">
        <f>K155*AA155*$AB$2/1000</f>
        <v>126.50303232</v>
      </c>
      <c r="AC155" s="207"/>
      <c r="AD155" s="177">
        <f>K155*AC155*$AD$2/1000</f>
        <v>0</v>
      </c>
      <c r="AE155" s="207"/>
      <c r="AF155" s="206">
        <f t="shared" ref="AF155:AF157" si="1011">K155*AE155*$AF$2/1000</f>
        <v>0</v>
      </c>
      <c r="AG155" s="189">
        <f t="shared" ref="AG155:AG157" si="1012">SUM(AA155+AC155+AE155)</f>
        <v>5.76</v>
      </c>
      <c r="AH155" s="97">
        <f t="shared" ref="AH155:AH157" si="1013">SUM(AB155+AD155+AF155)</f>
        <v>126.50303232</v>
      </c>
      <c r="AI155" s="97">
        <f t="shared" ref="AI155:AI157" si="1014">SUM(Y155+AG155)</f>
        <v>11.135999999999999</v>
      </c>
      <c r="AJ155" s="177">
        <f t="shared" ref="AJ155:AJ157" si="1015">SUM(Z155,AH155)</f>
        <v>241.57741137600001</v>
      </c>
      <c r="AK155" s="207">
        <v>0.57599999999999996</v>
      </c>
      <c r="AL155" s="177">
        <f t="shared" ref="AL155:AL157" si="1016">M155*AK155*$AL$2/1000</f>
        <v>12.826130687999999</v>
      </c>
      <c r="AM155" s="245">
        <v>0.16800000000000001</v>
      </c>
      <c r="AN155" s="177">
        <f t="shared" ref="AN155:AN157" si="1017">M155*AM155*$AN$2/1000</f>
        <v>3.6815032800000003</v>
      </c>
      <c r="AO155" s="207"/>
      <c r="AP155" s="206">
        <f t="shared" ref="AP155:AP157" si="1018">M155*AO155*$AP$2/1000</f>
        <v>0</v>
      </c>
      <c r="AQ155" s="189">
        <f t="shared" ref="AQ155:AQ157" si="1019">SUM(AK155+AM155+AO155)</f>
        <v>0.74399999999999999</v>
      </c>
      <c r="AR155" s="97">
        <f t="shared" ref="AR155:AR157" si="1020">SUM(AL155+AN155+AP155)</f>
        <v>16.507633968</v>
      </c>
      <c r="AS155" s="97"/>
      <c r="AT155" s="177">
        <f t="shared" ref="AT155:AT157" si="1021">O155*AS155*$AT$2/1000</f>
        <v>0</v>
      </c>
      <c r="AU155" s="207">
        <v>0.114</v>
      </c>
      <c r="AV155" s="177">
        <f t="shared" ref="AV155:AV157" si="1022">O155*AU155*$AV$2/1000</f>
        <v>2.5526846141999999</v>
      </c>
      <c r="AW155" s="207">
        <v>7.1999999999999995E-2</v>
      </c>
      <c r="AX155" s="206">
        <f t="shared" ref="AX155:AX157" si="1023">O155*AW155*$AX$2/1000</f>
        <v>1.6442654183999998</v>
      </c>
      <c r="AY155" s="189">
        <f t="shared" ref="AY155:AY157" si="1024">SUM(AS155+AU155+AW155)</f>
        <v>0.186</v>
      </c>
      <c r="AZ155" s="97">
        <f t="shared" ref="AZ155:AZ157" si="1025">SUM(AT155+AV155+AX155)</f>
        <v>4.1969500326000002</v>
      </c>
      <c r="BA155" s="97">
        <f t="shared" ref="BA155:BA157" si="1026">SUM(AQ155+AY155)</f>
        <v>0.92999999999999994</v>
      </c>
      <c r="BB155" s="97">
        <f t="shared" ref="BB155:BB157" si="1027">SUM(AR155,AZ155)</f>
        <v>20.704584000600001</v>
      </c>
      <c r="BC155" s="1" t="s">
        <v>1780</v>
      </c>
    </row>
    <row r="156" spans="1:55">
      <c r="A156" s="498">
        <v>119</v>
      </c>
      <c r="B156" s="13"/>
      <c r="C156" s="13"/>
      <c r="D156" s="13"/>
      <c r="E156" s="21" t="s">
        <v>1503</v>
      </c>
      <c r="F156" s="22" t="s">
        <v>1309</v>
      </c>
      <c r="G156" s="46" t="s">
        <v>1105</v>
      </c>
      <c r="H156" s="268" t="s">
        <v>366</v>
      </c>
      <c r="I156" s="18">
        <v>16.100000000000001</v>
      </c>
      <c r="J156" s="158"/>
      <c r="K156" s="18">
        <v>16.100000000000001</v>
      </c>
      <c r="L156" s="158"/>
      <c r="M156" s="18">
        <v>16.100000000000001</v>
      </c>
      <c r="N156" s="158"/>
      <c r="O156" s="18">
        <v>16.09</v>
      </c>
      <c r="P156" s="158"/>
      <c r="Q156" s="97">
        <f t="shared" ref="Q156" si="1028">SUM(AI156+BA156)</f>
        <v>65.421999999999997</v>
      </c>
      <c r="R156" s="342">
        <f t="shared" ref="R156" si="1029">SUM(AJ156+BB156)</f>
        <v>1436.0955056272001</v>
      </c>
      <c r="S156" s="97">
        <v>3.36</v>
      </c>
      <c r="T156" s="97">
        <f t="shared" ref="T156" si="1030">I156*S156*$T$2/1000</f>
        <v>71.508961440000007</v>
      </c>
      <c r="U156" s="97">
        <v>11.736000000000001</v>
      </c>
      <c r="V156" s="97">
        <f t="shared" ref="V156" si="1031">I156*U156*$V$2/1000</f>
        <v>251.37854784000007</v>
      </c>
      <c r="W156" s="97">
        <v>5.16</v>
      </c>
      <c r="X156" s="97">
        <f t="shared" ref="X156" si="1032">I156*W156*$X$2/1000</f>
        <v>110.54092560000001</v>
      </c>
      <c r="Y156" s="97">
        <f t="shared" ref="Y156" si="1033">SUM(S156+U156+W156)</f>
        <v>20.256</v>
      </c>
      <c r="Z156" s="97">
        <f t="shared" ref="Z156" si="1034">SUM(T156+V156+X156)</f>
        <v>433.42843488000005</v>
      </c>
      <c r="AA156" s="97">
        <v>7.4859999999999998</v>
      </c>
      <c r="AB156" s="97">
        <f t="shared" ref="AB156" si="1035">K156*AA156*$AB$2/1000</f>
        <v>164.41001735199998</v>
      </c>
      <c r="AC156" s="97">
        <v>5.5919999999999996</v>
      </c>
      <c r="AD156" s="97">
        <f t="shared" ref="AD156" si="1036">K156*AC156*$AD$2/1000</f>
        <v>123.30943245600001</v>
      </c>
      <c r="AE156" s="97">
        <v>8.1839999999999993</v>
      </c>
      <c r="AF156" s="96">
        <f t="shared" ref="AF156" si="1037">K156*AE156*$AF$2/1000</f>
        <v>181.67794999200001</v>
      </c>
      <c r="AG156" s="97">
        <f t="shared" ref="AG156" si="1038">SUM(AA156+AC156+AE156)</f>
        <v>21.262</v>
      </c>
      <c r="AH156" s="97">
        <f t="shared" ref="AH156" si="1039">SUM(AB156+AD156+AF156)</f>
        <v>469.39739980000002</v>
      </c>
      <c r="AI156" s="97">
        <f t="shared" ref="AI156" si="1040">SUM(Y156+AG156)</f>
        <v>41.518000000000001</v>
      </c>
      <c r="AJ156" s="97">
        <f t="shared" ref="AJ156" si="1041">SUM(Z156,AH156)</f>
        <v>902.82583468000007</v>
      </c>
      <c r="AK156" s="97">
        <v>9.7919999999999998</v>
      </c>
      <c r="AL156" s="97">
        <f t="shared" ref="AL156" si="1042">M156*AK156*$AL$2/1000</f>
        <v>218.04422169600002</v>
      </c>
      <c r="AM156" s="97">
        <v>0.86399999999999999</v>
      </c>
      <c r="AN156" s="97">
        <f t="shared" ref="AN156" si="1043">M156*AM156*$AN$2/1000</f>
        <v>18.93344544</v>
      </c>
      <c r="AO156" s="97">
        <v>1.728</v>
      </c>
      <c r="AP156" s="97">
        <f t="shared" ref="AP156" si="1044">M156*AO156*$AP$2/1000</f>
        <v>37.068155712000006</v>
      </c>
      <c r="AQ156" s="97">
        <f t="shared" ref="AQ156" si="1045">SUM(AK156+AM156+AO156)</f>
        <v>12.384</v>
      </c>
      <c r="AR156" s="97">
        <f t="shared" ref="AR156" si="1046">SUM(AL156+AN156+AP156)</f>
        <v>274.04582284800006</v>
      </c>
      <c r="AS156" s="97">
        <v>1.44</v>
      </c>
      <c r="AT156" s="97">
        <f t="shared" ref="AT156" si="1047">O156*AS156*$AT$2/1000</f>
        <v>31.461999840000001</v>
      </c>
      <c r="AU156" s="97">
        <v>5.4720000000000004</v>
      </c>
      <c r="AV156" s="97">
        <f t="shared" ref="AV156" si="1048">O156*AU156*$AV$2/1000</f>
        <v>122.52886148160002</v>
      </c>
      <c r="AW156" s="97">
        <v>4.6079999999999997</v>
      </c>
      <c r="AX156" s="97">
        <f t="shared" ref="AX156" si="1049">O156*AW156*$AX$2/1000</f>
        <v>105.23298677759999</v>
      </c>
      <c r="AY156" s="97">
        <f t="shared" ref="AY156" si="1050">SUM(AS156+AU156+AW156)</f>
        <v>11.52</v>
      </c>
      <c r="AZ156" s="97">
        <f t="shared" ref="AZ156" si="1051">SUM(AT156+AV156+AX156)</f>
        <v>259.22384809920004</v>
      </c>
      <c r="BA156" s="97">
        <f t="shared" ref="BA156" si="1052">SUM(AQ156+AY156)</f>
        <v>23.904</v>
      </c>
      <c r="BB156" s="97">
        <f t="shared" ref="BB156" si="1053">SUM(AR156,AZ156)</f>
        <v>533.2696709472001</v>
      </c>
      <c r="BC156" s="1" t="s">
        <v>1780</v>
      </c>
    </row>
    <row r="157" spans="1:55">
      <c r="A157" s="498">
        <v>119</v>
      </c>
      <c r="B157" s="13"/>
      <c r="C157" s="13"/>
      <c r="D157" s="13"/>
      <c r="E157" s="21" t="s">
        <v>1411</v>
      </c>
      <c r="F157" s="22" t="s">
        <v>1309</v>
      </c>
      <c r="G157" s="46" t="s">
        <v>1105</v>
      </c>
      <c r="H157" s="268" t="s">
        <v>367</v>
      </c>
      <c r="I157" s="18">
        <v>16.48</v>
      </c>
      <c r="J157" s="158"/>
      <c r="K157" s="18">
        <v>16.48</v>
      </c>
      <c r="L157" s="158"/>
      <c r="M157" s="18">
        <v>16.48</v>
      </c>
      <c r="N157" s="158"/>
      <c r="O157" s="18">
        <v>16.48</v>
      </c>
      <c r="P157" s="158"/>
      <c r="Q157" s="97">
        <f t="shared" si="1007"/>
        <v>0</v>
      </c>
      <c r="R157" s="342">
        <f t="shared" si="1008"/>
        <v>0</v>
      </c>
      <c r="S157" s="97"/>
      <c r="T157" s="97">
        <f t="shared" ref="T157" si="1054">I157*S157*$T$2/1000</f>
        <v>0</v>
      </c>
      <c r="U157" s="97"/>
      <c r="V157" s="97">
        <f t="shared" ref="V157" si="1055">I157*U157*$V$2/1000</f>
        <v>0</v>
      </c>
      <c r="W157" s="97"/>
      <c r="X157" s="97">
        <f t="shared" ref="X157" si="1056">I157*W157*$X$2/1000</f>
        <v>0</v>
      </c>
      <c r="Y157" s="97">
        <f t="shared" si="1009"/>
        <v>0</v>
      </c>
      <c r="Z157" s="97">
        <f t="shared" si="1010"/>
        <v>0</v>
      </c>
      <c r="AA157" s="97"/>
      <c r="AB157" s="97">
        <f t="shared" ref="AB157" si="1057">K157*AA157*$AB$2/1000</f>
        <v>0</v>
      </c>
      <c r="AC157" s="97"/>
      <c r="AD157" s="97">
        <f t="shared" ref="AD157" si="1058">K157*AC157*$AD$2/1000</f>
        <v>0</v>
      </c>
      <c r="AE157" s="97"/>
      <c r="AF157" s="96">
        <f t="shared" si="1011"/>
        <v>0</v>
      </c>
      <c r="AG157" s="97">
        <f t="shared" si="1012"/>
        <v>0</v>
      </c>
      <c r="AH157" s="97">
        <f t="shared" si="1013"/>
        <v>0</v>
      </c>
      <c r="AI157" s="97">
        <f t="shared" si="1014"/>
        <v>0</v>
      </c>
      <c r="AJ157" s="97">
        <f t="shared" si="1015"/>
        <v>0</v>
      </c>
      <c r="AK157" s="97"/>
      <c r="AL157" s="97">
        <f t="shared" si="1016"/>
        <v>0</v>
      </c>
      <c r="AM157" s="97"/>
      <c r="AN157" s="97">
        <f t="shared" si="1017"/>
        <v>0</v>
      </c>
      <c r="AO157" s="97"/>
      <c r="AP157" s="97">
        <f t="shared" si="1018"/>
        <v>0</v>
      </c>
      <c r="AQ157" s="97">
        <f t="shared" si="1019"/>
        <v>0</v>
      </c>
      <c r="AR157" s="97">
        <f t="shared" si="1020"/>
        <v>0</v>
      </c>
      <c r="AS157" s="97"/>
      <c r="AT157" s="97">
        <f t="shared" si="1021"/>
        <v>0</v>
      </c>
      <c r="AU157" s="97"/>
      <c r="AV157" s="97">
        <f t="shared" si="1022"/>
        <v>0</v>
      </c>
      <c r="AW157" s="97"/>
      <c r="AX157" s="97">
        <f t="shared" si="1023"/>
        <v>0</v>
      </c>
      <c r="AY157" s="97">
        <f t="shared" si="1024"/>
        <v>0</v>
      </c>
      <c r="AZ157" s="97">
        <f t="shared" si="1025"/>
        <v>0</v>
      </c>
      <c r="BA157" s="97">
        <f t="shared" si="1026"/>
        <v>0</v>
      </c>
      <c r="BB157" s="97">
        <f t="shared" si="1027"/>
        <v>0</v>
      </c>
      <c r="BC157" s="1" t="s">
        <v>1780</v>
      </c>
    </row>
    <row r="158" spans="1:55">
      <c r="B158" s="13"/>
      <c r="C158" s="13"/>
      <c r="D158" s="13"/>
      <c r="E158" s="21" t="s">
        <v>1310</v>
      </c>
      <c r="F158" s="22" t="s">
        <v>1311</v>
      </c>
      <c r="G158" s="46" t="s">
        <v>1102</v>
      </c>
      <c r="H158" s="268" t="s">
        <v>365</v>
      </c>
      <c r="I158" s="55">
        <v>17.32</v>
      </c>
      <c r="J158" s="102"/>
      <c r="K158" s="55">
        <v>17.32</v>
      </c>
      <c r="L158" s="163"/>
      <c r="M158" s="55">
        <v>17.32</v>
      </c>
      <c r="N158" s="163"/>
      <c r="O158" s="55">
        <v>17.32</v>
      </c>
      <c r="P158" s="102"/>
      <c r="Q158" s="97">
        <f t="shared" ref="Q158" si="1059">SUM(AI158+BA158)</f>
        <v>7.5629999999999997</v>
      </c>
      <c r="R158" s="342">
        <f t="shared" ref="R158" si="1060">SUM(AJ158+BB158)</f>
        <v>177.98335429080001</v>
      </c>
      <c r="S158" s="97">
        <v>1.147</v>
      </c>
      <c r="T158" s="97">
        <f>I158*S158*$T$2/1000</f>
        <v>26.260719615600003</v>
      </c>
      <c r="U158" s="97">
        <v>1.728</v>
      </c>
      <c r="V158" s="177">
        <f>I158*U158*$V$2/1000</f>
        <v>39.817488384000001</v>
      </c>
      <c r="W158" s="207">
        <v>9.6000000000000002E-2</v>
      </c>
      <c r="X158" s="206">
        <f>I158*W158*$X$2/1000</f>
        <v>2.2124152319999997</v>
      </c>
      <c r="Y158" s="189">
        <f t="shared" ref="Y158" si="1061">SUM(S158+U158+W158)</f>
        <v>2.9710000000000001</v>
      </c>
      <c r="Z158" s="177">
        <f t="shared" ref="Z158" si="1062">SUM(T158+V158+X158)</f>
        <v>68.290623231600009</v>
      </c>
      <c r="AA158" s="207"/>
      <c r="AB158" s="206">
        <f>K158*AA158*$AB$2/1000</f>
        <v>0</v>
      </c>
      <c r="AC158" s="207">
        <v>0.49199999999999999</v>
      </c>
      <c r="AD158" s="177">
        <f>K158*AC158*$AD$2/1000</f>
        <v>11.671219867200001</v>
      </c>
      <c r="AE158" s="207">
        <v>1.1479999999999999</v>
      </c>
      <c r="AF158" s="206">
        <f t="shared" ref="AF158" si="1063">K158*AE158*$AF$2/1000</f>
        <v>27.415773268799999</v>
      </c>
      <c r="AG158" s="189">
        <f t="shared" ref="AG158" si="1064">SUM(AA158+AC158+AE158)</f>
        <v>1.64</v>
      </c>
      <c r="AH158" s="97">
        <f t="shared" ref="AH158" si="1065">SUM(AB158+AD158+AF158)</f>
        <v>39.086993136000004</v>
      </c>
      <c r="AI158" s="97">
        <f t="shared" ref="AI158" si="1066">SUM(Y158+AG158)</f>
        <v>4.6109999999999998</v>
      </c>
      <c r="AJ158" s="177">
        <f t="shared" ref="AJ158" si="1067">SUM(Z158,AH158)</f>
        <v>107.37761636760001</v>
      </c>
      <c r="AK158" s="207">
        <v>0.76800000000000002</v>
      </c>
      <c r="AL158" s="177">
        <f t="shared" ref="AL158" si="1068">M158*AK158*$AL$2/1000</f>
        <v>18.3973982208</v>
      </c>
      <c r="AM158" s="245">
        <v>0.86399999999999999</v>
      </c>
      <c r="AN158" s="177">
        <f t="shared" ref="AN158" si="1069">M158*AM158*$AN$2/1000</f>
        <v>20.368153727999996</v>
      </c>
      <c r="AO158" s="207"/>
      <c r="AP158" s="206">
        <f t="shared" ref="AP158" si="1070">M158*AO158*$AP$2/1000</f>
        <v>0</v>
      </c>
      <c r="AQ158" s="189">
        <f t="shared" ref="AQ158" si="1071">SUM(AK158+AM158+AO158)</f>
        <v>1.6320000000000001</v>
      </c>
      <c r="AR158" s="97">
        <f t="shared" ref="AR158" si="1072">SUM(AL158+AN158+AP158)</f>
        <v>38.765551948799995</v>
      </c>
      <c r="AS158" s="97">
        <v>0.432</v>
      </c>
      <c r="AT158" s="177">
        <f t="shared" ref="AT158" si="1073">O158*AS158*$AT$2/1000</f>
        <v>10.160133696000001</v>
      </c>
      <c r="AU158" s="207">
        <v>0.312</v>
      </c>
      <c r="AV158" s="177">
        <f t="shared" ref="AV158" si="1074">O158*AU158*$AV$2/1000</f>
        <v>7.5203620128000006</v>
      </c>
      <c r="AW158" s="207">
        <v>0.57599999999999996</v>
      </c>
      <c r="AX158" s="206">
        <f t="shared" ref="AX158" si="1075">O158*AW158*$AX$2/1000</f>
        <v>14.159690265599998</v>
      </c>
      <c r="AY158" s="189">
        <f t="shared" ref="AY158" si="1076">SUM(AS158+AU158+AW158)</f>
        <v>1.3199999999999998</v>
      </c>
      <c r="AZ158" s="97">
        <f t="shared" ref="AZ158" si="1077">SUM(AT158+AV158+AX158)</f>
        <v>31.840185974400001</v>
      </c>
      <c r="BA158" s="97">
        <f t="shared" ref="BA158" si="1078">SUM(AQ158+AY158)</f>
        <v>2.952</v>
      </c>
      <c r="BB158" s="97">
        <f t="shared" ref="BB158" si="1079">SUM(AR158,AZ158)</f>
        <v>70.605737923199996</v>
      </c>
      <c r="BC158" s="1" t="s">
        <v>1780</v>
      </c>
    </row>
    <row r="159" spans="1:55">
      <c r="B159" s="13"/>
      <c r="C159" s="13"/>
      <c r="D159" s="13"/>
      <c r="E159" s="21" t="s">
        <v>1312</v>
      </c>
      <c r="F159" s="22" t="s">
        <v>1313</v>
      </c>
      <c r="G159" s="46" t="s">
        <v>1103</v>
      </c>
      <c r="H159" s="268" t="s">
        <v>365</v>
      </c>
      <c r="I159" s="55">
        <v>16.100000000000001</v>
      </c>
      <c r="J159" s="102"/>
      <c r="K159" s="55">
        <v>16.100000000000001</v>
      </c>
      <c r="L159" s="163"/>
      <c r="M159" s="55">
        <v>16.100000000000001</v>
      </c>
      <c r="N159" s="163"/>
      <c r="O159" s="55">
        <v>16.09</v>
      </c>
      <c r="P159" s="102"/>
      <c r="Q159" s="97">
        <f t="shared" ref="Q159:Q162" si="1080">SUM(AI159+BA159)</f>
        <v>3.7679999999999998</v>
      </c>
      <c r="R159" s="342">
        <f t="shared" ref="R159:R162" si="1081">SUM(AJ159+BB159)</f>
        <v>81.840090455999999</v>
      </c>
      <c r="S159" s="97"/>
      <c r="T159" s="97">
        <f>I159*S159*$T$2/1000</f>
        <v>0</v>
      </c>
      <c r="U159" s="97"/>
      <c r="V159" s="177">
        <f>I159*U159*$V$2/1000</f>
        <v>0</v>
      </c>
      <c r="W159" s="207">
        <v>1.536</v>
      </c>
      <c r="X159" s="206">
        <f>I159*W159*$X$2/1000</f>
        <v>32.905205759999994</v>
      </c>
      <c r="Y159" s="189">
        <f t="shared" ref="Y159:Y162" si="1082">SUM(S159+U159+W159)</f>
        <v>1.536</v>
      </c>
      <c r="Z159" s="177">
        <f t="shared" ref="Z159:Z162" si="1083">SUM(T159+V159+X159)</f>
        <v>32.905205759999994</v>
      </c>
      <c r="AA159" s="207">
        <v>1.296</v>
      </c>
      <c r="AB159" s="206">
        <f>K159*AA159*$AB$2/1000</f>
        <v>28.463182272000001</v>
      </c>
      <c r="AC159" s="207"/>
      <c r="AD159" s="177">
        <f>K159*AC159*$AD$2/1000</f>
        <v>0</v>
      </c>
      <c r="AE159" s="207"/>
      <c r="AF159" s="206">
        <f t="shared" ref="AF159:AF162" si="1084">K159*AE159*$AF$2/1000</f>
        <v>0</v>
      </c>
      <c r="AG159" s="189">
        <f t="shared" ref="AG159:AG162" si="1085">SUM(AA159+AC159+AE159)</f>
        <v>1.296</v>
      </c>
      <c r="AH159" s="97">
        <f t="shared" ref="AH159:AH162" si="1086">SUM(AB159+AD159+AF159)</f>
        <v>28.463182272000001</v>
      </c>
      <c r="AI159" s="97">
        <f t="shared" ref="AI159:AI162" si="1087">SUM(Y159+AG159)</f>
        <v>2.8319999999999999</v>
      </c>
      <c r="AJ159" s="177">
        <f t="shared" ref="AJ159:AJ162" si="1088">SUM(Z159,AH159)</f>
        <v>61.368388031999999</v>
      </c>
      <c r="AK159" s="207"/>
      <c r="AL159" s="177">
        <f t="shared" ref="AL159:AL162" si="1089">M159*AK159*$AL$2/1000</f>
        <v>0</v>
      </c>
      <c r="AM159" s="245">
        <v>0.76800000000000002</v>
      </c>
      <c r="AN159" s="177">
        <f t="shared" ref="AN159:AN162" si="1090">M159*AM159*$AN$2/1000</f>
        <v>16.829729279999999</v>
      </c>
      <c r="AO159" s="207">
        <v>7.1999999999999995E-2</v>
      </c>
      <c r="AP159" s="206">
        <f t="shared" ref="AP159:AP162" si="1091">M159*AO159*$AP$2/1000</f>
        <v>1.5445064880000001</v>
      </c>
      <c r="AQ159" s="189">
        <f t="shared" ref="AQ159:AQ162" si="1092">SUM(AK159+AM159+AO159)</f>
        <v>0.84</v>
      </c>
      <c r="AR159" s="97">
        <f t="shared" ref="AR159:AR162" si="1093">SUM(AL159+AN159+AP159)</f>
        <v>18.374235767999998</v>
      </c>
      <c r="AS159" s="97">
        <v>9.6000000000000002E-2</v>
      </c>
      <c r="AT159" s="177">
        <f t="shared" ref="AT159:AT162" si="1094">O159*AS159*$AT$2/1000</f>
        <v>2.0974666559999999</v>
      </c>
      <c r="AU159" s="207"/>
      <c r="AV159" s="177">
        <f t="shared" ref="AV159:AV162" si="1095">O159*AU159*$AV$2/1000</f>
        <v>0</v>
      </c>
      <c r="AW159" s="207"/>
      <c r="AX159" s="206">
        <f t="shared" ref="AX159:AX162" si="1096">O159*AW159*$AX$2/1000</f>
        <v>0</v>
      </c>
      <c r="AY159" s="189">
        <f t="shared" ref="AY159:AY162" si="1097">SUM(AS159+AU159+AW159)</f>
        <v>9.6000000000000002E-2</v>
      </c>
      <c r="AZ159" s="97">
        <f t="shared" ref="AZ159:AZ162" si="1098">SUM(AT159+AV159+AX159)</f>
        <v>2.0974666559999999</v>
      </c>
      <c r="BA159" s="97">
        <f t="shared" ref="BA159:BA162" si="1099">SUM(AQ159+AY159)</f>
        <v>0.93599999999999994</v>
      </c>
      <c r="BB159" s="97">
        <f t="shared" ref="BB159:BB162" si="1100">SUM(AR159,AZ159)</f>
        <v>20.471702424</v>
      </c>
      <c r="BC159" s="1" t="s">
        <v>1780</v>
      </c>
    </row>
    <row r="160" spans="1:55">
      <c r="A160" s="498">
        <v>119</v>
      </c>
      <c r="B160" s="13"/>
      <c r="C160" s="13"/>
      <c r="D160" s="13"/>
      <c r="E160" s="21" t="s">
        <v>1504</v>
      </c>
      <c r="F160" s="22" t="s">
        <v>1413</v>
      </c>
      <c r="G160" s="46" t="s">
        <v>1105</v>
      </c>
      <c r="H160" s="268" t="s">
        <v>367</v>
      </c>
      <c r="I160" s="18">
        <v>16.100000000000001</v>
      </c>
      <c r="J160" s="158"/>
      <c r="K160" s="18">
        <v>16.100000000000001</v>
      </c>
      <c r="L160" s="158"/>
      <c r="M160" s="18">
        <v>16.100000000000001</v>
      </c>
      <c r="N160" s="158"/>
      <c r="O160" s="18">
        <v>16.09</v>
      </c>
      <c r="P160" s="158"/>
      <c r="Q160" s="97">
        <f t="shared" ref="Q160" si="1101">SUM(AI160+BA160)</f>
        <v>18.72</v>
      </c>
      <c r="R160" s="342">
        <f t="shared" ref="R160" si="1102">SUM(AJ160+BB160)</f>
        <v>409.62300839040006</v>
      </c>
      <c r="S160" s="97">
        <v>0.57599999999999996</v>
      </c>
      <c r="T160" s="97">
        <f t="shared" ref="T160" si="1103">I160*S160*$T$2/1000</f>
        <v>12.258679104</v>
      </c>
      <c r="U160" s="97">
        <v>1.008</v>
      </c>
      <c r="V160" s="97">
        <f t="shared" ref="V160" si="1104">I160*U160*$V$2/1000</f>
        <v>21.590795520000007</v>
      </c>
      <c r="W160" s="97"/>
      <c r="X160" s="97">
        <f t="shared" ref="X160" si="1105">I160*W160*$X$2/1000</f>
        <v>0</v>
      </c>
      <c r="Y160" s="97">
        <f t="shared" ref="Y160" si="1106">SUM(S160+U160+W160)</f>
        <v>1.5840000000000001</v>
      </c>
      <c r="Z160" s="97">
        <f t="shared" ref="Z160" si="1107">SUM(T160+V160+X160)</f>
        <v>33.84947462400001</v>
      </c>
      <c r="AA160" s="97">
        <v>2.8079999999999998</v>
      </c>
      <c r="AB160" s="97">
        <f t="shared" ref="AB160" si="1108">K160*AA160*$AB$2/1000</f>
        <v>61.670228256000001</v>
      </c>
      <c r="AC160" s="97">
        <v>3.7440000000000002</v>
      </c>
      <c r="AD160" s="97">
        <f t="shared" ref="AD160" si="1109">K160*AC160*$AD$2/1000</f>
        <v>82.559104992000016</v>
      </c>
      <c r="AE160" s="97">
        <v>1.8240000000000001</v>
      </c>
      <c r="AF160" s="96">
        <f t="shared" ref="AF160" si="1110">K160*AE160*$AF$2/1000</f>
        <v>40.491273311999997</v>
      </c>
      <c r="AG160" s="97">
        <f t="shared" ref="AG160" si="1111">SUM(AA160+AC160+AE160)</f>
        <v>8.3759999999999994</v>
      </c>
      <c r="AH160" s="97">
        <f t="shared" ref="AH160" si="1112">SUM(AB160+AD160+AF160)</f>
        <v>184.72060656000002</v>
      </c>
      <c r="AI160" s="97">
        <f t="shared" ref="AI160" si="1113">SUM(Y160+AG160)</f>
        <v>9.9599999999999991</v>
      </c>
      <c r="AJ160" s="97">
        <f t="shared" ref="AJ160" si="1114">SUM(Z160,AH160)</f>
        <v>218.57008118400003</v>
      </c>
      <c r="AK160" s="97">
        <v>1.8720000000000001</v>
      </c>
      <c r="AL160" s="97">
        <f t="shared" ref="AL160" si="1115">M160*AK160*$AL$2/1000</f>
        <v>41.684924736000006</v>
      </c>
      <c r="AM160" s="97"/>
      <c r="AN160" s="97">
        <f t="shared" ref="AN160" si="1116">M160*AM160*$AN$2/1000</f>
        <v>0</v>
      </c>
      <c r="AO160" s="97">
        <v>4.4640000000000004</v>
      </c>
      <c r="AP160" s="97">
        <f t="shared" ref="AP160" si="1117">M160*AO160*$AP$2/1000</f>
        <v>95.75940225600003</v>
      </c>
      <c r="AQ160" s="97">
        <f t="shared" ref="AQ160" si="1118">SUM(AK160+AM160+AO160)</f>
        <v>6.3360000000000003</v>
      </c>
      <c r="AR160" s="97">
        <f t="shared" ref="AR160" si="1119">SUM(AL160+AN160+AP160)</f>
        <v>137.44432699200004</v>
      </c>
      <c r="AS160" s="97">
        <v>1.704</v>
      </c>
      <c r="AT160" s="97">
        <f t="shared" ref="AT160" si="1120">O160*AS160*$AT$2/1000</f>
        <v>37.230033144000004</v>
      </c>
      <c r="AU160" s="97">
        <v>0.14399999999999999</v>
      </c>
      <c r="AV160" s="97">
        <f t="shared" ref="AV160" si="1121">O160*AU160*$AV$2/1000</f>
        <v>3.2244437231999998</v>
      </c>
      <c r="AW160" s="97">
        <v>0.57599999999999996</v>
      </c>
      <c r="AX160" s="97">
        <f t="shared" ref="AX160" si="1122">O160*AW160*$AX$2/1000</f>
        <v>13.154123347199999</v>
      </c>
      <c r="AY160" s="97">
        <f t="shared" ref="AY160" si="1123">SUM(AS160+AU160+AW160)</f>
        <v>2.4239999999999999</v>
      </c>
      <c r="AZ160" s="97">
        <f t="shared" ref="AZ160" si="1124">SUM(AT160+AV160+AX160)</f>
        <v>53.608600214399999</v>
      </c>
      <c r="BA160" s="97">
        <f t="shared" ref="BA160" si="1125">SUM(AQ160+AY160)</f>
        <v>8.76</v>
      </c>
      <c r="BB160" s="97">
        <f t="shared" ref="BB160" si="1126">SUM(AR160,AZ160)</f>
        <v>191.05292720640006</v>
      </c>
      <c r="BC160" s="1" t="s">
        <v>1780</v>
      </c>
    </row>
    <row r="161" spans="1:55">
      <c r="A161" s="498">
        <v>119</v>
      </c>
      <c r="B161" s="13"/>
      <c r="C161" s="13"/>
      <c r="D161" s="13"/>
      <c r="E161" s="21" t="s">
        <v>1412</v>
      </c>
      <c r="F161" s="22" t="s">
        <v>1413</v>
      </c>
      <c r="G161" s="46" t="s">
        <v>1105</v>
      </c>
      <c r="H161" s="268" t="s">
        <v>367</v>
      </c>
      <c r="I161" s="18">
        <v>16.78</v>
      </c>
      <c r="J161" s="158"/>
      <c r="K161" s="18">
        <v>16.78</v>
      </c>
      <c r="L161" s="158"/>
      <c r="M161" s="18">
        <v>16.78</v>
      </c>
      <c r="N161" s="158"/>
      <c r="O161" s="18">
        <v>16.78</v>
      </c>
      <c r="P161" s="158"/>
      <c r="Q161" s="97">
        <f t="shared" si="1080"/>
        <v>0</v>
      </c>
      <c r="R161" s="342">
        <f t="shared" si="1081"/>
        <v>0</v>
      </c>
      <c r="S161" s="97"/>
      <c r="T161" s="97">
        <f t="shared" ref="T161:T162" si="1127">I161*S161*$T$2/1000</f>
        <v>0</v>
      </c>
      <c r="U161" s="97"/>
      <c r="V161" s="97">
        <f t="shared" ref="V161:V162" si="1128">I161*U161*$V$2/1000</f>
        <v>0</v>
      </c>
      <c r="W161" s="97"/>
      <c r="X161" s="97">
        <f t="shared" ref="X161:X162" si="1129">I161*W161*$X$2/1000</f>
        <v>0</v>
      </c>
      <c r="Y161" s="97">
        <f t="shared" si="1082"/>
        <v>0</v>
      </c>
      <c r="Z161" s="97">
        <f t="shared" si="1083"/>
        <v>0</v>
      </c>
      <c r="AA161" s="97"/>
      <c r="AB161" s="97">
        <f t="shared" ref="AB161:AB162" si="1130">K161*AA161*$AB$2/1000</f>
        <v>0</v>
      </c>
      <c r="AC161" s="97"/>
      <c r="AD161" s="97">
        <f t="shared" ref="AD161:AD162" si="1131">K161*AC161*$AD$2/1000</f>
        <v>0</v>
      </c>
      <c r="AE161" s="97"/>
      <c r="AF161" s="96">
        <f t="shared" si="1084"/>
        <v>0</v>
      </c>
      <c r="AG161" s="97">
        <f t="shared" si="1085"/>
        <v>0</v>
      </c>
      <c r="AH161" s="97">
        <f t="shared" si="1086"/>
        <v>0</v>
      </c>
      <c r="AI161" s="97">
        <f t="shared" si="1087"/>
        <v>0</v>
      </c>
      <c r="AJ161" s="97">
        <f t="shared" si="1088"/>
        <v>0</v>
      </c>
      <c r="AK161" s="97"/>
      <c r="AL161" s="97">
        <f t="shared" si="1089"/>
        <v>0</v>
      </c>
      <c r="AM161" s="97"/>
      <c r="AN161" s="97">
        <f t="shared" si="1090"/>
        <v>0</v>
      </c>
      <c r="AO161" s="97"/>
      <c r="AP161" s="97">
        <f t="shared" si="1091"/>
        <v>0</v>
      </c>
      <c r="AQ161" s="97">
        <f t="shared" si="1092"/>
        <v>0</v>
      </c>
      <c r="AR161" s="97">
        <f t="shared" si="1093"/>
        <v>0</v>
      </c>
      <c r="AS161" s="97"/>
      <c r="AT161" s="97">
        <f t="shared" si="1094"/>
        <v>0</v>
      </c>
      <c r="AU161" s="97"/>
      <c r="AV161" s="97">
        <f t="shared" si="1095"/>
        <v>0</v>
      </c>
      <c r="AW161" s="97"/>
      <c r="AX161" s="97">
        <f t="shared" si="1096"/>
        <v>0</v>
      </c>
      <c r="AY161" s="97">
        <f t="shared" si="1097"/>
        <v>0</v>
      </c>
      <c r="AZ161" s="97">
        <f t="shared" si="1098"/>
        <v>0</v>
      </c>
      <c r="BA161" s="97">
        <f t="shared" si="1099"/>
        <v>0</v>
      </c>
      <c r="BB161" s="97">
        <f t="shared" si="1100"/>
        <v>0</v>
      </c>
      <c r="BC161" s="1" t="s">
        <v>1780</v>
      </c>
    </row>
    <row r="162" spans="1:55">
      <c r="A162" s="498">
        <v>119</v>
      </c>
      <c r="B162" s="13"/>
      <c r="C162" s="13"/>
      <c r="D162" s="13"/>
      <c r="E162" s="21" t="s">
        <v>1417</v>
      </c>
      <c r="F162" s="46" t="s">
        <v>1416</v>
      </c>
      <c r="G162" s="46" t="s">
        <v>1105</v>
      </c>
      <c r="H162" s="268" t="s">
        <v>367</v>
      </c>
      <c r="I162" s="18">
        <v>17.149999999999999</v>
      </c>
      <c r="J162" s="158"/>
      <c r="K162" s="18">
        <v>17.149999999999999</v>
      </c>
      <c r="L162" s="158"/>
      <c r="M162" s="18">
        <v>17.149999999999999</v>
      </c>
      <c r="N162" s="158"/>
      <c r="O162" s="18">
        <v>17.149999999999999</v>
      </c>
      <c r="P162" s="158"/>
      <c r="Q162" s="97">
        <f t="shared" si="1080"/>
        <v>0</v>
      </c>
      <c r="R162" s="342">
        <f t="shared" si="1081"/>
        <v>0</v>
      </c>
      <c r="S162" s="97"/>
      <c r="T162" s="97">
        <f t="shared" si="1127"/>
        <v>0</v>
      </c>
      <c r="U162" s="97"/>
      <c r="V162" s="97">
        <f t="shared" si="1128"/>
        <v>0</v>
      </c>
      <c r="W162" s="97"/>
      <c r="X162" s="97">
        <f t="shared" si="1129"/>
        <v>0</v>
      </c>
      <c r="Y162" s="97">
        <f t="shared" si="1082"/>
        <v>0</v>
      </c>
      <c r="Z162" s="97">
        <f t="shared" si="1083"/>
        <v>0</v>
      </c>
      <c r="AA162" s="97"/>
      <c r="AB162" s="97">
        <f t="shared" si="1130"/>
        <v>0</v>
      </c>
      <c r="AC162" s="97"/>
      <c r="AD162" s="97">
        <f t="shared" si="1131"/>
        <v>0</v>
      </c>
      <c r="AE162" s="97"/>
      <c r="AF162" s="96">
        <f t="shared" si="1084"/>
        <v>0</v>
      </c>
      <c r="AG162" s="97">
        <f t="shared" si="1085"/>
        <v>0</v>
      </c>
      <c r="AH162" s="97">
        <f t="shared" si="1086"/>
        <v>0</v>
      </c>
      <c r="AI162" s="97">
        <f t="shared" si="1087"/>
        <v>0</v>
      </c>
      <c r="AJ162" s="97">
        <f t="shared" si="1088"/>
        <v>0</v>
      </c>
      <c r="AK162" s="97"/>
      <c r="AL162" s="97">
        <f t="shared" si="1089"/>
        <v>0</v>
      </c>
      <c r="AM162" s="97"/>
      <c r="AN162" s="97">
        <f t="shared" si="1090"/>
        <v>0</v>
      </c>
      <c r="AO162" s="97"/>
      <c r="AP162" s="97">
        <f t="shared" si="1091"/>
        <v>0</v>
      </c>
      <c r="AQ162" s="97">
        <f t="shared" si="1092"/>
        <v>0</v>
      </c>
      <c r="AR162" s="97">
        <f t="shared" si="1093"/>
        <v>0</v>
      </c>
      <c r="AS162" s="97"/>
      <c r="AT162" s="97">
        <f t="shared" si="1094"/>
        <v>0</v>
      </c>
      <c r="AU162" s="97"/>
      <c r="AV162" s="97">
        <f t="shared" si="1095"/>
        <v>0</v>
      </c>
      <c r="AW162" s="97"/>
      <c r="AX162" s="97">
        <f t="shared" si="1096"/>
        <v>0</v>
      </c>
      <c r="AY162" s="97">
        <f t="shared" si="1097"/>
        <v>0</v>
      </c>
      <c r="AZ162" s="97">
        <f t="shared" si="1098"/>
        <v>0</v>
      </c>
      <c r="BA162" s="97">
        <f t="shared" si="1099"/>
        <v>0</v>
      </c>
      <c r="BB162" s="97">
        <f t="shared" si="1100"/>
        <v>0</v>
      </c>
      <c r="BC162" s="1" t="s">
        <v>1780</v>
      </c>
    </row>
    <row r="163" spans="1:55">
      <c r="A163" s="498">
        <v>117</v>
      </c>
      <c r="B163" s="13"/>
      <c r="C163" s="13"/>
      <c r="D163" s="13"/>
      <c r="E163" s="21" t="s">
        <v>840</v>
      </c>
      <c r="F163" s="46" t="s">
        <v>841</v>
      </c>
      <c r="G163" s="46" t="s">
        <v>1105</v>
      </c>
      <c r="H163" s="268" t="s">
        <v>366</v>
      </c>
      <c r="I163" s="18">
        <v>14.1</v>
      </c>
      <c r="J163" s="158"/>
      <c r="K163" s="18">
        <v>14.08</v>
      </c>
      <c r="L163" s="158"/>
      <c r="M163" s="18">
        <v>14.08</v>
      </c>
      <c r="N163" s="158"/>
      <c r="O163" s="18">
        <v>14.07</v>
      </c>
      <c r="P163" s="158"/>
      <c r="Q163" s="97">
        <f t="shared" ref="Q163:Q166" si="1132">SUM(AI163+BA163)</f>
        <v>115.72</v>
      </c>
      <c r="R163" s="342">
        <f t="shared" ref="R163:R166" si="1133">SUM(AJ163+BB163)</f>
        <v>2220.8004577199999</v>
      </c>
      <c r="S163" s="97"/>
      <c r="T163" s="97">
        <f t="shared" ref="T163:T166" si="1134">I163*S163*$T$2/1000</f>
        <v>0</v>
      </c>
      <c r="U163" s="97">
        <v>4.5119999999999996</v>
      </c>
      <c r="V163" s="97">
        <f t="shared" ref="V163:V166" si="1135">I163*U163*$V$2/1000</f>
        <v>84.638983679999996</v>
      </c>
      <c r="W163" s="97">
        <v>16.103999999999999</v>
      </c>
      <c r="X163" s="97">
        <f t="shared" ref="X163:X166" si="1136">I163*W163*$X$2/1000</f>
        <v>302.13455183999997</v>
      </c>
      <c r="Y163" s="97">
        <f t="shared" ref="Y163:Y166" si="1137">SUM(S163+U163+W163)</f>
        <v>20.616</v>
      </c>
      <c r="Z163" s="97">
        <f t="shared" ref="Z163" si="1138">SUM(T163+V163+X163)</f>
        <v>386.77353552</v>
      </c>
      <c r="AA163" s="97">
        <v>12.552</v>
      </c>
      <c r="AB163" s="97">
        <f t="shared" ref="AB163" si="1139">K163*AA163*$AB$2/1000</f>
        <v>241.08387409919999</v>
      </c>
      <c r="AC163" s="97">
        <v>10.8</v>
      </c>
      <c r="AD163" s="97">
        <f t="shared" ref="AD163:AD166" si="1140">K163*AC163*$AD$2/1000</f>
        <v>208.27141632000004</v>
      </c>
      <c r="AE163" s="97">
        <v>8.3520000000000003</v>
      </c>
      <c r="AF163" s="96">
        <f t="shared" ref="AF163:AF166" si="1141">K163*AE163*$AF$2/1000</f>
        <v>162.1451132928</v>
      </c>
      <c r="AG163" s="97">
        <f t="shared" ref="AG163" si="1142">SUM(AA163+AC163+AE163)</f>
        <v>31.704000000000001</v>
      </c>
      <c r="AH163" s="97">
        <f t="shared" ref="AH163:AH166" si="1143">SUM(AB163+AD163+AF163)</f>
        <v>611.50040371200009</v>
      </c>
      <c r="AI163" s="97">
        <f t="shared" ref="AI163:AI166" si="1144">SUM(Y163+AG163)</f>
        <v>52.32</v>
      </c>
      <c r="AJ163" s="97">
        <f t="shared" ref="AJ163:AJ166" si="1145">SUM(Z163,AH163)</f>
        <v>998.27393923200009</v>
      </c>
      <c r="AK163" s="97">
        <v>10.92</v>
      </c>
      <c r="AL163" s="97">
        <f t="shared" ref="AL163:AL166" si="1146">M163*AK163*$AL$2/1000</f>
        <v>212.653529088</v>
      </c>
      <c r="AM163" s="97">
        <v>13.586</v>
      </c>
      <c r="AN163" s="97">
        <f t="shared" ref="AN163:AN166" si="1147">M163*AM163*$AN$2/1000</f>
        <v>260.36601676800001</v>
      </c>
      <c r="AO163" s="97">
        <v>10.326000000000001</v>
      </c>
      <c r="AP163" s="97">
        <f t="shared" ref="AP163:AP166" si="1148">M163*AO163*$AP$2/1000</f>
        <v>193.71628869120002</v>
      </c>
      <c r="AQ163" s="97">
        <f t="shared" ref="AQ163:AQ166" si="1149">SUM(AK163+AM163+AO163)</f>
        <v>34.832000000000001</v>
      </c>
      <c r="AR163" s="97">
        <f t="shared" ref="AR163" si="1150">SUM(AL163+AN163+AP163)</f>
        <v>666.73583454720006</v>
      </c>
      <c r="AS163" s="97">
        <v>14.167999999999999</v>
      </c>
      <c r="AT163" s="97">
        <f t="shared" ref="AT163:AT166" si="1151">O163*AS163*$AT$2/1000</f>
        <v>270.68889170400001</v>
      </c>
      <c r="AU163" s="97">
        <v>6.3360000000000003</v>
      </c>
      <c r="AV163" s="97">
        <f t="shared" ref="AV163:AV166" si="1152">O163*AU163*$AV$2/1000</f>
        <v>124.0639291584</v>
      </c>
      <c r="AW163" s="97">
        <v>8.0640000000000001</v>
      </c>
      <c r="AX163" s="97">
        <f t="shared" ref="AX163:AX166" si="1153">O163*AW163*$AX$2/1000</f>
        <v>161.03786307839999</v>
      </c>
      <c r="AY163" s="97">
        <f t="shared" ref="AY163:AY166" si="1154">SUM(AS163+AU163+AW163)</f>
        <v>28.567999999999998</v>
      </c>
      <c r="AZ163" s="97">
        <f t="shared" ref="AZ163" si="1155">SUM(AT163+AV163+AX163)</f>
        <v>555.79068394080002</v>
      </c>
      <c r="BA163" s="97">
        <f t="shared" ref="BA163:BA166" si="1156">SUM(AQ163+AY163)</f>
        <v>63.4</v>
      </c>
      <c r="BB163" s="97">
        <f t="shared" ref="BB163:BB166" si="1157">SUM(AR163,AZ163)</f>
        <v>1222.526518488</v>
      </c>
      <c r="BC163" s="1" t="s">
        <v>1780</v>
      </c>
    </row>
    <row r="164" spans="1:55">
      <c r="A164" s="498">
        <v>118</v>
      </c>
      <c r="B164" s="13"/>
      <c r="C164" s="23"/>
      <c r="D164" s="36"/>
      <c r="E164" s="21" t="s">
        <v>874</v>
      </c>
      <c r="F164" s="46" t="s">
        <v>875</v>
      </c>
      <c r="G164" s="46" t="s">
        <v>1106</v>
      </c>
      <c r="H164" s="268" t="s">
        <v>365</v>
      </c>
      <c r="I164" s="18">
        <v>14.45</v>
      </c>
      <c r="J164" s="158"/>
      <c r="K164" s="18">
        <v>14.45</v>
      </c>
      <c r="L164" s="158"/>
      <c r="M164" s="18">
        <v>14.45</v>
      </c>
      <c r="N164" s="158"/>
      <c r="O164" s="18">
        <v>14.45</v>
      </c>
      <c r="P164" s="158"/>
      <c r="Q164" s="97">
        <f t="shared" si="1132"/>
        <v>2.4780000000000002</v>
      </c>
      <c r="R164" s="342">
        <f t="shared" si="1133"/>
        <v>48.759262129999996</v>
      </c>
      <c r="S164" s="97"/>
      <c r="T164" s="97">
        <f t="shared" si="1134"/>
        <v>0</v>
      </c>
      <c r="U164" s="97">
        <v>0.14399999999999999</v>
      </c>
      <c r="V164" s="97">
        <f t="shared" si="1135"/>
        <v>2.7682963199999993</v>
      </c>
      <c r="W164" s="97">
        <v>0.27400000000000002</v>
      </c>
      <c r="X164" s="97">
        <f t="shared" si="1136"/>
        <v>5.2682445799999993</v>
      </c>
      <c r="Y164" s="97">
        <f t="shared" si="1137"/>
        <v>0.41800000000000004</v>
      </c>
      <c r="Z164" s="97">
        <f>SUM(T164+V164+X164)</f>
        <v>8.0365408999999985</v>
      </c>
      <c r="AA164" s="97">
        <v>0.432</v>
      </c>
      <c r="AB164" s="97">
        <f t="shared" si="937"/>
        <v>8.515382687999999</v>
      </c>
      <c r="AC164" s="97">
        <v>0.432</v>
      </c>
      <c r="AD164" s="97">
        <f t="shared" si="1140"/>
        <v>8.5497783120000008</v>
      </c>
      <c r="AE164" s="97">
        <v>0.26400000000000001</v>
      </c>
      <c r="AF164" s="96">
        <f t="shared" si="1141"/>
        <v>5.2599606839999993</v>
      </c>
      <c r="AG164" s="97">
        <f>SUM(AA164+AC164+AE164)</f>
        <v>1.1280000000000001</v>
      </c>
      <c r="AH164" s="97">
        <f t="shared" si="1143"/>
        <v>22.325121683999999</v>
      </c>
      <c r="AI164" s="97">
        <f t="shared" si="1144"/>
        <v>1.5460000000000003</v>
      </c>
      <c r="AJ164" s="97">
        <f t="shared" si="1145"/>
        <v>30.361662583999998</v>
      </c>
      <c r="AK164" s="97"/>
      <c r="AL164" s="97">
        <f t="shared" si="1146"/>
        <v>0</v>
      </c>
      <c r="AM164" s="97">
        <v>0.48</v>
      </c>
      <c r="AN164" s="97">
        <f t="shared" si="1147"/>
        <v>9.4405895999999974</v>
      </c>
      <c r="AO164" s="97"/>
      <c r="AP164" s="97">
        <f t="shared" si="1148"/>
        <v>0</v>
      </c>
      <c r="AQ164" s="97">
        <f t="shared" si="1149"/>
        <v>0.48</v>
      </c>
      <c r="AR164" s="97">
        <f t="shared" ref="AR164:AR166" si="1158">SUM(AL164+AN164+AP164)</f>
        <v>9.4405895999999974</v>
      </c>
      <c r="AS164" s="97">
        <v>0.28799999999999998</v>
      </c>
      <c r="AT164" s="97">
        <f t="shared" si="1151"/>
        <v>5.6510366399999992</v>
      </c>
      <c r="AU164" s="97">
        <v>0.14399999999999999</v>
      </c>
      <c r="AV164" s="97">
        <f t="shared" si="1152"/>
        <v>2.8957869359999995</v>
      </c>
      <c r="AW164" s="97">
        <v>0.02</v>
      </c>
      <c r="AX164" s="97">
        <f t="shared" si="1153"/>
        <v>0.41018636999999997</v>
      </c>
      <c r="AY164" s="97">
        <f t="shared" si="1154"/>
        <v>0.45199999999999996</v>
      </c>
      <c r="AZ164" s="97">
        <f t="shared" ref="AZ164:AZ166" si="1159">SUM(AT164+AV164+AX164)</f>
        <v>8.9570099459999977</v>
      </c>
      <c r="BA164" s="97">
        <f t="shared" si="1156"/>
        <v>0.93199999999999994</v>
      </c>
      <c r="BB164" s="97">
        <f t="shared" si="1157"/>
        <v>18.397599545999995</v>
      </c>
      <c r="BC164" s="1" t="s">
        <v>1780</v>
      </c>
    </row>
    <row r="165" spans="1:55">
      <c r="A165" s="498">
        <v>119</v>
      </c>
      <c r="B165" s="13"/>
      <c r="C165" s="13"/>
      <c r="D165" s="13"/>
      <c r="E165" s="21" t="s">
        <v>1428</v>
      </c>
      <c r="F165" s="46" t="s">
        <v>1435</v>
      </c>
      <c r="G165" s="46" t="s">
        <v>1105</v>
      </c>
      <c r="H165" s="268" t="s">
        <v>367</v>
      </c>
      <c r="I165" s="18">
        <v>29</v>
      </c>
      <c r="J165" s="158"/>
      <c r="K165" s="18">
        <v>29</v>
      </c>
      <c r="L165" s="158"/>
      <c r="M165" s="18">
        <v>29</v>
      </c>
      <c r="N165" s="158"/>
      <c r="O165" s="18">
        <v>29</v>
      </c>
      <c r="P165" s="158"/>
      <c r="Q165" s="97">
        <f t="shared" si="1132"/>
        <v>0</v>
      </c>
      <c r="R165" s="342">
        <f t="shared" si="1133"/>
        <v>0</v>
      </c>
      <c r="S165" s="97"/>
      <c r="T165" s="97">
        <f t="shared" si="1134"/>
        <v>0</v>
      </c>
      <c r="U165" s="97"/>
      <c r="V165" s="97">
        <f t="shared" si="1135"/>
        <v>0</v>
      </c>
      <c r="W165" s="97"/>
      <c r="X165" s="97">
        <f t="shared" si="1136"/>
        <v>0</v>
      </c>
      <c r="Y165" s="97">
        <f t="shared" si="1137"/>
        <v>0</v>
      </c>
      <c r="Z165" s="97">
        <f t="shared" ref="Z165:Z166" si="1160">SUM(T165+V165+X165)</f>
        <v>0</v>
      </c>
      <c r="AA165" s="97"/>
      <c r="AB165" s="97">
        <f t="shared" ref="AB165:AB166" si="1161">K165*AA165*$AB$2/1000</f>
        <v>0</v>
      </c>
      <c r="AC165" s="97"/>
      <c r="AD165" s="97">
        <f t="shared" si="1140"/>
        <v>0</v>
      </c>
      <c r="AE165" s="97"/>
      <c r="AF165" s="96">
        <f t="shared" si="1141"/>
        <v>0</v>
      </c>
      <c r="AG165" s="97">
        <f t="shared" ref="AG165:AG166" si="1162">SUM(AA165+AC165+AE165)</f>
        <v>0</v>
      </c>
      <c r="AH165" s="97">
        <f t="shared" si="1143"/>
        <v>0</v>
      </c>
      <c r="AI165" s="97">
        <f t="shared" si="1144"/>
        <v>0</v>
      </c>
      <c r="AJ165" s="97">
        <f t="shared" si="1145"/>
        <v>0</v>
      </c>
      <c r="AK165" s="97"/>
      <c r="AL165" s="97">
        <f t="shared" si="1146"/>
        <v>0</v>
      </c>
      <c r="AM165" s="97"/>
      <c r="AN165" s="97">
        <f t="shared" si="1147"/>
        <v>0</v>
      </c>
      <c r="AO165" s="97"/>
      <c r="AP165" s="97">
        <f t="shared" si="1148"/>
        <v>0</v>
      </c>
      <c r="AQ165" s="97">
        <f t="shared" si="1149"/>
        <v>0</v>
      </c>
      <c r="AR165" s="97">
        <f t="shared" si="1158"/>
        <v>0</v>
      </c>
      <c r="AS165" s="97"/>
      <c r="AT165" s="97">
        <f t="shared" si="1151"/>
        <v>0</v>
      </c>
      <c r="AU165" s="97"/>
      <c r="AV165" s="97">
        <f t="shared" si="1152"/>
        <v>0</v>
      </c>
      <c r="AW165" s="97"/>
      <c r="AX165" s="97">
        <f t="shared" si="1153"/>
        <v>0</v>
      </c>
      <c r="AY165" s="97">
        <f t="shared" si="1154"/>
        <v>0</v>
      </c>
      <c r="AZ165" s="97">
        <f t="shared" si="1159"/>
        <v>0</v>
      </c>
      <c r="BA165" s="97">
        <f t="shared" si="1156"/>
        <v>0</v>
      </c>
      <c r="BB165" s="97">
        <f t="shared" si="1157"/>
        <v>0</v>
      </c>
      <c r="BC165" s="1" t="s">
        <v>1780</v>
      </c>
    </row>
    <row r="166" spans="1:55">
      <c r="A166" s="498">
        <v>119</v>
      </c>
      <c r="B166" s="13"/>
      <c r="C166" s="13"/>
      <c r="D166" s="13"/>
      <c r="E166" s="552" t="s">
        <v>1531</v>
      </c>
      <c r="F166" s="46" t="s">
        <v>1532</v>
      </c>
      <c r="G166" s="46" t="s">
        <v>1105</v>
      </c>
      <c r="H166" s="268" t="s">
        <v>367</v>
      </c>
      <c r="I166" s="18">
        <v>30.89</v>
      </c>
      <c r="J166" s="158"/>
      <c r="K166" s="18">
        <v>30.89</v>
      </c>
      <c r="L166" s="158"/>
      <c r="M166" s="18">
        <v>30.89</v>
      </c>
      <c r="N166" s="158"/>
      <c r="O166" s="18">
        <v>30.89</v>
      </c>
      <c r="P166" s="158"/>
      <c r="Q166" s="97">
        <f t="shared" si="1132"/>
        <v>93.71</v>
      </c>
      <c r="R166" s="342">
        <f t="shared" si="1133"/>
        <v>3914.9294292585996</v>
      </c>
      <c r="S166" s="97">
        <v>13.824</v>
      </c>
      <c r="T166" s="97">
        <f t="shared" si="1134"/>
        <v>564.47790935040007</v>
      </c>
      <c r="U166" s="97">
        <v>16.096</v>
      </c>
      <c r="V166" s="97">
        <f t="shared" si="1135"/>
        <v>661.48211737600002</v>
      </c>
      <c r="W166" s="97">
        <v>11.472</v>
      </c>
      <c r="X166" s="97">
        <f t="shared" si="1136"/>
        <v>471.52482844799994</v>
      </c>
      <c r="Y166" s="97">
        <f t="shared" si="1137"/>
        <v>41.392000000000003</v>
      </c>
      <c r="Z166" s="97">
        <f t="shared" si="1160"/>
        <v>1697.4848551743999</v>
      </c>
      <c r="AA166" s="97">
        <v>20.975999999999999</v>
      </c>
      <c r="AB166" s="97">
        <f t="shared" si="1161"/>
        <v>883.87969879679986</v>
      </c>
      <c r="AC166" s="97">
        <v>13.166</v>
      </c>
      <c r="AD166" s="97">
        <f t="shared" si="1140"/>
        <v>557.0254256362</v>
      </c>
      <c r="AE166" s="97"/>
      <c r="AF166" s="96">
        <f t="shared" si="1141"/>
        <v>0</v>
      </c>
      <c r="AG166" s="97">
        <f t="shared" si="1162"/>
        <v>34.141999999999996</v>
      </c>
      <c r="AH166" s="97">
        <f t="shared" si="1143"/>
        <v>1440.9051244329999</v>
      </c>
      <c r="AI166" s="97">
        <f t="shared" si="1144"/>
        <v>75.533999999999992</v>
      </c>
      <c r="AJ166" s="97">
        <f t="shared" si="1145"/>
        <v>3138.3899796073997</v>
      </c>
      <c r="AK166" s="97">
        <v>18.175999999999998</v>
      </c>
      <c r="AL166" s="97">
        <f t="shared" si="1146"/>
        <v>776.53944965120002</v>
      </c>
      <c r="AM166" s="97"/>
      <c r="AN166" s="97">
        <f t="shared" si="1147"/>
        <v>0</v>
      </c>
      <c r="AO166" s="97"/>
      <c r="AP166" s="97">
        <f t="shared" si="1148"/>
        <v>0</v>
      </c>
      <c r="AQ166" s="97">
        <f t="shared" si="1149"/>
        <v>18.175999999999998</v>
      </c>
      <c r="AR166" s="97">
        <f t="shared" si="1158"/>
        <v>776.53944965120002</v>
      </c>
      <c r="AS166" s="97"/>
      <c r="AT166" s="97">
        <f t="shared" si="1151"/>
        <v>0</v>
      </c>
      <c r="AU166" s="97"/>
      <c r="AV166" s="97">
        <f t="shared" si="1152"/>
        <v>0</v>
      </c>
      <c r="AW166" s="97"/>
      <c r="AX166" s="97">
        <f t="shared" si="1153"/>
        <v>0</v>
      </c>
      <c r="AY166" s="97">
        <f t="shared" si="1154"/>
        <v>0</v>
      </c>
      <c r="AZ166" s="97">
        <f t="shared" si="1159"/>
        <v>0</v>
      </c>
      <c r="BA166" s="97">
        <f t="shared" si="1156"/>
        <v>18.175999999999998</v>
      </c>
      <c r="BB166" s="97">
        <f t="shared" si="1157"/>
        <v>776.53944965120002</v>
      </c>
      <c r="BC166" s="1" t="s">
        <v>1780</v>
      </c>
    </row>
    <row r="167" spans="1:55">
      <c r="A167" s="498">
        <v>119</v>
      </c>
      <c r="B167" s="13"/>
      <c r="C167" s="13"/>
      <c r="D167" s="13"/>
      <c r="E167" s="552" t="s">
        <v>1531</v>
      </c>
      <c r="F167" s="46" t="s">
        <v>1532</v>
      </c>
      <c r="G167" s="46" t="s">
        <v>1105</v>
      </c>
      <c r="H167" s="268" t="s">
        <v>367</v>
      </c>
      <c r="I167" s="18"/>
      <c r="J167" s="158"/>
      <c r="K167" s="18">
        <v>29.66</v>
      </c>
      <c r="L167" s="158"/>
      <c r="M167" s="18">
        <v>29</v>
      </c>
      <c r="N167" s="158"/>
      <c r="O167" s="18">
        <v>29</v>
      </c>
      <c r="P167" s="158"/>
      <c r="Q167" s="97">
        <f t="shared" si="930"/>
        <v>91.14</v>
      </c>
      <c r="R167" s="342">
        <f t="shared" si="931"/>
        <v>3648.0077183855997</v>
      </c>
      <c r="S167" s="97"/>
      <c r="T167" s="97">
        <f t="shared" si="932"/>
        <v>0</v>
      </c>
      <c r="U167" s="97"/>
      <c r="V167" s="97">
        <f t="shared" si="933"/>
        <v>0</v>
      </c>
      <c r="W167" s="97"/>
      <c r="X167" s="97">
        <f t="shared" si="934"/>
        <v>0</v>
      </c>
      <c r="Y167" s="97">
        <f t="shared" si="935"/>
        <v>0</v>
      </c>
      <c r="Z167" s="97">
        <f t="shared" si="936"/>
        <v>0</v>
      </c>
      <c r="AA167" s="97"/>
      <c r="AB167" s="97">
        <f t="shared" si="937"/>
        <v>0</v>
      </c>
      <c r="AC167" s="97"/>
      <c r="AD167" s="97">
        <f t="shared" si="938"/>
        <v>0</v>
      </c>
      <c r="AE167" s="97">
        <v>22.751999999999999</v>
      </c>
      <c r="AF167" s="96">
        <f t="shared" si="955"/>
        <v>930.46801714559979</v>
      </c>
      <c r="AG167" s="97">
        <f t="shared" si="939"/>
        <v>22.751999999999999</v>
      </c>
      <c r="AH167" s="97">
        <f t="shared" si="940"/>
        <v>930.46801714559979</v>
      </c>
      <c r="AI167" s="97">
        <f t="shared" si="941"/>
        <v>22.751999999999999</v>
      </c>
      <c r="AJ167" s="97">
        <f t="shared" si="942"/>
        <v>930.46801714559979</v>
      </c>
      <c r="AK167" s="97"/>
      <c r="AL167" s="97">
        <f t="shared" si="943"/>
        <v>0</v>
      </c>
      <c r="AM167" s="97">
        <v>24.12</v>
      </c>
      <c r="AN167" s="97">
        <f t="shared" si="944"/>
        <v>952.062228</v>
      </c>
      <c r="AO167" s="97">
        <v>16.776</v>
      </c>
      <c r="AP167" s="97">
        <f t="shared" si="945"/>
        <v>648.21306456000013</v>
      </c>
      <c r="AQ167" s="97">
        <f t="shared" si="946"/>
        <v>40.896000000000001</v>
      </c>
      <c r="AR167" s="97">
        <f t="shared" si="947"/>
        <v>1600.2752925600003</v>
      </c>
      <c r="AS167" s="97">
        <v>4.992</v>
      </c>
      <c r="AT167" s="97">
        <f t="shared" si="948"/>
        <v>196.58046720000002</v>
      </c>
      <c r="AU167" s="97">
        <v>6.7679999999999998</v>
      </c>
      <c r="AV167" s="97">
        <f t="shared" si="949"/>
        <v>273.14585424000001</v>
      </c>
      <c r="AW167" s="97">
        <v>15.731999999999999</v>
      </c>
      <c r="AX167" s="97">
        <f t="shared" si="950"/>
        <v>647.53808723999987</v>
      </c>
      <c r="AY167" s="97">
        <f t="shared" si="951"/>
        <v>27.491999999999997</v>
      </c>
      <c r="AZ167" s="97">
        <f t="shared" si="952"/>
        <v>1117.2644086799999</v>
      </c>
      <c r="BA167" s="97">
        <f t="shared" si="953"/>
        <v>68.388000000000005</v>
      </c>
      <c r="BB167" s="97">
        <f t="shared" si="954"/>
        <v>2717.5397012399999</v>
      </c>
      <c r="BC167" s="1" t="s">
        <v>1780</v>
      </c>
    </row>
    <row r="168" spans="1:55">
      <c r="A168" s="498">
        <v>120</v>
      </c>
      <c r="B168" s="13"/>
      <c r="C168" s="23"/>
      <c r="D168" s="15"/>
      <c r="E168" s="21" t="s">
        <v>146</v>
      </c>
      <c r="F168" s="46" t="s">
        <v>43</v>
      </c>
      <c r="G168" s="46" t="s">
        <v>1105</v>
      </c>
      <c r="H168" s="268" t="s">
        <v>367</v>
      </c>
      <c r="I168" s="18">
        <v>3.26</v>
      </c>
      <c r="J168" s="158"/>
      <c r="K168" s="18">
        <v>3.26</v>
      </c>
      <c r="L168" s="158"/>
      <c r="M168" s="18">
        <v>3.26</v>
      </c>
      <c r="N168" s="158"/>
      <c r="O168" s="18">
        <v>3.26</v>
      </c>
      <c r="P168" s="158"/>
      <c r="Q168" s="97">
        <f t="shared" ref="Q168:R185" si="1163">SUM(AI168+BA168)</f>
        <v>0</v>
      </c>
      <c r="R168" s="342">
        <f t="shared" si="1163"/>
        <v>0</v>
      </c>
      <c r="S168" s="97"/>
      <c r="T168" s="97">
        <f t="shared" ref="T168:T179" si="1164">I168*S168*$T$2/1000</f>
        <v>0</v>
      </c>
      <c r="U168" s="97"/>
      <c r="V168" s="97">
        <f t="shared" ref="V168:V179" si="1165">I168*U168*$V$2/1000</f>
        <v>0</v>
      </c>
      <c r="W168" s="97"/>
      <c r="X168" s="97">
        <f t="shared" ref="X168:X179" si="1166">I168*W168*$X$2/1000</f>
        <v>0</v>
      </c>
      <c r="Y168" s="97">
        <f t="shared" ref="Y168:Z179" si="1167">SUM(S168+U168+W168)</f>
        <v>0</v>
      </c>
      <c r="Z168" s="97">
        <f t="shared" si="1167"/>
        <v>0</v>
      </c>
      <c r="AA168" s="97"/>
      <c r="AB168" s="97">
        <f t="shared" si="937"/>
        <v>0</v>
      </c>
      <c r="AC168" s="97"/>
      <c r="AD168" s="97">
        <f t="shared" ref="AD168:AD179" si="1168">K168*AC168*$AD$2/1000</f>
        <v>0</v>
      </c>
      <c r="AE168" s="97"/>
      <c r="AF168" s="96">
        <f t="shared" ref="AF168:AF179" si="1169">K168*AE168*$AF$2/1000</f>
        <v>0</v>
      </c>
      <c r="AG168" s="97">
        <f>SUM(AA168+AC168+AE168)</f>
        <v>0</v>
      </c>
      <c r="AH168" s="97">
        <f t="shared" ref="AG168:AH179" si="1170">SUM(AB168+AD168+AF168)</f>
        <v>0</v>
      </c>
      <c r="AI168" s="97">
        <f t="shared" ref="AI168:AI179" si="1171">SUM(Y168+AG168)</f>
        <v>0</v>
      </c>
      <c r="AJ168" s="97">
        <f t="shared" ref="AJ168:AJ179" si="1172">SUM(Z168,AH168)</f>
        <v>0</v>
      </c>
      <c r="AK168" s="97"/>
      <c r="AL168" s="97">
        <f>M168*AK168*$AL$2/1000</f>
        <v>0</v>
      </c>
      <c r="AM168" s="97"/>
      <c r="AN168" s="97">
        <f>M168*AM168*$AN$2/1000</f>
        <v>0</v>
      </c>
      <c r="AO168" s="97"/>
      <c r="AP168" s="97">
        <f t="shared" ref="AP168:AP179" si="1173">M168*AO168*$AP$2/1000</f>
        <v>0</v>
      </c>
      <c r="AQ168" s="97">
        <f t="shared" ref="AQ168:AR179" si="1174">SUM(AK168+AM168+AO168)</f>
        <v>0</v>
      </c>
      <c r="AR168" s="97">
        <f t="shared" si="1174"/>
        <v>0</v>
      </c>
      <c r="AS168" s="97"/>
      <c r="AT168" s="97">
        <f t="shared" ref="AT168:AT179" si="1175">O168*AS168*$AT$2/1000</f>
        <v>0</v>
      </c>
      <c r="AU168" s="97"/>
      <c r="AV168" s="97">
        <f t="shared" ref="AV168:AV179" si="1176">O168*AU168*$AV$2/1000</f>
        <v>0</v>
      </c>
      <c r="AW168" s="97"/>
      <c r="AX168" s="97">
        <f t="shared" ref="AX168:AX179" si="1177">O168*AW168*$AX$2/1000</f>
        <v>0</v>
      </c>
      <c r="AY168" s="97">
        <f t="shared" ref="AY168:AZ179" si="1178">SUM(AS168+AU168+AW168)</f>
        <v>0</v>
      </c>
      <c r="AZ168" s="97">
        <f t="shared" si="1178"/>
        <v>0</v>
      </c>
      <c r="BA168" s="97">
        <f t="shared" ref="BA168:BA179" si="1179">SUM(AQ168+AY168)</f>
        <v>0</v>
      </c>
      <c r="BB168" s="97">
        <f t="shared" ref="BB168:BB179" si="1180">SUM(AR168,AZ168)</f>
        <v>0</v>
      </c>
      <c r="BC168" s="1" t="s">
        <v>1780</v>
      </c>
    </row>
    <row r="169" spans="1:55">
      <c r="A169" s="498">
        <v>121</v>
      </c>
      <c r="B169" s="13"/>
      <c r="C169" s="23"/>
      <c r="D169" s="15"/>
      <c r="E169" s="21" t="s">
        <v>61</v>
      </c>
      <c r="F169" s="46" t="s">
        <v>150</v>
      </c>
      <c r="G169" s="46" t="s">
        <v>1105</v>
      </c>
      <c r="H169" s="268" t="s">
        <v>365</v>
      </c>
      <c r="I169" s="18">
        <v>4.16</v>
      </c>
      <c r="J169" s="158"/>
      <c r="K169" s="18">
        <v>4.16</v>
      </c>
      <c r="L169" s="158"/>
      <c r="M169" s="18">
        <v>4.16</v>
      </c>
      <c r="N169" s="158"/>
      <c r="O169" s="18">
        <v>4.16</v>
      </c>
      <c r="P169" s="158"/>
      <c r="Q169" s="97">
        <f t="shared" si="1163"/>
        <v>0</v>
      </c>
      <c r="R169" s="342">
        <f t="shared" si="1163"/>
        <v>0</v>
      </c>
      <c r="S169" s="97"/>
      <c r="T169" s="97">
        <f t="shared" si="1164"/>
        <v>0</v>
      </c>
      <c r="U169" s="97"/>
      <c r="V169" s="97">
        <f t="shared" si="1165"/>
        <v>0</v>
      </c>
      <c r="W169" s="97"/>
      <c r="X169" s="97">
        <f t="shared" si="1166"/>
        <v>0</v>
      </c>
      <c r="Y169" s="97">
        <f t="shared" si="1167"/>
        <v>0</v>
      </c>
      <c r="Z169" s="97">
        <f t="shared" si="1167"/>
        <v>0</v>
      </c>
      <c r="AA169" s="97"/>
      <c r="AB169" s="97">
        <f t="shared" si="937"/>
        <v>0</v>
      </c>
      <c r="AC169" s="97"/>
      <c r="AD169" s="97">
        <f t="shared" si="1168"/>
        <v>0</v>
      </c>
      <c r="AE169" s="97"/>
      <c r="AF169" s="96">
        <f t="shared" si="1169"/>
        <v>0</v>
      </c>
      <c r="AG169" s="97">
        <f t="shared" si="1170"/>
        <v>0</v>
      </c>
      <c r="AH169" s="97">
        <f t="shared" si="1170"/>
        <v>0</v>
      </c>
      <c r="AI169" s="97">
        <f t="shared" si="1171"/>
        <v>0</v>
      </c>
      <c r="AJ169" s="97">
        <f t="shared" si="1172"/>
        <v>0</v>
      </c>
      <c r="AK169" s="97"/>
      <c r="AL169" s="97">
        <f>M169*AK169*$AL$2/1000</f>
        <v>0</v>
      </c>
      <c r="AM169" s="97"/>
      <c r="AN169" s="97">
        <f>M169*AM169*$AN$2/1000</f>
        <v>0</v>
      </c>
      <c r="AO169" s="97"/>
      <c r="AP169" s="97">
        <f t="shared" si="1173"/>
        <v>0</v>
      </c>
      <c r="AQ169" s="97">
        <f t="shared" si="1174"/>
        <v>0</v>
      </c>
      <c r="AR169" s="97">
        <f t="shared" si="1174"/>
        <v>0</v>
      </c>
      <c r="AS169" s="97"/>
      <c r="AT169" s="97">
        <f t="shared" si="1175"/>
        <v>0</v>
      </c>
      <c r="AU169" s="97"/>
      <c r="AV169" s="97">
        <f t="shared" si="1176"/>
        <v>0</v>
      </c>
      <c r="AW169" s="97"/>
      <c r="AX169" s="97">
        <f t="shared" si="1177"/>
        <v>0</v>
      </c>
      <c r="AY169" s="97">
        <f t="shared" si="1178"/>
        <v>0</v>
      </c>
      <c r="AZ169" s="97">
        <f t="shared" si="1178"/>
        <v>0</v>
      </c>
      <c r="BA169" s="97">
        <f t="shared" si="1179"/>
        <v>0</v>
      </c>
      <c r="BB169" s="97">
        <f t="shared" si="1180"/>
        <v>0</v>
      </c>
      <c r="BC169" s="1" t="s">
        <v>1780</v>
      </c>
    </row>
    <row r="170" spans="1:55">
      <c r="A170" s="498">
        <v>122</v>
      </c>
      <c r="B170" s="13"/>
      <c r="C170" s="23"/>
      <c r="D170" s="36"/>
      <c r="E170" s="21" t="s">
        <v>42</v>
      </c>
      <c r="F170" s="46" t="s">
        <v>334</v>
      </c>
      <c r="G170" s="46" t="s">
        <v>1105</v>
      </c>
      <c r="H170" s="268" t="s">
        <v>365</v>
      </c>
      <c r="I170" s="18">
        <v>5.45</v>
      </c>
      <c r="J170" s="158"/>
      <c r="K170" s="18">
        <v>5.45</v>
      </c>
      <c r="L170" s="158"/>
      <c r="M170" s="18">
        <v>5.45</v>
      </c>
      <c r="N170" s="158"/>
      <c r="O170" s="18">
        <v>5.45</v>
      </c>
      <c r="P170" s="158"/>
      <c r="Q170" s="97">
        <f t="shared" si="1163"/>
        <v>0</v>
      </c>
      <c r="R170" s="342">
        <f t="shared" si="1163"/>
        <v>0</v>
      </c>
      <c r="S170" s="97"/>
      <c r="T170" s="97">
        <f t="shared" si="1164"/>
        <v>0</v>
      </c>
      <c r="U170" s="97"/>
      <c r="V170" s="97">
        <f t="shared" si="1165"/>
        <v>0</v>
      </c>
      <c r="W170" s="97"/>
      <c r="X170" s="97">
        <f t="shared" si="1166"/>
        <v>0</v>
      </c>
      <c r="Y170" s="97">
        <f t="shared" si="1167"/>
        <v>0</v>
      </c>
      <c r="Z170" s="97">
        <f t="shared" si="1167"/>
        <v>0</v>
      </c>
      <c r="AA170" s="97"/>
      <c r="AB170" s="97">
        <f t="shared" si="937"/>
        <v>0</v>
      </c>
      <c r="AC170" s="97"/>
      <c r="AD170" s="97">
        <f t="shared" si="1168"/>
        <v>0</v>
      </c>
      <c r="AE170" s="97"/>
      <c r="AF170" s="96">
        <f t="shared" si="1169"/>
        <v>0</v>
      </c>
      <c r="AG170" s="97">
        <f t="shared" si="1170"/>
        <v>0</v>
      </c>
      <c r="AH170" s="97">
        <f t="shared" si="1170"/>
        <v>0</v>
      </c>
      <c r="AI170" s="97">
        <f t="shared" si="1171"/>
        <v>0</v>
      </c>
      <c r="AJ170" s="97">
        <f t="shared" si="1172"/>
        <v>0</v>
      </c>
      <c r="AK170" s="97"/>
      <c r="AL170" s="97">
        <f t="shared" ref="AL170" si="1181">M170*AK170*$AL$2/1000</f>
        <v>0</v>
      </c>
      <c r="AM170" s="97"/>
      <c r="AN170" s="97">
        <f t="shared" ref="AN170" si="1182">M170*AM170*$AN$2/1000</f>
        <v>0</v>
      </c>
      <c r="AO170" s="97"/>
      <c r="AP170" s="97">
        <f t="shared" si="1173"/>
        <v>0</v>
      </c>
      <c r="AQ170" s="97">
        <f t="shared" si="1174"/>
        <v>0</v>
      </c>
      <c r="AR170" s="97">
        <f t="shared" si="1174"/>
        <v>0</v>
      </c>
      <c r="AS170" s="97"/>
      <c r="AT170" s="97">
        <f t="shared" si="1175"/>
        <v>0</v>
      </c>
      <c r="AU170" s="97"/>
      <c r="AV170" s="97">
        <f t="shared" si="1176"/>
        <v>0</v>
      </c>
      <c r="AW170" s="97"/>
      <c r="AX170" s="97">
        <f t="shared" si="1177"/>
        <v>0</v>
      </c>
      <c r="AY170" s="97">
        <f t="shared" si="1178"/>
        <v>0</v>
      </c>
      <c r="AZ170" s="97">
        <f t="shared" si="1178"/>
        <v>0</v>
      </c>
      <c r="BA170" s="97">
        <f t="shared" si="1179"/>
        <v>0</v>
      </c>
      <c r="BB170" s="97">
        <f t="shared" si="1180"/>
        <v>0</v>
      </c>
      <c r="BC170" s="1" t="s">
        <v>1780</v>
      </c>
    </row>
    <row r="171" spans="1:55">
      <c r="A171" s="498">
        <v>123</v>
      </c>
      <c r="B171" s="13"/>
      <c r="C171" s="13"/>
      <c r="D171" s="15"/>
      <c r="E171" s="21" t="s">
        <v>257</v>
      </c>
      <c r="F171" s="46" t="s">
        <v>258</v>
      </c>
      <c r="G171" s="46" t="s">
        <v>1105</v>
      </c>
      <c r="H171" s="268" t="s">
        <v>367</v>
      </c>
      <c r="I171" s="55">
        <v>5.64</v>
      </c>
      <c r="J171" s="158"/>
      <c r="K171" s="55">
        <v>5.64</v>
      </c>
      <c r="L171" s="158"/>
      <c r="M171" s="55">
        <v>5.64</v>
      </c>
      <c r="N171" s="158"/>
      <c r="O171" s="55">
        <v>5.64</v>
      </c>
      <c r="P171" s="158"/>
      <c r="Q171" s="97">
        <f t="shared" si="1163"/>
        <v>2.1820000000000004</v>
      </c>
      <c r="R171" s="342">
        <f t="shared" si="1163"/>
        <v>16.408260127199998</v>
      </c>
      <c r="S171" s="97"/>
      <c r="T171" s="97">
        <f t="shared" si="1164"/>
        <v>0</v>
      </c>
      <c r="U171" s="97">
        <v>1.762</v>
      </c>
      <c r="V171" s="97">
        <f t="shared" si="1165"/>
        <v>13.221089472000001</v>
      </c>
      <c r="W171" s="97">
        <v>0.252</v>
      </c>
      <c r="X171" s="97">
        <f t="shared" si="1166"/>
        <v>1.8911551679999998</v>
      </c>
      <c r="Y171" s="97">
        <f t="shared" si="1167"/>
        <v>2.0140000000000002</v>
      </c>
      <c r="Z171" s="97">
        <f t="shared" si="1167"/>
        <v>15.11224464</v>
      </c>
      <c r="AA171" s="97">
        <v>0.126</v>
      </c>
      <c r="AB171" s="97">
        <f t="shared" si="937"/>
        <v>0.96939823679999981</v>
      </c>
      <c r="AC171" s="97"/>
      <c r="AD171" s="97">
        <f t="shared" si="1168"/>
        <v>0</v>
      </c>
      <c r="AE171" s="97">
        <v>4.2000000000000003E-2</v>
      </c>
      <c r="AF171" s="96">
        <f t="shared" si="1169"/>
        <v>0.3266172504</v>
      </c>
      <c r="AG171" s="97">
        <f t="shared" si="1170"/>
        <v>0.16800000000000001</v>
      </c>
      <c r="AH171" s="97">
        <f t="shared" si="1170"/>
        <v>1.2960154871999998</v>
      </c>
      <c r="AI171" s="97">
        <f t="shared" si="1171"/>
        <v>2.1820000000000004</v>
      </c>
      <c r="AJ171" s="97">
        <f t="shared" si="1172"/>
        <v>16.408260127199998</v>
      </c>
      <c r="AK171" s="97"/>
      <c r="AL171" s="97">
        <f t="shared" ref="AL171:AL182" si="1183">M171*AK171*$AL$2/1000</f>
        <v>0</v>
      </c>
      <c r="AM171" s="97"/>
      <c r="AN171" s="97">
        <f t="shared" ref="AN171:AN182" si="1184">M171*AM171*$AN$2/1000</f>
        <v>0</v>
      </c>
      <c r="AO171" s="97"/>
      <c r="AP171" s="97">
        <f t="shared" si="1173"/>
        <v>0</v>
      </c>
      <c r="AQ171" s="97">
        <f t="shared" si="1174"/>
        <v>0</v>
      </c>
      <c r="AR171" s="97">
        <f t="shared" si="1174"/>
        <v>0</v>
      </c>
      <c r="AS171" s="97"/>
      <c r="AT171" s="97">
        <f t="shared" si="1175"/>
        <v>0</v>
      </c>
      <c r="AU171" s="97"/>
      <c r="AV171" s="97">
        <f t="shared" si="1176"/>
        <v>0</v>
      </c>
      <c r="AW171" s="97"/>
      <c r="AX171" s="97">
        <f t="shared" si="1177"/>
        <v>0</v>
      </c>
      <c r="AY171" s="97">
        <f t="shared" si="1178"/>
        <v>0</v>
      </c>
      <c r="AZ171" s="97">
        <f t="shared" si="1178"/>
        <v>0</v>
      </c>
      <c r="BA171" s="97">
        <f t="shared" si="1179"/>
        <v>0</v>
      </c>
      <c r="BB171" s="97">
        <f t="shared" si="1180"/>
        <v>0</v>
      </c>
      <c r="BC171" s="1" t="s">
        <v>1780</v>
      </c>
    </row>
    <row r="172" spans="1:55">
      <c r="A172" s="498">
        <v>124</v>
      </c>
      <c r="B172" s="13"/>
      <c r="C172" s="13"/>
      <c r="D172" s="15"/>
      <c r="E172" s="21" t="s">
        <v>259</v>
      </c>
      <c r="F172" s="46" t="s">
        <v>260</v>
      </c>
      <c r="G172" s="46" t="s">
        <v>1105</v>
      </c>
      <c r="H172" s="268" t="s">
        <v>369</v>
      </c>
      <c r="I172" s="55">
        <v>5.62</v>
      </c>
      <c r="J172" s="158"/>
      <c r="K172" s="55">
        <v>5.62</v>
      </c>
      <c r="L172" s="158"/>
      <c r="M172" s="55">
        <v>5.62</v>
      </c>
      <c r="N172" s="158"/>
      <c r="O172" s="55">
        <v>5.62</v>
      </c>
      <c r="P172" s="158"/>
      <c r="Q172" s="97">
        <f t="shared" si="1163"/>
        <v>1.512</v>
      </c>
      <c r="R172" s="342">
        <f t="shared" si="1163"/>
        <v>11.306693664000001</v>
      </c>
      <c r="S172" s="97"/>
      <c r="T172" s="97">
        <f t="shared" si="1164"/>
        <v>0</v>
      </c>
      <c r="U172" s="97"/>
      <c r="V172" s="97">
        <f t="shared" si="1165"/>
        <v>0</v>
      </c>
      <c r="W172" s="97">
        <v>1.512</v>
      </c>
      <c r="X172" s="97">
        <f t="shared" si="1166"/>
        <v>11.306693664000001</v>
      </c>
      <c r="Y172" s="97">
        <f t="shared" si="1167"/>
        <v>1.512</v>
      </c>
      <c r="Z172" s="97">
        <f t="shared" si="1167"/>
        <v>11.306693664000001</v>
      </c>
      <c r="AA172" s="97"/>
      <c r="AB172" s="97">
        <f t="shared" si="937"/>
        <v>0</v>
      </c>
      <c r="AC172" s="97"/>
      <c r="AD172" s="97">
        <f t="shared" si="1168"/>
        <v>0</v>
      </c>
      <c r="AE172" s="97"/>
      <c r="AF172" s="96">
        <f t="shared" si="1169"/>
        <v>0</v>
      </c>
      <c r="AG172" s="97">
        <f t="shared" si="1170"/>
        <v>0</v>
      </c>
      <c r="AH172" s="97">
        <f t="shared" si="1170"/>
        <v>0</v>
      </c>
      <c r="AI172" s="97">
        <f t="shared" si="1171"/>
        <v>1.512</v>
      </c>
      <c r="AJ172" s="97">
        <f t="shared" si="1172"/>
        <v>11.306693664000001</v>
      </c>
      <c r="AK172" s="97"/>
      <c r="AL172" s="97">
        <f t="shared" si="1183"/>
        <v>0</v>
      </c>
      <c r="AM172" s="97"/>
      <c r="AN172" s="97">
        <f t="shared" si="1184"/>
        <v>0</v>
      </c>
      <c r="AO172" s="97"/>
      <c r="AP172" s="97">
        <f t="shared" si="1173"/>
        <v>0</v>
      </c>
      <c r="AQ172" s="97">
        <f t="shared" si="1174"/>
        <v>0</v>
      </c>
      <c r="AR172" s="97">
        <f t="shared" si="1174"/>
        <v>0</v>
      </c>
      <c r="AS172" s="97"/>
      <c r="AT172" s="97">
        <f t="shared" si="1175"/>
        <v>0</v>
      </c>
      <c r="AU172" s="97"/>
      <c r="AV172" s="97">
        <f t="shared" si="1176"/>
        <v>0</v>
      </c>
      <c r="AW172" s="97"/>
      <c r="AX172" s="97">
        <f t="shared" si="1177"/>
        <v>0</v>
      </c>
      <c r="AY172" s="97">
        <f t="shared" si="1178"/>
        <v>0</v>
      </c>
      <c r="AZ172" s="97">
        <f t="shared" si="1178"/>
        <v>0</v>
      </c>
      <c r="BA172" s="97">
        <f t="shared" si="1179"/>
        <v>0</v>
      </c>
      <c r="BB172" s="97">
        <f t="shared" si="1180"/>
        <v>0</v>
      </c>
      <c r="BC172" s="1" t="s">
        <v>1780</v>
      </c>
    </row>
    <row r="173" spans="1:55">
      <c r="A173" s="498">
        <v>125</v>
      </c>
      <c r="B173" s="13"/>
      <c r="C173" s="13"/>
      <c r="D173" s="15"/>
      <c r="E173" s="21" t="s">
        <v>261</v>
      </c>
      <c r="F173" s="46" t="s">
        <v>262</v>
      </c>
      <c r="G173" s="46" t="s">
        <v>1105</v>
      </c>
      <c r="H173" s="268" t="s">
        <v>369</v>
      </c>
      <c r="I173" s="55">
        <v>6.3</v>
      </c>
      <c r="J173" s="158"/>
      <c r="K173" s="55">
        <v>6.3</v>
      </c>
      <c r="L173" s="158"/>
      <c r="M173" s="55">
        <v>6.3</v>
      </c>
      <c r="N173" s="158"/>
      <c r="O173" s="55">
        <v>6.3</v>
      </c>
      <c r="P173" s="158"/>
      <c r="Q173" s="97">
        <f t="shared" si="1163"/>
        <v>0.84</v>
      </c>
      <c r="R173" s="342">
        <f t="shared" si="1163"/>
        <v>7.2571664340000002</v>
      </c>
      <c r="S173" s="97"/>
      <c r="T173" s="97">
        <f t="shared" si="1164"/>
        <v>0</v>
      </c>
      <c r="U173" s="97"/>
      <c r="V173" s="97">
        <f t="shared" si="1165"/>
        <v>0</v>
      </c>
      <c r="W173" s="97"/>
      <c r="X173" s="97">
        <f t="shared" si="1166"/>
        <v>0</v>
      </c>
      <c r="Y173" s="97">
        <f t="shared" si="1167"/>
        <v>0</v>
      </c>
      <c r="Z173" s="97">
        <f t="shared" si="1167"/>
        <v>0</v>
      </c>
      <c r="AA173" s="97">
        <v>0.46200000000000002</v>
      </c>
      <c r="AB173" s="97">
        <f t="shared" si="937"/>
        <v>3.9704076719999999</v>
      </c>
      <c r="AC173" s="97"/>
      <c r="AD173" s="97">
        <f t="shared" si="1168"/>
        <v>0</v>
      </c>
      <c r="AE173" s="97">
        <v>0.25800000000000001</v>
      </c>
      <c r="AF173" s="96">
        <f t="shared" si="1169"/>
        <v>2.2411502819999995</v>
      </c>
      <c r="AG173" s="97">
        <f t="shared" si="1170"/>
        <v>0.72</v>
      </c>
      <c r="AH173" s="97">
        <f t="shared" si="1170"/>
        <v>6.2115579539999999</v>
      </c>
      <c r="AI173" s="97">
        <f t="shared" si="1171"/>
        <v>0.72</v>
      </c>
      <c r="AJ173" s="97">
        <f t="shared" si="1172"/>
        <v>6.2115579539999999</v>
      </c>
      <c r="AK173" s="97">
        <v>0.12</v>
      </c>
      <c r="AL173" s="97">
        <f t="shared" si="1183"/>
        <v>1.0456084799999998</v>
      </c>
      <c r="AM173" s="97"/>
      <c r="AN173" s="97">
        <f t="shared" si="1184"/>
        <v>0</v>
      </c>
      <c r="AO173" s="97"/>
      <c r="AP173" s="97">
        <f t="shared" si="1173"/>
        <v>0</v>
      </c>
      <c r="AQ173" s="97">
        <f t="shared" si="1174"/>
        <v>0.12</v>
      </c>
      <c r="AR173" s="97">
        <f t="shared" si="1174"/>
        <v>1.0456084799999998</v>
      </c>
      <c r="AS173" s="97"/>
      <c r="AT173" s="97">
        <f t="shared" si="1175"/>
        <v>0</v>
      </c>
      <c r="AU173" s="97"/>
      <c r="AV173" s="97">
        <f t="shared" si="1176"/>
        <v>0</v>
      </c>
      <c r="AW173" s="97"/>
      <c r="AX173" s="97">
        <f t="shared" si="1177"/>
        <v>0</v>
      </c>
      <c r="AY173" s="97">
        <f t="shared" si="1178"/>
        <v>0</v>
      </c>
      <c r="AZ173" s="97">
        <f t="shared" si="1178"/>
        <v>0</v>
      </c>
      <c r="BA173" s="97">
        <f t="shared" si="1179"/>
        <v>0.12</v>
      </c>
      <c r="BB173" s="97">
        <f t="shared" si="1180"/>
        <v>1.0456084799999998</v>
      </c>
      <c r="BC173" s="1" t="s">
        <v>1780</v>
      </c>
    </row>
    <row r="174" spans="1:55">
      <c r="A174" s="498">
        <v>126</v>
      </c>
      <c r="B174" s="13"/>
      <c r="C174" s="13"/>
      <c r="D174" s="15"/>
      <c r="E174" s="21" t="s">
        <v>325</v>
      </c>
      <c r="F174" s="46" t="s">
        <v>324</v>
      </c>
      <c r="G174" s="46" t="s">
        <v>1105</v>
      </c>
      <c r="H174" s="268" t="s">
        <v>367</v>
      </c>
      <c r="I174" s="55">
        <v>7.08</v>
      </c>
      <c r="J174" s="158"/>
      <c r="K174" s="55">
        <v>7.08</v>
      </c>
      <c r="L174" s="158"/>
      <c r="M174" s="55">
        <v>7.08</v>
      </c>
      <c r="N174" s="158"/>
      <c r="O174" s="55">
        <v>7.08</v>
      </c>
      <c r="P174" s="158"/>
      <c r="Q174" s="97">
        <f t="shared" si="1163"/>
        <v>0</v>
      </c>
      <c r="R174" s="342">
        <f t="shared" si="1163"/>
        <v>0</v>
      </c>
      <c r="S174" s="97"/>
      <c r="T174" s="97">
        <f t="shared" si="1164"/>
        <v>0</v>
      </c>
      <c r="U174" s="97"/>
      <c r="V174" s="97">
        <f t="shared" si="1165"/>
        <v>0</v>
      </c>
      <c r="W174" s="97"/>
      <c r="X174" s="97">
        <f t="shared" si="1166"/>
        <v>0</v>
      </c>
      <c r="Y174" s="97">
        <f t="shared" si="1167"/>
        <v>0</v>
      </c>
      <c r="Z174" s="97">
        <f t="shared" si="1167"/>
        <v>0</v>
      </c>
      <c r="AA174" s="97"/>
      <c r="AB174" s="97">
        <f t="shared" si="937"/>
        <v>0</v>
      </c>
      <c r="AC174" s="97"/>
      <c r="AD174" s="97">
        <f t="shared" si="1168"/>
        <v>0</v>
      </c>
      <c r="AE174" s="97"/>
      <c r="AF174" s="96">
        <f t="shared" si="1169"/>
        <v>0</v>
      </c>
      <c r="AG174" s="97">
        <f t="shared" si="1170"/>
        <v>0</v>
      </c>
      <c r="AH174" s="97">
        <f t="shared" si="1170"/>
        <v>0</v>
      </c>
      <c r="AI174" s="97">
        <f t="shared" si="1171"/>
        <v>0</v>
      </c>
      <c r="AJ174" s="97">
        <f t="shared" si="1172"/>
        <v>0</v>
      </c>
      <c r="AK174" s="97"/>
      <c r="AL174" s="97">
        <f t="shared" si="1183"/>
        <v>0</v>
      </c>
      <c r="AM174" s="97"/>
      <c r="AN174" s="97">
        <f t="shared" si="1184"/>
        <v>0</v>
      </c>
      <c r="AO174" s="97"/>
      <c r="AP174" s="97">
        <f t="shared" si="1173"/>
        <v>0</v>
      </c>
      <c r="AQ174" s="97">
        <f t="shared" si="1174"/>
        <v>0</v>
      </c>
      <c r="AR174" s="97">
        <f t="shared" si="1174"/>
        <v>0</v>
      </c>
      <c r="AS174" s="97"/>
      <c r="AT174" s="97">
        <f t="shared" si="1175"/>
        <v>0</v>
      </c>
      <c r="AU174" s="97"/>
      <c r="AV174" s="97">
        <f t="shared" si="1176"/>
        <v>0</v>
      </c>
      <c r="AW174" s="97"/>
      <c r="AX174" s="97">
        <f t="shared" si="1177"/>
        <v>0</v>
      </c>
      <c r="AY174" s="97">
        <f t="shared" si="1178"/>
        <v>0</v>
      </c>
      <c r="AZ174" s="97">
        <f t="shared" si="1178"/>
        <v>0</v>
      </c>
      <c r="BA174" s="97">
        <f t="shared" si="1179"/>
        <v>0</v>
      </c>
      <c r="BB174" s="97">
        <f t="shared" si="1180"/>
        <v>0</v>
      </c>
      <c r="BC174" s="1" t="s">
        <v>1780</v>
      </c>
    </row>
    <row r="175" spans="1:55">
      <c r="A175" s="498">
        <v>126</v>
      </c>
      <c r="B175" s="13"/>
      <c r="C175" s="13"/>
      <c r="D175" s="15"/>
      <c r="E175" s="21" t="s">
        <v>1586</v>
      </c>
      <c r="F175" s="46" t="s">
        <v>1589</v>
      </c>
      <c r="G175" s="46" t="s">
        <v>1105</v>
      </c>
      <c r="H175" s="268" t="s">
        <v>366</v>
      </c>
      <c r="I175" s="55">
        <v>7.08</v>
      </c>
      <c r="J175" s="158"/>
      <c r="K175" s="55">
        <v>7.08</v>
      </c>
      <c r="L175" s="158"/>
      <c r="M175" s="55">
        <v>7.08</v>
      </c>
      <c r="N175" s="158"/>
      <c r="O175" s="55">
        <v>7.08</v>
      </c>
      <c r="P175" s="158"/>
      <c r="Q175" s="97">
        <f t="shared" ref="Q175:Q176" si="1185">SUM(AI175+BA175)</f>
        <v>0</v>
      </c>
      <c r="R175" s="342">
        <f t="shared" ref="R175:R176" si="1186">SUM(AJ175+BB175)</f>
        <v>0</v>
      </c>
      <c r="S175" s="97"/>
      <c r="T175" s="97">
        <f t="shared" ref="T175:T176" si="1187">I175*S175*$T$2/1000</f>
        <v>0</v>
      </c>
      <c r="U175" s="97"/>
      <c r="V175" s="97">
        <f t="shared" ref="V175:V176" si="1188">I175*U175*$V$2/1000</f>
        <v>0</v>
      </c>
      <c r="W175" s="97"/>
      <c r="X175" s="97">
        <f t="shared" ref="X175:X176" si="1189">I175*W175*$X$2/1000</f>
        <v>0</v>
      </c>
      <c r="Y175" s="97">
        <f t="shared" ref="Y175:Y176" si="1190">SUM(S175+U175+W175)</f>
        <v>0</v>
      </c>
      <c r="Z175" s="97">
        <f>SUM(T175+V175+X175)</f>
        <v>0</v>
      </c>
      <c r="AA175" s="97"/>
      <c r="AB175" s="97">
        <f t="shared" ref="AB175:AB176" si="1191">K175*AA175*$AB$2/1000</f>
        <v>0</v>
      </c>
      <c r="AC175" s="97"/>
      <c r="AD175" s="97">
        <f t="shared" ref="AD175:AD176" si="1192">K175*AC175*$AD$2/1000</f>
        <v>0</v>
      </c>
      <c r="AE175" s="97"/>
      <c r="AF175" s="96">
        <f t="shared" ref="AF175:AF176" si="1193">K175*AE175*$AF$2/1000</f>
        <v>0</v>
      </c>
      <c r="AG175" s="97">
        <f>SUM(AA175+AC175+AE175)</f>
        <v>0</v>
      </c>
      <c r="AH175" s="97">
        <f t="shared" ref="AH175:AH176" si="1194">SUM(AB175+AD175+AF175)</f>
        <v>0</v>
      </c>
      <c r="AI175" s="97">
        <f t="shared" ref="AI175:AI176" si="1195">SUM(Y175+AG175)</f>
        <v>0</v>
      </c>
      <c r="AJ175" s="97">
        <f t="shared" ref="AJ175:AJ176" si="1196">SUM(Z175,AH175)</f>
        <v>0</v>
      </c>
      <c r="AK175" s="97"/>
      <c r="AL175" s="97">
        <f t="shared" si="1183"/>
        <v>0</v>
      </c>
      <c r="AM175" s="97"/>
      <c r="AN175" s="97">
        <f t="shared" si="1184"/>
        <v>0</v>
      </c>
      <c r="AO175" s="97"/>
      <c r="AP175" s="97">
        <f t="shared" ref="AP175:AP176" si="1197">M175*AO175*$AP$2/1000</f>
        <v>0</v>
      </c>
      <c r="AQ175" s="97">
        <f t="shared" ref="AQ175:AQ176" si="1198">SUM(AK175+AM175+AO175)</f>
        <v>0</v>
      </c>
      <c r="AR175" s="97">
        <f>SUM(AL175+AN175+AP175)</f>
        <v>0</v>
      </c>
      <c r="AS175" s="97"/>
      <c r="AT175" s="97">
        <f>O175*AS175*$AT$2/1000</f>
        <v>0</v>
      </c>
      <c r="AU175" s="97"/>
      <c r="AV175" s="97">
        <f t="shared" ref="AV175:AV176" si="1199">O175*AU175*$AV$2/1000</f>
        <v>0</v>
      </c>
      <c r="AW175" s="97"/>
      <c r="AX175" s="97">
        <f t="shared" ref="AX175:AX176" si="1200">O175*AW175*$AX$2/1000</f>
        <v>0</v>
      </c>
      <c r="AY175" s="97">
        <f t="shared" ref="AY175:AY176" si="1201">SUM(AS175+AU175+AW175)</f>
        <v>0</v>
      </c>
      <c r="AZ175" s="97">
        <f>SUM(AT175+AV175+AX175)</f>
        <v>0</v>
      </c>
      <c r="BA175" s="97">
        <f t="shared" ref="BA175:BA176" si="1202">SUM(AQ175+AY175)</f>
        <v>0</v>
      </c>
      <c r="BB175" s="97">
        <f t="shared" ref="BB175:BB176" si="1203">SUM(AR175,AZ175)</f>
        <v>0</v>
      </c>
      <c r="BC175" s="1" t="s">
        <v>1782</v>
      </c>
    </row>
    <row r="176" spans="1:55">
      <c r="A176" s="498">
        <v>126</v>
      </c>
      <c r="B176" s="13"/>
      <c r="C176" s="13"/>
      <c r="D176" s="15"/>
      <c r="E176" s="21" t="s">
        <v>1587</v>
      </c>
      <c r="F176" s="46" t="s">
        <v>1007</v>
      </c>
      <c r="G176" s="46" t="s">
        <v>1105</v>
      </c>
      <c r="H176" s="268" t="s">
        <v>366</v>
      </c>
      <c r="I176" s="55">
        <v>7.62</v>
      </c>
      <c r="J176" s="158"/>
      <c r="K176" s="55">
        <v>7.62</v>
      </c>
      <c r="L176" s="158"/>
      <c r="M176" s="55">
        <v>7.62</v>
      </c>
      <c r="N176" s="158"/>
      <c r="O176" s="55">
        <v>7.62</v>
      </c>
      <c r="P176" s="158"/>
      <c r="Q176" s="97">
        <f t="shared" si="1185"/>
        <v>5.6000000000000001E-2</v>
      </c>
      <c r="R176" s="342">
        <f t="shared" si="1186"/>
        <v>0.56855746080000003</v>
      </c>
      <c r="S176" s="97"/>
      <c r="T176" s="97">
        <f t="shared" si="1187"/>
        <v>0</v>
      </c>
      <c r="U176" s="97"/>
      <c r="V176" s="97">
        <f t="shared" si="1188"/>
        <v>0</v>
      </c>
      <c r="W176" s="97"/>
      <c r="X176" s="97">
        <f t="shared" si="1189"/>
        <v>0</v>
      </c>
      <c r="Y176" s="97">
        <f t="shared" si="1190"/>
        <v>0</v>
      </c>
      <c r="Z176" s="97">
        <f t="shared" ref="Z176" si="1204">SUM(T176+V176+X176)</f>
        <v>0</v>
      </c>
      <c r="AA176" s="97"/>
      <c r="AB176" s="97">
        <f t="shared" si="1191"/>
        <v>0</v>
      </c>
      <c r="AC176" s="97"/>
      <c r="AD176" s="97">
        <f t="shared" si="1192"/>
        <v>0</v>
      </c>
      <c r="AE176" s="97"/>
      <c r="AF176" s="96">
        <f t="shared" si="1193"/>
        <v>0</v>
      </c>
      <c r="AG176" s="97">
        <f t="shared" ref="AG176" si="1205">SUM(AA176+AC176+AE176)</f>
        <v>0</v>
      </c>
      <c r="AH176" s="97">
        <f t="shared" si="1194"/>
        <v>0</v>
      </c>
      <c r="AI176" s="97">
        <f t="shared" si="1195"/>
        <v>0</v>
      </c>
      <c r="AJ176" s="97">
        <f t="shared" si="1196"/>
        <v>0</v>
      </c>
      <c r="AK176" s="97"/>
      <c r="AL176" s="97">
        <f t="shared" ref="AL176" si="1206">M176*AK176*$AL$2/1000</f>
        <v>0</v>
      </c>
      <c r="AM176" s="97"/>
      <c r="AN176" s="97">
        <f t="shared" ref="AN176" si="1207">M176*AM176*$AN$2/1000</f>
        <v>0</v>
      </c>
      <c r="AO176" s="97">
        <v>5.6000000000000001E-2</v>
      </c>
      <c r="AP176" s="97">
        <f t="shared" si="1197"/>
        <v>0.56855746080000003</v>
      </c>
      <c r="AQ176" s="97">
        <f t="shared" si="1198"/>
        <v>5.6000000000000001E-2</v>
      </c>
      <c r="AR176" s="97">
        <f t="shared" ref="AR176" si="1208">SUM(AL176+AN176+AP176)</f>
        <v>0.56855746080000003</v>
      </c>
      <c r="AS176" s="97"/>
      <c r="AT176" s="97">
        <f t="shared" ref="AT176" si="1209">O176*AS176*$AT$2/1000</f>
        <v>0</v>
      </c>
      <c r="AU176" s="97"/>
      <c r="AV176" s="97">
        <f t="shared" si="1199"/>
        <v>0</v>
      </c>
      <c r="AW176" s="97"/>
      <c r="AX176" s="97">
        <f t="shared" si="1200"/>
        <v>0</v>
      </c>
      <c r="AY176" s="97">
        <f t="shared" si="1201"/>
        <v>0</v>
      </c>
      <c r="AZ176" s="97">
        <f t="shared" ref="AZ176" si="1210">SUM(AT176+AV176+AX176)</f>
        <v>0</v>
      </c>
      <c r="BA176" s="97">
        <f t="shared" si="1202"/>
        <v>5.6000000000000001E-2</v>
      </c>
      <c r="BB176" s="97">
        <f t="shared" si="1203"/>
        <v>0.56855746080000003</v>
      </c>
      <c r="BC176" s="1" t="s">
        <v>1782</v>
      </c>
    </row>
    <row r="177" spans="1:55">
      <c r="A177" s="498">
        <v>126</v>
      </c>
      <c r="B177" s="13"/>
      <c r="C177" s="13"/>
      <c r="D177" s="15"/>
      <c r="E177" s="21" t="s">
        <v>1759</v>
      </c>
      <c r="F177" s="46" t="s">
        <v>1589</v>
      </c>
      <c r="G177" s="46" t="s">
        <v>1105</v>
      </c>
      <c r="H177" s="268" t="s">
        <v>366</v>
      </c>
      <c r="I177" s="55">
        <v>6.7</v>
      </c>
      <c r="J177" s="158"/>
      <c r="K177" s="55">
        <v>6.7</v>
      </c>
      <c r="L177" s="158"/>
      <c r="M177" s="55">
        <v>6.7</v>
      </c>
      <c r="N177" s="158"/>
      <c r="O177" s="55">
        <v>6.7</v>
      </c>
      <c r="P177" s="158"/>
      <c r="Q177" s="97">
        <f t="shared" si="1163"/>
        <v>5.6000000000000001E-2</v>
      </c>
      <c r="R177" s="342">
        <f t="shared" si="1163"/>
        <v>0.51388517600000017</v>
      </c>
      <c r="S177" s="97"/>
      <c r="T177" s="97">
        <f t="shared" si="1164"/>
        <v>0</v>
      </c>
      <c r="U177" s="97"/>
      <c r="V177" s="97">
        <f t="shared" si="1165"/>
        <v>0</v>
      </c>
      <c r="W177" s="97"/>
      <c r="X177" s="97">
        <f t="shared" si="1166"/>
        <v>0</v>
      </c>
      <c r="Y177" s="97">
        <f t="shared" si="1167"/>
        <v>0</v>
      </c>
      <c r="Z177" s="97">
        <f>SUM(T177+V177+X177)</f>
        <v>0</v>
      </c>
      <c r="AA177" s="97"/>
      <c r="AB177" s="97">
        <f t="shared" si="937"/>
        <v>0</v>
      </c>
      <c r="AC177" s="97">
        <v>5.6000000000000001E-2</v>
      </c>
      <c r="AD177" s="97">
        <f t="shared" si="1168"/>
        <v>0.51388517600000017</v>
      </c>
      <c r="AE177" s="97"/>
      <c r="AF177" s="96">
        <f t="shared" si="1169"/>
        <v>0</v>
      </c>
      <c r="AG177" s="97">
        <f t="shared" si="1170"/>
        <v>5.6000000000000001E-2</v>
      </c>
      <c r="AH177" s="97">
        <f t="shared" si="1170"/>
        <v>0.51388517600000017</v>
      </c>
      <c r="AI177" s="97">
        <f t="shared" si="1171"/>
        <v>5.6000000000000001E-2</v>
      </c>
      <c r="AJ177" s="97">
        <f t="shared" si="1172"/>
        <v>0.51388517600000017</v>
      </c>
      <c r="AK177" s="97"/>
      <c r="AL177" s="97">
        <f t="shared" si="1183"/>
        <v>0</v>
      </c>
      <c r="AM177" s="97"/>
      <c r="AN177" s="97">
        <f t="shared" si="1184"/>
        <v>0</v>
      </c>
      <c r="AO177" s="97"/>
      <c r="AP177" s="97">
        <f t="shared" si="1173"/>
        <v>0</v>
      </c>
      <c r="AQ177" s="97">
        <f t="shared" si="1174"/>
        <v>0</v>
      </c>
      <c r="AR177" s="97">
        <f t="shared" si="1174"/>
        <v>0</v>
      </c>
      <c r="AS177" s="97"/>
      <c r="AT177" s="97">
        <f t="shared" si="1175"/>
        <v>0</v>
      </c>
      <c r="AU177" s="97"/>
      <c r="AV177" s="97">
        <f t="shared" si="1176"/>
        <v>0</v>
      </c>
      <c r="AW177" s="97"/>
      <c r="AX177" s="97">
        <f t="shared" si="1177"/>
        <v>0</v>
      </c>
      <c r="AY177" s="97">
        <f t="shared" si="1178"/>
        <v>0</v>
      </c>
      <c r="AZ177" s="97">
        <f t="shared" si="1178"/>
        <v>0</v>
      </c>
      <c r="BA177" s="97">
        <f t="shared" si="1179"/>
        <v>0</v>
      </c>
      <c r="BB177" s="97">
        <f t="shared" si="1180"/>
        <v>0</v>
      </c>
      <c r="BC177" s="1" t="s">
        <v>1782</v>
      </c>
    </row>
    <row r="178" spans="1:55">
      <c r="A178" s="498">
        <v>127</v>
      </c>
      <c r="B178" s="13"/>
      <c r="C178" s="23"/>
      <c r="D178" s="36"/>
      <c r="E178" s="21" t="s">
        <v>1645</v>
      </c>
      <c r="F178" s="46"/>
      <c r="G178" s="46" t="s">
        <v>1105</v>
      </c>
      <c r="H178" s="268" t="s">
        <v>366</v>
      </c>
      <c r="I178" s="18">
        <v>7.86</v>
      </c>
      <c r="J178" s="158"/>
      <c r="K178" s="18">
        <v>7.86</v>
      </c>
      <c r="L178" s="158"/>
      <c r="M178" s="18">
        <v>7.86</v>
      </c>
      <c r="N178" s="158"/>
      <c r="O178" s="18">
        <v>7.86</v>
      </c>
      <c r="P178" s="158"/>
      <c r="Q178" s="97">
        <f t="shared" si="1163"/>
        <v>0.112</v>
      </c>
      <c r="R178" s="342">
        <f t="shared" si="1163"/>
        <v>1.2494645856000002</v>
      </c>
      <c r="S178" s="97"/>
      <c r="T178" s="97">
        <f t="shared" ref="T178" si="1211">I178*S178*$T$2/1000</f>
        <v>0</v>
      </c>
      <c r="U178" s="97"/>
      <c r="V178" s="97">
        <f t="shared" ref="V178" si="1212">I178*U178*$V$2/1000</f>
        <v>0</v>
      </c>
      <c r="W178" s="97"/>
      <c r="X178" s="97">
        <f t="shared" ref="X178" si="1213">I178*W178*$X$2/1000</f>
        <v>0</v>
      </c>
      <c r="Y178" s="97">
        <f t="shared" ref="Y178" si="1214">SUM(S178+U178+W178)</f>
        <v>0</v>
      </c>
      <c r="Z178" s="97">
        <f t="shared" ref="Z178" si="1215">SUM(T178+V178+X178)</f>
        <v>0</v>
      </c>
      <c r="AA178" s="97"/>
      <c r="AB178" s="97">
        <f t="shared" si="937"/>
        <v>0</v>
      </c>
      <c r="AC178" s="97"/>
      <c r="AD178" s="97">
        <f t="shared" ref="AD178" si="1216">K178*AC178*$AD$2/1000</f>
        <v>0</v>
      </c>
      <c r="AE178" s="97"/>
      <c r="AF178" s="96">
        <f t="shared" ref="AF178" si="1217">K178*AE178*$AF$2/1000</f>
        <v>0</v>
      </c>
      <c r="AG178" s="97">
        <f t="shared" ref="AG178" si="1218">SUM(AA178+AC178+AE178)</f>
        <v>0</v>
      </c>
      <c r="AH178" s="97">
        <f t="shared" ref="AH178" si="1219">SUM(AB178+AD178+AF178)</f>
        <v>0</v>
      </c>
      <c r="AI178" s="97">
        <f t="shared" ref="AI178" si="1220">SUM(Y178+AG178)</f>
        <v>0</v>
      </c>
      <c r="AJ178" s="97">
        <f t="shared" ref="AJ178" si="1221">SUM(Z178,AH178)</f>
        <v>0</v>
      </c>
      <c r="AK178" s="97"/>
      <c r="AL178" s="97">
        <f t="shared" ref="AL178" si="1222">M178*AK178*$AL$2/1000</f>
        <v>0</v>
      </c>
      <c r="AM178" s="97"/>
      <c r="AN178" s="97">
        <f t="shared" ref="AN178" si="1223">M178*AM178*$AN$2/1000</f>
        <v>0</v>
      </c>
      <c r="AO178" s="97"/>
      <c r="AP178" s="97">
        <f t="shared" ref="AP178" si="1224">M178*AO178*$AP$2/1000</f>
        <v>0</v>
      </c>
      <c r="AQ178" s="97">
        <f t="shared" ref="AQ178" si="1225">SUM(AK178+AM178+AO178)</f>
        <v>0</v>
      </c>
      <c r="AR178" s="97">
        <f t="shared" ref="AR178" si="1226">SUM(AL178+AN178+AP178)</f>
        <v>0</v>
      </c>
      <c r="AS178" s="97"/>
      <c r="AT178" s="97">
        <f t="shared" ref="AT178" si="1227">O178*AS178*$AT$2/1000</f>
        <v>0</v>
      </c>
      <c r="AU178" s="97"/>
      <c r="AV178" s="97">
        <f t="shared" ref="AV178" si="1228">O178*AU178*$AV$2/1000</f>
        <v>0</v>
      </c>
      <c r="AW178" s="97">
        <v>0.112</v>
      </c>
      <c r="AX178" s="97">
        <f t="shared" ref="AX178" si="1229">O178*AW178*$AX$2/1000</f>
        <v>1.2494645856000002</v>
      </c>
      <c r="AY178" s="97">
        <f t="shared" ref="AY178" si="1230">SUM(AS178+AU178+AW178)</f>
        <v>0.112</v>
      </c>
      <c r="AZ178" s="97">
        <f t="shared" ref="AZ178" si="1231">SUM(AT178+AV178+AX178)</f>
        <v>1.2494645856000002</v>
      </c>
      <c r="BA178" s="97">
        <f t="shared" ref="BA178" si="1232">SUM(AQ178+AY178)</f>
        <v>0.112</v>
      </c>
      <c r="BB178" s="97">
        <f t="shared" ref="BB178" si="1233">SUM(AR178,AZ178)</f>
        <v>1.2494645856000002</v>
      </c>
      <c r="BC178" s="1" t="s">
        <v>1782</v>
      </c>
    </row>
    <row r="179" spans="1:55">
      <c r="A179" s="498">
        <v>127</v>
      </c>
      <c r="B179" s="13"/>
      <c r="C179" s="23"/>
      <c r="D179" s="36"/>
      <c r="E179" s="21" t="s">
        <v>1760</v>
      </c>
      <c r="F179" s="46"/>
      <c r="G179" s="46" t="s">
        <v>1105</v>
      </c>
      <c r="H179" s="268" t="s">
        <v>367</v>
      </c>
      <c r="I179" s="18">
        <v>6.9</v>
      </c>
      <c r="J179" s="158"/>
      <c r="K179" s="18">
        <v>6.9</v>
      </c>
      <c r="L179" s="158"/>
      <c r="M179" s="18">
        <v>6.9</v>
      </c>
      <c r="N179" s="158"/>
      <c r="O179" s="18">
        <v>6.9</v>
      </c>
      <c r="P179" s="158"/>
      <c r="Q179" s="97">
        <f t="shared" ref="Q179" si="1234">SUM(AI179+BA179)</f>
        <v>5.6000000000000001E-2</v>
      </c>
      <c r="R179" s="342">
        <f t="shared" ref="R179" si="1235">SUM(AJ179+BB179)</f>
        <v>0.52922503200000004</v>
      </c>
      <c r="S179" s="97"/>
      <c r="T179" s="97">
        <f t="shared" si="1164"/>
        <v>0</v>
      </c>
      <c r="U179" s="97"/>
      <c r="V179" s="97">
        <f t="shared" si="1165"/>
        <v>0</v>
      </c>
      <c r="W179" s="97"/>
      <c r="X179" s="97">
        <f t="shared" si="1166"/>
        <v>0</v>
      </c>
      <c r="Y179" s="97">
        <f t="shared" si="1167"/>
        <v>0</v>
      </c>
      <c r="Z179" s="97">
        <f t="shared" ref="Z179" si="1236">SUM(T179+V179+X179)</f>
        <v>0</v>
      </c>
      <c r="AA179" s="97"/>
      <c r="AB179" s="97">
        <f t="shared" ref="AB179" si="1237">K179*AA179*$AB$2/1000</f>
        <v>0</v>
      </c>
      <c r="AC179" s="97">
        <v>5.6000000000000001E-2</v>
      </c>
      <c r="AD179" s="97">
        <f t="shared" si="1168"/>
        <v>0.52922503200000004</v>
      </c>
      <c r="AE179" s="97"/>
      <c r="AF179" s="96">
        <f t="shared" si="1169"/>
        <v>0</v>
      </c>
      <c r="AG179" s="97">
        <f t="shared" ref="AG179" si="1238">SUM(AA179+AC179+AE179)</f>
        <v>5.6000000000000001E-2</v>
      </c>
      <c r="AH179" s="97">
        <f t="shared" si="1170"/>
        <v>0.52922503200000004</v>
      </c>
      <c r="AI179" s="97">
        <f t="shared" si="1171"/>
        <v>5.6000000000000001E-2</v>
      </c>
      <c r="AJ179" s="97">
        <f t="shared" si="1172"/>
        <v>0.52922503200000004</v>
      </c>
      <c r="AK179" s="97"/>
      <c r="AL179" s="97">
        <f t="shared" si="1183"/>
        <v>0</v>
      </c>
      <c r="AM179" s="97"/>
      <c r="AN179" s="97">
        <f t="shared" si="1184"/>
        <v>0</v>
      </c>
      <c r="AO179" s="97"/>
      <c r="AP179" s="97">
        <f t="shared" si="1173"/>
        <v>0</v>
      </c>
      <c r="AQ179" s="97">
        <f t="shared" si="1174"/>
        <v>0</v>
      </c>
      <c r="AR179" s="97">
        <f t="shared" ref="AR179" si="1239">SUM(AL179+AN179+AP179)</f>
        <v>0</v>
      </c>
      <c r="AS179" s="97"/>
      <c r="AT179" s="97">
        <f t="shared" si="1175"/>
        <v>0</v>
      </c>
      <c r="AU179" s="97"/>
      <c r="AV179" s="97">
        <f t="shared" si="1176"/>
        <v>0</v>
      </c>
      <c r="AW179" s="97"/>
      <c r="AX179" s="97">
        <f t="shared" si="1177"/>
        <v>0</v>
      </c>
      <c r="AY179" s="97">
        <f t="shared" si="1178"/>
        <v>0</v>
      </c>
      <c r="AZ179" s="97">
        <f t="shared" ref="AZ179" si="1240">SUM(AT179+AV179+AX179)</f>
        <v>0</v>
      </c>
      <c r="BA179" s="97">
        <f t="shared" si="1179"/>
        <v>0</v>
      </c>
      <c r="BB179" s="97">
        <f t="shared" si="1180"/>
        <v>0</v>
      </c>
      <c r="BC179" s="1" t="s">
        <v>1782</v>
      </c>
    </row>
    <row r="180" spans="1:55">
      <c r="A180" s="498">
        <v>126</v>
      </c>
      <c r="B180" s="13"/>
      <c r="C180" s="13"/>
      <c r="D180" s="15"/>
      <c r="E180" s="21" t="s">
        <v>1588</v>
      </c>
      <c r="F180" s="46" t="s">
        <v>1589</v>
      </c>
      <c r="G180" s="46" t="s">
        <v>1105</v>
      </c>
      <c r="H180" s="268" t="s">
        <v>366</v>
      </c>
      <c r="I180" s="55">
        <v>8.16</v>
      </c>
      <c r="J180" s="158"/>
      <c r="K180" s="55">
        <v>8.16</v>
      </c>
      <c r="L180" s="158"/>
      <c r="M180" s="55">
        <v>8.16</v>
      </c>
      <c r="N180" s="158"/>
      <c r="O180" s="55">
        <v>8.16</v>
      </c>
      <c r="P180" s="158"/>
      <c r="Q180" s="97">
        <f t="shared" ref="Q180:Q184" si="1241">SUM(AI180+BA180)</f>
        <v>0.36</v>
      </c>
      <c r="R180" s="342">
        <f t="shared" ref="R180:R184" si="1242">SUM(AJ180+BB180)</f>
        <v>4.0504510079999996</v>
      </c>
      <c r="S180" s="97"/>
      <c r="T180" s="97">
        <f t="shared" ref="T180:T184" si="1243">I180*S180*$T$2/1000</f>
        <v>0</v>
      </c>
      <c r="U180" s="97"/>
      <c r="V180" s="97">
        <f t="shared" ref="V180:V184" si="1244">I180*U180*$V$2/1000</f>
        <v>0</v>
      </c>
      <c r="W180" s="97"/>
      <c r="X180" s="97">
        <f t="shared" ref="X180:X184" si="1245">I180*W180*$X$2/1000</f>
        <v>0</v>
      </c>
      <c r="Y180" s="97">
        <f t="shared" ref="Y180:Y184" si="1246">SUM(S180+U180+W180)</f>
        <v>0</v>
      </c>
      <c r="Z180" s="97">
        <f t="shared" ref="Z180:Z184" si="1247">SUM(T180+V180+X180)</f>
        <v>0</v>
      </c>
      <c r="AA180" s="97"/>
      <c r="AB180" s="97">
        <f t="shared" ref="AB180:AB184" si="1248">K180*AA180*$AB$2/1000</f>
        <v>0</v>
      </c>
      <c r="AC180" s="97"/>
      <c r="AD180" s="97">
        <f t="shared" ref="AD180:AD184" si="1249">K180*AC180*$AD$2/1000</f>
        <v>0</v>
      </c>
      <c r="AE180" s="97">
        <v>0.36</v>
      </c>
      <c r="AF180" s="96">
        <f t="shared" ref="AF180:AF184" si="1250">K180*AE180*$AF$2/1000</f>
        <v>4.0504510079999996</v>
      </c>
      <c r="AG180" s="97">
        <f t="shared" ref="AG180:AG184" si="1251">SUM(AA180+AC180+AE180)</f>
        <v>0.36</v>
      </c>
      <c r="AH180" s="97">
        <f t="shared" ref="AH180:AH184" si="1252">SUM(AB180+AD180+AF180)</f>
        <v>4.0504510079999996</v>
      </c>
      <c r="AI180" s="97">
        <f t="shared" ref="AI180:AI184" si="1253">SUM(Y180+AG180)</f>
        <v>0.36</v>
      </c>
      <c r="AJ180" s="97">
        <f t="shared" ref="AJ180:AJ184" si="1254">SUM(Z180,AH180)</f>
        <v>4.0504510079999996</v>
      </c>
      <c r="AK180" s="97"/>
      <c r="AL180" s="97">
        <f t="shared" si="1183"/>
        <v>0</v>
      </c>
      <c r="AM180" s="97"/>
      <c r="AN180" s="97">
        <f t="shared" si="1184"/>
        <v>0</v>
      </c>
      <c r="AO180" s="97"/>
      <c r="AP180" s="97">
        <f t="shared" ref="AP180:AP184" si="1255">M180*AO180*$AP$2/1000</f>
        <v>0</v>
      </c>
      <c r="AQ180" s="97">
        <f t="shared" ref="AQ180:AQ184" si="1256">SUM(AK180+AM180+AO180)</f>
        <v>0</v>
      </c>
      <c r="AR180" s="97">
        <f t="shared" ref="AR180:AR184" si="1257">SUM(AL180+AN180+AP180)</f>
        <v>0</v>
      </c>
      <c r="AS180" s="97"/>
      <c r="AT180" s="97">
        <f t="shared" ref="AT180:AT184" si="1258">O180*AS180*$AT$2/1000</f>
        <v>0</v>
      </c>
      <c r="AU180" s="97"/>
      <c r="AV180" s="97">
        <f t="shared" ref="AV180:AV184" si="1259">O180*AU180*$AV$2/1000</f>
        <v>0</v>
      </c>
      <c r="AW180" s="97"/>
      <c r="AX180" s="97">
        <f t="shared" ref="AX180:AX184" si="1260">O180*AW180*$AX$2/1000</f>
        <v>0</v>
      </c>
      <c r="AY180" s="97">
        <f t="shared" ref="AY180:AY184" si="1261">SUM(AS180+AU180+AW180)</f>
        <v>0</v>
      </c>
      <c r="AZ180" s="97">
        <f t="shared" ref="AZ180:AZ184" si="1262">SUM(AT180+AV180+AX180)</f>
        <v>0</v>
      </c>
      <c r="BA180" s="97">
        <f t="shared" ref="BA180:BA184" si="1263">SUM(AQ180+AY180)</f>
        <v>0</v>
      </c>
      <c r="BB180" s="97">
        <f t="shared" ref="BB180:BB184" si="1264">SUM(AR180,AZ180)</f>
        <v>0</v>
      </c>
      <c r="BC180" s="1" t="s">
        <v>1782</v>
      </c>
    </row>
    <row r="181" spans="1:55">
      <c r="A181" s="498">
        <v>126</v>
      </c>
      <c r="B181" s="13"/>
      <c r="C181" s="13"/>
      <c r="D181" s="15"/>
      <c r="E181" s="21" t="s">
        <v>1741</v>
      </c>
      <c r="F181" s="46" t="s">
        <v>1007</v>
      </c>
      <c r="G181" s="46" t="s">
        <v>1105</v>
      </c>
      <c r="H181" s="268" t="s">
        <v>366</v>
      </c>
      <c r="I181" s="55">
        <v>10.68</v>
      </c>
      <c r="J181" s="158"/>
      <c r="K181" s="55">
        <v>10.68</v>
      </c>
      <c r="L181" s="158"/>
      <c r="M181" s="55">
        <v>10.68</v>
      </c>
      <c r="N181" s="158"/>
      <c r="O181" s="55">
        <v>10.68</v>
      </c>
      <c r="P181" s="158"/>
      <c r="Q181" s="97">
        <f t="shared" ref="Q181" si="1265">SUM(AI181+BA181)</f>
        <v>0.108</v>
      </c>
      <c r="R181" s="342">
        <f t="shared" ref="R181" si="1266">SUM(AJ181+BB181)</f>
        <v>1.5797860272000002</v>
      </c>
      <c r="S181" s="97"/>
      <c r="T181" s="97">
        <f t="shared" ref="T181" si="1267">I181*S181*$T$2/1000</f>
        <v>0</v>
      </c>
      <c r="U181" s="97"/>
      <c r="V181" s="97">
        <f t="shared" ref="V181" si="1268">I181*U181*$V$2/1000</f>
        <v>0</v>
      </c>
      <c r="W181" s="97"/>
      <c r="X181" s="97">
        <f t="shared" ref="X181" si="1269">I181*W181*$X$2/1000</f>
        <v>0</v>
      </c>
      <c r="Y181" s="97">
        <f t="shared" ref="Y181" si="1270">SUM(S181+U181+W181)</f>
        <v>0</v>
      </c>
      <c r="Z181" s="97">
        <f t="shared" ref="Z181" si="1271">SUM(T181+V181+X181)</f>
        <v>0</v>
      </c>
      <c r="AA181" s="97"/>
      <c r="AB181" s="97">
        <f t="shared" ref="AB181" si="1272">K181*AA181*$AB$2/1000</f>
        <v>0</v>
      </c>
      <c r="AC181" s="97">
        <v>0.108</v>
      </c>
      <c r="AD181" s="97">
        <f t="shared" ref="AD181" si="1273">K181*AC181*$AD$2/1000</f>
        <v>1.5797860272000002</v>
      </c>
      <c r="AE181" s="97"/>
      <c r="AF181" s="96">
        <f t="shared" ref="AF181" si="1274">K181*AE181*$AF$2/1000</f>
        <v>0</v>
      </c>
      <c r="AG181" s="97">
        <f t="shared" ref="AG181" si="1275">SUM(AA181+AC181+AE181)</f>
        <v>0.108</v>
      </c>
      <c r="AH181" s="97">
        <f t="shared" ref="AH181" si="1276">SUM(AB181+AD181+AF181)</f>
        <v>1.5797860272000002</v>
      </c>
      <c r="AI181" s="97">
        <f t="shared" ref="AI181" si="1277">SUM(Y181+AG181)</f>
        <v>0.108</v>
      </c>
      <c r="AJ181" s="97">
        <f t="shared" ref="AJ181" si="1278">SUM(Z181,AH181)</f>
        <v>1.5797860272000002</v>
      </c>
      <c r="AK181" s="97"/>
      <c r="AL181" s="97">
        <f t="shared" ref="AL181" si="1279">M181*AK181*$AL$2/1000</f>
        <v>0</v>
      </c>
      <c r="AM181" s="97"/>
      <c r="AN181" s="97">
        <f t="shared" ref="AN181" si="1280">M181*AM181*$AN$2/1000</f>
        <v>0</v>
      </c>
      <c r="AO181" s="97"/>
      <c r="AP181" s="97">
        <f t="shared" ref="AP181" si="1281">M181*AO181*$AP$2/1000</f>
        <v>0</v>
      </c>
      <c r="AQ181" s="97">
        <f t="shared" ref="AQ181" si="1282">SUM(AK181+AM181+AO181)</f>
        <v>0</v>
      </c>
      <c r="AR181" s="97">
        <f t="shared" ref="AR181" si="1283">SUM(AL181+AN181+AP181)</f>
        <v>0</v>
      </c>
      <c r="AS181" s="97"/>
      <c r="AT181" s="97">
        <f t="shared" ref="AT181" si="1284">O181*AS181*$AT$2/1000</f>
        <v>0</v>
      </c>
      <c r="AU181" s="97"/>
      <c r="AV181" s="97">
        <f t="shared" ref="AV181" si="1285">O181*AU181*$AV$2/1000</f>
        <v>0</v>
      </c>
      <c r="AW181" s="97"/>
      <c r="AX181" s="97">
        <f t="shared" ref="AX181" si="1286">O181*AW181*$AX$2/1000</f>
        <v>0</v>
      </c>
      <c r="AY181" s="97">
        <f t="shared" ref="AY181" si="1287">SUM(AS181+AU181+AW181)</f>
        <v>0</v>
      </c>
      <c r="AZ181" s="97">
        <f t="shared" ref="AZ181" si="1288">SUM(AT181+AV181+AX181)</f>
        <v>0</v>
      </c>
      <c r="BA181" s="97">
        <f t="shared" ref="BA181" si="1289">SUM(AQ181+AY181)</f>
        <v>0</v>
      </c>
      <c r="BB181" s="97">
        <f t="shared" ref="BB181" si="1290">SUM(AR181,AZ181)</f>
        <v>0</v>
      </c>
      <c r="BC181" s="1" t="s">
        <v>1782</v>
      </c>
    </row>
    <row r="182" spans="1:55">
      <c r="A182" s="498">
        <v>127</v>
      </c>
      <c r="B182" s="13"/>
      <c r="C182" s="23"/>
      <c r="D182" s="36"/>
      <c r="E182" s="21" t="s">
        <v>1646</v>
      </c>
      <c r="F182" s="46"/>
      <c r="G182" s="46" t="s">
        <v>1105</v>
      </c>
      <c r="H182" s="268" t="s">
        <v>367</v>
      </c>
      <c r="I182" s="18">
        <v>8.16</v>
      </c>
      <c r="J182" s="158"/>
      <c r="K182" s="18">
        <v>8.16</v>
      </c>
      <c r="L182" s="158"/>
      <c r="M182" s="18">
        <v>8.16</v>
      </c>
      <c r="N182" s="158"/>
      <c r="O182" s="18">
        <v>8.16</v>
      </c>
      <c r="P182" s="158"/>
      <c r="Q182" s="97">
        <f t="shared" ref="Q182" si="1291">SUM(AI182+BA182)</f>
        <v>0</v>
      </c>
      <c r="R182" s="342">
        <f t="shared" ref="R182" si="1292">SUM(AJ182+BB182)</f>
        <v>0</v>
      </c>
      <c r="S182" s="97"/>
      <c r="T182" s="97">
        <f t="shared" ref="T182" si="1293">I182*S182*$T$2/1000</f>
        <v>0</v>
      </c>
      <c r="U182" s="97"/>
      <c r="V182" s="97">
        <f t="shared" ref="V182" si="1294">I182*U182*$V$2/1000</f>
        <v>0</v>
      </c>
      <c r="W182" s="97"/>
      <c r="X182" s="97">
        <f t="shared" ref="X182" si="1295">I182*W182*$X$2/1000</f>
        <v>0</v>
      </c>
      <c r="Y182" s="97">
        <f t="shared" ref="Y182" si="1296">SUM(S182+U182+W182)</f>
        <v>0</v>
      </c>
      <c r="Z182" s="97">
        <f t="shared" ref="Z182" si="1297">SUM(T182+V182+X182)</f>
        <v>0</v>
      </c>
      <c r="AA182" s="97"/>
      <c r="AB182" s="97">
        <f t="shared" ref="AB182" si="1298">K182*AA182*$AB$2/1000</f>
        <v>0</v>
      </c>
      <c r="AC182" s="97"/>
      <c r="AD182" s="97">
        <f t="shared" ref="AD182" si="1299">K182*AC182*$AD$2/1000</f>
        <v>0</v>
      </c>
      <c r="AE182" s="97"/>
      <c r="AF182" s="96">
        <f t="shared" ref="AF182" si="1300">K182*AE182*$AF$2/1000</f>
        <v>0</v>
      </c>
      <c r="AG182" s="97">
        <f t="shared" ref="AG182" si="1301">SUM(AA182+AC182+AE182)</f>
        <v>0</v>
      </c>
      <c r="AH182" s="97">
        <f t="shared" ref="AH182" si="1302">SUM(AB182+AD182+AF182)</f>
        <v>0</v>
      </c>
      <c r="AI182" s="97">
        <f t="shared" ref="AI182" si="1303">SUM(Y182+AG182)</f>
        <v>0</v>
      </c>
      <c r="AJ182" s="97">
        <f t="shared" ref="AJ182" si="1304">SUM(Z182,AH182)</f>
        <v>0</v>
      </c>
      <c r="AK182" s="97"/>
      <c r="AL182" s="97">
        <f t="shared" si="1183"/>
        <v>0</v>
      </c>
      <c r="AM182" s="97"/>
      <c r="AN182" s="97">
        <f t="shared" si="1184"/>
        <v>0</v>
      </c>
      <c r="AO182" s="97"/>
      <c r="AP182" s="97">
        <f t="shared" ref="AP182" si="1305">M182*AO182*$AP$2/1000</f>
        <v>0</v>
      </c>
      <c r="AQ182" s="97">
        <f t="shared" ref="AQ182" si="1306">SUM(AK182+AM182+AO182)</f>
        <v>0</v>
      </c>
      <c r="AR182" s="97">
        <f t="shared" ref="AR182" si="1307">SUM(AL182+AN182+AP182)</f>
        <v>0</v>
      </c>
      <c r="AS182" s="97"/>
      <c r="AT182" s="97">
        <f t="shared" ref="AT182" si="1308">O182*AS182*$AT$2/1000</f>
        <v>0</v>
      </c>
      <c r="AU182" s="97"/>
      <c r="AV182" s="97">
        <f t="shared" ref="AV182" si="1309">O182*AU182*$AV$2/1000</f>
        <v>0</v>
      </c>
      <c r="AW182" s="97"/>
      <c r="AX182" s="97">
        <f t="shared" ref="AX182" si="1310">O182*AW182*$AX$2/1000</f>
        <v>0</v>
      </c>
      <c r="AY182" s="97">
        <f t="shared" ref="AY182" si="1311">SUM(AS182+AU182+AW182)</f>
        <v>0</v>
      </c>
      <c r="AZ182" s="97">
        <f t="shared" ref="AZ182" si="1312">SUM(AT182+AV182+AX182)</f>
        <v>0</v>
      </c>
      <c r="BA182" s="97">
        <f t="shared" ref="BA182" si="1313">SUM(AQ182+AY182)</f>
        <v>0</v>
      </c>
      <c r="BB182" s="97">
        <f t="shared" ref="BB182" si="1314">SUM(AR182,AZ182)</f>
        <v>0</v>
      </c>
      <c r="BC182" s="1" t="s">
        <v>1782</v>
      </c>
    </row>
    <row r="183" spans="1:55">
      <c r="A183" s="498">
        <v>127</v>
      </c>
      <c r="B183" s="13"/>
      <c r="C183" s="23"/>
      <c r="D183" s="36"/>
      <c r="E183" s="21" t="s">
        <v>1647</v>
      </c>
      <c r="F183" s="46"/>
      <c r="G183" s="46" t="s">
        <v>1105</v>
      </c>
      <c r="H183" s="268" t="s">
        <v>367</v>
      </c>
      <c r="I183" s="18">
        <v>7.32</v>
      </c>
      <c r="J183" s="158"/>
      <c r="K183" s="18">
        <v>7.32</v>
      </c>
      <c r="L183" s="158"/>
      <c r="M183" s="18">
        <v>7.32</v>
      </c>
      <c r="N183" s="158"/>
      <c r="O183" s="18">
        <v>7.32</v>
      </c>
      <c r="P183" s="158"/>
      <c r="Q183" s="97">
        <f t="shared" si="1241"/>
        <v>0</v>
      </c>
      <c r="R183" s="342">
        <f t="shared" si="1242"/>
        <v>0</v>
      </c>
      <c r="S183" s="97"/>
      <c r="T183" s="97">
        <f t="shared" si="1243"/>
        <v>0</v>
      </c>
      <c r="U183" s="97"/>
      <c r="V183" s="97">
        <f t="shared" si="1244"/>
        <v>0</v>
      </c>
      <c r="W183" s="97"/>
      <c r="X183" s="97">
        <f t="shared" si="1245"/>
        <v>0</v>
      </c>
      <c r="Y183" s="97">
        <f t="shared" si="1246"/>
        <v>0</v>
      </c>
      <c r="Z183" s="97">
        <f t="shared" si="1247"/>
        <v>0</v>
      </c>
      <c r="AA183" s="97"/>
      <c r="AB183" s="97">
        <f t="shared" si="1248"/>
        <v>0</v>
      </c>
      <c r="AC183" s="97"/>
      <c r="AD183" s="97">
        <f t="shared" si="1249"/>
        <v>0</v>
      </c>
      <c r="AE183" s="97"/>
      <c r="AF183" s="96">
        <f t="shared" si="1250"/>
        <v>0</v>
      </c>
      <c r="AG183" s="97">
        <f t="shared" si="1251"/>
        <v>0</v>
      </c>
      <c r="AH183" s="97">
        <f t="shared" si="1252"/>
        <v>0</v>
      </c>
      <c r="AI183" s="97">
        <f t="shared" si="1253"/>
        <v>0</v>
      </c>
      <c r="AJ183" s="97">
        <f t="shared" si="1254"/>
        <v>0</v>
      </c>
      <c r="AK183" s="97"/>
      <c r="AL183" s="97">
        <f t="shared" ref="AL183:AL184" si="1315">M183*AK183*$AL$2/1000</f>
        <v>0</v>
      </c>
      <c r="AM183" s="97"/>
      <c r="AN183" s="97">
        <f t="shared" ref="AN183:AN184" si="1316">M183*AM183*$AN$2/1000</f>
        <v>0</v>
      </c>
      <c r="AO183" s="97"/>
      <c r="AP183" s="97">
        <f t="shared" si="1255"/>
        <v>0</v>
      </c>
      <c r="AQ183" s="97">
        <f t="shared" si="1256"/>
        <v>0</v>
      </c>
      <c r="AR183" s="97">
        <f t="shared" si="1257"/>
        <v>0</v>
      </c>
      <c r="AS183" s="97"/>
      <c r="AT183" s="97">
        <f t="shared" si="1258"/>
        <v>0</v>
      </c>
      <c r="AU183" s="97"/>
      <c r="AV183" s="97">
        <f t="shared" si="1259"/>
        <v>0</v>
      </c>
      <c r="AW183" s="97"/>
      <c r="AX183" s="97">
        <f t="shared" si="1260"/>
        <v>0</v>
      </c>
      <c r="AY183" s="97">
        <f t="shared" si="1261"/>
        <v>0</v>
      </c>
      <c r="AZ183" s="97">
        <f t="shared" si="1262"/>
        <v>0</v>
      </c>
      <c r="BA183" s="97">
        <f t="shared" si="1263"/>
        <v>0</v>
      </c>
      <c r="BB183" s="97">
        <f t="shared" si="1264"/>
        <v>0</v>
      </c>
      <c r="BC183" s="1" t="s">
        <v>1782</v>
      </c>
    </row>
    <row r="184" spans="1:55">
      <c r="A184" s="498">
        <v>127</v>
      </c>
      <c r="B184" s="13"/>
      <c r="C184" s="23"/>
      <c r="D184" s="36"/>
      <c r="E184" s="21" t="s">
        <v>1670</v>
      </c>
      <c r="F184" s="46"/>
      <c r="G184" s="46" t="s">
        <v>1105</v>
      </c>
      <c r="H184" s="268" t="s">
        <v>366</v>
      </c>
      <c r="I184" s="18">
        <v>10.68</v>
      </c>
      <c r="J184" s="158"/>
      <c r="K184" s="18">
        <v>10.68</v>
      </c>
      <c r="L184" s="158"/>
      <c r="M184" s="18">
        <v>10.68</v>
      </c>
      <c r="N184" s="158"/>
      <c r="O184" s="18">
        <v>10.68</v>
      </c>
      <c r="P184" s="158"/>
      <c r="Q184" s="97">
        <f t="shared" si="1241"/>
        <v>2.056</v>
      </c>
      <c r="R184" s="342">
        <f t="shared" si="1242"/>
        <v>30.201197059199998</v>
      </c>
      <c r="S184" s="97">
        <v>5.6000000000000001E-2</v>
      </c>
      <c r="T184" s="97">
        <f t="shared" si="1243"/>
        <v>0.79059597120000003</v>
      </c>
      <c r="U184" s="97"/>
      <c r="V184" s="97">
        <f t="shared" si="1244"/>
        <v>0</v>
      </c>
      <c r="W184" s="97">
        <v>0.08</v>
      </c>
      <c r="X184" s="97">
        <f t="shared" si="1245"/>
        <v>1.13686464</v>
      </c>
      <c r="Y184" s="97">
        <f t="shared" si="1246"/>
        <v>0.13600000000000001</v>
      </c>
      <c r="Z184" s="97">
        <f t="shared" si="1247"/>
        <v>1.9274606111999999</v>
      </c>
      <c r="AA184" s="97"/>
      <c r="AB184" s="97">
        <f t="shared" si="1248"/>
        <v>0</v>
      </c>
      <c r="AC184" s="97"/>
      <c r="AD184" s="97">
        <f t="shared" si="1249"/>
        <v>0</v>
      </c>
      <c r="AE184" s="97">
        <v>1.92</v>
      </c>
      <c r="AF184" s="96">
        <f t="shared" si="1250"/>
        <v>28.273736447999998</v>
      </c>
      <c r="AG184" s="97">
        <f t="shared" si="1251"/>
        <v>1.92</v>
      </c>
      <c r="AH184" s="97">
        <f t="shared" si="1252"/>
        <v>28.273736447999998</v>
      </c>
      <c r="AI184" s="97">
        <f t="shared" si="1253"/>
        <v>2.056</v>
      </c>
      <c r="AJ184" s="97">
        <f t="shared" si="1254"/>
        <v>30.201197059199998</v>
      </c>
      <c r="AK184" s="97"/>
      <c r="AL184" s="97">
        <f t="shared" si="1315"/>
        <v>0</v>
      </c>
      <c r="AM184" s="97"/>
      <c r="AN184" s="97">
        <f t="shared" si="1316"/>
        <v>0</v>
      </c>
      <c r="AO184" s="97"/>
      <c r="AP184" s="97">
        <f t="shared" si="1255"/>
        <v>0</v>
      </c>
      <c r="AQ184" s="97">
        <f t="shared" si="1256"/>
        <v>0</v>
      </c>
      <c r="AR184" s="97">
        <f t="shared" si="1257"/>
        <v>0</v>
      </c>
      <c r="AS184" s="97"/>
      <c r="AT184" s="97">
        <f t="shared" si="1258"/>
        <v>0</v>
      </c>
      <c r="AU184" s="97"/>
      <c r="AV184" s="97">
        <f t="shared" si="1259"/>
        <v>0</v>
      </c>
      <c r="AW184" s="97"/>
      <c r="AX184" s="97">
        <f t="shared" si="1260"/>
        <v>0</v>
      </c>
      <c r="AY184" s="97">
        <f t="shared" si="1261"/>
        <v>0</v>
      </c>
      <c r="AZ184" s="97">
        <f t="shared" si="1262"/>
        <v>0</v>
      </c>
      <c r="BA184" s="97">
        <f t="shared" si="1263"/>
        <v>0</v>
      </c>
      <c r="BB184" s="97">
        <f t="shared" si="1264"/>
        <v>0</v>
      </c>
      <c r="BC184" s="1" t="s">
        <v>1782</v>
      </c>
    </row>
    <row r="185" spans="1:55">
      <c r="A185" s="498">
        <v>127</v>
      </c>
      <c r="B185" s="13"/>
      <c r="C185" s="23"/>
      <c r="D185" s="36"/>
      <c r="E185" s="21" t="s">
        <v>1731</v>
      </c>
      <c r="F185" s="46" t="s">
        <v>1732</v>
      </c>
      <c r="G185" s="46" t="s">
        <v>1105</v>
      </c>
      <c r="H185" s="268" t="s">
        <v>367</v>
      </c>
      <c r="I185" s="18">
        <v>41.9</v>
      </c>
      <c r="J185" s="158"/>
      <c r="K185" s="18">
        <v>41.9</v>
      </c>
      <c r="L185" s="158"/>
      <c r="M185" s="18">
        <v>28.5</v>
      </c>
      <c r="N185" s="158"/>
      <c r="O185" s="18">
        <v>28.5</v>
      </c>
      <c r="P185" s="158"/>
      <c r="Q185" s="97">
        <f t="shared" si="1163"/>
        <v>0.78700000000000003</v>
      </c>
      <c r="R185" s="342">
        <f t="shared" si="1163"/>
        <v>32.070467702000002</v>
      </c>
      <c r="S185" s="97"/>
      <c r="T185" s="97">
        <f t="shared" si="932"/>
        <v>0</v>
      </c>
      <c r="U185" s="97"/>
      <c r="V185" s="97">
        <f t="shared" si="933"/>
        <v>0</v>
      </c>
      <c r="W185" s="97"/>
      <c r="X185" s="97">
        <f t="shared" si="934"/>
        <v>0</v>
      </c>
      <c r="Y185" s="97">
        <f t="shared" si="935"/>
        <v>0</v>
      </c>
      <c r="Z185" s="97">
        <f t="shared" si="936"/>
        <v>0</v>
      </c>
      <c r="AA185" s="97"/>
      <c r="AB185" s="97">
        <f t="shared" si="937"/>
        <v>0</v>
      </c>
      <c r="AC185" s="97">
        <v>2.1999999999999999E-2</v>
      </c>
      <c r="AD185" s="97">
        <f t="shared" si="938"/>
        <v>1.262524934</v>
      </c>
      <c r="AE185" s="97">
        <v>5.3999999999999999E-2</v>
      </c>
      <c r="AF185" s="96">
        <f t="shared" si="955"/>
        <v>3.1197407579999998</v>
      </c>
      <c r="AG185" s="97">
        <f t="shared" si="939"/>
        <v>7.5999999999999998E-2</v>
      </c>
      <c r="AH185" s="97">
        <f t="shared" si="940"/>
        <v>4.3822656919999998</v>
      </c>
      <c r="AI185" s="97">
        <f t="shared" si="941"/>
        <v>7.5999999999999998E-2</v>
      </c>
      <c r="AJ185" s="97">
        <f t="shared" si="942"/>
        <v>4.3822656919999998</v>
      </c>
      <c r="AK185" s="97"/>
      <c r="AL185" s="97">
        <f t="shared" si="943"/>
        <v>0</v>
      </c>
      <c r="AM185" s="97">
        <v>7.0000000000000007E-2</v>
      </c>
      <c r="AN185" s="97">
        <f t="shared" si="944"/>
        <v>2.7153944999999999</v>
      </c>
      <c r="AO185" s="97">
        <v>2E-3</v>
      </c>
      <c r="AP185" s="97">
        <f t="shared" ref="AP185:AP195" si="1317">M185*AO185*$AP$2/1000</f>
        <v>7.5946230000000017E-2</v>
      </c>
      <c r="AQ185" s="97">
        <f t="shared" si="946"/>
        <v>7.2000000000000008E-2</v>
      </c>
      <c r="AR185" s="97">
        <f t="shared" si="947"/>
        <v>2.7913407299999999</v>
      </c>
      <c r="AS185" s="97">
        <v>0.46500000000000002</v>
      </c>
      <c r="AT185" s="97">
        <f t="shared" si="948"/>
        <v>17.995569750000001</v>
      </c>
      <c r="AU185" s="97">
        <v>0.17399999999999999</v>
      </c>
      <c r="AV185" s="97">
        <f t="shared" si="949"/>
        <v>6.90129153</v>
      </c>
      <c r="AW185" s="97"/>
      <c r="AX185" s="97">
        <f t="shared" si="950"/>
        <v>0</v>
      </c>
      <c r="AY185" s="97">
        <f t="shared" si="951"/>
        <v>0.63900000000000001</v>
      </c>
      <c r="AZ185" s="97">
        <f t="shared" si="952"/>
        <v>24.896861280000003</v>
      </c>
      <c r="BA185" s="97">
        <f t="shared" si="953"/>
        <v>0.71100000000000008</v>
      </c>
      <c r="BB185" s="97">
        <f t="shared" si="954"/>
        <v>27.688202010000005</v>
      </c>
      <c r="BC185" s="1" t="s">
        <v>1782</v>
      </c>
    </row>
    <row r="186" spans="1:55" ht="11.25" customHeight="1">
      <c r="A186" s="498">
        <v>128</v>
      </c>
      <c r="B186" s="13"/>
      <c r="C186" s="23"/>
      <c r="D186" s="36"/>
      <c r="E186" s="21" t="s">
        <v>1811</v>
      </c>
      <c r="F186" s="46"/>
      <c r="G186" s="46" t="s">
        <v>1105</v>
      </c>
      <c r="H186" s="268" t="s">
        <v>367</v>
      </c>
      <c r="I186" s="18"/>
      <c r="J186" s="158"/>
      <c r="K186" s="18"/>
      <c r="L186" s="158"/>
      <c r="M186" s="18">
        <v>5.72</v>
      </c>
      <c r="N186" s="158"/>
      <c r="O186" s="18">
        <v>5.72</v>
      </c>
      <c r="P186" s="158"/>
      <c r="Q186" s="97">
        <f>SUM(AI186+BA186)</f>
        <v>1.8150000000000002</v>
      </c>
      <c r="R186" s="342">
        <f t="shared" ref="R186" si="1318">SUM(AJ186+BB186)</f>
        <v>14.386903159200001</v>
      </c>
      <c r="S186" s="97"/>
      <c r="T186" s="97">
        <f t="shared" ref="T186" si="1319">I186*S186*$T$2/1000</f>
        <v>0</v>
      </c>
      <c r="U186" s="97"/>
      <c r="V186" s="97">
        <f t="shared" ref="V186" si="1320">I186*U186*$V$2/1000</f>
        <v>0</v>
      </c>
      <c r="W186" s="97"/>
      <c r="X186" s="97">
        <f t="shared" ref="X186" si="1321">I186*W186*$X$2/1000</f>
        <v>0</v>
      </c>
      <c r="Y186" s="97">
        <f t="shared" ref="Y186" si="1322">SUM(S186+U186+W186)</f>
        <v>0</v>
      </c>
      <c r="Z186" s="97">
        <f t="shared" ref="Z186" si="1323">SUM(T186+V186+X186)</f>
        <v>0</v>
      </c>
      <c r="AA186" s="97"/>
      <c r="AB186" s="97">
        <f t="shared" si="937"/>
        <v>0</v>
      </c>
      <c r="AC186" s="97"/>
      <c r="AD186" s="97">
        <f t="shared" ref="AD186" si="1324">K186*AC186*$AD$2/1000</f>
        <v>0</v>
      </c>
      <c r="AE186" s="97"/>
      <c r="AF186" s="96">
        <f t="shared" si="955"/>
        <v>0</v>
      </c>
      <c r="AG186" s="97">
        <f t="shared" ref="AG186" si="1325">SUM(AA186+AC186+AE186)</f>
        <v>0</v>
      </c>
      <c r="AH186" s="97">
        <f t="shared" ref="AH186" si="1326">SUM(AB186+AD186+AF186)</f>
        <v>0</v>
      </c>
      <c r="AI186" s="97">
        <f t="shared" ref="AI186" si="1327">SUM(Y186+AG186)</f>
        <v>0</v>
      </c>
      <c r="AJ186" s="97">
        <f t="shared" ref="AJ186" si="1328">SUM(Z186,AH186)</f>
        <v>0</v>
      </c>
      <c r="AK186" s="97"/>
      <c r="AL186" s="97">
        <f t="shared" ref="AL186" si="1329">M186*AK186*$AL$2/1000</f>
        <v>0</v>
      </c>
      <c r="AM186" s="97">
        <v>0.20699999999999999</v>
      </c>
      <c r="AN186" s="97">
        <f t="shared" ref="AN186" si="1330">M186*AM186*$AN$2/1000</f>
        <v>1.6115968439999999</v>
      </c>
      <c r="AO186" s="97">
        <v>4.0000000000000001E-3</v>
      </c>
      <c r="AP186" s="97">
        <f t="shared" ref="AP186" si="1331">M186*AO186*$AP$2/1000</f>
        <v>3.0485083200000006E-2</v>
      </c>
      <c r="AQ186" s="97">
        <f t="shared" ref="AQ186" si="1332">SUM(AK186+AM186+AO186)</f>
        <v>0.21099999999999999</v>
      </c>
      <c r="AR186" s="97">
        <f t="shared" ref="AR186" si="1333">SUM(AL186+AN186+AP186)</f>
        <v>1.6420819272</v>
      </c>
      <c r="AS186" s="97">
        <v>0.20399999999999999</v>
      </c>
      <c r="AT186" s="97">
        <f t="shared" ref="AT186" si="1334">O186*AS186*$AT$2/1000</f>
        <v>1.584506352</v>
      </c>
      <c r="AU186" s="97">
        <v>1.3</v>
      </c>
      <c r="AV186" s="97">
        <f t="shared" ref="AV186" si="1335">O186*AU186*$AV$2/1000</f>
        <v>10.348458120000002</v>
      </c>
      <c r="AW186" s="97">
        <v>0.1</v>
      </c>
      <c r="AX186" s="97">
        <f t="shared" ref="AX186" si="1336">O186*AW186*$AX$2/1000</f>
        <v>0.81185675999999984</v>
      </c>
      <c r="AY186" s="97">
        <f t="shared" ref="AY186" si="1337">SUM(AS186+AU186+AW186)</f>
        <v>1.6040000000000001</v>
      </c>
      <c r="AZ186" s="97">
        <f t="shared" ref="AZ186" si="1338">SUM(AT186+AV186+AX186)</f>
        <v>12.744821232000001</v>
      </c>
      <c r="BA186" s="97">
        <f t="shared" ref="BA186" si="1339">SUM(AQ186+AY186)</f>
        <v>1.8150000000000002</v>
      </c>
      <c r="BB186" s="97">
        <f t="shared" ref="BB186" si="1340">SUM(AR186,AZ186)</f>
        <v>14.386903159200001</v>
      </c>
      <c r="BC186" s="1" t="s">
        <v>1780</v>
      </c>
    </row>
    <row r="187" spans="1:55">
      <c r="A187" s="498">
        <v>129</v>
      </c>
      <c r="B187" s="13"/>
      <c r="C187" s="23"/>
      <c r="D187" s="36"/>
      <c r="E187" s="21" t="s">
        <v>1812</v>
      </c>
      <c r="F187" s="46"/>
      <c r="G187" s="46" t="s">
        <v>1105</v>
      </c>
      <c r="H187" s="268" t="s">
        <v>367</v>
      </c>
      <c r="I187" s="18"/>
      <c r="J187" s="158"/>
      <c r="K187" s="18"/>
      <c r="L187" s="158"/>
      <c r="M187" s="18">
        <v>5.72</v>
      </c>
      <c r="N187" s="158"/>
      <c r="O187" s="18">
        <v>5.72</v>
      </c>
      <c r="P187" s="158"/>
      <c r="Q187" s="97">
        <f t="shared" si="930"/>
        <v>0.17699999999999999</v>
      </c>
      <c r="R187" s="342">
        <f t="shared" si="931"/>
        <v>1.3739265539999999</v>
      </c>
      <c r="S187" s="97"/>
      <c r="T187" s="97">
        <f t="shared" si="932"/>
        <v>0</v>
      </c>
      <c r="U187" s="97"/>
      <c r="V187" s="97">
        <f t="shared" si="933"/>
        <v>0</v>
      </c>
      <c r="W187" s="97"/>
      <c r="X187" s="97">
        <f t="shared" si="934"/>
        <v>0</v>
      </c>
      <c r="Y187" s="97">
        <f t="shared" si="935"/>
        <v>0</v>
      </c>
      <c r="Z187" s="97">
        <f t="shared" si="936"/>
        <v>0</v>
      </c>
      <c r="AA187" s="97"/>
      <c r="AB187" s="97">
        <f t="shared" si="937"/>
        <v>0</v>
      </c>
      <c r="AC187" s="97"/>
      <c r="AD187" s="97">
        <f t="shared" si="938"/>
        <v>0</v>
      </c>
      <c r="AE187" s="97"/>
      <c r="AF187" s="96">
        <f t="shared" si="955"/>
        <v>0</v>
      </c>
      <c r="AG187" s="97">
        <f t="shared" si="939"/>
        <v>0</v>
      </c>
      <c r="AH187" s="97">
        <f t="shared" si="940"/>
        <v>0</v>
      </c>
      <c r="AI187" s="97">
        <f t="shared" si="941"/>
        <v>0</v>
      </c>
      <c r="AJ187" s="97">
        <f t="shared" si="942"/>
        <v>0</v>
      </c>
      <c r="AK187" s="97"/>
      <c r="AL187" s="97">
        <f t="shared" si="943"/>
        <v>0</v>
      </c>
      <c r="AM187" s="97">
        <v>0.152</v>
      </c>
      <c r="AN187" s="97">
        <f t="shared" si="944"/>
        <v>1.1833947839999999</v>
      </c>
      <c r="AO187" s="97">
        <v>2.5000000000000001E-2</v>
      </c>
      <c r="AP187" s="97">
        <f t="shared" si="1317"/>
        <v>0.19053176999999999</v>
      </c>
      <c r="AQ187" s="97">
        <f t="shared" si="946"/>
        <v>0.17699999999999999</v>
      </c>
      <c r="AR187" s="97">
        <f t="shared" si="947"/>
        <v>1.3739265539999999</v>
      </c>
      <c r="AS187" s="97"/>
      <c r="AT187" s="97">
        <f t="shared" si="948"/>
        <v>0</v>
      </c>
      <c r="AU187" s="97"/>
      <c r="AV187" s="97">
        <f t="shared" si="949"/>
        <v>0</v>
      </c>
      <c r="AW187" s="97"/>
      <c r="AX187" s="97">
        <f t="shared" si="950"/>
        <v>0</v>
      </c>
      <c r="AY187" s="97">
        <f t="shared" si="951"/>
        <v>0</v>
      </c>
      <c r="AZ187" s="97">
        <f t="shared" si="952"/>
        <v>0</v>
      </c>
      <c r="BA187" s="97">
        <f t="shared" si="953"/>
        <v>0.17699999999999999</v>
      </c>
      <c r="BB187" s="97">
        <f t="shared" si="954"/>
        <v>1.3739265539999999</v>
      </c>
      <c r="BC187" s="1" t="s">
        <v>1780</v>
      </c>
    </row>
    <row r="188" spans="1:55" ht="11.25" customHeight="1">
      <c r="A188" s="498">
        <v>128</v>
      </c>
      <c r="B188" s="13"/>
      <c r="C188" s="23"/>
      <c r="D188" s="36"/>
      <c r="E188" s="21" t="s">
        <v>1813</v>
      </c>
      <c r="F188" s="46"/>
      <c r="G188" s="46" t="s">
        <v>1105</v>
      </c>
      <c r="H188" s="268" t="s">
        <v>366</v>
      </c>
      <c r="I188" s="18"/>
      <c r="J188" s="158"/>
      <c r="K188" s="18"/>
      <c r="L188" s="158"/>
      <c r="M188" s="18">
        <v>9.5399999999999991</v>
      </c>
      <c r="N188" s="158"/>
      <c r="O188" s="18">
        <v>9.5399999999999991</v>
      </c>
      <c r="P188" s="158"/>
      <c r="Q188" s="97">
        <f>SUM(AI188+BA188)</f>
        <v>0.9920000000000001</v>
      </c>
      <c r="R188" s="342">
        <f t="shared" si="931"/>
        <v>13.004934678</v>
      </c>
      <c r="S188" s="97"/>
      <c r="T188" s="97">
        <f t="shared" si="932"/>
        <v>0</v>
      </c>
      <c r="U188" s="97"/>
      <c r="V188" s="97">
        <f t="shared" si="933"/>
        <v>0</v>
      </c>
      <c r="W188" s="97"/>
      <c r="X188" s="97">
        <f t="shared" si="934"/>
        <v>0</v>
      </c>
      <c r="Y188" s="97">
        <f t="shared" si="935"/>
        <v>0</v>
      </c>
      <c r="Z188" s="97">
        <f t="shared" si="936"/>
        <v>0</v>
      </c>
      <c r="AA188" s="97"/>
      <c r="AB188" s="97">
        <f t="shared" ref="AB188:AB189" si="1341">K188*AA188*$AB$2/1000</f>
        <v>0</v>
      </c>
      <c r="AC188" s="97"/>
      <c r="AD188" s="97">
        <f t="shared" si="938"/>
        <v>0</v>
      </c>
      <c r="AE188" s="97"/>
      <c r="AF188" s="96">
        <f t="shared" ref="AF188:AF189" si="1342">K188*AE188*$AF$2/1000</f>
        <v>0</v>
      </c>
      <c r="AG188" s="97">
        <f t="shared" si="939"/>
        <v>0</v>
      </c>
      <c r="AH188" s="97">
        <f t="shared" si="940"/>
        <v>0</v>
      </c>
      <c r="AI188" s="97">
        <f t="shared" si="941"/>
        <v>0</v>
      </c>
      <c r="AJ188" s="97">
        <f t="shared" si="942"/>
        <v>0</v>
      </c>
      <c r="AK188" s="97"/>
      <c r="AL188" s="97">
        <f t="shared" si="943"/>
        <v>0</v>
      </c>
      <c r="AM188" s="97">
        <v>4.2999999999999997E-2</v>
      </c>
      <c r="AN188" s="97">
        <f t="shared" si="944"/>
        <v>0.55835044199999984</v>
      </c>
      <c r="AO188" s="97"/>
      <c r="AP188" s="97">
        <f t="shared" si="1317"/>
        <v>0</v>
      </c>
      <c r="AQ188" s="97">
        <f t="shared" si="946"/>
        <v>4.2999999999999997E-2</v>
      </c>
      <c r="AR188" s="97">
        <f t="shared" si="947"/>
        <v>0.55835044199999984</v>
      </c>
      <c r="AS188" s="97">
        <v>0.499</v>
      </c>
      <c r="AT188" s="97">
        <f t="shared" si="948"/>
        <v>6.4642286339999995</v>
      </c>
      <c r="AU188" s="97">
        <v>0.42</v>
      </c>
      <c r="AV188" s="97">
        <f t="shared" si="949"/>
        <v>5.5761433559999993</v>
      </c>
      <c r="AW188" s="97">
        <v>0.03</v>
      </c>
      <c r="AX188" s="97">
        <f t="shared" si="950"/>
        <v>0.40621224599999994</v>
      </c>
      <c r="AY188" s="97">
        <f t="shared" si="951"/>
        <v>0.94900000000000007</v>
      </c>
      <c r="AZ188" s="97">
        <f t="shared" si="952"/>
        <v>12.446584236</v>
      </c>
      <c r="BA188" s="97">
        <f t="shared" si="953"/>
        <v>0.9920000000000001</v>
      </c>
      <c r="BB188" s="97">
        <f t="shared" si="954"/>
        <v>13.004934678</v>
      </c>
      <c r="BC188" s="1" t="s">
        <v>1106</v>
      </c>
    </row>
    <row r="189" spans="1:55">
      <c r="A189" s="498">
        <v>129</v>
      </c>
      <c r="B189" s="13"/>
      <c r="C189" s="23"/>
      <c r="D189" s="36"/>
      <c r="E189" s="21" t="s">
        <v>1814</v>
      </c>
      <c r="F189" s="46"/>
      <c r="G189" s="46" t="s">
        <v>1105</v>
      </c>
      <c r="H189" s="268" t="s">
        <v>366</v>
      </c>
      <c r="I189" s="18"/>
      <c r="J189" s="158"/>
      <c r="K189" s="18"/>
      <c r="L189" s="158"/>
      <c r="M189" s="18">
        <v>9.5399999999999991</v>
      </c>
      <c r="N189" s="158"/>
      <c r="O189" s="18">
        <v>9.5399999999999991</v>
      </c>
      <c r="P189" s="158"/>
      <c r="Q189" s="97">
        <f t="shared" ref="Q189" si="1343">SUM(AI189+BA189)</f>
        <v>7.0000000000000007E-2</v>
      </c>
      <c r="R189" s="342">
        <f t="shared" ref="R189" si="1344">SUM(AJ189+BB189)</f>
        <v>0.90209524499999993</v>
      </c>
      <c r="S189" s="97"/>
      <c r="T189" s="97">
        <f t="shared" ref="T189" si="1345">I189*S189*$T$2/1000</f>
        <v>0</v>
      </c>
      <c r="U189" s="97"/>
      <c r="V189" s="97">
        <f t="shared" ref="V189" si="1346">I189*U189*$V$2/1000</f>
        <v>0</v>
      </c>
      <c r="W189" s="97"/>
      <c r="X189" s="97">
        <f t="shared" ref="X189" si="1347">I189*W189*$X$2/1000</f>
        <v>0</v>
      </c>
      <c r="Y189" s="97">
        <f t="shared" ref="Y189" si="1348">SUM(S189+U189+W189)</f>
        <v>0</v>
      </c>
      <c r="Z189" s="97">
        <f t="shared" ref="Z189" si="1349">SUM(T189+V189+X189)</f>
        <v>0</v>
      </c>
      <c r="AA189" s="97"/>
      <c r="AB189" s="97">
        <f t="shared" si="1341"/>
        <v>0</v>
      </c>
      <c r="AC189" s="97"/>
      <c r="AD189" s="97">
        <f t="shared" ref="AD189" si="1350">K189*AC189*$AD$2/1000</f>
        <v>0</v>
      </c>
      <c r="AE189" s="97"/>
      <c r="AF189" s="96">
        <f t="shared" si="1342"/>
        <v>0</v>
      </c>
      <c r="AG189" s="97">
        <f t="shared" ref="AG189" si="1351">SUM(AA189+AC189+AE189)</f>
        <v>0</v>
      </c>
      <c r="AH189" s="97">
        <f t="shared" ref="AH189" si="1352">SUM(AB189+AD189+AF189)</f>
        <v>0</v>
      </c>
      <c r="AI189" s="97">
        <f t="shared" ref="AI189" si="1353">SUM(Y189+AG189)</f>
        <v>0</v>
      </c>
      <c r="AJ189" s="97">
        <f t="shared" ref="AJ189" si="1354">SUM(Z189,AH189)</f>
        <v>0</v>
      </c>
      <c r="AK189" s="97"/>
      <c r="AL189" s="97">
        <f t="shared" ref="AL189" si="1355">M189*AK189*$AL$2/1000</f>
        <v>0</v>
      </c>
      <c r="AM189" s="97">
        <v>4.4999999999999998E-2</v>
      </c>
      <c r="AN189" s="97">
        <f t="shared" ref="AN189" si="1356">M189*AM189*$AN$2/1000</f>
        <v>0.58432022999999988</v>
      </c>
      <c r="AO189" s="97">
        <v>2.5000000000000001E-2</v>
      </c>
      <c r="AP189" s="97">
        <f t="shared" ref="AP189" si="1357">M189*AO189*$AP$2/1000</f>
        <v>0.31777501499999999</v>
      </c>
      <c r="AQ189" s="97">
        <f t="shared" ref="AQ189" si="1358">SUM(AK189+AM189+AO189)</f>
        <v>7.0000000000000007E-2</v>
      </c>
      <c r="AR189" s="97">
        <f t="shared" ref="AR189" si="1359">SUM(AL189+AN189+AP189)</f>
        <v>0.90209524499999993</v>
      </c>
      <c r="AS189" s="97"/>
      <c r="AT189" s="97">
        <f t="shared" ref="AT189" si="1360">O189*AS189*$AT$2/1000</f>
        <v>0</v>
      </c>
      <c r="AU189" s="97"/>
      <c r="AV189" s="97">
        <f t="shared" ref="AV189" si="1361">O189*AU189*$AV$2/1000</f>
        <v>0</v>
      </c>
      <c r="AW189" s="97"/>
      <c r="AX189" s="97">
        <f t="shared" ref="AX189" si="1362">O189*AW189*$AX$2/1000</f>
        <v>0</v>
      </c>
      <c r="AY189" s="97">
        <f t="shared" ref="AY189" si="1363">SUM(AS189+AU189+AW189)</f>
        <v>0</v>
      </c>
      <c r="AZ189" s="97">
        <f t="shared" ref="AZ189" si="1364">SUM(AT189+AV189+AX189)</f>
        <v>0</v>
      </c>
      <c r="BA189" s="97">
        <f t="shared" ref="BA189" si="1365">SUM(AQ189+AY189)</f>
        <v>7.0000000000000007E-2</v>
      </c>
      <c r="BB189" s="97">
        <f t="shared" ref="BB189" si="1366">SUM(AR189,AZ189)</f>
        <v>0.90209524499999993</v>
      </c>
      <c r="BC189" s="1" t="s">
        <v>1106</v>
      </c>
    </row>
    <row r="190" spans="1:55">
      <c r="A190" s="498">
        <v>133</v>
      </c>
      <c r="B190" s="13"/>
      <c r="C190" s="23"/>
      <c r="D190" s="36"/>
      <c r="E190" s="21" t="s">
        <v>615</v>
      </c>
      <c r="F190" s="46" t="s">
        <v>616</v>
      </c>
      <c r="G190" s="46" t="s">
        <v>1105</v>
      </c>
      <c r="H190" s="268" t="s">
        <v>366</v>
      </c>
      <c r="I190" s="18">
        <v>2.5499999999999998</v>
      </c>
      <c r="J190" s="158"/>
      <c r="K190" s="18">
        <v>2.5</v>
      </c>
      <c r="L190" s="158"/>
      <c r="M190" s="18">
        <v>2.5</v>
      </c>
      <c r="N190" s="158"/>
      <c r="O190" s="18">
        <v>2.5</v>
      </c>
      <c r="P190" s="158"/>
      <c r="Q190" s="97">
        <f>SUM(AI190+BA190)</f>
        <v>1669.0520000000001</v>
      </c>
      <c r="R190" s="342">
        <f t="shared" ref="R190" si="1367">SUM(AJ190+BB190)</f>
        <v>5708.4840121320003</v>
      </c>
      <c r="S190" s="97">
        <v>82.896000000000001</v>
      </c>
      <c r="T190" s="97">
        <f t="shared" ref="T190" si="1368">I190*S190*$T$2/1000</f>
        <v>279.42745327200004</v>
      </c>
      <c r="U190" s="97">
        <v>87.647999999999996</v>
      </c>
      <c r="V190" s="97">
        <f t="shared" ref="V190" si="1369">I190*U190*$V$2/1000</f>
        <v>297.34759295999999</v>
      </c>
      <c r="W190" s="97">
        <v>142.78</v>
      </c>
      <c r="X190" s="97">
        <f t="shared" ref="X190" si="1370">I190*W190*$X$2/1000</f>
        <v>484.45682340000002</v>
      </c>
      <c r="Y190" s="97">
        <f t="shared" ref="Y190" si="1371">SUM(S190+U190+W190)</f>
        <v>313.32399999999996</v>
      </c>
      <c r="Z190" s="97">
        <f t="shared" ref="Z190" si="1372">SUM(T190+V190+X190)</f>
        <v>1061.2318696320001</v>
      </c>
      <c r="AA190" s="97">
        <v>218.59200000000001</v>
      </c>
      <c r="AB190" s="97">
        <f t="shared" ref="AB190" si="1373">K190*AA190*$AB$2/1000</f>
        <v>745.4642975999999</v>
      </c>
      <c r="AC190" s="97">
        <v>52.844000000000001</v>
      </c>
      <c r="AD190" s="97">
        <f t="shared" ref="AD190" si="1374">K190*AC190*$AD$2/1000</f>
        <v>180.94181930000002</v>
      </c>
      <c r="AE190" s="97">
        <v>166.584</v>
      </c>
      <c r="AF190" s="96">
        <f t="shared" ref="AF190" si="1375">K190*AE190*$AF$2/1000</f>
        <v>574.22754180000004</v>
      </c>
      <c r="AG190" s="97">
        <f t="shared" ref="AG190" si="1376">SUM(AA190+AC190+AE190)</f>
        <v>438.02000000000004</v>
      </c>
      <c r="AH190" s="97">
        <f t="shared" ref="AH190" si="1377">SUM(AB190+AD190+AF190)</f>
        <v>1500.6336587000001</v>
      </c>
      <c r="AI190" s="97">
        <f t="shared" ref="AI190" si="1378">SUM(Y190+AG190)</f>
        <v>751.34400000000005</v>
      </c>
      <c r="AJ190" s="97">
        <f t="shared" ref="AJ190" si="1379">SUM(Z190,AH190)</f>
        <v>2561.8655283320004</v>
      </c>
      <c r="AK190" s="97">
        <v>140.976</v>
      </c>
      <c r="AL190" s="97">
        <f t="shared" ref="AL190" si="1380">M190*AK190*$AL$2/1000</f>
        <v>487.4527152</v>
      </c>
      <c r="AM190" s="97">
        <v>153.56</v>
      </c>
      <c r="AN190" s="97">
        <f t="shared" ref="AN190" si="1381">M190*AM190*$AN$2/1000</f>
        <v>522.5262899999999</v>
      </c>
      <c r="AO190" s="97">
        <v>195.71199999999999</v>
      </c>
      <c r="AP190" s="97">
        <f t="shared" ref="AP190" si="1382">M190*AO190*$AP$2/1000</f>
        <v>651.91177919999996</v>
      </c>
      <c r="AQ190" s="97">
        <f t="shared" ref="AQ190" si="1383">SUM(AK190+AM190+AO190)</f>
        <v>490.24799999999999</v>
      </c>
      <c r="AR190" s="97">
        <f t="shared" ref="AR190" si="1384">SUM(AL190+AN190+AP190)</f>
        <v>1661.8907843999998</v>
      </c>
      <c r="AS190" s="97">
        <v>128.524</v>
      </c>
      <c r="AT190" s="97">
        <f t="shared" ref="AT190" si="1385">O190*AS190*$AT$2/1000</f>
        <v>436.30684900000006</v>
      </c>
      <c r="AU190" s="97">
        <v>177.892</v>
      </c>
      <c r="AV190" s="97">
        <f t="shared" ref="AV190" si="1386">O190*AU190*$AV$2/1000</f>
        <v>618.91739910000001</v>
      </c>
      <c r="AW190" s="97">
        <v>121.044</v>
      </c>
      <c r="AX190" s="97">
        <f t="shared" ref="AX190" si="1387">O190*AW190*$AX$2/1000</f>
        <v>429.50345129999999</v>
      </c>
      <c r="AY190" s="97">
        <f t="shared" ref="AY190" si="1388">SUM(AS190+AU190+AW190)</f>
        <v>427.46</v>
      </c>
      <c r="AZ190" s="97">
        <f t="shared" ref="AZ190" si="1389">SUM(AT190+AV190+AX190)</f>
        <v>1484.7276994000001</v>
      </c>
      <c r="BA190" s="97">
        <f t="shared" ref="BA190" si="1390">SUM(AQ190+AY190)</f>
        <v>917.70799999999997</v>
      </c>
      <c r="BB190" s="97">
        <f t="shared" ref="BB190" si="1391">SUM(AR190,AZ190)</f>
        <v>3146.6184837999999</v>
      </c>
      <c r="BC190" s="1" t="s">
        <v>1780</v>
      </c>
    </row>
    <row r="191" spans="1:55">
      <c r="A191" s="498">
        <v>132</v>
      </c>
      <c r="B191" s="13"/>
      <c r="C191" s="13"/>
      <c r="D191" s="15"/>
      <c r="E191" s="21" t="s">
        <v>742</v>
      </c>
      <c r="F191" s="46" t="s">
        <v>743</v>
      </c>
      <c r="G191" s="46" t="s">
        <v>1105</v>
      </c>
      <c r="H191" s="268" t="s">
        <v>365</v>
      </c>
      <c r="I191" s="18">
        <v>3.33</v>
      </c>
      <c r="J191" s="158"/>
      <c r="K191" s="18">
        <v>3.33</v>
      </c>
      <c r="L191" s="158"/>
      <c r="M191" s="18">
        <v>3.33</v>
      </c>
      <c r="N191" s="158"/>
      <c r="O191" s="18">
        <v>3.33</v>
      </c>
      <c r="P191" s="158"/>
      <c r="Q191" s="97">
        <f t="shared" ref="Q191" si="1392">SUM(AI191+BA191)</f>
        <v>112.024</v>
      </c>
      <c r="R191" s="342">
        <f t="shared" ref="R191" si="1393">SUM(AJ191+BB191)</f>
        <v>513.98975707199997</v>
      </c>
      <c r="S191" s="97">
        <v>2.7719999999999998</v>
      </c>
      <c r="T191" s="97">
        <f t="shared" ref="T191" si="1394">I191*S191*$T$2/1000</f>
        <v>12.202049336400002</v>
      </c>
      <c r="U191" s="97"/>
      <c r="V191" s="97">
        <f t="shared" ref="V191" si="1395">I191*U191*$V$2/1000</f>
        <v>0</v>
      </c>
      <c r="W191" s="97">
        <v>1.6279999999999999</v>
      </c>
      <c r="X191" s="97">
        <f t="shared" ref="X191" si="1396">I191*W191*$X$2/1000</f>
        <v>7.2135019439999999</v>
      </c>
      <c r="Y191" s="97">
        <f t="shared" ref="Y191" si="1397">SUM(S191+U191+W191)</f>
        <v>4.3999999999999995</v>
      </c>
      <c r="Z191" s="97">
        <f t="shared" ref="Z191" si="1398">SUM(T191+V191+X191)</f>
        <v>19.415551280400003</v>
      </c>
      <c r="AA191" s="97">
        <v>0.35199999999999998</v>
      </c>
      <c r="AB191" s="97">
        <f t="shared" si="937"/>
        <v>1.5989668991999997</v>
      </c>
      <c r="AC191" s="97">
        <v>0.35199999999999998</v>
      </c>
      <c r="AD191" s="97">
        <f t="shared" ref="AD191" si="1399">K191*AC191*$AD$2/1000</f>
        <v>1.6054255008</v>
      </c>
      <c r="AE191" s="97">
        <v>1.98</v>
      </c>
      <c r="AF191" s="96">
        <f t="shared" ref="AF191" si="1400">K191*AE191*$AF$2/1000</f>
        <v>9.0911777219999994</v>
      </c>
      <c r="AG191" s="97">
        <f t="shared" ref="AG191" si="1401">SUM(AA191+AC191+AE191)</f>
        <v>2.6840000000000002</v>
      </c>
      <c r="AH191" s="97">
        <f t="shared" ref="AH191" si="1402">SUM(AB191+AD191+AF191)</f>
        <v>12.295570121999999</v>
      </c>
      <c r="AI191" s="97">
        <f t="shared" ref="AI191" si="1403">SUM(Y191+AG191)</f>
        <v>7.0839999999999996</v>
      </c>
      <c r="AJ191" s="97">
        <f t="shared" ref="AJ191" si="1404">SUM(Z191,AH191)</f>
        <v>31.711121402400003</v>
      </c>
      <c r="AK191" s="97">
        <v>3.2559999999999998</v>
      </c>
      <c r="AL191" s="97">
        <f>M191*AK191*$AL$2/1000</f>
        <v>14.9960172384</v>
      </c>
      <c r="AM191" s="97">
        <v>1.98</v>
      </c>
      <c r="AN191" s="97">
        <f t="shared" ref="AN191" si="1405">M191*AM191*$AN$2/1000</f>
        <v>8.9742767399999988</v>
      </c>
      <c r="AO191" s="97">
        <v>11.792</v>
      </c>
      <c r="AP191" s="97">
        <f t="shared" ref="AP191" si="1406">M191*AO191*$AP$2/1000</f>
        <v>52.319437790400009</v>
      </c>
      <c r="AQ191" s="97">
        <f t="shared" ref="AQ191" si="1407">SUM(AK191+AM191+AO191)</f>
        <v>17.027999999999999</v>
      </c>
      <c r="AR191" s="97">
        <f t="shared" ref="AR191" si="1408">SUM(AL191+AN191+AP191)</f>
        <v>76.28973176880001</v>
      </c>
      <c r="AS191" s="97">
        <v>34.847999999999999</v>
      </c>
      <c r="AT191" s="97">
        <f t="shared" ref="AT191" si="1409">O191*AS191*$AT$2/1000</f>
        <v>157.57593033600003</v>
      </c>
      <c r="AU191" s="97">
        <v>25.916</v>
      </c>
      <c r="AV191" s="97">
        <f t="shared" ref="AV191" si="1410">O191*AU191*$AV$2/1000</f>
        <v>120.10151066760001</v>
      </c>
      <c r="AW191" s="97">
        <v>27.148</v>
      </c>
      <c r="AX191" s="97">
        <f t="shared" ref="AX191" si="1411">O191*AW191*$AX$2/1000</f>
        <v>128.31146289719999</v>
      </c>
      <c r="AY191" s="97">
        <f t="shared" ref="AY191" si="1412">SUM(AS191+AU191+AW191)</f>
        <v>87.911999999999992</v>
      </c>
      <c r="AZ191" s="97">
        <f t="shared" ref="AZ191" si="1413">SUM(AT191+AV191+AX191)</f>
        <v>405.98890390080004</v>
      </c>
      <c r="BA191" s="97">
        <f t="shared" ref="BA191" si="1414">SUM(AQ191+AY191)</f>
        <v>104.94</v>
      </c>
      <c r="BB191" s="97">
        <f t="shared" ref="BB191" si="1415">SUM(AR191,AZ191)</f>
        <v>482.27863566960002</v>
      </c>
      <c r="BC191" s="1" t="s">
        <v>1780</v>
      </c>
    </row>
    <row r="192" spans="1:55">
      <c r="A192" s="498">
        <v>133</v>
      </c>
      <c r="B192" s="13"/>
      <c r="C192" s="23"/>
      <c r="D192" s="36"/>
      <c r="E192" s="21" t="s">
        <v>1834</v>
      </c>
      <c r="F192" s="46" t="s">
        <v>616</v>
      </c>
      <c r="G192" s="46" t="s">
        <v>1105</v>
      </c>
      <c r="H192" s="268" t="s">
        <v>367</v>
      </c>
      <c r="I192" s="18"/>
      <c r="J192" s="158"/>
      <c r="K192" s="18"/>
      <c r="L192" s="158"/>
      <c r="M192" s="18">
        <v>2.5</v>
      </c>
      <c r="N192" s="158"/>
      <c r="O192" s="18">
        <v>2.5</v>
      </c>
      <c r="P192" s="158"/>
      <c r="Q192" s="97">
        <f>SUM(AI192+BA192)</f>
        <v>136.70499999999998</v>
      </c>
      <c r="R192" s="342">
        <f t="shared" si="931"/>
        <v>467.68993030000001</v>
      </c>
      <c r="S192" s="97"/>
      <c r="T192" s="97">
        <f t="shared" si="932"/>
        <v>0</v>
      </c>
      <c r="U192" s="97"/>
      <c r="V192" s="97">
        <f t="shared" si="933"/>
        <v>0</v>
      </c>
      <c r="W192" s="97"/>
      <c r="X192" s="97">
        <f t="shared" si="934"/>
        <v>0</v>
      </c>
      <c r="Y192" s="97">
        <f t="shared" si="935"/>
        <v>0</v>
      </c>
      <c r="Z192" s="97">
        <f t="shared" si="936"/>
        <v>0</v>
      </c>
      <c r="AA192" s="97"/>
      <c r="AB192" s="97">
        <f t="shared" si="937"/>
        <v>0</v>
      </c>
      <c r="AC192" s="97"/>
      <c r="AD192" s="97">
        <f t="shared" si="938"/>
        <v>0</v>
      </c>
      <c r="AE192" s="97"/>
      <c r="AF192" s="96">
        <f t="shared" si="955"/>
        <v>0</v>
      </c>
      <c r="AG192" s="97">
        <f t="shared" si="939"/>
        <v>0</v>
      </c>
      <c r="AH192" s="97">
        <f t="shared" si="940"/>
        <v>0</v>
      </c>
      <c r="AI192" s="97">
        <f t="shared" si="941"/>
        <v>0</v>
      </c>
      <c r="AJ192" s="97">
        <f t="shared" si="942"/>
        <v>0</v>
      </c>
      <c r="AK192" s="97"/>
      <c r="AL192" s="97">
        <f t="shared" si="943"/>
        <v>0</v>
      </c>
      <c r="AM192" s="97"/>
      <c r="AN192" s="97">
        <f t="shared" si="944"/>
        <v>0</v>
      </c>
      <c r="AO192" s="97">
        <v>3.0390000000000001</v>
      </c>
      <c r="AP192" s="97">
        <f t="shared" si="1317"/>
        <v>10.122833025000002</v>
      </c>
      <c r="AQ192" s="97">
        <f t="shared" si="946"/>
        <v>3.0390000000000001</v>
      </c>
      <c r="AR192" s="97">
        <f t="shared" si="947"/>
        <v>10.122833025000002</v>
      </c>
      <c r="AS192" s="97">
        <v>88.602999999999994</v>
      </c>
      <c r="AT192" s="97">
        <f t="shared" si="948"/>
        <v>300.78503425000002</v>
      </c>
      <c r="AU192" s="97">
        <v>45.063000000000002</v>
      </c>
      <c r="AV192" s="97">
        <f t="shared" si="949"/>
        <v>156.78206302500001</v>
      </c>
      <c r="AW192" s="97"/>
      <c r="AX192" s="97">
        <f t="shared" si="950"/>
        <v>0</v>
      </c>
      <c r="AY192" s="97">
        <f t="shared" si="951"/>
        <v>133.666</v>
      </c>
      <c r="AZ192" s="97">
        <f t="shared" si="952"/>
        <v>457.56709727500004</v>
      </c>
      <c r="BA192" s="97">
        <f t="shared" si="953"/>
        <v>136.70499999999998</v>
      </c>
      <c r="BB192" s="97">
        <f t="shared" si="954"/>
        <v>467.68993030000001</v>
      </c>
      <c r="BC192" s="1" t="s">
        <v>1780</v>
      </c>
    </row>
    <row r="193" spans="1:55">
      <c r="A193" s="498">
        <v>134</v>
      </c>
      <c r="B193" s="13"/>
      <c r="C193" s="23"/>
      <c r="D193" s="36"/>
      <c r="E193" s="63" t="s">
        <v>1835</v>
      </c>
      <c r="F193" s="425" t="s">
        <v>608</v>
      </c>
      <c r="G193" s="425" t="s">
        <v>1105</v>
      </c>
      <c r="H193" s="284" t="s">
        <v>366</v>
      </c>
      <c r="I193" s="426"/>
      <c r="J193" s="427"/>
      <c r="K193" s="426"/>
      <c r="L193" s="427"/>
      <c r="M193" s="426">
        <v>3.36</v>
      </c>
      <c r="N193" s="427"/>
      <c r="O193" s="426">
        <v>3.36</v>
      </c>
      <c r="P193" s="427"/>
      <c r="Q193" s="129">
        <f t="shared" ref="Q193:Q195" si="1416">SUM(AI193+BA193)</f>
        <v>4.1000000000000002E-2</v>
      </c>
      <c r="R193" s="350">
        <f>SUM(AJ193+BB193)</f>
        <v>0.1835500464</v>
      </c>
      <c r="S193" s="129"/>
      <c r="T193" s="129">
        <f t="shared" si="932"/>
        <v>0</v>
      </c>
      <c r="U193" s="129"/>
      <c r="V193" s="129">
        <f t="shared" si="933"/>
        <v>0</v>
      </c>
      <c r="W193" s="129"/>
      <c r="X193" s="129">
        <f t="shared" si="934"/>
        <v>0</v>
      </c>
      <c r="Y193" s="129">
        <f t="shared" si="935"/>
        <v>0</v>
      </c>
      <c r="Z193" s="129">
        <f t="shared" si="936"/>
        <v>0</v>
      </c>
      <c r="AA193" s="129"/>
      <c r="AB193" s="129">
        <f t="shared" si="937"/>
        <v>0</v>
      </c>
      <c r="AC193" s="129"/>
      <c r="AD193" s="129">
        <f t="shared" si="938"/>
        <v>0</v>
      </c>
      <c r="AE193" s="129"/>
      <c r="AF193" s="428">
        <f t="shared" ref="AF193:AF195" si="1417">K193*AE193*$AF$2/1000</f>
        <v>0</v>
      </c>
      <c r="AG193" s="129">
        <f t="shared" si="939"/>
        <v>0</v>
      </c>
      <c r="AH193" s="129">
        <f t="shared" si="940"/>
        <v>0</v>
      </c>
      <c r="AI193" s="129">
        <f t="shared" si="941"/>
        <v>0</v>
      </c>
      <c r="AJ193" s="129">
        <f t="shared" si="942"/>
        <v>0</v>
      </c>
      <c r="AK193" s="129"/>
      <c r="AL193" s="129">
        <f t="shared" si="943"/>
        <v>0</v>
      </c>
      <c r="AM193" s="129"/>
      <c r="AN193" s="129">
        <f t="shared" si="944"/>
        <v>0</v>
      </c>
      <c r="AO193" s="129">
        <v>4.1000000000000002E-2</v>
      </c>
      <c r="AP193" s="129">
        <f t="shared" si="1317"/>
        <v>0.1835500464</v>
      </c>
      <c r="AQ193" s="129">
        <f t="shared" si="946"/>
        <v>4.1000000000000002E-2</v>
      </c>
      <c r="AR193" s="129">
        <f t="shared" si="947"/>
        <v>0.1835500464</v>
      </c>
      <c r="AS193" s="129"/>
      <c r="AT193" s="129">
        <f t="shared" si="948"/>
        <v>0</v>
      </c>
      <c r="AU193" s="129"/>
      <c r="AV193" s="129">
        <f t="shared" si="949"/>
        <v>0</v>
      </c>
      <c r="AW193" s="129"/>
      <c r="AX193" s="129">
        <f t="shared" si="950"/>
        <v>0</v>
      </c>
      <c r="AY193" s="129">
        <f t="shared" si="951"/>
        <v>0</v>
      </c>
      <c r="AZ193" s="129">
        <f t="shared" si="952"/>
        <v>0</v>
      </c>
      <c r="BA193" s="129">
        <f t="shared" si="953"/>
        <v>4.1000000000000002E-2</v>
      </c>
      <c r="BB193" s="129">
        <f t="shared" si="954"/>
        <v>0.1835500464</v>
      </c>
      <c r="BC193" s="1" t="s">
        <v>1780</v>
      </c>
    </row>
    <row r="194" spans="1:55">
      <c r="A194" s="498">
        <v>136</v>
      </c>
      <c r="B194" s="13"/>
      <c r="C194" s="23"/>
      <c r="D194" s="36"/>
      <c r="E194" s="21" t="s">
        <v>609</v>
      </c>
      <c r="F194" s="46" t="s">
        <v>608</v>
      </c>
      <c r="G194" s="46" t="s">
        <v>1105</v>
      </c>
      <c r="H194" s="268" t="s">
        <v>366</v>
      </c>
      <c r="I194" s="18">
        <v>3.37</v>
      </c>
      <c r="J194" s="158"/>
      <c r="K194" s="18">
        <v>3.36</v>
      </c>
      <c r="L194" s="158"/>
      <c r="M194" s="18">
        <v>3.36</v>
      </c>
      <c r="N194" s="158"/>
      <c r="O194" s="18">
        <v>3.36</v>
      </c>
      <c r="P194" s="18"/>
      <c r="Q194" s="97">
        <f t="shared" si="1416"/>
        <v>123.11199999999999</v>
      </c>
      <c r="R194" s="342">
        <f>SUM(AJ194+BB194)</f>
        <v>561.46966119640001</v>
      </c>
      <c r="S194" s="97">
        <v>6.38</v>
      </c>
      <c r="T194" s="97">
        <f t="shared" si="932"/>
        <v>28.421428134000003</v>
      </c>
      <c r="U194" s="97">
        <v>10.824</v>
      </c>
      <c r="V194" s="97">
        <f t="shared" si="933"/>
        <v>48.528841152000005</v>
      </c>
      <c r="W194" s="97">
        <v>24.64</v>
      </c>
      <c r="X194" s="97">
        <f t="shared" si="934"/>
        <v>110.48876607999999</v>
      </c>
      <c r="Y194" s="97">
        <f t="shared" si="935"/>
        <v>41.844000000000001</v>
      </c>
      <c r="Z194" s="97">
        <f t="shared" si="936"/>
        <v>187.43903536599998</v>
      </c>
      <c r="AA194" s="97">
        <v>18.920000000000002</v>
      </c>
      <c r="AB194" s="97">
        <f t="shared" si="937"/>
        <v>86.718745343999998</v>
      </c>
      <c r="AC194" s="97">
        <v>14.52</v>
      </c>
      <c r="AD194" s="97">
        <f t="shared" si="938"/>
        <v>66.820412735999994</v>
      </c>
      <c r="AE194" s="97">
        <v>16.940000000000001</v>
      </c>
      <c r="AF194" s="96">
        <f t="shared" si="1417"/>
        <v>78.480797472000006</v>
      </c>
      <c r="AG194" s="97">
        <f t="shared" si="939"/>
        <v>50.379999999999995</v>
      </c>
      <c r="AH194" s="97">
        <f t="shared" si="940"/>
        <v>232.019955552</v>
      </c>
      <c r="AI194" s="97">
        <f t="shared" si="941"/>
        <v>92.22399999999999</v>
      </c>
      <c r="AJ194" s="97">
        <f t="shared" si="942"/>
        <v>419.45899091799998</v>
      </c>
      <c r="AK194" s="97">
        <v>10.912000000000001</v>
      </c>
      <c r="AL194" s="97">
        <f t="shared" si="943"/>
        <v>50.709687705600004</v>
      </c>
      <c r="AM194" s="97">
        <v>19.404</v>
      </c>
      <c r="AN194" s="97">
        <f t="shared" si="944"/>
        <v>88.74023558399999</v>
      </c>
      <c r="AO194" s="97">
        <v>0.57199999999999995</v>
      </c>
      <c r="AP194" s="97">
        <f t="shared" si="1317"/>
        <v>2.5607469888000001</v>
      </c>
      <c r="AQ194" s="97">
        <f t="shared" si="946"/>
        <v>30.888000000000002</v>
      </c>
      <c r="AR194" s="97">
        <f t="shared" si="947"/>
        <v>142.0106702784</v>
      </c>
      <c r="AS194" s="97"/>
      <c r="AT194" s="97">
        <f t="shared" si="948"/>
        <v>0</v>
      </c>
      <c r="AU194" s="97"/>
      <c r="AV194" s="97">
        <f t="shared" si="949"/>
        <v>0</v>
      </c>
      <c r="AW194" s="97"/>
      <c r="AX194" s="97">
        <f>O194*AW194*$AX$2/1000</f>
        <v>0</v>
      </c>
      <c r="AY194" s="97">
        <f t="shared" si="951"/>
        <v>0</v>
      </c>
      <c r="AZ194" s="97">
        <f t="shared" si="952"/>
        <v>0</v>
      </c>
      <c r="BA194" s="97">
        <f t="shared" si="953"/>
        <v>30.888000000000002</v>
      </c>
      <c r="BB194" s="97">
        <f t="shared" si="954"/>
        <v>142.0106702784</v>
      </c>
      <c r="BC194" s="1" t="s">
        <v>1780</v>
      </c>
    </row>
    <row r="195" spans="1:55">
      <c r="A195" s="498">
        <v>137</v>
      </c>
      <c r="B195" s="13"/>
      <c r="C195" s="23"/>
      <c r="D195" s="36"/>
      <c r="E195" s="21" t="s">
        <v>700</v>
      </c>
      <c r="F195" s="46" t="s">
        <v>701</v>
      </c>
      <c r="G195" s="46" t="s">
        <v>1105</v>
      </c>
      <c r="H195" s="268" t="s">
        <v>366</v>
      </c>
      <c r="I195" s="18">
        <v>3.52</v>
      </c>
      <c r="J195" s="158"/>
      <c r="K195" s="18">
        <v>3.52</v>
      </c>
      <c r="L195" s="158"/>
      <c r="M195" s="18">
        <v>3.52</v>
      </c>
      <c r="N195" s="158"/>
      <c r="O195" s="18">
        <v>3.52</v>
      </c>
      <c r="P195" s="158"/>
      <c r="Q195" s="97">
        <f t="shared" si="1416"/>
        <v>8.4370000000000012</v>
      </c>
      <c r="R195" s="342">
        <f>SUM(AJ195+BB195)</f>
        <v>40.333036022399995</v>
      </c>
      <c r="S195" s="97">
        <v>0.88</v>
      </c>
      <c r="T195" s="97">
        <f t="shared" si="932"/>
        <v>4.0946864640000005</v>
      </c>
      <c r="U195" s="97">
        <v>1.32</v>
      </c>
      <c r="V195" s="97">
        <f t="shared" si="933"/>
        <v>6.1815705599999999</v>
      </c>
      <c r="W195" s="97">
        <v>0.26400000000000001</v>
      </c>
      <c r="X195" s="97">
        <f t="shared" si="934"/>
        <v>1.2364999679999999</v>
      </c>
      <c r="Y195" s="97">
        <f t="shared" si="935"/>
        <v>2.4640000000000004</v>
      </c>
      <c r="Z195" s="97">
        <f t="shared" si="936"/>
        <v>11.512756992</v>
      </c>
      <c r="AA195" s="97"/>
      <c r="AB195" s="97">
        <f t="shared" ref="AB195" si="1418">K195*AA195*$AB$2/1000</f>
        <v>0</v>
      </c>
      <c r="AC195" s="97"/>
      <c r="AD195" s="97">
        <f t="shared" si="938"/>
        <v>0</v>
      </c>
      <c r="AE195" s="97">
        <v>0.48399999999999999</v>
      </c>
      <c r="AF195" s="96">
        <f t="shared" si="1417"/>
        <v>2.3490850943999999</v>
      </c>
      <c r="AG195" s="97">
        <f t="shared" si="939"/>
        <v>0.48399999999999999</v>
      </c>
      <c r="AH195" s="97">
        <f t="shared" si="940"/>
        <v>2.3490850943999999</v>
      </c>
      <c r="AI195" s="97">
        <f t="shared" si="941"/>
        <v>2.9480000000000004</v>
      </c>
      <c r="AJ195" s="97">
        <f t="shared" si="942"/>
        <v>13.861842086399999</v>
      </c>
      <c r="AK195" s="97">
        <v>1.5269999999999999</v>
      </c>
      <c r="AL195" s="97">
        <f t="shared" si="943"/>
        <v>7.4341103231999988</v>
      </c>
      <c r="AM195" s="97">
        <v>1.3049999999999999</v>
      </c>
      <c r="AN195" s="97">
        <f t="shared" si="944"/>
        <v>6.2523489599999982</v>
      </c>
      <c r="AO195" s="97">
        <v>1.036</v>
      </c>
      <c r="AP195" s="97">
        <f t="shared" si="1317"/>
        <v>4.8588532608000001</v>
      </c>
      <c r="AQ195" s="97">
        <f t="shared" si="946"/>
        <v>3.8679999999999999</v>
      </c>
      <c r="AR195" s="97">
        <f t="shared" si="947"/>
        <v>18.545312543999998</v>
      </c>
      <c r="AS195" s="97">
        <v>0.66</v>
      </c>
      <c r="AT195" s="97">
        <f t="shared" si="948"/>
        <v>3.1546732799999999</v>
      </c>
      <c r="AU195" s="97">
        <v>0.308</v>
      </c>
      <c r="AV195" s="97">
        <f t="shared" si="949"/>
        <v>1.5087929472000001</v>
      </c>
      <c r="AW195" s="97">
        <v>0.65300000000000002</v>
      </c>
      <c r="AX195" s="97">
        <f>O195*AW195*$AX$2/1000</f>
        <v>3.2624151648000002</v>
      </c>
      <c r="AY195" s="97">
        <f t="shared" si="951"/>
        <v>1.621</v>
      </c>
      <c r="AZ195" s="97">
        <f t="shared" si="952"/>
        <v>7.925881392</v>
      </c>
      <c r="BA195" s="97">
        <f t="shared" si="953"/>
        <v>5.4889999999999999</v>
      </c>
      <c r="BB195" s="97">
        <f t="shared" si="954"/>
        <v>26.471193935999999</v>
      </c>
      <c r="BC195" s="1" t="s">
        <v>1780</v>
      </c>
    </row>
    <row r="196" spans="1:55">
      <c r="A196" s="498">
        <v>137</v>
      </c>
      <c r="B196" s="13"/>
      <c r="C196" s="23"/>
      <c r="D196" s="36"/>
      <c r="E196" s="24" t="s">
        <v>1758</v>
      </c>
      <c r="F196" s="371" t="s">
        <v>1757</v>
      </c>
      <c r="G196" s="371" t="s">
        <v>1105</v>
      </c>
      <c r="H196" s="285" t="s">
        <v>366</v>
      </c>
      <c r="I196" s="310"/>
      <c r="J196" s="311"/>
      <c r="K196" s="310">
        <v>3.37</v>
      </c>
      <c r="L196" s="311"/>
      <c r="M196" s="310">
        <v>3.37</v>
      </c>
      <c r="N196" s="311"/>
      <c r="O196" s="310">
        <v>3.37</v>
      </c>
      <c r="P196" s="311"/>
      <c r="Q196" s="134">
        <f t="shared" ref="Q196" si="1419">SUM(AI196+BA196)</f>
        <v>75.87</v>
      </c>
      <c r="R196" s="347">
        <f>SUM(AJ196+BB196)</f>
        <v>349.10315994440003</v>
      </c>
      <c r="S196" s="134"/>
      <c r="T196" s="134">
        <f t="shared" ref="T196" si="1420">I196*S196*$T$2/1000</f>
        <v>0</v>
      </c>
      <c r="U196" s="134"/>
      <c r="V196" s="134">
        <f t="shared" ref="V196" si="1421">I196*U196*$V$2/1000</f>
        <v>0</v>
      </c>
      <c r="W196" s="134"/>
      <c r="X196" s="134">
        <f t="shared" ref="X196" si="1422">I196*W196*$X$2/1000</f>
        <v>0</v>
      </c>
      <c r="Y196" s="134">
        <f t="shared" ref="Y196" si="1423">SUM(S196+U196+W196)</f>
        <v>0</v>
      </c>
      <c r="Z196" s="134">
        <f t="shared" ref="Z196" si="1424">SUM(T196+V196+X196)</f>
        <v>0</v>
      </c>
      <c r="AA196" s="134"/>
      <c r="AB196" s="134">
        <f t="shared" si="937"/>
        <v>0</v>
      </c>
      <c r="AC196" s="134">
        <v>1.056</v>
      </c>
      <c r="AD196" s="134">
        <f t="shared" ref="AD196" si="1425">K196*AC196*$AD$2/1000</f>
        <v>4.8741296736000006</v>
      </c>
      <c r="AE196" s="134">
        <v>2.992</v>
      </c>
      <c r="AF196" s="411">
        <f t="shared" si="955"/>
        <v>13.902798043200001</v>
      </c>
      <c r="AG196" s="134">
        <f t="shared" ref="AG196" si="1426">SUM(AA196+AC196+AE196)</f>
        <v>4.048</v>
      </c>
      <c r="AH196" s="134">
        <f t="shared" ref="AH196" si="1427">SUM(AB196+AD196+AF196)</f>
        <v>18.776927716800003</v>
      </c>
      <c r="AI196" s="134">
        <f t="shared" ref="AI196" si="1428">SUM(Y196+AG196)</f>
        <v>4.048</v>
      </c>
      <c r="AJ196" s="134">
        <f t="shared" ref="AJ196" si="1429">SUM(Z196,AH196)</f>
        <v>18.776927716800003</v>
      </c>
      <c r="AK196" s="134">
        <v>4.9720000000000004</v>
      </c>
      <c r="AL196" s="134">
        <f t="shared" ref="AL196" si="1430">M196*AK196*$AL$2/1000</f>
        <v>23.1743905712</v>
      </c>
      <c r="AM196" s="134">
        <v>1.246</v>
      </c>
      <c r="AN196" s="134">
        <f t="shared" ref="AN196" si="1431">M196*AM196*$AN$2/1000</f>
        <v>5.7152861219999993</v>
      </c>
      <c r="AO196" s="134">
        <v>29.436</v>
      </c>
      <c r="AP196" s="134">
        <f t="shared" ref="AP196" si="1432">M196*AO196*$AP$2/1000</f>
        <v>132.17218197480003</v>
      </c>
      <c r="AQ196" s="134">
        <f t="shared" ref="AQ196" si="1433">SUM(AK196+AM196+AO196)</f>
        <v>35.653999999999996</v>
      </c>
      <c r="AR196" s="134">
        <f t="shared" ref="AR196" si="1434">SUM(AL196+AN196+AP196)</f>
        <v>161.06185866800001</v>
      </c>
      <c r="AS196" s="134">
        <v>10.956</v>
      </c>
      <c r="AT196" s="134">
        <f t="shared" ref="AT196" si="1435">O196*AS196*$AT$2/1000</f>
        <v>50.136003588000008</v>
      </c>
      <c r="AU196" s="134">
        <v>15.708</v>
      </c>
      <c r="AV196" s="134">
        <f t="shared" ref="AV196" si="1436">O196*AU196*$AV$2/1000</f>
        <v>73.669387453200002</v>
      </c>
      <c r="AW196" s="134">
        <v>9.5039999999999996</v>
      </c>
      <c r="AX196" s="134">
        <f>O196*AW196*$AX$2/1000</f>
        <v>45.458982518399999</v>
      </c>
      <c r="AY196" s="134">
        <f t="shared" ref="AY196" si="1437">SUM(AS196+AU196+AW196)</f>
        <v>36.167999999999999</v>
      </c>
      <c r="AZ196" s="134">
        <f t="shared" ref="AZ196" si="1438">SUM(AT196+AV196+AX196)</f>
        <v>169.26437355960002</v>
      </c>
      <c r="BA196" s="134">
        <f t="shared" ref="BA196" si="1439">SUM(AQ196+AY196)</f>
        <v>71.822000000000003</v>
      </c>
      <c r="BB196" s="134">
        <f t="shared" ref="BB196" si="1440">SUM(AR196,AZ196)</f>
        <v>330.32623222760003</v>
      </c>
      <c r="BC196" s="1" t="s">
        <v>1782</v>
      </c>
    </row>
    <row r="197" spans="1:55">
      <c r="A197" s="498">
        <v>138</v>
      </c>
      <c r="B197" s="26"/>
      <c r="C197" s="26"/>
      <c r="D197" s="27"/>
      <c r="E197" s="354" t="s">
        <v>337</v>
      </c>
      <c r="F197" s="39"/>
      <c r="G197" s="39"/>
      <c r="H197" s="276"/>
      <c r="I197" s="48"/>
      <c r="J197" s="318"/>
      <c r="K197" s="48"/>
      <c r="L197" s="319"/>
      <c r="M197" s="48"/>
      <c r="N197" s="319"/>
      <c r="O197" s="141"/>
      <c r="P197" s="318"/>
      <c r="Q197" s="216">
        <f t="shared" ref="Q197:BB197" si="1441">SUM(Q145:Q196)</f>
        <v>2651.7910000000002</v>
      </c>
      <c r="R197" s="216">
        <f t="shared" si="1441"/>
        <v>21815.554720302596</v>
      </c>
      <c r="S197" s="216">
        <f t="shared" si="1441"/>
        <v>124.32299999999999</v>
      </c>
      <c r="T197" s="216">
        <f t="shared" si="1441"/>
        <v>1214.3894107740002</v>
      </c>
      <c r="U197" s="216">
        <f t="shared" si="1441"/>
        <v>151.41800000000001</v>
      </c>
      <c r="V197" s="216">
        <f t="shared" si="1441"/>
        <v>1686.92484928</v>
      </c>
      <c r="W197" s="216">
        <f t="shared" si="1441"/>
        <v>214.29399999999998</v>
      </c>
      <c r="X197" s="216">
        <f t="shared" si="1441"/>
        <v>1700.1541643880003</v>
      </c>
      <c r="Y197" s="216">
        <f t="shared" si="1441"/>
        <v>490.03499999999997</v>
      </c>
      <c r="Z197" s="216">
        <f t="shared" si="1441"/>
        <v>4601.4684244419996</v>
      </c>
      <c r="AA197" s="216">
        <f t="shared" si="1441"/>
        <v>303.41800000000001</v>
      </c>
      <c r="AB197" s="216">
        <f t="shared" si="1441"/>
        <v>2593.7401688512</v>
      </c>
      <c r="AC197" s="216">
        <f t="shared" si="1441"/>
        <v>113.27199999999999</v>
      </c>
      <c r="AD197" s="216">
        <f t="shared" si="1441"/>
        <v>1426.8986405086002</v>
      </c>
      <c r="AE197" s="216">
        <f t="shared" si="1441"/>
        <v>240.042</v>
      </c>
      <c r="AF197" s="410">
        <f t="shared" si="1441"/>
        <v>2168.6164886244001</v>
      </c>
      <c r="AG197" s="216">
        <f t="shared" si="1441"/>
        <v>656.73200000000008</v>
      </c>
      <c r="AH197" s="216">
        <f t="shared" si="1441"/>
        <v>6189.2552979841985</v>
      </c>
      <c r="AI197" s="216">
        <f t="shared" si="1441"/>
        <v>1146.7670000000003</v>
      </c>
      <c r="AJ197" s="216">
        <f t="shared" si="1441"/>
        <v>10790.723722426201</v>
      </c>
      <c r="AK197" s="216">
        <f t="shared" si="1441"/>
        <v>218.12299999999999</v>
      </c>
      <c r="AL197" s="216">
        <f t="shared" si="1441"/>
        <v>2119.5070868752005</v>
      </c>
      <c r="AM197" s="216">
        <f t="shared" si="1441"/>
        <v>224.76600000000002</v>
      </c>
      <c r="AN197" s="216">
        <f t="shared" si="1441"/>
        <v>2024.2870734059995</v>
      </c>
      <c r="AO197" s="216">
        <f t="shared" si="1441"/>
        <v>281.94599999999997</v>
      </c>
      <c r="AP197" s="216">
        <f t="shared" si="1441"/>
        <v>1949.2699950684002</v>
      </c>
      <c r="AQ197" s="216">
        <f t="shared" si="1441"/>
        <v>724.83500000000015</v>
      </c>
      <c r="AR197" s="216">
        <f t="shared" si="1441"/>
        <v>6093.0641553495998</v>
      </c>
      <c r="AS197" s="216">
        <f t="shared" si="1441"/>
        <v>294.91100000000006</v>
      </c>
      <c r="AT197" s="216">
        <f t="shared" si="1441"/>
        <v>1651.1472227180002</v>
      </c>
      <c r="AU197" s="216">
        <f t="shared" si="1441"/>
        <v>292.43100000000004</v>
      </c>
      <c r="AV197" s="216">
        <f t="shared" si="1441"/>
        <v>1644.0036520572</v>
      </c>
      <c r="AW197" s="216">
        <f t="shared" si="1441"/>
        <v>192.84699999999998</v>
      </c>
      <c r="AX197" s="216">
        <f t="shared" si="1441"/>
        <v>1636.6159677515998</v>
      </c>
      <c r="AY197" s="216">
        <f t="shared" si="1441"/>
        <v>780.18900000000008</v>
      </c>
      <c r="AZ197" s="216">
        <f t="shared" si="1441"/>
        <v>4931.7668425268002</v>
      </c>
      <c r="BA197" s="216">
        <f t="shared" si="1441"/>
        <v>1505.0239999999999</v>
      </c>
      <c r="BB197" s="216">
        <f t="shared" si="1441"/>
        <v>11024.830997876401</v>
      </c>
      <c r="BC197" s="1" t="s">
        <v>1781</v>
      </c>
    </row>
    <row r="198" spans="1:55">
      <c r="A198" s="498">
        <v>139</v>
      </c>
      <c r="B198" s="13"/>
      <c r="C198" s="13"/>
      <c r="D198" s="355" t="s">
        <v>241</v>
      </c>
      <c r="E198" s="31" t="s">
        <v>477</v>
      </c>
      <c r="F198" s="314" t="s">
        <v>439</v>
      </c>
      <c r="G198" s="314" t="s">
        <v>1105</v>
      </c>
      <c r="H198" s="274" t="s">
        <v>365</v>
      </c>
      <c r="I198" s="62">
        <v>15.27</v>
      </c>
      <c r="J198" s="164"/>
      <c r="K198" s="62">
        <v>15.27</v>
      </c>
      <c r="L198" s="164"/>
      <c r="M198" s="62">
        <v>15.27</v>
      </c>
      <c r="N198" s="164"/>
      <c r="O198" s="62">
        <v>15.27</v>
      </c>
      <c r="P198" s="164"/>
      <c r="Q198" s="122">
        <f>SUM(AI198+BA198)</f>
        <v>0</v>
      </c>
      <c r="R198" s="346">
        <f>SUM(AJ198+BB198)</f>
        <v>0</v>
      </c>
      <c r="S198" s="122"/>
      <c r="T198" s="122">
        <f>I198*S198*$T$2/1000</f>
        <v>0</v>
      </c>
      <c r="U198" s="122"/>
      <c r="V198" s="122">
        <f>I198*U198*$V$2/1000</f>
        <v>0</v>
      </c>
      <c r="W198" s="122"/>
      <c r="X198" s="122">
        <f t="shared" ref="X198:X205" si="1442">I198*W198*$X$2/1000</f>
        <v>0</v>
      </c>
      <c r="Y198" s="122">
        <f>SUM(S198+U198+W198)</f>
        <v>0</v>
      </c>
      <c r="Z198" s="122">
        <f>SUM(T198+V198+X198)</f>
        <v>0</v>
      </c>
      <c r="AA198" s="122"/>
      <c r="AB198" s="122">
        <f t="shared" ref="AB198:AB209" si="1443">K198*AA198*$AB$2/1000</f>
        <v>0</v>
      </c>
      <c r="AC198" s="122"/>
      <c r="AD198" s="122">
        <f>K198*AC198*$AD$2/1000</f>
        <v>0</v>
      </c>
      <c r="AE198" s="122"/>
      <c r="AF198" s="125">
        <f t="shared" ref="AF198:AF206" si="1444">K198*AE198*$AF$2/1000</f>
        <v>0</v>
      </c>
      <c r="AG198" s="122">
        <f>SUM(AA198+AC198+AE198)</f>
        <v>0</v>
      </c>
      <c r="AH198" s="122">
        <f>SUM(AB198+AD198+AF198)</f>
        <v>0</v>
      </c>
      <c r="AI198" s="122">
        <f>SUM(Y198+AG198)</f>
        <v>0</v>
      </c>
      <c r="AJ198" s="122">
        <f>SUM(Z198,AH198)</f>
        <v>0</v>
      </c>
      <c r="AK198" s="122"/>
      <c r="AL198" s="122">
        <f>M198*AK198*$AL$2/1000</f>
        <v>0</v>
      </c>
      <c r="AM198" s="122"/>
      <c r="AN198" s="122">
        <f>M198*AM198*$AN$2/1000</f>
        <v>0</v>
      </c>
      <c r="AO198" s="122"/>
      <c r="AP198" s="122">
        <f>M198*AO198*$AP$2/1000</f>
        <v>0</v>
      </c>
      <c r="AQ198" s="122">
        <f>SUM(AK198+AM198+AO198)</f>
        <v>0</v>
      </c>
      <c r="AR198" s="122">
        <f>SUM(AL198+AN198+AP198)</f>
        <v>0</v>
      </c>
      <c r="AS198" s="122"/>
      <c r="AT198" s="122">
        <f>O198*AS198*$AT$2/1000</f>
        <v>0</v>
      </c>
      <c r="AU198" s="122"/>
      <c r="AV198" s="122">
        <f>O198*AU198*$AV$2/1000</f>
        <v>0</v>
      </c>
      <c r="AW198" s="122"/>
      <c r="AX198" s="122">
        <f>O198*AW198*$AX$2/1000</f>
        <v>0</v>
      </c>
      <c r="AY198" s="122">
        <f>SUM(AS198+AU198+AW198)</f>
        <v>0</v>
      </c>
      <c r="AZ198" s="122">
        <f>SUM(AT198+AV198+AX198)</f>
        <v>0</v>
      </c>
      <c r="BA198" s="122">
        <f>SUM(AQ198+AY198)</f>
        <v>0</v>
      </c>
      <c r="BB198" s="122">
        <f>SUM(AR198,AZ198)</f>
        <v>0</v>
      </c>
      <c r="BC198" s="1" t="s">
        <v>1780</v>
      </c>
    </row>
    <row r="199" spans="1:55">
      <c r="A199" s="498">
        <v>140</v>
      </c>
      <c r="B199" s="13"/>
      <c r="C199" s="13"/>
      <c r="D199" s="13"/>
      <c r="E199" s="21" t="s">
        <v>531</v>
      </c>
      <c r="F199" s="46" t="s">
        <v>530</v>
      </c>
      <c r="G199" s="46" t="s">
        <v>1105</v>
      </c>
      <c r="H199" s="268" t="s">
        <v>365</v>
      </c>
      <c r="I199" s="55">
        <v>15.47</v>
      </c>
      <c r="J199" s="163"/>
      <c r="K199" s="55">
        <v>15.47</v>
      </c>
      <c r="L199" s="163"/>
      <c r="M199" s="55">
        <v>15.47</v>
      </c>
      <c r="N199" s="163"/>
      <c r="O199" s="55">
        <v>15.47</v>
      </c>
      <c r="P199" s="163"/>
      <c r="Q199" s="97">
        <f t="shared" ref="Q199" si="1445">SUM(AI199+BA199)</f>
        <v>0</v>
      </c>
      <c r="R199" s="342">
        <f t="shared" ref="R199" si="1446">SUM(AJ199+BB199)</f>
        <v>0</v>
      </c>
      <c r="S199" s="97"/>
      <c r="T199" s="97">
        <f>I199*S199*$T$2/1000</f>
        <v>0</v>
      </c>
      <c r="U199" s="97"/>
      <c r="V199" s="97">
        <f t="shared" ref="V199" si="1447">I199*U199*$V$2/1000</f>
        <v>0</v>
      </c>
      <c r="W199" s="97"/>
      <c r="X199" s="97">
        <f t="shared" si="1442"/>
        <v>0</v>
      </c>
      <c r="Y199" s="97">
        <f t="shared" ref="Y199" si="1448">SUM(S199+U199+W199)</f>
        <v>0</v>
      </c>
      <c r="Z199" s="97">
        <f t="shared" ref="Z199" si="1449">SUM(T199+V199+X199)</f>
        <v>0</v>
      </c>
      <c r="AA199" s="97"/>
      <c r="AB199" s="97">
        <f t="shared" si="1443"/>
        <v>0</v>
      </c>
      <c r="AC199" s="97"/>
      <c r="AD199" s="97">
        <f t="shared" ref="AD199" si="1450">K199*AC199*$AD$2/1000</f>
        <v>0</v>
      </c>
      <c r="AE199" s="97"/>
      <c r="AF199" s="96">
        <f t="shared" si="1444"/>
        <v>0</v>
      </c>
      <c r="AG199" s="97">
        <f t="shared" ref="AG199" si="1451">SUM(AA199+AC199+AE199)</f>
        <v>0</v>
      </c>
      <c r="AH199" s="97">
        <f t="shared" ref="AH199" si="1452">SUM(AB199+AD199+AF199)</f>
        <v>0</v>
      </c>
      <c r="AI199" s="97">
        <f t="shared" ref="AI199" si="1453">SUM(Y199+AG199)</f>
        <v>0</v>
      </c>
      <c r="AJ199" s="97">
        <f t="shared" ref="AJ199" si="1454">SUM(Z199,AH199)</f>
        <v>0</v>
      </c>
      <c r="AK199" s="97"/>
      <c r="AL199" s="97">
        <f t="shared" ref="AL199" si="1455">M199*AK199*$AL$2/1000</f>
        <v>0</v>
      </c>
      <c r="AM199" s="97"/>
      <c r="AN199" s="97">
        <f t="shared" ref="AN199" si="1456">M199*AM199*$AN$2/1000</f>
        <v>0</v>
      </c>
      <c r="AO199" s="97"/>
      <c r="AP199" s="97">
        <f t="shared" ref="AP199" si="1457">M199*AO199*$AP$2/1000</f>
        <v>0</v>
      </c>
      <c r="AQ199" s="97">
        <f t="shared" ref="AQ199" si="1458">SUM(AK199+AM199+AO199)</f>
        <v>0</v>
      </c>
      <c r="AR199" s="97">
        <f t="shared" ref="AR199" si="1459">SUM(AL199+AN199+AP199)</f>
        <v>0</v>
      </c>
      <c r="AS199" s="97"/>
      <c r="AT199" s="97">
        <f t="shared" ref="AT199" si="1460">O199*AS199*$AT$2/1000</f>
        <v>0</v>
      </c>
      <c r="AU199" s="97"/>
      <c r="AV199" s="97">
        <f t="shared" ref="AV199" si="1461">O199*AU199*$AV$2/1000</f>
        <v>0</v>
      </c>
      <c r="AW199" s="97"/>
      <c r="AX199" s="97">
        <f t="shared" ref="AX199" si="1462">O199*AW199*$AX$2/1000</f>
        <v>0</v>
      </c>
      <c r="AY199" s="97">
        <f t="shared" ref="AY199" si="1463">SUM(AS199+AU199+AW199)</f>
        <v>0</v>
      </c>
      <c r="AZ199" s="97">
        <f t="shared" ref="AZ199" si="1464">SUM(AT199+AV199+AX199)</f>
        <v>0</v>
      </c>
      <c r="BA199" s="97">
        <f t="shared" ref="BA199" si="1465">SUM(AQ199+AY199)</f>
        <v>0</v>
      </c>
      <c r="BB199" s="97">
        <f t="shared" ref="BB199" si="1466">SUM(AR199,AZ199)</f>
        <v>0</v>
      </c>
      <c r="BC199" s="1" t="s">
        <v>1780</v>
      </c>
    </row>
    <row r="200" spans="1:55">
      <c r="A200" s="498">
        <v>141</v>
      </c>
      <c r="B200" s="13"/>
      <c r="C200" s="13"/>
      <c r="D200" s="13"/>
      <c r="E200" s="356" t="s">
        <v>476</v>
      </c>
      <c r="F200" s="46" t="s">
        <v>474</v>
      </c>
      <c r="G200" s="46" t="s">
        <v>1105</v>
      </c>
      <c r="H200" s="268" t="s">
        <v>365</v>
      </c>
      <c r="I200" s="55">
        <v>15.3</v>
      </c>
      <c r="J200" s="163"/>
      <c r="K200" s="55">
        <v>15.3</v>
      </c>
      <c r="L200" s="163"/>
      <c r="M200" s="55">
        <v>15.3</v>
      </c>
      <c r="N200" s="163"/>
      <c r="O200" s="55">
        <v>15.3</v>
      </c>
      <c r="P200" s="163"/>
      <c r="Q200" s="97">
        <f t="shared" ref="Q200" si="1467">SUM(AI200+BA200)</f>
        <v>0</v>
      </c>
      <c r="R200" s="342">
        <f t="shared" ref="R200" si="1468">SUM(AJ200+BB200)</f>
        <v>0</v>
      </c>
      <c r="S200" s="97"/>
      <c r="T200" s="97">
        <f t="shared" ref="T200" si="1469">I200*S200*$T$2/1000</f>
        <v>0</v>
      </c>
      <c r="U200" s="97"/>
      <c r="V200" s="97">
        <f t="shared" ref="V200" si="1470">I200*U200*$V$2/1000</f>
        <v>0</v>
      </c>
      <c r="W200" s="97"/>
      <c r="X200" s="97">
        <f t="shared" si="1442"/>
        <v>0</v>
      </c>
      <c r="Y200" s="97">
        <f t="shared" ref="Y200" si="1471">SUM(S200+U200+W200)</f>
        <v>0</v>
      </c>
      <c r="Z200" s="97">
        <f t="shared" ref="Z200" si="1472">SUM(T200+V200+X200)</f>
        <v>0</v>
      </c>
      <c r="AA200" s="97"/>
      <c r="AB200" s="97">
        <f t="shared" si="1443"/>
        <v>0</v>
      </c>
      <c r="AC200" s="97"/>
      <c r="AD200" s="97">
        <f t="shared" ref="AD200" si="1473">K200*AC200*$AD$2/1000</f>
        <v>0</v>
      </c>
      <c r="AE200" s="97"/>
      <c r="AF200" s="96">
        <f t="shared" si="1444"/>
        <v>0</v>
      </c>
      <c r="AG200" s="97">
        <f t="shared" ref="AG200" si="1474">SUM(AA200+AC200+AE200)</f>
        <v>0</v>
      </c>
      <c r="AH200" s="97">
        <f t="shared" ref="AH200" si="1475">SUM(AB200+AD200+AF200)</f>
        <v>0</v>
      </c>
      <c r="AI200" s="97">
        <f t="shared" ref="AI200" si="1476">SUM(Y200+AG200)</f>
        <v>0</v>
      </c>
      <c r="AJ200" s="97">
        <f t="shared" ref="AJ200" si="1477">SUM(Z200,AH200)</f>
        <v>0</v>
      </c>
      <c r="AK200" s="97"/>
      <c r="AL200" s="97">
        <f t="shared" ref="AL200" si="1478">M200*AK200*$AL$2/1000</f>
        <v>0</v>
      </c>
      <c r="AM200" s="97"/>
      <c r="AN200" s="97">
        <f t="shared" ref="AN200" si="1479">M200*AM200*$AN$2/1000</f>
        <v>0</v>
      </c>
      <c r="AO200" s="97"/>
      <c r="AP200" s="97">
        <f t="shared" ref="AP200" si="1480">M200*AO200*$AP$2/1000</f>
        <v>0</v>
      </c>
      <c r="AQ200" s="97">
        <f t="shared" ref="AQ200" si="1481">SUM(AK200+AM200+AO200)</f>
        <v>0</v>
      </c>
      <c r="AR200" s="97">
        <f t="shared" ref="AR200" si="1482">SUM(AL200+AN200+AP200)</f>
        <v>0</v>
      </c>
      <c r="AS200" s="97"/>
      <c r="AT200" s="97">
        <f t="shared" ref="AT200" si="1483">O200*AS200*$AT$2/1000</f>
        <v>0</v>
      </c>
      <c r="AU200" s="97"/>
      <c r="AV200" s="97">
        <f t="shared" ref="AV200" si="1484">O200*AU200*$AV$2/1000</f>
        <v>0</v>
      </c>
      <c r="AW200" s="97"/>
      <c r="AX200" s="97">
        <f t="shared" ref="AX200" si="1485">O200*AW200*$AX$2/1000</f>
        <v>0</v>
      </c>
      <c r="AY200" s="97">
        <f t="shared" ref="AY200" si="1486">SUM(AS200+AU200+AW200)</f>
        <v>0</v>
      </c>
      <c r="AZ200" s="97">
        <f t="shared" ref="AZ200" si="1487">SUM(AT200+AV200+AX200)</f>
        <v>0</v>
      </c>
      <c r="BA200" s="97">
        <f t="shared" ref="BA200" si="1488">SUM(AQ200+AY200)</f>
        <v>0</v>
      </c>
      <c r="BB200" s="97">
        <f t="shared" ref="BB200" si="1489">SUM(AR200,AZ200)</f>
        <v>0</v>
      </c>
      <c r="BC200" s="1" t="s">
        <v>1780</v>
      </c>
    </row>
    <row r="201" spans="1:55">
      <c r="A201" s="498">
        <v>142</v>
      </c>
      <c r="B201" s="13"/>
      <c r="C201" s="13"/>
      <c r="D201" s="13"/>
      <c r="E201" s="21" t="s">
        <v>480</v>
      </c>
      <c r="F201" s="46" t="s">
        <v>475</v>
      </c>
      <c r="G201" s="46" t="s">
        <v>1105</v>
      </c>
      <c r="H201" s="268" t="s">
        <v>365</v>
      </c>
      <c r="I201" s="55">
        <v>15.75</v>
      </c>
      <c r="J201" s="163"/>
      <c r="K201" s="55">
        <v>15.75</v>
      </c>
      <c r="L201" s="163"/>
      <c r="M201" s="55">
        <v>15.75</v>
      </c>
      <c r="N201" s="163"/>
      <c r="O201" s="55">
        <v>15.75</v>
      </c>
      <c r="P201" s="163"/>
      <c r="Q201" s="97">
        <f t="shared" ref="Q201:R205" si="1490">SUM(AI201+BA201)</f>
        <v>0</v>
      </c>
      <c r="R201" s="342">
        <f t="shared" si="1490"/>
        <v>0</v>
      </c>
      <c r="S201" s="97"/>
      <c r="T201" s="97">
        <f t="shared" ref="T201:T205" si="1491">I201*S201*$T$2/1000</f>
        <v>0</v>
      </c>
      <c r="U201" s="97"/>
      <c r="V201" s="97">
        <f t="shared" ref="V201:V205" si="1492">I201*U201*$V$2/1000</f>
        <v>0</v>
      </c>
      <c r="W201" s="97"/>
      <c r="X201" s="97">
        <f t="shared" si="1442"/>
        <v>0</v>
      </c>
      <c r="Y201" s="97">
        <f t="shared" ref="Y201:Z205" si="1493">SUM(S201+U201+W201)</f>
        <v>0</v>
      </c>
      <c r="Z201" s="97">
        <f>SUM(T201+V201+X201)</f>
        <v>0</v>
      </c>
      <c r="AA201" s="97"/>
      <c r="AB201" s="97">
        <f t="shared" si="1443"/>
        <v>0</v>
      </c>
      <c r="AC201" s="97"/>
      <c r="AD201" s="97">
        <f t="shared" ref="AD201:AD205" si="1494">K201*AC201*$AD$2/1000</f>
        <v>0</v>
      </c>
      <c r="AE201" s="97"/>
      <c r="AF201" s="96">
        <f t="shared" si="1444"/>
        <v>0</v>
      </c>
      <c r="AG201" s="97">
        <f t="shared" ref="AG201:AH205" si="1495">SUM(AA201+AC201+AE201)</f>
        <v>0</v>
      </c>
      <c r="AH201" s="97">
        <f t="shared" si="1495"/>
        <v>0</v>
      </c>
      <c r="AI201" s="97">
        <f t="shared" ref="AI201:AI205" si="1496">SUM(Y201+AG201)</f>
        <v>0</v>
      </c>
      <c r="AJ201" s="97">
        <f t="shared" ref="AJ201:AJ205" si="1497">SUM(Z201,AH201)</f>
        <v>0</v>
      </c>
      <c r="AK201" s="97"/>
      <c r="AL201" s="97">
        <f t="shared" ref="AL201:AL205" si="1498">M201*AK201*$AL$2/1000</f>
        <v>0</v>
      </c>
      <c r="AM201" s="97"/>
      <c r="AN201" s="97">
        <f t="shared" ref="AN201:AN205" si="1499">M201*AM201*$AN$2/1000</f>
        <v>0</v>
      </c>
      <c r="AO201" s="97"/>
      <c r="AP201" s="97">
        <f t="shared" ref="AP201:AP205" si="1500">M201*AO201*$AP$2/1000</f>
        <v>0</v>
      </c>
      <c r="AQ201" s="97">
        <f t="shared" ref="AQ201:AR205" si="1501">SUM(AK201+AM201+AO201)</f>
        <v>0</v>
      </c>
      <c r="AR201" s="97">
        <f t="shared" si="1501"/>
        <v>0</v>
      </c>
      <c r="AS201" s="97"/>
      <c r="AT201" s="97">
        <f t="shared" ref="AT201:AT206" si="1502">O201*AS201*$AT$2/1000</f>
        <v>0</v>
      </c>
      <c r="AU201" s="97"/>
      <c r="AV201" s="97">
        <f t="shared" ref="AV201:AV205" si="1503">O201*AU201*$AV$2/1000</f>
        <v>0</v>
      </c>
      <c r="AW201" s="97"/>
      <c r="AX201" s="97">
        <f t="shared" ref="AX201:AX205" si="1504">O201*AW201*$AX$2/1000</f>
        <v>0</v>
      </c>
      <c r="AY201" s="97">
        <f t="shared" ref="AY201:AZ205" si="1505">SUM(AS201+AU201+AW201)</f>
        <v>0</v>
      </c>
      <c r="AZ201" s="97">
        <f t="shared" si="1505"/>
        <v>0</v>
      </c>
      <c r="BA201" s="97">
        <f t="shared" ref="BA201:BA205" si="1506">SUM(AQ201+AY201)</f>
        <v>0</v>
      </c>
      <c r="BB201" s="97">
        <f t="shared" ref="BB201:BB205" si="1507">SUM(AR201,AZ201)</f>
        <v>0</v>
      </c>
      <c r="BC201" s="1" t="s">
        <v>1780</v>
      </c>
    </row>
    <row r="202" spans="1:55">
      <c r="A202" s="498">
        <v>143</v>
      </c>
      <c r="B202" s="13"/>
      <c r="C202" s="13"/>
      <c r="D202" s="355"/>
      <c r="E202" s="21" t="s">
        <v>153</v>
      </c>
      <c r="F202" s="46" t="s">
        <v>244</v>
      </c>
      <c r="G202" s="46" t="s">
        <v>1105</v>
      </c>
      <c r="H202" s="268" t="s">
        <v>365</v>
      </c>
      <c r="I202" s="18">
        <v>5.77</v>
      </c>
      <c r="J202" s="158"/>
      <c r="K202" s="18">
        <v>5.77</v>
      </c>
      <c r="L202" s="158"/>
      <c r="M202" s="18">
        <v>5.77</v>
      </c>
      <c r="N202" s="158"/>
      <c r="O202" s="18">
        <v>5.77</v>
      </c>
      <c r="P202" s="158"/>
      <c r="Q202" s="97">
        <f t="shared" si="1490"/>
        <v>0</v>
      </c>
      <c r="R202" s="342">
        <f t="shared" si="1490"/>
        <v>0</v>
      </c>
      <c r="S202" s="97"/>
      <c r="T202" s="97">
        <f t="shared" si="1491"/>
        <v>0</v>
      </c>
      <c r="U202" s="97"/>
      <c r="V202" s="97">
        <f t="shared" si="1492"/>
        <v>0</v>
      </c>
      <c r="W202" s="97"/>
      <c r="X202" s="97">
        <f t="shared" si="1442"/>
        <v>0</v>
      </c>
      <c r="Y202" s="97">
        <f t="shared" si="1493"/>
        <v>0</v>
      </c>
      <c r="Z202" s="97">
        <f t="shared" si="1493"/>
        <v>0</v>
      </c>
      <c r="AA202" s="97"/>
      <c r="AB202" s="97">
        <f t="shared" si="1443"/>
        <v>0</v>
      </c>
      <c r="AC202" s="97"/>
      <c r="AD202" s="97">
        <f t="shared" si="1494"/>
        <v>0</v>
      </c>
      <c r="AE202" s="97"/>
      <c r="AF202" s="96">
        <f t="shared" si="1444"/>
        <v>0</v>
      </c>
      <c r="AG202" s="97">
        <f t="shared" si="1495"/>
        <v>0</v>
      </c>
      <c r="AH202" s="97">
        <f t="shared" si="1495"/>
        <v>0</v>
      </c>
      <c r="AI202" s="97">
        <f t="shared" si="1496"/>
        <v>0</v>
      </c>
      <c r="AJ202" s="97">
        <f t="shared" si="1497"/>
        <v>0</v>
      </c>
      <c r="AK202" s="97"/>
      <c r="AL202" s="97">
        <f t="shared" si="1498"/>
        <v>0</v>
      </c>
      <c r="AM202" s="97"/>
      <c r="AN202" s="97">
        <f t="shared" si="1499"/>
        <v>0</v>
      </c>
      <c r="AO202" s="97"/>
      <c r="AP202" s="97">
        <f t="shared" si="1500"/>
        <v>0</v>
      </c>
      <c r="AQ202" s="97">
        <f t="shared" si="1501"/>
        <v>0</v>
      </c>
      <c r="AR202" s="97">
        <f t="shared" si="1501"/>
        <v>0</v>
      </c>
      <c r="AS202" s="97"/>
      <c r="AT202" s="97">
        <f t="shared" si="1502"/>
        <v>0</v>
      </c>
      <c r="AU202" s="97"/>
      <c r="AV202" s="97">
        <f t="shared" si="1503"/>
        <v>0</v>
      </c>
      <c r="AW202" s="97"/>
      <c r="AX202" s="97">
        <f t="shared" si="1504"/>
        <v>0</v>
      </c>
      <c r="AY202" s="97">
        <f t="shared" si="1505"/>
        <v>0</v>
      </c>
      <c r="AZ202" s="97">
        <f t="shared" si="1505"/>
        <v>0</v>
      </c>
      <c r="BA202" s="97">
        <f t="shared" si="1506"/>
        <v>0</v>
      </c>
      <c r="BB202" s="97">
        <f t="shared" si="1507"/>
        <v>0</v>
      </c>
      <c r="BC202" s="1" t="s">
        <v>1780</v>
      </c>
    </row>
    <row r="203" spans="1:55">
      <c r="A203" s="498">
        <v>144</v>
      </c>
      <c r="B203" s="13"/>
      <c r="C203" s="23"/>
      <c r="D203" s="36"/>
      <c r="E203" s="21" t="s">
        <v>74</v>
      </c>
      <c r="F203" s="46" t="s">
        <v>245</v>
      </c>
      <c r="G203" s="46" t="s">
        <v>1105</v>
      </c>
      <c r="H203" s="268" t="s">
        <v>365</v>
      </c>
      <c r="I203" s="18">
        <v>6.97</v>
      </c>
      <c r="J203" s="158"/>
      <c r="K203" s="18">
        <v>6.97</v>
      </c>
      <c r="L203" s="158"/>
      <c r="M203" s="18">
        <v>6.97</v>
      </c>
      <c r="N203" s="158"/>
      <c r="O203" s="18">
        <v>6.97</v>
      </c>
      <c r="P203" s="158"/>
      <c r="Q203" s="97">
        <f t="shared" si="1490"/>
        <v>0</v>
      </c>
      <c r="R203" s="342">
        <f t="shared" si="1490"/>
        <v>0</v>
      </c>
      <c r="S203" s="97"/>
      <c r="T203" s="97">
        <f t="shared" si="1491"/>
        <v>0</v>
      </c>
      <c r="U203" s="97"/>
      <c r="V203" s="97">
        <f t="shared" si="1492"/>
        <v>0</v>
      </c>
      <c r="W203" s="97"/>
      <c r="X203" s="97">
        <f t="shared" si="1442"/>
        <v>0</v>
      </c>
      <c r="Y203" s="97">
        <f t="shared" si="1493"/>
        <v>0</v>
      </c>
      <c r="Z203" s="97">
        <f t="shared" si="1493"/>
        <v>0</v>
      </c>
      <c r="AA203" s="97"/>
      <c r="AB203" s="97">
        <f t="shared" si="1443"/>
        <v>0</v>
      </c>
      <c r="AC203" s="97"/>
      <c r="AD203" s="97">
        <f t="shared" si="1494"/>
        <v>0</v>
      </c>
      <c r="AE203" s="97"/>
      <c r="AF203" s="96">
        <f t="shared" si="1444"/>
        <v>0</v>
      </c>
      <c r="AG203" s="97">
        <f t="shared" si="1495"/>
        <v>0</v>
      </c>
      <c r="AH203" s="97">
        <f t="shared" si="1495"/>
        <v>0</v>
      </c>
      <c r="AI203" s="97">
        <f t="shared" si="1496"/>
        <v>0</v>
      </c>
      <c r="AJ203" s="97">
        <f t="shared" si="1497"/>
        <v>0</v>
      </c>
      <c r="AK203" s="97"/>
      <c r="AL203" s="97">
        <f t="shared" si="1498"/>
        <v>0</v>
      </c>
      <c r="AM203" s="97"/>
      <c r="AN203" s="97">
        <f t="shared" si="1499"/>
        <v>0</v>
      </c>
      <c r="AO203" s="97"/>
      <c r="AP203" s="97">
        <f t="shared" si="1500"/>
        <v>0</v>
      </c>
      <c r="AQ203" s="97">
        <f t="shared" si="1501"/>
        <v>0</v>
      </c>
      <c r="AR203" s="97">
        <f t="shared" si="1501"/>
        <v>0</v>
      </c>
      <c r="AS203" s="97"/>
      <c r="AT203" s="97">
        <f t="shared" si="1502"/>
        <v>0</v>
      </c>
      <c r="AU203" s="97"/>
      <c r="AV203" s="97">
        <f t="shared" si="1503"/>
        <v>0</v>
      </c>
      <c r="AW203" s="97"/>
      <c r="AX203" s="97">
        <f t="shared" si="1504"/>
        <v>0</v>
      </c>
      <c r="AY203" s="97">
        <f t="shared" si="1505"/>
        <v>0</v>
      </c>
      <c r="AZ203" s="97">
        <f t="shared" si="1505"/>
        <v>0</v>
      </c>
      <c r="BA203" s="97">
        <f t="shared" si="1506"/>
        <v>0</v>
      </c>
      <c r="BB203" s="97">
        <f t="shared" si="1507"/>
        <v>0</v>
      </c>
      <c r="BC203" s="1" t="s">
        <v>1780</v>
      </c>
    </row>
    <row r="204" spans="1:55">
      <c r="A204" s="498">
        <v>145</v>
      </c>
      <c r="B204" s="13"/>
      <c r="C204" s="23"/>
      <c r="D204" s="36"/>
      <c r="E204" s="21" t="s">
        <v>75</v>
      </c>
      <c r="F204" s="46" t="s">
        <v>246</v>
      </c>
      <c r="G204" s="46" t="s">
        <v>1105</v>
      </c>
      <c r="H204" s="268" t="s">
        <v>365</v>
      </c>
      <c r="I204" s="18">
        <v>5.71</v>
      </c>
      <c r="J204" s="158"/>
      <c r="K204" s="18">
        <v>5.71</v>
      </c>
      <c r="L204" s="158"/>
      <c r="M204" s="18">
        <v>5.71</v>
      </c>
      <c r="N204" s="158"/>
      <c r="O204" s="18">
        <v>5.71</v>
      </c>
      <c r="P204" s="158"/>
      <c r="Q204" s="97">
        <f t="shared" si="1490"/>
        <v>0</v>
      </c>
      <c r="R204" s="342">
        <f t="shared" si="1490"/>
        <v>0</v>
      </c>
      <c r="S204" s="97"/>
      <c r="T204" s="97">
        <f t="shared" si="1491"/>
        <v>0</v>
      </c>
      <c r="U204" s="97"/>
      <c r="V204" s="97">
        <f t="shared" si="1492"/>
        <v>0</v>
      </c>
      <c r="W204" s="97"/>
      <c r="X204" s="97">
        <f t="shared" si="1442"/>
        <v>0</v>
      </c>
      <c r="Y204" s="97">
        <f t="shared" si="1493"/>
        <v>0</v>
      </c>
      <c r="Z204" s="97">
        <f t="shared" si="1493"/>
        <v>0</v>
      </c>
      <c r="AA204" s="97"/>
      <c r="AB204" s="97">
        <f t="shared" si="1443"/>
        <v>0</v>
      </c>
      <c r="AC204" s="97"/>
      <c r="AD204" s="97">
        <f t="shared" si="1494"/>
        <v>0</v>
      </c>
      <c r="AE204" s="97"/>
      <c r="AF204" s="96">
        <f t="shared" si="1444"/>
        <v>0</v>
      </c>
      <c r="AG204" s="97">
        <f t="shared" si="1495"/>
        <v>0</v>
      </c>
      <c r="AH204" s="97">
        <f t="shared" si="1495"/>
        <v>0</v>
      </c>
      <c r="AI204" s="97">
        <f t="shared" si="1496"/>
        <v>0</v>
      </c>
      <c r="AJ204" s="97">
        <f t="shared" si="1497"/>
        <v>0</v>
      </c>
      <c r="AK204" s="97"/>
      <c r="AL204" s="97">
        <f t="shared" si="1498"/>
        <v>0</v>
      </c>
      <c r="AM204" s="97"/>
      <c r="AN204" s="97">
        <f t="shared" si="1499"/>
        <v>0</v>
      </c>
      <c r="AO204" s="97"/>
      <c r="AP204" s="97">
        <f t="shared" si="1500"/>
        <v>0</v>
      </c>
      <c r="AQ204" s="97">
        <f t="shared" si="1501"/>
        <v>0</v>
      </c>
      <c r="AR204" s="97">
        <f t="shared" si="1501"/>
        <v>0</v>
      </c>
      <c r="AS204" s="97"/>
      <c r="AT204" s="97">
        <f t="shared" si="1502"/>
        <v>0</v>
      </c>
      <c r="AU204" s="97"/>
      <c r="AV204" s="97">
        <f t="shared" si="1503"/>
        <v>0</v>
      </c>
      <c r="AW204" s="97"/>
      <c r="AX204" s="97">
        <f t="shared" si="1504"/>
        <v>0</v>
      </c>
      <c r="AY204" s="97">
        <f t="shared" si="1505"/>
        <v>0</v>
      </c>
      <c r="AZ204" s="97">
        <f t="shared" si="1505"/>
        <v>0</v>
      </c>
      <c r="BA204" s="97">
        <f t="shared" si="1506"/>
        <v>0</v>
      </c>
      <c r="BB204" s="97">
        <f t="shared" si="1507"/>
        <v>0</v>
      </c>
      <c r="BC204" s="1" t="s">
        <v>1780</v>
      </c>
    </row>
    <row r="205" spans="1:55">
      <c r="A205" s="498">
        <v>146</v>
      </c>
      <c r="B205" s="13"/>
      <c r="C205" s="23"/>
      <c r="D205" s="13"/>
      <c r="E205" s="21" t="s">
        <v>76</v>
      </c>
      <c r="F205" s="46" t="s">
        <v>247</v>
      </c>
      <c r="G205" s="46" t="s">
        <v>1105</v>
      </c>
      <c r="H205" s="268" t="s">
        <v>365</v>
      </c>
      <c r="I205" s="18">
        <v>6.45</v>
      </c>
      <c r="J205" s="158"/>
      <c r="K205" s="18">
        <v>6.45</v>
      </c>
      <c r="L205" s="158"/>
      <c r="M205" s="18">
        <v>6.45</v>
      </c>
      <c r="N205" s="158"/>
      <c r="O205" s="18">
        <v>6.45</v>
      </c>
      <c r="P205" s="158"/>
      <c r="Q205" s="97">
        <f t="shared" si="1490"/>
        <v>0</v>
      </c>
      <c r="R205" s="342">
        <f t="shared" si="1490"/>
        <v>0</v>
      </c>
      <c r="S205" s="97"/>
      <c r="T205" s="97">
        <f t="shared" si="1491"/>
        <v>0</v>
      </c>
      <c r="U205" s="97"/>
      <c r="V205" s="97">
        <f t="shared" si="1492"/>
        <v>0</v>
      </c>
      <c r="W205" s="97"/>
      <c r="X205" s="97">
        <f t="shared" si="1442"/>
        <v>0</v>
      </c>
      <c r="Y205" s="97">
        <f t="shared" si="1493"/>
        <v>0</v>
      </c>
      <c r="Z205" s="97">
        <f t="shared" si="1493"/>
        <v>0</v>
      </c>
      <c r="AA205" s="97"/>
      <c r="AB205" s="97">
        <f t="shared" si="1443"/>
        <v>0</v>
      </c>
      <c r="AC205" s="97"/>
      <c r="AD205" s="97">
        <f t="shared" si="1494"/>
        <v>0</v>
      </c>
      <c r="AE205" s="97"/>
      <c r="AF205" s="96">
        <f t="shared" si="1444"/>
        <v>0</v>
      </c>
      <c r="AG205" s="97">
        <f t="shared" si="1495"/>
        <v>0</v>
      </c>
      <c r="AH205" s="97">
        <f t="shared" si="1495"/>
        <v>0</v>
      </c>
      <c r="AI205" s="97">
        <f t="shared" si="1496"/>
        <v>0</v>
      </c>
      <c r="AJ205" s="97">
        <f t="shared" si="1497"/>
        <v>0</v>
      </c>
      <c r="AK205" s="97"/>
      <c r="AL205" s="97">
        <f t="shared" si="1498"/>
        <v>0</v>
      </c>
      <c r="AM205" s="97"/>
      <c r="AN205" s="97">
        <f t="shared" si="1499"/>
        <v>0</v>
      </c>
      <c r="AO205" s="97"/>
      <c r="AP205" s="97">
        <f t="shared" si="1500"/>
        <v>0</v>
      </c>
      <c r="AQ205" s="97">
        <f t="shared" si="1501"/>
        <v>0</v>
      </c>
      <c r="AR205" s="97">
        <f t="shared" si="1501"/>
        <v>0</v>
      </c>
      <c r="AS205" s="97"/>
      <c r="AT205" s="97">
        <f t="shared" si="1502"/>
        <v>0</v>
      </c>
      <c r="AU205" s="97"/>
      <c r="AV205" s="97">
        <f t="shared" si="1503"/>
        <v>0</v>
      </c>
      <c r="AW205" s="97"/>
      <c r="AX205" s="97">
        <f t="shared" si="1504"/>
        <v>0</v>
      </c>
      <c r="AY205" s="97">
        <f t="shared" si="1505"/>
        <v>0</v>
      </c>
      <c r="AZ205" s="97">
        <f t="shared" si="1505"/>
        <v>0</v>
      </c>
      <c r="BA205" s="97">
        <f t="shared" si="1506"/>
        <v>0</v>
      </c>
      <c r="BB205" s="97">
        <f t="shared" si="1507"/>
        <v>0</v>
      </c>
      <c r="BC205" s="1" t="s">
        <v>1780</v>
      </c>
    </row>
    <row r="206" spans="1:55" ht="12" customHeight="1">
      <c r="A206" s="498">
        <v>147</v>
      </c>
      <c r="B206" s="13"/>
      <c r="C206" s="23"/>
      <c r="D206" s="355"/>
      <c r="E206" s="21" t="s">
        <v>242</v>
      </c>
      <c r="F206" s="46" t="s">
        <v>151</v>
      </c>
      <c r="G206" s="46" t="s">
        <v>1105</v>
      </c>
      <c r="H206" s="268" t="s">
        <v>367</v>
      </c>
      <c r="I206" s="18">
        <v>4.2699999999999996</v>
      </c>
      <c r="J206" s="158"/>
      <c r="K206" s="18">
        <v>4.2699999999999996</v>
      </c>
      <c r="L206" s="158"/>
      <c r="M206" s="18">
        <v>4.2699999999999996</v>
      </c>
      <c r="N206" s="158"/>
      <c r="O206" s="18">
        <v>4.2699999999999996</v>
      </c>
      <c r="P206" s="158"/>
      <c r="Q206" s="97">
        <f t="shared" ref="Q206:Q209" si="1508">SUM(AI206+BA206)</f>
        <v>0</v>
      </c>
      <c r="R206" s="342">
        <f t="shared" ref="R206:R209" si="1509">SUM(AJ206+BB206)</f>
        <v>0</v>
      </c>
      <c r="S206" s="97"/>
      <c r="T206" s="97">
        <f t="shared" ref="T206:T209" si="1510">I206*S206*$T$2/1000</f>
        <v>0</v>
      </c>
      <c r="U206" s="97"/>
      <c r="V206" s="97">
        <f t="shared" ref="V206:V209" si="1511">I206*U206*$V$2/1000</f>
        <v>0</v>
      </c>
      <c r="W206" s="97"/>
      <c r="X206" s="97">
        <f t="shared" ref="X206:X209" si="1512">I206*W206*$X$2/1000</f>
        <v>0</v>
      </c>
      <c r="Y206" s="97">
        <f t="shared" ref="Y206:Y209" si="1513">SUM(S206+U206+W206)</f>
        <v>0</v>
      </c>
      <c r="Z206" s="97">
        <f t="shared" ref="Z206:Z209" si="1514">SUM(T206+V206+X206)</f>
        <v>0</v>
      </c>
      <c r="AA206" s="97"/>
      <c r="AB206" s="97">
        <f t="shared" si="1443"/>
        <v>0</v>
      </c>
      <c r="AC206" s="97"/>
      <c r="AD206" s="97">
        <f t="shared" ref="AD206:AD209" si="1515">K206*AC206*$AD$2/1000</f>
        <v>0</v>
      </c>
      <c r="AE206" s="97"/>
      <c r="AF206" s="96">
        <f t="shared" si="1444"/>
        <v>0</v>
      </c>
      <c r="AG206" s="97">
        <f t="shared" ref="AG206:AG209" si="1516">SUM(AA206+AC206+AE206)</f>
        <v>0</v>
      </c>
      <c r="AH206" s="97">
        <f t="shared" ref="AH206:AH209" si="1517">SUM(AB206+AD206+AF206)</f>
        <v>0</v>
      </c>
      <c r="AI206" s="97">
        <f t="shared" ref="AI206:AI209" si="1518">SUM(Y206+AG206)</f>
        <v>0</v>
      </c>
      <c r="AJ206" s="97">
        <f t="shared" ref="AJ206:AJ209" si="1519">SUM(Z206,AH206)</f>
        <v>0</v>
      </c>
      <c r="AK206" s="97"/>
      <c r="AL206" s="97">
        <f t="shared" ref="AL206:AL209" si="1520">M206*AK206*$AL$2/1000</f>
        <v>0</v>
      </c>
      <c r="AM206" s="97"/>
      <c r="AN206" s="97">
        <f t="shared" ref="AN206:AN210" si="1521">M206*AM206*$AN$2/1000</f>
        <v>0</v>
      </c>
      <c r="AO206" s="97"/>
      <c r="AP206" s="97">
        <f t="shared" ref="AP206:AP209" si="1522">M206*AO206*$AP$2/1000</f>
        <v>0</v>
      </c>
      <c r="AQ206" s="97">
        <f t="shared" ref="AQ206:AQ209" si="1523">SUM(AK206+AM206+AO206)</f>
        <v>0</v>
      </c>
      <c r="AR206" s="97">
        <f t="shared" ref="AR206:AR209" si="1524">SUM(AL206+AN206+AP206)</f>
        <v>0</v>
      </c>
      <c r="AS206" s="97"/>
      <c r="AT206" s="97">
        <f t="shared" si="1502"/>
        <v>0</v>
      </c>
      <c r="AU206" s="97"/>
      <c r="AV206" s="97">
        <f t="shared" ref="AV206:AV209" si="1525">O206*AU206*$AV$2/1000</f>
        <v>0</v>
      </c>
      <c r="AW206" s="97"/>
      <c r="AX206" s="97">
        <f t="shared" ref="AX206:AX209" si="1526">O206*AW206*$AX$2/1000</f>
        <v>0</v>
      </c>
      <c r="AY206" s="97">
        <f t="shared" ref="AY206:AY209" si="1527">SUM(AS206+AU206+AW206)</f>
        <v>0</v>
      </c>
      <c r="AZ206" s="97">
        <f t="shared" ref="AZ206:AZ209" si="1528">SUM(AT206+AV206+AX206)</f>
        <v>0</v>
      </c>
      <c r="BA206" s="97">
        <f t="shared" ref="BA206:BA209" si="1529">SUM(AQ206+AY206)</f>
        <v>0</v>
      </c>
      <c r="BB206" s="97">
        <f t="shared" ref="BB206:BB209" si="1530">SUM(AR206,AZ206)</f>
        <v>0</v>
      </c>
      <c r="BC206" s="1" t="s">
        <v>1780</v>
      </c>
    </row>
    <row r="207" spans="1:55">
      <c r="A207" s="498">
        <v>148</v>
      </c>
      <c r="B207" s="13"/>
      <c r="C207" s="23"/>
      <c r="D207" s="36"/>
      <c r="E207" s="21" t="s">
        <v>152</v>
      </c>
      <c r="F207" s="46" t="s">
        <v>243</v>
      </c>
      <c r="G207" s="46" t="s">
        <v>1105</v>
      </c>
      <c r="H207" s="268" t="s">
        <v>365</v>
      </c>
      <c r="I207" s="18">
        <v>4.92</v>
      </c>
      <c r="J207" s="158"/>
      <c r="K207" s="18">
        <v>4.92</v>
      </c>
      <c r="L207" s="158"/>
      <c r="M207" s="18">
        <v>4.92</v>
      </c>
      <c r="N207" s="158"/>
      <c r="O207" s="18">
        <v>4.92</v>
      </c>
      <c r="P207" s="158"/>
      <c r="Q207" s="97">
        <f t="shared" si="1508"/>
        <v>1.218</v>
      </c>
      <c r="R207" s="342">
        <f t="shared" si="1509"/>
        <v>7.972501824000001</v>
      </c>
      <c r="S207" s="97"/>
      <c r="T207" s="97">
        <f t="shared" si="1510"/>
        <v>0</v>
      </c>
      <c r="U207" s="97">
        <v>1.218</v>
      </c>
      <c r="V207" s="97">
        <f t="shared" si="1511"/>
        <v>7.972501824000001</v>
      </c>
      <c r="W207" s="97"/>
      <c r="X207" s="97">
        <f t="shared" si="1512"/>
        <v>0</v>
      </c>
      <c r="Y207" s="97">
        <f t="shared" si="1513"/>
        <v>1.218</v>
      </c>
      <c r="Z207" s="97">
        <f t="shared" si="1514"/>
        <v>7.972501824000001</v>
      </c>
      <c r="AA207" s="97"/>
      <c r="AB207" s="97">
        <f t="shared" si="1443"/>
        <v>0</v>
      </c>
      <c r="AC207" s="97"/>
      <c r="AD207" s="97">
        <f t="shared" si="1515"/>
        <v>0</v>
      </c>
      <c r="AE207" s="97"/>
      <c r="AF207" s="96">
        <f t="shared" ref="AF207:AF212" si="1531">K207*AE207*$AF$2/1000</f>
        <v>0</v>
      </c>
      <c r="AG207" s="97">
        <f t="shared" si="1516"/>
        <v>0</v>
      </c>
      <c r="AH207" s="97">
        <f t="shared" si="1517"/>
        <v>0</v>
      </c>
      <c r="AI207" s="97">
        <f t="shared" si="1518"/>
        <v>1.218</v>
      </c>
      <c r="AJ207" s="97">
        <f t="shared" si="1519"/>
        <v>7.972501824000001</v>
      </c>
      <c r="AK207" s="97"/>
      <c r="AL207" s="97">
        <f t="shared" si="1520"/>
        <v>0</v>
      </c>
      <c r="AM207" s="97"/>
      <c r="AN207" s="97">
        <f t="shared" si="1521"/>
        <v>0</v>
      </c>
      <c r="AO207" s="97"/>
      <c r="AP207" s="97">
        <f t="shared" si="1522"/>
        <v>0</v>
      </c>
      <c r="AQ207" s="97">
        <f t="shared" si="1523"/>
        <v>0</v>
      </c>
      <c r="AR207" s="97">
        <f t="shared" si="1524"/>
        <v>0</v>
      </c>
      <c r="AS207" s="97"/>
      <c r="AT207" s="97">
        <f t="shared" ref="AT207:AT209" si="1532">O207*AS207*$AT$2/1000</f>
        <v>0</v>
      </c>
      <c r="AU207" s="97"/>
      <c r="AV207" s="97">
        <f t="shared" si="1525"/>
        <v>0</v>
      </c>
      <c r="AW207" s="97"/>
      <c r="AX207" s="97">
        <f t="shared" si="1526"/>
        <v>0</v>
      </c>
      <c r="AY207" s="97">
        <f t="shared" si="1527"/>
        <v>0</v>
      </c>
      <c r="AZ207" s="97">
        <f t="shared" si="1528"/>
        <v>0</v>
      </c>
      <c r="BA207" s="97">
        <f t="shared" si="1529"/>
        <v>0</v>
      </c>
      <c r="BB207" s="97">
        <f t="shared" si="1530"/>
        <v>0</v>
      </c>
      <c r="BC207" s="1" t="s">
        <v>1780</v>
      </c>
    </row>
    <row r="208" spans="1:55">
      <c r="A208" s="498">
        <v>149</v>
      </c>
      <c r="B208" s="13"/>
      <c r="C208" s="23"/>
      <c r="D208" s="36"/>
      <c r="E208" s="21" t="s">
        <v>1832</v>
      </c>
      <c r="F208" s="46"/>
      <c r="G208" s="46" t="s">
        <v>1105</v>
      </c>
      <c r="H208" s="268" t="s">
        <v>365</v>
      </c>
      <c r="I208" s="18"/>
      <c r="J208" s="158"/>
      <c r="K208" s="18"/>
      <c r="L208" s="158"/>
      <c r="M208" s="18">
        <v>7.8</v>
      </c>
      <c r="N208" s="158"/>
      <c r="O208" s="18">
        <v>7.8</v>
      </c>
      <c r="P208" s="158"/>
      <c r="Q208" s="97">
        <f t="shared" si="1508"/>
        <v>0.47399999999999998</v>
      </c>
      <c r="R208" s="342">
        <f t="shared" si="1509"/>
        <v>5.1650422979999995</v>
      </c>
      <c r="S208" s="97"/>
      <c r="T208" s="97">
        <f t="shared" si="1510"/>
        <v>0</v>
      </c>
      <c r="U208" s="97"/>
      <c r="V208" s="97">
        <f t="shared" si="1511"/>
        <v>0</v>
      </c>
      <c r="W208" s="97"/>
      <c r="X208" s="97">
        <f t="shared" si="1512"/>
        <v>0</v>
      </c>
      <c r="Y208" s="97">
        <f t="shared" si="1513"/>
        <v>0</v>
      </c>
      <c r="Z208" s="97">
        <f t="shared" si="1514"/>
        <v>0</v>
      </c>
      <c r="AA208" s="97"/>
      <c r="AB208" s="97">
        <f t="shared" si="1443"/>
        <v>0</v>
      </c>
      <c r="AC208" s="97"/>
      <c r="AD208" s="97">
        <f t="shared" si="1515"/>
        <v>0</v>
      </c>
      <c r="AE208" s="97"/>
      <c r="AF208" s="96">
        <f t="shared" si="1531"/>
        <v>0</v>
      </c>
      <c r="AG208" s="97">
        <f t="shared" si="1516"/>
        <v>0</v>
      </c>
      <c r="AH208" s="97">
        <f t="shared" si="1517"/>
        <v>0</v>
      </c>
      <c r="AI208" s="97">
        <f t="shared" si="1518"/>
        <v>0</v>
      </c>
      <c r="AJ208" s="97">
        <f t="shared" si="1519"/>
        <v>0</v>
      </c>
      <c r="AK208" s="97"/>
      <c r="AL208" s="97">
        <f t="shared" si="1520"/>
        <v>0</v>
      </c>
      <c r="AM208" s="97"/>
      <c r="AN208" s="97">
        <f t="shared" si="1521"/>
        <v>0</v>
      </c>
      <c r="AO208" s="97">
        <v>0.104</v>
      </c>
      <c r="AP208" s="97">
        <f t="shared" si="1522"/>
        <v>1.0808347679999999</v>
      </c>
      <c r="AQ208" s="97">
        <f t="shared" si="1523"/>
        <v>0.104</v>
      </c>
      <c r="AR208" s="97">
        <f t="shared" si="1524"/>
        <v>1.0808347679999999</v>
      </c>
      <c r="AS208" s="97">
        <v>2.5000000000000001E-2</v>
      </c>
      <c r="AT208" s="97">
        <f t="shared" si="1532"/>
        <v>0.26479049999999998</v>
      </c>
      <c r="AU208" s="97"/>
      <c r="AV208" s="97">
        <f t="shared" si="1525"/>
        <v>0</v>
      </c>
      <c r="AW208" s="97">
        <v>0.34499999999999997</v>
      </c>
      <c r="AX208" s="97">
        <f>O208*AW208*$AX$2/1000</f>
        <v>3.8194170299999994</v>
      </c>
      <c r="AY208" s="97">
        <f t="shared" si="1527"/>
        <v>0.37</v>
      </c>
      <c r="AZ208" s="97">
        <f t="shared" si="1528"/>
        <v>4.0842075299999996</v>
      </c>
      <c r="BA208" s="97">
        <f t="shared" si="1529"/>
        <v>0.47399999999999998</v>
      </c>
      <c r="BB208" s="97">
        <f t="shared" si="1530"/>
        <v>5.1650422979999995</v>
      </c>
      <c r="BC208" s="1" t="s">
        <v>1780</v>
      </c>
    </row>
    <row r="209" spans="1:55">
      <c r="A209" s="498">
        <v>150</v>
      </c>
      <c r="B209" s="13"/>
      <c r="C209" s="23"/>
      <c r="D209" s="36"/>
      <c r="E209" s="21" t="s">
        <v>1833</v>
      </c>
      <c r="F209" s="46"/>
      <c r="G209" s="46" t="s">
        <v>1105</v>
      </c>
      <c r="H209" s="268" t="s">
        <v>365</v>
      </c>
      <c r="I209" s="18"/>
      <c r="J209" s="158"/>
      <c r="K209" s="18"/>
      <c r="L209" s="158"/>
      <c r="M209" s="18">
        <v>10.199999999999999</v>
      </c>
      <c r="N209" s="158"/>
      <c r="O209" s="18">
        <v>10.199999999999999</v>
      </c>
      <c r="P209" s="158"/>
      <c r="Q209" s="97">
        <f t="shared" si="1508"/>
        <v>0.46200000000000002</v>
      </c>
      <c r="R209" s="342">
        <f t="shared" si="1509"/>
        <v>6.5854665959999998</v>
      </c>
      <c r="S209" s="97"/>
      <c r="T209" s="97">
        <f t="shared" si="1510"/>
        <v>0</v>
      </c>
      <c r="U209" s="97"/>
      <c r="V209" s="97">
        <f t="shared" si="1511"/>
        <v>0</v>
      </c>
      <c r="W209" s="97"/>
      <c r="X209" s="97">
        <f t="shared" si="1512"/>
        <v>0</v>
      </c>
      <c r="Y209" s="97">
        <f t="shared" si="1513"/>
        <v>0</v>
      </c>
      <c r="Z209" s="97">
        <f t="shared" si="1514"/>
        <v>0</v>
      </c>
      <c r="AA209" s="97"/>
      <c r="AB209" s="97">
        <f t="shared" si="1443"/>
        <v>0</v>
      </c>
      <c r="AC209" s="97"/>
      <c r="AD209" s="97">
        <f t="shared" si="1515"/>
        <v>0</v>
      </c>
      <c r="AE209" s="97"/>
      <c r="AF209" s="96">
        <f t="shared" si="1531"/>
        <v>0</v>
      </c>
      <c r="AG209" s="97">
        <f t="shared" si="1516"/>
        <v>0</v>
      </c>
      <c r="AH209" s="97">
        <f t="shared" si="1517"/>
        <v>0</v>
      </c>
      <c r="AI209" s="97">
        <f t="shared" si="1518"/>
        <v>0</v>
      </c>
      <c r="AJ209" s="97">
        <f t="shared" si="1519"/>
        <v>0</v>
      </c>
      <c r="AK209" s="97"/>
      <c r="AL209" s="97">
        <f t="shared" si="1520"/>
        <v>0</v>
      </c>
      <c r="AM209" s="97"/>
      <c r="AN209" s="97">
        <f t="shared" si="1521"/>
        <v>0</v>
      </c>
      <c r="AO209" s="97">
        <v>0.10199999999999999</v>
      </c>
      <c r="AP209" s="97">
        <f t="shared" si="1522"/>
        <v>1.3862185559999998</v>
      </c>
      <c r="AQ209" s="97">
        <f t="shared" si="1523"/>
        <v>0.10199999999999999</v>
      </c>
      <c r="AR209" s="97">
        <f t="shared" si="1524"/>
        <v>1.3862185559999998</v>
      </c>
      <c r="AS209" s="97">
        <v>0.02</v>
      </c>
      <c r="AT209" s="97">
        <f t="shared" si="1532"/>
        <v>0.27701159999999997</v>
      </c>
      <c r="AU209" s="97"/>
      <c r="AV209" s="97">
        <f t="shared" si="1525"/>
        <v>0</v>
      </c>
      <c r="AW209" s="97">
        <v>0.34</v>
      </c>
      <c r="AX209" s="97">
        <f t="shared" si="1526"/>
        <v>4.9222364399999998</v>
      </c>
      <c r="AY209" s="97">
        <f t="shared" si="1527"/>
        <v>0.36000000000000004</v>
      </c>
      <c r="AZ209" s="97">
        <f t="shared" si="1528"/>
        <v>5.1992480399999996</v>
      </c>
      <c r="BA209" s="97">
        <f t="shared" si="1529"/>
        <v>0.46200000000000002</v>
      </c>
      <c r="BB209" s="97">
        <f t="shared" si="1530"/>
        <v>6.5854665959999998</v>
      </c>
      <c r="BC209" s="1" t="s">
        <v>1780</v>
      </c>
    </row>
    <row r="210" spans="1:55">
      <c r="A210" s="498">
        <v>151</v>
      </c>
      <c r="B210" s="13"/>
      <c r="C210" s="23"/>
      <c r="D210" s="13"/>
      <c r="E210" s="21" t="s">
        <v>435</v>
      </c>
      <c r="F210" s="46" t="s">
        <v>436</v>
      </c>
      <c r="G210" s="46" t="s">
        <v>1105</v>
      </c>
      <c r="H210" s="268" t="s">
        <v>365</v>
      </c>
      <c r="I210" s="18">
        <v>5.12</v>
      </c>
      <c r="J210" s="158"/>
      <c r="K210" s="18">
        <v>5.12</v>
      </c>
      <c r="L210" s="158"/>
      <c r="M210" s="18">
        <v>5.12</v>
      </c>
      <c r="N210" s="158"/>
      <c r="O210" s="18">
        <v>5.12</v>
      </c>
      <c r="P210" s="158"/>
      <c r="Q210" s="97">
        <f t="shared" ref="Q210:Q211" si="1533">SUM(AI210+BA210)</f>
        <v>0</v>
      </c>
      <c r="R210" s="342">
        <f t="shared" ref="R210:R211" si="1534">SUM(AJ210+BB210)</f>
        <v>0</v>
      </c>
      <c r="S210" s="97"/>
      <c r="T210" s="97">
        <f t="shared" ref="T210" si="1535">I210*S210*$T$2/1000</f>
        <v>0</v>
      </c>
      <c r="U210" s="97"/>
      <c r="V210" s="97">
        <f t="shared" ref="V210" si="1536">I210*U210*$V$2/1000</f>
        <v>0</v>
      </c>
      <c r="W210" s="97"/>
      <c r="X210" s="97">
        <f t="shared" ref="X210:X212" si="1537">I210*W210*$X$2/1000</f>
        <v>0</v>
      </c>
      <c r="Y210" s="97">
        <f>SUM(S210+U210+W210)</f>
        <v>0</v>
      </c>
      <c r="Z210" s="97">
        <f t="shared" ref="Z210" si="1538">SUM(T210+V210+X210)</f>
        <v>0</v>
      </c>
      <c r="AA210" s="97"/>
      <c r="AB210" s="97">
        <f t="shared" ref="AB210:AB211" si="1539">K210*AA210*$AB$2/1000</f>
        <v>0</v>
      </c>
      <c r="AC210" s="97"/>
      <c r="AD210" s="97">
        <f>K210*AC210*$AD$2/1000</f>
        <v>0</v>
      </c>
      <c r="AE210" s="97"/>
      <c r="AF210" s="96">
        <f t="shared" si="1531"/>
        <v>0</v>
      </c>
      <c r="AG210" s="97">
        <f t="shared" ref="AG210:AG211" si="1540">SUM(AA210+AC210+AE210)</f>
        <v>0</v>
      </c>
      <c r="AH210" s="97">
        <f t="shared" ref="AH210" si="1541">SUM(AB210+AD210+AF210)</f>
        <v>0</v>
      </c>
      <c r="AI210" s="97">
        <f t="shared" ref="AI210:AI211" si="1542">SUM(Y210+AG210)</f>
        <v>0</v>
      </c>
      <c r="AJ210" s="97">
        <f t="shared" ref="AJ210" si="1543">SUM(Z210,AH210)</f>
        <v>0</v>
      </c>
      <c r="AK210" s="97"/>
      <c r="AL210" s="97">
        <f t="shared" ref="AL210" si="1544">M210*AK210*$AL$2/1000</f>
        <v>0</v>
      </c>
      <c r="AM210" s="97"/>
      <c r="AN210" s="97">
        <f t="shared" si="1521"/>
        <v>0</v>
      </c>
      <c r="AO210" s="97"/>
      <c r="AP210" s="97">
        <f t="shared" ref="AP210:AP211" si="1545">M210*AO210*$AP$2/1000</f>
        <v>0</v>
      </c>
      <c r="AQ210" s="97">
        <f t="shared" ref="AQ210:AQ211" si="1546">SUM(AK210+AM210+AO210)</f>
        <v>0</v>
      </c>
      <c r="AR210" s="97">
        <f t="shared" ref="AR210" si="1547">SUM(AL210+AN210+AP210)</f>
        <v>0</v>
      </c>
      <c r="AS210" s="97"/>
      <c r="AT210" s="97">
        <f t="shared" ref="AT210" si="1548">O210*AS210*$AT$2/1000</f>
        <v>0</v>
      </c>
      <c r="AU210" s="97"/>
      <c r="AV210" s="97">
        <f t="shared" ref="AV210" si="1549">O210*AU210*$AV$2/1000</f>
        <v>0</v>
      </c>
      <c r="AW210" s="97"/>
      <c r="AX210" s="97">
        <f t="shared" ref="AX210" si="1550">O210*AW210*$AX$2/1000</f>
        <v>0</v>
      </c>
      <c r="AY210" s="97">
        <f t="shared" ref="AY210:AY211" si="1551">SUM(AS210+AU210+AW210)</f>
        <v>0</v>
      </c>
      <c r="AZ210" s="97">
        <f t="shared" ref="AZ210" si="1552">SUM(AT210+AV210+AX210)</f>
        <v>0</v>
      </c>
      <c r="BA210" s="97">
        <f t="shared" ref="BA210:BA211" si="1553">SUM(AQ210+AY210)</f>
        <v>0</v>
      </c>
      <c r="BB210" s="97">
        <f t="shared" ref="BB210" si="1554">SUM(AR210,AZ210)</f>
        <v>0</v>
      </c>
      <c r="BC210" s="1" t="s">
        <v>1780</v>
      </c>
    </row>
    <row r="211" spans="1:55" ht="12" customHeight="1">
      <c r="A211" s="498">
        <v>152</v>
      </c>
      <c r="B211" s="13"/>
      <c r="C211" s="13"/>
      <c r="D211" s="13"/>
      <c r="E211" s="21" t="s">
        <v>478</v>
      </c>
      <c r="F211" s="46" t="s">
        <v>437</v>
      </c>
      <c r="G211" s="46" t="s">
        <v>1105</v>
      </c>
      <c r="H211" s="268" t="s">
        <v>365</v>
      </c>
      <c r="I211" s="18">
        <v>6.72</v>
      </c>
      <c r="J211" s="163"/>
      <c r="K211" s="18">
        <v>6.72</v>
      </c>
      <c r="L211" s="163"/>
      <c r="M211" s="18">
        <v>6.72</v>
      </c>
      <c r="N211" s="163"/>
      <c r="O211" s="18">
        <v>6.72</v>
      </c>
      <c r="P211" s="163"/>
      <c r="Q211" s="97">
        <f t="shared" si="1533"/>
        <v>0</v>
      </c>
      <c r="R211" s="342">
        <f t="shared" si="1534"/>
        <v>0</v>
      </c>
      <c r="S211" s="97"/>
      <c r="T211" s="97">
        <f>I211*S211*$T$2/1000</f>
        <v>0</v>
      </c>
      <c r="U211" s="97"/>
      <c r="V211" s="97">
        <f>I211*U211*$V$2/1000</f>
        <v>0</v>
      </c>
      <c r="W211" s="97"/>
      <c r="X211" s="97">
        <f t="shared" si="1537"/>
        <v>0</v>
      </c>
      <c r="Y211" s="97">
        <f t="shared" ref="Y211" si="1555">SUM(S211+U211+W211)</f>
        <v>0</v>
      </c>
      <c r="Z211" s="97">
        <f>SUM(T211+V211+X211)</f>
        <v>0</v>
      </c>
      <c r="AA211" s="97"/>
      <c r="AB211" s="97">
        <f t="shared" si="1539"/>
        <v>0</v>
      </c>
      <c r="AC211" s="97"/>
      <c r="AD211" s="97">
        <f>K211*AC211*$AD$2/1000</f>
        <v>0</v>
      </c>
      <c r="AE211" s="97"/>
      <c r="AF211" s="96">
        <f t="shared" si="1531"/>
        <v>0</v>
      </c>
      <c r="AG211" s="97">
        <f t="shared" si="1540"/>
        <v>0</v>
      </c>
      <c r="AH211" s="97">
        <f>SUM(AB211+AD211+AF211)</f>
        <v>0</v>
      </c>
      <c r="AI211" s="97">
        <f t="shared" si="1542"/>
        <v>0</v>
      </c>
      <c r="AJ211" s="97">
        <f>SUM(Z211,AH211)</f>
        <v>0</v>
      </c>
      <c r="AK211" s="97"/>
      <c r="AL211" s="97">
        <f>M211*AK211*$AL$2/1000</f>
        <v>0</v>
      </c>
      <c r="AM211" s="97"/>
      <c r="AN211" s="97">
        <f t="shared" ref="AN211" si="1556">M211*AM211*$AN$2/1000</f>
        <v>0</v>
      </c>
      <c r="AO211" s="97"/>
      <c r="AP211" s="97">
        <f t="shared" si="1545"/>
        <v>0</v>
      </c>
      <c r="AQ211" s="97">
        <f t="shared" si="1546"/>
        <v>0</v>
      </c>
      <c r="AR211" s="97">
        <f>SUM(AL211+AN211+AP211)</f>
        <v>0</v>
      </c>
      <c r="AS211" s="97"/>
      <c r="AT211" s="97">
        <f>O211*AS211*$AT$2/1000</f>
        <v>0</v>
      </c>
      <c r="AU211" s="97"/>
      <c r="AV211" s="97">
        <f>O211*AU211*$AV$2/1000</f>
        <v>0</v>
      </c>
      <c r="AW211" s="97"/>
      <c r="AX211" s="97">
        <f>O211*AW211*$AX$2/1000</f>
        <v>0</v>
      </c>
      <c r="AY211" s="97">
        <f t="shared" si="1551"/>
        <v>0</v>
      </c>
      <c r="AZ211" s="97">
        <f>SUM(AT211+AV211+AX211)</f>
        <v>0</v>
      </c>
      <c r="BA211" s="97">
        <f t="shared" si="1553"/>
        <v>0</v>
      </c>
      <c r="BB211" s="97">
        <f>SUM(AR211,AZ211)</f>
        <v>0</v>
      </c>
      <c r="BC211" s="1" t="s">
        <v>1780</v>
      </c>
    </row>
    <row r="212" spans="1:55">
      <c r="A212" s="498">
        <v>153</v>
      </c>
      <c r="B212" s="13"/>
      <c r="C212" s="13"/>
      <c r="D212" s="13"/>
      <c r="E212" s="21" t="s">
        <v>479</v>
      </c>
      <c r="F212" s="46" t="s">
        <v>438</v>
      </c>
      <c r="G212" s="46" t="s">
        <v>1105</v>
      </c>
      <c r="H212" s="268" t="s">
        <v>365</v>
      </c>
      <c r="I212" s="18">
        <v>6.72</v>
      </c>
      <c r="J212" s="163"/>
      <c r="K212" s="18">
        <v>6.72</v>
      </c>
      <c r="L212" s="163"/>
      <c r="M212" s="18">
        <v>6.72</v>
      </c>
      <c r="N212" s="163"/>
      <c r="O212" s="18">
        <v>6.72</v>
      </c>
      <c r="P212" s="163"/>
      <c r="Q212" s="97">
        <f t="shared" ref="Q212" si="1557">SUM(AI212+BA212)</f>
        <v>0</v>
      </c>
      <c r="R212" s="342">
        <f t="shared" ref="R212" si="1558">SUM(AJ212+BB212)</f>
        <v>0</v>
      </c>
      <c r="S212" s="97"/>
      <c r="T212" s="97">
        <f t="shared" ref="T212" si="1559">I212*S212*$T$2/1000</f>
        <v>0</v>
      </c>
      <c r="U212" s="97"/>
      <c r="V212" s="97">
        <f t="shared" ref="V212" si="1560">I212*U212*$V$2/1000</f>
        <v>0</v>
      </c>
      <c r="W212" s="97"/>
      <c r="X212" s="97">
        <f t="shared" si="1537"/>
        <v>0</v>
      </c>
      <c r="Y212" s="97">
        <f t="shared" ref="Y212" si="1561">SUM(S212+U212+W212)</f>
        <v>0</v>
      </c>
      <c r="Z212" s="97">
        <f t="shared" ref="Z212" si="1562">SUM(T212+V212+X212)</f>
        <v>0</v>
      </c>
      <c r="AA212" s="97"/>
      <c r="AB212" s="97">
        <f t="shared" ref="AB212" si="1563">K212*AA212*$AB$2/1000</f>
        <v>0</v>
      </c>
      <c r="AC212" s="97"/>
      <c r="AD212" s="97">
        <f t="shared" ref="AD212" si="1564">K212*AC212*$AD$2/1000</f>
        <v>0</v>
      </c>
      <c r="AE212" s="97"/>
      <c r="AF212" s="96">
        <f t="shared" si="1531"/>
        <v>0</v>
      </c>
      <c r="AG212" s="97">
        <f t="shared" ref="AG212" si="1565">SUM(AA212+AC212+AE212)</f>
        <v>0</v>
      </c>
      <c r="AH212" s="97">
        <f t="shared" ref="AH212" si="1566">SUM(AB212+AD212+AF212)</f>
        <v>0</v>
      </c>
      <c r="AI212" s="97">
        <f t="shared" ref="AI212" si="1567">SUM(Y212+AG212)</f>
        <v>0</v>
      </c>
      <c r="AJ212" s="97">
        <f t="shared" ref="AJ212" si="1568">SUM(Z212,AH212)</f>
        <v>0</v>
      </c>
      <c r="AK212" s="97"/>
      <c r="AL212" s="97">
        <f t="shared" ref="AL212" si="1569">M212*AK212*$AL$2/1000</f>
        <v>0</v>
      </c>
      <c r="AM212" s="97"/>
      <c r="AN212" s="97">
        <f t="shared" ref="AN212" si="1570">M212*AM212*$AN$2/1000</f>
        <v>0</v>
      </c>
      <c r="AO212" s="97"/>
      <c r="AP212" s="97">
        <f>M212*AO212*$AP$2/1000</f>
        <v>0</v>
      </c>
      <c r="AQ212" s="97">
        <f t="shared" ref="AQ212" si="1571">SUM(AK212+AM212+AO212)</f>
        <v>0</v>
      </c>
      <c r="AR212" s="97">
        <f t="shared" ref="AR212" si="1572">SUM(AL212+AN212+AP212)</f>
        <v>0</v>
      </c>
      <c r="AS212" s="97"/>
      <c r="AT212" s="97">
        <f t="shared" ref="AT212" si="1573">O212*AS212*$AT$2/1000</f>
        <v>0</v>
      </c>
      <c r="AU212" s="97"/>
      <c r="AV212" s="97">
        <f t="shared" ref="AV212" si="1574">O212*AU212*$AV$2/1000</f>
        <v>0</v>
      </c>
      <c r="AW212" s="97"/>
      <c r="AX212" s="97">
        <f t="shared" ref="AX212" si="1575">O212*AW212*$AX$2/1000</f>
        <v>0</v>
      </c>
      <c r="AY212" s="97">
        <f t="shared" ref="AY212" si="1576">SUM(AS212+AU212+AW212)</f>
        <v>0</v>
      </c>
      <c r="AZ212" s="97">
        <f t="shared" ref="AZ212" si="1577">SUM(AT212+AV212+AX212)</f>
        <v>0</v>
      </c>
      <c r="BA212" s="97">
        <f t="shared" ref="BA212" si="1578">SUM(AQ212+AY212)</f>
        <v>0</v>
      </c>
      <c r="BB212" s="97">
        <f t="shared" ref="BB212" si="1579">SUM(AR212,AZ212)</f>
        <v>0</v>
      </c>
      <c r="BC212" s="1" t="s">
        <v>1780</v>
      </c>
    </row>
    <row r="213" spans="1:55">
      <c r="A213" s="498">
        <v>154</v>
      </c>
      <c r="B213" s="13"/>
      <c r="C213" s="23"/>
      <c r="D213" s="13"/>
      <c r="E213" s="51" t="s">
        <v>533</v>
      </c>
      <c r="F213" s="65" t="s">
        <v>532</v>
      </c>
      <c r="G213" s="65" t="s">
        <v>1105</v>
      </c>
      <c r="H213" s="275" t="s">
        <v>365</v>
      </c>
      <c r="I213" s="38">
        <v>7.12</v>
      </c>
      <c r="J213" s="159"/>
      <c r="K213" s="38">
        <v>7.12</v>
      </c>
      <c r="L213" s="159"/>
      <c r="M213" s="38">
        <v>7.12</v>
      </c>
      <c r="N213" s="159"/>
      <c r="O213" s="38">
        <v>7.12</v>
      </c>
      <c r="P213" s="159"/>
      <c r="Q213" s="95">
        <f t="shared" ref="Q213" si="1580">SUM(AI213+BA213)</f>
        <v>0</v>
      </c>
      <c r="R213" s="343">
        <f t="shared" ref="R213" si="1581">SUM(AJ213+BB213)</f>
        <v>0</v>
      </c>
      <c r="S213" s="95"/>
      <c r="T213" s="95">
        <f>I213*S213*$T$2/1000</f>
        <v>0</v>
      </c>
      <c r="U213" s="95"/>
      <c r="V213" s="95">
        <f t="shared" ref="V213" si="1582">I213*U213*$V$2/1000</f>
        <v>0</v>
      </c>
      <c r="W213" s="95"/>
      <c r="X213" s="95">
        <f t="shared" ref="X213" si="1583">I213*W213*$X$2/1000</f>
        <v>0</v>
      </c>
      <c r="Y213" s="95">
        <f>SUM(S213+U213+W213)</f>
        <v>0</v>
      </c>
      <c r="Z213" s="95">
        <f>SUM(T213+V213+X213)</f>
        <v>0</v>
      </c>
      <c r="AA213" s="95"/>
      <c r="AB213" s="95">
        <f>K213*AA213*$AB$2/1000</f>
        <v>0</v>
      </c>
      <c r="AC213" s="95"/>
      <c r="AD213" s="95">
        <f t="shared" ref="AD213" si="1584">K213*AC213*$AD$2/1000</f>
        <v>0</v>
      </c>
      <c r="AE213" s="95"/>
      <c r="AF213" s="120">
        <f>K213*AE213*$AF$2/1000</f>
        <v>0</v>
      </c>
      <c r="AG213" s="95">
        <f t="shared" ref="AG213" si="1585">SUM(AA213+AC213+AE213)</f>
        <v>0</v>
      </c>
      <c r="AH213" s="95">
        <f t="shared" ref="AH213" si="1586">SUM(AB213+AD213+AF213)</f>
        <v>0</v>
      </c>
      <c r="AI213" s="95">
        <f t="shared" ref="AI213" si="1587">SUM(Y213+AG213)</f>
        <v>0</v>
      </c>
      <c r="AJ213" s="95">
        <f t="shared" ref="AJ213" si="1588">SUM(Z213,AH213)</f>
        <v>0</v>
      </c>
      <c r="AK213" s="95"/>
      <c r="AL213" s="95">
        <f t="shared" ref="AL213" si="1589">M213*AK213*$AL$2/1000</f>
        <v>0</v>
      </c>
      <c r="AM213" s="95"/>
      <c r="AN213" s="95">
        <f>M213*AM213*$AN$2/1000</f>
        <v>0</v>
      </c>
      <c r="AO213" s="95"/>
      <c r="AP213" s="95">
        <f>M213*AO213*$AP$2/1000</f>
        <v>0</v>
      </c>
      <c r="AQ213" s="95">
        <f t="shared" ref="AQ213" si="1590">SUM(AK213+AM213+AO213)</f>
        <v>0</v>
      </c>
      <c r="AR213" s="95">
        <f t="shared" ref="AR213" si="1591">SUM(AL213+AN213+AP213)</f>
        <v>0</v>
      </c>
      <c r="AS213" s="95"/>
      <c r="AT213" s="95">
        <f t="shared" ref="AT213" si="1592">O213*AS213*$AT$2/1000</f>
        <v>0</v>
      </c>
      <c r="AU213" s="95"/>
      <c r="AV213" s="95">
        <f t="shared" ref="AV213" si="1593">O213*AU213*$AV$2/1000</f>
        <v>0</v>
      </c>
      <c r="AW213" s="95"/>
      <c r="AX213" s="95">
        <f t="shared" ref="AX213" si="1594">O213*AW213*$AX$2/1000</f>
        <v>0</v>
      </c>
      <c r="AY213" s="95">
        <f t="shared" ref="AY213" si="1595">SUM(AS213+AU213+AW213)</f>
        <v>0</v>
      </c>
      <c r="AZ213" s="95">
        <f t="shared" ref="AZ213" si="1596">SUM(AT213+AV213+AX213)</f>
        <v>0</v>
      </c>
      <c r="BA213" s="95">
        <f t="shared" ref="BA213" si="1597">SUM(AQ213+AY213)</f>
        <v>0</v>
      </c>
      <c r="BB213" s="95">
        <f t="shared" ref="BB213" si="1598">SUM(AR213,AZ213)</f>
        <v>0</v>
      </c>
      <c r="BC213" s="1" t="s">
        <v>1780</v>
      </c>
    </row>
    <row r="214" spans="1:55">
      <c r="A214" s="498">
        <v>155</v>
      </c>
      <c r="B214" s="26"/>
      <c r="C214" s="26"/>
      <c r="D214" s="27"/>
      <c r="E214" s="354" t="s">
        <v>337</v>
      </c>
      <c r="F214" s="28"/>
      <c r="G214" s="28"/>
      <c r="H214" s="272"/>
      <c r="I214" s="29"/>
      <c r="J214" s="99"/>
      <c r="K214" s="29"/>
      <c r="L214" s="160"/>
      <c r="M214" s="29"/>
      <c r="N214" s="160"/>
      <c r="O214" s="139"/>
      <c r="P214" s="99"/>
      <c r="Q214" s="121">
        <f t="shared" ref="Q214:BB214" si="1599">SUM(Q198:Q213)</f>
        <v>2.1539999999999999</v>
      </c>
      <c r="R214" s="121">
        <f t="shared" si="1599"/>
        <v>19.723010718000001</v>
      </c>
      <c r="S214" s="121">
        <f t="shared" si="1599"/>
        <v>0</v>
      </c>
      <c r="T214" s="121">
        <f t="shared" si="1599"/>
        <v>0</v>
      </c>
      <c r="U214" s="121">
        <f t="shared" si="1599"/>
        <v>1.218</v>
      </c>
      <c r="V214" s="121">
        <f t="shared" si="1599"/>
        <v>7.972501824000001</v>
      </c>
      <c r="W214" s="121">
        <f t="shared" si="1599"/>
        <v>0</v>
      </c>
      <c r="X214" s="121">
        <f t="shared" si="1599"/>
        <v>0</v>
      </c>
      <c r="Y214" s="121">
        <f t="shared" si="1599"/>
        <v>1.218</v>
      </c>
      <c r="Z214" s="121">
        <f t="shared" si="1599"/>
        <v>7.972501824000001</v>
      </c>
      <c r="AA214" s="121">
        <f t="shared" si="1599"/>
        <v>0</v>
      </c>
      <c r="AB214" s="121">
        <f t="shared" si="1599"/>
        <v>0</v>
      </c>
      <c r="AC214" s="121">
        <f t="shared" si="1599"/>
        <v>0</v>
      </c>
      <c r="AD214" s="121">
        <f t="shared" si="1599"/>
        <v>0</v>
      </c>
      <c r="AE214" s="121">
        <f>SUM(AE198:AE213)</f>
        <v>0</v>
      </c>
      <c r="AF214" s="130">
        <f>SUM(AF198:AF213)</f>
        <v>0</v>
      </c>
      <c r="AG214" s="121">
        <f t="shared" si="1599"/>
        <v>0</v>
      </c>
      <c r="AH214" s="121">
        <f t="shared" si="1599"/>
        <v>0</v>
      </c>
      <c r="AI214" s="121">
        <f t="shared" si="1599"/>
        <v>1.218</v>
      </c>
      <c r="AJ214" s="121">
        <f t="shared" si="1599"/>
        <v>7.972501824000001</v>
      </c>
      <c r="AK214" s="121">
        <f t="shared" si="1599"/>
        <v>0</v>
      </c>
      <c r="AL214" s="121">
        <f t="shared" si="1599"/>
        <v>0</v>
      </c>
      <c r="AM214" s="121">
        <f t="shared" si="1599"/>
        <v>0</v>
      </c>
      <c r="AN214" s="121">
        <f t="shared" si="1599"/>
        <v>0</v>
      </c>
      <c r="AO214" s="121">
        <f t="shared" si="1599"/>
        <v>0.20599999999999999</v>
      </c>
      <c r="AP214" s="121">
        <f t="shared" si="1599"/>
        <v>2.4670533239999997</v>
      </c>
      <c r="AQ214" s="121">
        <f t="shared" si="1599"/>
        <v>0.20599999999999999</v>
      </c>
      <c r="AR214" s="121">
        <f t="shared" si="1599"/>
        <v>2.4670533239999997</v>
      </c>
      <c r="AS214" s="121">
        <f t="shared" si="1599"/>
        <v>4.4999999999999998E-2</v>
      </c>
      <c r="AT214" s="121">
        <f t="shared" si="1599"/>
        <v>0.54180209999999995</v>
      </c>
      <c r="AU214" s="121">
        <f t="shared" si="1599"/>
        <v>0</v>
      </c>
      <c r="AV214" s="121">
        <f t="shared" si="1599"/>
        <v>0</v>
      </c>
      <c r="AW214" s="121">
        <f t="shared" si="1599"/>
        <v>0.68500000000000005</v>
      </c>
      <c r="AX214" s="121">
        <f t="shared" si="1599"/>
        <v>8.7416534699999993</v>
      </c>
      <c r="AY214" s="121">
        <f t="shared" si="1599"/>
        <v>0.73</v>
      </c>
      <c r="AZ214" s="121">
        <f t="shared" si="1599"/>
        <v>9.2834555699999992</v>
      </c>
      <c r="BA214" s="121">
        <f t="shared" si="1599"/>
        <v>0.93599999999999994</v>
      </c>
      <c r="BB214" s="121">
        <f t="shared" si="1599"/>
        <v>11.750508893999999</v>
      </c>
      <c r="BC214" s="1" t="s">
        <v>1781</v>
      </c>
    </row>
    <row r="215" spans="1:55" hidden="1">
      <c r="A215" s="498">
        <v>156</v>
      </c>
      <c r="B215" s="13"/>
      <c r="C215" s="13"/>
      <c r="D215" s="357" t="s">
        <v>597</v>
      </c>
      <c r="E215" s="31" t="s">
        <v>248</v>
      </c>
      <c r="F215" s="314" t="s">
        <v>44</v>
      </c>
      <c r="G215" s="314" t="s">
        <v>1105</v>
      </c>
      <c r="H215" s="274" t="s">
        <v>365</v>
      </c>
      <c r="I215" s="44">
        <v>5.09</v>
      </c>
      <c r="J215" s="162"/>
      <c r="K215" s="44">
        <v>5.09</v>
      </c>
      <c r="L215" s="162"/>
      <c r="M215" s="44"/>
      <c r="N215" s="162"/>
      <c r="O215" s="44"/>
      <c r="P215" s="162"/>
      <c r="Q215" s="122">
        <f t="shared" ref="Q215:R220" si="1600">SUM(AI215+BA215)</f>
        <v>0</v>
      </c>
      <c r="R215" s="346">
        <f t="shared" si="1600"/>
        <v>0</v>
      </c>
      <c r="S215" s="122"/>
      <c r="T215" s="122">
        <f t="shared" ref="T215:T220" si="1601">I215*S215*$T$2/1000</f>
        <v>0</v>
      </c>
      <c r="U215" s="122"/>
      <c r="V215" s="122">
        <f t="shared" ref="V215:V220" si="1602">I215*U215*$V$2/1000</f>
        <v>0</v>
      </c>
      <c r="W215" s="122"/>
      <c r="X215" s="122">
        <f t="shared" ref="X215:X220" si="1603">I215*W215*$X$2/1000</f>
        <v>0</v>
      </c>
      <c r="Y215" s="122">
        <f t="shared" ref="Y215:Z220" si="1604">SUM(S215+U215+W215)</f>
        <v>0</v>
      </c>
      <c r="Z215" s="122">
        <f t="shared" si="1604"/>
        <v>0</v>
      </c>
      <c r="AA215" s="122"/>
      <c r="AB215" s="122">
        <f t="shared" ref="AB215:AB224" si="1605">K215*AA215*$AB$2/1000</f>
        <v>0</v>
      </c>
      <c r="AC215" s="122"/>
      <c r="AD215" s="122">
        <f t="shared" ref="AD215:AD220" si="1606">K215*AC215*$AD$2/1000</f>
        <v>0</v>
      </c>
      <c r="AE215" s="122"/>
      <c r="AF215" s="125">
        <f>K215*AE215*$AF$2/1000</f>
        <v>0</v>
      </c>
      <c r="AG215" s="122">
        <f t="shared" ref="AG215:AH220" si="1607">SUM(AA215+AC215+AE215)</f>
        <v>0</v>
      </c>
      <c r="AH215" s="122">
        <f t="shared" si="1607"/>
        <v>0</v>
      </c>
      <c r="AI215" s="122">
        <f t="shared" ref="AI215:AI220" si="1608">SUM(Y215+AG215)</f>
        <v>0</v>
      </c>
      <c r="AJ215" s="122">
        <f t="shared" ref="AJ215:AJ220" si="1609">SUM(Z215,AH215)</f>
        <v>0</v>
      </c>
      <c r="AK215" s="122"/>
      <c r="AL215" s="122">
        <f t="shared" ref="AL215:AL220" si="1610">M215*AK215*$AL$2/1000</f>
        <v>0</v>
      </c>
      <c r="AM215" s="122"/>
      <c r="AN215" s="122">
        <f t="shared" ref="AN215:AN227" si="1611">M215*AM215*$AN$2/1000</f>
        <v>0</v>
      </c>
      <c r="AO215" s="122"/>
      <c r="AP215" s="122">
        <f t="shared" ref="AP215:AP220" si="1612">M215*AO215*$AP$2/1000</f>
        <v>0</v>
      </c>
      <c r="AQ215" s="122">
        <f t="shared" ref="AQ215:AR220" si="1613">SUM(AK215+AM215+AO215)</f>
        <v>0</v>
      </c>
      <c r="AR215" s="122">
        <f t="shared" si="1613"/>
        <v>0</v>
      </c>
      <c r="AS215" s="122"/>
      <c r="AT215" s="122">
        <f t="shared" ref="AT215:AT220" si="1614">O215*AS215*$AT$2/1000</f>
        <v>0</v>
      </c>
      <c r="AU215" s="122"/>
      <c r="AV215" s="122">
        <f t="shared" ref="AV215:AV220" si="1615">O215*AU215*$AV$2/1000</f>
        <v>0</v>
      </c>
      <c r="AW215" s="122"/>
      <c r="AX215" s="122">
        <f t="shared" ref="AX215:AX220" si="1616">O215*AW215*$AX$2/1000</f>
        <v>0</v>
      </c>
      <c r="AY215" s="122">
        <f t="shared" ref="AY215:AZ220" si="1617">SUM(AS215+AU215+AW215)</f>
        <v>0</v>
      </c>
      <c r="AZ215" s="122">
        <f t="shared" si="1617"/>
        <v>0</v>
      </c>
      <c r="BA215" s="122">
        <f t="shared" ref="BA215:BA220" si="1618">SUM(AQ215+AY215)</f>
        <v>0</v>
      </c>
      <c r="BB215" s="122">
        <f t="shared" ref="BB215:BB220" si="1619">SUM(AR215,AZ215)</f>
        <v>0</v>
      </c>
      <c r="BC215" s="1" t="s">
        <v>1780</v>
      </c>
    </row>
    <row r="216" spans="1:55" hidden="1">
      <c r="A216" s="498">
        <v>157</v>
      </c>
      <c r="B216" s="13"/>
      <c r="C216" s="13"/>
      <c r="D216" s="13"/>
      <c r="E216" s="21" t="s">
        <v>267</v>
      </c>
      <c r="F216" s="46" t="s">
        <v>268</v>
      </c>
      <c r="G216" s="46" t="s">
        <v>1105</v>
      </c>
      <c r="H216" s="268" t="s">
        <v>365</v>
      </c>
      <c r="I216" s="18">
        <v>4.43</v>
      </c>
      <c r="J216" s="158"/>
      <c r="K216" s="18">
        <v>4.43</v>
      </c>
      <c r="L216" s="158"/>
      <c r="M216" s="18"/>
      <c r="N216" s="158"/>
      <c r="O216" s="18"/>
      <c r="P216" s="158"/>
      <c r="Q216" s="97">
        <f>SUM(AI216+BA216)</f>
        <v>0</v>
      </c>
      <c r="R216" s="342">
        <f>SUM(AJ216+BB216)</f>
        <v>0</v>
      </c>
      <c r="S216" s="97"/>
      <c r="T216" s="97">
        <f>I216*S216*$T$2/1000</f>
        <v>0</v>
      </c>
      <c r="U216" s="97"/>
      <c r="V216" s="97">
        <f>I216*U216*$V$2/1000</f>
        <v>0</v>
      </c>
      <c r="W216" s="97"/>
      <c r="X216" s="97">
        <f>I216*W216*$X$2/1000</f>
        <v>0</v>
      </c>
      <c r="Y216" s="97">
        <f>SUM(S216+U216+W216)</f>
        <v>0</v>
      </c>
      <c r="Z216" s="97">
        <f>SUM(T216+V216+X216)</f>
        <v>0</v>
      </c>
      <c r="AA216" s="97"/>
      <c r="AB216" s="97">
        <f t="shared" si="1605"/>
        <v>0</v>
      </c>
      <c r="AC216" s="97"/>
      <c r="AD216" s="97">
        <f>K216*AC216*$AD$2/1000</f>
        <v>0</v>
      </c>
      <c r="AE216" s="97"/>
      <c r="AF216" s="96">
        <f>K216*AE216*$AF$2/1000</f>
        <v>0</v>
      </c>
      <c r="AG216" s="97">
        <f>SUM(AA216+AC216+AE216)</f>
        <v>0</v>
      </c>
      <c r="AH216" s="97">
        <f>SUM(AB216+AD216+AF216)</f>
        <v>0</v>
      </c>
      <c r="AI216" s="97">
        <f>SUM(Y216+AG216)</f>
        <v>0</v>
      </c>
      <c r="AJ216" s="97">
        <f>SUM(Z216,AH216)</f>
        <v>0</v>
      </c>
      <c r="AK216" s="97"/>
      <c r="AL216" s="97">
        <f>M216*AK216*$AL$2/1000</f>
        <v>0</v>
      </c>
      <c r="AM216" s="97"/>
      <c r="AN216" s="97">
        <f>M216*AM216*$AN$2/1000</f>
        <v>0</v>
      </c>
      <c r="AO216" s="97"/>
      <c r="AP216" s="97">
        <f>M216*AO216*$AP$2/1000</f>
        <v>0</v>
      </c>
      <c r="AQ216" s="97">
        <f>SUM(AK216+AM216+AO216)</f>
        <v>0</v>
      </c>
      <c r="AR216" s="97">
        <f>SUM(AL216+AN216+AP216)</f>
        <v>0</v>
      </c>
      <c r="AS216" s="97"/>
      <c r="AT216" s="97">
        <f>O216*AS216*$AT$2/1000</f>
        <v>0</v>
      </c>
      <c r="AU216" s="97"/>
      <c r="AV216" s="97">
        <f>O216*AU216*$AV$2/1000</f>
        <v>0</v>
      </c>
      <c r="AW216" s="97"/>
      <c r="AX216" s="97">
        <f>O216*AW216*$AX$2/1000</f>
        <v>0</v>
      </c>
      <c r="AY216" s="97">
        <f>SUM(AS216+AU216+AW216)</f>
        <v>0</v>
      </c>
      <c r="AZ216" s="97">
        <f>SUM(AT216+AV216+AX216)</f>
        <v>0</v>
      </c>
      <c r="BA216" s="97">
        <f>SUM(AQ216+AY216)</f>
        <v>0</v>
      </c>
      <c r="BB216" s="97">
        <f>SUM(AR216,AZ216)</f>
        <v>0</v>
      </c>
      <c r="BC216" s="1" t="s">
        <v>1780</v>
      </c>
    </row>
    <row r="217" spans="1:55" hidden="1">
      <c r="A217" s="498">
        <v>158</v>
      </c>
      <c r="B217" s="13"/>
      <c r="C217" s="13"/>
      <c r="D217" s="13"/>
      <c r="E217" s="21" t="s">
        <v>738</v>
      </c>
      <c r="F217" s="46" t="s">
        <v>737</v>
      </c>
      <c r="G217" s="46" t="s">
        <v>1105</v>
      </c>
      <c r="H217" s="268" t="s">
        <v>365</v>
      </c>
      <c r="I217" s="18">
        <v>4.49</v>
      </c>
      <c r="J217" s="158"/>
      <c r="K217" s="18">
        <v>4.49</v>
      </c>
      <c r="L217" s="158"/>
      <c r="M217" s="18"/>
      <c r="N217" s="158"/>
      <c r="O217" s="18"/>
      <c r="P217" s="158"/>
      <c r="Q217" s="97">
        <f t="shared" ref="Q217:Q219" si="1620">SUM(AI217+BA217)</f>
        <v>0</v>
      </c>
      <c r="R217" s="342">
        <f t="shared" ref="R217:R219" si="1621">SUM(AJ217+BB217)</f>
        <v>0</v>
      </c>
      <c r="S217" s="97"/>
      <c r="T217" s="97">
        <f t="shared" ref="T217:T219" si="1622">I217*S217*$T$2/1000</f>
        <v>0</v>
      </c>
      <c r="U217" s="97"/>
      <c r="V217" s="97">
        <f t="shared" ref="V217:V219" si="1623">I217*U217*$V$2/1000</f>
        <v>0</v>
      </c>
      <c r="W217" s="97"/>
      <c r="X217" s="97">
        <f t="shared" ref="X217:X219" si="1624">I217*W217*$X$2/1000</f>
        <v>0</v>
      </c>
      <c r="Y217" s="97">
        <f t="shared" ref="Y217:Y219" si="1625">SUM(S217+U217+W217)</f>
        <v>0</v>
      </c>
      <c r="Z217" s="97">
        <f t="shared" ref="Z217" si="1626">SUM(T217+V217+X217)</f>
        <v>0</v>
      </c>
      <c r="AA217" s="97"/>
      <c r="AB217" s="97">
        <f t="shared" ref="AB217:AB219" si="1627">K217*AA217*$AB$2/1000</f>
        <v>0</v>
      </c>
      <c r="AC217" s="97"/>
      <c r="AD217" s="97">
        <f t="shared" ref="AD217:AD219" si="1628">K217*AC217*$AD$2/1000</f>
        <v>0</v>
      </c>
      <c r="AE217" s="97"/>
      <c r="AF217" s="96">
        <f t="shared" ref="AF217:AF219" si="1629">K217*AE217*$AF$2/1000</f>
        <v>0</v>
      </c>
      <c r="AG217" s="97">
        <f t="shared" ref="AG217:AG219" si="1630">SUM(AA217+AC217+AE217)</f>
        <v>0</v>
      </c>
      <c r="AH217" s="97">
        <f t="shared" ref="AH217" si="1631">SUM(AB217+AD217+AF217)</f>
        <v>0</v>
      </c>
      <c r="AI217" s="97">
        <f t="shared" ref="AI217:AI219" si="1632">SUM(Y217+AG217)</f>
        <v>0</v>
      </c>
      <c r="AJ217" s="97">
        <f t="shared" ref="AJ217:AJ219" si="1633">SUM(Z217,AH217)</f>
        <v>0</v>
      </c>
      <c r="AK217" s="97"/>
      <c r="AL217" s="97">
        <f t="shared" ref="AL217:AL219" si="1634">M217*AK217*$AL$2/1000</f>
        <v>0</v>
      </c>
      <c r="AM217" s="97"/>
      <c r="AN217" s="97">
        <f t="shared" ref="AN217:AN219" si="1635">M217*AM217*$AN$2/1000</f>
        <v>0</v>
      </c>
      <c r="AO217" s="97"/>
      <c r="AP217" s="97">
        <f t="shared" ref="AP217:AP219" si="1636">M217*AO217*$AP$2/1000</f>
        <v>0</v>
      </c>
      <c r="AQ217" s="97">
        <f t="shared" ref="AQ217:AQ219" si="1637">SUM(AK217+AM217+AO217)</f>
        <v>0</v>
      </c>
      <c r="AR217" s="97">
        <f t="shared" ref="AR217" si="1638">SUM(AL217+AN217+AP217)</f>
        <v>0</v>
      </c>
      <c r="AS217" s="97"/>
      <c r="AT217" s="97">
        <f t="shared" ref="AT217:AT219" si="1639">O217*AS217*$AT$2/1000</f>
        <v>0</v>
      </c>
      <c r="AU217" s="97"/>
      <c r="AV217" s="97">
        <f t="shared" ref="AV217:AV219" si="1640">O217*AU217*$AV$2/1000</f>
        <v>0</v>
      </c>
      <c r="AW217" s="97"/>
      <c r="AX217" s="97">
        <f t="shared" ref="AX217:AX219" si="1641">O217*AW217*$AX$2/1000</f>
        <v>0</v>
      </c>
      <c r="AY217" s="97">
        <f t="shared" ref="AY217:AY219" si="1642">SUM(AS217+AU217+AW217)</f>
        <v>0</v>
      </c>
      <c r="AZ217" s="97">
        <f t="shared" ref="AZ217" si="1643">SUM(AT217+AV217+AX217)</f>
        <v>0</v>
      </c>
      <c r="BA217" s="97">
        <f t="shared" ref="BA217:BA219" si="1644">SUM(AQ217+AY217)</f>
        <v>0</v>
      </c>
      <c r="BB217" s="97">
        <f t="shared" ref="BB217:BB219" si="1645">SUM(AR217,AZ217)</f>
        <v>0</v>
      </c>
      <c r="BC217" s="1" t="s">
        <v>1780</v>
      </c>
    </row>
    <row r="218" spans="1:55" hidden="1">
      <c r="A218" s="498">
        <v>159</v>
      </c>
      <c r="B218" s="13"/>
      <c r="C218" s="13"/>
      <c r="D218" s="13"/>
      <c r="E218" s="21" t="s">
        <v>755</v>
      </c>
      <c r="F218" s="46" t="s">
        <v>756</v>
      </c>
      <c r="G218" s="46" t="s">
        <v>1105</v>
      </c>
      <c r="H218" s="268" t="s">
        <v>365</v>
      </c>
      <c r="I218" s="18">
        <v>4.51</v>
      </c>
      <c r="J218" s="158"/>
      <c r="K218" s="18">
        <v>4.51</v>
      </c>
      <c r="L218" s="158"/>
      <c r="M218" s="18"/>
      <c r="N218" s="158"/>
      <c r="O218" s="18"/>
      <c r="P218" s="158"/>
      <c r="Q218" s="97">
        <f t="shared" si="1620"/>
        <v>0</v>
      </c>
      <c r="R218" s="342">
        <f t="shared" si="1621"/>
        <v>0</v>
      </c>
      <c r="S218" s="97"/>
      <c r="T218" s="97">
        <f t="shared" si="1622"/>
        <v>0</v>
      </c>
      <c r="U218" s="97"/>
      <c r="V218" s="97">
        <f t="shared" si="1623"/>
        <v>0</v>
      </c>
      <c r="W218" s="97"/>
      <c r="X218" s="97">
        <f t="shared" si="1624"/>
        <v>0</v>
      </c>
      <c r="Y218" s="97">
        <f t="shared" si="1625"/>
        <v>0</v>
      </c>
      <c r="Z218" s="97">
        <f t="shared" ref="Z218:Z219" si="1646">SUM(T218+V218+X218)</f>
        <v>0</v>
      </c>
      <c r="AA218" s="97"/>
      <c r="AB218" s="97">
        <f t="shared" si="1627"/>
        <v>0</v>
      </c>
      <c r="AC218" s="97"/>
      <c r="AD218" s="97">
        <f t="shared" si="1628"/>
        <v>0</v>
      </c>
      <c r="AE218" s="97"/>
      <c r="AF218" s="96">
        <f t="shared" si="1629"/>
        <v>0</v>
      </c>
      <c r="AG218" s="97">
        <f t="shared" si="1630"/>
        <v>0</v>
      </c>
      <c r="AH218" s="97">
        <f t="shared" ref="AH218:AH219" si="1647">SUM(AB218+AD218+AF218)</f>
        <v>0</v>
      </c>
      <c r="AI218" s="97">
        <f t="shared" si="1632"/>
        <v>0</v>
      </c>
      <c r="AJ218" s="97">
        <f t="shared" si="1633"/>
        <v>0</v>
      </c>
      <c r="AK218" s="97"/>
      <c r="AL218" s="97">
        <f t="shared" si="1634"/>
        <v>0</v>
      </c>
      <c r="AM218" s="97"/>
      <c r="AN218" s="97">
        <f t="shared" si="1635"/>
        <v>0</v>
      </c>
      <c r="AO218" s="97"/>
      <c r="AP218" s="97">
        <f t="shared" si="1636"/>
        <v>0</v>
      </c>
      <c r="AQ218" s="97">
        <f t="shared" si="1637"/>
        <v>0</v>
      </c>
      <c r="AR218" s="97">
        <f t="shared" ref="AR218:AR219" si="1648">SUM(AL218+AN218+AP218)</f>
        <v>0</v>
      </c>
      <c r="AS218" s="97"/>
      <c r="AT218" s="97">
        <f t="shared" si="1639"/>
        <v>0</v>
      </c>
      <c r="AU218" s="97"/>
      <c r="AV218" s="97">
        <f t="shared" si="1640"/>
        <v>0</v>
      </c>
      <c r="AW218" s="97"/>
      <c r="AX218" s="97">
        <f t="shared" si="1641"/>
        <v>0</v>
      </c>
      <c r="AY218" s="97">
        <f t="shared" si="1642"/>
        <v>0</v>
      </c>
      <c r="AZ218" s="97">
        <f t="shared" ref="AZ218:AZ219" si="1649">SUM(AT218+AV218+AX218)</f>
        <v>0</v>
      </c>
      <c r="BA218" s="97">
        <f t="shared" si="1644"/>
        <v>0</v>
      </c>
      <c r="BB218" s="97">
        <f t="shared" si="1645"/>
        <v>0</v>
      </c>
      <c r="BC218" s="1" t="s">
        <v>1780</v>
      </c>
    </row>
    <row r="219" spans="1:55" hidden="1">
      <c r="A219" s="498">
        <v>160</v>
      </c>
      <c r="B219" s="13"/>
      <c r="C219" s="13"/>
      <c r="D219" s="13"/>
      <c r="E219" s="21" t="s">
        <v>757</v>
      </c>
      <c r="F219" s="46" t="s">
        <v>758</v>
      </c>
      <c r="G219" s="46" t="s">
        <v>1105</v>
      </c>
      <c r="H219" s="268" t="s">
        <v>365</v>
      </c>
      <c r="I219" s="18">
        <v>3.7</v>
      </c>
      <c r="J219" s="158"/>
      <c r="K219" s="18">
        <v>3.7</v>
      </c>
      <c r="L219" s="158"/>
      <c r="M219" s="18"/>
      <c r="N219" s="158"/>
      <c r="O219" s="18"/>
      <c r="P219" s="158"/>
      <c r="Q219" s="97">
        <f t="shared" si="1620"/>
        <v>0</v>
      </c>
      <c r="R219" s="342">
        <f t="shared" si="1621"/>
        <v>0</v>
      </c>
      <c r="S219" s="97"/>
      <c r="T219" s="97">
        <f t="shared" si="1622"/>
        <v>0</v>
      </c>
      <c r="U219" s="97"/>
      <c r="V219" s="97">
        <f t="shared" si="1623"/>
        <v>0</v>
      </c>
      <c r="W219" s="97"/>
      <c r="X219" s="97">
        <f t="shared" si="1624"/>
        <v>0</v>
      </c>
      <c r="Y219" s="97">
        <f t="shared" si="1625"/>
        <v>0</v>
      </c>
      <c r="Z219" s="97">
        <f t="shared" si="1646"/>
        <v>0</v>
      </c>
      <c r="AA219" s="97"/>
      <c r="AB219" s="97">
        <f t="shared" si="1627"/>
        <v>0</v>
      </c>
      <c r="AC219" s="97"/>
      <c r="AD219" s="97">
        <f t="shared" si="1628"/>
        <v>0</v>
      </c>
      <c r="AE219" s="97"/>
      <c r="AF219" s="96">
        <f t="shared" si="1629"/>
        <v>0</v>
      </c>
      <c r="AG219" s="97">
        <f t="shared" si="1630"/>
        <v>0</v>
      </c>
      <c r="AH219" s="97">
        <f t="shared" si="1647"/>
        <v>0</v>
      </c>
      <c r="AI219" s="97">
        <f t="shared" si="1632"/>
        <v>0</v>
      </c>
      <c r="AJ219" s="97">
        <f t="shared" si="1633"/>
        <v>0</v>
      </c>
      <c r="AK219" s="97"/>
      <c r="AL219" s="97">
        <f t="shared" si="1634"/>
        <v>0</v>
      </c>
      <c r="AM219" s="97"/>
      <c r="AN219" s="97">
        <f t="shared" si="1635"/>
        <v>0</v>
      </c>
      <c r="AO219" s="97"/>
      <c r="AP219" s="97">
        <f t="shared" si="1636"/>
        <v>0</v>
      </c>
      <c r="AQ219" s="97">
        <f t="shared" si="1637"/>
        <v>0</v>
      </c>
      <c r="AR219" s="97">
        <f t="shared" si="1648"/>
        <v>0</v>
      </c>
      <c r="AS219" s="97"/>
      <c r="AT219" s="97">
        <f t="shared" si="1639"/>
        <v>0</v>
      </c>
      <c r="AU219" s="97"/>
      <c r="AV219" s="97">
        <f t="shared" si="1640"/>
        <v>0</v>
      </c>
      <c r="AW219" s="97"/>
      <c r="AX219" s="97">
        <f t="shared" si="1641"/>
        <v>0</v>
      </c>
      <c r="AY219" s="97">
        <f t="shared" si="1642"/>
        <v>0</v>
      </c>
      <c r="AZ219" s="97">
        <f t="shared" si="1649"/>
        <v>0</v>
      </c>
      <c r="BA219" s="97">
        <f t="shared" si="1644"/>
        <v>0</v>
      </c>
      <c r="BB219" s="97">
        <f t="shared" si="1645"/>
        <v>0</v>
      </c>
      <c r="BC219" s="1" t="s">
        <v>1780</v>
      </c>
    </row>
    <row r="220" spans="1:55" hidden="1">
      <c r="A220" s="498">
        <v>161</v>
      </c>
      <c r="B220" s="13"/>
      <c r="C220" s="13"/>
      <c r="D220" s="13"/>
      <c r="E220" s="21" t="s">
        <v>45</v>
      </c>
      <c r="F220" s="46" t="s">
        <v>46</v>
      </c>
      <c r="G220" s="46" t="s">
        <v>1105</v>
      </c>
      <c r="H220" s="268" t="s">
        <v>365</v>
      </c>
      <c r="I220" s="18">
        <v>3.63</v>
      </c>
      <c r="J220" s="158"/>
      <c r="K220" s="18">
        <v>3.63</v>
      </c>
      <c r="L220" s="158"/>
      <c r="M220" s="18"/>
      <c r="N220" s="158"/>
      <c r="O220" s="18"/>
      <c r="P220" s="158"/>
      <c r="Q220" s="97">
        <f t="shared" si="1600"/>
        <v>0</v>
      </c>
      <c r="R220" s="342">
        <f t="shared" si="1600"/>
        <v>0</v>
      </c>
      <c r="S220" s="97"/>
      <c r="T220" s="97">
        <f t="shared" si="1601"/>
        <v>0</v>
      </c>
      <c r="U220" s="97"/>
      <c r="V220" s="97">
        <f t="shared" si="1602"/>
        <v>0</v>
      </c>
      <c r="W220" s="97"/>
      <c r="X220" s="97">
        <f t="shared" si="1603"/>
        <v>0</v>
      </c>
      <c r="Y220" s="97">
        <f t="shared" si="1604"/>
        <v>0</v>
      </c>
      <c r="Z220" s="97">
        <f t="shared" si="1604"/>
        <v>0</v>
      </c>
      <c r="AA220" s="97"/>
      <c r="AB220" s="97">
        <f t="shared" si="1605"/>
        <v>0</v>
      </c>
      <c r="AC220" s="97"/>
      <c r="AD220" s="97">
        <f t="shared" si="1606"/>
        <v>0</v>
      </c>
      <c r="AE220" s="97"/>
      <c r="AF220" s="96">
        <f t="shared" ref="AF220:AF227" si="1650">K220*AE220*$AF$2/1000</f>
        <v>0</v>
      </c>
      <c r="AG220" s="97">
        <f t="shared" si="1607"/>
        <v>0</v>
      </c>
      <c r="AH220" s="97">
        <f t="shared" si="1607"/>
        <v>0</v>
      </c>
      <c r="AI220" s="97">
        <f t="shared" si="1608"/>
        <v>0</v>
      </c>
      <c r="AJ220" s="97">
        <f t="shared" si="1609"/>
        <v>0</v>
      </c>
      <c r="AK220" s="97"/>
      <c r="AL220" s="97">
        <f t="shared" si="1610"/>
        <v>0</v>
      </c>
      <c r="AM220" s="97"/>
      <c r="AN220" s="97">
        <f t="shared" si="1611"/>
        <v>0</v>
      </c>
      <c r="AO220" s="97"/>
      <c r="AP220" s="97">
        <f t="shared" si="1612"/>
        <v>0</v>
      </c>
      <c r="AQ220" s="97">
        <f t="shared" si="1613"/>
        <v>0</v>
      </c>
      <c r="AR220" s="97">
        <f t="shared" si="1613"/>
        <v>0</v>
      </c>
      <c r="AS220" s="97"/>
      <c r="AT220" s="97">
        <f t="shared" si="1614"/>
        <v>0</v>
      </c>
      <c r="AU220" s="97"/>
      <c r="AV220" s="97">
        <f t="shared" si="1615"/>
        <v>0</v>
      </c>
      <c r="AW220" s="97"/>
      <c r="AX220" s="97">
        <f t="shared" si="1616"/>
        <v>0</v>
      </c>
      <c r="AY220" s="97">
        <f t="shared" si="1617"/>
        <v>0</v>
      </c>
      <c r="AZ220" s="97">
        <f t="shared" si="1617"/>
        <v>0</v>
      </c>
      <c r="BA220" s="97">
        <f t="shared" si="1618"/>
        <v>0</v>
      </c>
      <c r="BB220" s="97">
        <f t="shared" si="1619"/>
        <v>0</v>
      </c>
      <c r="BC220" s="1" t="s">
        <v>1780</v>
      </c>
    </row>
    <row r="221" spans="1:55" hidden="1">
      <c r="A221" s="498">
        <v>162</v>
      </c>
      <c r="B221" s="13"/>
      <c r="C221" s="13"/>
      <c r="D221" s="13"/>
      <c r="E221" s="21" t="s">
        <v>154</v>
      </c>
      <c r="F221" s="46" t="s">
        <v>47</v>
      </c>
      <c r="G221" s="46" t="s">
        <v>1105</v>
      </c>
      <c r="H221" s="268" t="s">
        <v>365</v>
      </c>
      <c r="I221" s="18">
        <v>4.4800000000000004</v>
      </c>
      <c r="J221" s="158"/>
      <c r="K221" s="18">
        <v>4.4800000000000004</v>
      </c>
      <c r="L221" s="158"/>
      <c r="M221" s="18"/>
      <c r="N221" s="158"/>
      <c r="O221" s="18"/>
      <c r="P221" s="158"/>
      <c r="Q221" s="97">
        <f t="shared" ref="Q221:R224" si="1651">SUM(AI221+BA221)</f>
        <v>0</v>
      </c>
      <c r="R221" s="342">
        <f t="shared" si="1651"/>
        <v>0</v>
      </c>
      <c r="S221" s="97"/>
      <c r="T221" s="97">
        <f>I221*S221*$T$2/1000</f>
        <v>0</v>
      </c>
      <c r="U221" s="97"/>
      <c r="V221" s="97">
        <f>I221*U221*$V$2/1000</f>
        <v>0</v>
      </c>
      <c r="W221" s="97"/>
      <c r="X221" s="97">
        <f>I221*W221*$X$2/1000</f>
        <v>0</v>
      </c>
      <c r="Y221" s="97">
        <f t="shared" ref="Y221:Z224" si="1652">SUM(S221+U221+W221)</f>
        <v>0</v>
      </c>
      <c r="Z221" s="97">
        <f t="shared" si="1652"/>
        <v>0</v>
      </c>
      <c r="AA221" s="97"/>
      <c r="AB221" s="97">
        <f t="shared" si="1605"/>
        <v>0</v>
      </c>
      <c r="AC221" s="97"/>
      <c r="AD221" s="97">
        <f>K221*AC221*$AD$2/1000</f>
        <v>0</v>
      </c>
      <c r="AE221" s="97"/>
      <c r="AF221" s="96">
        <f>K221*AE221*$AF$2/1000</f>
        <v>0</v>
      </c>
      <c r="AG221" s="97">
        <f t="shared" ref="AG221:AH224" si="1653">SUM(AA221+AC221+AE221)</f>
        <v>0</v>
      </c>
      <c r="AH221" s="97">
        <f t="shared" si="1653"/>
        <v>0</v>
      </c>
      <c r="AI221" s="97">
        <f>SUM(Y221+AG221)</f>
        <v>0</v>
      </c>
      <c r="AJ221" s="97">
        <f>SUM(Z221,AH221)</f>
        <v>0</v>
      </c>
      <c r="AK221" s="97"/>
      <c r="AL221" s="97">
        <f>M221*AK221*$AL$2/1000</f>
        <v>0</v>
      </c>
      <c r="AM221" s="97"/>
      <c r="AN221" s="97">
        <f>M221*AM221*$AN$2/1000</f>
        <v>0</v>
      </c>
      <c r="AO221" s="97"/>
      <c r="AP221" s="97">
        <f>M221*AO221*$AP$2/1000</f>
        <v>0</v>
      </c>
      <c r="AQ221" s="97">
        <f t="shared" ref="AQ221:AR224" si="1654">SUM(AK221+AM221+AO221)</f>
        <v>0</v>
      </c>
      <c r="AR221" s="97">
        <f t="shared" si="1654"/>
        <v>0</v>
      </c>
      <c r="AS221" s="97"/>
      <c r="AT221" s="97">
        <f>O221*AS221*$AT$2/1000</f>
        <v>0</v>
      </c>
      <c r="AU221" s="97"/>
      <c r="AV221" s="97">
        <f>O221*AU221*$AV$2/1000</f>
        <v>0</v>
      </c>
      <c r="AW221" s="97"/>
      <c r="AX221" s="97">
        <f>O221*AW221*$AX$2/1000</f>
        <v>0</v>
      </c>
      <c r="AY221" s="97">
        <f t="shared" ref="AY221:AZ224" si="1655">SUM(AS221+AU221+AW221)</f>
        <v>0</v>
      </c>
      <c r="AZ221" s="97">
        <f t="shared" si="1655"/>
        <v>0</v>
      </c>
      <c r="BA221" s="97">
        <f>SUM(AQ221+AY221)</f>
        <v>0</v>
      </c>
      <c r="BB221" s="97">
        <f>SUM(AR221,AZ221)</f>
        <v>0</v>
      </c>
      <c r="BC221" s="1" t="s">
        <v>1780</v>
      </c>
    </row>
    <row r="222" spans="1:55" hidden="1">
      <c r="A222" s="498">
        <v>163</v>
      </c>
      <c r="B222" s="13"/>
      <c r="C222" s="23"/>
      <c r="D222" s="13"/>
      <c r="E222" s="21" t="s">
        <v>249</v>
      </c>
      <c r="F222" s="46" t="s">
        <v>250</v>
      </c>
      <c r="G222" s="46" t="s">
        <v>1105</v>
      </c>
      <c r="H222" s="268" t="s">
        <v>365</v>
      </c>
      <c r="I222" s="18">
        <v>4.54</v>
      </c>
      <c r="J222" s="158"/>
      <c r="K222" s="18"/>
      <c r="L222" s="158"/>
      <c r="M222" s="18"/>
      <c r="N222" s="158"/>
      <c r="O222" s="18"/>
      <c r="P222" s="158"/>
      <c r="Q222" s="97">
        <f t="shared" si="1651"/>
        <v>0</v>
      </c>
      <c r="R222" s="342">
        <f t="shared" si="1651"/>
        <v>0</v>
      </c>
      <c r="S222" s="97"/>
      <c r="T222" s="97">
        <f>I222*S222*$T$2/1000</f>
        <v>0</v>
      </c>
      <c r="U222" s="97"/>
      <c r="V222" s="97">
        <f>I222*U222*$V$2/1000</f>
        <v>0</v>
      </c>
      <c r="W222" s="97"/>
      <c r="X222" s="97">
        <f>I222*W222*$X$2/1000</f>
        <v>0</v>
      </c>
      <c r="Y222" s="97">
        <f t="shared" si="1652"/>
        <v>0</v>
      </c>
      <c r="Z222" s="97">
        <f t="shared" si="1652"/>
        <v>0</v>
      </c>
      <c r="AA222" s="97"/>
      <c r="AB222" s="97">
        <f t="shared" si="1605"/>
        <v>0</v>
      </c>
      <c r="AC222" s="97"/>
      <c r="AD222" s="97">
        <f>K222*AC222*$AD$2/1000</f>
        <v>0</v>
      </c>
      <c r="AE222" s="97"/>
      <c r="AF222" s="96">
        <f>K222*AE222*$AF$2/1000</f>
        <v>0</v>
      </c>
      <c r="AG222" s="97">
        <f t="shared" si="1653"/>
        <v>0</v>
      </c>
      <c r="AH222" s="97">
        <f t="shared" si="1653"/>
        <v>0</v>
      </c>
      <c r="AI222" s="97">
        <f>SUM(Y222+AG222)</f>
        <v>0</v>
      </c>
      <c r="AJ222" s="97">
        <f>SUM(Z222,AH222)</f>
        <v>0</v>
      </c>
      <c r="AK222" s="97"/>
      <c r="AL222" s="97">
        <f>M222*AK222*$AL$2/1000</f>
        <v>0</v>
      </c>
      <c r="AM222" s="97"/>
      <c r="AN222" s="97">
        <f>M222*AM222*$AN$2/1000</f>
        <v>0</v>
      </c>
      <c r="AO222" s="97"/>
      <c r="AP222" s="97">
        <f>M222*AO222*$AP$2/1000</f>
        <v>0</v>
      </c>
      <c r="AQ222" s="97">
        <f t="shared" si="1654"/>
        <v>0</v>
      </c>
      <c r="AR222" s="97">
        <f t="shared" si="1654"/>
        <v>0</v>
      </c>
      <c r="AS222" s="97"/>
      <c r="AT222" s="97">
        <f>O222*AS222*$AT$2/1000</f>
        <v>0</v>
      </c>
      <c r="AU222" s="97"/>
      <c r="AV222" s="97">
        <f>O222*AU222*$AV$2/1000</f>
        <v>0</v>
      </c>
      <c r="AW222" s="97"/>
      <c r="AX222" s="97">
        <f>O222*AW222*$AX$2/1000</f>
        <v>0</v>
      </c>
      <c r="AY222" s="97">
        <f t="shared" si="1655"/>
        <v>0</v>
      </c>
      <c r="AZ222" s="97">
        <f t="shared" si="1655"/>
        <v>0</v>
      </c>
      <c r="BA222" s="97">
        <f>SUM(AQ222+AY222)</f>
        <v>0</v>
      </c>
      <c r="BB222" s="97">
        <f>SUM(AR222,AZ222)</f>
        <v>0</v>
      </c>
      <c r="BC222" s="1" t="s">
        <v>1783</v>
      </c>
    </row>
    <row r="223" spans="1:55" hidden="1">
      <c r="A223" s="498">
        <v>164</v>
      </c>
      <c r="B223" s="13"/>
      <c r="C223" s="13"/>
      <c r="D223" s="13"/>
      <c r="E223" s="21" t="s">
        <v>155</v>
      </c>
      <c r="F223" s="46" t="s">
        <v>39</v>
      </c>
      <c r="G223" s="46" t="s">
        <v>1105</v>
      </c>
      <c r="H223" s="268" t="s">
        <v>365</v>
      </c>
      <c r="I223" s="18">
        <v>4.99</v>
      </c>
      <c r="J223" s="158"/>
      <c r="K223" s="18"/>
      <c r="L223" s="158"/>
      <c r="M223" s="18"/>
      <c r="N223" s="158"/>
      <c r="O223" s="18"/>
      <c r="P223" s="158"/>
      <c r="Q223" s="97">
        <f t="shared" si="1651"/>
        <v>0</v>
      </c>
      <c r="R223" s="342">
        <f t="shared" si="1651"/>
        <v>0</v>
      </c>
      <c r="S223" s="97"/>
      <c r="T223" s="97">
        <f>I223*S223*$T$2/1000</f>
        <v>0</v>
      </c>
      <c r="U223" s="97"/>
      <c r="V223" s="97">
        <f>I223*U223*$V$2/1000</f>
        <v>0</v>
      </c>
      <c r="W223" s="97"/>
      <c r="X223" s="97">
        <f>I223*W223*$X$2/1000</f>
        <v>0</v>
      </c>
      <c r="Y223" s="97">
        <f t="shared" si="1652"/>
        <v>0</v>
      </c>
      <c r="Z223" s="97">
        <f t="shared" si="1652"/>
        <v>0</v>
      </c>
      <c r="AA223" s="97"/>
      <c r="AB223" s="97">
        <f t="shared" si="1605"/>
        <v>0</v>
      </c>
      <c r="AC223" s="97"/>
      <c r="AD223" s="97">
        <f>K223*AC223*$AD$2/1000</f>
        <v>0</v>
      </c>
      <c r="AE223" s="97"/>
      <c r="AF223" s="96">
        <f>K223*AE223*$AF$2/1000</f>
        <v>0</v>
      </c>
      <c r="AG223" s="97">
        <f t="shared" si="1653"/>
        <v>0</v>
      </c>
      <c r="AH223" s="97">
        <f t="shared" si="1653"/>
        <v>0</v>
      </c>
      <c r="AI223" s="97">
        <f>SUM(Y223+AG223)</f>
        <v>0</v>
      </c>
      <c r="AJ223" s="97">
        <f>SUM(Z223,AH223)</f>
        <v>0</v>
      </c>
      <c r="AK223" s="97"/>
      <c r="AL223" s="97">
        <f>M223*AK223*$AL$2/1000</f>
        <v>0</v>
      </c>
      <c r="AM223" s="97"/>
      <c r="AN223" s="97">
        <f>M223*AM223*$AN$2/1000</f>
        <v>0</v>
      </c>
      <c r="AO223" s="97"/>
      <c r="AP223" s="97">
        <f>M223*AO223*$AP$2/1000</f>
        <v>0</v>
      </c>
      <c r="AQ223" s="97">
        <f t="shared" si="1654"/>
        <v>0</v>
      </c>
      <c r="AR223" s="97">
        <f t="shared" si="1654"/>
        <v>0</v>
      </c>
      <c r="AS223" s="97"/>
      <c r="AT223" s="97">
        <f>O223*AS223*$AT$2/1000</f>
        <v>0</v>
      </c>
      <c r="AU223" s="97"/>
      <c r="AV223" s="97">
        <f>O223*AU223*$AV$2/1000</f>
        <v>0</v>
      </c>
      <c r="AW223" s="97"/>
      <c r="AX223" s="97">
        <f>O223*AW223*$AX$2/1000</f>
        <v>0</v>
      </c>
      <c r="AY223" s="97">
        <f t="shared" si="1655"/>
        <v>0</v>
      </c>
      <c r="AZ223" s="97">
        <f t="shared" si="1655"/>
        <v>0</v>
      </c>
      <c r="BA223" s="97">
        <f>SUM(AQ223+AY223)</f>
        <v>0</v>
      </c>
      <c r="BB223" s="97">
        <f>SUM(AR223,AZ223)</f>
        <v>0</v>
      </c>
      <c r="BC223" s="1" t="s">
        <v>1783</v>
      </c>
    </row>
    <row r="224" spans="1:55" hidden="1">
      <c r="A224" s="498">
        <v>165</v>
      </c>
      <c r="B224" s="13"/>
      <c r="C224" s="33"/>
      <c r="D224" s="358"/>
      <c r="E224" s="359" t="s">
        <v>72</v>
      </c>
      <c r="F224" s="46" t="s">
        <v>147</v>
      </c>
      <c r="G224" s="46" t="s">
        <v>1105</v>
      </c>
      <c r="H224" s="268" t="s">
        <v>367</v>
      </c>
      <c r="I224" s="18">
        <v>3.54</v>
      </c>
      <c r="J224" s="158"/>
      <c r="K224" s="18"/>
      <c r="L224" s="158"/>
      <c r="M224" s="18"/>
      <c r="N224" s="158"/>
      <c r="O224" s="18"/>
      <c r="P224" s="158"/>
      <c r="Q224" s="97">
        <f t="shared" si="1651"/>
        <v>0</v>
      </c>
      <c r="R224" s="342">
        <f t="shared" si="1651"/>
        <v>0</v>
      </c>
      <c r="S224" s="97"/>
      <c r="T224" s="97">
        <f>I224*S224*$T$2/1000</f>
        <v>0</v>
      </c>
      <c r="U224" s="97"/>
      <c r="V224" s="97">
        <f>I224*U224*$V$2/1000</f>
        <v>0</v>
      </c>
      <c r="W224" s="97"/>
      <c r="X224" s="97">
        <f>I224*W224*$X$2/1000</f>
        <v>0</v>
      </c>
      <c r="Y224" s="97">
        <f t="shared" si="1652"/>
        <v>0</v>
      </c>
      <c r="Z224" s="97">
        <f t="shared" si="1652"/>
        <v>0</v>
      </c>
      <c r="AA224" s="97"/>
      <c r="AB224" s="97">
        <f t="shared" si="1605"/>
        <v>0</v>
      </c>
      <c r="AC224" s="97"/>
      <c r="AD224" s="97">
        <f>K224*AC224*$AD$2/1000</f>
        <v>0</v>
      </c>
      <c r="AE224" s="97"/>
      <c r="AF224" s="96">
        <f>K224*AE224*$AF$2/1000</f>
        <v>0</v>
      </c>
      <c r="AG224" s="97">
        <f t="shared" si="1653"/>
        <v>0</v>
      </c>
      <c r="AH224" s="97">
        <f t="shared" si="1653"/>
        <v>0</v>
      </c>
      <c r="AI224" s="97">
        <f>SUM(Y224+AG224)</f>
        <v>0</v>
      </c>
      <c r="AJ224" s="97">
        <f>SUM(Z224,AH224)</f>
        <v>0</v>
      </c>
      <c r="AK224" s="97"/>
      <c r="AL224" s="97">
        <f>M224*AK224*$AL$2/1000</f>
        <v>0</v>
      </c>
      <c r="AM224" s="97"/>
      <c r="AN224" s="97">
        <f>M224*AM224*$AN$2/1000</f>
        <v>0</v>
      </c>
      <c r="AO224" s="97"/>
      <c r="AP224" s="97">
        <f>M224*AO224*$AP$2/1000</f>
        <v>0</v>
      </c>
      <c r="AQ224" s="97">
        <f t="shared" si="1654"/>
        <v>0</v>
      </c>
      <c r="AR224" s="97">
        <f t="shared" si="1654"/>
        <v>0</v>
      </c>
      <c r="AS224" s="97"/>
      <c r="AT224" s="97">
        <f>O224*AS224*$AT$2/1000</f>
        <v>0</v>
      </c>
      <c r="AU224" s="97"/>
      <c r="AV224" s="97">
        <f>O224*AU224*$AV$2/1000</f>
        <v>0</v>
      </c>
      <c r="AW224" s="97"/>
      <c r="AX224" s="97">
        <f>O224*AW224*$AX$2/1000</f>
        <v>0</v>
      </c>
      <c r="AY224" s="97">
        <f t="shared" si="1655"/>
        <v>0</v>
      </c>
      <c r="AZ224" s="97">
        <f t="shared" si="1655"/>
        <v>0</v>
      </c>
      <c r="BA224" s="97">
        <f>SUM(AQ224+AY224)</f>
        <v>0</v>
      </c>
      <c r="BB224" s="97">
        <f>SUM(AR224,AZ224)</f>
        <v>0</v>
      </c>
      <c r="BC224" s="1" t="s">
        <v>1783</v>
      </c>
    </row>
    <row r="225" spans="1:55" hidden="1">
      <c r="A225" s="498">
        <v>166</v>
      </c>
      <c r="B225" s="13"/>
      <c r="C225" s="33"/>
      <c r="D225" s="358"/>
      <c r="E225" s="359" t="s">
        <v>148</v>
      </c>
      <c r="F225" s="46" t="s">
        <v>149</v>
      </c>
      <c r="G225" s="46" t="s">
        <v>1105</v>
      </c>
      <c r="H225" s="268" t="s">
        <v>367</v>
      </c>
      <c r="I225" s="18">
        <v>3.68</v>
      </c>
      <c r="J225" s="158"/>
      <c r="K225" s="18"/>
      <c r="L225" s="158"/>
      <c r="M225" s="18"/>
      <c r="N225" s="158"/>
      <c r="O225" s="18"/>
      <c r="P225" s="158"/>
      <c r="Q225" s="97">
        <f t="shared" ref="Q225:Q226" si="1656">SUM(AI225+BA225)</f>
        <v>0</v>
      </c>
      <c r="R225" s="342">
        <f t="shared" ref="R225:R226" si="1657">SUM(AJ225+BB225)</f>
        <v>0</v>
      </c>
      <c r="S225" s="97"/>
      <c r="T225" s="97">
        <f t="shared" ref="T225:T226" si="1658">I225*S225*$T$2/1000</f>
        <v>0</v>
      </c>
      <c r="U225" s="97"/>
      <c r="V225" s="97">
        <f t="shared" ref="V225:V226" si="1659">I225*U225*$V$2/1000</f>
        <v>0</v>
      </c>
      <c r="W225" s="97"/>
      <c r="X225" s="97">
        <f t="shared" ref="X225:X226" si="1660">I225*W225*$X$2/1000</f>
        <v>0</v>
      </c>
      <c r="Y225" s="97">
        <f t="shared" ref="Y225:Y226" si="1661">SUM(S225+U225+W225)</f>
        <v>0</v>
      </c>
      <c r="Z225" s="97">
        <f t="shared" ref="Z225:Z226" si="1662">SUM(T225+V225+X225)</f>
        <v>0</v>
      </c>
      <c r="AA225" s="97"/>
      <c r="AB225" s="97">
        <f t="shared" ref="AB225:AB226" si="1663">K225*AA225*$AB$2/1000</f>
        <v>0</v>
      </c>
      <c r="AC225" s="97"/>
      <c r="AD225" s="97">
        <f t="shared" ref="AD225:AD226" si="1664">K225*AC225*$AD$2/1000</f>
        <v>0</v>
      </c>
      <c r="AE225" s="97"/>
      <c r="AF225" s="96">
        <f t="shared" si="1650"/>
        <v>0</v>
      </c>
      <c r="AG225" s="97">
        <f t="shared" ref="AG225:AG226" si="1665">SUM(AA225+AC225+AE225)</f>
        <v>0</v>
      </c>
      <c r="AH225" s="97">
        <f t="shared" ref="AH225:AH226" si="1666">SUM(AB225+AD225+AF225)</f>
        <v>0</v>
      </c>
      <c r="AI225" s="97">
        <f t="shared" ref="AI225:AI226" si="1667">SUM(Y225+AG225)</f>
        <v>0</v>
      </c>
      <c r="AJ225" s="97">
        <f t="shared" ref="AJ225:AJ226" si="1668">SUM(Z225,AH225)</f>
        <v>0</v>
      </c>
      <c r="AK225" s="97"/>
      <c r="AL225" s="97">
        <f t="shared" ref="AL225:AL226" si="1669">M225*AK225*$AL$2/1000</f>
        <v>0</v>
      </c>
      <c r="AM225" s="97"/>
      <c r="AN225" s="97">
        <f t="shared" si="1611"/>
        <v>0</v>
      </c>
      <c r="AO225" s="97"/>
      <c r="AP225" s="97">
        <f t="shared" ref="AP225:AP226" si="1670">M225*AO225*$AP$2/1000</f>
        <v>0</v>
      </c>
      <c r="AQ225" s="97">
        <f t="shared" ref="AQ225:AQ226" si="1671">SUM(AK225+AM225+AO225)</f>
        <v>0</v>
      </c>
      <c r="AR225" s="97">
        <f t="shared" ref="AR225:AR226" si="1672">SUM(AL225+AN225+AP225)</f>
        <v>0</v>
      </c>
      <c r="AS225" s="97"/>
      <c r="AT225" s="97">
        <f t="shared" ref="AT225:AT226" si="1673">O225*AS225*$AT$2/1000</f>
        <v>0</v>
      </c>
      <c r="AU225" s="97"/>
      <c r="AV225" s="97">
        <f t="shared" ref="AV225:AV226" si="1674">O225*AU225*$AV$2/1000</f>
        <v>0</v>
      </c>
      <c r="AW225" s="97"/>
      <c r="AX225" s="97">
        <f t="shared" ref="AX225:AX226" si="1675">O225*AW225*$AX$2/1000</f>
        <v>0</v>
      </c>
      <c r="AY225" s="97">
        <f t="shared" ref="AY225:AY226" si="1676">SUM(AS225+AU225+AW225)</f>
        <v>0</v>
      </c>
      <c r="AZ225" s="97">
        <f t="shared" ref="AZ225:AZ226" si="1677">SUM(AT225+AV225+AX225)</f>
        <v>0</v>
      </c>
      <c r="BA225" s="97">
        <f t="shared" ref="BA225:BA226" si="1678">SUM(AQ225+AY225)</f>
        <v>0</v>
      </c>
      <c r="BB225" s="97">
        <f t="shared" ref="BB225:BB226" si="1679">SUM(AR225,AZ225)</f>
        <v>0</v>
      </c>
      <c r="BC225" s="1" t="s">
        <v>1783</v>
      </c>
    </row>
    <row r="226" spans="1:55" hidden="1">
      <c r="A226" s="498">
        <v>167</v>
      </c>
      <c r="B226" s="13"/>
      <c r="C226" s="33"/>
      <c r="D226" s="358"/>
      <c r="E226" s="359" t="s">
        <v>350</v>
      </c>
      <c r="F226" s="46" t="s">
        <v>349</v>
      </c>
      <c r="G226" s="46" t="s">
        <v>1105</v>
      </c>
      <c r="H226" s="268" t="s">
        <v>367</v>
      </c>
      <c r="I226" s="18">
        <v>3.34</v>
      </c>
      <c r="J226" s="158"/>
      <c r="K226" s="18"/>
      <c r="L226" s="158"/>
      <c r="M226" s="18"/>
      <c r="N226" s="158"/>
      <c r="O226" s="18"/>
      <c r="P226" s="158"/>
      <c r="Q226" s="97">
        <f t="shared" si="1656"/>
        <v>0</v>
      </c>
      <c r="R226" s="342">
        <f t="shared" si="1657"/>
        <v>0</v>
      </c>
      <c r="S226" s="97"/>
      <c r="T226" s="97">
        <f t="shared" si="1658"/>
        <v>0</v>
      </c>
      <c r="U226" s="97"/>
      <c r="V226" s="97">
        <f t="shared" si="1659"/>
        <v>0</v>
      </c>
      <c r="W226" s="97"/>
      <c r="X226" s="97">
        <f t="shared" si="1660"/>
        <v>0</v>
      </c>
      <c r="Y226" s="97">
        <f t="shared" si="1661"/>
        <v>0</v>
      </c>
      <c r="Z226" s="97">
        <f t="shared" si="1662"/>
        <v>0</v>
      </c>
      <c r="AA226" s="97"/>
      <c r="AB226" s="97">
        <f t="shared" si="1663"/>
        <v>0</v>
      </c>
      <c r="AC226" s="97"/>
      <c r="AD226" s="97">
        <f t="shared" si="1664"/>
        <v>0</v>
      </c>
      <c r="AE226" s="97"/>
      <c r="AF226" s="96">
        <f t="shared" si="1650"/>
        <v>0</v>
      </c>
      <c r="AG226" s="97">
        <f t="shared" si="1665"/>
        <v>0</v>
      </c>
      <c r="AH226" s="97">
        <f t="shared" si="1666"/>
        <v>0</v>
      </c>
      <c r="AI226" s="97">
        <f t="shared" si="1667"/>
        <v>0</v>
      </c>
      <c r="AJ226" s="97">
        <f t="shared" si="1668"/>
        <v>0</v>
      </c>
      <c r="AK226" s="97"/>
      <c r="AL226" s="97">
        <f t="shared" si="1669"/>
        <v>0</v>
      </c>
      <c r="AM226" s="97"/>
      <c r="AN226" s="97">
        <f t="shared" si="1611"/>
        <v>0</v>
      </c>
      <c r="AO226" s="97"/>
      <c r="AP226" s="97">
        <f t="shared" si="1670"/>
        <v>0</v>
      </c>
      <c r="AQ226" s="97">
        <f t="shared" si="1671"/>
        <v>0</v>
      </c>
      <c r="AR226" s="97">
        <f t="shared" si="1672"/>
        <v>0</v>
      </c>
      <c r="AS226" s="97"/>
      <c r="AT226" s="97">
        <f t="shared" si="1673"/>
        <v>0</v>
      </c>
      <c r="AU226" s="97"/>
      <c r="AV226" s="97">
        <f t="shared" si="1674"/>
        <v>0</v>
      </c>
      <c r="AW226" s="97"/>
      <c r="AX226" s="97">
        <f t="shared" si="1675"/>
        <v>0</v>
      </c>
      <c r="AY226" s="97">
        <f t="shared" si="1676"/>
        <v>0</v>
      </c>
      <c r="AZ226" s="97">
        <f t="shared" si="1677"/>
        <v>0</v>
      </c>
      <c r="BA226" s="97">
        <f t="shared" si="1678"/>
        <v>0</v>
      </c>
      <c r="BB226" s="97">
        <f t="shared" si="1679"/>
        <v>0</v>
      </c>
      <c r="BC226" s="1" t="s">
        <v>1783</v>
      </c>
    </row>
    <row r="227" spans="1:55" hidden="1">
      <c r="A227" s="498">
        <v>168</v>
      </c>
      <c r="B227" s="13"/>
      <c r="C227" s="33"/>
      <c r="D227" s="358"/>
      <c r="E227" s="360" t="s">
        <v>455</v>
      </c>
      <c r="F227" s="65" t="s">
        <v>454</v>
      </c>
      <c r="G227" s="65" t="s">
        <v>1105</v>
      </c>
      <c r="H227" s="275" t="s">
        <v>367</v>
      </c>
      <c r="I227" s="38">
        <v>3.35</v>
      </c>
      <c r="J227" s="159"/>
      <c r="K227" s="38"/>
      <c r="L227" s="159"/>
      <c r="M227" s="38"/>
      <c r="N227" s="159"/>
      <c r="O227" s="38"/>
      <c r="P227" s="159"/>
      <c r="Q227" s="95">
        <f t="shared" ref="Q227" si="1680">SUM(AI227+BA227)</f>
        <v>0</v>
      </c>
      <c r="R227" s="343">
        <f t="shared" ref="R227" si="1681">SUM(AJ227+BB227)</f>
        <v>0</v>
      </c>
      <c r="S227" s="95"/>
      <c r="T227" s="95">
        <f t="shared" ref="T227" si="1682">I227*S227*$T$2/1000</f>
        <v>0</v>
      </c>
      <c r="U227" s="95"/>
      <c r="V227" s="95">
        <f t="shared" ref="V227" si="1683">I227*U227*$V$2/1000</f>
        <v>0</v>
      </c>
      <c r="W227" s="95"/>
      <c r="X227" s="95">
        <f t="shared" ref="X227" si="1684">I227*W227*$X$2/1000</f>
        <v>0</v>
      </c>
      <c r="Y227" s="95">
        <f t="shared" ref="Y227" si="1685">SUM(S227+U227+W227)</f>
        <v>0</v>
      </c>
      <c r="Z227" s="95">
        <f t="shared" ref="Z227" si="1686">SUM(T227+V227+X227)</f>
        <v>0</v>
      </c>
      <c r="AA227" s="95"/>
      <c r="AB227" s="95">
        <f t="shared" ref="AB227" si="1687">K227*AA227*$AB$2/1000</f>
        <v>0</v>
      </c>
      <c r="AC227" s="95"/>
      <c r="AD227" s="95">
        <f t="shared" ref="AD227" si="1688">K227*AC227*$AD$2/1000</f>
        <v>0</v>
      </c>
      <c r="AE227" s="95"/>
      <c r="AF227" s="120">
        <f t="shared" si="1650"/>
        <v>0</v>
      </c>
      <c r="AG227" s="95">
        <f t="shared" ref="AG227" si="1689">SUM(AA227+AC227+AE227)</f>
        <v>0</v>
      </c>
      <c r="AH227" s="95">
        <f t="shared" ref="AH227" si="1690">SUM(AB227+AD227+AF227)</f>
        <v>0</v>
      </c>
      <c r="AI227" s="95">
        <f t="shared" ref="AI227" si="1691">SUM(Y227+AG227)</f>
        <v>0</v>
      </c>
      <c r="AJ227" s="95">
        <f t="shared" ref="AJ227" si="1692">SUM(Z227,AH227)</f>
        <v>0</v>
      </c>
      <c r="AK227" s="95"/>
      <c r="AL227" s="95">
        <f t="shared" ref="AL227" si="1693">M227*AK227*$AL$2/1000</f>
        <v>0</v>
      </c>
      <c r="AM227" s="95"/>
      <c r="AN227" s="95">
        <f t="shared" si="1611"/>
        <v>0</v>
      </c>
      <c r="AO227" s="95"/>
      <c r="AP227" s="95">
        <f t="shared" ref="AP227" si="1694">M227*AO227*$AP$2/1000</f>
        <v>0</v>
      </c>
      <c r="AQ227" s="95">
        <f t="shared" ref="AQ227" si="1695">SUM(AK227+AM227+AO227)</f>
        <v>0</v>
      </c>
      <c r="AR227" s="95">
        <f t="shared" ref="AR227" si="1696">SUM(AL227+AN227+AP227)</f>
        <v>0</v>
      </c>
      <c r="AS227" s="95"/>
      <c r="AT227" s="95">
        <f t="shared" ref="AT227" si="1697">O227*AS227*$AT$2/1000</f>
        <v>0</v>
      </c>
      <c r="AU227" s="95"/>
      <c r="AV227" s="95">
        <f>O227*AU227*$AV$2/1000</f>
        <v>0</v>
      </c>
      <c r="AW227" s="95"/>
      <c r="AX227" s="95">
        <f>O227*AW227*$AX$2/1000</f>
        <v>0</v>
      </c>
      <c r="AY227" s="95">
        <f t="shared" ref="AY227" si="1698">SUM(AS227+AU227+AW227)</f>
        <v>0</v>
      </c>
      <c r="AZ227" s="95">
        <f t="shared" ref="AZ227" si="1699">SUM(AT227+AV227+AX227)</f>
        <v>0</v>
      </c>
      <c r="BA227" s="95">
        <f t="shared" ref="BA227" si="1700">SUM(AQ227+AY227)</f>
        <v>0</v>
      </c>
      <c r="BB227" s="95">
        <f t="shared" ref="BB227" si="1701">SUM(AR227,AZ227)</f>
        <v>0</v>
      </c>
      <c r="BC227" s="1" t="s">
        <v>1783</v>
      </c>
    </row>
    <row r="228" spans="1:55" hidden="1">
      <c r="A228" s="498">
        <v>169</v>
      </c>
      <c r="B228" s="26"/>
      <c r="C228" s="26"/>
      <c r="D228" s="27"/>
      <c r="E228" s="354" t="s">
        <v>337</v>
      </c>
      <c r="F228" s="28"/>
      <c r="G228" s="28"/>
      <c r="H228" s="272"/>
      <c r="I228" s="29"/>
      <c r="J228" s="99"/>
      <c r="K228" s="29"/>
      <c r="L228" s="160"/>
      <c r="M228" s="29"/>
      <c r="N228" s="160"/>
      <c r="O228" s="139"/>
      <c r="P228" s="99"/>
      <c r="Q228" s="121">
        <f t="shared" ref="Q228:BB228" si="1702">SUM(Q215:Q227)</f>
        <v>0</v>
      </c>
      <c r="R228" s="121">
        <f t="shared" si="1702"/>
        <v>0</v>
      </c>
      <c r="S228" s="121">
        <f t="shared" si="1702"/>
        <v>0</v>
      </c>
      <c r="T228" s="121">
        <f t="shared" si="1702"/>
        <v>0</v>
      </c>
      <c r="U228" s="121">
        <f t="shared" si="1702"/>
        <v>0</v>
      </c>
      <c r="V228" s="121">
        <f t="shared" si="1702"/>
        <v>0</v>
      </c>
      <c r="W228" s="121">
        <f t="shared" si="1702"/>
        <v>0</v>
      </c>
      <c r="X228" s="121">
        <f t="shared" si="1702"/>
        <v>0</v>
      </c>
      <c r="Y228" s="121">
        <f t="shared" si="1702"/>
        <v>0</v>
      </c>
      <c r="Z228" s="121">
        <f t="shared" si="1702"/>
        <v>0</v>
      </c>
      <c r="AA228" s="121">
        <f t="shared" si="1702"/>
        <v>0</v>
      </c>
      <c r="AB228" s="121">
        <f t="shared" si="1702"/>
        <v>0</v>
      </c>
      <c r="AC228" s="121">
        <f t="shared" si="1702"/>
        <v>0</v>
      </c>
      <c r="AD228" s="121">
        <f t="shared" si="1702"/>
        <v>0</v>
      </c>
      <c r="AE228" s="121">
        <f>SUM(AE215:AE227)</f>
        <v>0</v>
      </c>
      <c r="AF228" s="130">
        <f>SUM(AF215:AF227)</f>
        <v>0</v>
      </c>
      <c r="AG228" s="121">
        <f t="shared" si="1702"/>
        <v>0</v>
      </c>
      <c r="AH228" s="121">
        <f t="shared" si="1702"/>
        <v>0</v>
      </c>
      <c r="AI228" s="121">
        <f t="shared" si="1702"/>
        <v>0</v>
      </c>
      <c r="AJ228" s="121">
        <f t="shared" si="1702"/>
        <v>0</v>
      </c>
      <c r="AK228" s="121">
        <f t="shared" si="1702"/>
        <v>0</v>
      </c>
      <c r="AL228" s="121">
        <f t="shared" si="1702"/>
        <v>0</v>
      </c>
      <c r="AM228" s="121">
        <f t="shared" si="1702"/>
        <v>0</v>
      </c>
      <c r="AN228" s="121">
        <f t="shared" si="1702"/>
        <v>0</v>
      </c>
      <c r="AO228" s="121">
        <f t="shared" si="1702"/>
        <v>0</v>
      </c>
      <c r="AP228" s="121">
        <f t="shared" si="1702"/>
        <v>0</v>
      </c>
      <c r="AQ228" s="121">
        <f t="shared" si="1702"/>
        <v>0</v>
      </c>
      <c r="AR228" s="121">
        <f t="shared" si="1702"/>
        <v>0</v>
      </c>
      <c r="AS228" s="121">
        <f t="shared" si="1702"/>
        <v>0</v>
      </c>
      <c r="AT228" s="121">
        <f t="shared" si="1702"/>
        <v>0</v>
      </c>
      <c r="AU228" s="121">
        <f t="shared" si="1702"/>
        <v>0</v>
      </c>
      <c r="AV228" s="121">
        <f t="shared" si="1702"/>
        <v>0</v>
      </c>
      <c r="AW228" s="121">
        <f t="shared" si="1702"/>
        <v>0</v>
      </c>
      <c r="AX228" s="121">
        <f t="shared" si="1702"/>
        <v>0</v>
      </c>
      <c r="AY228" s="121">
        <f t="shared" si="1702"/>
        <v>0</v>
      </c>
      <c r="AZ228" s="121">
        <f t="shared" si="1702"/>
        <v>0</v>
      </c>
      <c r="BA228" s="121">
        <f t="shared" si="1702"/>
        <v>0</v>
      </c>
      <c r="BB228" s="121">
        <f t="shared" si="1702"/>
        <v>0</v>
      </c>
      <c r="BC228" s="1" t="s">
        <v>1781</v>
      </c>
    </row>
    <row r="229" spans="1:55">
      <c r="A229" s="498">
        <v>170</v>
      </c>
      <c r="B229" s="26"/>
      <c r="C229" s="27" t="s">
        <v>135</v>
      </c>
      <c r="D229" s="28"/>
      <c r="E229" s="28"/>
      <c r="F229" s="28"/>
      <c r="G229" s="28"/>
      <c r="H229" s="272"/>
      <c r="I229" s="30"/>
      <c r="J229" s="100"/>
      <c r="K229" s="30"/>
      <c r="L229" s="161"/>
      <c r="M229" s="30"/>
      <c r="N229" s="161"/>
      <c r="O229" s="140"/>
      <c r="P229" s="100"/>
      <c r="Q229" s="121">
        <f t="shared" ref="Q229:BB229" si="1703">SUM(Q228,Q214,Q197,Q144)</f>
        <v>2761.9470000000001</v>
      </c>
      <c r="R229" s="121">
        <f t="shared" si="1703"/>
        <v>22725.175677569398</v>
      </c>
      <c r="S229" s="121">
        <f t="shared" si="1703"/>
        <v>138.51900000000001</v>
      </c>
      <c r="T229" s="121">
        <f t="shared" si="1703"/>
        <v>1328.5550222556003</v>
      </c>
      <c r="U229" s="121">
        <f t="shared" si="1703"/>
        <v>162.84199999999998</v>
      </c>
      <c r="V229" s="121">
        <f t="shared" si="1703"/>
        <v>1777.5402558399999</v>
      </c>
      <c r="W229" s="121">
        <f t="shared" si="1703"/>
        <v>223.28199999999998</v>
      </c>
      <c r="X229" s="121">
        <f t="shared" si="1703"/>
        <v>1773.0374068200003</v>
      </c>
      <c r="Y229" s="121">
        <f t="shared" si="1703"/>
        <v>524.64300000000003</v>
      </c>
      <c r="Z229" s="121">
        <f t="shared" si="1703"/>
        <v>4879.1326849155994</v>
      </c>
      <c r="AA229" s="121">
        <f t="shared" si="1703"/>
        <v>314.69400000000002</v>
      </c>
      <c r="AB229" s="121">
        <f t="shared" si="1703"/>
        <v>2687.2664732080002</v>
      </c>
      <c r="AC229" s="121">
        <f t="shared" si="1703"/>
        <v>122.59599999999999</v>
      </c>
      <c r="AD229" s="121">
        <f t="shared" si="1703"/>
        <v>1504.4657728618004</v>
      </c>
      <c r="AE229" s="121">
        <f t="shared" si="1703"/>
        <v>247.09800000000001</v>
      </c>
      <c r="AF229" s="130">
        <f t="shared" si="1703"/>
        <v>2227.7550588564</v>
      </c>
      <c r="AG229" s="121">
        <f t="shared" si="1703"/>
        <v>684.38800000000003</v>
      </c>
      <c r="AH229" s="121">
        <f t="shared" si="1703"/>
        <v>6419.4873049261987</v>
      </c>
      <c r="AI229" s="121">
        <f t="shared" si="1703"/>
        <v>1209.0310000000004</v>
      </c>
      <c r="AJ229" s="121">
        <f t="shared" si="1703"/>
        <v>11298.619989841802</v>
      </c>
      <c r="AK229" s="121">
        <f t="shared" si="1703"/>
        <v>225.68299999999999</v>
      </c>
      <c r="AL229" s="121">
        <f t="shared" si="1703"/>
        <v>2183.0591702896004</v>
      </c>
      <c r="AM229" s="121">
        <f t="shared" si="1703"/>
        <v>233.75400000000002</v>
      </c>
      <c r="AN229" s="121">
        <f t="shared" si="1703"/>
        <v>2098.6545829859997</v>
      </c>
      <c r="AO229" s="121">
        <f t="shared" si="1703"/>
        <v>296.81</v>
      </c>
      <c r="AP229" s="121">
        <f t="shared" si="1703"/>
        <v>2070.5806670022002</v>
      </c>
      <c r="AQ229" s="121">
        <f t="shared" si="1703"/>
        <v>756.24700000000018</v>
      </c>
      <c r="AR229" s="121">
        <f t="shared" si="1703"/>
        <v>6352.2944202777999</v>
      </c>
      <c r="AS229" s="121">
        <f t="shared" si="1703"/>
        <v>298.73600000000005</v>
      </c>
      <c r="AT229" s="121">
        <f t="shared" si="1703"/>
        <v>1682.9002476860003</v>
      </c>
      <c r="AU229" s="121">
        <f t="shared" si="1703"/>
        <v>300.11700000000002</v>
      </c>
      <c r="AV229" s="121">
        <f t="shared" si="1703"/>
        <v>1709.0440453422</v>
      </c>
      <c r="AW229" s="121">
        <f t="shared" si="1703"/>
        <v>197.81599999999997</v>
      </c>
      <c r="AX229" s="121">
        <f t="shared" si="1703"/>
        <v>1682.3169744215998</v>
      </c>
      <c r="AY229" s="121">
        <f t="shared" si="1703"/>
        <v>796.6690000000001</v>
      </c>
      <c r="AZ229" s="121">
        <f t="shared" si="1703"/>
        <v>5074.2612674498005</v>
      </c>
      <c r="BA229" s="121">
        <f t="shared" si="1703"/>
        <v>1552.9159999999997</v>
      </c>
      <c r="BB229" s="121">
        <f t="shared" si="1703"/>
        <v>11426.555687727601</v>
      </c>
      <c r="BC229" s="1" t="s">
        <v>1781</v>
      </c>
    </row>
    <row r="230" spans="1:55" hidden="1">
      <c r="A230" s="498">
        <v>171</v>
      </c>
      <c r="B230" s="13"/>
      <c r="C230" s="53" t="s">
        <v>263</v>
      </c>
      <c r="D230" s="53" t="s">
        <v>263</v>
      </c>
      <c r="E230" s="361" t="s">
        <v>264</v>
      </c>
      <c r="F230" s="56" t="s">
        <v>265</v>
      </c>
      <c r="G230" s="56" t="s">
        <v>1107</v>
      </c>
      <c r="H230" s="281" t="s">
        <v>365</v>
      </c>
      <c r="I230" s="57">
        <v>7.8</v>
      </c>
      <c r="J230" s="362"/>
      <c r="K230" s="57">
        <v>7.8</v>
      </c>
      <c r="L230" s="363"/>
      <c r="M230" s="57"/>
      <c r="N230" s="363"/>
      <c r="O230" s="144"/>
      <c r="P230" s="362"/>
      <c r="Q230" s="98">
        <f>SUM(AI230+BA230)</f>
        <v>0</v>
      </c>
      <c r="R230" s="364">
        <f>SUM(AJ230+BB230)</f>
        <v>0</v>
      </c>
      <c r="S230" s="98"/>
      <c r="T230" s="98">
        <f>I230*S230*$T$2/1000</f>
        <v>0</v>
      </c>
      <c r="U230" s="98"/>
      <c r="V230" s="365">
        <f>I230*U230*$V$2/1000</f>
        <v>0</v>
      </c>
      <c r="W230" s="219"/>
      <c r="X230" s="366">
        <f>I230*W230*$X$2/1000</f>
        <v>0</v>
      </c>
      <c r="Y230" s="195">
        <f>SUM(S230+U230+W230)</f>
        <v>0</v>
      </c>
      <c r="Z230" s="365">
        <f>SUM(T230+V230+X230)</f>
        <v>0</v>
      </c>
      <c r="AA230" s="219"/>
      <c r="AB230" s="366">
        <f>K230*AA230*$AB$2/1000</f>
        <v>0</v>
      </c>
      <c r="AC230" s="219"/>
      <c r="AD230" s="365">
        <f>K230*AC230*$AD$2/1000</f>
        <v>0</v>
      </c>
      <c r="AE230" s="219"/>
      <c r="AF230" s="228">
        <f>K230*AE230*$AF$2/1000</f>
        <v>0</v>
      </c>
      <c r="AG230" s="195">
        <f>SUM(AA230+AC230+AE230)</f>
        <v>0</v>
      </c>
      <c r="AH230" s="98">
        <f>SUM(AB230+AD230+AF230)</f>
        <v>0</v>
      </c>
      <c r="AI230" s="98">
        <f>SUM(Y230+AG230)</f>
        <v>0</v>
      </c>
      <c r="AJ230" s="365">
        <f>SUM(Z230,AH230)</f>
        <v>0</v>
      </c>
      <c r="AK230" s="219"/>
      <c r="AL230" s="365">
        <f>M230*AK230*$AL$2/1000</f>
        <v>0</v>
      </c>
      <c r="AM230" s="367"/>
      <c r="AN230" s="365">
        <f>M230*AM230*$AN$2/1000</f>
        <v>0</v>
      </c>
      <c r="AO230" s="219"/>
      <c r="AP230" s="366">
        <f>M230*AO230*$AP$2/1000</f>
        <v>0</v>
      </c>
      <c r="AQ230" s="195">
        <f>SUM(AK230+AM230+AO230)</f>
        <v>0</v>
      </c>
      <c r="AR230" s="98">
        <f>SUM(AL230+AN230+AP230)</f>
        <v>0</v>
      </c>
      <c r="AS230" s="98"/>
      <c r="AT230" s="365">
        <f>O230*AS230*$AT$2/1000</f>
        <v>0</v>
      </c>
      <c r="AU230" s="219"/>
      <c r="AV230" s="365">
        <f>O230*AU230*$AV$2/1000</f>
        <v>0</v>
      </c>
      <c r="AW230" s="219"/>
      <c r="AX230" s="366">
        <f>O230*AW230*$AX$2/1000</f>
        <v>0</v>
      </c>
      <c r="AY230" s="195">
        <f>SUM(AS230+AU230+AW230)</f>
        <v>0</v>
      </c>
      <c r="AZ230" s="98">
        <f>SUM(AT230+AV230+AX230)</f>
        <v>0</v>
      </c>
      <c r="BA230" s="98">
        <f>SUM(AQ230+AY230)</f>
        <v>0</v>
      </c>
      <c r="BB230" s="98">
        <f>SUM(AR230,AZ230)</f>
        <v>0</v>
      </c>
      <c r="BC230" s="1" t="s">
        <v>1784</v>
      </c>
    </row>
    <row r="231" spans="1:55" hidden="1">
      <c r="A231" s="498">
        <v>172</v>
      </c>
      <c r="B231" s="26"/>
      <c r="C231" s="27" t="s">
        <v>135</v>
      </c>
      <c r="D231" s="52"/>
      <c r="E231" s="328"/>
      <c r="F231" s="28"/>
      <c r="G231" s="28"/>
      <c r="H231" s="272"/>
      <c r="I231" s="30"/>
      <c r="J231" s="101"/>
      <c r="K231" s="30"/>
      <c r="L231" s="30"/>
      <c r="M231" s="30"/>
      <c r="N231" s="30"/>
      <c r="O231" s="140"/>
      <c r="P231" s="101"/>
      <c r="Q231" s="121">
        <f>SUM(Q230)</f>
        <v>0</v>
      </c>
      <c r="R231" s="121">
        <f t="shared" ref="R231:BB231" si="1704">SUM(R230)</f>
        <v>0</v>
      </c>
      <c r="S231" s="121">
        <f t="shared" si="1704"/>
        <v>0</v>
      </c>
      <c r="T231" s="121">
        <f t="shared" si="1704"/>
        <v>0</v>
      </c>
      <c r="U231" s="121">
        <f t="shared" si="1704"/>
        <v>0</v>
      </c>
      <c r="V231" s="121">
        <f t="shared" si="1704"/>
        <v>0</v>
      </c>
      <c r="W231" s="121">
        <f t="shared" si="1704"/>
        <v>0</v>
      </c>
      <c r="X231" s="121">
        <f t="shared" si="1704"/>
        <v>0</v>
      </c>
      <c r="Y231" s="121">
        <f t="shared" si="1704"/>
        <v>0</v>
      </c>
      <c r="Z231" s="121">
        <f t="shared" si="1704"/>
        <v>0</v>
      </c>
      <c r="AA231" s="121">
        <f t="shared" si="1704"/>
        <v>0</v>
      </c>
      <c r="AB231" s="121">
        <f t="shared" si="1704"/>
        <v>0</v>
      </c>
      <c r="AC231" s="121">
        <f t="shared" si="1704"/>
        <v>0</v>
      </c>
      <c r="AD231" s="121">
        <f t="shared" si="1704"/>
        <v>0</v>
      </c>
      <c r="AE231" s="121">
        <f t="shared" si="1704"/>
        <v>0</v>
      </c>
      <c r="AF231" s="130">
        <f t="shared" si="1704"/>
        <v>0</v>
      </c>
      <c r="AG231" s="121">
        <f t="shared" si="1704"/>
        <v>0</v>
      </c>
      <c r="AH231" s="121">
        <f t="shared" si="1704"/>
        <v>0</v>
      </c>
      <c r="AI231" s="121">
        <f t="shared" si="1704"/>
        <v>0</v>
      </c>
      <c r="AJ231" s="121">
        <f t="shared" si="1704"/>
        <v>0</v>
      </c>
      <c r="AK231" s="121">
        <f t="shared" si="1704"/>
        <v>0</v>
      </c>
      <c r="AL231" s="121">
        <f t="shared" si="1704"/>
        <v>0</v>
      </c>
      <c r="AM231" s="121">
        <f t="shared" si="1704"/>
        <v>0</v>
      </c>
      <c r="AN231" s="121">
        <f t="shared" si="1704"/>
        <v>0</v>
      </c>
      <c r="AO231" s="121">
        <f t="shared" si="1704"/>
        <v>0</v>
      </c>
      <c r="AP231" s="121">
        <f t="shared" si="1704"/>
        <v>0</v>
      </c>
      <c r="AQ231" s="121">
        <f t="shared" si="1704"/>
        <v>0</v>
      </c>
      <c r="AR231" s="121">
        <f t="shared" si="1704"/>
        <v>0</v>
      </c>
      <c r="AS231" s="121">
        <f t="shared" si="1704"/>
        <v>0</v>
      </c>
      <c r="AT231" s="121">
        <f t="shared" si="1704"/>
        <v>0</v>
      </c>
      <c r="AU231" s="121">
        <f t="shared" si="1704"/>
        <v>0</v>
      </c>
      <c r="AV231" s="121">
        <f t="shared" si="1704"/>
        <v>0</v>
      </c>
      <c r="AW231" s="121">
        <f t="shared" si="1704"/>
        <v>0</v>
      </c>
      <c r="AX231" s="121">
        <f t="shared" si="1704"/>
        <v>0</v>
      </c>
      <c r="AY231" s="121">
        <f t="shared" si="1704"/>
        <v>0</v>
      </c>
      <c r="AZ231" s="121">
        <f t="shared" si="1704"/>
        <v>0</v>
      </c>
      <c r="BA231" s="121">
        <f t="shared" si="1704"/>
        <v>0</v>
      </c>
      <c r="BB231" s="121">
        <f t="shared" si="1704"/>
        <v>0</v>
      </c>
      <c r="BC231" s="1" t="s">
        <v>1784</v>
      </c>
    </row>
    <row r="232" spans="1:55" hidden="1">
      <c r="A232" s="498">
        <v>173</v>
      </c>
      <c r="B232" s="14"/>
      <c r="C232" s="41" t="s">
        <v>371</v>
      </c>
      <c r="D232" s="41" t="s">
        <v>371</v>
      </c>
      <c r="E232" s="21" t="s">
        <v>528</v>
      </c>
      <c r="F232" s="22" t="s">
        <v>529</v>
      </c>
      <c r="G232" s="91" t="s">
        <v>1106</v>
      </c>
      <c r="H232" s="274" t="s">
        <v>365</v>
      </c>
      <c r="I232" s="55">
        <v>3.7</v>
      </c>
      <c r="J232" s="102"/>
      <c r="K232" s="55">
        <v>3.7</v>
      </c>
      <c r="L232" s="163"/>
      <c r="M232" s="55"/>
      <c r="N232" s="163"/>
      <c r="O232" s="143"/>
      <c r="P232" s="102"/>
      <c r="Q232" s="122">
        <f>SUM(AI232+BA232)</f>
        <v>0</v>
      </c>
      <c r="R232" s="346">
        <f>SUM(AJ232+BB232)</f>
        <v>0</v>
      </c>
      <c r="S232" s="97"/>
      <c r="T232" s="122">
        <f>I232*S232*$T$2/1000</f>
        <v>0</v>
      </c>
      <c r="U232" s="97"/>
      <c r="V232" s="213">
        <f t="shared" ref="V232:V235" si="1705">I232*U232*$V$2/1000</f>
        <v>0</v>
      </c>
      <c r="W232" s="207"/>
      <c r="X232" s="206">
        <f>I232*W232*$X$2/1000</f>
        <v>0</v>
      </c>
      <c r="Y232" s="195">
        <f>SUM(S232+U232+W232)</f>
        <v>0</v>
      </c>
      <c r="Z232" s="213">
        <f>SUM(T232+V232+X232)</f>
        <v>0</v>
      </c>
      <c r="AA232" s="207"/>
      <c r="AB232" s="213">
        <f>K232*AA232*$AB$2/1000</f>
        <v>0</v>
      </c>
      <c r="AC232" s="207"/>
      <c r="AD232" s="213">
        <f>K232*AC232*$AD$2/1000</f>
        <v>0</v>
      </c>
      <c r="AE232" s="207"/>
      <c r="AF232" s="213">
        <f>K232*AE232*$AF$2/1000</f>
        <v>0</v>
      </c>
      <c r="AG232" s="189">
        <f>SUM(AA232+AC232+AE232)</f>
        <v>0</v>
      </c>
      <c r="AH232" s="96">
        <f>SUM(AB232+AD232+AF232)</f>
        <v>0</v>
      </c>
      <c r="AI232" s="122">
        <f>SUM(Y232+AG232)</f>
        <v>0</v>
      </c>
      <c r="AJ232" s="213">
        <f>SUM(Z232,AH232)</f>
        <v>0</v>
      </c>
      <c r="AK232" s="207"/>
      <c r="AL232" s="181">
        <f>M232*AK232*$AL$2/1000</f>
        <v>0</v>
      </c>
      <c r="AM232" s="245"/>
      <c r="AN232" s="181">
        <f>M232*AM232*$AN$2/1000</f>
        <v>0</v>
      </c>
      <c r="AO232" s="207"/>
      <c r="AP232" s="215">
        <f>M232*AO232*$AP$2/1000</f>
        <v>0</v>
      </c>
      <c r="AQ232" s="193">
        <f t="shared" ref="AQ232:AR234" si="1706">SUM(AK232+AM232+AO232)</f>
        <v>0</v>
      </c>
      <c r="AR232" s="95">
        <f t="shared" si="1706"/>
        <v>0</v>
      </c>
      <c r="AS232" s="97"/>
      <c r="AT232" s="181">
        <f>O232*AS232*$AT$2/1000</f>
        <v>0</v>
      </c>
      <c r="AU232" s="207"/>
      <c r="AV232" s="181">
        <f>O232*AU232*$AV$2/1000</f>
        <v>0</v>
      </c>
      <c r="AW232" s="207"/>
      <c r="AX232" s="215">
        <f>O232*AW232*$AX$2/1000</f>
        <v>0</v>
      </c>
      <c r="AY232" s="193">
        <f t="shared" ref="AY232:AZ235" si="1707">SUM(AS232+AU232+AW232)</f>
        <v>0</v>
      </c>
      <c r="AZ232" s="98">
        <f t="shared" si="1707"/>
        <v>0</v>
      </c>
      <c r="BA232" s="98">
        <f>SUM(AQ232+AY232)</f>
        <v>0</v>
      </c>
      <c r="BB232" s="98">
        <f>SUM(AR232,AZ232)</f>
        <v>0</v>
      </c>
      <c r="BC232" s="1" t="s">
        <v>1783</v>
      </c>
    </row>
    <row r="233" spans="1:55" hidden="1">
      <c r="A233" s="498">
        <v>174</v>
      </c>
      <c r="B233" s="14"/>
      <c r="C233" s="41"/>
      <c r="D233" s="41"/>
      <c r="E233" s="21" t="s">
        <v>751</v>
      </c>
      <c r="F233" s="22" t="s">
        <v>752</v>
      </c>
      <c r="G233" s="91" t="s">
        <v>1107</v>
      </c>
      <c r="H233" s="287" t="s">
        <v>365</v>
      </c>
      <c r="I233" s="55">
        <v>2.9</v>
      </c>
      <c r="J233" s="102"/>
      <c r="K233" s="55">
        <v>2.9</v>
      </c>
      <c r="L233" s="163"/>
      <c r="M233" s="55"/>
      <c r="N233" s="163"/>
      <c r="O233" s="143"/>
      <c r="P233" s="102"/>
      <c r="Q233" s="131">
        <f>SUM(AI233+BA233)</f>
        <v>0</v>
      </c>
      <c r="R233" s="352">
        <f>SUM(AJ233+BB233)</f>
        <v>0</v>
      </c>
      <c r="S233" s="97"/>
      <c r="T233" s="122">
        <f>I233*S233*$T$2/1000</f>
        <v>0</v>
      </c>
      <c r="U233" s="97"/>
      <c r="V233" s="213">
        <f t="shared" ref="V233" si="1708">I233*U233*$V$2/1000</f>
        <v>0</v>
      </c>
      <c r="W233" s="207"/>
      <c r="X233" s="206">
        <f>I233*W233*$X$2/1000</f>
        <v>0</v>
      </c>
      <c r="Y233" s="195">
        <f>SUM(S233+U233+W233)</f>
        <v>0</v>
      </c>
      <c r="Z233" s="213">
        <f>SUM(T233+V233+X233)</f>
        <v>0</v>
      </c>
      <c r="AA233" s="207"/>
      <c r="AB233" s="206">
        <f>K233*AA233*$AB$2/1000</f>
        <v>0</v>
      </c>
      <c r="AC233" s="207"/>
      <c r="AD233" s="206">
        <f>K233*AC233*$AD$2/1000</f>
        <v>0</v>
      </c>
      <c r="AE233" s="207"/>
      <c r="AF233" s="206">
        <f>K233*AE233*$AF$2/1000</f>
        <v>0</v>
      </c>
      <c r="AG233" s="189">
        <f>SUM(AA233+AC233+AE233)</f>
        <v>0</v>
      </c>
      <c r="AH233" s="96">
        <f>SUM(AB233+AD233+AF233)</f>
        <v>0</v>
      </c>
      <c r="AI233" s="97">
        <f>SUM(Y233+AG233)</f>
        <v>0</v>
      </c>
      <c r="AJ233" s="206">
        <f>SUM(Z233,AH233)</f>
        <v>0</v>
      </c>
      <c r="AK233" s="207"/>
      <c r="AL233" s="181">
        <f>M233*AK233*$AL$2/1000</f>
        <v>0</v>
      </c>
      <c r="AM233" s="245"/>
      <c r="AN233" s="181">
        <f>M233*AM233*$AN$2/1000</f>
        <v>0</v>
      </c>
      <c r="AO233" s="207"/>
      <c r="AP233" s="215">
        <f>M233*AO233*$AP$2/1000</f>
        <v>0</v>
      </c>
      <c r="AQ233" s="193">
        <f t="shared" si="1706"/>
        <v>0</v>
      </c>
      <c r="AR233" s="95">
        <f t="shared" si="1706"/>
        <v>0</v>
      </c>
      <c r="AS233" s="97"/>
      <c r="AT233" s="181">
        <f>O233*AS233*$AT$2/1000</f>
        <v>0</v>
      </c>
      <c r="AU233" s="207"/>
      <c r="AV233" s="181">
        <f>O233*AU233*$AV$2/1000</f>
        <v>0</v>
      </c>
      <c r="AW233" s="207"/>
      <c r="AX233" s="215">
        <f>O233*AW233*$AX$2/1000</f>
        <v>0</v>
      </c>
      <c r="AY233" s="193">
        <f t="shared" ref="AY233" si="1709">SUM(AS233+AU233+AW233)</f>
        <v>0</v>
      </c>
      <c r="AZ233" s="98">
        <f t="shared" ref="AZ233" si="1710">SUM(AT233+AV233+AX233)</f>
        <v>0</v>
      </c>
      <c r="BA233" s="98">
        <f>SUM(AQ233+AY233)</f>
        <v>0</v>
      </c>
      <c r="BB233" s="98">
        <f>SUM(AR233,AZ233)</f>
        <v>0</v>
      </c>
      <c r="BC233" s="1" t="s">
        <v>1783</v>
      </c>
    </row>
    <row r="234" spans="1:55" hidden="1">
      <c r="A234" s="498">
        <v>175</v>
      </c>
      <c r="B234" s="14"/>
      <c r="C234" s="14"/>
      <c r="D234" s="13"/>
      <c r="E234" s="21" t="s">
        <v>696</v>
      </c>
      <c r="F234" s="22" t="s">
        <v>697</v>
      </c>
      <c r="G234" s="22" t="s">
        <v>1107</v>
      </c>
      <c r="H234" s="268" t="s">
        <v>364</v>
      </c>
      <c r="I234" s="55">
        <v>24.27</v>
      </c>
      <c r="J234" s="102"/>
      <c r="K234" s="55">
        <v>24.27</v>
      </c>
      <c r="L234" s="163"/>
      <c r="M234" s="55"/>
      <c r="N234" s="163"/>
      <c r="O234" s="143"/>
      <c r="P234" s="102"/>
      <c r="Q234" s="97">
        <f>SUM(AI234+BA234)</f>
        <v>0</v>
      </c>
      <c r="R234" s="342">
        <f t="shared" ref="R234" si="1711">SUM(AJ234+BB234)</f>
        <v>0</v>
      </c>
      <c r="S234" s="97"/>
      <c r="T234" s="97">
        <f t="shared" ref="T234:T235" si="1712">I234*S234*$T$2/1000</f>
        <v>0</v>
      </c>
      <c r="U234" s="97"/>
      <c r="V234" s="206">
        <f t="shared" si="1705"/>
        <v>0</v>
      </c>
      <c r="W234" s="207"/>
      <c r="X234" s="206">
        <f t="shared" ref="X234:X235" si="1713">I234*W234*$X$2/1000</f>
        <v>0</v>
      </c>
      <c r="Y234" s="189"/>
      <c r="Z234" s="206">
        <f t="shared" ref="Z234" si="1714">SUM(T234+V234+X234)</f>
        <v>0</v>
      </c>
      <c r="AA234" s="207"/>
      <c r="AB234" s="206">
        <f>K234*AA234*$AB$2/1000</f>
        <v>0</v>
      </c>
      <c r="AC234" s="207"/>
      <c r="AD234" s="206">
        <f>K234*AC234*$AD$2/1000</f>
        <v>0</v>
      </c>
      <c r="AE234" s="207"/>
      <c r="AF234" s="206">
        <f>M234*AE234*$AF$2/1000</f>
        <v>0</v>
      </c>
      <c r="AG234" s="189">
        <f>SUM(AA234+AC234+AE234)</f>
        <v>0</v>
      </c>
      <c r="AH234" s="96">
        <f t="shared" ref="AH234:AH235" si="1715">SUM(AB234+AD234+AF234)</f>
        <v>0</v>
      </c>
      <c r="AI234" s="97">
        <f t="shared" ref="AI234:AI235" si="1716">SUM(Y234+AG234)</f>
        <v>0</v>
      </c>
      <c r="AJ234" s="206">
        <f t="shared" ref="AJ234:AJ235" si="1717">SUM(Z234,AH234)</f>
        <v>0</v>
      </c>
      <c r="AK234" s="207"/>
      <c r="AL234" s="181">
        <f t="shared" ref="AL234" si="1718">M234*AK234*$AL$2/1000</f>
        <v>0</v>
      </c>
      <c r="AM234" s="245"/>
      <c r="AN234" s="181">
        <f t="shared" ref="AN234:AN235" si="1719">M234*AM234*$AN$2/1000</f>
        <v>0</v>
      </c>
      <c r="AO234" s="207"/>
      <c r="AP234" s="215">
        <f t="shared" ref="AP234" si="1720">M234*AO234*$AP$2/1000</f>
        <v>0</v>
      </c>
      <c r="AQ234" s="193">
        <f t="shared" si="1706"/>
        <v>0</v>
      </c>
      <c r="AR234" s="95">
        <f t="shared" si="1706"/>
        <v>0</v>
      </c>
      <c r="AS234" s="97"/>
      <c r="AT234" s="181">
        <f t="shared" ref="AT234:AT235" si="1721">O234*AS234*$AT$2/1000</f>
        <v>0</v>
      </c>
      <c r="AU234" s="207"/>
      <c r="AV234" s="181">
        <f>O234*AU234*$AV$2/1000</f>
        <v>0</v>
      </c>
      <c r="AW234" s="207"/>
      <c r="AX234" s="215">
        <f>O234*AW234*$AX$2/1000</f>
        <v>0</v>
      </c>
      <c r="AY234" s="193">
        <f t="shared" si="1707"/>
        <v>0</v>
      </c>
      <c r="AZ234" s="98">
        <f t="shared" si="1707"/>
        <v>0</v>
      </c>
      <c r="BA234" s="98">
        <f>SUM(AQ234+AY234)</f>
        <v>0</v>
      </c>
      <c r="BB234" s="98">
        <f t="shared" ref="BB234:BB235" si="1722">SUM(AR234,AZ234)</f>
        <v>0</v>
      </c>
      <c r="BC234" s="1" t="s">
        <v>1783</v>
      </c>
    </row>
    <row r="235" spans="1:55" hidden="1">
      <c r="A235" s="498">
        <v>176</v>
      </c>
      <c r="B235" s="14"/>
      <c r="C235" s="41"/>
      <c r="D235" s="24"/>
      <c r="E235" s="51"/>
      <c r="F235" s="37"/>
      <c r="G235" s="37"/>
      <c r="H235" s="275"/>
      <c r="I235" s="58"/>
      <c r="J235" s="108"/>
      <c r="K235" s="58"/>
      <c r="L235" s="167"/>
      <c r="M235" s="58"/>
      <c r="N235" s="167"/>
      <c r="O235" s="145"/>
      <c r="P235" s="108"/>
      <c r="Q235" s="134">
        <f t="shared" ref="Q235" si="1723">SUM(AI235+BA235)</f>
        <v>0</v>
      </c>
      <c r="R235" s="347">
        <f>SUM(AJ235+BB235)</f>
        <v>0</v>
      </c>
      <c r="S235" s="95"/>
      <c r="T235" s="134">
        <f t="shared" si="1712"/>
        <v>0</v>
      </c>
      <c r="U235" s="95"/>
      <c r="V235" s="187">
        <f t="shared" si="1705"/>
        <v>0</v>
      </c>
      <c r="W235" s="214"/>
      <c r="X235" s="215">
        <f t="shared" si="1713"/>
        <v>0</v>
      </c>
      <c r="Y235" s="193"/>
      <c r="Z235" s="187">
        <f>SUM(T235+V235+X235)</f>
        <v>0</v>
      </c>
      <c r="AA235" s="214"/>
      <c r="AB235" s="374">
        <f>K235*AA235*$AB$2/1000</f>
        <v>0</v>
      </c>
      <c r="AC235" s="214"/>
      <c r="AD235" s="187">
        <f>K235*AC235*$AD$2/1000</f>
        <v>0</v>
      </c>
      <c r="AE235" s="214"/>
      <c r="AF235" s="374">
        <f>M235*AE235*$AF$2/1000</f>
        <v>0</v>
      </c>
      <c r="AG235" s="197">
        <f>SUM(AA235+AC235+AE235)</f>
        <v>0</v>
      </c>
      <c r="AH235" s="428">
        <f t="shared" si="1715"/>
        <v>0</v>
      </c>
      <c r="AI235" s="134">
        <f t="shared" si="1716"/>
        <v>0</v>
      </c>
      <c r="AJ235" s="187">
        <f t="shared" si="1717"/>
        <v>0</v>
      </c>
      <c r="AK235" s="214"/>
      <c r="AL235" s="181">
        <f>M235*AK235*$AL$2/1000</f>
        <v>0</v>
      </c>
      <c r="AM235" s="249"/>
      <c r="AN235" s="181">
        <f t="shared" si="1719"/>
        <v>0</v>
      </c>
      <c r="AO235" s="214"/>
      <c r="AP235" s="215">
        <f>M235*AO235*$AP$2/1000</f>
        <v>0</v>
      </c>
      <c r="AQ235" s="193">
        <f t="shared" ref="AQ235" si="1724">SUM(AK235+AM235+AO235)</f>
        <v>0</v>
      </c>
      <c r="AR235" s="95">
        <f>SUM(AL235+AN235+AP235)</f>
        <v>0</v>
      </c>
      <c r="AS235" s="95"/>
      <c r="AT235" s="181">
        <f t="shared" si="1721"/>
        <v>0</v>
      </c>
      <c r="AU235" s="214"/>
      <c r="AV235" s="181">
        <f t="shared" ref="AV235" si="1725">O235*AU235*$AV$2/1000</f>
        <v>0</v>
      </c>
      <c r="AW235" s="214"/>
      <c r="AX235" s="215">
        <f>O235*AW235*$AX$2/1000</f>
        <v>0</v>
      </c>
      <c r="AY235" s="193">
        <f t="shared" si="1707"/>
        <v>0</v>
      </c>
      <c r="AZ235" s="98">
        <f t="shared" si="1707"/>
        <v>0</v>
      </c>
      <c r="BA235" s="98">
        <f t="shared" ref="BA235" si="1726">SUM(AQ235+AY235)</f>
        <v>0</v>
      </c>
      <c r="BB235" s="98">
        <f t="shared" si="1722"/>
        <v>0</v>
      </c>
      <c r="BC235" s="1" t="s">
        <v>1783</v>
      </c>
    </row>
    <row r="236" spans="1:55" hidden="1">
      <c r="A236" s="498">
        <v>177</v>
      </c>
      <c r="B236" s="26"/>
      <c r="C236" s="27" t="s">
        <v>135</v>
      </c>
      <c r="D236" s="28"/>
      <c r="E236" s="28"/>
      <c r="F236" s="28"/>
      <c r="G236" s="28"/>
      <c r="H236" s="272"/>
      <c r="I236" s="29"/>
      <c r="J236" s="103"/>
      <c r="K236" s="29"/>
      <c r="L236" s="29"/>
      <c r="M236" s="29"/>
      <c r="N236" s="29"/>
      <c r="O236" s="139"/>
      <c r="P236" s="103"/>
      <c r="Q236" s="121">
        <f>SUM(Q232:Q235)</f>
        <v>0</v>
      </c>
      <c r="R236" s="121">
        <f>SUM(R232:R235)</f>
        <v>0</v>
      </c>
      <c r="S236" s="121">
        <f t="shared" ref="S236:BB236" si="1727">SUM(S232:S235)</f>
        <v>0</v>
      </c>
      <c r="T236" s="121">
        <f t="shared" si="1727"/>
        <v>0</v>
      </c>
      <c r="U236" s="121">
        <f t="shared" si="1727"/>
        <v>0</v>
      </c>
      <c r="V236" s="121">
        <f t="shared" si="1727"/>
        <v>0</v>
      </c>
      <c r="W236" s="121">
        <f t="shared" si="1727"/>
        <v>0</v>
      </c>
      <c r="X236" s="121">
        <f t="shared" si="1727"/>
        <v>0</v>
      </c>
      <c r="Y236" s="121">
        <f>SUM(Y232:Y235)</f>
        <v>0</v>
      </c>
      <c r="Z236" s="121">
        <f t="shared" si="1727"/>
        <v>0</v>
      </c>
      <c r="AA236" s="121">
        <f>SUM(AA232:AA235)</f>
        <v>0</v>
      </c>
      <c r="AB236" s="121">
        <f t="shared" si="1727"/>
        <v>0</v>
      </c>
      <c r="AC236" s="121">
        <f t="shared" si="1727"/>
        <v>0</v>
      </c>
      <c r="AD236" s="121">
        <f t="shared" si="1727"/>
        <v>0</v>
      </c>
      <c r="AE236" s="121">
        <f t="shared" si="1727"/>
        <v>0</v>
      </c>
      <c r="AF236" s="121">
        <f t="shared" si="1727"/>
        <v>0</v>
      </c>
      <c r="AG236" s="126">
        <f t="shared" si="1727"/>
        <v>0</v>
      </c>
      <c r="AH236" s="126">
        <f>SUM(AH232:AH235)</f>
        <v>0</v>
      </c>
      <c r="AI236" s="121">
        <f t="shared" si="1727"/>
        <v>0</v>
      </c>
      <c r="AJ236" s="121">
        <f t="shared" si="1727"/>
        <v>0</v>
      </c>
      <c r="AK236" s="121">
        <f t="shared" si="1727"/>
        <v>0</v>
      </c>
      <c r="AL236" s="121">
        <f t="shared" si="1727"/>
        <v>0</v>
      </c>
      <c r="AM236" s="121">
        <f t="shared" si="1727"/>
        <v>0</v>
      </c>
      <c r="AN236" s="121">
        <f t="shared" si="1727"/>
        <v>0</v>
      </c>
      <c r="AO236" s="121">
        <f t="shared" si="1727"/>
        <v>0</v>
      </c>
      <c r="AP236" s="121">
        <f t="shared" si="1727"/>
        <v>0</v>
      </c>
      <c r="AQ236" s="121">
        <f t="shared" si="1727"/>
        <v>0</v>
      </c>
      <c r="AR236" s="121">
        <f t="shared" si="1727"/>
        <v>0</v>
      </c>
      <c r="AS236" s="121">
        <f t="shared" si="1727"/>
        <v>0</v>
      </c>
      <c r="AT236" s="121">
        <f t="shared" si="1727"/>
        <v>0</v>
      </c>
      <c r="AU236" s="121">
        <f t="shared" si="1727"/>
        <v>0</v>
      </c>
      <c r="AV236" s="121">
        <f t="shared" si="1727"/>
        <v>0</v>
      </c>
      <c r="AW236" s="121">
        <f>SUM(AW232:AW235)</f>
        <v>0</v>
      </c>
      <c r="AX236" s="121">
        <f t="shared" si="1727"/>
        <v>0</v>
      </c>
      <c r="AY236" s="121">
        <f t="shared" si="1727"/>
        <v>0</v>
      </c>
      <c r="AZ236" s="121">
        <f t="shared" si="1727"/>
        <v>0</v>
      </c>
      <c r="BA236" s="121">
        <f t="shared" si="1727"/>
        <v>0</v>
      </c>
      <c r="BB236" s="121">
        <f t="shared" si="1727"/>
        <v>0</v>
      </c>
      <c r="BC236" s="1" t="s">
        <v>1784</v>
      </c>
    </row>
    <row r="237" spans="1:55">
      <c r="A237" s="498">
        <v>178</v>
      </c>
      <c r="B237" s="59" t="s">
        <v>156</v>
      </c>
      <c r="C237" s="60"/>
      <c r="D237" s="60"/>
      <c r="E237" s="60"/>
      <c r="F237" s="60"/>
      <c r="G237" s="60"/>
      <c r="H237" s="282"/>
      <c r="I237" s="61"/>
      <c r="J237" s="104"/>
      <c r="K237" s="61"/>
      <c r="L237" s="61"/>
      <c r="M237" s="61"/>
      <c r="N237" s="61"/>
      <c r="O237" s="146"/>
      <c r="P237" s="104"/>
      <c r="Q237" s="127">
        <f t="shared" ref="Q237:BB237" si="1728">SUM(Q236,Q229,Q139,Q29,Q231)</f>
        <v>8686.9480000000003</v>
      </c>
      <c r="R237" s="127">
        <f t="shared" si="1728"/>
        <v>100742.98784767764</v>
      </c>
      <c r="S237" s="127">
        <f t="shared" si="1728"/>
        <v>486.34999999999997</v>
      </c>
      <c r="T237" s="127">
        <f t="shared" si="1728"/>
        <v>5698.1348039519999</v>
      </c>
      <c r="U237" s="127">
        <f t="shared" si="1728"/>
        <v>629.21499999999992</v>
      </c>
      <c r="V237" s="127">
        <f t="shared" si="1728"/>
        <v>8115.4541288480013</v>
      </c>
      <c r="W237" s="127">
        <f t="shared" si="1728"/>
        <v>747.62300000000005</v>
      </c>
      <c r="X237" s="127">
        <f t="shared" si="1728"/>
        <v>8520.5966022680004</v>
      </c>
      <c r="Y237" s="127">
        <f t="shared" si="1728"/>
        <v>1863.1880000000001</v>
      </c>
      <c r="Z237" s="127">
        <f t="shared" si="1728"/>
        <v>22334.185535067998</v>
      </c>
      <c r="AA237" s="127">
        <f t="shared" si="1728"/>
        <v>796.38099999999997</v>
      </c>
      <c r="AB237" s="127">
        <f t="shared" si="1728"/>
        <v>9337.2610866167997</v>
      </c>
      <c r="AC237" s="127">
        <f t="shared" si="1728"/>
        <v>759.327</v>
      </c>
      <c r="AD237" s="127">
        <f t="shared" si="1728"/>
        <v>9667.5247126346985</v>
      </c>
      <c r="AE237" s="127">
        <f t="shared" si="1728"/>
        <v>922.1160000000001</v>
      </c>
      <c r="AF237" s="127">
        <f t="shared" si="1728"/>
        <v>11277.11112687294</v>
      </c>
      <c r="AG237" s="127">
        <f t="shared" si="1728"/>
        <v>2477.8239999999996</v>
      </c>
      <c r="AH237" s="127">
        <f t="shared" si="1728"/>
        <v>30281.896926124431</v>
      </c>
      <c r="AI237" s="127">
        <f t="shared" si="1728"/>
        <v>4341.0120000000006</v>
      </c>
      <c r="AJ237" s="127">
        <f t="shared" si="1728"/>
        <v>52616.08246119244</v>
      </c>
      <c r="AK237" s="127">
        <f t="shared" si="1728"/>
        <v>811.29200000000003</v>
      </c>
      <c r="AL237" s="127">
        <f t="shared" si="1728"/>
        <v>10847.298362197798</v>
      </c>
      <c r="AM237" s="127">
        <f t="shared" si="1728"/>
        <v>811.654</v>
      </c>
      <c r="AN237" s="127">
        <f t="shared" si="1728"/>
        <v>9760.4245869975002</v>
      </c>
      <c r="AO237" s="127">
        <f t="shared" si="1728"/>
        <v>794.3649999999999</v>
      </c>
      <c r="AP237" s="127">
        <f t="shared" si="1728"/>
        <v>8056.9886846742011</v>
      </c>
      <c r="AQ237" s="127">
        <f t="shared" si="1728"/>
        <v>2417.3109999999997</v>
      </c>
      <c r="AR237" s="127">
        <f t="shared" si="1728"/>
        <v>28664.711633869505</v>
      </c>
      <c r="AS237" s="127">
        <f t="shared" si="1728"/>
        <v>660.92399999999998</v>
      </c>
      <c r="AT237" s="127">
        <f t="shared" si="1728"/>
        <v>6217.4367861830015</v>
      </c>
      <c r="AU237" s="127">
        <f t="shared" si="1728"/>
        <v>657.33699999999999</v>
      </c>
      <c r="AV237" s="127">
        <f t="shared" si="1728"/>
        <v>6317.4782481898501</v>
      </c>
      <c r="AW237" s="127">
        <f t="shared" si="1728"/>
        <v>610.36399999999992</v>
      </c>
      <c r="AX237" s="127">
        <f t="shared" si="1728"/>
        <v>6927.2787182428483</v>
      </c>
      <c r="AY237" s="127">
        <f t="shared" si="1728"/>
        <v>1928.6250000000002</v>
      </c>
      <c r="AZ237" s="127">
        <f t="shared" si="1728"/>
        <v>19462.193752615702</v>
      </c>
      <c r="BA237" s="127">
        <f t="shared" si="1728"/>
        <v>4345.9359999999997</v>
      </c>
      <c r="BB237" s="127">
        <f t="shared" si="1728"/>
        <v>48126.905386485196</v>
      </c>
      <c r="BC237" s="1" t="s">
        <v>1781</v>
      </c>
    </row>
    <row r="238" spans="1:55">
      <c r="A238" s="498">
        <v>179</v>
      </c>
      <c r="B238" s="53" t="s">
        <v>157</v>
      </c>
      <c r="C238" s="53" t="s">
        <v>33</v>
      </c>
      <c r="D238" s="53" t="s">
        <v>15</v>
      </c>
      <c r="E238" s="21" t="s">
        <v>158</v>
      </c>
      <c r="F238" s="22" t="s">
        <v>35</v>
      </c>
      <c r="G238" s="22" t="s">
        <v>1105</v>
      </c>
      <c r="H238" s="268" t="s">
        <v>365</v>
      </c>
      <c r="I238" s="55">
        <v>2.63</v>
      </c>
      <c r="J238" s="102"/>
      <c r="K238" s="55">
        <v>2.63</v>
      </c>
      <c r="L238" s="163"/>
      <c r="M238" s="55">
        <v>2.63</v>
      </c>
      <c r="N238" s="163"/>
      <c r="O238" s="55">
        <v>2.63</v>
      </c>
      <c r="P238" s="102"/>
      <c r="Q238" s="97">
        <f t="shared" ref="Q238:Q240" si="1729">SUM(AI238+BA238)</f>
        <v>0</v>
      </c>
      <c r="R238" s="342">
        <f t="shared" ref="R238:R240" si="1730">SUM(AJ238+BB238)</f>
        <v>0</v>
      </c>
      <c r="S238" s="97"/>
      <c r="T238" s="97">
        <f t="shared" ref="T238:T342" si="1731">I238*S238*$T$2/1000</f>
        <v>0</v>
      </c>
      <c r="U238" s="97"/>
      <c r="V238" s="177">
        <f t="shared" ref="V238:V342" si="1732">I238*U238*$V$2/1000</f>
        <v>0</v>
      </c>
      <c r="W238" s="207"/>
      <c r="X238" s="206">
        <f t="shared" ref="X238:X342" si="1733">I238*W238*$X$2/1000</f>
        <v>0</v>
      </c>
      <c r="Y238" s="189">
        <f>SUM(S238+U238+W238)</f>
        <v>0</v>
      </c>
      <c r="Z238" s="177">
        <f t="shared" ref="Z238:Z241" si="1734">SUM(T238+V238+X238)</f>
        <v>0</v>
      </c>
      <c r="AA238" s="207"/>
      <c r="AB238" s="206">
        <f t="shared" ref="AB238:AB342" si="1735">K238*AA238*$AB$2/1000</f>
        <v>0</v>
      </c>
      <c r="AC238" s="207"/>
      <c r="AD238" s="177">
        <f t="shared" ref="AD238:AD342" si="1736">K238*AC238*$AD$2/1000</f>
        <v>0</v>
      </c>
      <c r="AE238" s="207"/>
      <c r="AF238" s="205">
        <f>K238*AE238*$AF$2/1000</f>
        <v>0</v>
      </c>
      <c r="AG238" s="189">
        <f t="shared" ref="AG238:AG241" si="1737">SUM(AA238+AC238+AE238)</f>
        <v>0</v>
      </c>
      <c r="AH238" s="97">
        <f t="shared" ref="AH238:AH241" si="1738">SUM(AB238+AD238+AF238)</f>
        <v>0</v>
      </c>
      <c r="AI238" s="97">
        <f>SUM(Y238+AG238)</f>
        <v>0</v>
      </c>
      <c r="AJ238" s="177">
        <f t="shared" ref="AJ238:AJ241" si="1739">SUM(Z238,AH238)</f>
        <v>0</v>
      </c>
      <c r="AK238" s="207"/>
      <c r="AL238" s="177">
        <f>M238*AK238*$AL$2/1000</f>
        <v>0</v>
      </c>
      <c r="AM238" s="245"/>
      <c r="AN238" s="177">
        <f t="shared" ref="AN238:AN241" si="1740">M238*AM238*$AN$2/1000</f>
        <v>0</v>
      </c>
      <c r="AO238" s="207"/>
      <c r="AP238" s="206">
        <f>M238*AO238*$AP$2/1000</f>
        <v>0</v>
      </c>
      <c r="AQ238" s="189">
        <f t="shared" ref="AQ238:AQ241" si="1741">SUM(AK238+AM238+AO238)</f>
        <v>0</v>
      </c>
      <c r="AR238" s="97">
        <f t="shared" ref="AR238:AR241" si="1742">SUM(AL238+AN238+AP238)</f>
        <v>0</v>
      </c>
      <c r="AS238" s="97"/>
      <c r="AT238" s="177">
        <f t="shared" ref="AT238:AT241" si="1743">O238*AS238*$AT$2/1000</f>
        <v>0</v>
      </c>
      <c r="AU238" s="207"/>
      <c r="AV238" s="177">
        <f t="shared" ref="AV238:AV241" si="1744">O238*AU238*$AV$2/1000</f>
        <v>0</v>
      </c>
      <c r="AW238" s="207"/>
      <c r="AX238" s="206">
        <f t="shared" ref="AX238:AX239" si="1745">O238*AW238*$AX$2/1000</f>
        <v>0</v>
      </c>
      <c r="AY238" s="189">
        <f t="shared" ref="AY238:AY241" si="1746">SUM(AS238+AU238+AW238)</f>
        <v>0</v>
      </c>
      <c r="AZ238" s="97">
        <f t="shared" ref="AZ238:AZ241" si="1747">SUM(AT238+AV238+AX238)</f>
        <v>0</v>
      </c>
      <c r="BA238" s="97">
        <f t="shared" ref="BA238:BA241" si="1748">SUM(AQ238+AY238)</f>
        <v>0</v>
      </c>
      <c r="BB238" s="97">
        <f t="shared" ref="BB238:BB241" si="1749">SUM(AR238,AZ238)</f>
        <v>0</v>
      </c>
      <c r="BC238" s="1" t="s">
        <v>1780</v>
      </c>
    </row>
    <row r="239" spans="1:55">
      <c r="A239" s="498">
        <v>180</v>
      </c>
      <c r="B239" s="13"/>
      <c r="C239" s="13"/>
      <c r="D239" s="13"/>
      <c r="E239" s="21" t="s">
        <v>159</v>
      </c>
      <c r="F239" s="22" t="s">
        <v>60</v>
      </c>
      <c r="G239" s="22" t="s">
        <v>1105</v>
      </c>
      <c r="H239" s="268" t="s">
        <v>365</v>
      </c>
      <c r="I239" s="55">
        <v>2.76</v>
      </c>
      <c r="J239" s="102"/>
      <c r="K239" s="55">
        <v>2.76</v>
      </c>
      <c r="L239" s="163"/>
      <c r="M239" s="55">
        <v>2.76</v>
      </c>
      <c r="N239" s="163"/>
      <c r="O239" s="55">
        <v>2.76</v>
      </c>
      <c r="P239" s="102"/>
      <c r="Q239" s="97">
        <f t="shared" si="1729"/>
        <v>0</v>
      </c>
      <c r="R239" s="342">
        <f t="shared" si="1730"/>
        <v>0</v>
      </c>
      <c r="S239" s="97"/>
      <c r="T239" s="97">
        <f t="shared" si="1731"/>
        <v>0</v>
      </c>
      <c r="U239" s="97"/>
      <c r="V239" s="177">
        <f t="shared" si="1732"/>
        <v>0</v>
      </c>
      <c r="W239" s="207"/>
      <c r="X239" s="206">
        <f t="shared" si="1733"/>
        <v>0</v>
      </c>
      <c r="Y239" s="189">
        <f t="shared" ref="Y239:Y240" si="1750">SUM(S239+U239+W239)</f>
        <v>0</v>
      </c>
      <c r="Z239" s="177">
        <f t="shared" si="1734"/>
        <v>0</v>
      </c>
      <c r="AA239" s="207"/>
      <c r="AB239" s="206">
        <f t="shared" si="1735"/>
        <v>0</v>
      </c>
      <c r="AC239" s="207"/>
      <c r="AD239" s="177">
        <f t="shared" si="1736"/>
        <v>0</v>
      </c>
      <c r="AE239" s="207"/>
      <c r="AF239" s="205">
        <f t="shared" ref="AF239:AF241" si="1751">K239*AE239*$AF$2/1000</f>
        <v>0</v>
      </c>
      <c r="AG239" s="189">
        <f t="shared" si="1737"/>
        <v>0</v>
      </c>
      <c r="AH239" s="97">
        <f t="shared" si="1738"/>
        <v>0</v>
      </c>
      <c r="AI239" s="97">
        <f t="shared" ref="AI239:AI241" si="1752">SUM(Y239+AG239)</f>
        <v>0</v>
      </c>
      <c r="AJ239" s="177">
        <f t="shared" si="1739"/>
        <v>0</v>
      </c>
      <c r="AK239" s="207"/>
      <c r="AL239" s="177">
        <f t="shared" ref="AL239:AL241" si="1753">M239*AK239*$AL$2/1000</f>
        <v>0</v>
      </c>
      <c r="AM239" s="245"/>
      <c r="AN239" s="177">
        <f t="shared" si="1740"/>
        <v>0</v>
      </c>
      <c r="AO239" s="207"/>
      <c r="AP239" s="206">
        <f t="shared" ref="AP239:AP241" si="1754">M239*AO239*$AP$2/1000</f>
        <v>0</v>
      </c>
      <c r="AQ239" s="189">
        <f t="shared" si="1741"/>
        <v>0</v>
      </c>
      <c r="AR239" s="97">
        <f t="shared" si="1742"/>
        <v>0</v>
      </c>
      <c r="AS239" s="97"/>
      <c r="AT239" s="177">
        <f t="shared" si="1743"/>
        <v>0</v>
      </c>
      <c r="AU239" s="207"/>
      <c r="AV239" s="177">
        <f t="shared" si="1744"/>
        <v>0</v>
      </c>
      <c r="AW239" s="207"/>
      <c r="AX239" s="206">
        <f t="shared" si="1745"/>
        <v>0</v>
      </c>
      <c r="AY239" s="189">
        <f t="shared" si="1746"/>
        <v>0</v>
      </c>
      <c r="AZ239" s="97">
        <f t="shared" si="1747"/>
        <v>0</v>
      </c>
      <c r="BA239" s="97">
        <f t="shared" si="1748"/>
        <v>0</v>
      </c>
      <c r="BB239" s="97">
        <f t="shared" si="1749"/>
        <v>0</v>
      </c>
      <c r="BC239" s="1" t="s">
        <v>1780</v>
      </c>
    </row>
    <row r="240" spans="1:55">
      <c r="A240" s="498">
        <v>181</v>
      </c>
      <c r="B240" s="13"/>
      <c r="C240" s="13"/>
      <c r="D240" s="13"/>
      <c r="E240" s="21" t="s">
        <v>142</v>
      </c>
      <c r="F240" s="22" t="s">
        <v>41</v>
      </c>
      <c r="G240" s="22" t="s">
        <v>1105</v>
      </c>
      <c r="H240" s="268" t="s">
        <v>365</v>
      </c>
      <c r="I240" s="55">
        <v>3.29</v>
      </c>
      <c r="J240" s="102"/>
      <c r="K240" s="55">
        <v>3.29</v>
      </c>
      <c r="L240" s="163"/>
      <c r="M240" s="55">
        <v>3.29</v>
      </c>
      <c r="N240" s="163"/>
      <c r="O240" s="55">
        <v>3.29</v>
      </c>
      <c r="P240" s="102"/>
      <c r="Q240" s="97">
        <f t="shared" si="1729"/>
        <v>0</v>
      </c>
      <c r="R240" s="342">
        <f t="shared" si="1730"/>
        <v>0</v>
      </c>
      <c r="S240" s="97"/>
      <c r="T240" s="97">
        <f t="shared" si="1731"/>
        <v>0</v>
      </c>
      <c r="U240" s="97"/>
      <c r="V240" s="177">
        <f t="shared" si="1732"/>
        <v>0</v>
      </c>
      <c r="W240" s="207"/>
      <c r="X240" s="206">
        <f t="shared" si="1733"/>
        <v>0</v>
      </c>
      <c r="Y240" s="189">
        <f t="shared" si="1750"/>
        <v>0</v>
      </c>
      <c r="Z240" s="177">
        <f t="shared" si="1734"/>
        <v>0</v>
      </c>
      <c r="AA240" s="207"/>
      <c r="AB240" s="206">
        <f t="shared" si="1735"/>
        <v>0</v>
      </c>
      <c r="AC240" s="207"/>
      <c r="AD240" s="177">
        <f t="shared" si="1736"/>
        <v>0</v>
      </c>
      <c r="AE240" s="207"/>
      <c r="AF240" s="205">
        <f t="shared" si="1751"/>
        <v>0</v>
      </c>
      <c r="AG240" s="189">
        <f t="shared" si="1737"/>
        <v>0</v>
      </c>
      <c r="AH240" s="97">
        <f t="shared" si="1738"/>
        <v>0</v>
      </c>
      <c r="AI240" s="97">
        <f t="shared" si="1752"/>
        <v>0</v>
      </c>
      <c r="AJ240" s="177">
        <f t="shared" si="1739"/>
        <v>0</v>
      </c>
      <c r="AK240" s="207"/>
      <c r="AL240" s="177">
        <f t="shared" si="1753"/>
        <v>0</v>
      </c>
      <c r="AM240" s="245"/>
      <c r="AN240" s="177">
        <f t="shared" si="1740"/>
        <v>0</v>
      </c>
      <c r="AO240" s="207"/>
      <c r="AP240" s="206">
        <f t="shared" si="1754"/>
        <v>0</v>
      </c>
      <c r="AQ240" s="189">
        <f t="shared" si="1741"/>
        <v>0</v>
      </c>
      <c r="AR240" s="97">
        <f t="shared" si="1742"/>
        <v>0</v>
      </c>
      <c r="AS240" s="97"/>
      <c r="AT240" s="177">
        <f t="shared" si="1743"/>
        <v>0</v>
      </c>
      <c r="AU240" s="207"/>
      <c r="AV240" s="177">
        <f t="shared" si="1744"/>
        <v>0</v>
      </c>
      <c r="AW240" s="207"/>
      <c r="AX240" s="206">
        <f>O240*AW240*$AX$2/1000</f>
        <v>0</v>
      </c>
      <c r="AY240" s="189">
        <f t="shared" si="1746"/>
        <v>0</v>
      </c>
      <c r="AZ240" s="97">
        <f t="shared" si="1747"/>
        <v>0</v>
      </c>
      <c r="BA240" s="97">
        <f t="shared" si="1748"/>
        <v>0</v>
      </c>
      <c r="BB240" s="97">
        <f t="shared" si="1749"/>
        <v>0</v>
      </c>
      <c r="BC240" s="1" t="s">
        <v>1780</v>
      </c>
    </row>
    <row r="241" spans="1:55">
      <c r="A241" s="498">
        <v>183</v>
      </c>
      <c r="B241" s="13"/>
      <c r="C241" s="13"/>
      <c r="D241" s="13"/>
      <c r="E241" s="90" t="s">
        <v>955</v>
      </c>
      <c r="F241" s="91" t="s">
        <v>709</v>
      </c>
      <c r="G241" s="46" t="s">
        <v>1105</v>
      </c>
      <c r="H241" s="268" t="s">
        <v>365</v>
      </c>
      <c r="I241" s="55">
        <v>3.25</v>
      </c>
      <c r="J241" s="102"/>
      <c r="K241" s="55">
        <v>3.25</v>
      </c>
      <c r="L241" s="163"/>
      <c r="M241" s="55">
        <v>3.25</v>
      </c>
      <c r="N241" s="163"/>
      <c r="O241" s="55">
        <v>3.25</v>
      </c>
      <c r="P241" s="102"/>
      <c r="Q241" s="97">
        <f t="shared" ref="Q241" si="1755">SUM(AI241+BA241)</f>
        <v>241.48000000000002</v>
      </c>
      <c r="R241" s="342">
        <f t="shared" ref="R241" si="1756">SUM(AJ241+BB241)</f>
        <v>1060.3503869399999</v>
      </c>
      <c r="S241" s="97">
        <v>38.015999999999998</v>
      </c>
      <c r="T241" s="97">
        <f t="shared" ref="T241" si="1757">I241*S241*$T$2/1000</f>
        <v>163.32215328000001</v>
      </c>
      <c r="U241" s="97">
        <v>30.623999999999999</v>
      </c>
      <c r="V241" s="177">
        <f t="shared" si="1732"/>
        <v>132.41205119999998</v>
      </c>
      <c r="W241" s="207">
        <v>28.512</v>
      </c>
      <c r="X241" s="206">
        <f t="shared" si="1733"/>
        <v>123.2987184</v>
      </c>
      <c r="Y241" s="189">
        <f>SUM(S241+U241+W241)</f>
        <v>97.152000000000001</v>
      </c>
      <c r="Z241" s="177">
        <f t="shared" si="1734"/>
        <v>419.03292288</v>
      </c>
      <c r="AA241" s="207">
        <v>39.072000000000003</v>
      </c>
      <c r="AB241" s="206">
        <f t="shared" ref="AB241" si="1758">K241*AA241*$AB$2/1000</f>
        <v>173.22141407999999</v>
      </c>
      <c r="AC241" s="207">
        <v>8.4480000000000004</v>
      </c>
      <c r="AD241" s="177">
        <f t="shared" si="1736"/>
        <v>37.604561280000006</v>
      </c>
      <c r="AE241" s="207">
        <v>42.24</v>
      </c>
      <c r="AF241" s="205">
        <f t="shared" si="1751"/>
        <v>189.28578239999999</v>
      </c>
      <c r="AG241" s="189">
        <f t="shared" si="1737"/>
        <v>89.76</v>
      </c>
      <c r="AH241" s="97">
        <f t="shared" si="1738"/>
        <v>400.11175775999999</v>
      </c>
      <c r="AI241" s="97">
        <f t="shared" si="1752"/>
        <v>186.91200000000001</v>
      </c>
      <c r="AJ241" s="177">
        <f t="shared" si="1739"/>
        <v>819.14468063999993</v>
      </c>
      <c r="AK241" s="207">
        <v>8.4480000000000004</v>
      </c>
      <c r="AL241" s="177">
        <f t="shared" si="1753"/>
        <v>37.973844479999997</v>
      </c>
      <c r="AM241" s="245">
        <v>30.623999999999999</v>
      </c>
      <c r="AN241" s="177">
        <f t="shared" si="1740"/>
        <v>135.46756079999997</v>
      </c>
      <c r="AO241" s="207">
        <v>8.4480000000000004</v>
      </c>
      <c r="AP241" s="206">
        <f t="shared" si="1754"/>
        <v>36.582099840000012</v>
      </c>
      <c r="AQ241" s="189">
        <f t="shared" si="1741"/>
        <v>47.52</v>
      </c>
      <c r="AR241" s="97">
        <f t="shared" si="1742"/>
        <v>210.02350511999998</v>
      </c>
      <c r="AS241" s="97">
        <v>6.3360000000000003</v>
      </c>
      <c r="AT241" s="177">
        <f t="shared" si="1743"/>
        <v>27.961876800000006</v>
      </c>
      <c r="AU241" s="207">
        <v>0.71199999999999997</v>
      </c>
      <c r="AV241" s="177">
        <f t="shared" si="1744"/>
        <v>3.2203243800000005</v>
      </c>
      <c r="AW241" s="207"/>
      <c r="AX241" s="206">
        <f t="shared" ref="AX241" si="1759">O241*AW241*$AX$2/1000</f>
        <v>0</v>
      </c>
      <c r="AY241" s="189">
        <f t="shared" si="1746"/>
        <v>7.048</v>
      </c>
      <c r="AZ241" s="97">
        <f t="shared" si="1747"/>
        <v>31.182201180000007</v>
      </c>
      <c r="BA241" s="97">
        <f t="shared" si="1748"/>
        <v>54.568000000000005</v>
      </c>
      <c r="BB241" s="97">
        <f t="shared" si="1749"/>
        <v>241.20570629999997</v>
      </c>
      <c r="BC241" s="1" t="s">
        <v>1780</v>
      </c>
    </row>
    <row r="242" spans="1:55">
      <c r="A242" s="498">
        <v>184</v>
      </c>
      <c r="B242" s="13"/>
      <c r="C242" s="13"/>
      <c r="D242" s="13"/>
      <c r="E242" s="21" t="s">
        <v>814</v>
      </c>
      <c r="F242" s="46" t="s">
        <v>710</v>
      </c>
      <c r="G242" s="46" t="s">
        <v>1105</v>
      </c>
      <c r="H242" s="268" t="s">
        <v>365</v>
      </c>
      <c r="I242" s="55">
        <v>3.89</v>
      </c>
      <c r="J242" s="102"/>
      <c r="K242" s="55">
        <v>3.89</v>
      </c>
      <c r="L242" s="163"/>
      <c r="M242" s="55">
        <v>3.89</v>
      </c>
      <c r="N242" s="163"/>
      <c r="O242" s="55">
        <v>3.89</v>
      </c>
      <c r="P242" s="102"/>
      <c r="Q242" s="97">
        <f t="shared" ref="Q242:Q248" si="1760">SUM(AI242+BA242)</f>
        <v>216.70499999999998</v>
      </c>
      <c r="R242" s="342">
        <f t="shared" ref="R242:R248" si="1761">SUM(AJ242+BB242)</f>
        <v>1135.6164971183</v>
      </c>
      <c r="S242" s="97">
        <v>33.792000000000002</v>
      </c>
      <c r="T242" s="97">
        <f t="shared" ref="T242:T248" si="1762">I242*S242*$T$2/1000</f>
        <v>173.76360376320002</v>
      </c>
      <c r="U242" s="97">
        <v>16.896000000000001</v>
      </c>
      <c r="V242" s="177">
        <f t="shared" ref="V242:V248" si="1763">I242*U242*$V$2/1000</f>
        <v>87.441125376000016</v>
      </c>
      <c r="W242" s="207">
        <v>44.351999999999997</v>
      </c>
      <c r="X242" s="206">
        <f t="shared" ref="X242:X248" si="1764">I242*W242*$X$2/1000</f>
        <v>229.56745996799998</v>
      </c>
      <c r="Y242" s="189">
        <f>SUM(S242+U242+W242)</f>
        <v>95.039999999999992</v>
      </c>
      <c r="Z242" s="177">
        <f t="shared" ref="Z242:Z248" si="1765">SUM(T242+V242+X242)</f>
        <v>490.77218910720001</v>
      </c>
      <c r="AA242" s="207">
        <v>24.288</v>
      </c>
      <c r="AB242" s="206">
        <f>K242*AA242*$AB$2/1000</f>
        <v>128.88249411839999</v>
      </c>
      <c r="AC242" s="207">
        <v>12.672000000000001</v>
      </c>
      <c r="AD242" s="177">
        <f t="shared" ref="AD242:AD248" si="1766">K242*AC242*$AD$2/1000</f>
        <v>67.514650790399998</v>
      </c>
      <c r="AE242" s="207"/>
      <c r="AF242" s="205">
        <f t="shared" ref="AF242:AF244" si="1767">K242*AE242*$AF$2/1000</f>
        <v>0</v>
      </c>
      <c r="AG242" s="189">
        <f t="shared" ref="AG242:AG248" si="1768">SUM(AA242+AC242+AE242)</f>
        <v>36.96</v>
      </c>
      <c r="AH242" s="97">
        <f t="shared" ref="AH242:AH248" si="1769">SUM(AB242+AD242+AF242)</f>
        <v>196.39714490879999</v>
      </c>
      <c r="AI242" s="97">
        <f t="shared" ref="AI242:AI244" si="1770">SUM(Y242+AG242)</f>
        <v>132</v>
      </c>
      <c r="AJ242" s="177">
        <f t="shared" ref="AJ242:AJ248" si="1771">SUM(Z242,AH242)</f>
        <v>687.16933401599999</v>
      </c>
      <c r="AK242" s="207">
        <v>26.4</v>
      </c>
      <c r="AL242" s="177">
        <f t="shared" ref="AL242:AL244" si="1772">M242*AK242*$AL$2/1000</f>
        <v>142.03678367999998</v>
      </c>
      <c r="AM242" s="245">
        <v>25.344000000000001</v>
      </c>
      <c r="AN242" s="177">
        <f t="shared" ref="AN242:AN248" si="1773">M242*AM242*$AN$2/1000</f>
        <v>134.18834457599999</v>
      </c>
      <c r="AO242" s="207">
        <v>19.007999999999999</v>
      </c>
      <c r="AP242" s="206">
        <f t="shared" ref="AP242:AP244" si="1774">M242*AO242*$AP$2/1000</f>
        <v>98.518408876800009</v>
      </c>
      <c r="AQ242" s="189">
        <f t="shared" ref="AQ242:AQ248" si="1775">SUM(AK242+AM242+AO242)</f>
        <v>70.751999999999995</v>
      </c>
      <c r="AR242" s="97">
        <f t="shared" ref="AR242:AR248" si="1776">SUM(AL242+AN242+AP242)</f>
        <v>374.74353713279993</v>
      </c>
      <c r="AS242" s="97">
        <v>13.948</v>
      </c>
      <c r="AT242" s="177">
        <f t="shared" ref="AT242:AT248" si="1777">O242*AS242*$AT$2/1000</f>
        <v>73.676557988000013</v>
      </c>
      <c r="AU242" s="207">
        <v>5.0000000000000001E-3</v>
      </c>
      <c r="AV242" s="177">
        <f t="shared" ref="AV242:AV248" si="1778">O242*AU242*$AV$2/1000</f>
        <v>2.7067981500000005E-2</v>
      </c>
      <c r="AW242" s="207"/>
      <c r="AX242" s="206">
        <f t="shared" ref="AX242:AX248" si="1779">O242*AW242*$AX$2/1000</f>
        <v>0</v>
      </c>
      <c r="AY242" s="189">
        <f t="shared" ref="AY242:AY248" si="1780">SUM(AS242+AU242+AW242)</f>
        <v>13.953000000000001</v>
      </c>
      <c r="AZ242" s="97">
        <f t="shared" ref="AZ242:AZ248" si="1781">SUM(AT242+AV242+AX242)</f>
        <v>73.70362596950001</v>
      </c>
      <c r="BA242" s="97">
        <f t="shared" ref="BA242:BA248" si="1782">SUM(AQ242+AY242)</f>
        <v>84.704999999999998</v>
      </c>
      <c r="BB242" s="97">
        <f t="shared" ref="BB242:BB248" si="1783">SUM(AR242,AZ242)</f>
        <v>448.44716310229995</v>
      </c>
      <c r="BC242" s="1" t="s">
        <v>1780</v>
      </c>
    </row>
    <row r="243" spans="1:55">
      <c r="B243" s="13"/>
      <c r="C243" s="13"/>
      <c r="D243" s="13"/>
      <c r="E243" s="21" t="s">
        <v>1795</v>
      </c>
      <c r="F243" s="22" t="s">
        <v>1230</v>
      </c>
      <c r="G243" s="46" t="s">
        <v>1105</v>
      </c>
      <c r="H243" s="268" t="s">
        <v>365</v>
      </c>
      <c r="I243" s="55">
        <v>4</v>
      </c>
      <c r="J243" s="102"/>
      <c r="K243" s="55">
        <v>4</v>
      </c>
      <c r="L243" s="163"/>
      <c r="M243" s="55">
        <v>4</v>
      </c>
      <c r="N243" s="163"/>
      <c r="O243" s="55">
        <v>4</v>
      </c>
      <c r="P243" s="102"/>
      <c r="Q243" s="97">
        <f t="shared" ref="Q243" si="1784">SUM(AI243+BA243)</f>
        <v>112.52100000000002</v>
      </c>
      <c r="R243" s="342">
        <f t="shared" ref="R243" si="1785">SUM(AJ243+BB243)</f>
        <v>606.51462875999994</v>
      </c>
      <c r="S243" s="97">
        <v>13.728</v>
      </c>
      <c r="T243" s="97">
        <f>I243*S243*$T$2/1000</f>
        <v>72.587623680000007</v>
      </c>
      <c r="U243" s="97">
        <v>15.84</v>
      </c>
      <c r="V243" s="177">
        <f>I243*U243*$V$2/1000</f>
        <v>84.294144000000003</v>
      </c>
      <c r="W243" s="207">
        <v>20.064</v>
      </c>
      <c r="X243" s="206">
        <f>I243*W243*$X$2/1000</f>
        <v>106.78863359999998</v>
      </c>
      <c r="Y243" s="189">
        <f t="shared" ref="Y243" si="1786">SUM(S243+U243+W243)</f>
        <v>49.631999999999998</v>
      </c>
      <c r="Z243" s="177">
        <f t="shared" ref="Z243" si="1787">SUM(T243+V243+X243)</f>
        <v>263.67040127999996</v>
      </c>
      <c r="AA243" s="207">
        <v>24.288</v>
      </c>
      <c r="AB243" s="206">
        <f>K243*AA243*$AB$2/1000</f>
        <v>132.52698623999999</v>
      </c>
      <c r="AC243" s="207"/>
      <c r="AD243" s="177">
        <f>K243*AC243*$AD$2/1000</f>
        <v>0</v>
      </c>
      <c r="AE243" s="207">
        <v>14.784000000000001</v>
      </c>
      <c r="AF243" s="206">
        <f t="shared" ref="AF243" si="1788">K243*AE243*$AF$2/1000</f>
        <v>81.538490879999998</v>
      </c>
      <c r="AG243" s="189">
        <f t="shared" ref="AG243" si="1789">SUM(AA243+AC243+AE243)</f>
        <v>39.072000000000003</v>
      </c>
      <c r="AH243" s="97">
        <f t="shared" ref="AH243" si="1790">SUM(AB243+AD243+AF243)</f>
        <v>214.06547711999997</v>
      </c>
      <c r="AI243" s="97">
        <f t="shared" ref="AI243" si="1791">SUM(Y243+AG243)</f>
        <v>88.704000000000008</v>
      </c>
      <c r="AJ243" s="177">
        <f t="shared" ref="AJ243" si="1792">SUM(Z243,AH243)</f>
        <v>477.73587839999993</v>
      </c>
      <c r="AK243" s="207">
        <v>8.4480000000000004</v>
      </c>
      <c r="AL243" s="177">
        <f t="shared" ref="AL243" si="1793">M243*AK243*$AL$2/1000</f>
        <v>46.737039360000004</v>
      </c>
      <c r="AM243" s="245"/>
      <c r="AN243" s="177">
        <f t="shared" ref="AN243" si="1794">M243*AM243*$AN$2/1000</f>
        <v>0</v>
      </c>
      <c r="AO243" s="207">
        <v>14.212</v>
      </c>
      <c r="AP243" s="206">
        <f t="shared" ref="AP243" si="1795">M243*AO243*$AP$2/1000</f>
        <v>75.743706720000006</v>
      </c>
      <c r="AQ243" s="189">
        <f t="shared" ref="AQ243" si="1796">SUM(AK243+AM243+AO243)</f>
        <v>22.66</v>
      </c>
      <c r="AR243" s="97">
        <f t="shared" ref="AR243" si="1797">SUM(AL243+AN243+AP243)</f>
        <v>122.48074608000002</v>
      </c>
      <c r="AS243" s="97">
        <v>1.056</v>
      </c>
      <c r="AT243" s="177">
        <f t="shared" ref="AT243" si="1798">O243*AS243*$AT$2/1000</f>
        <v>5.7357696000000002</v>
      </c>
      <c r="AU243" s="207">
        <v>0.10100000000000001</v>
      </c>
      <c r="AV243" s="177">
        <f t="shared" ref="AV243" si="1799">O243*AU243*$AV$2/1000</f>
        <v>0.56223467999999999</v>
      </c>
      <c r="AW243" s="207"/>
      <c r="AX243" s="206">
        <f t="shared" ref="AX243" si="1800">O243*AW243*$AX$2/1000</f>
        <v>0</v>
      </c>
      <c r="AY243" s="189">
        <f t="shared" ref="AY243" si="1801">SUM(AS243+AU243+AW243)</f>
        <v>1.157</v>
      </c>
      <c r="AZ243" s="97">
        <f t="shared" ref="AZ243" si="1802">SUM(AT243+AV243+AX243)</f>
        <v>6.2980042800000007</v>
      </c>
      <c r="BA243" s="97">
        <f t="shared" ref="BA243" si="1803">SUM(AQ243+AY243)</f>
        <v>23.817</v>
      </c>
      <c r="BB243" s="97">
        <f t="shared" ref="BB243" si="1804">SUM(AR243,AZ243)</f>
        <v>128.77875036</v>
      </c>
      <c r="BC243" s="1" t="s">
        <v>1780</v>
      </c>
    </row>
    <row r="244" spans="1:55">
      <c r="B244" s="13"/>
      <c r="C244" s="13"/>
      <c r="D244" s="13"/>
      <c r="E244" s="21" t="s">
        <v>1796</v>
      </c>
      <c r="F244" s="22" t="s">
        <v>1231</v>
      </c>
      <c r="G244" s="46" t="s">
        <v>1105</v>
      </c>
      <c r="H244" s="268" t="s">
        <v>365</v>
      </c>
      <c r="I244" s="55">
        <v>4.76</v>
      </c>
      <c r="J244" s="102"/>
      <c r="K244" s="55">
        <v>4.76</v>
      </c>
      <c r="L244" s="163"/>
      <c r="M244" s="55">
        <v>4.76</v>
      </c>
      <c r="N244" s="163"/>
      <c r="O244" s="55">
        <v>4.76</v>
      </c>
      <c r="P244" s="102"/>
      <c r="Q244" s="97">
        <f t="shared" si="1760"/>
        <v>0</v>
      </c>
      <c r="R244" s="342">
        <f t="shared" si="1761"/>
        <v>0</v>
      </c>
      <c r="S244" s="97"/>
      <c r="T244" s="97">
        <f>I244*S244*$T$2/1000</f>
        <v>0</v>
      </c>
      <c r="U244" s="97"/>
      <c r="V244" s="177">
        <f>I244*U244*$V$2/1000</f>
        <v>0</v>
      </c>
      <c r="W244" s="207"/>
      <c r="X244" s="206">
        <f>I244*W244*$X$2/1000</f>
        <v>0</v>
      </c>
      <c r="Y244" s="189">
        <f t="shared" ref="Y244" si="1805">SUM(S244+U244+W244)</f>
        <v>0</v>
      </c>
      <c r="Z244" s="177">
        <f t="shared" ref="Z244" si="1806">SUM(T244+V244+X244)</f>
        <v>0</v>
      </c>
      <c r="AA244" s="207"/>
      <c r="AB244" s="206">
        <f>K244*AA244*$AB$2/1000</f>
        <v>0</v>
      </c>
      <c r="AC244" s="207"/>
      <c r="AD244" s="177">
        <f>K244*AC244*$AD$2/1000</f>
        <v>0</v>
      </c>
      <c r="AE244" s="207"/>
      <c r="AF244" s="206">
        <f t="shared" si="1767"/>
        <v>0</v>
      </c>
      <c r="AG244" s="189">
        <f t="shared" ref="AG244" si="1807">SUM(AA244+AC244+AE244)</f>
        <v>0</v>
      </c>
      <c r="AH244" s="97">
        <f t="shared" ref="AH244" si="1808">SUM(AB244+AD244+AF244)</f>
        <v>0</v>
      </c>
      <c r="AI244" s="97">
        <f t="shared" si="1770"/>
        <v>0</v>
      </c>
      <c r="AJ244" s="177">
        <f t="shared" si="1771"/>
        <v>0</v>
      </c>
      <c r="AK244" s="207"/>
      <c r="AL244" s="177">
        <f t="shared" si="1772"/>
        <v>0</v>
      </c>
      <c r="AM244" s="245"/>
      <c r="AN244" s="177">
        <f t="shared" si="1773"/>
        <v>0</v>
      </c>
      <c r="AO244" s="207"/>
      <c r="AP244" s="206">
        <f t="shared" si="1774"/>
        <v>0</v>
      </c>
      <c r="AQ244" s="189">
        <f>SUM(AK244+AM244+AO244)</f>
        <v>0</v>
      </c>
      <c r="AR244" s="97">
        <f t="shared" ref="AR244" si="1809">SUM(AL244+AN244+AP244)</f>
        <v>0</v>
      </c>
      <c r="AS244" s="97"/>
      <c r="AT244" s="177">
        <f t="shared" si="1777"/>
        <v>0</v>
      </c>
      <c r="AU244" s="207"/>
      <c r="AV244" s="177">
        <f t="shared" si="1778"/>
        <v>0</v>
      </c>
      <c r="AW244" s="207"/>
      <c r="AX244" s="206">
        <f t="shared" si="1779"/>
        <v>0</v>
      </c>
      <c r="AY244" s="189">
        <f>SUM(AS244+AU244+AW244)</f>
        <v>0</v>
      </c>
      <c r="AZ244" s="97">
        <f t="shared" ref="AZ244" si="1810">SUM(AT244+AV244+AX244)</f>
        <v>0</v>
      </c>
      <c r="BA244" s="97">
        <f t="shared" si="1782"/>
        <v>0</v>
      </c>
      <c r="BB244" s="97">
        <f t="shared" si="1783"/>
        <v>0</v>
      </c>
      <c r="BC244" s="1" t="s">
        <v>1780</v>
      </c>
    </row>
    <row r="245" spans="1:55">
      <c r="A245" s="498">
        <v>186</v>
      </c>
      <c r="B245" s="53" t="s">
        <v>1708</v>
      </c>
      <c r="C245" s="53" t="s">
        <v>33</v>
      </c>
      <c r="D245" s="53" t="s">
        <v>15</v>
      </c>
      <c r="E245" s="90" t="s">
        <v>1709</v>
      </c>
      <c r="F245" s="91" t="s">
        <v>709</v>
      </c>
      <c r="G245" s="91" t="s">
        <v>1105</v>
      </c>
      <c r="H245" s="268" t="s">
        <v>365</v>
      </c>
      <c r="I245" s="55">
        <v>3.23</v>
      </c>
      <c r="J245" s="102"/>
      <c r="K245" s="55">
        <v>3.23</v>
      </c>
      <c r="L245" s="163"/>
      <c r="M245" s="55">
        <v>3.23</v>
      </c>
      <c r="N245" s="163"/>
      <c r="O245" s="55">
        <v>3.23</v>
      </c>
      <c r="P245" s="102"/>
      <c r="Q245" s="97">
        <f t="shared" si="1760"/>
        <v>0</v>
      </c>
      <c r="R245" s="342">
        <f t="shared" si="1761"/>
        <v>0</v>
      </c>
      <c r="S245" s="97"/>
      <c r="T245" s="97">
        <f t="shared" si="1762"/>
        <v>0</v>
      </c>
      <c r="U245" s="97"/>
      <c r="V245" s="177">
        <f t="shared" si="1763"/>
        <v>0</v>
      </c>
      <c r="W245" s="207"/>
      <c r="X245" s="206">
        <f t="shared" si="1764"/>
        <v>0</v>
      </c>
      <c r="Y245" s="189">
        <f>SUM(S245+U245+W245)</f>
        <v>0</v>
      </c>
      <c r="Z245" s="177">
        <f t="shared" si="1765"/>
        <v>0</v>
      </c>
      <c r="AA245" s="207"/>
      <c r="AB245" s="206">
        <f t="shared" ref="AB245:AB248" si="1811">K245*AA245*$AB$2/1000</f>
        <v>0</v>
      </c>
      <c r="AC245" s="207"/>
      <c r="AD245" s="177">
        <f t="shared" si="1766"/>
        <v>0</v>
      </c>
      <c r="AE245" s="207"/>
      <c r="AF245" s="205">
        <f>K245*AE245*$AF$2/1000</f>
        <v>0</v>
      </c>
      <c r="AG245" s="189">
        <f t="shared" si="1768"/>
        <v>0</v>
      </c>
      <c r="AH245" s="97">
        <f t="shared" si="1769"/>
        <v>0</v>
      </c>
      <c r="AI245" s="97">
        <f>SUM(Y245+AG245)</f>
        <v>0</v>
      </c>
      <c r="AJ245" s="177">
        <f t="shared" si="1771"/>
        <v>0</v>
      </c>
      <c r="AK245" s="207"/>
      <c r="AL245" s="177">
        <f>M245*AK245*$AL$2/1000</f>
        <v>0</v>
      </c>
      <c r="AM245" s="245"/>
      <c r="AN245" s="177">
        <f t="shared" si="1773"/>
        <v>0</v>
      </c>
      <c r="AO245" s="207"/>
      <c r="AP245" s="206">
        <f>M245*AO245*$AP$2/1000</f>
        <v>0</v>
      </c>
      <c r="AQ245" s="189">
        <f t="shared" si="1775"/>
        <v>0</v>
      </c>
      <c r="AR245" s="97">
        <f t="shared" si="1776"/>
        <v>0</v>
      </c>
      <c r="AS245" s="97"/>
      <c r="AT245" s="177">
        <f t="shared" si="1777"/>
        <v>0</v>
      </c>
      <c r="AU245" s="207"/>
      <c r="AV245" s="177">
        <f t="shared" si="1778"/>
        <v>0</v>
      </c>
      <c r="AW245" s="207"/>
      <c r="AX245" s="206">
        <f t="shared" si="1779"/>
        <v>0</v>
      </c>
      <c r="AY245" s="189">
        <f t="shared" si="1780"/>
        <v>0</v>
      </c>
      <c r="AZ245" s="97">
        <f t="shared" si="1781"/>
        <v>0</v>
      </c>
      <c r="BA245" s="97">
        <f t="shared" si="1782"/>
        <v>0</v>
      </c>
      <c r="BB245" s="97">
        <f t="shared" si="1783"/>
        <v>0</v>
      </c>
      <c r="BC245" s="1" t="s">
        <v>1780</v>
      </c>
    </row>
    <row r="246" spans="1:55">
      <c r="A246" s="498">
        <v>187</v>
      </c>
      <c r="B246" s="13"/>
      <c r="C246" s="13"/>
      <c r="D246" s="13"/>
      <c r="E246" s="21" t="s">
        <v>1710</v>
      </c>
      <c r="F246" s="46" t="s">
        <v>710</v>
      </c>
      <c r="G246" s="22" t="s">
        <v>1105</v>
      </c>
      <c r="H246" s="268" t="s">
        <v>365</v>
      </c>
      <c r="I246" s="55">
        <v>3.82</v>
      </c>
      <c r="J246" s="102"/>
      <c r="K246" s="55">
        <v>3.82</v>
      </c>
      <c r="L246" s="163"/>
      <c r="M246" s="55">
        <v>3.82</v>
      </c>
      <c r="N246" s="163"/>
      <c r="O246" s="55">
        <v>3.82</v>
      </c>
      <c r="P246" s="102"/>
      <c r="Q246" s="129">
        <f t="shared" si="1760"/>
        <v>0</v>
      </c>
      <c r="R246" s="342">
        <f t="shared" si="1761"/>
        <v>0</v>
      </c>
      <c r="S246" s="97"/>
      <c r="T246" s="97">
        <f>I246*S246*$T$2/1000</f>
        <v>0</v>
      </c>
      <c r="U246" s="97"/>
      <c r="V246" s="177">
        <f t="shared" si="1763"/>
        <v>0</v>
      </c>
      <c r="W246" s="207"/>
      <c r="X246" s="206">
        <f t="shared" si="1764"/>
        <v>0</v>
      </c>
      <c r="Y246" s="189">
        <f t="shared" ref="Y246" si="1812">SUM(S246+U246+W246)</f>
        <v>0</v>
      </c>
      <c r="Z246" s="177">
        <f t="shared" si="1765"/>
        <v>0</v>
      </c>
      <c r="AA246" s="207"/>
      <c r="AB246" s="206">
        <f t="shared" si="1811"/>
        <v>0</v>
      </c>
      <c r="AC246" s="207"/>
      <c r="AD246" s="177">
        <f t="shared" si="1766"/>
        <v>0</v>
      </c>
      <c r="AE246" s="207"/>
      <c r="AF246" s="205">
        <f t="shared" ref="AF246" si="1813">K246*AE246*$AF$2/1000</f>
        <v>0</v>
      </c>
      <c r="AG246" s="189">
        <f t="shared" si="1768"/>
        <v>0</v>
      </c>
      <c r="AH246" s="97">
        <f t="shared" si="1769"/>
        <v>0</v>
      </c>
      <c r="AI246" s="97">
        <f t="shared" ref="AI246" si="1814">SUM(Y246+AG246)</f>
        <v>0</v>
      </c>
      <c r="AJ246" s="177">
        <f t="shared" si="1771"/>
        <v>0</v>
      </c>
      <c r="AK246" s="207"/>
      <c r="AL246" s="177">
        <f t="shared" ref="AL246" si="1815">M246*AK246*$AL$2/1000</f>
        <v>0</v>
      </c>
      <c r="AM246" s="245"/>
      <c r="AN246" s="177">
        <f t="shared" si="1773"/>
        <v>0</v>
      </c>
      <c r="AO246" s="207"/>
      <c r="AP246" s="206">
        <f t="shared" ref="AP246" si="1816">M246*AO246*$AP$2/1000</f>
        <v>0</v>
      </c>
      <c r="AQ246" s="189">
        <f t="shared" si="1775"/>
        <v>0</v>
      </c>
      <c r="AR246" s="97">
        <f t="shared" si="1776"/>
        <v>0</v>
      </c>
      <c r="AS246" s="97"/>
      <c r="AT246" s="177">
        <f t="shared" si="1777"/>
        <v>0</v>
      </c>
      <c r="AU246" s="207"/>
      <c r="AV246" s="177">
        <f t="shared" si="1778"/>
        <v>0</v>
      </c>
      <c r="AW246" s="207"/>
      <c r="AX246" s="206">
        <f t="shared" si="1779"/>
        <v>0</v>
      </c>
      <c r="AY246" s="189">
        <f t="shared" si="1780"/>
        <v>0</v>
      </c>
      <c r="AZ246" s="97">
        <f t="shared" si="1781"/>
        <v>0</v>
      </c>
      <c r="BA246" s="97">
        <f t="shared" si="1782"/>
        <v>0</v>
      </c>
      <c r="BB246" s="97">
        <f t="shared" si="1783"/>
        <v>0</v>
      </c>
      <c r="BC246" s="1" t="s">
        <v>1780</v>
      </c>
    </row>
    <row r="247" spans="1:55">
      <c r="A247" s="498">
        <v>187</v>
      </c>
      <c r="B247" s="13"/>
      <c r="C247" s="13"/>
      <c r="D247" s="13"/>
      <c r="E247" s="21" t="s">
        <v>609</v>
      </c>
      <c r="F247" s="46" t="s">
        <v>608</v>
      </c>
      <c r="G247" s="22" t="s">
        <v>1105</v>
      </c>
      <c r="H247" s="268" t="s">
        <v>365</v>
      </c>
      <c r="I247" s="55">
        <v>4.08</v>
      </c>
      <c r="J247" s="102"/>
      <c r="K247" s="55">
        <v>4.08</v>
      </c>
      <c r="L247" s="163"/>
      <c r="M247" s="55">
        <v>4.08</v>
      </c>
      <c r="N247" s="163"/>
      <c r="O247" s="55">
        <v>4.08</v>
      </c>
      <c r="P247" s="102"/>
      <c r="Q247" s="206">
        <f t="shared" ref="Q247" si="1817">SUM(AI247+BA247)</f>
        <v>0</v>
      </c>
      <c r="R247" s="549">
        <f t="shared" ref="R247" si="1818">SUM(AJ247+BB247)</f>
        <v>0</v>
      </c>
      <c r="S247" s="97"/>
      <c r="T247" s="97">
        <f>I247*S247*$T$2/1000</f>
        <v>0</v>
      </c>
      <c r="U247" s="97"/>
      <c r="V247" s="177">
        <f t="shared" ref="V247" si="1819">I247*U247*$V$2/1000</f>
        <v>0</v>
      </c>
      <c r="W247" s="207"/>
      <c r="X247" s="206">
        <f t="shared" ref="X247" si="1820">I247*W247*$X$2/1000</f>
        <v>0</v>
      </c>
      <c r="Y247" s="189">
        <f t="shared" ref="Y247" si="1821">SUM(S247+U247+W247)</f>
        <v>0</v>
      </c>
      <c r="Z247" s="177">
        <f t="shared" ref="Z247" si="1822">SUM(T247+V247+X247)</f>
        <v>0</v>
      </c>
      <c r="AA247" s="207"/>
      <c r="AB247" s="206">
        <f t="shared" ref="AB247" si="1823">K247*AA247*$AB$2/1000</f>
        <v>0</v>
      </c>
      <c r="AC247" s="207"/>
      <c r="AD247" s="177">
        <f t="shared" ref="AD247" si="1824">K247*AC247*$AD$2/1000</f>
        <v>0</v>
      </c>
      <c r="AE247" s="207"/>
      <c r="AF247" s="205">
        <f t="shared" ref="AF247" si="1825">K247*AE247*$AF$2/1000</f>
        <v>0</v>
      </c>
      <c r="AG247" s="189">
        <f t="shared" ref="AG247" si="1826">SUM(AA247+AC247+AE247)</f>
        <v>0</v>
      </c>
      <c r="AH247" s="97">
        <f t="shared" ref="AH247" si="1827">SUM(AB247+AD247+AF247)</f>
        <v>0</v>
      </c>
      <c r="AI247" s="97">
        <f t="shared" ref="AI247" si="1828">SUM(Y247+AG247)</f>
        <v>0</v>
      </c>
      <c r="AJ247" s="177">
        <f t="shared" ref="AJ247" si="1829">SUM(Z247,AH247)</f>
        <v>0</v>
      </c>
      <c r="AK247" s="207"/>
      <c r="AL247" s="177">
        <f t="shared" ref="AL247" si="1830">M247*AK247*$AL$2/1000</f>
        <v>0</v>
      </c>
      <c r="AM247" s="245"/>
      <c r="AN247" s="177">
        <f t="shared" ref="AN247" si="1831">M247*AM247*$AN$2/1000</f>
        <v>0</v>
      </c>
      <c r="AO247" s="207"/>
      <c r="AP247" s="206">
        <f t="shared" ref="AP247" si="1832">M247*AO247*$AP$2/1000</f>
        <v>0</v>
      </c>
      <c r="AQ247" s="189">
        <f t="shared" ref="AQ247" si="1833">SUM(AK247+AM247+AO247)</f>
        <v>0</v>
      </c>
      <c r="AR247" s="97">
        <f t="shared" ref="AR247" si="1834">SUM(AL247+AN247+AP247)</f>
        <v>0</v>
      </c>
      <c r="AS247" s="97"/>
      <c r="AT247" s="177">
        <f t="shared" ref="AT247" si="1835">O247*AS247*$AT$2/1000</f>
        <v>0</v>
      </c>
      <c r="AU247" s="207"/>
      <c r="AV247" s="177">
        <f t="shared" ref="AV247" si="1836">O247*AU247*$AV$2/1000</f>
        <v>0</v>
      </c>
      <c r="AW247" s="207"/>
      <c r="AX247" s="206">
        <f t="shared" ref="AX247" si="1837">O247*AW247*$AX$2/1000</f>
        <v>0</v>
      </c>
      <c r="AY247" s="189">
        <f t="shared" ref="AY247" si="1838">SUM(AS247+AU247+AW247)</f>
        <v>0</v>
      </c>
      <c r="AZ247" s="97">
        <f t="shared" ref="AZ247" si="1839">SUM(AT247+AV247+AX247)</f>
        <v>0</v>
      </c>
      <c r="BA247" s="97">
        <f t="shared" ref="BA247" si="1840">SUM(AQ247+AY247)</f>
        <v>0</v>
      </c>
      <c r="BB247" s="97">
        <f t="shared" ref="BB247" si="1841">SUM(AR247,AZ247)</f>
        <v>0</v>
      </c>
      <c r="BC247" s="1" t="s">
        <v>1780</v>
      </c>
    </row>
    <row r="248" spans="1:55">
      <c r="A248" s="498">
        <v>187</v>
      </c>
      <c r="B248" s="24"/>
      <c r="C248" s="24"/>
      <c r="D248" s="24"/>
      <c r="E248" s="21" t="s">
        <v>700</v>
      </c>
      <c r="F248" s="46" t="s">
        <v>701</v>
      </c>
      <c r="G248" s="22" t="s">
        <v>1105</v>
      </c>
      <c r="H248" s="268" t="s">
        <v>365</v>
      </c>
      <c r="I248" s="55">
        <v>4.76</v>
      </c>
      <c r="J248" s="102"/>
      <c r="K248" s="55">
        <v>4.76</v>
      </c>
      <c r="L248" s="163"/>
      <c r="M248" s="55">
        <v>4.76</v>
      </c>
      <c r="N248" s="163"/>
      <c r="O248" s="55">
        <v>4.76</v>
      </c>
      <c r="P248" s="102"/>
      <c r="Q248" s="131">
        <f t="shared" si="1760"/>
        <v>0</v>
      </c>
      <c r="R248" s="342">
        <f t="shared" si="1761"/>
        <v>0</v>
      </c>
      <c r="S248" s="97"/>
      <c r="T248" s="97">
        <f t="shared" si="1762"/>
        <v>0</v>
      </c>
      <c r="U248" s="97"/>
      <c r="V248" s="177">
        <f t="shared" si="1763"/>
        <v>0</v>
      </c>
      <c r="W248" s="207"/>
      <c r="X248" s="206">
        <f t="shared" si="1764"/>
        <v>0</v>
      </c>
      <c r="Y248" s="189">
        <f>SUM(S248+U248+W248)</f>
        <v>0</v>
      </c>
      <c r="Z248" s="177">
        <f t="shared" si="1765"/>
        <v>0</v>
      </c>
      <c r="AA248" s="207"/>
      <c r="AB248" s="206">
        <f t="shared" si="1811"/>
        <v>0</v>
      </c>
      <c r="AC248" s="207"/>
      <c r="AD248" s="177">
        <f t="shared" si="1766"/>
        <v>0</v>
      </c>
      <c r="AE248" s="207"/>
      <c r="AF248" s="205">
        <f t="shared" ref="AF248" si="1842">K248*AE248*$AF$2/1000</f>
        <v>0</v>
      </c>
      <c r="AG248" s="189">
        <f t="shared" si="1768"/>
        <v>0</v>
      </c>
      <c r="AH248" s="97">
        <f t="shared" si="1769"/>
        <v>0</v>
      </c>
      <c r="AI248" s="97">
        <f t="shared" ref="AI248" si="1843">SUM(Y248+AG248)</f>
        <v>0</v>
      </c>
      <c r="AJ248" s="177">
        <f t="shared" si="1771"/>
        <v>0</v>
      </c>
      <c r="AK248" s="207"/>
      <c r="AL248" s="177">
        <f t="shared" ref="AL248" si="1844">M248*AK248*$AL$2/1000</f>
        <v>0</v>
      </c>
      <c r="AM248" s="245"/>
      <c r="AN248" s="177">
        <f t="shared" si="1773"/>
        <v>0</v>
      </c>
      <c r="AO248" s="207"/>
      <c r="AP248" s="206">
        <f t="shared" ref="AP248" si="1845">M248*AO248*$AP$2/1000</f>
        <v>0</v>
      </c>
      <c r="AQ248" s="189">
        <f t="shared" si="1775"/>
        <v>0</v>
      </c>
      <c r="AR248" s="97">
        <f t="shared" si="1776"/>
        <v>0</v>
      </c>
      <c r="AS248" s="97"/>
      <c r="AT248" s="177">
        <f t="shared" si="1777"/>
        <v>0</v>
      </c>
      <c r="AU248" s="207"/>
      <c r="AV248" s="177">
        <f t="shared" si="1778"/>
        <v>0</v>
      </c>
      <c r="AW248" s="207"/>
      <c r="AX248" s="206">
        <f t="shared" si="1779"/>
        <v>0</v>
      </c>
      <c r="AY248" s="189">
        <f t="shared" si="1780"/>
        <v>0</v>
      </c>
      <c r="AZ248" s="97">
        <f t="shared" si="1781"/>
        <v>0</v>
      </c>
      <c r="BA248" s="97">
        <f t="shared" si="1782"/>
        <v>0</v>
      </c>
      <c r="BB248" s="97">
        <f t="shared" si="1783"/>
        <v>0</v>
      </c>
      <c r="BC248" s="1" t="s">
        <v>1780</v>
      </c>
    </row>
    <row r="249" spans="1:55">
      <c r="A249" s="498">
        <v>186</v>
      </c>
      <c r="B249" s="53" t="s">
        <v>1505</v>
      </c>
      <c r="C249" s="53" t="s">
        <v>33</v>
      </c>
      <c r="D249" s="53" t="s">
        <v>15</v>
      </c>
      <c r="E249" s="90" t="s">
        <v>1711</v>
      </c>
      <c r="F249" s="91" t="s">
        <v>709</v>
      </c>
      <c r="G249" s="91" t="s">
        <v>1105</v>
      </c>
      <c r="H249" s="268" t="s">
        <v>365</v>
      </c>
      <c r="I249" s="55">
        <v>3.3</v>
      </c>
      <c r="J249" s="102"/>
      <c r="K249" s="55">
        <v>3.3</v>
      </c>
      <c r="L249" s="163"/>
      <c r="M249" s="55">
        <v>3.3</v>
      </c>
      <c r="N249" s="163"/>
      <c r="O249" s="55">
        <v>3.3</v>
      </c>
      <c r="P249" s="102"/>
      <c r="Q249" s="97">
        <f t="shared" ref="Q249:Q252" si="1846">SUM(AI249+BA249)</f>
        <v>585.11200000000008</v>
      </c>
      <c r="R249" s="342">
        <f t="shared" ref="R249:R252" si="1847">SUM(AJ249+BB249)</f>
        <v>2624.6274129239996</v>
      </c>
      <c r="S249" s="97">
        <v>43.295999999999999</v>
      </c>
      <c r="T249" s="97">
        <f t="shared" ref="T249" si="1848">I249*S249*$T$2/1000</f>
        <v>188.86741315200001</v>
      </c>
      <c r="U249" s="97">
        <v>50.688000000000002</v>
      </c>
      <c r="V249" s="177">
        <f t="shared" ref="V249:V252" si="1849">I249*U249*$V$2/1000</f>
        <v>222.53654016000002</v>
      </c>
      <c r="W249" s="207">
        <v>34.847999999999999</v>
      </c>
      <c r="X249" s="206">
        <f t="shared" ref="X249:X252" si="1850">I249*W249*$X$2/1000</f>
        <v>153.01687103999996</v>
      </c>
      <c r="Y249" s="189">
        <f>SUM(S249+U249+W249)</f>
        <v>128.83199999999999</v>
      </c>
      <c r="Z249" s="177">
        <f t="shared" ref="Z249:Z252" si="1851">SUM(T249+V249+X249)</f>
        <v>564.42082435199995</v>
      </c>
      <c r="AA249" s="207">
        <v>48.576000000000001</v>
      </c>
      <c r="AB249" s="206">
        <f t="shared" ref="AB249:AB252" si="1852">K249*AA249*$AB$2/1000</f>
        <v>218.66952729599996</v>
      </c>
      <c r="AC249" s="207">
        <v>65.471999999999994</v>
      </c>
      <c r="AD249" s="177">
        <f t="shared" ref="AD249:AD252" si="1853">K249*AC249*$AD$2/1000</f>
        <v>295.91897068799994</v>
      </c>
      <c r="AE249" s="207">
        <v>73.92</v>
      </c>
      <c r="AF249" s="205">
        <f>K249*AE249*$AF$2/1000</f>
        <v>336.3462748799999</v>
      </c>
      <c r="AG249" s="189">
        <f t="shared" ref="AG249:AG252" si="1854">SUM(AA249+AC249+AE249)</f>
        <v>187.96800000000002</v>
      </c>
      <c r="AH249" s="97">
        <f t="shared" ref="AH249:AH252" si="1855">SUM(AB249+AD249+AF249)</f>
        <v>850.9347728639998</v>
      </c>
      <c r="AI249" s="97">
        <f>SUM(Y249+AG249)</f>
        <v>316.8</v>
      </c>
      <c r="AJ249" s="177">
        <f t="shared" ref="AJ249:AJ252" si="1856">SUM(Z249,AH249)</f>
        <v>1415.3555972159998</v>
      </c>
      <c r="AK249" s="207">
        <v>67.584000000000003</v>
      </c>
      <c r="AL249" s="177">
        <f>M249*AK249*$AL$2/1000</f>
        <v>308.46445977600001</v>
      </c>
      <c r="AM249" s="245">
        <v>120.384</v>
      </c>
      <c r="AN249" s="177">
        <f t="shared" ref="AN249:AN252" si="1857">M249*AM249*$AN$2/1000</f>
        <v>540.7203859199999</v>
      </c>
      <c r="AO249" s="207">
        <v>46.463999999999999</v>
      </c>
      <c r="AP249" s="206">
        <f>M249*AO249*$AP$2/1000</f>
        <v>204.29695756800001</v>
      </c>
      <c r="AQ249" s="189">
        <f t="shared" ref="AQ249:AQ252" si="1858">SUM(AK249+AM249+AO249)</f>
        <v>234.43200000000002</v>
      </c>
      <c r="AR249" s="97">
        <f t="shared" ref="AR249:AR252" si="1859">SUM(AL249+AN249+AP249)</f>
        <v>1053.4818032639998</v>
      </c>
      <c r="AS249" s="97">
        <v>6.0279999999999996</v>
      </c>
      <c r="AT249" s="177">
        <f t="shared" ref="AT249:AT252" si="1860">O249*AS249*$AT$2/1000</f>
        <v>27.011889960000001</v>
      </c>
      <c r="AU249" s="207">
        <v>18.347999999999999</v>
      </c>
      <c r="AV249" s="177">
        <f t="shared" ref="AV249:AV252" si="1861">O249*AU249*$AV$2/1000</f>
        <v>84.263391827999996</v>
      </c>
      <c r="AW249" s="207">
        <v>9.5039999999999996</v>
      </c>
      <c r="AX249" s="206">
        <f t="shared" ref="AX249:AX252" si="1862">O249*AW249*$AX$2/1000</f>
        <v>44.51473065599999</v>
      </c>
      <c r="AY249" s="189">
        <f t="shared" ref="AY249:AY252" si="1863">SUM(AS249+AU249+AW249)</f>
        <v>33.879999999999995</v>
      </c>
      <c r="AZ249" s="97">
        <f t="shared" ref="AZ249:AZ252" si="1864">SUM(AT249+AV249+AX249)</f>
        <v>155.79001244399998</v>
      </c>
      <c r="BA249" s="97">
        <f t="shared" ref="BA249:BA252" si="1865">SUM(AQ249+AY249)</f>
        <v>268.31200000000001</v>
      </c>
      <c r="BB249" s="97">
        <f t="shared" ref="BB249:BB252" si="1866">SUM(AR249,AZ249)</f>
        <v>1209.2718157079998</v>
      </c>
      <c r="BC249" s="1" t="s">
        <v>1780</v>
      </c>
    </row>
    <row r="250" spans="1:55">
      <c r="A250" s="498">
        <v>187</v>
      </c>
      <c r="B250" s="13"/>
      <c r="C250" s="13"/>
      <c r="D250" s="13"/>
      <c r="E250" s="21" t="s">
        <v>1712</v>
      </c>
      <c r="F250" s="46" t="s">
        <v>710</v>
      </c>
      <c r="G250" s="22" t="s">
        <v>1105</v>
      </c>
      <c r="H250" s="268" t="s">
        <v>365</v>
      </c>
      <c r="I250" s="55">
        <v>3.9</v>
      </c>
      <c r="J250" s="102"/>
      <c r="K250" s="55">
        <v>3.9</v>
      </c>
      <c r="L250" s="163"/>
      <c r="M250" s="55">
        <v>3.9</v>
      </c>
      <c r="N250" s="163"/>
      <c r="O250" s="55">
        <v>3.9</v>
      </c>
      <c r="P250" s="102"/>
      <c r="Q250" s="97">
        <f t="shared" si="1846"/>
        <v>110.88000000000001</v>
      </c>
      <c r="R250" s="342">
        <f t="shared" si="1847"/>
        <v>588.97726602</v>
      </c>
      <c r="S250" s="97">
        <v>5.28</v>
      </c>
      <c r="T250" s="97">
        <f>I250*S250*$T$2/1000</f>
        <v>27.220358879999999</v>
      </c>
      <c r="U250" s="97">
        <v>5.28</v>
      </c>
      <c r="V250" s="177">
        <f t="shared" si="1849"/>
        <v>27.3955968</v>
      </c>
      <c r="W250" s="207">
        <v>4.2240000000000002</v>
      </c>
      <c r="X250" s="206">
        <f t="shared" si="1850"/>
        <v>21.919772160000001</v>
      </c>
      <c r="Y250" s="189">
        <f t="shared" ref="Y250:Y252" si="1867">SUM(S250+U250+W250)</f>
        <v>14.784000000000001</v>
      </c>
      <c r="Z250" s="177">
        <f t="shared" si="1851"/>
        <v>76.535727839999993</v>
      </c>
      <c r="AA250" s="207"/>
      <c r="AB250" s="206">
        <f t="shared" si="1852"/>
        <v>0</v>
      </c>
      <c r="AC250" s="207">
        <v>5.28</v>
      </c>
      <c r="AD250" s="177">
        <f t="shared" si="1853"/>
        <v>28.203420959999999</v>
      </c>
      <c r="AE250" s="207">
        <v>20.064</v>
      </c>
      <c r="AF250" s="205">
        <f t="shared" ref="AF250:AF252" si="1868">K250*AE250*$AF$2/1000</f>
        <v>107.89289596799999</v>
      </c>
      <c r="AG250" s="189">
        <f t="shared" si="1854"/>
        <v>25.344000000000001</v>
      </c>
      <c r="AH250" s="97">
        <f t="shared" si="1855"/>
        <v>136.09631692799999</v>
      </c>
      <c r="AI250" s="97">
        <f t="shared" ref="AI250:AI252" si="1869">SUM(Y250+AG250)</f>
        <v>40.128</v>
      </c>
      <c r="AJ250" s="177">
        <f t="shared" si="1856"/>
        <v>212.63204476799999</v>
      </c>
      <c r="AK250" s="207">
        <v>21.12</v>
      </c>
      <c r="AL250" s="177">
        <f t="shared" ref="AL250:AL252" si="1870">M250*AK250*$AL$2/1000</f>
        <v>113.92153343999999</v>
      </c>
      <c r="AM250" s="245">
        <v>33.792000000000002</v>
      </c>
      <c r="AN250" s="177">
        <f t="shared" si="1857"/>
        <v>179.37773568</v>
      </c>
      <c r="AO250" s="207">
        <v>12.672000000000001</v>
      </c>
      <c r="AP250" s="206">
        <f t="shared" ref="AP250:AP252" si="1871">M250*AO250*$AP$2/1000</f>
        <v>65.847779712000005</v>
      </c>
      <c r="AQ250" s="189">
        <f t="shared" si="1858"/>
        <v>67.584000000000003</v>
      </c>
      <c r="AR250" s="97">
        <f t="shared" si="1859"/>
        <v>359.147048832</v>
      </c>
      <c r="AS250" s="97">
        <v>0.83599999999999997</v>
      </c>
      <c r="AT250" s="177">
        <f t="shared" si="1860"/>
        <v>4.4272971600000002</v>
      </c>
      <c r="AU250" s="207">
        <v>1.276</v>
      </c>
      <c r="AV250" s="177">
        <f t="shared" si="1861"/>
        <v>6.9255065880000002</v>
      </c>
      <c r="AW250" s="207">
        <v>1.056</v>
      </c>
      <c r="AX250" s="206">
        <f t="shared" si="1862"/>
        <v>5.8453686720000002</v>
      </c>
      <c r="AY250" s="189">
        <f t="shared" si="1863"/>
        <v>3.1680000000000001</v>
      </c>
      <c r="AZ250" s="97">
        <f t="shared" si="1864"/>
        <v>17.198172419999999</v>
      </c>
      <c r="BA250" s="97">
        <f t="shared" si="1865"/>
        <v>70.75200000000001</v>
      </c>
      <c r="BB250" s="97">
        <f t="shared" si="1866"/>
        <v>376.34522125199999</v>
      </c>
      <c r="BC250" s="1" t="s">
        <v>1780</v>
      </c>
    </row>
    <row r="251" spans="1:55">
      <c r="A251" s="498">
        <v>187</v>
      </c>
      <c r="B251" s="13"/>
      <c r="C251" s="13"/>
      <c r="D251" s="13"/>
      <c r="E251" s="21" t="s">
        <v>1793</v>
      </c>
      <c r="F251" s="46" t="s">
        <v>608</v>
      </c>
      <c r="G251" s="22" t="s">
        <v>1105</v>
      </c>
      <c r="H251" s="268" t="s">
        <v>365</v>
      </c>
      <c r="I251" s="55">
        <v>4.08</v>
      </c>
      <c r="J251" s="102"/>
      <c r="K251" s="55">
        <v>4.08</v>
      </c>
      <c r="L251" s="163"/>
      <c r="M251" s="55">
        <v>4.0599999999999996</v>
      </c>
      <c r="N251" s="163"/>
      <c r="O251" s="55">
        <v>4.0599999999999996</v>
      </c>
      <c r="P251" s="102"/>
      <c r="Q251" s="97">
        <f t="shared" si="1846"/>
        <v>223.96599999999998</v>
      </c>
      <c r="R251" s="342">
        <f t="shared" si="1847"/>
        <v>1244.8222870656</v>
      </c>
      <c r="S251" s="97">
        <v>13.778</v>
      </c>
      <c r="T251" s="97">
        <f>I251*S251*$T$2/1000</f>
        <v>74.309041713600024</v>
      </c>
      <c r="U251" s="97">
        <v>10.56</v>
      </c>
      <c r="V251" s="177">
        <f t="shared" si="1849"/>
        <v>57.320017920000005</v>
      </c>
      <c r="W251" s="207">
        <v>7.3920000000000003</v>
      </c>
      <c r="X251" s="206">
        <f t="shared" si="1850"/>
        <v>40.130044416000004</v>
      </c>
      <c r="Y251" s="189">
        <f t="shared" si="1867"/>
        <v>31.73</v>
      </c>
      <c r="Z251" s="177">
        <f t="shared" si="1851"/>
        <v>171.75910404960004</v>
      </c>
      <c r="AA251" s="207">
        <v>14.784000000000001</v>
      </c>
      <c r="AB251" s="206">
        <f t="shared" si="1852"/>
        <v>82.281972326400009</v>
      </c>
      <c r="AC251" s="207">
        <v>12.672000000000001</v>
      </c>
      <c r="AD251" s="177">
        <f t="shared" si="1853"/>
        <v>70.812281548800001</v>
      </c>
      <c r="AE251" s="207">
        <v>14.784000000000001</v>
      </c>
      <c r="AF251" s="205">
        <f t="shared" si="1868"/>
        <v>83.169260697600009</v>
      </c>
      <c r="AG251" s="189">
        <f t="shared" si="1854"/>
        <v>42.24</v>
      </c>
      <c r="AH251" s="97">
        <f t="shared" si="1855"/>
        <v>236.26351457280003</v>
      </c>
      <c r="AI251" s="97">
        <f t="shared" si="1869"/>
        <v>73.97</v>
      </c>
      <c r="AJ251" s="177">
        <f t="shared" si="1856"/>
        <v>408.02261862240005</v>
      </c>
      <c r="AK251" s="207">
        <v>22.175999999999998</v>
      </c>
      <c r="AL251" s="177">
        <f t="shared" si="1870"/>
        <v>124.52499924479997</v>
      </c>
      <c r="AM251" s="245">
        <v>60.192</v>
      </c>
      <c r="AN251" s="177">
        <f t="shared" si="1857"/>
        <v>332.62496467199998</v>
      </c>
      <c r="AO251" s="207">
        <v>19.007999999999999</v>
      </c>
      <c r="AP251" s="206">
        <f t="shared" si="1871"/>
        <v>102.8238406272</v>
      </c>
      <c r="AQ251" s="189">
        <f t="shared" si="1858"/>
        <v>101.37599999999999</v>
      </c>
      <c r="AR251" s="97">
        <f t="shared" si="1859"/>
        <v>559.9738045439999</v>
      </c>
      <c r="AS251" s="97">
        <v>6.2039999999999997</v>
      </c>
      <c r="AT251" s="177">
        <f t="shared" si="1860"/>
        <v>34.203111096000001</v>
      </c>
      <c r="AU251" s="207">
        <v>16.015999999999998</v>
      </c>
      <c r="AV251" s="177">
        <f t="shared" si="1861"/>
        <v>90.493286083200005</v>
      </c>
      <c r="AW251" s="207">
        <v>26.4</v>
      </c>
      <c r="AX251" s="206">
        <f t="shared" si="1862"/>
        <v>152.12946671999995</v>
      </c>
      <c r="AY251" s="189">
        <f t="shared" si="1863"/>
        <v>48.62</v>
      </c>
      <c r="AZ251" s="97">
        <f t="shared" si="1864"/>
        <v>276.82586389919993</v>
      </c>
      <c r="BA251" s="97">
        <f t="shared" si="1865"/>
        <v>149.99599999999998</v>
      </c>
      <c r="BB251" s="97">
        <f t="shared" si="1866"/>
        <v>836.79966844319983</v>
      </c>
      <c r="BC251" s="1" t="s">
        <v>1780</v>
      </c>
    </row>
    <row r="252" spans="1:55">
      <c r="A252" s="498">
        <v>187</v>
      </c>
      <c r="B252" s="24"/>
      <c r="C252" s="24"/>
      <c r="D252" s="24"/>
      <c r="E252" s="21" t="s">
        <v>1794</v>
      </c>
      <c r="F252" s="46" t="s">
        <v>701</v>
      </c>
      <c r="G252" s="22" t="s">
        <v>1105</v>
      </c>
      <c r="H252" s="268" t="s">
        <v>365</v>
      </c>
      <c r="I252" s="55">
        <v>4.76</v>
      </c>
      <c r="J252" s="102"/>
      <c r="K252" s="55">
        <v>4.76</v>
      </c>
      <c r="L252" s="163"/>
      <c r="M252" s="55">
        <v>4.7699999999999996</v>
      </c>
      <c r="N252" s="163"/>
      <c r="O252" s="55">
        <v>4.7699999999999996</v>
      </c>
      <c r="P252" s="102"/>
      <c r="Q252" s="97">
        <f t="shared" si="1846"/>
        <v>36.304000000000002</v>
      </c>
      <c r="R252" s="342">
        <f t="shared" si="1847"/>
        <v>236.14177408799998</v>
      </c>
      <c r="S252" s="97">
        <v>1.056</v>
      </c>
      <c r="T252" s="97">
        <f>I252*S252*$T$2/1000</f>
        <v>6.6445593984000002</v>
      </c>
      <c r="U252" s="97">
        <v>1.056</v>
      </c>
      <c r="V252" s="177">
        <f t="shared" si="1849"/>
        <v>6.6873354240000005</v>
      </c>
      <c r="W252" s="207">
        <v>1.056</v>
      </c>
      <c r="X252" s="206">
        <f t="shared" si="1850"/>
        <v>6.6883407359999989</v>
      </c>
      <c r="Y252" s="189">
        <f t="shared" si="1867"/>
        <v>3.1680000000000001</v>
      </c>
      <c r="Z252" s="177">
        <f t="shared" si="1851"/>
        <v>20.0202355584</v>
      </c>
      <c r="AA252" s="207"/>
      <c r="AB252" s="206">
        <f t="shared" si="1852"/>
        <v>0</v>
      </c>
      <c r="AC252" s="207">
        <v>4.2240000000000002</v>
      </c>
      <c r="AD252" s="177">
        <f t="shared" si="1853"/>
        <v>27.5381094912</v>
      </c>
      <c r="AE252" s="207">
        <v>7.3920000000000003</v>
      </c>
      <c r="AF252" s="205">
        <f t="shared" si="1868"/>
        <v>48.515402073600001</v>
      </c>
      <c r="AG252" s="189">
        <f t="shared" si="1854"/>
        <v>11.616</v>
      </c>
      <c r="AH252" s="97">
        <f t="shared" si="1855"/>
        <v>76.053511564800004</v>
      </c>
      <c r="AI252" s="97">
        <f t="shared" si="1869"/>
        <v>14.783999999999999</v>
      </c>
      <c r="AJ252" s="177">
        <f t="shared" si="1856"/>
        <v>96.073747123200008</v>
      </c>
      <c r="AK252" s="207">
        <v>10.56</v>
      </c>
      <c r="AL252" s="177">
        <f t="shared" si="1870"/>
        <v>69.667399295999985</v>
      </c>
      <c r="AM252" s="245">
        <v>4.2240000000000002</v>
      </c>
      <c r="AN252" s="177">
        <f t="shared" si="1857"/>
        <v>27.424096127999999</v>
      </c>
      <c r="AO252" s="207">
        <v>6.3360000000000003</v>
      </c>
      <c r="AP252" s="206">
        <f t="shared" si="1871"/>
        <v>40.2684499008</v>
      </c>
      <c r="AQ252" s="189">
        <f t="shared" si="1858"/>
        <v>21.12</v>
      </c>
      <c r="AR252" s="97">
        <f t="shared" si="1859"/>
        <v>137.35994532479998</v>
      </c>
      <c r="AS252" s="97"/>
      <c r="AT252" s="177">
        <f t="shared" si="1860"/>
        <v>0</v>
      </c>
      <c r="AU252" s="207"/>
      <c r="AV252" s="177">
        <f t="shared" si="1861"/>
        <v>0</v>
      </c>
      <c r="AW252" s="207">
        <v>0.4</v>
      </c>
      <c r="AX252" s="206">
        <f t="shared" si="1862"/>
        <v>2.7080816400000001</v>
      </c>
      <c r="AY252" s="189">
        <f t="shared" si="1863"/>
        <v>0.4</v>
      </c>
      <c r="AZ252" s="97">
        <f t="shared" si="1864"/>
        <v>2.7080816400000001</v>
      </c>
      <c r="BA252" s="97">
        <f t="shared" si="1865"/>
        <v>21.52</v>
      </c>
      <c r="BB252" s="97">
        <f t="shared" si="1866"/>
        <v>140.06802696479997</v>
      </c>
      <c r="BC252" s="1" t="s">
        <v>1780</v>
      </c>
    </row>
    <row r="253" spans="1:55">
      <c r="A253" s="498">
        <v>188</v>
      </c>
      <c r="B253" s="13" t="s">
        <v>681</v>
      </c>
      <c r="C253" s="13" t="s">
        <v>33</v>
      </c>
      <c r="D253" s="13" t="s">
        <v>15</v>
      </c>
      <c r="E253" s="90" t="s">
        <v>682</v>
      </c>
      <c r="F253" s="91" t="s">
        <v>43</v>
      </c>
      <c r="G253" s="91" t="s">
        <v>1105</v>
      </c>
      <c r="H253" s="268" t="s">
        <v>365</v>
      </c>
      <c r="I253" s="55">
        <v>3.54</v>
      </c>
      <c r="J253" s="102"/>
      <c r="K253" s="55">
        <v>3.54</v>
      </c>
      <c r="L253" s="163"/>
      <c r="M253" s="55">
        <v>3.54</v>
      </c>
      <c r="N253" s="163"/>
      <c r="O253" s="55">
        <v>3.54</v>
      </c>
      <c r="P253" s="102"/>
      <c r="Q253" s="97">
        <f t="shared" ref="Q253:Q258" si="1872">SUM(AI253+BA253)</f>
        <v>0</v>
      </c>
      <c r="R253" s="342">
        <f t="shared" ref="R253:R258" si="1873">SUM(AJ253+BB253)</f>
        <v>0</v>
      </c>
      <c r="S253" s="97"/>
      <c r="T253" s="97">
        <f t="shared" si="1731"/>
        <v>0</v>
      </c>
      <c r="U253" s="97"/>
      <c r="V253" s="177">
        <f t="shared" si="1732"/>
        <v>0</v>
      </c>
      <c r="W253" s="207"/>
      <c r="X253" s="206">
        <f t="shared" si="1733"/>
        <v>0</v>
      </c>
      <c r="Y253" s="189">
        <f>SUM(S253+U253+W253)</f>
        <v>0</v>
      </c>
      <c r="Z253" s="177">
        <f t="shared" ref="Z253:Z258" si="1874">SUM(T253+V253+X253)</f>
        <v>0</v>
      </c>
      <c r="AA253" s="207"/>
      <c r="AB253" s="206">
        <f t="shared" si="1735"/>
        <v>0</v>
      </c>
      <c r="AC253" s="207"/>
      <c r="AD253" s="177">
        <f t="shared" si="1736"/>
        <v>0</v>
      </c>
      <c r="AE253" s="207"/>
      <c r="AF253" s="205">
        <f>K253*AE253*$AF$2/1000</f>
        <v>0</v>
      </c>
      <c r="AG253" s="189">
        <f t="shared" ref="AG253:AG258" si="1875">SUM(AA253+AC253+AE253)</f>
        <v>0</v>
      </c>
      <c r="AH253" s="97">
        <f t="shared" ref="AH253:AH258" si="1876">SUM(AB253+AD253+AF253)</f>
        <v>0</v>
      </c>
      <c r="AI253" s="97">
        <f>SUM(Y253+AG253)</f>
        <v>0</v>
      </c>
      <c r="AJ253" s="177">
        <f t="shared" ref="AJ253:AJ258" si="1877">SUM(Z253,AH253)</f>
        <v>0</v>
      </c>
      <c r="AK253" s="207"/>
      <c r="AL253" s="177">
        <f>M253*AK253*$AL$2/1000</f>
        <v>0</v>
      </c>
      <c r="AM253" s="245"/>
      <c r="AN253" s="177">
        <f t="shared" ref="AN253:AN258" si="1878">M253*AM253*$AN$2/1000</f>
        <v>0</v>
      </c>
      <c r="AO253" s="207"/>
      <c r="AP253" s="206">
        <f>M253*AO253*$AP$2/1000</f>
        <v>0</v>
      </c>
      <c r="AQ253" s="189">
        <f t="shared" ref="AQ253:AQ258" si="1879">SUM(AK253+AM253+AO253)</f>
        <v>0</v>
      </c>
      <c r="AR253" s="97">
        <f t="shared" ref="AR253:AR258" si="1880">SUM(AL253+AN253+AP253)</f>
        <v>0</v>
      </c>
      <c r="AS253" s="97"/>
      <c r="AT253" s="177">
        <f t="shared" ref="AT253:AT258" si="1881">O253*AS253*$AT$2/1000</f>
        <v>0</v>
      </c>
      <c r="AU253" s="207"/>
      <c r="AV253" s="177">
        <f t="shared" ref="AV253:AV258" si="1882">O253*AU253*$AV$2/1000</f>
        <v>0</v>
      </c>
      <c r="AW253" s="207"/>
      <c r="AX253" s="206">
        <f t="shared" ref="AX253:AX258" si="1883">O253*AW253*$AX$2/1000</f>
        <v>0</v>
      </c>
      <c r="AY253" s="189">
        <f t="shared" ref="AY253:AY258" si="1884">SUM(AS253+AU253+AW253)</f>
        <v>0</v>
      </c>
      <c r="AZ253" s="97">
        <f t="shared" ref="AZ253:AZ258" si="1885">SUM(AT253+AV253+AX253)</f>
        <v>0</v>
      </c>
      <c r="BA253" s="97">
        <f t="shared" ref="BA253:BA258" si="1886">SUM(AQ253+AY253)</f>
        <v>0</v>
      </c>
      <c r="BB253" s="97">
        <f t="shared" ref="BB253:BB258" si="1887">SUM(AR253,AZ253)</f>
        <v>0</v>
      </c>
      <c r="BC253" s="1" t="s">
        <v>1780</v>
      </c>
    </row>
    <row r="254" spans="1:55">
      <c r="A254" s="498">
        <v>189</v>
      </c>
      <c r="B254" s="13"/>
      <c r="C254" s="13"/>
      <c r="D254" s="13"/>
      <c r="E254" s="21" t="s">
        <v>152</v>
      </c>
      <c r="F254" s="46" t="s">
        <v>683</v>
      </c>
      <c r="G254" s="46" t="s">
        <v>1105</v>
      </c>
      <c r="H254" s="268" t="s">
        <v>365</v>
      </c>
      <c r="I254" s="55">
        <v>5.43</v>
      </c>
      <c r="J254" s="102"/>
      <c r="K254" s="55">
        <v>5.43</v>
      </c>
      <c r="L254" s="163"/>
      <c r="M254" s="55">
        <v>5.43</v>
      </c>
      <c r="N254" s="163"/>
      <c r="O254" s="55">
        <v>5.43</v>
      </c>
      <c r="P254" s="102"/>
      <c r="Q254" s="97">
        <f t="shared" ref="Q254" si="1888">SUM(AI254+BA254)</f>
        <v>0</v>
      </c>
      <c r="R254" s="342">
        <f t="shared" ref="R254" si="1889">SUM(AJ254+BB254)</f>
        <v>0</v>
      </c>
      <c r="S254" s="97"/>
      <c r="T254" s="97">
        <f t="shared" ref="T254" si="1890">I254*S254*$T$2/1000</f>
        <v>0</v>
      </c>
      <c r="U254" s="97"/>
      <c r="V254" s="177">
        <f t="shared" ref="V254" si="1891">I254*U254*$V$2/1000</f>
        <v>0</v>
      </c>
      <c r="W254" s="207"/>
      <c r="X254" s="206">
        <f t="shared" ref="X254" si="1892">I254*W254*$X$2/1000</f>
        <v>0</v>
      </c>
      <c r="Y254" s="189">
        <f t="shared" ref="Y254" si="1893">SUM(S254+U254+W254)</f>
        <v>0</v>
      </c>
      <c r="Z254" s="177">
        <f t="shared" ref="Z254" si="1894">SUM(T254+V254+X254)</f>
        <v>0</v>
      </c>
      <c r="AA254" s="207"/>
      <c r="AB254" s="206">
        <f t="shared" ref="AB254" si="1895">K254*AA254*$AB$2/1000</f>
        <v>0</v>
      </c>
      <c r="AC254" s="207"/>
      <c r="AD254" s="177">
        <f t="shared" ref="AD254" si="1896">K254*AC254*$AD$2/1000</f>
        <v>0</v>
      </c>
      <c r="AE254" s="207"/>
      <c r="AF254" s="205">
        <f t="shared" ref="AF254" si="1897">K254*AE254*$AF$2/1000</f>
        <v>0</v>
      </c>
      <c r="AG254" s="189">
        <f t="shared" ref="AG254" si="1898">SUM(AA254+AC254+AE254)</f>
        <v>0</v>
      </c>
      <c r="AH254" s="97">
        <f t="shared" ref="AH254" si="1899">SUM(AB254+AD254+AF254)</f>
        <v>0</v>
      </c>
      <c r="AI254" s="97">
        <f t="shared" ref="AI254" si="1900">SUM(Y254+AG254)</f>
        <v>0</v>
      </c>
      <c r="AJ254" s="177">
        <f t="shared" ref="AJ254" si="1901">SUM(Z254,AH254)</f>
        <v>0</v>
      </c>
      <c r="AK254" s="207"/>
      <c r="AL254" s="177">
        <f t="shared" ref="AL254" si="1902">M254*AK254*$AL$2/1000</f>
        <v>0</v>
      </c>
      <c r="AM254" s="245"/>
      <c r="AN254" s="177">
        <f t="shared" ref="AN254" si="1903">M254*AM254*$AN$2/1000</f>
        <v>0</v>
      </c>
      <c r="AO254" s="207"/>
      <c r="AP254" s="206">
        <f t="shared" ref="AP254" si="1904">M254*AO254*$AP$2/1000</f>
        <v>0</v>
      </c>
      <c r="AQ254" s="189">
        <f t="shared" ref="AQ254" si="1905">SUM(AK254+AM254+AO254)</f>
        <v>0</v>
      </c>
      <c r="AR254" s="97">
        <f t="shared" ref="AR254" si="1906">SUM(AL254+AN254+AP254)</f>
        <v>0</v>
      </c>
      <c r="AS254" s="97"/>
      <c r="AT254" s="177">
        <f t="shared" ref="AT254" si="1907">O254*AS254*$AT$2/1000</f>
        <v>0</v>
      </c>
      <c r="AU254" s="207"/>
      <c r="AV254" s="177">
        <f t="shared" ref="AV254" si="1908">O254*AU254*$AV$2/1000</f>
        <v>0</v>
      </c>
      <c r="AW254" s="207"/>
      <c r="AX254" s="206">
        <f t="shared" ref="AX254" si="1909">O254*AW254*$AX$2/1000</f>
        <v>0</v>
      </c>
      <c r="AY254" s="189">
        <f t="shared" ref="AY254" si="1910">SUM(AS254+AU254+AW254)</f>
        <v>0</v>
      </c>
      <c r="AZ254" s="97">
        <f t="shared" ref="AZ254" si="1911">SUM(AT254+AV254+AX254)</f>
        <v>0</v>
      </c>
      <c r="BA254" s="97">
        <f t="shared" ref="BA254" si="1912">SUM(AQ254+AY254)</f>
        <v>0</v>
      </c>
      <c r="BB254" s="97">
        <f t="shared" ref="BB254" si="1913">SUM(AR254,AZ254)</f>
        <v>0</v>
      </c>
      <c r="BC254" s="1" t="s">
        <v>1780</v>
      </c>
    </row>
    <row r="255" spans="1:55">
      <c r="A255" s="498">
        <v>191</v>
      </c>
      <c r="B255" s="13"/>
      <c r="C255" s="13"/>
      <c r="D255" s="13"/>
      <c r="E255" s="21" t="s">
        <v>1713</v>
      </c>
      <c r="F255" s="46" t="s">
        <v>616</v>
      </c>
      <c r="G255" s="46" t="s">
        <v>1105</v>
      </c>
      <c r="H255" s="268" t="s">
        <v>365</v>
      </c>
      <c r="I255" s="55">
        <v>3.27</v>
      </c>
      <c r="J255" s="102"/>
      <c r="K255" s="55">
        <v>3.27</v>
      </c>
      <c r="L255" s="163"/>
      <c r="M255" s="55">
        <v>3.27</v>
      </c>
      <c r="N255" s="163"/>
      <c r="O255" s="55">
        <v>3.27</v>
      </c>
      <c r="P255" s="102"/>
      <c r="Q255" s="97">
        <f t="shared" si="1872"/>
        <v>425.56799999999998</v>
      </c>
      <c r="R255" s="342">
        <f t="shared" si="1873"/>
        <v>1884.6427631328002</v>
      </c>
      <c r="S255" s="97">
        <v>70.751999999999995</v>
      </c>
      <c r="T255" s="97">
        <f t="shared" si="1731"/>
        <v>305.83120138560002</v>
      </c>
      <c r="U255" s="97">
        <v>26.4</v>
      </c>
      <c r="V255" s="177">
        <f t="shared" si="1732"/>
        <v>114.85077119999998</v>
      </c>
      <c r="W255" s="207">
        <v>26.4</v>
      </c>
      <c r="X255" s="206">
        <f t="shared" si="1733"/>
        <v>114.86803679999997</v>
      </c>
      <c r="Y255" s="189">
        <f>SUM(S255+U255+W255)</f>
        <v>123.55199999999999</v>
      </c>
      <c r="Z255" s="177">
        <f t="shared" si="1874"/>
        <v>535.55000938559999</v>
      </c>
      <c r="AA255" s="207"/>
      <c r="AB255" s="206">
        <f t="shared" si="1735"/>
        <v>0</v>
      </c>
      <c r="AC255" s="207"/>
      <c r="AD255" s="177">
        <f t="shared" si="1736"/>
        <v>0</v>
      </c>
      <c r="AE255" s="207">
        <v>21.12</v>
      </c>
      <c r="AF255" s="205">
        <f t="shared" ref="AF255:AF258" si="1914">K255*AE255*$AF$2/1000</f>
        <v>95.225308991999995</v>
      </c>
      <c r="AG255" s="189">
        <f t="shared" si="1875"/>
        <v>21.12</v>
      </c>
      <c r="AH255" s="97">
        <f t="shared" si="1876"/>
        <v>95.225308991999995</v>
      </c>
      <c r="AI255" s="97">
        <f t="shared" ref="AI255:AI258" si="1915">SUM(Y255+AG255)</f>
        <v>144.672</v>
      </c>
      <c r="AJ255" s="177">
        <f t="shared" si="1877"/>
        <v>630.7753183776</v>
      </c>
      <c r="AK255" s="207">
        <v>39.072000000000003</v>
      </c>
      <c r="AL255" s="177">
        <f t="shared" ref="AL255:AL258" si="1916">M255*AK255*$AL$2/1000</f>
        <v>176.7098247552</v>
      </c>
      <c r="AM255" s="245">
        <v>53.856000000000002</v>
      </c>
      <c r="AN255" s="177">
        <f t="shared" si="1878"/>
        <v>239.70212323200002</v>
      </c>
      <c r="AO255" s="207">
        <v>84.48</v>
      </c>
      <c r="AP255" s="206">
        <f t="shared" ref="AP255:AP258" si="1917">M255*AO255*$AP$2/1000</f>
        <v>368.07220454400004</v>
      </c>
      <c r="AQ255" s="189">
        <f t="shared" si="1879"/>
        <v>177.40800000000002</v>
      </c>
      <c r="AR255" s="97">
        <f t="shared" si="1880"/>
        <v>784.48415253120015</v>
      </c>
      <c r="AS255" s="97">
        <v>40.128</v>
      </c>
      <c r="AT255" s="177">
        <f t="shared" si="1881"/>
        <v>178.18168262400002</v>
      </c>
      <c r="AU255" s="207">
        <v>31.68</v>
      </c>
      <c r="AV255" s="177">
        <f t="shared" si="1882"/>
        <v>144.16810531199999</v>
      </c>
      <c r="AW255" s="207">
        <v>31.68</v>
      </c>
      <c r="AX255" s="206">
        <f t="shared" si="1883"/>
        <v>147.03350428799999</v>
      </c>
      <c r="AY255" s="189">
        <f t="shared" si="1884"/>
        <v>103.488</v>
      </c>
      <c r="AZ255" s="97">
        <f t="shared" si="1885"/>
        <v>469.383292224</v>
      </c>
      <c r="BA255" s="97">
        <f t="shared" si="1886"/>
        <v>280.89600000000002</v>
      </c>
      <c r="BB255" s="97">
        <f t="shared" si="1887"/>
        <v>1253.8674447552003</v>
      </c>
      <c r="BC255" s="1" t="s">
        <v>1780</v>
      </c>
    </row>
    <row r="256" spans="1:55">
      <c r="A256" s="498">
        <v>192</v>
      </c>
      <c r="B256" s="13"/>
      <c r="C256" s="13"/>
      <c r="D256" s="13"/>
      <c r="E256" s="21" t="s">
        <v>1714</v>
      </c>
      <c r="F256" s="515" t="s">
        <v>710</v>
      </c>
      <c r="G256" s="514" t="s">
        <v>1105</v>
      </c>
      <c r="H256" s="268" t="s">
        <v>365</v>
      </c>
      <c r="I256" s="464">
        <v>3.91</v>
      </c>
      <c r="J256" s="163"/>
      <c r="K256" s="464">
        <v>3.91</v>
      </c>
      <c r="L256" s="163"/>
      <c r="M256" s="464">
        <v>3.91</v>
      </c>
      <c r="N256" s="163"/>
      <c r="O256" s="464">
        <v>3.91</v>
      </c>
      <c r="P256" s="102"/>
      <c r="Q256" s="97">
        <f t="shared" si="1872"/>
        <v>0</v>
      </c>
      <c r="R256" s="342">
        <f t="shared" si="1873"/>
        <v>0</v>
      </c>
      <c r="S256" s="97"/>
      <c r="T256" s="97">
        <f t="shared" si="1731"/>
        <v>0</v>
      </c>
      <c r="U256" s="97"/>
      <c r="V256" s="177">
        <f t="shared" si="1732"/>
        <v>0</v>
      </c>
      <c r="W256" s="207"/>
      <c r="X256" s="206">
        <f t="shared" si="1733"/>
        <v>0</v>
      </c>
      <c r="Y256" s="189">
        <f t="shared" ref="Y256" si="1918">SUM(S256+U256+W256)</f>
        <v>0</v>
      </c>
      <c r="Z256" s="177">
        <f t="shared" si="1874"/>
        <v>0</v>
      </c>
      <c r="AA256" s="207"/>
      <c r="AB256" s="206">
        <f t="shared" si="1735"/>
        <v>0</v>
      </c>
      <c r="AC256" s="207"/>
      <c r="AD256" s="177">
        <f t="shared" si="1736"/>
        <v>0</v>
      </c>
      <c r="AE256" s="207"/>
      <c r="AF256" s="205">
        <f t="shared" si="1914"/>
        <v>0</v>
      </c>
      <c r="AG256" s="189">
        <f t="shared" si="1875"/>
        <v>0</v>
      </c>
      <c r="AH256" s="97">
        <f t="shared" si="1876"/>
        <v>0</v>
      </c>
      <c r="AI256" s="97">
        <f t="shared" si="1915"/>
        <v>0</v>
      </c>
      <c r="AJ256" s="177">
        <f t="shared" si="1877"/>
        <v>0</v>
      </c>
      <c r="AK256" s="207"/>
      <c r="AL256" s="177">
        <f t="shared" si="1916"/>
        <v>0</v>
      </c>
      <c r="AM256" s="245"/>
      <c r="AN256" s="177">
        <f t="shared" si="1878"/>
        <v>0</v>
      </c>
      <c r="AO256" s="207"/>
      <c r="AP256" s="206">
        <f t="shared" si="1917"/>
        <v>0</v>
      </c>
      <c r="AQ256" s="189">
        <f t="shared" si="1879"/>
        <v>0</v>
      </c>
      <c r="AR256" s="97">
        <f t="shared" si="1880"/>
        <v>0</v>
      </c>
      <c r="AS256" s="97"/>
      <c r="AT256" s="177">
        <f t="shared" si="1881"/>
        <v>0</v>
      </c>
      <c r="AU256" s="207"/>
      <c r="AV256" s="177">
        <f t="shared" si="1882"/>
        <v>0</v>
      </c>
      <c r="AW256" s="207"/>
      <c r="AX256" s="206">
        <f t="shared" si="1883"/>
        <v>0</v>
      </c>
      <c r="AY256" s="189">
        <f t="shared" si="1884"/>
        <v>0</v>
      </c>
      <c r="AZ256" s="97">
        <f t="shared" si="1885"/>
        <v>0</v>
      </c>
      <c r="BA256" s="97">
        <f t="shared" si="1886"/>
        <v>0</v>
      </c>
      <c r="BB256" s="97">
        <f t="shared" si="1887"/>
        <v>0</v>
      </c>
      <c r="BC256" s="1" t="s">
        <v>1780</v>
      </c>
    </row>
    <row r="257" spans="1:55">
      <c r="A257" s="498">
        <v>194</v>
      </c>
      <c r="B257" s="13"/>
      <c r="C257" s="13"/>
      <c r="D257" s="13"/>
      <c r="E257" s="21" t="s">
        <v>1715</v>
      </c>
      <c r="F257" s="46" t="s">
        <v>729</v>
      </c>
      <c r="G257" s="46" t="s">
        <v>1105</v>
      </c>
      <c r="H257" s="268" t="s">
        <v>365</v>
      </c>
      <c r="I257" s="465">
        <v>4</v>
      </c>
      <c r="J257" s="163"/>
      <c r="K257" s="465">
        <v>4</v>
      </c>
      <c r="L257" s="163"/>
      <c r="M257" s="465">
        <v>4</v>
      </c>
      <c r="N257" s="163"/>
      <c r="O257" s="465">
        <v>4</v>
      </c>
      <c r="P257" s="102"/>
      <c r="Q257" s="97">
        <f t="shared" ref="Q257" si="1919">SUM(AI257+BA257)</f>
        <v>72.864000000000004</v>
      </c>
      <c r="R257" s="342">
        <f t="shared" ref="R257" si="1920">SUM(AJ257+BB257)</f>
        <v>397.76347776</v>
      </c>
      <c r="S257" s="97">
        <v>8.4480000000000004</v>
      </c>
      <c r="T257" s="97">
        <f t="shared" si="1731"/>
        <v>44.669306880000001</v>
      </c>
      <c r="U257" s="97">
        <v>3.1680000000000001</v>
      </c>
      <c r="V257" s="177">
        <f t="shared" si="1732"/>
        <v>16.858828800000001</v>
      </c>
      <c r="W257" s="207">
        <v>5.28</v>
      </c>
      <c r="X257" s="206">
        <f t="shared" si="1733"/>
        <v>28.102271999999999</v>
      </c>
      <c r="Y257" s="189">
        <f>SUM(S257+U257+W257)</f>
        <v>16.896000000000001</v>
      </c>
      <c r="Z257" s="177">
        <f t="shared" ref="Z257" si="1921">SUM(T257+V257+X257)</f>
        <v>89.630407680000005</v>
      </c>
      <c r="AA257" s="207">
        <v>8.4480000000000004</v>
      </c>
      <c r="AB257" s="206">
        <f t="shared" si="1735"/>
        <v>46.096343040000001</v>
      </c>
      <c r="AC257" s="207">
        <v>8.4480000000000004</v>
      </c>
      <c r="AD257" s="177">
        <f>K257*AC257*$AD$2/1000</f>
        <v>46.282536960000002</v>
      </c>
      <c r="AE257" s="207">
        <v>3.1680000000000001</v>
      </c>
      <c r="AF257" s="205">
        <f t="shared" ref="AF257" si="1922">K257*AE257*$AF$2/1000</f>
        <v>17.472533759999997</v>
      </c>
      <c r="AG257" s="189">
        <f t="shared" ref="AG257" si="1923">SUM(AA257+AC257+AE257)</f>
        <v>20.064</v>
      </c>
      <c r="AH257" s="97">
        <f t="shared" ref="AH257" si="1924">SUM(AB257+AD257+AF257)</f>
        <v>109.85141376000001</v>
      </c>
      <c r="AI257" s="97">
        <f t="shared" ref="AI257" si="1925">SUM(Y257+AG257)</f>
        <v>36.96</v>
      </c>
      <c r="AJ257" s="177">
        <f t="shared" ref="AJ257" si="1926">SUM(Z257,AH257)</f>
        <v>199.48182144000003</v>
      </c>
      <c r="AK257" s="207">
        <v>4.2240000000000002</v>
      </c>
      <c r="AL257" s="177">
        <f t="shared" ref="AL257" si="1927">M257*AK257*$AL$2/1000</f>
        <v>23.368519680000002</v>
      </c>
      <c r="AM257" s="245">
        <v>4.2240000000000002</v>
      </c>
      <c r="AN257" s="177">
        <f t="shared" ref="AN257" si="1928">M257*AM257*$AN$2/1000</f>
        <v>22.9971456</v>
      </c>
      <c r="AO257" s="207">
        <v>4.2240000000000002</v>
      </c>
      <c r="AP257" s="206">
        <f t="shared" ref="AP257" si="1929">M257*AO257*$AP$2/1000</f>
        <v>22.51206144</v>
      </c>
      <c r="AQ257" s="189">
        <f t="shared" ref="AQ257" si="1930">SUM(AK257+AM257+AO257)</f>
        <v>12.672000000000001</v>
      </c>
      <c r="AR257" s="97">
        <f t="shared" ref="AR257" si="1931">SUM(AL257+AN257+AP257)</f>
        <v>68.877726719999998</v>
      </c>
      <c r="AS257" s="97">
        <v>6.3360000000000003</v>
      </c>
      <c r="AT257" s="177">
        <f t="shared" ref="AT257" si="1932">O257*AS257*$AT$2/1000</f>
        <v>34.414617600000007</v>
      </c>
      <c r="AU257" s="207">
        <v>8.4480000000000004</v>
      </c>
      <c r="AV257" s="177">
        <f t="shared" ref="AV257" si="1933">O257*AU257*$AV$2/1000</f>
        <v>47.027312640000005</v>
      </c>
      <c r="AW257" s="207">
        <v>8.4480000000000004</v>
      </c>
      <c r="AX257" s="206">
        <f t="shared" ref="AX257" si="1934">O257*AW257*$AX$2/1000</f>
        <v>47.96199936</v>
      </c>
      <c r="AY257" s="189">
        <f t="shared" ref="AY257" si="1935">SUM(AS257+AU257+AW257)</f>
        <v>23.231999999999999</v>
      </c>
      <c r="AZ257" s="97">
        <f t="shared" ref="AZ257" si="1936">SUM(AT257+AV257+AX257)</f>
        <v>129.4039296</v>
      </c>
      <c r="BA257" s="97">
        <f t="shared" ref="BA257" si="1937">SUM(AQ257+AY257)</f>
        <v>35.903999999999996</v>
      </c>
      <c r="BB257" s="97">
        <f t="shared" ref="BB257" si="1938">SUM(AR257,AZ257)</f>
        <v>198.28165632</v>
      </c>
      <c r="BC257" s="1" t="s">
        <v>1780</v>
      </c>
    </row>
    <row r="258" spans="1:55">
      <c r="A258" s="498">
        <v>196</v>
      </c>
      <c r="B258" s="13"/>
      <c r="C258" s="13"/>
      <c r="D258" s="13"/>
      <c r="E258" s="63" t="s">
        <v>1716</v>
      </c>
      <c r="F258" s="425" t="s">
        <v>730</v>
      </c>
      <c r="G258" s="64" t="s">
        <v>1105</v>
      </c>
      <c r="H258" s="284" t="s">
        <v>365</v>
      </c>
      <c r="I258" s="466">
        <v>4.76</v>
      </c>
      <c r="J258" s="166"/>
      <c r="K258" s="466">
        <v>4.76</v>
      </c>
      <c r="L258" s="166"/>
      <c r="M258" s="466">
        <v>4.76</v>
      </c>
      <c r="N258" s="166"/>
      <c r="O258" s="466">
        <v>4.76</v>
      </c>
      <c r="P258" s="107"/>
      <c r="Q258" s="129">
        <f t="shared" si="1872"/>
        <v>19.008000000000003</v>
      </c>
      <c r="R258" s="350">
        <f t="shared" si="1873"/>
        <v>123.61597839359999</v>
      </c>
      <c r="S258" s="97">
        <v>1.056</v>
      </c>
      <c r="T258" s="97">
        <f t="shared" ref="T258" si="1939">I258*S258*$T$2/1000</f>
        <v>6.6445593984000002</v>
      </c>
      <c r="U258" s="97"/>
      <c r="V258" s="177">
        <f t="shared" ref="V258" si="1940">I258*U258*$V$2/1000</f>
        <v>0</v>
      </c>
      <c r="W258" s="207"/>
      <c r="X258" s="206">
        <f t="shared" ref="X258" si="1941">I258*W258*$X$2/1000</f>
        <v>0</v>
      </c>
      <c r="Y258" s="189">
        <f t="shared" ref="Y258" si="1942">SUM(S258+U258+W258)</f>
        <v>1.056</v>
      </c>
      <c r="Z258" s="177">
        <f t="shared" si="1874"/>
        <v>6.6445593984000002</v>
      </c>
      <c r="AA258" s="207"/>
      <c r="AB258" s="206">
        <f t="shared" ref="AB258" si="1943">K258*AA258*$AB$2/1000</f>
        <v>0</v>
      </c>
      <c r="AC258" s="207">
        <v>1.056</v>
      </c>
      <c r="AD258" s="177">
        <f>K258*AC258*$AD$2/1000</f>
        <v>6.8845273728</v>
      </c>
      <c r="AE258" s="207">
        <v>3.1680000000000001</v>
      </c>
      <c r="AF258" s="205">
        <f t="shared" si="1914"/>
        <v>20.792315174399999</v>
      </c>
      <c r="AG258" s="189">
        <f t="shared" si="1875"/>
        <v>4.2240000000000002</v>
      </c>
      <c r="AH258" s="97">
        <f t="shared" si="1876"/>
        <v>27.6768425472</v>
      </c>
      <c r="AI258" s="97">
        <f t="shared" si="1915"/>
        <v>5.28</v>
      </c>
      <c r="AJ258" s="177">
        <f t="shared" si="1877"/>
        <v>34.321401945600002</v>
      </c>
      <c r="AK258" s="207">
        <v>5.28</v>
      </c>
      <c r="AL258" s="177">
        <f t="shared" si="1916"/>
        <v>34.760673023999999</v>
      </c>
      <c r="AM258" s="245">
        <v>1.056</v>
      </c>
      <c r="AN258" s="177">
        <f t="shared" si="1878"/>
        <v>6.8416508159999996</v>
      </c>
      <c r="AO258" s="207">
        <v>2.1120000000000001</v>
      </c>
      <c r="AP258" s="206">
        <f t="shared" si="1917"/>
        <v>13.3946765568</v>
      </c>
      <c r="AQ258" s="189">
        <f t="shared" si="1879"/>
        <v>8.4480000000000004</v>
      </c>
      <c r="AR258" s="97">
        <f t="shared" si="1880"/>
        <v>54.997000396799997</v>
      </c>
      <c r="AS258" s="97">
        <v>4.2240000000000002</v>
      </c>
      <c r="AT258" s="177">
        <f t="shared" si="1881"/>
        <v>27.302263296</v>
      </c>
      <c r="AU258" s="207">
        <v>1.056</v>
      </c>
      <c r="AV258" s="177">
        <f t="shared" si="1882"/>
        <v>6.9953127552000005</v>
      </c>
      <c r="AW258" s="207"/>
      <c r="AX258" s="206">
        <f t="shared" si="1883"/>
        <v>0</v>
      </c>
      <c r="AY258" s="189">
        <f t="shared" si="1884"/>
        <v>5.28</v>
      </c>
      <c r="AZ258" s="97">
        <f t="shared" si="1885"/>
        <v>34.297576051199997</v>
      </c>
      <c r="BA258" s="97">
        <f t="shared" si="1886"/>
        <v>13.728000000000002</v>
      </c>
      <c r="BB258" s="97">
        <f t="shared" si="1887"/>
        <v>89.294576447999987</v>
      </c>
      <c r="BC258" s="1" t="s">
        <v>1780</v>
      </c>
    </row>
    <row r="259" spans="1:55">
      <c r="A259" s="498">
        <v>198</v>
      </c>
      <c r="B259" s="53" t="s">
        <v>1276</v>
      </c>
      <c r="C259" s="53"/>
      <c r="D259" s="53" t="s">
        <v>1277</v>
      </c>
      <c r="E259" s="31" t="s">
        <v>1278</v>
      </c>
      <c r="F259" s="32" t="s">
        <v>1281</v>
      </c>
      <c r="G259" s="314" t="s">
        <v>1102</v>
      </c>
      <c r="H259" s="274" t="s">
        <v>365</v>
      </c>
      <c r="I259" s="62">
        <v>6.1</v>
      </c>
      <c r="J259" s="102"/>
      <c r="K259" s="62">
        <v>6.1</v>
      </c>
      <c r="L259" s="163"/>
      <c r="M259" s="62">
        <v>6.1</v>
      </c>
      <c r="N259" s="163"/>
      <c r="O259" s="62">
        <v>6.1</v>
      </c>
      <c r="P259" s="163"/>
      <c r="Q259" s="97">
        <f t="shared" ref="Q259:Q323" si="1944">SUM(AI259+BA259)</f>
        <v>0</v>
      </c>
      <c r="R259" s="342">
        <f t="shared" ref="R259:R323" si="1945">SUM(AJ259+BB259)</f>
        <v>0</v>
      </c>
      <c r="S259" s="97"/>
      <c r="T259" s="97">
        <f t="shared" si="1731"/>
        <v>0</v>
      </c>
      <c r="U259" s="97"/>
      <c r="V259" s="177">
        <f t="shared" si="1732"/>
        <v>0</v>
      </c>
      <c r="W259" s="207"/>
      <c r="X259" s="206">
        <f t="shared" si="1733"/>
        <v>0</v>
      </c>
      <c r="Y259" s="189">
        <f>SUM(S259+U259+W259)</f>
        <v>0</v>
      </c>
      <c r="Z259" s="177">
        <f t="shared" ref="Z259:Z323" si="1946">SUM(T259+V259+X259)</f>
        <v>0</v>
      </c>
      <c r="AA259" s="207"/>
      <c r="AB259" s="206">
        <f t="shared" si="1735"/>
        <v>0</v>
      </c>
      <c r="AC259" s="207"/>
      <c r="AD259" s="177">
        <f t="shared" si="1736"/>
        <v>0</v>
      </c>
      <c r="AE259" s="207"/>
      <c r="AF259" s="205">
        <f>K259*AE259*$AF$2/1000</f>
        <v>0</v>
      </c>
      <c r="AG259" s="189">
        <f t="shared" ref="AG259:AG323" si="1947">SUM(AA259+AC259+AE259)</f>
        <v>0</v>
      </c>
      <c r="AH259" s="97">
        <f t="shared" ref="AH259:AH323" si="1948">SUM(AB259+AD259+AF259)</f>
        <v>0</v>
      </c>
      <c r="AI259" s="97">
        <f>SUM(Y259+AG259)</f>
        <v>0</v>
      </c>
      <c r="AJ259" s="177">
        <f t="shared" ref="AJ259:AJ323" si="1949">SUM(Z259,AH259)</f>
        <v>0</v>
      </c>
      <c r="AK259" s="207"/>
      <c r="AL259" s="177">
        <f>M259*AK259*$AL$2/1000</f>
        <v>0</v>
      </c>
      <c r="AM259" s="245"/>
      <c r="AN259" s="177">
        <f t="shared" ref="AN259:AN323" si="1950">M259*AM259*$AN$2/1000</f>
        <v>0</v>
      </c>
      <c r="AO259" s="207"/>
      <c r="AP259" s="206">
        <f>M259*AO259*$AP$2/1000</f>
        <v>0</v>
      </c>
      <c r="AQ259" s="189">
        <f t="shared" ref="AQ259:AQ323" si="1951">SUM(AK259+AM259+AO259)</f>
        <v>0</v>
      </c>
      <c r="AR259" s="97">
        <f t="shared" ref="AR259:AR323" si="1952">SUM(AL259+AN259+AP259)</f>
        <v>0</v>
      </c>
      <c r="AS259" s="97"/>
      <c r="AT259" s="177">
        <f t="shared" ref="AT259:AT323" si="1953">O259*AS259*$AT$2/1000</f>
        <v>0</v>
      </c>
      <c r="AU259" s="207"/>
      <c r="AV259" s="177">
        <f t="shared" ref="AV259:AV323" si="1954">O259*AU259*$AV$2/1000</f>
        <v>0</v>
      </c>
      <c r="AW259" s="207"/>
      <c r="AX259" s="206">
        <f t="shared" ref="AX259:AX292" si="1955">O259*AW259*$AX$2/1000</f>
        <v>0</v>
      </c>
      <c r="AY259" s="189">
        <f t="shared" ref="AY259:AY323" si="1956">SUM(AS259+AU259+AW259)</f>
        <v>0</v>
      </c>
      <c r="AZ259" s="97">
        <f t="shared" ref="AZ259:AZ323" si="1957">SUM(AT259+AV259+AX259)</f>
        <v>0</v>
      </c>
      <c r="BA259" s="97">
        <f t="shared" ref="BA259:BA323" si="1958">SUM(AQ259+AY259)</f>
        <v>0</v>
      </c>
      <c r="BB259" s="97">
        <f t="shared" ref="BB259:BB323" si="1959">SUM(AR259,AZ259)</f>
        <v>0</v>
      </c>
      <c r="BC259" s="1" t="s">
        <v>1780</v>
      </c>
    </row>
    <row r="260" spans="1:55">
      <c r="A260" s="498">
        <v>199</v>
      </c>
      <c r="B260" s="13"/>
      <c r="C260" s="13"/>
      <c r="D260" s="13"/>
      <c r="E260" s="51" t="s">
        <v>1279</v>
      </c>
      <c r="F260" s="65" t="s">
        <v>1280</v>
      </c>
      <c r="G260" s="371" t="s">
        <v>1102</v>
      </c>
      <c r="H260" s="275" t="s">
        <v>365</v>
      </c>
      <c r="I260" s="58">
        <v>7.6</v>
      </c>
      <c r="J260" s="102"/>
      <c r="K260" s="58">
        <v>7.6</v>
      </c>
      <c r="L260" s="163"/>
      <c r="M260" s="58">
        <v>7.6</v>
      </c>
      <c r="N260" s="163"/>
      <c r="O260" s="58">
        <v>7.6</v>
      </c>
      <c r="P260" s="163"/>
      <c r="Q260" s="97">
        <f t="shared" ref="Q260:Q263" si="1960">SUM(AI260+BA260)</f>
        <v>0</v>
      </c>
      <c r="R260" s="342">
        <f t="shared" ref="R260:R263" si="1961">SUM(AJ260+BB260)</f>
        <v>0</v>
      </c>
      <c r="S260" s="97"/>
      <c r="T260" s="97">
        <f t="shared" ref="T260" si="1962">I260*S260*$T$2/1000</f>
        <v>0</v>
      </c>
      <c r="U260" s="97"/>
      <c r="V260" s="177">
        <f t="shared" ref="V260" si="1963">I260*U260*$V$2/1000</f>
        <v>0</v>
      </c>
      <c r="W260" s="207"/>
      <c r="X260" s="206">
        <f t="shared" ref="X260" si="1964">I260*W260*$X$2/1000</f>
        <v>0</v>
      </c>
      <c r="Y260" s="189">
        <f t="shared" ref="Y260" si="1965">SUM(S260+U260+W260)</f>
        <v>0</v>
      </c>
      <c r="Z260" s="177">
        <f t="shared" ref="Z260" si="1966">SUM(T260+V260+X260)</f>
        <v>0</v>
      </c>
      <c r="AA260" s="207"/>
      <c r="AB260" s="206">
        <f>K260*AA260*$AB$2/1000</f>
        <v>0</v>
      </c>
      <c r="AC260" s="207"/>
      <c r="AD260" s="177">
        <f t="shared" ref="AD260" si="1967">K260*AC260*$AD$2/1000</f>
        <v>0</v>
      </c>
      <c r="AE260" s="207"/>
      <c r="AF260" s="205">
        <f t="shared" ref="AF260:AF263" si="1968">K260*AE260*$AF$2/1000</f>
        <v>0</v>
      </c>
      <c r="AG260" s="189">
        <f t="shared" ref="AG260" si="1969">SUM(AA260+AC260+AE260)</f>
        <v>0</v>
      </c>
      <c r="AH260" s="97">
        <f t="shared" ref="AH260" si="1970">SUM(AB260+AD260+AF260)</f>
        <v>0</v>
      </c>
      <c r="AI260" s="97">
        <f t="shared" ref="AI260:AI263" si="1971">SUM(Y260+AG260)</f>
        <v>0</v>
      </c>
      <c r="AJ260" s="177">
        <f t="shared" ref="AJ260:AJ263" si="1972">SUM(Z260,AH260)</f>
        <v>0</v>
      </c>
      <c r="AK260" s="207"/>
      <c r="AL260" s="177">
        <f t="shared" ref="AL260" si="1973">M260*AK260*$AL$2/1000</f>
        <v>0</v>
      </c>
      <c r="AM260" s="245"/>
      <c r="AN260" s="177">
        <f t="shared" ref="AN260:AN263" si="1974">M260*AM260*$AN$2/1000</f>
        <v>0</v>
      </c>
      <c r="AO260" s="207"/>
      <c r="AP260" s="206">
        <f t="shared" ref="AP260:AP263" si="1975">M260*AO260*$AP$2/1000</f>
        <v>0</v>
      </c>
      <c r="AQ260" s="189">
        <f t="shared" ref="AQ260" si="1976">SUM(AK260+AM260+AO260)</f>
        <v>0</v>
      </c>
      <c r="AR260" s="97">
        <f t="shared" ref="AR260" si="1977">SUM(AL260+AN260+AP260)</f>
        <v>0</v>
      </c>
      <c r="AS260" s="97"/>
      <c r="AT260" s="177">
        <f t="shared" ref="AT260:AT263" si="1978">O260*AS260*$AT$2/1000</f>
        <v>0</v>
      </c>
      <c r="AU260" s="207"/>
      <c r="AV260" s="177">
        <f t="shared" ref="AV260:AV263" si="1979">O260*AU260*$AV$2/1000</f>
        <v>0</v>
      </c>
      <c r="AW260" s="207"/>
      <c r="AX260" s="206">
        <f t="shared" ref="AX260:AX263" si="1980">O260*AW260*$AX$2/1000</f>
        <v>0</v>
      </c>
      <c r="AY260" s="189">
        <f t="shared" ref="AY260" si="1981">SUM(AS260+AU260+AW260)</f>
        <v>0</v>
      </c>
      <c r="AZ260" s="97">
        <f t="shared" ref="AZ260" si="1982">SUM(AT260+AV260+AX260)</f>
        <v>0</v>
      </c>
      <c r="BA260" s="97">
        <f t="shared" ref="BA260:BA263" si="1983">SUM(AQ260+AY260)</f>
        <v>0</v>
      </c>
      <c r="BB260" s="97">
        <f t="shared" ref="BB260:BB263" si="1984">SUM(AR260,AZ260)</f>
        <v>0</v>
      </c>
      <c r="BC260" s="1" t="s">
        <v>1780</v>
      </c>
    </row>
    <row r="261" spans="1:55">
      <c r="B261" s="53" t="s">
        <v>1168</v>
      </c>
      <c r="C261" s="53" t="s">
        <v>1169</v>
      </c>
      <c r="D261" s="53" t="s">
        <v>1170</v>
      </c>
      <c r="E261" s="90" t="s">
        <v>1717</v>
      </c>
      <c r="F261" s="91" t="s">
        <v>709</v>
      </c>
      <c r="G261" s="430" t="s">
        <v>1102</v>
      </c>
      <c r="H261" s="287" t="s">
        <v>365</v>
      </c>
      <c r="I261" s="76">
        <v>3.37</v>
      </c>
      <c r="J261" s="112"/>
      <c r="K261" s="76">
        <v>3.37</v>
      </c>
      <c r="L261" s="168"/>
      <c r="M261" s="76">
        <v>3.37</v>
      </c>
      <c r="N261" s="168"/>
      <c r="O261" s="76">
        <v>3.37</v>
      </c>
      <c r="P261" s="112"/>
      <c r="Q261" s="131">
        <f t="shared" ref="Q261" si="1985">SUM(AI261+BA261)</f>
        <v>756.48199999999997</v>
      </c>
      <c r="R261" s="352">
        <f t="shared" ref="R261" si="1986">SUM(AJ261+BB261)</f>
        <v>3441.8601298242002</v>
      </c>
      <c r="S261" s="97">
        <v>90.816000000000003</v>
      </c>
      <c r="T261" s="97">
        <f>I261*S261*$T$2/1000</f>
        <v>404.56432874880011</v>
      </c>
      <c r="U261" s="97">
        <v>103.488</v>
      </c>
      <c r="V261" s="177">
        <f>I261*U261*$V$2/1000</f>
        <v>463.98306662400006</v>
      </c>
      <c r="W261" s="207">
        <v>163.38</v>
      </c>
      <c r="X261" s="206">
        <f>I261*W261*$X$2/1000</f>
        <v>732.61585235999985</v>
      </c>
      <c r="Y261" s="189">
        <f t="shared" ref="Y261" si="1987">SUM(S261+U261+W261)</f>
        <v>357.68399999999997</v>
      </c>
      <c r="Z261" s="177">
        <f t="shared" ref="Z261" si="1988">SUM(T261+V261+X261)</f>
        <v>1601.1632477327998</v>
      </c>
      <c r="AA261" s="207">
        <v>81.311999999999998</v>
      </c>
      <c r="AB261" s="206">
        <f>K261*AA261*$AB$2/1000</f>
        <v>373.79812673279991</v>
      </c>
      <c r="AC261" s="207">
        <v>65.471999999999994</v>
      </c>
      <c r="AD261" s="177">
        <f>K261*AC261*$AD$2/1000</f>
        <v>302.19603976320002</v>
      </c>
      <c r="AE261" s="207">
        <v>28.512</v>
      </c>
      <c r="AF261" s="206">
        <f t="shared" ref="AF261" si="1989">K261*AE261*$AF$2/1000</f>
        <v>132.4854872352</v>
      </c>
      <c r="AG261" s="189">
        <f t="shared" ref="AG261" si="1990">SUM(AA261+AC261+AE261)</f>
        <v>175.29599999999999</v>
      </c>
      <c r="AH261" s="97">
        <f t="shared" ref="AH261" si="1991">SUM(AB261+AD261+AF261)</f>
        <v>808.47965373119996</v>
      </c>
      <c r="AI261" s="97">
        <f t="shared" ref="AI261" si="1992">SUM(Y261+AG261)</f>
        <v>532.98</v>
      </c>
      <c r="AJ261" s="177">
        <f t="shared" ref="AJ261" si="1993">SUM(Z261,AH261)</f>
        <v>2409.6429014639998</v>
      </c>
      <c r="AK261" s="207">
        <v>59.136000000000003</v>
      </c>
      <c r="AL261" s="177">
        <f t="shared" ref="AL261" si="1994">M261*AK261*$AL$2/1000</f>
        <v>275.63168962560002</v>
      </c>
      <c r="AM261" s="245">
        <v>23.231999999999999</v>
      </c>
      <c r="AN261" s="177">
        <f t="shared" ref="AN261" si="1995">M261*AM261*$AN$2/1000</f>
        <v>106.56302342399998</v>
      </c>
      <c r="AO261" s="207">
        <v>62.304000000000002</v>
      </c>
      <c r="AP261" s="206">
        <f t="shared" ref="AP261" si="1996">M261*AO261*$AP$2/1000</f>
        <v>279.75457350720006</v>
      </c>
      <c r="AQ261" s="189">
        <f t="shared" ref="AQ261" si="1997">SUM(AK261+AM261+AO261)</f>
        <v>144.672</v>
      </c>
      <c r="AR261" s="97">
        <f t="shared" ref="AR261" si="1998">SUM(AL261+AN261+AP261)</f>
        <v>661.94928655680008</v>
      </c>
      <c r="AS261" s="97">
        <v>25.344000000000001</v>
      </c>
      <c r="AT261" s="177">
        <f t="shared" ref="AT261" si="1999">O261*AS261*$AT$2/1000</f>
        <v>115.97726131200001</v>
      </c>
      <c r="AU261" s="207">
        <v>16.526</v>
      </c>
      <c r="AV261" s="177">
        <f t="shared" ref="AV261" si="2000">O261*AU261*$AV$2/1000</f>
        <v>77.505748475399997</v>
      </c>
      <c r="AW261" s="207">
        <v>36.96</v>
      </c>
      <c r="AX261" s="206">
        <f t="shared" ref="AX261" si="2001">O261*AW261*$AX$2/1000</f>
        <v>176.784932016</v>
      </c>
      <c r="AY261" s="189">
        <f t="shared" ref="AY261" si="2002">SUM(AS261+AU261+AW261)</f>
        <v>78.830000000000013</v>
      </c>
      <c r="AZ261" s="97">
        <f t="shared" ref="AZ261" si="2003">SUM(AT261+AV261+AX261)</f>
        <v>370.26794180340005</v>
      </c>
      <c r="BA261" s="97">
        <f t="shared" ref="BA261" si="2004">SUM(AQ261+AY261)</f>
        <v>223.50200000000001</v>
      </c>
      <c r="BB261" s="97">
        <f t="shared" ref="BB261" si="2005">SUM(AR261,AZ261)</f>
        <v>1032.2172283602001</v>
      </c>
      <c r="BC261" s="1" t="s">
        <v>1780</v>
      </c>
    </row>
    <row r="262" spans="1:55">
      <c r="B262" s="13"/>
      <c r="C262" s="13"/>
      <c r="D262" s="13"/>
      <c r="E262" s="21" t="s">
        <v>1718</v>
      </c>
      <c r="F262" s="22" t="s">
        <v>710</v>
      </c>
      <c r="G262" s="430" t="s">
        <v>1102</v>
      </c>
      <c r="H262" s="268" t="s">
        <v>365</v>
      </c>
      <c r="I262" s="55">
        <v>4.03</v>
      </c>
      <c r="J262" s="102"/>
      <c r="K262" s="55">
        <v>4.03</v>
      </c>
      <c r="L262" s="163"/>
      <c r="M262" s="55">
        <v>4.03</v>
      </c>
      <c r="N262" s="163"/>
      <c r="O262" s="55">
        <v>4.03</v>
      </c>
      <c r="P262" s="102"/>
      <c r="Q262" s="97">
        <f t="shared" si="1960"/>
        <v>78.908000000000001</v>
      </c>
      <c r="R262" s="342">
        <f t="shared" si="1961"/>
        <v>429.53201261880008</v>
      </c>
      <c r="S262" s="97">
        <v>8.4480000000000004</v>
      </c>
      <c r="T262" s="97">
        <f>I262*S262*$T$2/1000</f>
        <v>45.004326681600013</v>
      </c>
      <c r="U262" s="97">
        <v>10.56</v>
      </c>
      <c r="V262" s="177">
        <f>I262*U262*$V$2/1000</f>
        <v>56.617566720000006</v>
      </c>
      <c r="W262" s="207">
        <v>21.12</v>
      </c>
      <c r="X262" s="206">
        <f>I262*W262*$X$2/1000</f>
        <v>113.25215616</v>
      </c>
      <c r="Y262" s="189">
        <f t="shared" ref="Y262:Y263" si="2006">SUM(S262+U262+W262)</f>
        <v>40.128</v>
      </c>
      <c r="Z262" s="177">
        <f t="shared" ref="Z262:Z263" si="2007">SUM(T262+V262+X262)</f>
        <v>214.87404956160003</v>
      </c>
      <c r="AA262" s="207"/>
      <c r="AB262" s="206">
        <f>K262*AA262*$AB$2/1000</f>
        <v>0</v>
      </c>
      <c r="AC262" s="207">
        <v>5.28</v>
      </c>
      <c r="AD262" s="177">
        <f>K262*AC262*$AD$2/1000</f>
        <v>29.143534992000003</v>
      </c>
      <c r="AE262" s="207">
        <v>8.4480000000000004</v>
      </c>
      <c r="AF262" s="206">
        <f t="shared" si="1968"/>
        <v>46.942874035200006</v>
      </c>
      <c r="AG262" s="189">
        <f t="shared" ref="AG262:AG263" si="2008">SUM(AA262+AC262+AE262)</f>
        <v>13.728000000000002</v>
      </c>
      <c r="AH262" s="97">
        <f t="shared" ref="AH262:AH263" si="2009">SUM(AB262+AD262+AF262)</f>
        <v>76.086409027200006</v>
      </c>
      <c r="AI262" s="97">
        <f t="shared" si="1971"/>
        <v>53.856000000000002</v>
      </c>
      <c r="AJ262" s="177">
        <f t="shared" si="1972"/>
        <v>290.96045858880007</v>
      </c>
      <c r="AK262" s="207">
        <v>8.4480000000000004</v>
      </c>
      <c r="AL262" s="177">
        <f t="shared" ref="AL262:AL294" si="2010">M262*AK262*$AL$2/1000</f>
        <v>47.087567155200006</v>
      </c>
      <c r="AM262" s="245">
        <v>2.1120000000000001</v>
      </c>
      <c r="AN262" s="177">
        <f t="shared" si="1974"/>
        <v>11.584812096000002</v>
      </c>
      <c r="AO262" s="207">
        <v>6.0439999999999996</v>
      </c>
      <c r="AP262" s="206">
        <f t="shared" si="1975"/>
        <v>32.453449594800006</v>
      </c>
      <c r="AQ262" s="189">
        <f t="shared" ref="AQ262:AQ263" si="2011">SUM(AK262+AM262+AO262)</f>
        <v>16.603999999999999</v>
      </c>
      <c r="AR262" s="97">
        <f t="shared" ref="AR262:AR263" si="2012">SUM(AL262+AN262+AP262)</f>
        <v>91.125828846000019</v>
      </c>
      <c r="AS262" s="97">
        <v>2.1120000000000001</v>
      </c>
      <c r="AT262" s="177">
        <f t="shared" si="1978"/>
        <v>11.557575744000003</v>
      </c>
      <c r="AU262" s="207">
        <v>3.1680000000000001</v>
      </c>
      <c r="AV262" s="177">
        <f t="shared" si="1979"/>
        <v>17.767506556800004</v>
      </c>
      <c r="AW262" s="207">
        <v>3.1680000000000001</v>
      </c>
      <c r="AX262" s="206">
        <f t="shared" si="1980"/>
        <v>18.120642883200002</v>
      </c>
      <c r="AY262" s="189">
        <f t="shared" ref="AY262:AY263" si="2013">SUM(AS262+AU262+AW262)</f>
        <v>8.4480000000000004</v>
      </c>
      <c r="AZ262" s="97">
        <f t="shared" ref="AZ262:AZ263" si="2014">SUM(AT262+AV262+AX262)</f>
        <v>47.445725184000011</v>
      </c>
      <c r="BA262" s="97">
        <f t="shared" si="1983"/>
        <v>25.052</v>
      </c>
      <c r="BB262" s="97">
        <f t="shared" si="1984"/>
        <v>138.57155403000002</v>
      </c>
      <c r="BC262" s="1" t="s">
        <v>1780</v>
      </c>
    </row>
    <row r="263" spans="1:55">
      <c r="B263" s="13"/>
      <c r="C263" s="13"/>
      <c r="D263" s="13"/>
      <c r="E263" s="21" t="s">
        <v>1719</v>
      </c>
      <c r="F263" s="22" t="s">
        <v>1156</v>
      </c>
      <c r="G263" s="430" t="s">
        <v>1102</v>
      </c>
      <c r="H263" s="268" t="s">
        <v>365</v>
      </c>
      <c r="I263" s="55">
        <v>4.13</v>
      </c>
      <c r="J263" s="102"/>
      <c r="K263" s="55">
        <v>4.13</v>
      </c>
      <c r="L263" s="163"/>
      <c r="M263" s="55">
        <v>4.13</v>
      </c>
      <c r="N263" s="163"/>
      <c r="O263" s="55">
        <v>4.13</v>
      </c>
      <c r="P263" s="102"/>
      <c r="Q263" s="97">
        <f t="shared" si="1960"/>
        <v>297.56</v>
      </c>
      <c r="R263" s="342">
        <f t="shared" si="1961"/>
        <v>1666.4123029861998</v>
      </c>
      <c r="S263" s="97">
        <v>20.064</v>
      </c>
      <c r="T263" s="97">
        <f>I263*S263*$T$2/1000</f>
        <v>109.53751596479999</v>
      </c>
      <c r="U263" s="97">
        <v>10.56</v>
      </c>
      <c r="V263" s="177">
        <f>I263*U263*$V$2/1000</f>
        <v>58.022469120000004</v>
      </c>
      <c r="W263" s="207">
        <v>29.95</v>
      </c>
      <c r="X263" s="206">
        <f>I263*W263*$X$2/1000</f>
        <v>164.58657110000001</v>
      </c>
      <c r="Y263" s="189">
        <f t="shared" si="2006"/>
        <v>60.573999999999998</v>
      </c>
      <c r="Z263" s="177">
        <f t="shared" si="2007"/>
        <v>332.14655618480003</v>
      </c>
      <c r="AA263" s="207">
        <v>39.072000000000003</v>
      </c>
      <c r="AB263" s="206">
        <f>K263*AA263*$AB$2/1000</f>
        <v>220.1244431232</v>
      </c>
      <c r="AC263" s="207">
        <v>26.4</v>
      </c>
      <c r="AD263" s="177">
        <f>K263*AC263*$AD$2/1000</f>
        <v>149.33349816</v>
      </c>
      <c r="AE263" s="207">
        <v>25.344000000000001</v>
      </c>
      <c r="AF263" s="206">
        <f t="shared" si="1968"/>
        <v>144.32312885760001</v>
      </c>
      <c r="AG263" s="189">
        <f t="shared" si="2008"/>
        <v>90.816000000000003</v>
      </c>
      <c r="AH263" s="97">
        <f t="shared" si="2009"/>
        <v>513.78107014080001</v>
      </c>
      <c r="AI263" s="97">
        <f t="shared" si="1971"/>
        <v>151.38999999999999</v>
      </c>
      <c r="AJ263" s="177">
        <f t="shared" si="1972"/>
        <v>845.92762632560004</v>
      </c>
      <c r="AK263" s="207">
        <v>42.24</v>
      </c>
      <c r="AL263" s="177">
        <f t="shared" si="2010"/>
        <v>241.279965696</v>
      </c>
      <c r="AM263" s="245">
        <v>24.288</v>
      </c>
      <c r="AN263" s="177">
        <f t="shared" si="1974"/>
        <v>136.53117878399999</v>
      </c>
      <c r="AO263" s="207">
        <v>54.911999999999999</v>
      </c>
      <c r="AP263" s="206">
        <f t="shared" si="1975"/>
        <v>302.16814467840004</v>
      </c>
      <c r="AQ263" s="189">
        <f t="shared" si="2011"/>
        <v>121.44</v>
      </c>
      <c r="AR263" s="97">
        <f t="shared" si="2012"/>
        <v>679.97928915839998</v>
      </c>
      <c r="AS263" s="97">
        <v>16.896000000000001</v>
      </c>
      <c r="AT263" s="177">
        <f t="shared" si="1978"/>
        <v>94.754913792000011</v>
      </c>
      <c r="AU263" s="207">
        <v>1.498</v>
      </c>
      <c r="AV263" s="177">
        <f t="shared" si="1979"/>
        <v>8.6099004558000001</v>
      </c>
      <c r="AW263" s="207">
        <v>6.3360000000000003</v>
      </c>
      <c r="AX263" s="206">
        <f t="shared" si="1980"/>
        <v>37.140573254399996</v>
      </c>
      <c r="AY263" s="189">
        <f t="shared" si="2013"/>
        <v>24.730000000000004</v>
      </c>
      <c r="AZ263" s="97">
        <f t="shared" si="2014"/>
        <v>140.50538750219999</v>
      </c>
      <c r="BA263" s="97">
        <f t="shared" si="1983"/>
        <v>146.17000000000002</v>
      </c>
      <c r="BB263" s="97">
        <f t="shared" si="1984"/>
        <v>820.48467666059992</v>
      </c>
      <c r="BC263" s="1" t="s">
        <v>1780</v>
      </c>
    </row>
    <row r="264" spans="1:55">
      <c r="B264" s="13"/>
      <c r="C264" s="13"/>
      <c r="D264" s="13"/>
      <c r="E264" s="21" t="s">
        <v>1720</v>
      </c>
      <c r="F264" s="22" t="s">
        <v>1157</v>
      </c>
      <c r="G264" s="430" t="s">
        <v>1102</v>
      </c>
      <c r="H264" s="268" t="s">
        <v>365</v>
      </c>
      <c r="I264" s="55">
        <v>4.96</v>
      </c>
      <c r="J264" s="102"/>
      <c r="K264" s="55">
        <v>4.96</v>
      </c>
      <c r="L264" s="163"/>
      <c r="M264" s="55">
        <v>4.96</v>
      </c>
      <c r="N264" s="163"/>
      <c r="O264" s="55">
        <v>4.96</v>
      </c>
      <c r="P264" s="102"/>
      <c r="Q264" s="97">
        <f t="shared" ref="Q264:Q266" si="2015">SUM(AI264+BA264)</f>
        <v>19.271999999999998</v>
      </c>
      <c r="R264" s="342">
        <f t="shared" ref="R264:R266" si="2016">SUM(AJ264+BB264)</f>
        <v>129.63728363520002</v>
      </c>
      <c r="S264" s="97">
        <v>4.2240000000000002</v>
      </c>
      <c r="T264" s="97">
        <f>I264*S264*$T$2/1000</f>
        <v>27.694970265600006</v>
      </c>
      <c r="U264" s="97"/>
      <c r="V264" s="177">
        <f>I264*U264*$V$2/1000</f>
        <v>0</v>
      </c>
      <c r="W264" s="207"/>
      <c r="X264" s="206">
        <f>I264*W264*$X$2/1000</f>
        <v>0</v>
      </c>
      <c r="Y264" s="189">
        <f t="shared" ref="Y264" si="2017">SUM(S264+U264+W264)</f>
        <v>4.2240000000000002</v>
      </c>
      <c r="Z264" s="177">
        <f t="shared" ref="Z264:Z266" si="2018">SUM(T264+V264+X264)</f>
        <v>27.694970265600006</v>
      </c>
      <c r="AA264" s="207">
        <v>2.1120000000000001</v>
      </c>
      <c r="AB264" s="206">
        <f>K264*AA264*$AB$2/1000</f>
        <v>14.2898663424</v>
      </c>
      <c r="AC264" s="207">
        <v>1.056</v>
      </c>
      <c r="AD264" s="177">
        <f>K264*AC264*$AD$2/1000</f>
        <v>7.173793228800001</v>
      </c>
      <c r="AE264" s="207">
        <v>1.056</v>
      </c>
      <c r="AF264" s="206">
        <f t="shared" ref="AF264" si="2019">K264*AE264*$AF$2/1000</f>
        <v>7.221980620800001</v>
      </c>
      <c r="AG264" s="189">
        <f t="shared" ref="AG264:AG266" si="2020">SUM(AA264+AC264+AE264)</f>
        <v>4.2240000000000002</v>
      </c>
      <c r="AH264" s="97">
        <f t="shared" ref="AH264:AH266" si="2021">SUM(AB264+AD264+AF264)</f>
        <v>28.685640192000001</v>
      </c>
      <c r="AI264" s="97">
        <f t="shared" ref="AI264" si="2022">SUM(Y264+AG264)</f>
        <v>8.4480000000000004</v>
      </c>
      <c r="AJ264" s="177">
        <f t="shared" ref="AJ264:AJ266" si="2023">SUM(Z264,AH264)</f>
        <v>56.380610457600007</v>
      </c>
      <c r="AK264" s="207">
        <v>3.4319999999999999</v>
      </c>
      <c r="AL264" s="177">
        <f t="shared" ref="AL264" si="2024">M264*AK264*$AL$2/1000</f>
        <v>23.543783577599999</v>
      </c>
      <c r="AM264" s="245">
        <v>1.056</v>
      </c>
      <c r="AN264" s="177">
        <f t="shared" ref="AN264:AN266" si="2025">M264*AM264*$AN$2/1000</f>
        <v>7.1291151360000002</v>
      </c>
      <c r="AO264" s="207">
        <v>2.1120000000000001</v>
      </c>
      <c r="AP264" s="206">
        <f t="shared" ref="AP264" si="2026">M264*AO264*$AP$2/1000</f>
        <v>13.957478092800004</v>
      </c>
      <c r="AQ264" s="189">
        <f t="shared" ref="AQ264:AQ266" si="2027">SUM(AK264+AM264+AO264)</f>
        <v>6.6</v>
      </c>
      <c r="AR264" s="97">
        <f t="shared" ref="AR264:AR266" si="2028">SUM(AL264+AN264+AP264)</f>
        <v>44.630376806400001</v>
      </c>
      <c r="AS264" s="97">
        <v>3.1680000000000001</v>
      </c>
      <c r="AT264" s="177">
        <f t="shared" ref="AT264:AT266" si="2029">O264*AS264*$AT$2/1000</f>
        <v>21.337062912</v>
      </c>
      <c r="AU264" s="207">
        <v>1.056</v>
      </c>
      <c r="AV264" s="177">
        <f t="shared" ref="AV264:AV266" si="2030">O264*AU264*$AV$2/1000</f>
        <v>7.2892334592000019</v>
      </c>
      <c r="AW264" s="207"/>
      <c r="AX264" s="206">
        <f t="shared" ref="AX264:AX266" si="2031">O264*AW264*$AX$2/1000</f>
        <v>0</v>
      </c>
      <c r="AY264" s="189">
        <f t="shared" ref="AY264:AY266" si="2032">SUM(AS264+AU264+AW264)</f>
        <v>4.2240000000000002</v>
      </c>
      <c r="AZ264" s="97">
        <f t="shared" ref="AZ264:AZ266" si="2033">SUM(AT264+AV264+AX264)</f>
        <v>28.626296371200002</v>
      </c>
      <c r="BA264" s="97">
        <f t="shared" ref="BA264:BA266" si="2034">SUM(AQ264+AY264)</f>
        <v>10.824</v>
      </c>
      <c r="BB264" s="97">
        <f t="shared" ref="BB264:BB266" si="2035">SUM(AR264,AZ264)</f>
        <v>73.256673177600007</v>
      </c>
      <c r="BC264" s="1" t="s">
        <v>1780</v>
      </c>
    </row>
    <row r="265" spans="1:55">
      <c r="A265" s="498">
        <v>179</v>
      </c>
      <c r="B265" s="53" t="s">
        <v>1480</v>
      </c>
      <c r="C265" s="53" t="s">
        <v>33</v>
      </c>
      <c r="D265" s="53" t="s">
        <v>595</v>
      </c>
      <c r="E265" s="21" t="s">
        <v>1721</v>
      </c>
      <c r="F265" s="22" t="s">
        <v>709</v>
      </c>
      <c r="G265" s="22" t="s">
        <v>1105</v>
      </c>
      <c r="H265" s="268" t="s">
        <v>365</v>
      </c>
      <c r="I265" s="55">
        <v>3.27</v>
      </c>
      <c r="J265" s="102"/>
      <c r="K265" s="55">
        <v>3.27</v>
      </c>
      <c r="L265" s="163"/>
      <c r="M265" s="55">
        <v>3.27</v>
      </c>
      <c r="N265" s="163"/>
      <c r="O265" s="55">
        <v>3.27</v>
      </c>
      <c r="P265" s="102"/>
      <c r="Q265" s="97">
        <f t="shared" si="2015"/>
        <v>37.444000000000003</v>
      </c>
      <c r="R265" s="342">
        <f t="shared" si="2016"/>
        <v>163.41536023560002</v>
      </c>
      <c r="S265" s="97">
        <v>16.896000000000001</v>
      </c>
      <c r="T265" s="97">
        <f t="shared" ref="T265:T266" si="2036">I265*S265*$T$2/1000</f>
        <v>73.034316748800009</v>
      </c>
      <c r="U265" s="97"/>
      <c r="V265" s="177">
        <f t="shared" ref="V265:V266" si="2037">I265*U265*$V$2/1000</f>
        <v>0</v>
      </c>
      <c r="W265" s="207">
        <v>12.672000000000001</v>
      </c>
      <c r="X265" s="206">
        <f t="shared" ref="X265:X266" si="2038">I265*W265*$X$2/1000</f>
        <v>55.136657663999998</v>
      </c>
      <c r="Y265" s="189">
        <f>SUM(S265+U265+W265)</f>
        <v>29.568000000000001</v>
      </c>
      <c r="Z265" s="177">
        <f t="shared" si="2018"/>
        <v>128.17097441280001</v>
      </c>
      <c r="AA265" s="207">
        <v>4.2240000000000002</v>
      </c>
      <c r="AB265" s="206">
        <f t="shared" ref="AB265:AB266" si="2039">K265*AA265*$AB$2/1000</f>
        <v>18.8418802176</v>
      </c>
      <c r="AC265" s="207">
        <v>2.1120000000000001</v>
      </c>
      <c r="AD265" s="177">
        <f t="shared" ref="AD265:AD266" si="2040">K265*AC265*$AD$2/1000</f>
        <v>9.4589934912000011</v>
      </c>
      <c r="AE265" s="207">
        <v>1.54</v>
      </c>
      <c r="AF265" s="205">
        <f>K265*AE265*$AF$2/1000</f>
        <v>6.9435121139999998</v>
      </c>
      <c r="AG265" s="189">
        <f t="shared" si="2020"/>
        <v>7.8760000000000003</v>
      </c>
      <c r="AH265" s="97">
        <f t="shared" si="2021"/>
        <v>35.244385822799998</v>
      </c>
      <c r="AI265" s="97">
        <f>SUM(Y265+AG265)</f>
        <v>37.444000000000003</v>
      </c>
      <c r="AJ265" s="177">
        <f t="shared" si="2023"/>
        <v>163.41536023560002</v>
      </c>
      <c r="AK265" s="207"/>
      <c r="AL265" s="177">
        <f>M265*AK265*$AL$2/1000</f>
        <v>0</v>
      </c>
      <c r="AM265" s="245"/>
      <c r="AN265" s="177">
        <f t="shared" si="2025"/>
        <v>0</v>
      </c>
      <c r="AO265" s="207"/>
      <c r="AP265" s="206">
        <f>M265*AO265*$AP$2/1000</f>
        <v>0</v>
      </c>
      <c r="AQ265" s="189">
        <f t="shared" si="2027"/>
        <v>0</v>
      </c>
      <c r="AR265" s="97">
        <f t="shared" si="2028"/>
        <v>0</v>
      </c>
      <c r="AS265" s="97"/>
      <c r="AT265" s="177">
        <f t="shared" si="2029"/>
        <v>0</v>
      </c>
      <c r="AU265" s="207"/>
      <c r="AV265" s="177">
        <f t="shared" si="2030"/>
        <v>0</v>
      </c>
      <c r="AW265" s="207"/>
      <c r="AX265" s="206">
        <f t="shared" si="2031"/>
        <v>0</v>
      </c>
      <c r="AY265" s="189">
        <f t="shared" si="2032"/>
        <v>0</v>
      </c>
      <c r="AZ265" s="97">
        <f t="shared" si="2033"/>
        <v>0</v>
      </c>
      <c r="BA265" s="97">
        <f t="shared" si="2034"/>
        <v>0</v>
      </c>
      <c r="BB265" s="97">
        <f t="shared" si="2035"/>
        <v>0</v>
      </c>
      <c r="BC265" s="1" t="s">
        <v>1780</v>
      </c>
    </row>
    <row r="266" spans="1:55">
      <c r="A266" s="498">
        <v>180</v>
      </c>
      <c r="B266" s="13"/>
      <c r="C266" s="13"/>
      <c r="D266" s="13"/>
      <c r="E266" s="21" t="s">
        <v>1722</v>
      </c>
      <c r="F266" s="22" t="s">
        <v>710</v>
      </c>
      <c r="G266" s="22" t="s">
        <v>1105</v>
      </c>
      <c r="H266" s="268" t="s">
        <v>365</v>
      </c>
      <c r="I266" s="55">
        <v>3.91</v>
      </c>
      <c r="J266" s="102"/>
      <c r="K266" s="55">
        <v>3.91</v>
      </c>
      <c r="L266" s="163"/>
      <c r="M266" s="55">
        <v>3.91</v>
      </c>
      <c r="N266" s="163"/>
      <c r="O266" s="55">
        <v>3.91</v>
      </c>
      <c r="P266" s="102"/>
      <c r="Q266" s="97">
        <f t="shared" si="2015"/>
        <v>16.192</v>
      </c>
      <c r="R266" s="342">
        <f t="shared" si="2016"/>
        <v>86.126664800000015</v>
      </c>
      <c r="S266" s="97"/>
      <c r="T266" s="97">
        <f t="shared" si="2036"/>
        <v>0</v>
      </c>
      <c r="U266" s="97"/>
      <c r="V266" s="177">
        <f t="shared" si="2037"/>
        <v>0</v>
      </c>
      <c r="W266" s="207">
        <v>4.2240000000000002</v>
      </c>
      <c r="X266" s="206">
        <f t="shared" si="2038"/>
        <v>21.975976704000001</v>
      </c>
      <c r="Y266" s="189">
        <f t="shared" ref="Y266" si="2041">SUM(S266+U266+W266)</f>
        <v>4.2240000000000002</v>
      </c>
      <c r="Z266" s="177">
        <f t="shared" si="2018"/>
        <v>21.975976704000001</v>
      </c>
      <c r="AA266" s="207">
        <v>4.2240000000000002</v>
      </c>
      <c r="AB266" s="206">
        <f t="shared" si="2039"/>
        <v>22.529587660800001</v>
      </c>
      <c r="AC266" s="207">
        <v>4.2240000000000002</v>
      </c>
      <c r="AD266" s="177">
        <f t="shared" si="2040"/>
        <v>22.620589939200002</v>
      </c>
      <c r="AE266" s="207">
        <v>2.1120000000000001</v>
      </c>
      <c r="AF266" s="205">
        <f t="shared" ref="AF266" si="2042">K266*AE266*$AF$2/1000</f>
        <v>11.386267833600002</v>
      </c>
      <c r="AG266" s="189">
        <f t="shared" si="2020"/>
        <v>10.56</v>
      </c>
      <c r="AH266" s="97">
        <f t="shared" si="2021"/>
        <v>56.536445433600008</v>
      </c>
      <c r="AI266" s="97">
        <f t="shared" ref="AI266" si="2043">SUM(Y266+AG266)</f>
        <v>14.784000000000001</v>
      </c>
      <c r="AJ266" s="177">
        <f t="shared" si="2023"/>
        <v>78.512422137600012</v>
      </c>
      <c r="AK266" s="207">
        <v>1.4079999999999999</v>
      </c>
      <c r="AL266" s="177">
        <f t="shared" ref="AL266" si="2044">M266*AK266*$AL$2/1000</f>
        <v>7.6142426623999997</v>
      </c>
      <c r="AM266" s="245"/>
      <c r="AN266" s="177">
        <f t="shared" si="2025"/>
        <v>0</v>
      </c>
      <c r="AO266" s="207"/>
      <c r="AP266" s="206">
        <f t="shared" ref="AP266" si="2045">M266*AO266*$AP$2/1000</f>
        <v>0</v>
      </c>
      <c r="AQ266" s="189">
        <f t="shared" si="2027"/>
        <v>1.4079999999999999</v>
      </c>
      <c r="AR266" s="97">
        <f t="shared" si="2028"/>
        <v>7.6142426623999997</v>
      </c>
      <c r="AS266" s="97"/>
      <c r="AT266" s="177">
        <f t="shared" si="2029"/>
        <v>0</v>
      </c>
      <c r="AU266" s="207"/>
      <c r="AV266" s="177">
        <f t="shared" si="2030"/>
        <v>0</v>
      </c>
      <c r="AW266" s="207"/>
      <c r="AX266" s="206">
        <f t="shared" si="2031"/>
        <v>0</v>
      </c>
      <c r="AY266" s="189">
        <f t="shared" si="2032"/>
        <v>0</v>
      </c>
      <c r="AZ266" s="97">
        <f t="shared" si="2033"/>
        <v>0</v>
      </c>
      <c r="BA266" s="97">
        <f t="shared" si="2034"/>
        <v>1.4079999999999999</v>
      </c>
      <c r="BB266" s="97">
        <f t="shared" si="2035"/>
        <v>7.6142426623999997</v>
      </c>
      <c r="BC266" s="1" t="s">
        <v>1780</v>
      </c>
    </row>
    <row r="267" spans="1:55">
      <c r="A267" s="498">
        <v>179</v>
      </c>
      <c r="B267" s="13"/>
      <c r="C267" s="13"/>
      <c r="D267" s="13"/>
      <c r="E267" s="21" t="s">
        <v>1723</v>
      </c>
      <c r="F267" s="22" t="s">
        <v>1156</v>
      </c>
      <c r="G267" s="22" t="s">
        <v>1105</v>
      </c>
      <c r="H267" s="268" t="s">
        <v>365</v>
      </c>
      <c r="I267" s="55">
        <v>4</v>
      </c>
      <c r="J267" s="102"/>
      <c r="K267" s="55">
        <v>4</v>
      </c>
      <c r="L267" s="163"/>
      <c r="M267" s="55">
        <v>4</v>
      </c>
      <c r="N267" s="163"/>
      <c r="O267" s="55">
        <v>4</v>
      </c>
      <c r="P267" s="102"/>
      <c r="Q267" s="97">
        <f t="shared" ref="Q267:Q271" si="2046">SUM(AI267+BA267)</f>
        <v>44.351999999999997</v>
      </c>
      <c r="R267" s="342">
        <f t="shared" ref="R267:R271" si="2047">SUM(AJ267+BB267)</f>
        <v>236.67249408000001</v>
      </c>
      <c r="S267" s="97">
        <v>14.784000000000001</v>
      </c>
      <c r="T267" s="97">
        <f t="shared" ref="T267:T271" si="2048">I267*S267*$T$2/1000</f>
        <v>78.17128704000001</v>
      </c>
      <c r="U267" s="97">
        <v>5.28</v>
      </c>
      <c r="V267" s="177">
        <f t="shared" ref="V267:V271" si="2049">I267*U267*$V$2/1000</f>
        <v>28.098048000000002</v>
      </c>
      <c r="W267" s="207">
        <v>15.84</v>
      </c>
      <c r="X267" s="206">
        <f t="shared" ref="X267:X271" si="2050">I267*W267*$X$2/1000</f>
        <v>84.306815999999998</v>
      </c>
      <c r="Y267" s="189">
        <f>SUM(S267+U267+W267)</f>
        <v>35.903999999999996</v>
      </c>
      <c r="Z267" s="177">
        <f t="shared" ref="Z267:Z271" si="2051">SUM(T267+V267+X267)</f>
        <v>190.57615104000001</v>
      </c>
      <c r="AA267" s="207">
        <v>8.4480000000000004</v>
      </c>
      <c r="AB267" s="206">
        <f t="shared" ref="AB267:AB271" si="2052">K267*AA267*$AB$2/1000</f>
        <v>46.096343040000001</v>
      </c>
      <c r="AC267" s="207"/>
      <c r="AD267" s="177">
        <f t="shared" ref="AD267:AD271" si="2053">K267*AC267*$AD$2/1000</f>
        <v>0</v>
      </c>
      <c r="AE267" s="207"/>
      <c r="AF267" s="205">
        <f>K267*AE267*$AF$2/1000</f>
        <v>0</v>
      </c>
      <c r="AG267" s="189">
        <f t="shared" ref="AG267:AG271" si="2054">SUM(AA267+AC267+AE267)</f>
        <v>8.4480000000000004</v>
      </c>
      <c r="AH267" s="97">
        <f t="shared" ref="AH267:AH271" si="2055">SUM(AB267+AD267+AF267)</f>
        <v>46.096343040000001</v>
      </c>
      <c r="AI267" s="97">
        <f>SUM(Y267+AG267)</f>
        <v>44.351999999999997</v>
      </c>
      <c r="AJ267" s="177">
        <f t="shared" ref="AJ267:AJ271" si="2056">SUM(Z267,AH267)</f>
        <v>236.67249408000001</v>
      </c>
      <c r="AK267" s="207"/>
      <c r="AL267" s="177">
        <f>M267*AK267*$AL$2/1000</f>
        <v>0</v>
      </c>
      <c r="AM267" s="245"/>
      <c r="AN267" s="177">
        <f t="shared" ref="AN267:AN271" si="2057">M267*AM267*$AN$2/1000</f>
        <v>0</v>
      </c>
      <c r="AO267" s="207"/>
      <c r="AP267" s="206">
        <f>M267*AO267*$AP$2/1000</f>
        <v>0</v>
      </c>
      <c r="AQ267" s="189">
        <f t="shared" ref="AQ267:AQ271" si="2058">SUM(AK267+AM267+AO267)</f>
        <v>0</v>
      </c>
      <c r="AR267" s="97">
        <f t="shared" ref="AR267:AR271" si="2059">SUM(AL267+AN267+AP267)</f>
        <v>0</v>
      </c>
      <c r="AS267" s="97"/>
      <c r="AT267" s="177">
        <f t="shared" ref="AT267:AT271" si="2060">O267*AS267*$AT$2/1000</f>
        <v>0</v>
      </c>
      <c r="AU267" s="207"/>
      <c r="AV267" s="177">
        <f t="shared" ref="AV267:AV271" si="2061">O267*AU267*$AV$2/1000</f>
        <v>0</v>
      </c>
      <c r="AW267" s="207"/>
      <c r="AX267" s="206">
        <f t="shared" ref="AX267:AX271" si="2062">O267*AW267*$AX$2/1000</f>
        <v>0</v>
      </c>
      <c r="AY267" s="189">
        <f t="shared" ref="AY267:AY271" si="2063">SUM(AS267+AU267+AW267)</f>
        <v>0</v>
      </c>
      <c r="AZ267" s="97">
        <f t="shared" ref="AZ267:AZ271" si="2064">SUM(AT267+AV267+AX267)</f>
        <v>0</v>
      </c>
      <c r="BA267" s="97">
        <f t="shared" ref="BA267:BA271" si="2065">SUM(AQ267+AY267)</f>
        <v>0</v>
      </c>
      <c r="BB267" s="97">
        <f t="shared" ref="BB267:BB271" si="2066">SUM(AR267,AZ267)</f>
        <v>0</v>
      </c>
      <c r="BC267" s="1" t="s">
        <v>1780</v>
      </c>
    </row>
    <row r="268" spans="1:55">
      <c r="A268" s="498">
        <v>180</v>
      </c>
      <c r="B268" s="13"/>
      <c r="C268" s="13"/>
      <c r="D268" s="13"/>
      <c r="E268" s="21" t="s">
        <v>1724</v>
      </c>
      <c r="F268" s="22" t="s">
        <v>1157</v>
      </c>
      <c r="G268" s="22" t="s">
        <v>1105</v>
      </c>
      <c r="H268" s="268" t="s">
        <v>365</v>
      </c>
      <c r="I268" s="55">
        <v>4.76</v>
      </c>
      <c r="J268" s="102"/>
      <c r="K268" s="55">
        <v>4.76</v>
      </c>
      <c r="L268" s="163"/>
      <c r="M268" s="55">
        <v>4.76</v>
      </c>
      <c r="N268" s="163"/>
      <c r="O268" s="55">
        <v>4.76</v>
      </c>
      <c r="P268" s="102"/>
      <c r="Q268" s="97">
        <f t="shared" si="2046"/>
        <v>0</v>
      </c>
      <c r="R268" s="342">
        <f t="shared" si="2047"/>
        <v>0</v>
      </c>
      <c r="S268" s="97"/>
      <c r="T268" s="97">
        <f t="shared" si="2048"/>
        <v>0</v>
      </c>
      <c r="U268" s="97"/>
      <c r="V268" s="177">
        <f t="shared" si="2049"/>
        <v>0</v>
      </c>
      <c r="W268" s="207"/>
      <c r="X268" s="206">
        <f t="shared" si="2050"/>
        <v>0</v>
      </c>
      <c r="Y268" s="189">
        <f t="shared" ref="Y268" si="2067">SUM(S268+U268+W268)</f>
        <v>0</v>
      </c>
      <c r="Z268" s="177">
        <f t="shared" si="2051"/>
        <v>0</v>
      </c>
      <c r="AA268" s="207"/>
      <c r="AB268" s="206">
        <f t="shared" si="2052"/>
        <v>0</v>
      </c>
      <c r="AC268" s="207"/>
      <c r="AD268" s="177">
        <f t="shared" si="2053"/>
        <v>0</v>
      </c>
      <c r="AE268" s="207"/>
      <c r="AF268" s="205">
        <f t="shared" ref="AF268" si="2068">K268*AE268*$AF$2/1000</f>
        <v>0</v>
      </c>
      <c r="AG268" s="189">
        <f t="shared" si="2054"/>
        <v>0</v>
      </c>
      <c r="AH268" s="97">
        <f t="shared" si="2055"/>
        <v>0</v>
      </c>
      <c r="AI268" s="97">
        <f t="shared" ref="AI268" si="2069">SUM(Y268+AG268)</f>
        <v>0</v>
      </c>
      <c r="AJ268" s="177">
        <f t="shared" si="2056"/>
        <v>0</v>
      </c>
      <c r="AK268" s="207"/>
      <c r="AL268" s="177">
        <f t="shared" ref="AL268" si="2070">M268*AK268*$AL$2/1000</f>
        <v>0</v>
      </c>
      <c r="AM268" s="245"/>
      <c r="AN268" s="177">
        <f t="shared" si="2057"/>
        <v>0</v>
      </c>
      <c r="AO268" s="207"/>
      <c r="AP268" s="206">
        <f t="shared" ref="AP268" si="2071">M268*AO268*$AP$2/1000</f>
        <v>0</v>
      </c>
      <c r="AQ268" s="189">
        <f t="shared" si="2058"/>
        <v>0</v>
      </c>
      <c r="AR268" s="97">
        <f t="shared" si="2059"/>
        <v>0</v>
      </c>
      <c r="AS268" s="97"/>
      <c r="AT268" s="177">
        <f t="shared" si="2060"/>
        <v>0</v>
      </c>
      <c r="AU268" s="207"/>
      <c r="AV268" s="177">
        <f t="shared" si="2061"/>
        <v>0</v>
      </c>
      <c r="AW268" s="207"/>
      <c r="AX268" s="206">
        <f t="shared" si="2062"/>
        <v>0</v>
      </c>
      <c r="AY268" s="189">
        <f t="shared" si="2063"/>
        <v>0</v>
      </c>
      <c r="AZ268" s="97">
        <f t="shared" si="2064"/>
        <v>0</v>
      </c>
      <c r="BA268" s="97">
        <f t="shared" si="2065"/>
        <v>0</v>
      </c>
      <c r="BB268" s="97">
        <f t="shared" si="2066"/>
        <v>0</v>
      </c>
      <c r="BC268" s="1" t="s">
        <v>1780</v>
      </c>
    </row>
    <row r="269" spans="1:55">
      <c r="A269" s="498">
        <v>179</v>
      </c>
      <c r="B269" s="53" t="s">
        <v>1725</v>
      </c>
      <c r="C269" s="53" t="s">
        <v>33</v>
      </c>
      <c r="D269" s="53" t="s">
        <v>595</v>
      </c>
      <c r="E269" s="21" t="s">
        <v>1726</v>
      </c>
      <c r="F269" s="22" t="s">
        <v>709</v>
      </c>
      <c r="G269" s="22" t="s">
        <v>1105</v>
      </c>
      <c r="H269" s="268" t="s">
        <v>365</v>
      </c>
      <c r="I269" s="55">
        <v>3.37</v>
      </c>
      <c r="J269" s="102"/>
      <c r="K269" s="55">
        <v>3.37</v>
      </c>
      <c r="L269" s="163"/>
      <c r="M269" s="55">
        <v>3.37</v>
      </c>
      <c r="N269" s="163"/>
      <c r="O269" s="55">
        <v>3.37</v>
      </c>
      <c r="P269" s="102"/>
      <c r="Q269" s="97">
        <f t="shared" si="2046"/>
        <v>304.53999999999996</v>
      </c>
      <c r="R269" s="342">
        <f t="shared" si="2047"/>
        <v>1400.2101184812</v>
      </c>
      <c r="S269" s="97">
        <v>0.41199999999999998</v>
      </c>
      <c r="T269" s="97">
        <f t="shared" si="2048"/>
        <v>1.8353649516000001</v>
      </c>
      <c r="U269" s="97">
        <v>11.616</v>
      </c>
      <c r="V269" s="177">
        <f t="shared" si="2049"/>
        <v>52.079731967999997</v>
      </c>
      <c r="W269" s="207">
        <v>27.456</v>
      </c>
      <c r="X269" s="206">
        <f t="shared" si="2050"/>
        <v>123.11605363199997</v>
      </c>
      <c r="Y269" s="189">
        <f>SUM(S269+U269+W269)</f>
        <v>39.484000000000002</v>
      </c>
      <c r="Z269" s="177">
        <f t="shared" si="2051"/>
        <v>177.03115055159998</v>
      </c>
      <c r="AA269" s="207">
        <v>40.128</v>
      </c>
      <c r="AB269" s="206">
        <f t="shared" si="2052"/>
        <v>184.47180280319998</v>
      </c>
      <c r="AC269" s="207">
        <v>33.792000000000002</v>
      </c>
      <c r="AD269" s="177">
        <f t="shared" si="2053"/>
        <v>155.97214955520002</v>
      </c>
      <c r="AE269" s="207">
        <v>21.12</v>
      </c>
      <c r="AF269" s="205">
        <f>K269*AE269*$AF$2/1000</f>
        <v>98.137397952000001</v>
      </c>
      <c r="AG269" s="189">
        <f t="shared" si="2054"/>
        <v>95.04</v>
      </c>
      <c r="AH269" s="97">
        <f t="shared" si="2055"/>
        <v>438.58135031040001</v>
      </c>
      <c r="AI269" s="97">
        <f>SUM(Y269+AG269)</f>
        <v>134.524</v>
      </c>
      <c r="AJ269" s="177">
        <f t="shared" si="2056"/>
        <v>615.61250086199993</v>
      </c>
      <c r="AK269" s="207">
        <v>47.52</v>
      </c>
      <c r="AL269" s="177">
        <f>M269*AK269*$AL$2/1000</f>
        <v>221.48975059200001</v>
      </c>
      <c r="AM269" s="245">
        <v>35.904000000000003</v>
      </c>
      <c r="AN269" s="177">
        <f t="shared" si="2057"/>
        <v>164.68830892800003</v>
      </c>
      <c r="AO269" s="207">
        <v>38.015999999999998</v>
      </c>
      <c r="AP269" s="206">
        <f>M269*AO269*$AP$2/1000</f>
        <v>170.69770586880003</v>
      </c>
      <c r="AQ269" s="189">
        <f t="shared" si="2058"/>
        <v>121.44</v>
      </c>
      <c r="AR269" s="97">
        <f t="shared" si="2059"/>
        <v>556.87576538880012</v>
      </c>
      <c r="AS269" s="97">
        <v>19.007999999999999</v>
      </c>
      <c r="AT269" s="177">
        <f t="shared" si="2060"/>
        <v>86.982945984000011</v>
      </c>
      <c r="AU269" s="207">
        <v>7.3920000000000003</v>
      </c>
      <c r="AV269" s="177">
        <f t="shared" si="2061"/>
        <v>34.667947036800001</v>
      </c>
      <c r="AW269" s="207">
        <v>22.175999999999998</v>
      </c>
      <c r="AX269" s="206">
        <f t="shared" si="2062"/>
        <v>106.07095920959999</v>
      </c>
      <c r="AY269" s="189">
        <f t="shared" si="2063"/>
        <v>48.575999999999993</v>
      </c>
      <c r="AZ269" s="97">
        <f t="shared" si="2064"/>
        <v>227.7218522304</v>
      </c>
      <c r="BA269" s="97">
        <f t="shared" si="2065"/>
        <v>170.01599999999999</v>
      </c>
      <c r="BB269" s="97">
        <f t="shared" si="2066"/>
        <v>784.59761761920015</v>
      </c>
      <c r="BC269" s="1" t="s">
        <v>1782</v>
      </c>
    </row>
    <row r="270" spans="1:55">
      <c r="A270" s="498">
        <v>180</v>
      </c>
      <c r="B270" s="13"/>
      <c r="C270" s="13"/>
      <c r="D270" s="13"/>
      <c r="E270" s="21" t="s">
        <v>1727</v>
      </c>
      <c r="F270" s="22" t="s">
        <v>710</v>
      </c>
      <c r="G270" s="22" t="s">
        <v>1105</v>
      </c>
      <c r="H270" s="268" t="s">
        <v>365</v>
      </c>
      <c r="I270" s="55">
        <v>4.03</v>
      </c>
      <c r="J270" s="102"/>
      <c r="K270" s="55">
        <v>4.03</v>
      </c>
      <c r="L270" s="163"/>
      <c r="M270" s="55">
        <v>4.03</v>
      </c>
      <c r="N270" s="163"/>
      <c r="O270" s="55">
        <v>4.03</v>
      </c>
      <c r="P270" s="102"/>
      <c r="Q270" s="97">
        <f t="shared" si="2046"/>
        <v>109.82400000000001</v>
      </c>
      <c r="R270" s="342">
        <f t="shared" si="2047"/>
        <v>605.68982622720011</v>
      </c>
      <c r="S270" s="97"/>
      <c r="T270" s="97">
        <f t="shared" si="2048"/>
        <v>0</v>
      </c>
      <c r="U270" s="97"/>
      <c r="V270" s="177">
        <f t="shared" si="2049"/>
        <v>0</v>
      </c>
      <c r="W270" s="207">
        <v>10.56</v>
      </c>
      <c r="X270" s="206">
        <f t="shared" si="2050"/>
        <v>56.626078079999999</v>
      </c>
      <c r="Y270" s="189">
        <f t="shared" ref="Y270" si="2072">SUM(S270+U270+W270)</f>
        <v>10.56</v>
      </c>
      <c r="Z270" s="177">
        <f t="shared" si="2051"/>
        <v>56.626078079999999</v>
      </c>
      <c r="AA270" s="207">
        <v>13.728</v>
      </c>
      <c r="AB270" s="206">
        <f t="shared" si="2052"/>
        <v>75.468356620799995</v>
      </c>
      <c r="AC270" s="207">
        <v>35.904000000000003</v>
      </c>
      <c r="AD270" s="177">
        <f t="shared" si="2053"/>
        <v>198.17603794560006</v>
      </c>
      <c r="AE270" s="207">
        <v>16.896000000000001</v>
      </c>
      <c r="AF270" s="205">
        <f t="shared" ref="AF270:AF272" si="2073">K270*AE270*$AF$2/1000</f>
        <v>93.885748070400012</v>
      </c>
      <c r="AG270" s="189">
        <f t="shared" si="2054"/>
        <v>66.528000000000006</v>
      </c>
      <c r="AH270" s="97">
        <f t="shared" si="2055"/>
        <v>367.53014263680006</v>
      </c>
      <c r="AI270" s="97">
        <f t="shared" ref="AI270:AI272" si="2074">SUM(Y270+AG270)</f>
        <v>77.088000000000008</v>
      </c>
      <c r="AJ270" s="177">
        <f t="shared" si="2056"/>
        <v>424.15622071680008</v>
      </c>
      <c r="AK270" s="207"/>
      <c r="AL270" s="177">
        <f t="shared" ref="AL270:AL272" si="2075">M270*AK270*$AL$2/1000</f>
        <v>0</v>
      </c>
      <c r="AM270" s="245">
        <v>9.5039999999999996</v>
      </c>
      <c r="AN270" s="177">
        <f t="shared" si="2057"/>
        <v>52.131654431999998</v>
      </c>
      <c r="AO270" s="207">
        <v>8.4480000000000004</v>
      </c>
      <c r="AP270" s="206">
        <f t="shared" ref="AP270:AP272" si="2076">M270*AO270*$AP$2/1000</f>
        <v>45.361803801600011</v>
      </c>
      <c r="AQ270" s="189">
        <f t="shared" si="2058"/>
        <v>17.951999999999998</v>
      </c>
      <c r="AR270" s="97">
        <f t="shared" si="2059"/>
        <v>97.493458233600009</v>
      </c>
      <c r="AS270" s="97">
        <v>2.1120000000000001</v>
      </c>
      <c r="AT270" s="177">
        <f t="shared" si="2060"/>
        <v>11.557575744000003</v>
      </c>
      <c r="AU270" s="207"/>
      <c r="AV270" s="177">
        <f t="shared" si="2061"/>
        <v>0</v>
      </c>
      <c r="AW270" s="207">
        <v>12.672000000000001</v>
      </c>
      <c r="AX270" s="206">
        <f t="shared" si="2062"/>
        <v>72.482571532800009</v>
      </c>
      <c r="AY270" s="189">
        <f t="shared" si="2063"/>
        <v>14.784000000000001</v>
      </c>
      <c r="AZ270" s="97">
        <f t="shared" si="2064"/>
        <v>84.040147276800013</v>
      </c>
      <c r="BA270" s="97">
        <f t="shared" si="2065"/>
        <v>32.735999999999997</v>
      </c>
      <c r="BB270" s="97">
        <f t="shared" si="2066"/>
        <v>181.53360551040004</v>
      </c>
      <c r="BC270" s="1" t="s">
        <v>1782</v>
      </c>
    </row>
    <row r="271" spans="1:55">
      <c r="A271" s="498">
        <v>180</v>
      </c>
      <c r="B271" s="13"/>
      <c r="C271" s="13"/>
      <c r="D271" s="13"/>
      <c r="E271" s="21" t="s">
        <v>1754</v>
      </c>
      <c r="F271" s="22" t="s">
        <v>1753</v>
      </c>
      <c r="G271" s="22" t="s">
        <v>1105</v>
      </c>
      <c r="H271" s="268" t="s">
        <v>365</v>
      </c>
      <c r="I271" s="55"/>
      <c r="J271" s="102"/>
      <c r="K271" s="55">
        <v>4.13</v>
      </c>
      <c r="L271" s="163"/>
      <c r="M271" s="55">
        <v>4.13</v>
      </c>
      <c r="N271" s="163"/>
      <c r="O271" s="55">
        <v>4.13</v>
      </c>
      <c r="P271" s="102"/>
      <c r="Q271" s="97">
        <f t="shared" si="2046"/>
        <v>145.72800000000001</v>
      </c>
      <c r="R271" s="342">
        <f t="shared" si="2047"/>
        <v>832.86871335360001</v>
      </c>
      <c r="S271" s="97"/>
      <c r="T271" s="97">
        <f t="shared" si="2048"/>
        <v>0</v>
      </c>
      <c r="U271" s="97"/>
      <c r="V271" s="177">
        <f t="shared" si="2049"/>
        <v>0</v>
      </c>
      <c r="W271" s="207"/>
      <c r="X271" s="206">
        <f t="shared" si="2050"/>
        <v>0</v>
      </c>
      <c r="Y271" s="189">
        <f t="shared" ref="Y271" si="2077">SUM(S271+U271+W271)</f>
        <v>0</v>
      </c>
      <c r="Z271" s="177">
        <f t="shared" si="2051"/>
        <v>0</v>
      </c>
      <c r="AA271" s="207"/>
      <c r="AB271" s="206">
        <f t="shared" si="2052"/>
        <v>0</v>
      </c>
      <c r="AC271" s="207">
        <v>12.672000000000001</v>
      </c>
      <c r="AD271" s="177">
        <f t="shared" si="2053"/>
        <v>71.680079116800016</v>
      </c>
      <c r="AE271" s="207">
        <v>12.672000000000001</v>
      </c>
      <c r="AF271" s="205">
        <f t="shared" ref="AF271" si="2078">K271*AE271*$AF$2/1000</f>
        <v>72.161564428800006</v>
      </c>
      <c r="AG271" s="189">
        <f t="shared" si="2054"/>
        <v>25.344000000000001</v>
      </c>
      <c r="AH271" s="97">
        <f t="shared" si="2055"/>
        <v>143.84164354560002</v>
      </c>
      <c r="AI271" s="97">
        <f t="shared" ref="AI271" si="2079">SUM(Y271+AG271)</f>
        <v>25.344000000000001</v>
      </c>
      <c r="AJ271" s="177">
        <f t="shared" si="2056"/>
        <v>143.84164354560002</v>
      </c>
      <c r="AK271" s="207"/>
      <c r="AL271" s="177">
        <f t="shared" ref="AL271" si="2080">M271*AK271*$AL$2/1000</f>
        <v>0</v>
      </c>
      <c r="AM271" s="245"/>
      <c r="AN271" s="177">
        <f t="shared" si="2057"/>
        <v>0</v>
      </c>
      <c r="AO271" s="207">
        <v>22.175999999999998</v>
      </c>
      <c r="AP271" s="206">
        <f t="shared" ref="AP271" si="2081">M271*AO271*$AP$2/1000</f>
        <v>122.02944304319999</v>
      </c>
      <c r="AQ271" s="189">
        <f t="shared" si="2058"/>
        <v>22.175999999999998</v>
      </c>
      <c r="AR271" s="97">
        <f t="shared" si="2059"/>
        <v>122.02944304319999</v>
      </c>
      <c r="AS271" s="97">
        <v>28.512</v>
      </c>
      <c r="AT271" s="177">
        <f t="shared" si="2060"/>
        <v>159.89891702399999</v>
      </c>
      <c r="AU271" s="207">
        <v>12.672000000000001</v>
      </c>
      <c r="AV271" s="177">
        <f t="shared" si="2061"/>
        <v>72.833550451200011</v>
      </c>
      <c r="AW271" s="207">
        <v>57.024000000000001</v>
      </c>
      <c r="AX271" s="206">
        <f t="shared" si="2062"/>
        <v>334.26515928959998</v>
      </c>
      <c r="AY271" s="189">
        <f t="shared" si="2063"/>
        <v>98.207999999999998</v>
      </c>
      <c r="AZ271" s="97">
        <f t="shared" si="2064"/>
        <v>566.99762676479997</v>
      </c>
      <c r="BA271" s="97">
        <f t="shared" si="2065"/>
        <v>120.384</v>
      </c>
      <c r="BB271" s="97">
        <f t="shared" si="2066"/>
        <v>689.02706980799996</v>
      </c>
      <c r="BC271" s="1" t="s">
        <v>1782</v>
      </c>
    </row>
    <row r="272" spans="1:55">
      <c r="A272" s="498">
        <v>180</v>
      </c>
      <c r="B272" s="13"/>
      <c r="C272" s="13"/>
      <c r="D272" s="13"/>
      <c r="E272" s="21" t="s">
        <v>1755</v>
      </c>
      <c r="F272" s="22" t="s">
        <v>1157</v>
      </c>
      <c r="G272" s="22" t="s">
        <v>1105</v>
      </c>
      <c r="H272" s="268" t="s">
        <v>365</v>
      </c>
      <c r="I272" s="55"/>
      <c r="J272" s="102"/>
      <c r="K272" s="55">
        <v>4.96</v>
      </c>
      <c r="L272" s="163"/>
      <c r="M272" s="55">
        <v>4.96</v>
      </c>
      <c r="N272" s="163"/>
      <c r="O272" s="55">
        <v>4.96</v>
      </c>
      <c r="P272" s="102"/>
      <c r="Q272" s="97">
        <f t="shared" ref="Q272:Q274" si="2082">SUM(AI272+BA272)</f>
        <v>13.728000000000002</v>
      </c>
      <c r="R272" s="342">
        <f t="shared" ref="R272:R274" si="2083">SUM(AJ272+BB272)</f>
        <v>92.70657116160001</v>
      </c>
      <c r="S272" s="97"/>
      <c r="T272" s="97">
        <f t="shared" ref="T272:T273" si="2084">I272*S272*$T$2/1000</f>
        <v>0</v>
      </c>
      <c r="U272" s="97"/>
      <c r="V272" s="177">
        <f t="shared" ref="V272:V274" si="2085">I272*U272*$V$2/1000</f>
        <v>0</v>
      </c>
      <c r="W272" s="207"/>
      <c r="X272" s="206">
        <f t="shared" ref="X272:X274" si="2086">I272*W272*$X$2/1000</f>
        <v>0</v>
      </c>
      <c r="Y272" s="189">
        <f t="shared" ref="Y272" si="2087">SUM(S272+U272+W272)</f>
        <v>0</v>
      </c>
      <c r="Z272" s="177">
        <f t="shared" ref="Z272:Z274" si="2088">SUM(T272+V272+X272)</f>
        <v>0</v>
      </c>
      <c r="AA272" s="207"/>
      <c r="AB272" s="206">
        <f t="shared" ref="AB272:AB274" si="2089">K272*AA272*$AB$2/1000</f>
        <v>0</v>
      </c>
      <c r="AC272" s="207">
        <v>3.1680000000000001</v>
      </c>
      <c r="AD272" s="177">
        <f t="shared" ref="AD272:AD274" si="2090">K272*AC272*$AD$2/1000</f>
        <v>21.521379686400003</v>
      </c>
      <c r="AE272" s="207">
        <v>3.1680000000000001</v>
      </c>
      <c r="AF272" s="205">
        <f t="shared" si="2073"/>
        <v>21.6659418624</v>
      </c>
      <c r="AG272" s="189">
        <f t="shared" ref="AG272:AG274" si="2091">SUM(AA272+AC272+AE272)</f>
        <v>6.3360000000000003</v>
      </c>
      <c r="AH272" s="97">
        <f t="shared" ref="AH272:AH274" si="2092">SUM(AB272+AD272+AF272)</f>
        <v>43.1873215488</v>
      </c>
      <c r="AI272" s="97">
        <f t="shared" si="2074"/>
        <v>6.3360000000000003</v>
      </c>
      <c r="AJ272" s="177">
        <f t="shared" ref="AJ272:AJ274" si="2093">SUM(Z272,AH272)</f>
        <v>43.1873215488</v>
      </c>
      <c r="AK272" s="207"/>
      <c r="AL272" s="177">
        <f t="shared" si="2075"/>
        <v>0</v>
      </c>
      <c r="AM272" s="245"/>
      <c r="AN272" s="177">
        <f t="shared" ref="AN272:AN274" si="2094">M272*AM272*$AN$2/1000</f>
        <v>0</v>
      </c>
      <c r="AO272" s="207">
        <v>2.1120000000000001</v>
      </c>
      <c r="AP272" s="206">
        <f t="shared" si="2076"/>
        <v>13.957478092800004</v>
      </c>
      <c r="AQ272" s="189">
        <f t="shared" ref="AQ272:AQ274" si="2095">SUM(AK272+AM272+AO272)</f>
        <v>2.1120000000000001</v>
      </c>
      <c r="AR272" s="97">
        <f t="shared" ref="AR272:AR274" si="2096">SUM(AL272+AN272+AP272)</f>
        <v>13.957478092800004</v>
      </c>
      <c r="AS272" s="97">
        <v>5.28</v>
      </c>
      <c r="AT272" s="177">
        <f t="shared" ref="AT272:AT274" si="2097">O272*AS272*$AT$2/1000</f>
        <v>35.561771520000001</v>
      </c>
      <c r="AU272" s="207"/>
      <c r="AV272" s="177">
        <f t="shared" ref="AV272:AV274" si="2098">O272*AU272*$AV$2/1000</f>
        <v>0</v>
      </c>
      <c r="AW272" s="207"/>
      <c r="AX272" s="206">
        <f t="shared" ref="AX272:AX274" si="2099">O272*AW272*$AX$2/1000</f>
        <v>0</v>
      </c>
      <c r="AY272" s="189">
        <f t="shared" ref="AY272:AY274" si="2100">SUM(AS272+AU272+AW272)</f>
        <v>5.28</v>
      </c>
      <c r="AZ272" s="97">
        <f t="shared" ref="AZ272:AZ274" si="2101">SUM(AT272+AV272+AX272)</f>
        <v>35.561771520000001</v>
      </c>
      <c r="BA272" s="97">
        <f t="shared" ref="BA272:BA274" si="2102">SUM(AQ272+AY272)</f>
        <v>7.3920000000000003</v>
      </c>
      <c r="BB272" s="97">
        <f t="shared" ref="BB272:BB274" si="2103">SUM(AR272,AZ272)</f>
        <v>49.519249612800003</v>
      </c>
      <c r="BC272" s="1" t="s">
        <v>1782</v>
      </c>
    </row>
    <row r="273" spans="1:55">
      <c r="A273" s="498">
        <v>186</v>
      </c>
      <c r="B273" s="53" t="s">
        <v>1769</v>
      </c>
      <c r="C273" s="53" t="s">
        <v>33</v>
      </c>
      <c r="D273" s="53" t="s">
        <v>15</v>
      </c>
      <c r="E273" s="21" t="s">
        <v>1770</v>
      </c>
      <c r="F273" s="91" t="s">
        <v>709</v>
      </c>
      <c r="G273" s="91" t="s">
        <v>1105</v>
      </c>
      <c r="H273" s="268" t="s">
        <v>365</v>
      </c>
      <c r="I273" s="55"/>
      <c r="J273" s="102"/>
      <c r="K273" s="55">
        <v>3.37</v>
      </c>
      <c r="L273" s="163"/>
      <c r="M273" s="55">
        <v>3.37</v>
      </c>
      <c r="N273" s="163"/>
      <c r="O273" s="55">
        <v>3.37</v>
      </c>
      <c r="P273" s="102"/>
      <c r="Q273" s="97">
        <f t="shared" si="2082"/>
        <v>21.364000000000001</v>
      </c>
      <c r="R273" s="342">
        <f t="shared" si="2083"/>
        <v>97.870308602000023</v>
      </c>
      <c r="S273" s="97"/>
      <c r="T273" s="97">
        <f t="shared" si="2084"/>
        <v>0</v>
      </c>
      <c r="U273" s="97"/>
      <c r="V273" s="177">
        <f t="shared" si="2085"/>
        <v>0</v>
      </c>
      <c r="W273" s="207"/>
      <c r="X273" s="206">
        <f t="shared" si="2086"/>
        <v>0</v>
      </c>
      <c r="Y273" s="189">
        <f>SUM(S273+U273+W273)</f>
        <v>0</v>
      </c>
      <c r="Z273" s="177">
        <f t="shared" si="2088"/>
        <v>0</v>
      </c>
      <c r="AA273" s="207"/>
      <c r="AB273" s="206">
        <f t="shared" si="2089"/>
        <v>0</v>
      </c>
      <c r="AC273" s="207"/>
      <c r="AD273" s="177">
        <f t="shared" si="2090"/>
        <v>0</v>
      </c>
      <c r="AE273" s="207">
        <v>0.3</v>
      </c>
      <c r="AF273" s="205">
        <f>K273*AE273*$AF$2/1000</f>
        <v>1.3939971299999998</v>
      </c>
      <c r="AG273" s="189">
        <f t="shared" si="2091"/>
        <v>0.3</v>
      </c>
      <c r="AH273" s="97">
        <f t="shared" si="2092"/>
        <v>1.3939971299999998</v>
      </c>
      <c r="AI273" s="97">
        <f>SUM(Y273+AG273)</f>
        <v>0.3</v>
      </c>
      <c r="AJ273" s="177">
        <f t="shared" si="2093"/>
        <v>1.3939971299999998</v>
      </c>
      <c r="AK273" s="207">
        <v>1</v>
      </c>
      <c r="AL273" s="177">
        <f>M273*AK273*$AL$2/1000</f>
        <v>4.6609795999999992</v>
      </c>
      <c r="AM273" s="245"/>
      <c r="AN273" s="177">
        <f t="shared" si="2094"/>
        <v>0</v>
      </c>
      <c r="AO273" s="207"/>
      <c r="AP273" s="206">
        <f>M273*AO273*$AP$2/1000</f>
        <v>0</v>
      </c>
      <c r="AQ273" s="189">
        <f t="shared" si="2095"/>
        <v>1</v>
      </c>
      <c r="AR273" s="97">
        <f t="shared" si="2096"/>
        <v>4.6609795999999992</v>
      </c>
      <c r="AS273" s="97">
        <v>20.064</v>
      </c>
      <c r="AT273" s="177">
        <f t="shared" si="2097"/>
        <v>91.815331872000016</v>
      </c>
      <c r="AU273" s="207"/>
      <c r="AV273" s="177">
        <f t="shared" si="2098"/>
        <v>0</v>
      </c>
      <c r="AW273" s="207"/>
      <c r="AX273" s="206">
        <f t="shared" si="2099"/>
        <v>0</v>
      </c>
      <c r="AY273" s="189">
        <f t="shared" si="2100"/>
        <v>20.064</v>
      </c>
      <c r="AZ273" s="97">
        <f t="shared" si="2101"/>
        <v>91.815331872000016</v>
      </c>
      <c r="BA273" s="97">
        <f t="shared" si="2102"/>
        <v>21.064</v>
      </c>
      <c r="BB273" s="97">
        <f t="shared" si="2103"/>
        <v>96.47631147200002</v>
      </c>
      <c r="BC273" s="1" t="s">
        <v>1782</v>
      </c>
    </row>
    <row r="274" spans="1:55">
      <c r="A274" s="498">
        <v>187</v>
      </c>
      <c r="B274" s="13"/>
      <c r="C274" s="13"/>
      <c r="D274" s="13"/>
      <c r="E274" s="21" t="s">
        <v>1771</v>
      </c>
      <c r="F274" s="46" t="s">
        <v>710</v>
      </c>
      <c r="G274" s="22" t="s">
        <v>1105</v>
      </c>
      <c r="H274" s="268" t="s">
        <v>365</v>
      </c>
      <c r="I274" s="55"/>
      <c r="J274" s="102"/>
      <c r="K274" s="55">
        <v>4.03</v>
      </c>
      <c r="L274" s="163"/>
      <c r="M274" s="55">
        <v>4.03</v>
      </c>
      <c r="N274" s="163"/>
      <c r="O274" s="55">
        <v>4.03</v>
      </c>
      <c r="P274" s="102"/>
      <c r="Q274" s="129">
        <f t="shared" si="2082"/>
        <v>4.2439999999999998</v>
      </c>
      <c r="R274" s="342">
        <f t="shared" si="2083"/>
        <v>23.226285186000005</v>
      </c>
      <c r="S274" s="97"/>
      <c r="T274" s="97">
        <f t="shared" ref="T274:T285" si="2104">I274*S274*$T$2/1000</f>
        <v>0</v>
      </c>
      <c r="U274" s="97"/>
      <c r="V274" s="177">
        <f t="shared" si="2085"/>
        <v>0</v>
      </c>
      <c r="W274" s="207"/>
      <c r="X274" s="206">
        <f t="shared" si="2086"/>
        <v>0</v>
      </c>
      <c r="Y274" s="189">
        <f t="shared" ref="Y274" si="2105">SUM(S274+U274+W274)</f>
        <v>0</v>
      </c>
      <c r="Z274" s="177">
        <f t="shared" si="2088"/>
        <v>0</v>
      </c>
      <c r="AA274" s="207"/>
      <c r="AB274" s="206">
        <f t="shared" si="2089"/>
        <v>0</v>
      </c>
      <c r="AC274" s="207"/>
      <c r="AD274" s="177">
        <f t="shared" si="2090"/>
        <v>0</v>
      </c>
      <c r="AE274" s="207">
        <v>0.02</v>
      </c>
      <c r="AF274" s="205">
        <f t="shared" ref="AF274" si="2106">K274*AE274*$AF$2/1000</f>
        <v>0.11113369799999999</v>
      </c>
      <c r="AG274" s="189">
        <f t="shared" si="2091"/>
        <v>0.02</v>
      </c>
      <c r="AH274" s="97">
        <f t="shared" si="2092"/>
        <v>0.11113369799999999</v>
      </c>
      <c r="AI274" s="97">
        <f t="shared" ref="AI274" si="2107">SUM(Y274+AG274)</f>
        <v>0.02</v>
      </c>
      <c r="AJ274" s="177">
        <f t="shared" si="2093"/>
        <v>0.11113369799999999</v>
      </c>
      <c r="AK274" s="207"/>
      <c r="AL274" s="177">
        <f t="shared" ref="AL274" si="2108">M274*AK274*$AL$2/1000</f>
        <v>0</v>
      </c>
      <c r="AM274" s="245"/>
      <c r="AN274" s="177">
        <f t="shared" si="2094"/>
        <v>0</v>
      </c>
      <c r="AO274" s="207"/>
      <c r="AP274" s="206">
        <f t="shared" ref="AP274" si="2109">M274*AO274*$AP$2/1000</f>
        <v>0</v>
      </c>
      <c r="AQ274" s="189">
        <f t="shared" si="2095"/>
        <v>0</v>
      </c>
      <c r="AR274" s="97">
        <f t="shared" si="2096"/>
        <v>0</v>
      </c>
      <c r="AS274" s="97">
        <v>4.2240000000000002</v>
      </c>
      <c r="AT274" s="177">
        <f t="shared" si="2097"/>
        <v>23.115151488000006</v>
      </c>
      <c r="AU274" s="207"/>
      <c r="AV274" s="177">
        <f t="shared" si="2098"/>
        <v>0</v>
      </c>
      <c r="AW274" s="207"/>
      <c r="AX274" s="206">
        <f t="shared" si="2099"/>
        <v>0</v>
      </c>
      <c r="AY274" s="189">
        <f t="shared" si="2100"/>
        <v>4.2240000000000002</v>
      </c>
      <c r="AZ274" s="97">
        <f t="shared" si="2101"/>
        <v>23.115151488000006</v>
      </c>
      <c r="BA274" s="97">
        <f t="shared" si="2102"/>
        <v>4.2240000000000002</v>
      </c>
      <c r="BB274" s="97">
        <f t="shared" si="2103"/>
        <v>23.115151488000006</v>
      </c>
      <c r="BC274" s="1" t="s">
        <v>1782</v>
      </c>
    </row>
    <row r="275" spans="1:55">
      <c r="A275" s="498">
        <v>201</v>
      </c>
      <c r="B275" s="83" t="s">
        <v>891</v>
      </c>
      <c r="C275" s="83" t="s">
        <v>33</v>
      </c>
      <c r="D275" s="83" t="s">
        <v>597</v>
      </c>
      <c r="E275" s="21" t="s">
        <v>892</v>
      </c>
      <c r="F275" s="46" t="s">
        <v>1043</v>
      </c>
      <c r="G275" s="430" t="s">
        <v>1105</v>
      </c>
      <c r="H275" s="268" t="s">
        <v>365</v>
      </c>
      <c r="I275" s="55">
        <v>6.03</v>
      </c>
      <c r="J275" s="102"/>
      <c r="K275" s="55">
        <v>6.03</v>
      </c>
      <c r="L275" s="163"/>
      <c r="M275" s="55">
        <v>6.03</v>
      </c>
      <c r="N275" s="163"/>
      <c r="O275" s="55">
        <v>6.03</v>
      </c>
      <c r="P275" s="102"/>
      <c r="Q275" s="97">
        <f t="shared" si="1944"/>
        <v>0</v>
      </c>
      <c r="R275" s="342">
        <f t="shared" si="1945"/>
        <v>0</v>
      </c>
      <c r="S275" s="97"/>
      <c r="T275" s="97">
        <f t="shared" si="2104"/>
        <v>0</v>
      </c>
      <c r="U275" s="97"/>
      <c r="V275" s="177">
        <f t="shared" si="1732"/>
        <v>0</v>
      </c>
      <c r="W275" s="207"/>
      <c r="X275" s="206">
        <f t="shared" si="1733"/>
        <v>0</v>
      </c>
      <c r="Y275" s="189">
        <f t="shared" ref="Y275:Y286" si="2110">SUM(S275+U275+W275)</f>
        <v>0</v>
      </c>
      <c r="Z275" s="177">
        <f t="shared" si="1946"/>
        <v>0</v>
      </c>
      <c r="AA275" s="207"/>
      <c r="AB275" s="206">
        <f t="shared" si="1735"/>
        <v>0</v>
      </c>
      <c r="AC275" s="207"/>
      <c r="AD275" s="177">
        <f t="shared" si="1736"/>
        <v>0</v>
      </c>
      <c r="AE275" s="207"/>
      <c r="AF275" s="205">
        <f t="shared" ref="AF275" si="2111">K275*AE275*$AF$2/1000</f>
        <v>0</v>
      </c>
      <c r="AG275" s="189">
        <f t="shared" si="1947"/>
        <v>0</v>
      </c>
      <c r="AH275" s="97">
        <f t="shared" si="1948"/>
        <v>0</v>
      </c>
      <c r="AI275" s="97">
        <f t="shared" ref="AI275" si="2112">SUM(Y275+AG275)</f>
        <v>0</v>
      </c>
      <c r="AJ275" s="177">
        <f t="shared" si="1949"/>
        <v>0</v>
      </c>
      <c r="AK275" s="207"/>
      <c r="AL275" s="177">
        <f t="shared" si="2010"/>
        <v>0</v>
      </c>
      <c r="AM275" s="245"/>
      <c r="AN275" s="177">
        <f t="shared" si="1950"/>
        <v>0</v>
      </c>
      <c r="AO275" s="207"/>
      <c r="AP275" s="206">
        <f t="shared" ref="AP275" si="2113">M275*AO275*$AP$2/1000</f>
        <v>0</v>
      </c>
      <c r="AQ275" s="189">
        <f t="shared" si="1951"/>
        <v>0</v>
      </c>
      <c r="AR275" s="97">
        <f t="shared" si="1952"/>
        <v>0</v>
      </c>
      <c r="AS275" s="97"/>
      <c r="AT275" s="177">
        <f t="shared" si="1953"/>
        <v>0</v>
      </c>
      <c r="AU275" s="207"/>
      <c r="AV275" s="177">
        <f t="shared" si="1954"/>
        <v>0</v>
      </c>
      <c r="AW275" s="207"/>
      <c r="AX275" s="206">
        <f t="shared" si="1955"/>
        <v>0</v>
      </c>
      <c r="AY275" s="189">
        <f t="shared" si="1956"/>
        <v>0</v>
      </c>
      <c r="AZ275" s="97">
        <f t="shared" si="1957"/>
        <v>0</v>
      </c>
      <c r="BA275" s="97">
        <f t="shared" si="1958"/>
        <v>0</v>
      </c>
      <c r="BB275" s="97">
        <f t="shared" si="1959"/>
        <v>0</v>
      </c>
      <c r="BC275" s="1" t="s">
        <v>1780</v>
      </c>
    </row>
    <row r="276" spans="1:55">
      <c r="A276" s="498">
        <v>201</v>
      </c>
      <c r="B276" s="53" t="s">
        <v>1740</v>
      </c>
      <c r="C276" s="53" t="s">
        <v>33</v>
      </c>
      <c r="D276" s="53"/>
      <c r="E276" s="21" t="s">
        <v>1731</v>
      </c>
      <c r="F276" s="46" t="s">
        <v>1801</v>
      </c>
      <c r="G276" s="46" t="s">
        <v>1105</v>
      </c>
      <c r="H276" s="268" t="s">
        <v>367</v>
      </c>
      <c r="I276" s="18">
        <v>41.9</v>
      </c>
      <c r="J276" s="102"/>
      <c r="K276" s="18">
        <v>41.9</v>
      </c>
      <c r="L276" s="163"/>
      <c r="M276" s="18">
        <v>28.5</v>
      </c>
      <c r="N276" s="163"/>
      <c r="O276" s="18">
        <v>28.5</v>
      </c>
      <c r="P276" s="102"/>
      <c r="Q276" s="97">
        <f t="shared" ref="Q276:Q285" si="2114">SUM(AI276+BA276)</f>
        <v>0.29499999999999998</v>
      </c>
      <c r="R276" s="342">
        <f t="shared" ref="R276:R285" si="2115">SUM(AJ276+BB276)</f>
        <v>11.443448249999998</v>
      </c>
      <c r="S276" s="97"/>
      <c r="T276" s="97">
        <f t="shared" si="2104"/>
        <v>0</v>
      </c>
      <c r="U276" s="97"/>
      <c r="V276" s="177">
        <f>I276*U276*$V$2/1000</f>
        <v>0</v>
      </c>
      <c r="W276" s="207"/>
      <c r="X276" s="206">
        <f t="shared" ref="X276:X285" si="2116">I276*W276*$X$2/1000</f>
        <v>0</v>
      </c>
      <c r="Y276" s="189">
        <f t="shared" si="2110"/>
        <v>0</v>
      </c>
      <c r="Z276" s="177">
        <f t="shared" ref="Z276:Z285" si="2117">SUM(T276+V276+X276)</f>
        <v>0</v>
      </c>
      <c r="AA276" s="207"/>
      <c r="AB276" s="206">
        <f t="shared" ref="AB276:AB285" si="2118">K276*AA276*$AB$2/1000</f>
        <v>0</v>
      </c>
      <c r="AC276" s="207"/>
      <c r="AD276" s="177">
        <f t="shared" ref="AD276:AD285" si="2119">K276*AC276*$AD$2/1000</f>
        <v>0</v>
      </c>
      <c r="AE276" s="207"/>
      <c r="AF276" s="205">
        <f t="shared" ref="AF276:AF285" si="2120">K276*AE276*$AF$2/1000</f>
        <v>0</v>
      </c>
      <c r="AG276" s="189">
        <f t="shared" ref="AG276:AG285" si="2121">SUM(AA276+AC276+AE276)</f>
        <v>0</v>
      </c>
      <c r="AH276" s="97">
        <f t="shared" ref="AH276:AH285" si="2122">SUM(AB276+AD276+AF276)</f>
        <v>0</v>
      </c>
      <c r="AI276" s="97">
        <f t="shared" ref="AI276:AI285" si="2123">SUM(Y276+AG276)</f>
        <v>0</v>
      </c>
      <c r="AJ276" s="177">
        <f t="shared" ref="AJ276:AJ285" si="2124">SUM(Z276,AH276)</f>
        <v>0</v>
      </c>
      <c r="AK276" s="207"/>
      <c r="AL276" s="177">
        <f t="shared" ref="AL276:AL285" si="2125">M276*AK276*$AL$2/1000</f>
        <v>0</v>
      </c>
      <c r="AM276" s="245">
        <v>0.29499999999999998</v>
      </c>
      <c r="AN276" s="177">
        <f t="shared" ref="AN276:AN285" si="2126">M276*AM276*$AN$2/1000</f>
        <v>11.443448249999998</v>
      </c>
      <c r="AO276" s="207"/>
      <c r="AP276" s="206">
        <f t="shared" ref="AP276:AP285" si="2127">M276*AO276*$AP$2/1000</f>
        <v>0</v>
      </c>
      <c r="AQ276" s="189">
        <f t="shared" ref="AQ276:AQ285" si="2128">SUM(AK276+AM276+AO276)</f>
        <v>0.29499999999999998</v>
      </c>
      <c r="AR276" s="97">
        <f t="shared" ref="AR276:AR285" si="2129">SUM(AL276+AN276+AP276)</f>
        <v>11.443448249999998</v>
      </c>
      <c r="AS276" s="97"/>
      <c r="AT276" s="177">
        <f t="shared" ref="AT276:AT285" si="2130">O276*AS276*$AT$2/1000</f>
        <v>0</v>
      </c>
      <c r="AU276" s="207"/>
      <c r="AV276" s="177">
        <f t="shared" ref="AV276:AV285" si="2131">O276*AU276*$AV$2/1000</f>
        <v>0</v>
      </c>
      <c r="AW276" s="207"/>
      <c r="AX276" s="206">
        <f t="shared" ref="AX276:AX285" si="2132">O276*AW276*$AX$2/1000</f>
        <v>0</v>
      </c>
      <c r="AY276" s="189">
        <f t="shared" ref="AY276:AY285" si="2133">SUM(AS276+AU276+AW276)</f>
        <v>0</v>
      </c>
      <c r="AZ276" s="97">
        <f t="shared" ref="AZ276:AZ285" si="2134">SUM(AT276+AV276+AX276)</f>
        <v>0</v>
      </c>
      <c r="BA276" s="97">
        <f t="shared" ref="BA276:BA285" si="2135">SUM(AQ276+AY276)</f>
        <v>0.29499999999999998</v>
      </c>
      <c r="BB276" s="97">
        <f t="shared" ref="BB276:BB285" si="2136">SUM(AR276,AZ276)</f>
        <v>11.443448249999998</v>
      </c>
      <c r="BC276" s="1" t="s">
        <v>1782</v>
      </c>
    </row>
    <row r="277" spans="1:55">
      <c r="A277" s="498">
        <v>201</v>
      </c>
      <c r="B277" s="13"/>
      <c r="C277" s="13"/>
      <c r="D277" s="13"/>
      <c r="E277" s="21" t="s">
        <v>1731</v>
      </c>
      <c r="F277" s="46" t="s">
        <v>1802</v>
      </c>
      <c r="G277" s="430" t="s">
        <v>1105</v>
      </c>
      <c r="H277" s="268" t="s">
        <v>365</v>
      </c>
      <c r="I277" s="18">
        <v>41.9</v>
      </c>
      <c r="J277" s="102"/>
      <c r="K277" s="18">
        <v>41.9</v>
      </c>
      <c r="L277" s="163"/>
      <c r="M277" s="18">
        <v>28.5</v>
      </c>
      <c r="N277" s="163"/>
      <c r="O277" s="18">
        <v>28.5</v>
      </c>
      <c r="P277" s="102"/>
      <c r="Q277" s="97">
        <f t="shared" si="2114"/>
        <v>0.183</v>
      </c>
      <c r="R277" s="342">
        <f t="shared" si="2115"/>
        <v>6.9760817999999993</v>
      </c>
      <c r="S277" s="97"/>
      <c r="T277" s="97">
        <f t="shared" si="2104"/>
        <v>0</v>
      </c>
      <c r="U277" s="97"/>
      <c r="V277" s="177">
        <f t="shared" ref="V277" si="2137">I277*U277*$V$2/1000</f>
        <v>0</v>
      </c>
      <c r="W277" s="207"/>
      <c r="X277" s="206">
        <f t="shared" si="2116"/>
        <v>0</v>
      </c>
      <c r="Y277" s="189">
        <f t="shared" si="2110"/>
        <v>0</v>
      </c>
      <c r="Z277" s="177">
        <f t="shared" si="2117"/>
        <v>0</v>
      </c>
      <c r="AA277" s="207"/>
      <c r="AB277" s="206">
        <f t="shared" si="2118"/>
        <v>0</v>
      </c>
      <c r="AC277" s="207"/>
      <c r="AD277" s="177">
        <f t="shared" si="2119"/>
        <v>0</v>
      </c>
      <c r="AE277" s="207"/>
      <c r="AF277" s="205">
        <f t="shared" si="2120"/>
        <v>0</v>
      </c>
      <c r="AG277" s="189">
        <f t="shared" si="2121"/>
        <v>0</v>
      </c>
      <c r="AH277" s="97">
        <f t="shared" si="2122"/>
        <v>0</v>
      </c>
      <c r="AI277" s="97">
        <f t="shared" si="2123"/>
        <v>0</v>
      </c>
      <c r="AJ277" s="177">
        <f t="shared" si="2124"/>
        <v>0</v>
      </c>
      <c r="AK277" s="207"/>
      <c r="AL277" s="177">
        <f t="shared" si="2125"/>
        <v>0</v>
      </c>
      <c r="AM277" s="245">
        <v>3.3000000000000002E-2</v>
      </c>
      <c r="AN277" s="177">
        <f t="shared" si="2126"/>
        <v>1.28011455</v>
      </c>
      <c r="AO277" s="207">
        <v>0.15</v>
      </c>
      <c r="AP277" s="206">
        <f t="shared" si="2127"/>
        <v>5.6959672499999998</v>
      </c>
      <c r="AQ277" s="189">
        <f t="shared" si="2128"/>
        <v>0.183</v>
      </c>
      <c r="AR277" s="97">
        <f t="shared" si="2129"/>
        <v>6.9760817999999993</v>
      </c>
      <c r="AS277" s="97"/>
      <c r="AT277" s="177">
        <f t="shared" si="2130"/>
        <v>0</v>
      </c>
      <c r="AU277" s="207"/>
      <c r="AV277" s="177">
        <f t="shared" si="2131"/>
        <v>0</v>
      </c>
      <c r="AW277" s="207"/>
      <c r="AX277" s="206">
        <f t="shared" si="2132"/>
        <v>0</v>
      </c>
      <c r="AY277" s="189">
        <f t="shared" si="2133"/>
        <v>0</v>
      </c>
      <c r="AZ277" s="97">
        <f t="shared" si="2134"/>
        <v>0</v>
      </c>
      <c r="BA277" s="97">
        <f t="shared" si="2135"/>
        <v>0.183</v>
      </c>
      <c r="BB277" s="97">
        <f t="shared" si="2136"/>
        <v>6.9760817999999993</v>
      </c>
      <c r="BC277" s="1" t="s">
        <v>1106</v>
      </c>
    </row>
    <row r="278" spans="1:55">
      <c r="A278" s="498">
        <v>201</v>
      </c>
      <c r="B278" s="13"/>
      <c r="C278" s="13"/>
      <c r="D278" s="13"/>
      <c r="E278" s="21" t="s">
        <v>1731</v>
      </c>
      <c r="F278" s="46" t="s">
        <v>1803</v>
      </c>
      <c r="G278" s="430" t="s">
        <v>1105</v>
      </c>
      <c r="H278" s="268" t="s">
        <v>365</v>
      </c>
      <c r="I278" s="18">
        <v>41.9</v>
      </c>
      <c r="J278" s="102"/>
      <c r="K278" s="18">
        <v>41.9</v>
      </c>
      <c r="L278" s="163"/>
      <c r="M278" s="18">
        <v>28.5</v>
      </c>
      <c r="N278" s="163"/>
      <c r="O278" s="18">
        <v>28.5</v>
      </c>
      <c r="P278" s="102"/>
      <c r="Q278" s="97">
        <f t="shared" ref="Q278" si="2138">SUM(AI278+BA278)</f>
        <v>0</v>
      </c>
      <c r="R278" s="342">
        <f t="shared" ref="R278" si="2139">SUM(AJ278+BB278)</f>
        <v>0</v>
      </c>
      <c r="S278" s="97"/>
      <c r="T278" s="97">
        <f t="shared" si="2104"/>
        <v>0</v>
      </c>
      <c r="U278" s="97"/>
      <c r="V278" s="177">
        <f t="shared" ref="V278" si="2140">I278*U278*$V$2/1000</f>
        <v>0</v>
      </c>
      <c r="W278" s="207"/>
      <c r="X278" s="206">
        <f t="shared" ref="X278" si="2141">I278*W278*$X$2/1000</f>
        <v>0</v>
      </c>
      <c r="Y278" s="189">
        <f t="shared" si="2110"/>
        <v>0</v>
      </c>
      <c r="Z278" s="177">
        <f t="shared" ref="Z278" si="2142">SUM(T278+V278+X278)</f>
        <v>0</v>
      </c>
      <c r="AA278" s="207"/>
      <c r="AB278" s="206">
        <f t="shared" ref="AB278" si="2143">K278*AA278*$AB$2/1000</f>
        <v>0</v>
      </c>
      <c r="AC278" s="207"/>
      <c r="AD278" s="177">
        <f t="shared" ref="AD278" si="2144">K278*AC278*$AD$2/1000</f>
        <v>0</v>
      </c>
      <c r="AE278" s="207"/>
      <c r="AF278" s="205">
        <f t="shared" ref="AF278" si="2145">K278*AE278*$AF$2/1000</f>
        <v>0</v>
      </c>
      <c r="AG278" s="189">
        <f t="shared" ref="AG278" si="2146">SUM(AA278+AC278+AE278)</f>
        <v>0</v>
      </c>
      <c r="AH278" s="97">
        <f t="shared" ref="AH278" si="2147">SUM(AB278+AD278+AF278)</f>
        <v>0</v>
      </c>
      <c r="AI278" s="97">
        <f t="shared" ref="AI278" si="2148">SUM(Y278+AG278)</f>
        <v>0</v>
      </c>
      <c r="AJ278" s="177">
        <f t="shared" ref="AJ278" si="2149">SUM(Z278,AH278)</f>
        <v>0</v>
      </c>
      <c r="AK278" s="207"/>
      <c r="AL278" s="177">
        <f t="shared" ref="AL278" si="2150">M278*AK278*$AL$2/1000</f>
        <v>0</v>
      </c>
      <c r="AM278" s="245"/>
      <c r="AN278" s="177">
        <f t="shared" ref="AN278" si="2151">M278*AM278*$AN$2/1000</f>
        <v>0</v>
      </c>
      <c r="AO278" s="207"/>
      <c r="AP278" s="206">
        <f t="shared" ref="AP278" si="2152">M278*AO278*$AP$2/1000</f>
        <v>0</v>
      </c>
      <c r="AQ278" s="189">
        <f t="shared" ref="AQ278" si="2153">SUM(AK278+AM278+AO278)</f>
        <v>0</v>
      </c>
      <c r="AR278" s="97">
        <f t="shared" ref="AR278" si="2154">SUM(AL278+AN278+AP278)</f>
        <v>0</v>
      </c>
      <c r="AS278" s="97"/>
      <c r="AT278" s="177">
        <f t="shared" ref="AT278" si="2155">O278*AS278*$AT$2/1000</f>
        <v>0</v>
      </c>
      <c r="AU278" s="207"/>
      <c r="AV278" s="177">
        <f t="shared" ref="AV278" si="2156">O278*AU278*$AV$2/1000</f>
        <v>0</v>
      </c>
      <c r="AW278" s="207"/>
      <c r="AX278" s="206">
        <f t="shared" ref="AX278" si="2157">O278*AW278*$AX$2/1000</f>
        <v>0</v>
      </c>
      <c r="AY278" s="189">
        <f t="shared" ref="AY278" si="2158">SUM(AS278+AU278+AW278)</f>
        <v>0</v>
      </c>
      <c r="AZ278" s="97">
        <f t="shared" ref="AZ278" si="2159">SUM(AT278+AV278+AX278)</f>
        <v>0</v>
      </c>
      <c r="BA278" s="97">
        <f t="shared" ref="BA278" si="2160">SUM(AQ278+AY278)</f>
        <v>0</v>
      </c>
      <c r="BB278" s="97">
        <f t="shared" ref="BB278" si="2161">SUM(AR278,AZ278)</f>
        <v>0</v>
      </c>
      <c r="BC278" s="1" t="s">
        <v>1106</v>
      </c>
    </row>
    <row r="279" spans="1:55">
      <c r="A279" s="498">
        <v>201</v>
      </c>
      <c r="B279" s="13"/>
      <c r="C279" s="13"/>
      <c r="D279" s="13"/>
      <c r="E279" s="21" t="s">
        <v>1731</v>
      </c>
      <c r="F279" s="46" t="s">
        <v>1804</v>
      </c>
      <c r="G279" s="430" t="s">
        <v>1105</v>
      </c>
      <c r="H279" s="268" t="s">
        <v>365</v>
      </c>
      <c r="I279" s="18">
        <v>41.9</v>
      </c>
      <c r="J279" s="102"/>
      <c r="K279" s="18">
        <v>41.9</v>
      </c>
      <c r="L279" s="163"/>
      <c r="M279" s="18">
        <v>28.5</v>
      </c>
      <c r="N279" s="163"/>
      <c r="O279" s="18">
        <v>28.5</v>
      </c>
      <c r="P279" s="102"/>
      <c r="Q279" s="97">
        <f t="shared" si="2114"/>
        <v>5.0000000000000001E-3</v>
      </c>
      <c r="R279" s="342">
        <f t="shared" si="2115"/>
        <v>0.19395675000000001</v>
      </c>
      <c r="S279" s="97"/>
      <c r="T279" s="97">
        <f t="shared" si="2104"/>
        <v>0</v>
      </c>
      <c r="U279" s="97"/>
      <c r="V279" s="177">
        <f t="shared" ref="V279" si="2162">I279*U279*$V$2/1000</f>
        <v>0</v>
      </c>
      <c r="W279" s="207"/>
      <c r="X279" s="206">
        <f t="shared" si="2116"/>
        <v>0</v>
      </c>
      <c r="Y279" s="189">
        <f t="shared" si="2110"/>
        <v>0</v>
      </c>
      <c r="Z279" s="177">
        <f t="shared" si="2117"/>
        <v>0</v>
      </c>
      <c r="AA279" s="207"/>
      <c r="AB279" s="206">
        <f t="shared" si="2118"/>
        <v>0</v>
      </c>
      <c r="AC279" s="207"/>
      <c r="AD279" s="177">
        <f t="shared" si="2119"/>
        <v>0</v>
      </c>
      <c r="AE279" s="207"/>
      <c r="AF279" s="205">
        <f t="shared" si="2120"/>
        <v>0</v>
      </c>
      <c r="AG279" s="189">
        <f t="shared" si="2121"/>
        <v>0</v>
      </c>
      <c r="AH279" s="97">
        <f t="shared" si="2122"/>
        <v>0</v>
      </c>
      <c r="AI279" s="97">
        <f t="shared" si="2123"/>
        <v>0</v>
      </c>
      <c r="AJ279" s="177">
        <f t="shared" si="2124"/>
        <v>0</v>
      </c>
      <c r="AK279" s="207"/>
      <c r="AL279" s="177">
        <f t="shared" si="2125"/>
        <v>0</v>
      </c>
      <c r="AM279" s="245">
        <v>5.0000000000000001E-3</v>
      </c>
      <c r="AN279" s="177">
        <f t="shared" si="2126"/>
        <v>0.19395675000000001</v>
      </c>
      <c r="AO279" s="207"/>
      <c r="AP279" s="206">
        <f t="shared" si="2127"/>
        <v>0</v>
      </c>
      <c r="AQ279" s="189">
        <f t="shared" si="2128"/>
        <v>5.0000000000000001E-3</v>
      </c>
      <c r="AR279" s="97">
        <f t="shared" si="2129"/>
        <v>0.19395675000000001</v>
      </c>
      <c r="AS279" s="97"/>
      <c r="AT279" s="177">
        <f t="shared" si="2130"/>
        <v>0</v>
      </c>
      <c r="AU279" s="207"/>
      <c r="AV279" s="177">
        <f t="shared" si="2131"/>
        <v>0</v>
      </c>
      <c r="AW279" s="207"/>
      <c r="AX279" s="206">
        <f t="shared" si="2132"/>
        <v>0</v>
      </c>
      <c r="AY279" s="189">
        <f t="shared" si="2133"/>
        <v>0</v>
      </c>
      <c r="AZ279" s="97">
        <f t="shared" si="2134"/>
        <v>0</v>
      </c>
      <c r="BA279" s="97">
        <f t="shared" si="2135"/>
        <v>5.0000000000000001E-3</v>
      </c>
      <c r="BB279" s="97">
        <f t="shared" si="2136"/>
        <v>0.19395675000000001</v>
      </c>
      <c r="BC279" s="1" t="s">
        <v>1106</v>
      </c>
    </row>
    <row r="280" spans="1:55">
      <c r="A280" s="498">
        <v>201</v>
      </c>
      <c r="B280" s="13"/>
      <c r="C280" s="13"/>
      <c r="D280" s="13"/>
      <c r="E280" s="21" t="s">
        <v>1731</v>
      </c>
      <c r="F280" s="46" t="s">
        <v>1805</v>
      </c>
      <c r="G280" s="430" t="s">
        <v>1105</v>
      </c>
      <c r="H280" s="268" t="s">
        <v>365</v>
      </c>
      <c r="I280" s="18">
        <v>41.9</v>
      </c>
      <c r="J280" s="102"/>
      <c r="K280" s="18">
        <v>41.9</v>
      </c>
      <c r="L280" s="163"/>
      <c r="M280" s="18">
        <v>28.5</v>
      </c>
      <c r="N280" s="163"/>
      <c r="O280" s="18">
        <v>28.5</v>
      </c>
      <c r="P280" s="102"/>
      <c r="Q280" s="97">
        <f t="shared" ref="Q280" si="2163">SUM(AI280+BA280)</f>
        <v>0.29900000000000004</v>
      </c>
      <c r="R280" s="342">
        <f t="shared" ref="R280" si="2164">SUM(AJ280+BB280)</f>
        <v>13.458228350000001</v>
      </c>
      <c r="S280" s="97"/>
      <c r="T280" s="97">
        <f t="shared" si="2104"/>
        <v>0</v>
      </c>
      <c r="U280" s="97"/>
      <c r="V280" s="177">
        <f t="shared" ref="V280" si="2165">I280*U280*$V$2/1000</f>
        <v>0</v>
      </c>
      <c r="W280" s="207"/>
      <c r="X280" s="206">
        <f t="shared" ref="X280" si="2166">I280*W280*$X$2/1000</f>
        <v>0</v>
      </c>
      <c r="Y280" s="189">
        <f t="shared" si="2110"/>
        <v>0</v>
      </c>
      <c r="Z280" s="177">
        <f t="shared" ref="Z280" si="2167">SUM(T280+V280+X280)</f>
        <v>0</v>
      </c>
      <c r="AA280" s="207"/>
      <c r="AB280" s="206">
        <f t="shared" ref="AB280" si="2168">K280*AA280*$AB$2/1000</f>
        <v>0</v>
      </c>
      <c r="AC280" s="207">
        <v>0.1</v>
      </c>
      <c r="AD280" s="177">
        <f t="shared" ref="AD280" si="2169">K280*AC280*$AD$2/1000</f>
        <v>5.7387497000000014</v>
      </c>
      <c r="AE280" s="207"/>
      <c r="AF280" s="205">
        <f t="shared" ref="AF280" si="2170">K280*AE280*$AF$2/1000</f>
        <v>0</v>
      </c>
      <c r="AG280" s="189">
        <f t="shared" ref="AG280" si="2171">SUM(AA280+AC280+AE280)</f>
        <v>0.1</v>
      </c>
      <c r="AH280" s="97">
        <f t="shared" ref="AH280" si="2172">SUM(AB280+AD280+AF280)</f>
        <v>5.7387497000000014</v>
      </c>
      <c r="AI280" s="97">
        <f t="shared" ref="AI280" si="2173">SUM(Y280+AG280)</f>
        <v>0.1</v>
      </c>
      <c r="AJ280" s="177">
        <f t="shared" ref="AJ280" si="2174">SUM(Z280,AH280)</f>
        <v>5.7387497000000014</v>
      </c>
      <c r="AK280" s="207"/>
      <c r="AL280" s="177">
        <f t="shared" ref="AL280" si="2175">M280*AK280*$AL$2/1000</f>
        <v>0</v>
      </c>
      <c r="AM280" s="245">
        <v>0.19900000000000001</v>
      </c>
      <c r="AN280" s="177">
        <f t="shared" ref="AN280" si="2176">M280*AM280*$AN$2/1000</f>
        <v>7.7194786499999992</v>
      </c>
      <c r="AO280" s="207"/>
      <c r="AP280" s="206">
        <f t="shared" ref="AP280" si="2177">M280*AO280*$AP$2/1000</f>
        <v>0</v>
      </c>
      <c r="AQ280" s="189">
        <f t="shared" ref="AQ280" si="2178">SUM(AK280+AM280+AO280)</f>
        <v>0.19900000000000001</v>
      </c>
      <c r="AR280" s="97">
        <f t="shared" ref="AR280" si="2179">SUM(AL280+AN280+AP280)</f>
        <v>7.7194786499999992</v>
      </c>
      <c r="AS280" s="97"/>
      <c r="AT280" s="177">
        <f t="shared" ref="AT280" si="2180">O280*AS280*$AT$2/1000</f>
        <v>0</v>
      </c>
      <c r="AU280" s="207"/>
      <c r="AV280" s="177">
        <f t="shared" ref="AV280" si="2181">O280*AU280*$AV$2/1000</f>
        <v>0</v>
      </c>
      <c r="AW280" s="207"/>
      <c r="AX280" s="206">
        <f t="shared" ref="AX280" si="2182">O280*AW280*$AX$2/1000</f>
        <v>0</v>
      </c>
      <c r="AY280" s="189">
        <f t="shared" ref="AY280" si="2183">SUM(AS280+AU280+AW280)</f>
        <v>0</v>
      </c>
      <c r="AZ280" s="97">
        <f t="shared" ref="AZ280" si="2184">SUM(AT280+AV280+AX280)</f>
        <v>0</v>
      </c>
      <c r="BA280" s="97">
        <f t="shared" ref="BA280" si="2185">SUM(AQ280+AY280)</f>
        <v>0.19900000000000001</v>
      </c>
      <c r="BB280" s="97">
        <f t="shared" ref="BB280" si="2186">SUM(AR280,AZ280)</f>
        <v>7.7194786499999992</v>
      </c>
      <c r="BC280" s="1" t="s">
        <v>1106</v>
      </c>
    </row>
    <row r="281" spans="1:55">
      <c r="A281" s="498">
        <v>201</v>
      </c>
      <c r="B281" s="13"/>
      <c r="C281" s="13"/>
      <c r="D281" s="13"/>
      <c r="E281" s="21" t="s">
        <v>1731</v>
      </c>
      <c r="F281" s="46" t="s">
        <v>1806</v>
      </c>
      <c r="G281" s="430" t="s">
        <v>1105</v>
      </c>
      <c r="H281" s="268" t="s">
        <v>365</v>
      </c>
      <c r="I281" s="18">
        <v>41.9</v>
      </c>
      <c r="J281" s="102"/>
      <c r="K281" s="18">
        <v>41.9</v>
      </c>
      <c r="L281" s="163"/>
      <c r="M281" s="18">
        <v>28.5</v>
      </c>
      <c r="N281" s="163"/>
      <c r="O281" s="18">
        <v>28.5</v>
      </c>
      <c r="P281" s="102"/>
      <c r="Q281" s="97">
        <f t="shared" si="2114"/>
        <v>0.61499999999999999</v>
      </c>
      <c r="R281" s="342">
        <f t="shared" si="2115"/>
        <v>29.767859899999998</v>
      </c>
      <c r="S281" s="97">
        <v>0.15</v>
      </c>
      <c r="T281" s="97">
        <f t="shared" si="2104"/>
        <v>8.3080786499999988</v>
      </c>
      <c r="U281" s="97">
        <v>0.2</v>
      </c>
      <c r="V281" s="177">
        <f t="shared" ref="V281" si="2187">I281*U281*$V$2/1000</f>
        <v>11.148752000000002</v>
      </c>
      <c r="W281" s="207"/>
      <c r="X281" s="206">
        <f t="shared" si="2116"/>
        <v>0</v>
      </c>
      <c r="Y281" s="189">
        <f t="shared" si="2110"/>
        <v>0.35</v>
      </c>
      <c r="Z281" s="177">
        <f t="shared" si="2117"/>
        <v>19.456830650000001</v>
      </c>
      <c r="AA281" s="207"/>
      <c r="AB281" s="206">
        <f t="shared" si="2118"/>
        <v>0</v>
      </c>
      <c r="AC281" s="207"/>
      <c r="AD281" s="177">
        <f t="shared" si="2119"/>
        <v>0</v>
      </c>
      <c r="AE281" s="207"/>
      <c r="AF281" s="205">
        <f t="shared" si="2120"/>
        <v>0</v>
      </c>
      <c r="AG281" s="189">
        <f t="shared" si="2121"/>
        <v>0</v>
      </c>
      <c r="AH281" s="97">
        <f t="shared" si="2122"/>
        <v>0</v>
      </c>
      <c r="AI281" s="97">
        <f t="shared" si="2123"/>
        <v>0.35</v>
      </c>
      <c r="AJ281" s="177">
        <f t="shared" si="2124"/>
        <v>19.456830650000001</v>
      </c>
      <c r="AK281" s="207">
        <v>0.05</v>
      </c>
      <c r="AL281" s="177">
        <f t="shared" si="2125"/>
        <v>1.9708889999999999</v>
      </c>
      <c r="AM281" s="245">
        <v>0.215</v>
      </c>
      <c r="AN281" s="177">
        <f t="shared" si="2126"/>
        <v>8.3401402499999993</v>
      </c>
      <c r="AO281" s="207"/>
      <c r="AP281" s="206">
        <f t="shared" si="2127"/>
        <v>0</v>
      </c>
      <c r="AQ281" s="189">
        <f t="shared" si="2128"/>
        <v>0.26500000000000001</v>
      </c>
      <c r="AR281" s="97">
        <f t="shared" si="2129"/>
        <v>10.311029249999999</v>
      </c>
      <c r="AS281" s="97"/>
      <c r="AT281" s="177">
        <f t="shared" si="2130"/>
        <v>0</v>
      </c>
      <c r="AU281" s="207"/>
      <c r="AV281" s="177">
        <f t="shared" si="2131"/>
        <v>0</v>
      </c>
      <c r="AW281" s="207"/>
      <c r="AX281" s="206">
        <f t="shared" si="2132"/>
        <v>0</v>
      </c>
      <c r="AY281" s="189">
        <f t="shared" si="2133"/>
        <v>0</v>
      </c>
      <c r="AZ281" s="97">
        <f t="shared" si="2134"/>
        <v>0</v>
      </c>
      <c r="BA281" s="97">
        <f t="shared" si="2135"/>
        <v>0.26500000000000001</v>
      </c>
      <c r="BB281" s="97">
        <f t="shared" si="2136"/>
        <v>10.311029249999999</v>
      </c>
      <c r="BC281" s="1" t="s">
        <v>1106</v>
      </c>
    </row>
    <row r="282" spans="1:55">
      <c r="A282" s="498">
        <v>201</v>
      </c>
      <c r="B282" s="13"/>
      <c r="C282" s="13"/>
      <c r="D282" s="13"/>
      <c r="E282" s="21" t="s">
        <v>1731</v>
      </c>
      <c r="F282" s="46" t="s">
        <v>1807</v>
      </c>
      <c r="G282" s="430" t="s">
        <v>1105</v>
      </c>
      <c r="H282" s="268" t="s">
        <v>365</v>
      </c>
      <c r="I282" s="18">
        <v>41.9</v>
      </c>
      <c r="J282" s="102"/>
      <c r="K282" s="18">
        <v>41.9</v>
      </c>
      <c r="L282" s="163"/>
      <c r="M282" s="18">
        <v>28.5</v>
      </c>
      <c r="N282" s="163"/>
      <c r="O282" s="18">
        <v>28.5</v>
      </c>
      <c r="P282" s="102"/>
      <c r="Q282" s="97">
        <f t="shared" ref="Q282" si="2188">SUM(AI282+BA282)</f>
        <v>0</v>
      </c>
      <c r="R282" s="342">
        <f t="shared" ref="R282" si="2189">SUM(AJ282+BB282)</f>
        <v>0</v>
      </c>
      <c r="S282" s="97"/>
      <c r="T282" s="97">
        <f t="shared" si="2104"/>
        <v>0</v>
      </c>
      <c r="U282" s="97"/>
      <c r="V282" s="177">
        <f t="shared" ref="V282" si="2190">I282*U282*$V$2/1000</f>
        <v>0</v>
      </c>
      <c r="W282" s="207"/>
      <c r="X282" s="206">
        <f t="shared" ref="X282" si="2191">I282*W282*$X$2/1000</f>
        <v>0</v>
      </c>
      <c r="Y282" s="189">
        <f t="shared" si="2110"/>
        <v>0</v>
      </c>
      <c r="Z282" s="177">
        <f t="shared" ref="Z282" si="2192">SUM(T282+V282+X282)</f>
        <v>0</v>
      </c>
      <c r="AA282" s="207"/>
      <c r="AB282" s="206">
        <f t="shared" ref="AB282" si="2193">K282*AA282*$AB$2/1000</f>
        <v>0</v>
      </c>
      <c r="AC282" s="207"/>
      <c r="AD282" s="177">
        <f t="shared" ref="AD282" si="2194">K282*AC282*$AD$2/1000</f>
        <v>0</v>
      </c>
      <c r="AE282" s="207"/>
      <c r="AF282" s="205">
        <f t="shared" ref="AF282" si="2195">K282*AE282*$AF$2/1000</f>
        <v>0</v>
      </c>
      <c r="AG282" s="189">
        <f t="shared" ref="AG282" si="2196">SUM(AA282+AC282+AE282)</f>
        <v>0</v>
      </c>
      <c r="AH282" s="97">
        <f t="shared" ref="AH282" si="2197">SUM(AB282+AD282+AF282)</f>
        <v>0</v>
      </c>
      <c r="AI282" s="97">
        <f t="shared" ref="AI282" si="2198">SUM(Y282+AG282)</f>
        <v>0</v>
      </c>
      <c r="AJ282" s="177">
        <f t="shared" ref="AJ282" si="2199">SUM(Z282,AH282)</f>
        <v>0</v>
      </c>
      <c r="AK282" s="207"/>
      <c r="AL282" s="177">
        <f t="shared" ref="AL282" si="2200">M282*AK282*$AL$2/1000</f>
        <v>0</v>
      </c>
      <c r="AM282" s="245"/>
      <c r="AN282" s="177">
        <f t="shared" ref="AN282" si="2201">M282*AM282*$AN$2/1000</f>
        <v>0</v>
      </c>
      <c r="AO282" s="207"/>
      <c r="AP282" s="206">
        <f t="shared" ref="AP282" si="2202">M282*AO282*$AP$2/1000</f>
        <v>0</v>
      </c>
      <c r="AQ282" s="189">
        <f t="shared" ref="AQ282" si="2203">SUM(AK282+AM282+AO282)</f>
        <v>0</v>
      </c>
      <c r="AR282" s="97">
        <f t="shared" ref="AR282" si="2204">SUM(AL282+AN282+AP282)</f>
        <v>0</v>
      </c>
      <c r="AS282" s="97"/>
      <c r="AT282" s="177">
        <f t="shared" ref="AT282" si="2205">O282*AS282*$AT$2/1000</f>
        <v>0</v>
      </c>
      <c r="AU282" s="207"/>
      <c r="AV282" s="177">
        <f t="shared" ref="AV282" si="2206">O282*AU282*$AV$2/1000</f>
        <v>0</v>
      </c>
      <c r="AW282" s="207"/>
      <c r="AX282" s="206">
        <f t="shared" ref="AX282" si="2207">O282*AW282*$AX$2/1000</f>
        <v>0</v>
      </c>
      <c r="AY282" s="189">
        <f t="shared" ref="AY282" si="2208">SUM(AS282+AU282+AW282)</f>
        <v>0</v>
      </c>
      <c r="AZ282" s="97">
        <f t="shared" ref="AZ282" si="2209">SUM(AT282+AV282+AX282)</f>
        <v>0</v>
      </c>
      <c r="BA282" s="97">
        <f t="shared" ref="BA282" si="2210">SUM(AQ282+AY282)</f>
        <v>0</v>
      </c>
      <c r="BB282" s="97">
        <f t="shared" ref="BB282" si="2211">SUM(AR282,AZ282)</f>
        <v>0</v>
      </c>
      <c r="BC282" s="1" t="s">
        <v>1106</v>
      </c>
    </row>
    <row r="283" spans="1:55">
      <c r="A283" s="498">
        <v>201</v>
      </c>
      <c r="B283" s="13"/>
      <c r="C283" s="13"/>
      <c r="D283" s="13"/>
      <c r="E283" s="21" t="s">
        <v>1731</v>
      </c>
      <c r="F283" s="46" t="s">
        <v>1808</v>
      </c>
      <c r="G283" s="430" t="s">
        <v>1105</v>
      </c>
      <c r="H283" s="268" t="s">
        <v>365</v>
      </c>
      <c r="I283" s="18">
        <v>41.9</v>
      </c>
      <c r="J283" s="102"/>
      <c r="K283" s="18">
        <v>41.9</v>
      </c>
      <c r="L283" s="163"/>
      <c r="M283" s="18">
        <v>28.5</v>
      </c>
      <c r="N283" s="163"/>
      <c r="O283" s="18">
        <v>28.5</v>
      </c>
      <c r="P283" s="102"/>
      <c r="Q283" s="97">
        <f t="shared" si="2114"/>
        <v>0</v>
      </c>
      <c r="R283" s="342">
        <f t="shared" si="2115"/>
        <v>0</v>
      </c>
      <c r="S283" s="97"/>
      <c r="T283" s="97">
        <f t="shared" si="2104"/>
        <v>0</v>
      </c>
      <c r="U283" s="97"/>
      <c r="V283" s="177">
        <f t="shared" ref="V283" si="2212">I283*U283*$V$2/1000</f>
        <v>0</v>
      </c>
      <c r="W283" s="207"/>
      <c r="X283" s="206">
        <f t="shared" si="2116"/>
        <v>0</v>
      </c>
      <c r="Y283" s="189">
        <f t="shared" si="2110"/>
        <v>0</v>
      </c>
      <c r="Z283" s="177">
        <f t="shared" si="2117"/>
        <v>0</v>
      </c>
      <c r="AA283" s="207"/>
      <c r="AB283" s="206">
        <f t="shared" si="2118"/>
        <v>0</v>
      </c>
      <c r="AC283" s="207"/>
      <c r="AD283" s="177">
        <f t="shared" si="2119"/>
        <v>0</v>
      </c>
      <c r="AE283" s="207"/>
      <c r="AF283" s="205">
        <f t="shared" si="2120"/>
        <v>0</v>
      </c>
      <c r="AG283" s="189">
        <f t="shared" si="2121"/>
        <v>0</v>
      </c>
      <c r="AH283" s="97">
        <f t="shared" si="2122"/>
        <v>0</v>
      </c>
      <c r="AI283" s="97">
        <f t="shared" si="2123"/>
        <v>0</v>
      </c>
      <c r="AJ283" s="177">
        <f t="shared" si="2124"/>
        <v>0</v>
      </c>
      <c r="AK283" s="207"/>
      <c r="AL283" s="177">
        <f t="shared" si="2125"/>
        <v>0</v>
      </c>
      <c r="AM283" s="245"/>
      <c r="AN283" s="177">
        <f t="shared" si="2126"/>
        <v>0</v>
      </c>
      <c r="AO283" s="207"/>
      <c r="AP283" s="206">
        <f t="shared" si="2127"/>
        <v>0</v>
      </c>
      <c r="AQ283" s="189">
        <f t="shared" si="2128"/>
        <v>0</v>
      </c>
      <c r="AR283" s="97">
        <f t="shared" si="2129"/>
        <v>0</v>
      </c>
      <c r="AS283" s="97"/>
      <c r="AT283" s="177">
        <f t="shared" si="2130"/>
        <v>0</v>
      </c>
      <c r="AU283" s="207"/>
      <c r="AV283" s="177">
        <f t="shared" si="2131"/>
        <v>0</v>
      </c>
      <c r="AW283" s="207"/>
      <c r="AX283" s="206">
        <f t="shared" si="2132"/>
        <v>0</v>
      </c>
      <c r="AY283" s="189">
        <f t="shared" si="2133"/>
        <v>0</v>
      </c>
      <c r="AZ283" s="97">
        <f t="shared" si="2134"/>
        <v>0</v>
      </c>
      <c r="BA283" s="97">
        <f t="shared" si="2135"/>
        <v>0</v>
      </c>
      <c r="BB283" s="97">
        <f t="shared" si="2136"/>
        <v>0</v>
      </c>
      <c r="BC283" s="1" t="s">
        <v>1106</v>
      </c>
    </row>
    <row r="284" spans="1:55">
      <c r="A284" s="498">
        <v>201</v>
      </c>
      <c r="B284" s="13"/>
      <c r="C284" s="13"/>
      <c r="D284" s="13"/>
      <c r="E284" s="21" t="s">
        <v>1731</v>
      </c>
      <c r="F284" s="46" t="s">
        <v>1809</v>
      </c>
      <c r="G284" s="430" t="s">
        <v>1105</v>
      </c>
      <c r="H284" s="268" t="s">
        <v>365</v>
      </c>
      <c r="I284" s="18">
        <v>41.9</v>
      </c>
      <c r="J284" s="102"/>
      <c r="K284" s="18">
        <v>41.9</v>
      </c>
      <c r="L284" s="163"/>
      <c r="M284" s="18">
        <v>28.5</v>
      </c>
      <c r="N284" s="163"/>
      <c r="O284" s="18">
        <v>28.5</v>
      </c>
      <c r="P284" s="102"/>
      <c r="Q284" s="97">
        <f t="shared" ref="Q284" si="2213">SUM(AI284+BA284)</f>
        <v>0.104</v>
      </c>
      <c r="R284" s="342">
        <f t="shared" ref="R284" si="2214">SUM(AJ284+BB284)</f>
        <v>4.0343003999999993</v>
      </c>
      <c r="S284" s="97"/>
      <c r="T284" s="97">
        <f t="shared" si="2104"/>
        <v>0</v>
      </c>
      <c r="U284" s="97"/>
      <c r="V284" s="177">
        <f t="shared" ref="V284" si="2215">I284*U284*$V$2/1000</f>
        <v>0</v>
      </c>
      <c r="W284" s="207"/>
      <c r="X284" s="206">
        <f t="shared" ref="X284" si="2216">I284*W284*$X$2/1000</f>
        <v>0</v>
      </c>
      <c r="Y284" s="189">
        <f t="shared" si="2110"/>
        <v>0</v>
      </c>
      <c r="Z284" s="177">
        <f t="shared" ref="Z284" si="2217">SUM(T284+V284+X284)</f>
        <v>0</v>
      </c>
      <c r="AA284" s="207"/>
      <c r="AB284" s="206">
        <f t="shared" ref="AB284" si="2218">K284*AA284*$AB$2/1000</f>
        <v>0</v>
      </c>
      <c r="AC284" s="207"/>
      <c r="AD284" s="177">
        <f t="shared" ref="AD284" si="2219">K284*AC284*$AD$2/1000</f>
        <v>0</v>
      </c>
      <c r="AE284" s="207"/>
      <c r="AF284" s="205">
        <f t="shared" ref="AF284" si="2220">K284*AE284*$AF$2/1000</f>
        <v>0</v>
      </c>
      <c r="AG284" s="189">
        <f t="shared" ref="AG284" si="2221">SUM(AA284+AC284+AE284)</f>
        <v>0</v>
      </c>
      <c r="AH284" s="97">
        <f t="shared" ref="AH284" si="2222">SUM(AB284+AD284+AF284)</f>
        <v>0</v>
      </c>
      <c r="AI284" s="97">
        <f t="shared" ref="AI284" si="2223">SUM(Y284+AG284)</f>
        <v>0</v>
      </c>
      <c r="AJ284" s="177">
        <f t="shared" ref="AJ284" si="2224">SUM(Z284,AH284)</f>
        <v>0</v>
      </c>
      <c r="AK284" s="207"/>
      <c r="AL284" s="177">
        <f t="shared" ref="AL284" si="2225">M284*AK284*$AL$2/1000</f>
        <v>0</v>
      </c>
      <c r="AM284" s="245">
        <v>0.104</v>
      </c>
      <c r="AN284" s="177">
        <f t="shared" ref="AN284" si="2226">M284*AM284*$AN$2/1000</f>
        <v>4.0343003999999993</v>
      </c>
      <c r="AO284" s="207"/>
      <c r="AP284" s="206">
        <f t="shared" ref="AP284" si="2227">M284*AO284*$AP$2/1000</f>
        <v>0</v>
      </c>
      <c r="AQ284" s="189">
        <f t="shared" ref="AQ284" si="2228">SUM(AK284+AM284+AO284)</f>
        <v>0.104</v>
      </c>
      <c r="AR284" s="97">
        <f t="shared" ref="AR284" si="2229">SUM(AL284+AN284+AP284)</f>
        <v>4.0343003999999993</v>
      </c>
      <c r="AS284" s="97"/>
      <c r="AT284" s="177">
        <f t="shared" ref="AT284" si="2230">O284*AS284*$AT$2/1000</f>
        <v>0</v>
      </c>
      <c r="AU284" s="207"/>
      <c r="AV284" s="177">
        <f t="shared" ref="AV284" si="2231">O284*AU284*$AV$2/1000</f>
        <v>0</v>
      </c>
      <c r="AW284" s="207"/>
      <c r="AX284" s="206">
        <f t="shared" ref="AX284" si="2232">O284*AW284*$AX$2/1000</f>
        <v>0</v>
      </c>
      <c r="AY284" s="189">
        <f t="shared" ref="AY284" si="2233">SUM(AS284+AU284+AW284)</f>
        <v>0</v>
      </c>
      <c r="AZ284" s="97">
        <f t="shared" ref="AZ284" si="2234">SUM(AT284+AV284+AX284)</f>
        <v>0</v>
      </c>
      <c r="BA284" s="97">
        <f t="shared" ref="BA284" si="2235">SUM(AQ284+AY284)</f>
        <v>0.104</v>
      </c>
      <c r="BB284" s="97">
        <f t="shared" ref="BB284" si="2236">SUM(AR284,AZ284)</f>
        <v>4.0343003999999993</v>
      </c>
      <c r="BC284" s="1" t="s">
        <v>1106</v>
      </c>
    </row>
    <row r="285" spans="1:55">
      <c r="A285" s="498">
        <v>201</v>
      </c>
      <c r="B285" s="24"/>
      <c r="C285" s="24"/>
      <c r="D285" s="24"/>
      <c r="E285" s="21" t="s">
        <v>1731</v>
      </c>
      <c r="F285" s="46" t="s">
        <v>1810</v>
      </c>
      <c r="G285" s="430" t="s">
        <v>1105</v>
      </c>
      <c r="H285" s="268" t="s">
        <v>365</v>
      </c>
      <c r="I285" s="18">
        <v>41.9</v>
      </c>
      <c r="J285" s="102"/>
      <c r="K285" s="18">
        <v>41.9</v>
      </c>
      <c r="L285" s="163"/>
      <c r="M285" s="18">
        <v>28.5</v>
      </c>
      <c r="N285" s="163"/>
      <c r="O285" s="18">
        <v>28.5</v>
      </c>
      <c r="P285" s="102"/>
      <c r="Q285" s="97">
        <f t="shared" si="2114"/>
        <v>1E-3</v>
      </c>
      <c r="R285" s="342">
        <f t="shared" si="2115"/>
        <v>3.8791350000000002E-2</v>
      </c>
      <c r="S285" s="97"/>
      <c r="T285" s="97">
        <f t="shared" si="2104"/>
        <v>0</v>
      </c>
      <c r="U285" s="97"/>
      <c r="V285" s="177">
        <f t="shared" ref="V285" si="2237">I285*U285*$V$2/1000</f>
        <v>0</v>
      </c>
      <c r="W285" s="207"/>
      <c r="X285" s="206">
        <f t="shared" si="2116"/>
        <v>0</v>
      </c>
      <c r="Y285" s="189">
        <f t="shared" si="2110"/>
        <v>0</v>
      </c>
      <c r="Z285" s="177">
        <f t="shared" si="2117"/>
        <v>0</v>
      </c>
      <c r="AA285" s="207"/>
      <c r="AB285" s="206">
        <f t="shared" si="2118"/>
        <v>0</v>
      </c>
      <c r="AC285" s="207"/>
      <c r="AD285" s="177">
        <f t="shared" si="2119"/>
        <v>0</v>
      </c>
      <c r="AE285" s="207"/>
      <c r="AF285" s="205">
        <f t="shared" si="2120"/>
        <v>0</v>
      </c>
      <c r="AG285" s="189">
        <f t="shared" si="2121"/>
        <v>0</v>
      </c>
      <c r="AH285" s="97">
        <f t="shared" si="2122"/>
        <v>0</v>
      </c>
      <c r="AI285" s="97">
        <f t="shared" si="2123"/>
        <v>0</v>
      </c>
      <c r="AJ285" s="177">
        <f t="shared" si="2124"/>
        <v>0</v>
      </c>
      <c r="AK285" s="207"/>
      <c r="AL285" s="177">
        <f t="shared" si="2125"/>
        <v>0</v>
      </c>
      <c r="AM285" s="245">
        <v>1E-3</v>
      </c>
      <c r="AN285" s="177">
        <f t="shared" si="2126"/>
        <v>3.8791350000000002E-2</v>
      </c>
      <c r="AO285" s="207"/>
      <c r="AP285" s="206">
        <f t="shared" si="2127"/>
        <v>0</v>
      </c>
      <c r="AQ285" s="189">
        <f t="shared" si="2128"/>
        <v>1E-3</v>
      </c>
      <c r="AR285" s="97">
        <f t="shared" si="2129"/>
        <v>3.8791350000000002E-2</v>
      </c>
      <c r="AS285" s="97"/>
      <c r="AT285" s="177">
        <f t="shared" si="2130"/>
        <v>0</v>
      </c>
      <c r="AU285" s="207"/>
      <c r="AV285" s="177">
        <f t="shared" si="2131"/>
        <v>0</v>
      </c>
      <c r="AW285" s="207"/>
      <c r="AX285" s="206">
        <f t="shared" si="2132"/>
        <v>0</v>
      </c>
      <c r="AY285" s="189">
        <f t="shared" si="2133"/>
        <v>0</v>
      </c>
      <c r="AZ285" s="97">
        <f t="shared" si="2134"/>
        <v>0</v>
      </c>
      <c r="BA285" s="97">
        <f t="shared" si="2135"/>
        <v>1E-3</v>
      </c>
      <c r="BB285" s="97">
        <f t="shared" si="2136"/>
        <v>3.8791350000000002E-2</v>
      </c>
      <c r="BC285" s="1" t="s">
        <v>1106</v>
      </c>
    </row>
    <row r="286" spans="1:55">
      <c r="A286" s="498">
        <v>202</v>
      </c>
      <c r="B286" s="13" t="s">
        <v>684</v>
      </c>
      <c r="C286" s="53" t="s">
        <v>685</v>
      </c>
      <c r="D286" s="53" t="s">
        <v>686</v>
      </c>
      <c r="E286" s="90" t="s">
        <v>687</v>
      </c>
      <c r="F286" s="430" t="s">
        <v>688</v>
      </c>
      <c r="G286" s="430" t="s">
        <v>1105</v>
      </c>
      <c r="H286" s="268" t="s">
        <v>364</v>
      </c>
      <c r="I286" s="55">
        <v>6.94</v>
      </c>
      <c r="J286" s="102"/>
      <c r="K286" s="55">
        <v>6.94</v>
      </c>
      <c r="L286" s="163"/>
      <c r="M286" s="55">
        <v>6.94</v>
      </c>
      <c r="N286" s="163"/>
      <c r="O286" s="55">
        <v>6.94</v>
      </c>
      <c r="P286" s="102"/>
      <c r="Q286" s="97">
        <f t="shared" si="1944"/>
        <v>0</v>
      </c>
      <c r="R286" s="342">
        <f t="shared" si="1945"/>
        <v>0</v>
      </c>
      <c r="S286" s="97"/>
      <c r="T286" s="97">
        <f t="shared" si="1731"/>
        <v>0</v>
      </c>
      <c r="U286" s="97"/>
      <c r="V286" s="177">
        <f t="shared" si="1732"/>
        <v>0</v>
      </c>
      <c r="W286" s="207"/>
      <c r="X286" s="206">
        <f t="shared" si="1733"/>
        <v>0</v>
      </c>
      <c r="Y286" s="189">
        <f t="shared" si="2110"/>
        <v>0</v>
      </c>
      <c r="Z286" s="177">
        <f t="shared" si="1946"/>
        <v>0</v>
      </c>
      <c r="AA286" s="207"/>
      <c r="AB286" s="206">
        <f>K286*AA286*$AB$2/1000</f>
        <v>0</v>
      </c>
      <c r="AC286" s="207"/>
      <c r="AD286" s="177">
        <f t="shared" si="1736"/>
        <v>0</v>
      </c>
      <c r="AE286" s="207"/>
      <c r="AF286" s="205">
        <f>K286*AE286*$AF$2/1000</f>
        <v>0</v>
      </c>
      <c r="AG286" s="189">
        <f t="shared" si="1947"/>
        <v>0</v>
      </c>
      <c r="AH286" s="97">
        <f t="shared" si="1948"/>
        <v>0</v>
      </c>
      <c r="AI286" s="97">
        <f>SUM(Y286+AG286)</f>
        <v>0</v>
      </c>
      <c r="AJ286" s="177">
        <f t="shared" si="1949"/>
        <v>0</v>
      </c>
      <c r="AK286" s="207"/>
      <c r="AL286" s="177">
        <f t="shared" si="2010"/>
        <v>0</v>
      </c>
      <c r="AM286" s="245"/>
      <c r="AN286" s="177">
        <f t="shared" si="1950"/>
        <v>0</v>
      </c>
      <c r="AO286" s="207"/>
      <c r="AP286" s="206">
        <f>M286*AO286*$AP$2/1000</f>
        <v>0</v>
      </c>
      <c r="AQ286" s="189">
        <f t="shared" si="1951"/>
        <v>0</v>
      </c>
      <c r="AR286" s="97">
        <f t="shared" si="1952"/>
        <v>0</v>
      </c>
      <c r="AS286" s="97"/>
      <c r="AT286" s="177">
        <f t="shared" si="1953"/>
        <v>0</v>
      </c>
      <c r="AU286" s="207"/>
      <c r="AV286" s="177">
        <f t="shared" si="1954"/>
        <v>0</v>
      </c>
      <c r="AW286" s="207"/>
      <c r="AX286" s="206">
        <f t="shared" si="1955"/>
        <v>0</v>
      </c>
      <c r="AY286" s="189">
        <f t="shared" si="1956"/>
        <v>0</v>
      </c>
      <c r="AZ286" s="97">
        <f t="shared" si="1957"/>
        <v>0</v>
      </c>
      <c r="BA286" s="97">
        <f t="shared" si="1958"/>
        <v>0</v>
      </c>
      <c r="BB286" s="97">
        <f t="shared" si="1959"/>
        <v>0</v>
      </c>
      <c r="BC286" s="1" t="s">
        <v>1780</v>
      </c>
    </row>
    <row r="287" spans="1:55">
      <c r="A287" s="498">
        <v>203</v>
      </c>
      <c r="B287" s="13"/>
      <c r="C287" s="13"/>
      <c r="D287" s="13"/>
      <c r="E287" s="439" t="s">
        <v>933</v>
      </c>
      <c r="F287" s="430" t="s">
        <v>934</v>
      </c>
      <c r="G287" s="430" t="s">
        <v>1105</v>
      </c>
      <c r="H287" s="268" t="s">
        <v>364</v>
      </c>
      <c r="I287" s="55">
        <v>7.82</v>
      </c>
      <c r="J287" s="102"/>
      <c r="K287" s="55">
        <v>7.82</v>
      </c>
      <c r="L287" s="163"/>
      <c r="M287" s="55">
        <v>7.82</v>
      </c>
      <c r="N287" s="163"/>
      <c r="O287" s="55">
        <v>7.82</v>
      </c>
      <c r="P287" s="102"/>
      <c r="Q287" s="97">
        <f t="shared" si="1944"/>
        <v>0</v>
      </c>
      <c r="R287" s="342">
        <f t="shared" si="1945"/>
        <v>0</v>
      </c>
      <c r="S287" s="97"/>
      <c r="T287" s="97">
        <f t="shared" si="1731"/>
        <v>0</v>
      </c>
      <c r="U287" s="97"/>
      <c r="V287" s="177">
        <f t="shared" si="1732"/>
        <v>0</v>
      </c>
      <c r="W287" s="207"/>
      <c r="X287" s="206">
        <f t="shared" si="1733"/>
        <v>0</v>
      </c>
      <c r="Y287" s="189">
        <f t="shared" ref="Y287:Y288" si="2238">SUM(S287+U287+W287)</f>
        <v>0</v>
      </c>
      <c r="Z287" s="177">
        <f t="shared" si="1946"/>
        <v>0</v>
      </c>
      <c r="AA287" s="207"/>
      <c r="AB287" s="206">
        <f>K287*AA287*$AB$2/1000</f>
        <v>0</v>
      </c>
      <c r="AC287" s="207"/>
      <c r="AD287" s="177">
        <f t="shared" si="1736"/>
        <v>0</v>
      </c>
      <c r="AE287" s="207"/>
      <c r="AF287" s="205">
        <f t="shared" ref="AF287:AF288" si="2239">K287*AE287*$AF$2/1000</f>
        <v>0</v>
      </c>
      <c r="AG287" s="189">
        <f t="shared" si="1947"/>
        <v>0</v>
      </c>
      <c r="AH287" s="97">
        <f t="shared" si="1948"/>
        <v>0</v>
      </c>
      <c r="AI287" s="97">
        <f t="shared" ref="AI287:AI288" si="2240">SUM(Y287+AG287)</f>
        <v>0</v>
      </c>
      <c r="AJ287" s="177">
        <f t="shared" si="1949"/>
        <v>0</v>
      </c>
      <c r="AK287" s="207"/>
      <c r="AL287" s="177">
        <f t="shared" ref="AL287:AL288" si="2241">M287*AK287*$AL$2/1000</f>
        <v>0</v>
      </c>
      <c r="AM287" s="245"/>
      <c r="AN287" s="177">
        <f t="shared" si="1950"/>
        <v>0</v>
      </c>
      <c r="AO287" s="207"/>
      <c r="AP287" s="206">
        <f t="shared" ref="AP287:AP288" si="2242">M287*AO287*$AP$2/1000</f>
        <v>0</v>
      </c>
      <c r="AQ287" s="189">
        <f t="shared" si="1951"/>
        <v>0</v>
      </c>
      <c r="AR287" s="97">
        <f t="shared" si="1952"/>
        <v>0</v>
      </c>
      <c r="AS287" s="97"/>
      <c r="AT287" s="177">
        <f t="shared" si="1953"/>
        <v>0</v>
      </c>
      <c r="AU287" s="207"/>
      <c r="AV287" s="177">
        <f t="shared" si="1954"/>
        <v>0</v>
      </c>
      <c r="AW287" s="207"/>
      <c r="AX287" s="206">
        <f t="shared" si="1955"/>
        <v>0</v>
      </c>
      <c r="AY287" s="189">
        <f t="shared" si="1956"/>
        <v>0</v>
      </c>
      <c r="AZ287" s="97">
        <f t="shared" si="1957"/>
        <v>0</v>
      </c>
      <c r="BA287" s="97">
        <f t="shared" si="1958"/>
        <v>0</v>
      </c>
      <c r="BB287" s="97">
        <f t="shared" si="1959"/>
        <v>0</v>
      </c>
      <c r="BC287" s="1" t="s">
        <v>1780</v>
      </c>
    </row>
    <row r="288" spans="1:55">
      <c r="A288" s="498">
        <v>204</v>
      </c>
      <c r="B288" s="13"/>
      <c r="C288" s="13"/>
      <c r="D288" s="13"/>
      <c r="E288" s="21" t="s">
        <v>689</v>
      </c>
      <c r="F288" s="22" t="s">
        <v>690</v>
      </c>
      <c r="G288" s="46" t="s">
        <v>1105</v>
      </c>
      <c r="H288" s="268" t="s">
        <v>364</v>
      </c>
      <c r="I288" s="67">
        <v>7.56</v>
      </c>
      <c r="J288" s="102"/>
      <c r="K288" s="67">
        <v>7.56</v>
      </c>
      <c r="L288" s="163"/>
      <c r="M288" s="67">
        <v>7.56</v>
      </c>
      <c r="N288" s="163"/>
      <c r="O288" s="67">
        <v>7.56</v>
      </c>
      <c r="P288" s="102"/>
      <c r="Q288" s="97">
        <f t="shared" ref="Q288" si="2243">SUM(AI288+BA288)</f>
        <v>0</v>
      </c>
      <c r="R288" s="342">
        <f t="shared" ref="R288" si="2244">SUM(AJ288+BB288)</f>
        <v>0</v>
      </c>
      <c r="S288" s="97"/>
      <c r="T288" s="97">
        <f t="shared" ref="T288" si="2245">I288*S288*$T$2/1000</f>
        <v>0</v>
      </c>
      <c r="U288" s="97"/>
      <c r="V288" s="177">
        <f t="shared" ref="V288" si="2246">I288*U288*$V$2/1000</f>
        <v>0</v>
      </c>
      <c r="W288" s="207"/>
      <c r="X288" s="206">
        <f t="shared" ref="X288" si="2247">I288*W288*$X$2/1000</f>
        <v>0</v>
      </c>
      <c r="Y288" s="189">
        <f t="shared" si="2238"/>
        <v>0</v>
      </c>
      <c r="Z288" s="177">
        <f>SUM(T288+V288+X288)</f>
        <v>0</v>
      </c>
      <c r="AA288" s="207"/>
      <c r="AB288" s="206">
        <f t="shared" ref="AB288" si="2248">K288*AA288*$AB$2/1000</f>
        <v>0</v>
      </c>
      <c r="AC288" s="207"/>
      <c r="AD288" s="177">
        <f t="shared" ref="AD288" si="2249">K288*AC288*$AD$2/1000</f>
        <v>0</v>
      </c>
      <c r="AE288" s="207"/>
      <c r="AF288" s="205">
        <f t="shared" si="2239"/>
        <v>0</v>
      </c>
      <c r="AG288" s="189">
        <f t="shared" ref="AG288" si="2250">SUM(AA288+AC288+AE288)</f>
        <v>0</v>
      </c>
      <c r="AH288" s="97">
        <f t="shared" ref="AH288" si="2251">SUM(AB288+AD288+AF288)</f>
        <v>0</v>
      </c>
      <c r="AI288" s="97">
        <f t="shared" si="2240"/>
        <v>0</v>
      </c>
      <c r="AJ288" s="177">
        <f t="shared" ref="AJ288" si="2252">SUM(Z288,AH288)</f>
        <v>0</v>
      </c>
      <c r="AK288" s="207"/>
      <c r="AL288" s="177">
        <f t="shared" si="2241"/>
        <v>0</v>
      </c>
      <c r="AM288" s="245"/>
      <c r="AN288" s="177">
        <f t="shared" ref="AN288" si="2253">M288*AM288*$AN$2/1000</f>
        <v>0</v>
      </c>
      <c r="AO288" s="207"/>
      <c r="AP288" s="206">
        <f t="shared" si="2242"/>
        <v>0</v>
      </c>
      <c r="AQ288" s="189">
        <f t="shared" ref="AQ288" si="2254">SUM(AK288+AM288+AO288)</f>
        <v>0</v>
      </c>
      <c r="AR288" s="97">
        <f t="shared" ref="AR288" si="2255">SUM(AL288+AN288+AP288)</f>
        <v>0</v>
      </c>
      <c r="AS288" s="97"/>
      <c r="AT288" s="177">
        <f t="shared" ref="AT288" si="2256">O288*AS288*$AT$2/1000</f>
        <v>0</v>
      </c>
      <c r="AU288" s="207"/>
      <c r="AV288" s="177">
        <f t="shared" ref="AV288" si="2257">O288*AU288*$AV$2/1000</f>
        <v>0</v>
      </c>
      <c r="AW288" s="207"/>
      <c r="AX288" s="206">
        <f t="shared" ref="AX288" si="2258">O288*AW288*$AX$2/1000</f>
        <v>0</v>
      </c>
      <c r="AY288" s="189">
        <f t="shared" ref="AY288" si="2259">SUM(AS288+AU288+AW288)</f>
        <v>0</v>
      </c>
      <c r="AZ288" s="97">
        <f t="shared" ref="AZ288" si="2260">SUM(AT288+AV288+AX288)</f>
        <v>0</v>
      </c>
      <c r="BA288" s="97">
        <f t="shared" ref="BA288" si="2261">SUM(AQ288+AY288)</f>
        <v>0</v>
      </c>
      <c r="BB288" s="97">
        <f t="shared" ref="BB288" si="2262">SUM(AR288,AZ288)</f>
        <v>0</v>
      </c>
      <c r="BC288" s="1" t="s">
        <v>1780</v>
      </c>
    </row>
    <row r="289" spans="1:55">
      <c r="A289" s="498">
        <v>204</v>
      </c>
      <c r="B289" s="13"/>
      <c r="C289" s="13"/>
      <c r="D289" s="13"/>
      <c r="E289" s="21" t="s">
        <v>1737</v>
      </c>
      <c r="F289" s="46" t="s">
        <v>1018</v>
      </c>
      <c r="G289" s="46" t="s">
        <v>1105</v>
      </c>
      <c r="H289" s="268" t="s">
        <v>364</v>
      </c>
      <c r="I289" s="67">
        <v>6.22</v>
      </c>
      <c r="J289" s="102"/>
      <c r="K289" s="67">
        <v>6.22</v>
      </c>
      <c r="L289" s="163"/>
      <c r="M289" s="67">
        <v>6.22</v>
      </c>
      <c r="N289" s="163"/>
      <c r="O289" s="67">
        <v>6.22</v>
      </c>
      <c r="P289" s="102"/>
      <c r="Q289" s="97">
        <f t="shared" si="1944"/>
        <v>19.263999999999999</v>
      </c>
      <c r="R289" s="342">
        <f t="shared" si="1945"/>
        <v>162.71873096959999</v>
      </c>
      <c r="S289" s="97"/>
      <c r="T289" s="97">
        <f t="shared" si="1731"/>
        <v>0</v>
      </c>
      <c r="U289" s="97">
        <v>0.32</v>
      </c>
      <c r="V289" s="177">
        <f t="shared" si="1732"/>
        <v>2.6480281600000004</v>
      </c>
      <c r="W289" s="207"/>
      <c r="X289" s="206">
        <f t="shared" si="1733"/>
        <v>0</v>
      </c>
      <c r="Y289" s="189">
        <f>SUM(S289+U289+W289)</f>
        <v>0.32</v>
      </c>
      <c r="Z289" s="177">
        <f t="shared" si="1946"/>
        <v>2.6480281600000004</v>
      </c>
      <c r="AA289" s="207"/>
      <c r="AB289" s="206">
        <f t="shared" si="1735"/>
        <v>0</v>
      </c>
      <c r="AC289" s="207">
        <v>0.128</v>
      </c>
      <c r="AD289" s="177">
        <f t="shared" si="1736"/>
        <v>1.0904446208000003</v>
      </c>
      <c r="AE289" s="207"/>
      <c r="AF289" s="205">
        <f t="shared" ref="AF289:AF292" si="2263">K289*AE289*$AF$2/1000</f>
        <v>0</v>
      </c>
      <c r="AG289" s="189">
        <f t="shared" si="1947"/>
        <v>0.128</v>
      </c>
      <c r="AH289" s="97">
        <f t="shared" si="1948"/>
        <v>1.0904446208000003</v>
      </c>
      <c r="AI289" s="97">
        <f t="shared" ref="AI289:AI292" si="2264">SUM(Y289+AG289)</f>
        <v>0.44800000000000001</v>
      </c>
      <c r="AJ289" s="177">
        <f t="shared" si="1949"/>
        <v>3.7384727808000005</v>
      </c>
      <c r="AK289" s="207">
        <v>0.38400000000000001</v>
      </c>
      <c r="AL289" s="177">
        <f t="shared" si="2010"/>
        <v>3.3034589183999996</v>
      </c>
      <c r="AM289" s="245">
        <v>1.92</v>
      </c>
      <c r="AN289" s="177">
        <f t="shared" si="1950"/>
        <v>16.254800639999999</v>
      </c>
      <c r="AO289" s="207">
        <v>7.7439999999999998</v>
      </c>
      <c r="AP289" s="206">
        <f t="shared" ref="AP289:AP292" si="2265">M289*AO289*$AP$2/1000</f>
        <v>64.178135155199996</v>
      </c>
      <c r="AQ289" s="189">
        <f t="shared" si="1951"/>
        <v>10.048</v>
      </c>
      <c r="AR289" s="97">
        <f t="shared" si="1952"/>
        <v>83.736394713599992</v>
      </c>
      <c r="AS289" s="97">
        <v>4.16</v>
      </c>
      <c r="AT289" s="177">
        <f t="shared" si="1953"/>
        <v>35.135934079999998</v>
      </c>
      <c r="AU289" s="207">
        <v>3.3279999999999998</v>
      </c>
      <c r="AV289" s="177">
        <f t="shared" si="1954"/>
        <v>28.807791667199997</v>
      </c>
      <c r="AW289" s="207">
        <v>1.28</v>
      </c>
      <c r="AX289" s="206">
        <f t="shared" si="1955"/>
        <v>11.300137727999999</v>
      </c>
      <c r="AY289" s="189">
        <f t="shared" si="1956"/>
        <v>8.7679999999999989</v>
      </c>
      <c r="AZ289" s="97">
        <f t="shared" si="1957"/>
        <v>75.243863475199987</v>
      </c>
      <c r="BA289" s="97">
        <f t="shared" si="1958"/>
        <v>18.815999999999999</v>
      </c>
      <c r="BB289" s="97">
        <f t="shared" si="1959"/>
        <v>158.98025818879998</v>
      </c>
      <c r="BC289" s="1" t="s">
        <v>1782</v>
      </c>
    </row>
    <row r="290" spans="1:55">
      <c r="A290" s="498">
        <v>204</v>
      </c>
      <c r="B290" s="13"/>
      <c r="C290" s="13"/>
      <c r="D290" s="13"/>
      <c r="E290" s="21" t="s">
        <v>1635</v>
      </c>
      <c r="F290" s="22" t="s">
        <v>1636</v>
      </c>
      <c r="G290" s="46" t="s">
        <v>1105</v>
      </c>
      <c r="H290" s="268" t="s">
        <v>364</v>
      </c>
      <c r="I290" s="67">
        <v>6.7</v>
      </c>
      <c r="J290" s="102"/>
      <c r="K290" s="67">
        <v>6.6</v>
      </c>
      <c r="L290" s="163"/>
      <c r="M290" s="67">
        <v>6.6</v>
      </c>
      <c r="N290" s="163"/>
      <c r="O290" s="67">
        <v>6.6</v>
      </c>
      <c r="P290" s="102"/>
      <c r="Q290" s="97">
        <f t="shared" ref="Q290:Q291" si="2266">SUM(AI290+BA290)</f>
        <v>150.07999999999998</v>
      </c>
      <c r="R290" s="342">
        <f t="shared" ref="R290:R291" si="2267">SUM(AJ290+BB290)</f>
        <v>1347.27572504</v>
      </c>
      <c r="S290" s="97">
        <v>5.44</v>
      </c>
      <c r="T290" s="97">
        <f t="shared" ref="T290:T291" si="2268">I290*S290*$T$2/1000</f>
        <v>48.18024672</v>
      </c>
      <c r="U290" s="97">
        <v>6.08</v>
      </c>
      <c r="V290" s="177">
        <f t="shared" ref="V290:V291" si="2269">I290*U290*$V$2/1000</f>
        <v>54.195174400000013</v>
      </c>
      <c r="W290" s="207">
        <v>17.440000000000001</v>
      </c>
      <c r="X290" s="206">
        <f t="shared" ref="X290:X291" si="2270">I290*W290*$X$2/1000</f>
        <v>155.47794880000001</v>
      </c>
      <c r="Y290" s="189">
        <f t="shared" ref="Y290" si="2271">SUM(S290+U290+W290)</f>
        <v>28.96</v>
      </c>
      <c r="Z290" s="177">
        <f t="shared" ref="Z290:Z291" si="2272">SUM(T290+V290+X290)</f>
        <v>257.85336992000003</v>
      </c>
      <c r="AA290" s="207">
        <v>11</v>
      </c>
      <c r="AB290" s="206">
        <f t="shared" ref="AB290:AB291" si="2273">K290*AA290*$AB$2/1000</f>
        <v>99.035111999999984</v>
      </c>
      <c r="AC290" s="207">
        <v>17.48</v>
      </c>
      <c r="AD290" s="177">
        <f t="shared" ref="AD290:AD291" si="2274">K290*AC290*$AD$2/1000</f>
        <v>158.01147383999998</v>
      </c>
      <c r="AE290" s="207">
        <v>19</v>
      </c>
      <c r="AF290" s="205">
        <f t="shared" ref="AF290:AF291" si="2275">K290*AE290*$AF$2/1000</f>
        <v>172.90528199999997</v>
      </c>
      <c r="AG290" s="189">
        <f t="shared" ref="AG290:AG291" si="2276">SUM(AA290+AC290+AE290)</f>
        <v>47.480000000000004</v>
      </c>
      <c r="AH290" s="97">
        <f t="shared" ref="AH290:AH291" si="2277">SUM(AB290+AD290+AF290)</f>
        <v>429.95186783999998</v>
      </c>
      <c r="AI290" s="97">
        <f t="shared" ref="AI290:AI291" si="2278">SUM(Y290+AG290)</f>
        <v>76.44</v>
      </c>
      <c r="AJ290" s="177">
        <f t="shared" ref="AJ290:AJ291" si="2279">SUM(Z290,AH290)</f>
        <v>687.80523775999995</v>
      </c>
      <c r="AK290" s="207">
        <v>17.72</v>
      </c>
      <c r="AL290" s="177">
        <f t="shared" ref="AL290:AL291" si="2280">M290*AK290*$AL$2/1000</f>
        <v>161.75397215999999</v>
      </c>
      <c r="AM290" s="245">
        <v>24</v>
      </c>
      <c r="AN290" s="177">
        <f t="shared" ref="AN290:AN291" si="2281">M290*AM290*$AN$2/1000</f>
        <v>215.59823999999998</v>
      </c>
      <c r="AO290" s="207">
        <v>23.48</v>
      </c>
      <c r="AP290" s="206">
        <f t="shared" ref="AP290:AP291" si="2282">M290*AO290*$AP$2/1000</f>
        <v>206.47781351999998</v>
      </c>
      <c r="AQ290" s="189">
        <f t="shared" ref="AQ290:AQ291" si="2283">SUM(AK290+AM290+AO290)</f>
        <v>65.2</v>
      </c>
      <c r="AR290" s="97">
        <f t="shared" ref="AR290:AR291" si="2284">SUM(AL290+AN290+AP290)</f>
        <v>583.83002567999995</v>
      </c>
      <c r="AS290" s="97">
        <v>8.44</v>
      </c>
      <c r="AT290" s="177">
        <f t="shared" ref="AT290:AT291" si="2285">O290*AS290*$AT$2/1000</f>
        <v>75.640461599999995</v>
      </c>
      <c r="AU290" s="207"/>
      <c r="AV290" s="177">
        <f t="shared" ref="AV290:AV291" si="2286">O290*AU290*$AV$2/1000</f>
        <v>0</v>
      </c>
      <c r="AW290" s="207"/>
      <c r="AX290" s="206">
        <f t="shared" ref="AX290" si="2287">O290*AW290*$AX$2/1000</f>
        <v>0</v>
      </c>
      <c r="AY290" s="189">
        <f t="shared" ref="AY290:AY291" si="2288">SUM(AS290+AU290+AW290)</f>
        <v>8.44</v>
      </c>
      <c r="AZ290" s="97">
        <f t="shared" ref="AZ290:AZ291" si="2289">SUM(AT290+AV290+AX290)</f>
        <v>75.640461599999995</v>
      </c>
      <c r="BA290" s="97">
        <f t="shared" ref="BA290:BA291" si="2290">SUM(AQ290+AY290)</f>
        <v>73.64</v>
      </c>
      <c r="BB290" s="97">
        <f t="shared" ref="BB290:BB291" si="2291">SUM(AR290,AZ290)</f>
        <v>659.47048727999993</v>
      </c>
      <c r="BC290" s="1" t="s">
        <v>1782</v>
      </c>
    </row>
    <row r="291" spans="1:55">
      <c r="A291" s="498">
        <v>221</v>
      </c>
      <c r="B291" s="13"/>
      <c r="C291" s="13"/>
      <c r="D291" s="13"/>
      <c r="E291" s="90" t="s">
        <v>1738</v>
      </c>
      <c r="F291" s="91" t="s">
        <v>1739</v>
      </c>
      <c r="G291" s="22" t="s">
        <v>1106</v>
      </c>
      <c r="H291" s="268" t="s">
        <v>364</v>
      </c>
      <c r="I291" s="55">
        <v>7.05</v>
      </c>
      <c r="J291" s="102"/>
      <c r="K291" s="55">
        <v>7.05</v>
      </c>
      <c r="L291" s="163"/>
      <c r="M291" s="55">
        <v>7.05</v>
      </c>
      <c r="N291" s="163"/>
      <c r="O291" s="55">
        <v>7.05</v>
      </c>
      <c r="P291" s="102"/>
      <c r="Q291" s="97">
        <f t="shared" si="2266"/>
        <v>3.1930000000000001</v>
      </c>
      <c r="R291" s="342">
        <f t="shared" si="2267"/>
        <v>31.005406077</v>
      </c>
      <c r="S291" s="97"/>
      <c r="T291" s="97">
        <f t="shared" si="2268"/>
        <v>0</v>
      </c>
      <c r="U291" s="97">
        <v>0.12</v>
      </c>
      <c r="V291" s="177">
        <f t="shared" si="2269"/>
        <v>1.1255184000000003</v>
      </c>
      <c r="W291" s="207">
        <v>0.26600000000000001</v>
      </c>
      <c r="X291" s="206">
        <f t="shared" si="2270"/>
        <v>2.49527418</v>
      </c>
      <c r="Y291" s="189">
        <f>SUM(S291+U291+W291)</f>
        <v>0.38600000000000001</v>
      </c>
      <c r="Z291" s="177">
        <f t="shared" si="2272"/>
        <v>3.6207925800000003</v>
      </c>
      <c r="AA291" s="207">
        <v>0.16500000000000001</v>
      </c>
      <c r="AB291" s="206">
        <f t="shared" si="2273"/>
        <v>1.5868125900000001</v>
      </c>
      <c r="AC291" s="207">
        <v>0.36</v>
      </c>
      <c r="AD291" s="177">
        <f t="shared" si="2274"/>
        <v>3.4761209400000004</v>
      </c>
      <c r="AE291" s="207">
        <v>0.4</v>
      </c>
      <c r="AF291" s="205">
        <f t="shared" si="2275"/>
        <v>3.8883006</v>
      </c>
      <c r="AG291" s="189">
        <f t="shared" si="2276"/>
        <v>0.92500000000000004</v>
      </c>
      <c r="AH291" s="97">
        <f t="shared" si="2277"/>
        <v>8.9512341299999996</v>
      </c>
      <c r="AI291" s="97">
        <f t="shared" si="2278"/>
        <v>1.3109999999999999</v>
      </c>
      <c r="AJ291" s="177">
        <f t="shared" si="2279"/>
        <v>12.572026709999999</v>
      </c>
      <c r="AK291" s="207">
        <v>0.4</v>
      </c>
      <c r="AL291" s="177">
        <f t="shared" si="2280"/>
        <v>3.9002856000000001</v>
      </c>
      <c r="AM291" s="245"/>
      <c r="AN291" s="177">
        <f t="shared" si="2281"/>
        <v>0</v>
      </c>
      <c r="AO291" s="207">
        <v>0.2</v>
      </c>
      <c r="AP291" s="206">
        <f t="shared" si="2282"/>
        <v>1.8786699000000002</v>
      </c>
      <c r="AQ291" s="189">
        <f t="shared" si="2283"/>
        <v>0.60000000000000009</v>
      </c>
      <c r="AR291" s="97">
        <f t="shared" si="2284"/>
        <v>5.7789555000000004</v>
      </c>
      <c r="AS291" s="97">
        <v>0.4</v>
      </c>
      <c r="AT291" s="177">
        <f t="shared" si="2285"/>
        <v>3.8292780000000008</v>
      </c>
      <c r="AU291" s="207">
        <v>2E-3</v>
      </c>
      <c r="AV291" s="177">
        <f t="shared" si="2286"/>
        <v>1.9622547000000001E-2</v>
      </c>
      <c r="AW291" s="207">
        <v>0.88</v>
      </c>
      <c r="AX291" s="206">
        <f>O291*AW291*$AX$2/1000</f>
        <v>8.8055233199999989</v>
      </c>
      <c r="AY291" s="189">
        <f t="shared" si="2288"/>
        <v>1.282</v>
      </c>
      <c r="AZ291" s="97">
        <f t="shared" si="2289"/>
        <v>12.654423867</v>
      </c>
      <c r="BA291" s="97">
        <f t="shared" si="2290"/>
        <v>1.8820000000000001</v>
      </c>
      <c r="BB291" s="97">
        <f t="shared" si="2291"/>
        <v>18.433379367000001</v>
      </c>
      <c r="BC291" s="1" t="s">
        <v>1782</v>
      </c>
    </row>
    <row r="292" spans="1:55">
      <c r="A292" s="498">
        <v>206</v>
      </c>
      <c r="B292" s="13"/>
      <c r="C292" s="13"/>
      <c r="D292" s="13"/>
      <c r="E292" s="439" t="s">
        <v>1006</v>
      </c>
      <c r="F292" s="430" t="s">
        <v>1007</v>
      </c>
      <c r="G292" s="430" t="s">
        <v>1102</v>
      </c>
      <c r="H292" s="268" t="s">
        <v>365</v>
      </c>
      <c r="I292" s="55">
        <v>8.16</v>
      </c>
      <c r="J292" s="102"/>
      <c r="K292" s="55">
        <v>8.16</v>
      </c>
      <c r="L292" s="163"/>
      <c r="M292" s="55">
        <v>7.9</v>
      </c>
      <c r="N292" s="163"/>
      <c r="O292" s="55">
        <v>7.9</v>
      </c>
      <c r="P292" s="102"/>
      <c r="Q292" s="97">
        <f t="shared" si="1944"/>
        <v>175.8</v>
      </c>
      <c r="R292" s="342">
        <f t="shared" si="1945"/>
        <v>1933.647511824</v>
      </c>
      <c r="S292" s="97">
        <v>28.12</v>
      </c>
      <c r="T292" s="97">
        <f t="shared" si="1731"/>
        <v>303.31982188800009</v>
      </c>
      <c r="U292" s="97">
        <v>10.08</v>
      </c>
      <c r="V292" s="177">
        <f t="shared" si="1732"/>
        <v>109.42912512000001</v>
      </c>
      <c r="W292" s="207">
        <v>4.92</v>
      </c>
      <c r="X292" s="206">
        <f t="shared" si="1733"/>
        <v>53.419864319999995</v>
      </c>
      <c r="Y292" s="189">
        <f>SUM(S292+U292+W292)</f>
        <v>43.120000000000005</v>
      </c>
      <c r="Z292" s="177">
        <f t="shared" si="1946"/>
        <v>466.16881132800006</v>
      </c>
      <c r="AA292" s="207">
        <v>33</v>
      </c>
      <c r="AB292" s="206">
        <f t="shared" ref="AB292:AB299" si="2292">K292*AA292*$AB$2/1000</f>
        <v>367.33023360000004</v>
      </c>
      <c r="AC292" s="207">
        <v>21.8</v>
      </c>
      <c r="AD292" s="177">
        <f t="shared" si="1736"/>
        <v>243.64074144</v>
      </c>
      <c r="AE292" s="207">
        <v>36.92</v>
      </c>
      <c r="AF292" s="205">
        <f t="shared" si="2263"/>
        <v>415.396253376</v>
      </c>
      <c r="AG292" s="189">
        <f t="shared" si="1947"/>
        <v>91.72</v>
      </c>
      <c r="AH292" s="97">
        <f t="shared" si="1948"/>
        <v>1026.367228416</v>
      </c>
      <c r="AI292" s="97">
        <f t="shared" si="2264"/>
        <v>134.84</v>
      </c>
      <c r="AJ292" s="177">
        <f t="shared" si="1949"/>
        <v>1492.5360397439999</v>
      </c>
      <c r="AK292" s="207">
        <v>15</v>
      </c>
      <c r="AL292" s="177">
        <f t="shared" ref="AL292" si="2293">M292*AK292*$AL$2/1000</f>
        <v>163.89497999999998</v>
      </c>
      <c r="AM292" s="245">
        <v>17.48</v>
      </c>
      <c r="AN292" s="177">
        <f t="shared" si="1950"/>
        <v>187.95702120000001</v>
      </c>
      <c r="AO292" s="207">
        <v>8.48</v>
      </c>
      <c r="AP292" s="206">
        <f t="shared" si="2265"/>
        <v>89.259470880000009</v>
      </c>
      <c r="AQ292" s="189">
        <f t="shared" si="1951"/>
        <v>40.960000000000008</v>
      </c>
      <c r="AR292" s="97">
        <f t="shared" si="1952"/>
        <v>441.11147208</v>
      </c>
      <c r="AS292" s="97"/>
      <c r="AT292" s="177">
        <f t="shared" si="1953"/>
        <v>0</v>
      </c>
      <c r="AU292" s="207"/>
      <c r="AV292" s="177">
        <f t="shared" si="1954"/>
        <v>0</v>
      </c>
      <c r="AW292" s="207"/>
      <c r="AX292" s="206">
        <f t="shared" si="1955"/>
        <v>0</v>
      </c>
      <c r="AY292" s="189">
        <f t="shared" si="1956"/>
        <v>0</v>
      </c>
      <c r="AZ292" s="97">
        <f t="shared" si="1957"/>
        <v>0</v>
      </c>
      <c r="BA292" s="97">
        <f t="shared" si="1958"/>
        <v>40.960000000000008</v>
      </c>
      <c r="BB292" s="97">
        <f t="shared" si="1959"/>
        <v>441.11147208</v>
      </c>
      <c r="BC292" s="1" t="s">
        <v>1780</v>
      </c>
    </row>
    <row r="293" spans="1:55">
      <c r="A293" s="498">
        <v>207</v>
      </c>
      <c r="B293" s="13"/>
      <c r="C293" s="13"/>
      <c r="D293" s="13"/>
      <c r="E293" s="439" t="s">
        <v>1044</v>
      </c>
      <c r="F293" s="430" t="s">
        <v>1007</v>
      </c>
      <c r="G293" s="430" t="s">
        <v>1102</v>
      </c>
      <c r="H293" s="268" t="s">
        <v>365</v>
      </c>
      <c r="I293" s="55">
        <v>8.8699999999999992</v>
      </c>
      <c r="J293" s="102"/>
      <c r="K293" s="55">
        <v>8.8699999999999992</v>
      </c>
      <c r="L293" s="163"/>
      <c r="M293" s="55">
        <v>8.8699999999999992</v>
      </c>
      <c r="N293" s="163"/>
      <c r="O293" s="55">
        <v>8.8699999999999992</v>
      </c>
      <c r="P293" s="102"/>
      <c r="Q293" s="97">
        <f t="shared" ref="Q293:Q294" si="2294">SUM(AI293+BA293)</f>
        <v>7.6450000000000005</v>
      </c>
      <c r="R293" s="342">
        <f t="shared" ref="R293:R294" si="2295">SUM(AJ293+BB293)</f>
        <v>89.742705753999999</v>
      </c>
      <c r="S293" s="97">
        <v>6.28</v>
      </c>
      <c r="T293" s="97">
        <f t="shared" ref="T293" si="2296">I293*S293*$T$2/1000</f>
        <v>73.634031804000003</v>
      </c>
      <c r="U293" s="97">
        <v>0.92</v>
      </c>
      <c r="V293" s="177">
        <f t="shared" ref="V293" si="2297">I293*U293*$V$2/1000</f>
        <v>10.856596159999999</v>
      </c>
      <c r="W293" s="207">
        <v>0.44500000000000001</v>
      </c>
      <c r="X293" s="206">
        <f t="shared" ref="X293" si="2298">I293*W293*$X$2/1000</f>
        <v>5.2520777899999995</v>
      </c>
      <c r="Y293" s="189">
        <f t="shared" ref="Y293" si="2299">SUM(S293+U293+W293)</f>
        <v>7.6450000000000005</v>
      </c>
      <c r="Z293" s="177">
        <f t="shared" ref="Z293" si="2300">SUM(T293+V293+X293)</f>
        <v>89.742705753999999</v>
      </c>
      <c r="AA293" s="207"/>
      <c r="AB293" s="206">
        <f t="shared" si="2292"/>
        <v>0</v>
      </c>
      <c r="AC293" s="207"/>
      <c r="AD293" s="177">
        <f t="shared" ref="AD293" si="2301">K293*AC293*$AD$2/1000</f>
        <v>0</v>
      </c>
      <c r="AE293" s="207"/>
      <c r="AF293" s="205">
        <f t="shared" ref="AF293:AF294" si="2302">K293*AE293*$AF$2/1000</f>
        <v>0</v>
      </c>
      <c r="AG293" s="189">
        <f t="shared" ref="AG293" si="2303">SUM(AA293+AC293+AE293)</f>
        <v>0</v>
      </c>
      <c r="AH293" s="97">
        <f t="shared" ref="AH293" si="2304">SUM(AB293+AD293+AF293)</f>
        <v>0</v>
      </c>
      <c r="AI293" s="97">
        <f t="shared" ref="AI293:AI294" si="2305">SUM(Y293+AG293)</f>
        <v>7.6450000000000005</v>
      </c>
      <c r="AJ293" s="177">
        <f t="shared" ref="AJ293:AJ294" si="2306">SUM(Z293,AH293)</f>
        <v>89.742705753999999</v>
      </c>
      <c r="AK293" s="207"/>
      <c r="AL293" s="177">
        <f t="shared" si="2010"/>
        <v>0</v>
      </c>
      <c r="AM293" s="245"/>
      <c r="AN293" s="177">
        <f t="shared" ref="AN293:AN294" si="2307">M293*AM293*$AN$2/1000</f>
        <v>0</v>
      </c>
      <c r="AO293" s="207"/>
      <c r="AP293" s="206">
        <f t="shared" ref="AP293:AP294" si="2308">M293*AO293*$AP$2/1000</f>
        <v>0</v>
      </c>
      <c r="AQ293" s="189">
        <f t="shared" ref="AQ293" si="2309">SUM(AK293+AM293+AO293)</f>
        <v>0</v>
      </c>
      <c r="AR293" s="97">
        <f t="shared" ref="AR293" si="2310">SUM(AL293+AN293+AP293)</f>
        <v>0</v>
      </c>
      <c r="AS293" s="97"/>
      <c r="AT293" s="177">
        <f t="shared" ref="AT293:AT294" si="2311">O293*AS293*$AT$2/1000</f>
        <v>0</v>
      </c>
      <c r="AU293" s="207"/>
      <c r="AV293" s="177">
        <f t="shared" ref="AV293:AV294" si="2312">O293*AU293*$AV$2/1000</f>
        <v>0</v>
      </c>
      <c r="AW293" s="207"/>
      <c r="AX293" s="206">
        <f t="shared" ref="AX293:AX294" si="2313">O293*AW293*$AX$2/1000</f>
        <v>0</v>
      </c>
      <c r="AY293" s="189">
        <f t="shared" ref="AY293" si="2314">SUM(AS293+AU293+AW293)</f>
        <v>0</v>
      </c>
      <c r="AZ293" s="97">
        <f t="shared" ref="AZ293" si="2315">SUM(AT293+AV293+AX293)</f>
        <v>0</v>
      </c>
      <c r="BA293" s="97">
        <f t="shared" ref="BA293:BA294" si="2316">SUM(AQ293+AY293)</f>
        <v>0</v>
      </c>
      <c r="BB293" s="97">
        <f t="shared" ref="BB293:BB294" si="2317">SUM(AR293,AZ293)</f>
        <v>0</v>
      </c>
      <c r="BC293" s="1" t="s">
        <v>1780</v>
      </c>
    </row>
    <row r="294" spans="1:55">
      <c r="A294" s="498">
        <v>208</v>
      </c>
      <c r="B294" s="13"/>
      <c r="C294" s="13"/>
      <c r="D294" s="13"/>
      <c r="E294" s="21" t="s">
        <v>1147</v>
      </c>
      <c r="F294" s="22" t="s">
        <v>1148</v>
      </c>
      <c r="G294" s="430" t="s">
        <v>1102</v>
      </c>
      <c r="H294" s="268" t="s">
        <v>365</v>
      </c>
      <c r="I294" s="55">
        <v>9.5</v>
      </c>
      <c r="J294" s="102"/>
      <c r="K294" s="55">
        <v>9.5</v>
      </c>
      <c r="L294" s="163"/>
      <c r="M294" s="55">
        <v>9.5</v>
      </c>
      <c r="N294" s="163"/>
      <c r="O294" s="55">
        <v>9.5</v>
      </c>
      <c r="P294" s="102"/>
      <c r="Q294" s="97">
        <f t="shared" si="2294"/>
        <v>0</v>
      </c>
      <c r="R294" s="342">
        <f t="shared" si="2295"/>
        <v>0</v>
      </c>
      <c r="S294" s="97"/>
      <c r="T294" s="97">
        <f t="shared" ref="T294:T302" si="2318">I294*S294*$T$2/1000</f>
        <v>0</v>
      </c>
      <c r="U294" s="97"/>
      <c r="V294" s="177">
        <f t="shared" ref="V294:V302" si="2319">I294*U294*$V$2/1000</f>
        <v>0</v>
      </c>
      <c r="W294" s="207"/>
      <c r="X294" s="206">
        <f t="shared" ref="X294:X302" si="2320">I294*W294*$X$2/1000</f>
        <v>0</v>
      </c>
      <c r="Y294" s="189">
        <f t="shared" ref="Y294" si="2321">SUM(S294+U294+W294)</f>
        <v>0</v>
      </c>
      <c r="Z294" s="177">
        <f t="shared" ref="Z294" si="2322">SUM(T294+V294+X294)</f>
        <v>0</v>
      </c>
      <c r="AA294" s="207"/>
      <c r="AB294" s="206">
        <f t="shared" si="2292"/>
        <v>0</v>
      </c>
      <c r="AC294" s="207"/>
      <c r="AD294" s="177">
        <f t="shared" ref="AD294:AD302" si="2323">K294*AC294*$AD$2/1000</f>
        <v>0</v>
      </c>
      <c r="AE294" s="207"/>
      <c r="AF294" s="206">
        <f t="shared" si="2302"/>
        <v>0</v>
      </c>
      <c r="AG294" s="189">
        <f t="shared" ref="AG294:AH297" si="2324">SUM(AA294+AC294+AE294)</f>
        <v>0</v>
      </c>
      <c r="AH294" s="97">
        <f t="shared" si="2324"/>
        <v>0</v>
      </c>
      <c r="AI294" s="97">
        <f t="shared" si="2305"/>
        <v>0</v>
      </c>
      <c r="AJ294" s="177">
        <f t="shared" si="2306"/>
        <v>0</v>
      </c>
      <c r="AK294" s="207"/>
      <c r="AL294" s="177">
        <f t="shared" si="2010"/>
        <v>0</v>
      </c>
      <c r="AM294" s="245"/>
      <c r="AN294" s="177">
        <f t="shared" si="2307"/>
        <v>0</v>
      </c>
      <c r="AO294" s="207"/>
      <c r="AP294" s="206">
        <f t="shared" si="2308"/>
        <v>0</v>
      </c>
      <c r="AQ294" s="189">
        <f t="shared" ref="AQ294:AQ300" si="2325">SUM(AK294+AM294+AO294)</f>
        <v>0</v>
      </c>
      <c r="AR294" s="97">
        <f t="shared" ref="AR294" si="2326">SUM(AL294+AN294+AP294)</f>
        <v>0</v>
      </c>
      <c r="AS294" s="97"/>
      <c r="AT294" s="177">
        <f t="shared" si="2311"/>
        <v>0</v>
      </c>
      <c r="AU294" s="207"/>
      <c r="AV294" s="177">
        <f t="shared" si="2312"/>
        <v>0</v>
      </c>
      <c r="AW294" s="207"/>
      <c r="AX294" s="206">
        <f t="shared" si="2313"/>
        <v>0</v>
      </c>
      <c r="AY294" s="189">
        <f t="shared" ref="AY294:AY300" si="2327">SUM(AS294+AU294+AW294)</f>
        <v>0</v>
      </c>
      <c r="AZ294" s="97">
        <f t="shared" ref="AZ294" si="2328">SUM(AT294+AV294+AX294)</f>
        <v>0</v>
      </c>
      <c r="BA294" s="97">
        <f t="shared" si="2316"/>
        <v>0</v>
      </c>
      <c r="BB294" s="97">
        <f t="shared" si="2317"/>
        <v>0</v>
      </c>
      <c r="BC294" s="1" t="s">
        <v>1780</v>
      </c>
    </row>
    <row r="295" spans="1:55">
      <c r="A295" s="498">
        <v>205</v>
      </c>
      <c r="B295" s="13"/>
      <c r="C295" s="13"/>
      <c r="D295" s="13"/>
      <c r="E295" s="21" t="s">
        <v>1299</v>
      </c>
      <c r="F295" s="46" t="s">
        <v>1300</v>
      </c>
      <c r="G295" s="430" t="s">
        <v>1102</v>
      </c>
      <c r="H295" s="268" t="s">
        <v>365</v>
      </c>
      <c r="I295" s="55">
        <v>7.68</v>
      </c>
      <c r="J295" s="102"/>
      <c r="K295" s="55">
        <v>7.68</v>
      </c>
      <c r="L295" s="163"/>
      <c r="M295" s="55">
        <v>7.68</v>
      </c>
      <c r="N295" s="163"/>
      <c r="O295" s="55">
        <v>7.68</v>
      </c>
      <c r="P295" s="102"/>
      <c r="Q295" s="97">
        <f t="shared" ref="Q295:R297" si="2329">SUM(AI295+BA295)</f>
        <v>0</v>
      </c>
      <c r="R295" s="342">
        <f t="shared" si="2329"/>
        <v>0</v>
      </c>
      <c r="S295" s="97"/>
      <c r="T295" s="97">
        <f t="shared" si="2318"/>
        <v>0</v>
      </c>
      <c r="U295" s="97"/>
      <c r="V295" s="177">
        <f t="shared" si="2319"/>
        <v>0</v>
      </c>
      <c r="W295" s="207"/>
      <c r="X295" s="206">
        <f t="shared" si="2320"/>
        <v>0</v>
      </c>
      <c r="Y295" s="189">
        <f t="shared" ref="Y295:Z297" si="2330">SUM(S295+U295+W295)</f>
        <v>0</v>
      </c>
      <c r="Z295" s="177">
        <f t="shared" si="2330"/>
        <v>0</v>
      </c>
      <c r="AA295" s="207"/>
      <c r="AB295" s="206">
        <f t="shared" si="2292"/>
        <v>0</v>
      </c>
      <c r="AC295" s="207"/>
      <c r="AD295" s="177">
        <f t="shared" si="2323"/>
        <v>0</v>
      </c>
      <c r="AE295" s="207"/>
      <c r="AF295" s="205">
        <f>K295*AE295*$AF$2/1000</f>
        <v>0</v>
      </c>
      <c r="AG295" s="189">
        <f t="shared" si="2324"/>
        <v>0</v>
      </c>
      <c r="AH295" s="97">
        <f t="shared" si="2324"/>
        <v>0</v>
      </c>
      <c r="AI295" s="97">
        <f>SUM(Y295+AG295)</f>
        <v>0</v>
      </c>
      <c r="AJ295" s="177">
        <f>SUM(Z295,AH295)</f>
        <v>0</v>
      </c>
      <c r="AK295" s="207"/>
      <c r="AL295" s="177">
        <f>M295*AK295*$AL$2/1000</f>
        <v>0</v>
      </c>
      <c r="AM295" s="245"/>
      <c r="AN295" s="177">
        <f>M295*AM295*$AN$2/1000</f>
        <v>0</v>
      </c>
      <c r="AO295" s="207"/>
      <c r="AP295" s="206">
        <f>M295*AO295*$AP$2/1000</f>
        <v>0</v>
      </c>
      <c r="AQ295" s="189">
        <f t="shared" si="2325"/>
        <v>0</v>
      </c>
      <c r="AR295" s="97">
        <f>SUM(AL295+AN295+AP295)</f>
        <v>0</v>
      </c>
      <c r="AS295" s="97"/>
      <c r="AT295" s="177">
        <f>O295*AS295*$AT$2/1000</f>
        <v>0</v>
      </c>
      <c r="AU295" s="207"/>
      <c r="AV295" s="177">
        <f>O295*AU295*$AV$2/1000</f>
        <v>0</v>
      </c>
      <c r="AW295" s="207"/>
      <c r="AX295" s="206">
        <f>O295*AW295*$AX$2/1000</f>
        <v>0</v>
      </c>
      <c r="AY295" s="189">
        <f t="shared" si="2327"/>
        <v>0</v>
      </c>
      <c r="AZ295" s="97">
        <f>SUM(AT295+AV295+AX295)</f>
        <v>0</v>
      </c>
      <c r="BA295" s="97">
        <f>SUM(AQ295+AY295)</f>
        <v>0</v>
      </c>
      <c r="BB295" s="97">
        <f>SUM(AR295,AZ295)</f>
        <v>0</v>
      </c>
      <c r="BC295" s="1" t="s">
        <v>1780</v>
      </c>
    </row>
    <row r="296" spans="1:55">
      <c r="A296" s="498">
        <v>205</v>
      </c>
      <c r="B296" s="13"/>
      <c r="C296" s="13"/>
      <c r="D296" s="13"/>
      <c r="E296" s="21" t="s">
        <v>1334</v>
      </c>
      <c r="F296" s="46" t="s">
        <v>1335</v>
      </c>
      <c r="G296" s="430" t="s">
        <v>1102</v>
      </c>
      <c r="H296" s="268" t="s">
        <v>365</v>
      </c>
      <c r="I296" s="55">
        <v>8.0399999999999991</v>
      </c>
      <c r="J296" s="102"/>
      <c r="K296" s="55">
        <v>8.0399999999999991</v>
      </c>
      <c r="L296" s="163"/>
      <c r="M296" s="55">
        <v>8.0399999999999991</v>
      </c>
      <c r="N296" s="163"/>
      <c r="O296" s="55">
        <v>8.0399999999999991</v>
      </c>
      <c r="P296" s="102"/>
      <c r="Q296" s="97">
        <f t="shared" si="2329"/>
        <v>0</v>
      </c>
      <c r="R296" s="342">
        <f t="shared" si="2329"/>
        <v>0</v>
      </c>
      <c r="S296" s="97"/>
      <c r="T296" s="97">
        <f t="shared" ref="T296" si="2331">I296*S296*$T$2/1000</f>
        <v>0</v>
      </c>
      <c r="U296" s="97"/>
      <c r="V296" s="177">
        <f t="shared" ref="V296" si="2332">I296*U296*$V$2/1000</f>
        <v>0</v>
      </c>
      <c r="W296" s="207"/>
      <c r="X296" s="206">
        <f t="shared" ref="X296" si="2333">I296*W296*$X$2/1000</f>
        <v>0</v>
      </c>
      <c r="Y296" s="189">
        <f t="shared" si="2330"/>
        <v>0</v>
      </c>
      <c r="Z296" s="177">
        <f t="shared" si="2330"/>
        <v>0</v>
      </c>
      <c r="AA296" s="207"/>
      <c r="AB296" s="206">
        <f t="shared" ref="AB296" si="2334">K296*AA296*$AB$2/1000</f>
        <v>0</v>
      </c>
      <c r="AC296" s="207"/>
      <c r="AD296" s="177">
        <f t="shared" ref="AD296" si="2335">K296*AC296*$AD$2/1000</f>
        <v>0</v>
      </c>
      <c r="AE296" s="207"/>
      <c r="AF296" s="205">
        <f>K296*AE296*$AF$2/1000</f>
        <v>0</v>
      </c>
      <c r="AG296" s="189">
        <f t="shared" ref="AG296" si="2336">SUM(AA296+AC296+AE296)</f>
        <v>0</v>
      </c>
      <c r="AH296" s="97">
        <f t="shared" ref="AH296" si="2337">SUM(AB296+AD296+AF296)</f>
        <v>0</v>
      </c>
      <c r="AI296" s="97">
        <f>SUM(Y296+AG296)</f>
        <v>0</v>
      </c>
      <c r="AJ296" s="177">
        <f>SUM(Z296,AH296)</f>
        <v>0</v>
      </c>
      <c r="AK296" s="207"/>
      <c r="AL296" s="177">
        <f>M296*AK296*$AL$2/1000</f>
        <v>0</v>
      </c>
      <c r="AM296" s="245"/>
      <c r="AN296" s="177">
        <f>M296*AM296*$AN$2/1000</f>
        <v>0</v>
      </c>
      <c r="AO296" s="207"/>
      <c r="AP296" s="206">
        <f>M296*AO296*$AP$2/1000</f>
        <v>0</v>
      </c>
      <c r="AQ296" s="189">
        <f>SUM(AK296+AM296+AO296)</f>
        <v>0</v>
      </c>
      <c r="AR296" s="97">
        <f>SUM(AL296+AN296+AP296)</f>
        <v>0</v>
      </c>
      <c r="AS296" s="97"/>
      <c r="AT296" s="177">
        <f>O296*AS296*$AT$2/1000</f>
        <v>0</v>
      </c>
      <c r="AU296" s="207"/>
      <c r="AV296" s="177">
        <f>O296*AU296*$AV$2/1000</f>
        <v>0</v>
      </c>
      <c r="AW296" s="207"/>
      <c r="AX296" s="206">
        <f>O296*AW296*$AX$2/1000</f>
        <v>0</v>
      </c>
      <c r="AY296" s="189">
        <f>SUM(AS296+AU296+AW296)</f>
        <v>0</v>
      </c>
      <c r="AZ296" s="97">
        <f>SUM(AT296+AV296+AX296)</f>
        <v>0</v>
      </c>
      <c r="BA296" s="97">
        <f>SUM(AQ296+AY296)</f>
        <v>0</v>
      </c>
      <c r="BB296" s="97">
        <f>SUM(AR296,AZ296)</f>
        <v>0</v>
      </c>
      <c r="BC296" s="1" t="s">
        <v>1106</v>
      </c>
    </row>
    <row r="297" spans="1:55">
      <c r="A297" s="498">
        <v>205</v>
      </c>
      <c r="B297" s="13"/>
      <c r="C297" s="13"/>
      <c r="D297" s="13"/>
      <c r="E297" s="21" t="s">
        <v>1832</v>
      </c>
      <c r="F297" s="46" t="s">
        <v>1007</v>
      </c>
      <c r="G297" s="430" t="s">
        <v>1102</v>
      </c>
      <c r="H297" s="268" t="s">
        <v>365</v>
      </c>
      <c r="I297" s="55"/>
      <c r="J297" s="102"/>
      <c r="K297" s="55"/>
      <c r="L297" s="163"/>
      <c r="M297" s="55"/>
      <c r="N297" s="163"/>
      <c r="O297" s="55">
        <v>6.5</v>
      </c>
      <c r="P297" s="102"/>
      <c r="Q297" s="97">
        <f t="shared" si="2329"/>
        <v>0.2</v>
      </c>
      <c r="R297" s="342">
        <f t="shared" si="2329"/>
        <v>1.8091710000000001</v>
      </c>
      <c r="S297" s="97"/>
      <c r="T297" s="97">
        <f t="shared" si="2318"/>
        <v>0</v>
      </c>
      <c r="U297" s="97"/>
      <c r="V297" s="177">
        <f t="shared" si="2319"/>
        <v>0</v>
      </c>
      <c r="W297" s="207"/>
      <c r="X297" s="206">
        <f t="shared" si="2320"/>
        <v>0</v>
      </c>
      <c r="Y297" s="189">
        <f t="shared" si="2330"/>
        <v>0</v>
      </c>
      <c r="Z297" s="177">
        <f t="shared" si="2330"/>
        <v>0</v>
      </c>
      <c r="AA297" s="207"/>
      <c r="AB297" s="206">
        <f t="shared" si="2292"/>
        <v>0</v>
      </c>
      <c r="AC297" s="207"/>
      <c r="AD297" s="177">
        <f t="shared" si="2323"/>
        <v>0</v>
      </c>
      <c r="AE297" s="207"/>
      <c r="AF297" s="205">
        <f>K297*AE297*$AF$2/1000</f>
        <v>0</v>
      </c>
      <c r="AG297" s="189">
        <f t="shared" si="2324"/>
        <v>0</v>
      </c>
      <c r="AH297" s="97">
        <f t="shared" si="2324"/>
        <v>0</v>
      </c>
      <c r="AI297" s="97">
        <f>SUM(Y297+AG297)</f>
        <v>0</v>
      </c>
      <c r="AJ297" s="177">
        <f>SUM(Z297,AH297)</f>
        <v>0</v>
      </c>
      <c r="AK297" s="207"/>
      <c r="AL297" s="177">
        <f>M297*AK297*$AL$2/1000</f>
        <v>0</v>
      </c>
      <c r="AM297" s="245"/>
      <c r="AN297" s="177">
        <f>M297*AM297*$AN$2/1000</f>
        <v>0</v>
      </c>
      <c r="AO297" s="207"/>
      <c r="AP297" s="206">
        <f>M297*AO297*$AP$2/1000</f>
        <v>0</v>
      </c>
      <c r="AQ297" s="189">
        <f t="shared" si="2325"/>
        <v>0</v>
      </c>
      <c r="AR297" s="97">
        <f>SUM(AL297+AN297+AP297)</f>
        <v>0</v>
      </c>
      <c r="AS297" s="97"/>
      <c r="AT297" s="177">
        <f>O297*AS297*$AT$2/1000</f>
        <v>0</v>
      </c>
      <c r="AU297" s="207">
        <v>0.2</v>
      </c>
      <c r="AV297" s="177">
        <f>O297*AU297*$AV$2/1000</f>
        <v>1.8091710000000001</v>
      </c>
      <c r="AW297" s="207"/>
      <c r="AX297" s="206">
        <f>O297*AW297*$AX$2/1000</f>
        <v>0</v>
      </c>
      <c r="AY297" s="189">
        <f t="shared" si="2327"/>
        <v>0.2</v>
      </c>
      <c r="AZ297" s="97">
        <f>SUM(AT297+AV297+AX297)</f>
        <v>1.8091710000000001</v>
      </c>
      <c r="BA297" s="97">
        <f>SUM(AQ297+AY297)</f>
        <v>0.2</v>
      </c>
      <c r="BB297" s="97">
        <f>SUM(AR297,AZ297)</f>
        <v>1.8091710000000001</v>
      </c>
      <c r="BC297" s="1" t="s">
        <v>1780</v>
      </c>
    </row>
    <row r="298" spans="1:55">
      <c r="A298" s="498">
        <v>208</v>
      </c>
      <c r="B298" s="13"/>
      <c r="C298" s="13"/>
      <c r="D298" s="13"/>
      <c r="E298" s="21" t="s">
        <v>1405</v>
      </c>
      <c r="F298" s="22" t="s">
        <v>1406</v>
      </c>
      <c r="G298" s="430" t="s">
        <v>1102</v>
      </c>
      <c r="H298" s="268" t="s">
        <v>365</v>
      </c>
      <c r="I298" s="55">
        <v>7.58</v>
      </c>
      <c r="J298" s="102"/>
      <c r="K298" s="55">
        <v>7.58</v>
      </c>
      <c r="L298" s="163"/>
      <c r="M298" s="55">
        <v>7.58</v>
      </c>
      <c r="N298" s="163"/>
      <c r="O298" s="55">
        <v>7.58</v>
      </c>
      <c r="P298" s="102"/>
      <c r="Q298" s="97">
        <f t="shared" ref="Q298" si="2338">SUM(AI298+BA298)</f>
        <v>115.626</v>
      </c>
      <c r="R298" s="342">
        <f t="shared" ref="R298" si="2339">SUM(AJ298+BB298)</f>
        <v>1185.9748623912001</v>
      </c>
      <c r="S298" s="97">
        <v>24.192</v>
      </c>
      <c r="T298" s="97">
        <f t="shared" si="2318"/>
        <v>242.40205463040004</v>
      </c>
      <c r="U298" s="97">
        <v>7.3079999999999998</v>
      </c>
      <c r="V298" s="177">
        <f t="shared" si="2319"/>
        <v>73.697029056000019</v>
      </c>
      <c r="W298" s="207">
        <v>9.5340000000000007</v>
      </c>
      <c r="X298" s="206">
        <f t="shared" si="2320"/>
        <v>96.15942823200001</v>
      </c>
      <c r="Y298" s="189">
        <f t="shared" ref="Y298" si="2340">SUM(S298+U298+W298)</f>
        <v>41.033999999999999</v>
      </c>
      <c r="Z298" s="177">
        <f t="shared" ref="Z298" si="2341">SUM(T298+V298+X298)</f>
        <v>412.25851191840002</v>
      </c>
      <c r="AA298" s="207">
        <v>8.6940000000000008</v>
      </c>
      <c r="AB298" s="206">
        <f t="shared" si="2292"/>
        <v>89.896217342399993</v>
      </c>
      <c r="AC298" s="207">
        <v>5.3760000000000003</v>
      </c>
      <c r="AD298" s="177">
        <f t="shared" si="2323"/>
        <v>55.81253207040001</v>
      </c>
      <c r="AE298" s="207">
        <v>8.7780000000000005</v>
      </c>
      <c r="AF298" s="206">
        <f t="shared" ref="AF298" si="2342">K298*AE298*$AF$2/1000</f>
        <v>91.743542629200007</v>
      </c>
      <c r="AG298" s="189">
        <f t="shared" ref="AG298:AG301" si="2343">SUM(AA298+AC298+AE298)</f>
        <v>22.847999999999999</v>
      </c>
      <c r="AH298" s="97">
        <f t="shared" ref="AH298:AH299" si="2344">SUM(AB298+AD298+AF298)</f>
        <v>237.45229204200001</v>
      </c>
      <c r="AI298" s="97">
        <f t="shared" ref="AI298" si="2345">SUM(Y298+AG298)</f>
        <v>63.881999999999998</v>
      </c>
      <c r="AJ298" s="177">
        <f t="shared" ref="AJ298" si="2346">SUM(Z298,AH298)</f>
        <v>649.71080396039997</v>
      </c>
      <c r="AK298" s="207">
        <v>8.5679999999999996</v>
      </c>
      <c r="AL298" s="177">
        <f t="shared" ref="AL298" si="2347">M298*AK298*$AL$2/1000</f>
        <v>89.824739155199978</v>
      </c>
      <c r="AM298" s="245">
        <v>11.592000000000001</v>
      </c>
      <c r="AN298" s="177">
        <f t="shared" ref="AN298" si="2348">M298*AM298*$AN$2/1000</f>
        <v>119.59626369599999</v>
      </c>
      <c r="AO298" s="207">
        <v>6.048</v>
      </c>
      <c r="AP298" s="206">
        <f t="shared" ref="AP298" si="2349">M298*AO298*$AP$2/1000</f>
        <v>61.081873977600004</v>
      </c>
      <c r="AQ298" s="189">
        <f t="shared" si="2325"/>
        <v>26.207999999999998</v>
      </c>
      <c r="AR298" s="97">
        <f t="shared" ref="AR298" si="2350">SUM(AL298+AN298+AP298)</f>
        <v>270.50287682879997</v>
      </c>
      <c r="AS298" s="97">
        <v>17.010000000000002</v>
      </c>
      <c r="AT298" s="177">
        <f t="shared" ref="AT298" si="2351">O298*AS298*$AT$2/1000</f>
        <v>175.08192282000002</v>
      </c>
      <c r="AU298" s="207">
        <v>4.9980000000000002</v>
      </c>
      <c r="AV298" s="177">
        <f t="shared" ref="AV298" si="2352">O298*AU298*$AV$2/1000</f>
        <v>52.723195282800006</v>
      </c>
      <c r="AW298" s="207">
        <v>3.528</v>
      </c>
      <c r="AX298" s="206">
        <f t="shared" ref="AX298" si="2353">O298*AW298*$AX$2/1000</f>
        <v>37.956063499199999</v>
      </c>
      <c r="AY298" s="189">
        <f t="shared" si="2327"/>
        <v>25.536000000000001</v>
      </c>
      <c r="AZ298" s="97">
        <f t="shared" ref="AZ298" si="2354">SUM(AT298+AV298+AX298)</f>
        <v>265.76118160200002</v>
      </c>
      <c r="BA298" s="97">
        <f t="shared" ref="BA298" si="2355">SUM(AQ298+AY298)</f>
        <v>51.744</v>
      </c>
      <c r="BB298" s="97">
        <f t="shared" ref="BB298" si="2356">SUM(AR298,AZ298)</f>
        <v>536.26405843079999</v>
      </c>
      <c r="BC298" s="1" t="s">
        <v>1780</v>
      </c>
    </row>
    <row r="299" spans="1:55">
      <c r="A299" s="498">
        <v>205</v>
      </c>
      <c r="B299" s="13"/>
      <c r="C299" s="13"/>
      <c r="D299" s="13"/>
      <c r="E299" s="21" t="s">
        <v>1407</v>
      </c>
      <c r="F299" s="46" t="s">
        <v>1408</v>
      </c>
      <c r="G299" s="430" t="s">
        <v>1102</v>
      </c>
      <c r="H299" s="268" t="s">
        <v>365</v>
      </c>
      <c r="I299" s="55">
        <v>8.33</v>
      </c>
      <c r="J299" s="102"/>
      <c r="K299" s="55">
        <v>8.33</v>
      </c>
      <c r="L299" s="163"/>
      <c r="M299" s="55">
        <v>8.33</v>
      </c>
      <c r="N299" s="163"/>
      <c r="O299" s="55">
        <v>8.33</v>
      </c>
      <c r="P299" s="102"/>
      <c r="Q299" s="97">
        <f t="shared" ref="Q299:R301" si="2357">SUM(AI299+BA299)</f>
        <v>0.52500000000000002</v>
      </c>
      <c r="R299" s="342">
        <f t="shared" si="2357"/>
        <v>5.8549123479</v>
      </c>
      <c r="S299" s="97">
        <v>0.252</v>
      </c>
      <c r="T299" s="97">
        <f t="shared" si="2318"/>
        <v>2.7748586124000001</v>
      </c>
      <c r="U299" s="97">
        <v>8.4000000000000005E-2</v>
      </c>
      <c r="V299" s="177">
        <f t="shared" si="2319"/>
        <v>0.93090748800000001</v>
      </c>
      <c r="W299" s="207"/>
      <c r="X299" s="206">
        <f t="shared" si="2320"/>
        <v>0</v>
      </c>
      <c r="Y299" s="189">
        <f t="shared" ref="Y299:Z301" si="2358">SUM(S299+U299+W299)</f>
        <v>0.33600000000000002</v>
      </c>
      <c r="Z299" s="177">
        <f t="shared" si="2358"/>
        <v>3.7057661004</v>
      </c>
      <c r="AA299" s="207">
        <v>0.126</v>
      </c>
      <c r="AB299" s="206">
        <f t="shared" si="2292"/>
        <v>1.4317530695999998</v>
      </c>
      <c r="AC299" s="207"/>
      <c r="AD299" s="177">
        <f t="shared" si="2323"/>
        <v>0</v>
      </c>
      <c r="AE299" s="207">
        <v>2.1000000000000001E-2</v>
      </c>
      <c r="AF299" s="205">
        <f>K299*AE299*$AF$2/1000</f>
        <v>0.24119873189999999</v>
      </c>
      <c r="AG299" s="189">
        <f t="shared" si="2343"/>
        <v>0.14699999999999999</v>
      </c>
      <c r="AH299" s="97">
        <f t="shared" si="2344"/>
        <v>1.6729518014999998</v>
      </c>
      <c r="AI299" s="97">
        <f>SUM(Y299+AG299)</f>
        <v>0.48299999999999998</v>
      </c>
      <c r="AJ299" s="177">
        <f>SUM(Z299,AH299)</f>
        <v>5.3787179019</v>
      </c>
      <c r="AK299" s="207"/>
      <c r="AL299" s="177">
        <f>M299*AK299*$AL$2/1000</f>
        <v>0</v>
      </c>
      <c r="AM299" s="245">
        <v>4.2000000000000003E-2</v>
      </c>
      <c r="AN299" s="177">
        <f>M299*AM299*$AN$2/1000</f>
        <v>0.47619444599999999</v>
      </c>
      <c r="AO299" s="207"/>
      <c r="AP299" s="206">
        <f>M299*AO299*$AP$2/1000</f>
        <v>0</v>
      </c>
      <c r="AQ299" s="189">
        <f t="shared" si="2325"/>
        <v>4.2000000000000003E-2</v>
      </c>
      <c r="AR299" s="97">
        <f>SUM(AL299+AN299+AP299)</f>
        <v>0.47619444599999999</v>
      </c>
      <c r="AS299" s="97"/>
      <c r="AT299" s="177">
        <f>O299*AS299*$AT$2/1000</f>
        <v>0</v>
      </c>
      <c r="AU299" s="207"/>
      <c r="AV299" s="177">
        <f>O299*AU299*$AV$2/1000</f>
        <v>0</v>
      </c>
      <c r="AW299" s="207"/>
      <c r="AX299" s="206">
        <f>O299*AW299*$AX$2/1000</f>
        <v>0</v>
      </c>
      <c r="AY299" s="189">
        <f t="shared" si="2327"/>
        <v>0</v>
      </c>
      <c r="AZ299" s="97">
        <f>SUM(AT299+AV299+AX299)</f>
        <v>0</v>
      </c>
      <c r="BA299" s="97">
        <f>SUM(AQ299+AY299)</f>
        <v>4.2000000000000003E-2</v>
      </c>
      <c r="BB299" s="97">
        <f>SUM(AR299,AZ299)</f>
        <v>0.47619444599999999</v>
      </c>
      <c r="BC299" s="1" t="s">
        <v>1780</v>
      </c>
    </row>
    <row r="300" spans="1:55">
      <c r="A300" s="498">
        <v>205</v>
      </c>
      <c r="B300" s="13"/>
      <c r="C300" s="13"/>
      <c r="D300" s="13"/>
      <c r="E300" s="21" t="s">
        <v>1637</v>
      </c>
      <c r="F300" s="46" t="s">
        <v>1638</v>
      </c>
      <c r="G300" s="430" t="s">
        <v>1102</v>
      </c>
      <c r="H300" s="268" t="s">
        <v>365</v>
      </c>
      <c r="I300" s="55">
        <v>6.6</v>
      </c>
      <c r="J300" s="102"/>
      <c r="K300" s="55">
        <v>6.6</v>
      </c>
      <c r="L300" s="163"/>
      <c r="M300" s="55">
        <v>6.6</v>
      </c>
      <c r="N300" s="163"/>
      <c r="O300" s="55">
        <v>6.6</v>
      </c>
      <c r="P300" s="102"/>
      <c r="Q300" s="97">
        <f t="shared" si="2357"/>
        <v>79.52</v>
      </c>
      <c r="R300" s="342">
        <f t="shared" si="2357"/>
        <v>713.65368623999984</v>
      </c>
      <c r="S300" s="97">
        <v>4.92</v>
      </c>
      <c r="T300" s="97">
        <f t="shared" ref="T300:T301" si="2359">I300*S300*$T$2/1000</f>
        <v>42.924412080000003</v>
      </c>
      <c r="U300" s="97">
        <v>7.08</v>
      </c>
      <c r="V300" s="177">
        <f t="shared" ref="V300:V301" si="2360">I300*U300*$V$2/1000</f>
        <v>62.166931200000001</v>
      </c>
      <c r="W300" s="207">
        <v>2.3199999999999998</v>
      </c>
      <c r="X300" s="206">
        <f t="shared" ref="X300:X301" si="2361">I300*W300*$X$2/1000</f>
        <v>20.374147199999996</v>
      </c>
      <c r="Y300" s="189">
        <f t="shared" si="2358"/>
        <v>14.32</v>
      </c>
      <c r="Z300" s="177">
        <f t="shared" si="2358"/>
        <v>125.46549048</v>
      </c>
      <c r="AA300" s="207">
        <v>5.92</v>
      </c>
      <c r="AB300" s="206">
        <f t="shared" ref="AB300:AB301" si="2362">K300*AA300*$AB$2/1000</f>
        <v>53.298896639999995</v>
      </c>
      <c r="AC300" s="207">
        <v>7.72</v>
      </c>
      <c r="AD300" s="177">
        <f t="shared" ref="AD300:AD301" si="2363">K300*AC300*$AD$2/1000</f>
        <v>69.785387759999992</v>
      </c>
      <c r="AE300" s="207">
        <v>8.1999999999999993</v>
      </c>
      <c r="AF300" s="205">
        <f>K300*AE300*$AF$2/1000</f>
        <v>74.622279599999985</v>
      </c>
      <c r="AG300" s="189">
        <f t="shared" si="2343"/>
        <v>21.84</v>
      </c>
      <c r="AH300" s="97">
        <f>SUM(AB300+AD300+AF300)</f>
        <v>197.70656399999996</v>
      </c>
      <c r="AI300" s="97">
        <f>SUM(Y300+AG300)</f>
        <v>36.159999999999997</v>
      </c>
      <c r="AJ300" s="177">
        <f>SUM(Z300,AH300)</f>
        <v>323.17205447999993</v>
      </c>
      <c r="AK300" s="207">
        <v>9.1199999999999992</v>
      </c>
      <c r="AL300" s="177">
        <f>M300*AK300*$AL$2/1000</f>
        <v>83.250351359999982</v>
      </c>
      <c r="AM300" s="245">
        <v>10.16</v>
      </c>
      <c r="AN300" s="177">
        <f>M300*AM300*$AN$2/1000</f>
        <v>91.269921599999989</v>
      </c>
      <c r="AO300" s="207">
        <v>12.48</v>
      </c>
      <c r="AP300" s="206">
        <f>M300*AO300*$AP$2/1000</f>
        <v>109.74629951999999</v>
      </c>
      <c r="AQ300" s="189">
        <f t="shared" si="2325"/>
        <v>31.76</v>
      </c>
      <c r="AR300" s="97">
        <f>SUM(AL300+AN300+AP300)</f>
        <v>284.26657247999998</v>
      </c>
      <c r="AS300" s="97">
        <v>6.04</v>
      </c>
      <c r="AT300" s="177">
        <f>O300*AS300*$AT$2/1000</f>
        <v>54.131325599999997</v>
      </c>
      <c r="AU300" s="207"/>
      <c r="AV300" s="177">
        <f>O300*AU300*$AV$2/1000</f>
        <v>0</v>
      </c>
      <c r="AW300" s="207">
        <v>5.56</v>
      </c>
      <c r="AX300" s="206">
        <f>O300*AW300*$AX$2/1000</f>
        <v>52.083733679999995</v>
      </c>
      <c r="AY300" s="189">
        <f t="shared" si="2327"/>
        <v>11.6</v>
      </c>
      <c r="AZ300" s="97">
        <f>SUM(AT300+AV300+AX300)</f>
        <v>106.21505927999999</v>
      </c>
      <c r="BA300" s="97">
        <f>SUM(AQ300+AY300)</f>
        <v>43.36</v>
      </c>
      <c r="BB300" s="97">
        <f>SUM(AR300,AZ300)</f>
        <v>390.48163175999997</v>
      </c>
      <c r="BC300" s="1" t="s">
        <v>1782</v>
      </c>
    </row>
    <row r="301" spans="1:55">
      <c r="A301" s="498">
        <v>205</v>
      </c>
      <c r="B301" s="13"/>
      <c r="C301" s="13"/>
      <c r="D301" s="13"/>
      <c r="E301" s="21" t="s">
        <v>1337</v>
      </c>
      <c r="F301" s="22" t="s">
        <v>1339</v>
      </c>
      <c r="G301" s="430" t="s">
        <v>1102</v>
      </c>
      <c r="H301" s="268" t="s">
        <v>365</v>
      </c>
      <c r="I301" s="55">
        <v>7.35</v>
      </c>
      <c r="J301" s="102"/>
      <c r="K301" s="55">
        <v>7.35</v>
      </c>
      <c r="L301" s="163"/>
      <c r="M301" s="55">
        <v>7.35</v>
      </c>
      <c r="N301" s="163"/>
      <c r="O301" s="55">
        <v>7.35</v>
      </c>
      <c r="P301" s="102"/>
      <c r="Q301" s="97">
        <f t="shared" si="2357"/>
        <v>0.48</v>
      </c>
      <c r="R301" s="342">
        <f t="shared" si="2357"/>
        <v>4.7766121199999994</v>
      </c>
      <c r="S301" s="97"/>
      <c r="T301" s="97">
        <f t="shared" si="2359"/>
        <v>0</v>
      </c>
      <c r="U301" s="97">
        <v>0.08</v>
      </c>
      <c r="V301" s="177">
        <f t="shared" si="2360"/>
        <v>0.78227520000000006</v>
      </c>
      <c r="W301" s="207">
        <v>0.16</v>
      </c>
      <c r="X301" s="206">
        <f t="shared" si="2361"/>
        <v>1.5647855999999998</v>
      </c>
      <c r="Y301" s="189">
        <f t="shared" si="2358"/>
        <v>0.24</v>
      </c>
      <c r="Z301" s="177">
        <f t="shared" si="2358"/>
        <v>2.3470607999999999</v>
      </c>
      <c r="AA301" s="207"/>
      <c r="AB301" s="206">
        <f t="shared" si="2362"/>
        <v>0</v>
      </c>
      <c r="AC301" s="207">
        <v>0.04</v>
      </c>
      <c r="AD301" s="177">
        <f t="shared" si="2363"/>
        <v>0.40267122</v>
      </c>
      <c r="AE301" s="207">
        <v>0.2</v>
      </c>
      <c r="AF301" s="205">
        <f>K301*AE301*$AF$2/1000</f>
        <v>2.0268801000000001</v>
      </c>
      <c r="AG301" s="189">
        <f t="shared" si="2343"/>
        <v>0.24000000000000002</v>
      </c>
      <c r="AH301" s="97">
        <f t="shared" ref="AH301" si="2364">SUM(AB301+AD301+AF301)</f>
        <v>2.4295513199999998</v>
      </c>
      <c r="AI301" s="97">
        <f>SUM(Y301+AG301)</f>
        <v>0.48</v>
      </c>
      <c r="AJ301" s="177">
        <f>SUM(Z301,AH301)</f>
        <v>4.7766121199999994</v>
      </c>
      <c r="AK301" s="207"/>
      <c r="AL301" s="177">
        <f>M301*AK301*$AL$2/1000</f>
        <v>0</v>
      </c>
      <c r="AM301" s="245"/>
      <c r="AN301" s="177">
        <f>M301*AM301*$AN$2/1000</f>
        <v>0</v>
      </c>
      <c r="AO301" s="207"/>
      <c r="AP301" s="206">
        <f>M301*AO301*$AP$2/1000</f>
        <v>0</v>
      </c>
      <c r="AQ301" s="189">
        <f t="shared" ref="AQ301" si="2365">SUM(AK301+AM301+AO301)</f>
        <v>0</v>
      </c>
      <c r="AR301" s="97">
        <f>SUM(AL301+AN301+AP301)</f>
        <v>0</v>
      </c>
      <c r="AS301" s="97"/>
      <c r="AT301" s="177">
        <f>O301*AS301*$AT$2/1000</f>
        <v>0</v>
      </c>
      <c r="AU301" s="207"/>
      <c r="AV301" s="177">
        <f>O301*AU301*$AV$2/1000</f>
        <v>0</v>
      </c>
      <c r="AW301" s="207"/>
      <c r="AX301" s="206">
        <f>O301*AW301*$AX$2/1000</f>
        <v>0</v>
      </c>
      <c r="AY301" s="189">
        <f t="shared" ref="AY301" si="2366">SUM(AS301+AU301+AW301)</f>
        <v>0</v>
      </c>
      <c r="AZ301" s="97">
        <f>SUM(AT301+AV301+AX301)</f>
        <v>0</v>
      </c>
      <c r="BA301" s="97">
        <f>SUM(AQ301+AY301)</f>
        <v>0</v>
      </c>
      <c r="BB301" s="97">
        <f>SUM(AR301,AZ301)</f>
        <v>0</v>
      </c>
      <c r="BC301" s="1" t="s">
        <v>1782</v>
      </c>
    </row>
    <row r="302" spans="1:55">
      <c r="B302" s="13"/>
      <c r="C302" s="13"/>
      <c r="D302" s="13"/>
      <c r="E302" s="21" t="s">
        <v>1228</v>
      </c>
      <c r="F302" s="91" t="s">
        <v>691</v>
      </c>
      <c r="G302" s="430" t="s">
        <v>1102</v>
      </c>
      <c r="H302" s="268" t="s">
        <v>365</v>
      </c>
      <c r="I302" s="55">
        <v>7.49</v>
      </c>
      <c r="J302" s="102"/>
      <c r="K302" s="55">
        <v>7.49</v>
      </c>
      <c r="L302" s="163"/>
      <c r="M302" s="55">
        <v>7.49</v>
      </c>
      <c r="N302" s="163"/>
      <c r="O302" s="55">
        <v>7.49</v>
      </c>
      <c r="P302" s="102"/>
      <c r="Q302" s="97">
        <f t="shared" ref="Q302:Q303" si="2367">SUM(AI302+BA302)</f>
        <v>7.5600000000000005</v>
      </c>
      <c r="R302" s="342">
        <f t="shared" ref="R302:R303" si="2368">SUM(AJ302+BB302)</f>
        <v>75.267643953600015</v>
      </c>
      <c r="S302" s="97">
        <v>3.024</v>
      </c>
      <c r="T302" s="97">
        <f t="shared" si="2318"/>
        <v>29.940491246400004</v>
      </c>
      <c r="U302" s="97">
        <v>4.032</v>
      </c>
      <c r="V302" s="177">
        <f t="shared" si="2319"/>
        <v>40.177654272000005</v>
      </c>
      <c r="W302" s="207"/>
      <c r="X302" s="206">
        <f t="shared" si="2320"/>
        <v>0</v>
      </c>
      <c r="Y302" s="189">
        <f t="shared" ref="Y302" si="2369">SUM(S302+U302+W302)</f>
        <v>7.056</v>
      </c>
      <c r="Z302" s="177">
        <f t="shared" ref="Z302" si="2370">SUM(T302+V302+X302)</f>
        <v>70.118145518400013</v>
      </c>
      <c r="AA302" s="207">
        <v>0.504</v>
      </c>
      <c r="AB302" s="206">
        <f>K302*AA302*$AB$2/1000</f>
        <v>5.1494984351999999</v>
      </c>
      <c r="AC302" s="207"/>
      <c r="AD302" s="177">
        <f t="shared" si="2323"/>
        <v>0</v>
      </c>
      <c r="AE302" s="207"/>
      <c r="AF302" s="206">
        <f t="shared" ref="AF302:AF303" si="2371">K302*AE302*$AF$2/1000</f>
        <v>0</v>
      </c>
      <c r="AG302" s="189">
        <f t="shared" ref="AG302" si="2372">SUM(AA302+AC302+AE302)</f>
        <v>0.504</v>
      </c>
      <c r="AH302" s="97">
        <f t="shared" ref="AH302" si="2373">SUM(AB302+AD302+AF302)</f>
        <v>5.1494984351999999</v>
      </c>
      <c r="AI302" s="97">
        <f t="shared" ref="AI302:AI303" si="2374">SUM(Y302+AG302)</f>
        <v>7.5600000000000005</v>
      </c>
      <c r="AJ302" s="177">
        <f t="shared" ref="AJ302:AJ303" si="2375">SUM(Z302,AH302)</f>
        <v>75.267643953600015</v>
      </c>
      <c r="AK302" s="207"/>
      <c r="AL302" s="177">
        <f t="shared" ref="AL302:AL303" si="2376">M302*AK302*$AL$2/1000</f>
        <v>0</v>
      </c>
      <c r="AM302" s="245"/>
      <c r="AN302" s="177">
        <f t="shared" ref="AN302:AN303" si="2377">M302*AM302*$AN$2/1000</f>
        <v>0</v>
      </c>
      <c r="AO302" s="207"/>
      <c r="AP302" s="206">
        <f t="shared" ref="AP302:AP303" si="2378">M302*AO302*$AP$2/1000</f>
        <v>0</v>
      </c>
      <c r="AQ302" s="189">
        <f t="shared" ref="AQ302" si="2379">SUM(AK302+AM302+AO302)</f>
        <v>0</v>
      </c>
      <c r="AR302" s="97">
        <f t="shared" ref="AR302" si="2380">SUM(AL302+AN302+AP302)</f>
        <v>0</v>
      </c>
      <c r="AS302" s="97"/>
      <c r="AT302" s="177">
        <f t="shared" ref="AT302:AT303" si="2381">O302*AS302*$AT$2/1000</f>
        <v>0</v>
      </c>
      <c r="AU302" s="207"/>
      <c r="AV302" s="177">
        <f t="shared" ref="AV302:AV303" si="2382">O302*AU302*$AV$2/1000</f>
        <v>0</v>
      </c>
      <c r="AW302" s="207"/>
      <c r="AX302" s="206">
        <f t="shared" ref="AX302" si="2383">O302*AW302*$AX$2/1000</f>
        <v>0</v>
      </c>
      <c r="AY302" s="189">
        <f t="shared" ref="AY302" si="2384">SUM(AS302+AU302+AW302)</f>
        <v>0</v>
      </c>
      <c r="AZ302" s="97">
        <f t="shared" ref="AZ302" si="2385">SUM(AT302+AV302+AX302)</f>
        <v>0</v>
      </c>
      <c r="BA302" s="97">
        <f t="shared" ref="BA302:BA303" si="2386">SUM(AQ302+AY302)</f>
        <v>0</v>
      </c>
      <c r="BB302" s="97">
        <f t="shared" ref="BB302:BB303" si="2387">SUM(AR302,AZ302)</f>
        <v>0</v>
      </c>
      <c r="BC302" s="1" t="s">
        <v>1780</v>
      </c>
    </row>
    <row r="303" spans="1:55">
      <c r="A303" s="498">
        <v>211</v>
      </c>
      <c r="B303" s="13"/>
      <c r="C303" s="13"/>
      <c r="D303" s="13"/>
      <c r="E303" s="21" t="s">
        <v>1229</v>
      </c>
      <c r="F303" s="22" t="s">
        <v>1019</v>
      </c>
      <c r="G303" s="22" t="s">
        <v>1106</v>
      </c>
      <c r="H303" s="268" t="s">
        <v>365</v>
      </c>
      <c r="I303" s="76">
        <v>6.26</v>
      </c>
      <c r="J303" s="112"/>
      <c r="K303" s="76">
        <v>6</v>
      </c>
      <c r="L303" s="168"/>
      <c r="M303" s="76">
        <v>5.92</v>
      </c>
      <c r="N303" s="168"/>
      <c r="O303" s="76">
        <v>5.92</v>
      </c>
      <c r="P303" s="112"/>
      <c r="Q303" s="97">
        <f t="shared" si="2367"/>
        <v>348.85199999999998</v>
      </c>
      <c r="R303" s="342">
        <f t="shared" si="2368"/>
        <v>2851.6822360992001</v>
      </c>
      <c r="S303" s="97">
        <v>45.36</v>
      </c>
      <c r="T303" s="97">
        <f t="shared" ref="T303:T305" si="2388">I303*S303*$T$2/1000</f>
        <v>375.35542430400005</v>
      </c>
      <c r="U303" s="97">
        <v>38.304000000000002</v>
      </c>
      <c r="V303" s="177">
        <f t="shared" ref="V303:V305" si="2389">I303*U303*$V$2/1000</f>
        <v>319.00735641599999</v>
      </c>
      <c r="W303" s="207">
        <v>40.32</v>
      </c>
      <c r="X303" s="206">
        <f t="shared" ref="X303:X305" si="2390">I303*W303*$X$2/1000</f>
        <v>335.84769791999997</v>
      </c>
      <c r="Y303" s="189">
        <f t="shared" ref="Y303:Y315" si="2391">SUM(S303+U303+W303)</f>
        <v>123.98400000000001</v>
      </c>
      <c r="Z303" s="177">
        <f t="shared" ref="Z303" si="2392">SUM(T303+V303+X303)</f>
        <v>1030.21047864</v>
      </c>
      <c r="AA303" s="207"/>
      <c r="AB303" s="206">
        <f>K303*AA303*$AB$2/1000</f>
        <v>0</v>
      </c>
      <c r="AC303" s="207">
        <v>20.16</v>
      </c>
      <c r="AD303" s="177">
        <f t="shared" ref="AD303:AD305" si="2393">K303*AC303*$AD$2/1000</f>
        <v>165.67044480000001</v>
      </c>
      <c r="AE303" s="207">
        <v>35.28</v>
      </c>
      <c r="AF303" s="205">
        <f t="shared" si="2371"/>
        <v>291.8707344</v>
      </c>
      <c r="AG303" s="189">
        <f t="shared" ref="AG303:AG305" si="2394">SUM(AA303+AC303+AE303)</f>
        <v>55.44</v>
      </c>
      <c r="AH303" s="97">
        <f t="shared" ref="AH303" si="2395">SUM(AB303+AD303+AF303)</f>
        <v>457.54117919999999</v>
      </c>
      <c r="AI303" s="97">
        <f t="shared" si="2374"/>
        <v>179.42400000000001</v>
      </c>
      <c r="AJ303" s="177">
        <f t="shared" si="2375"/>
        <v>1487.75165784</v>
      </c>
      <c r="AK303" s="207"/>
      <c r="AL303" s="177">
        <f t="shared" si="2376"/>
        <v>0</v>
      </c>
      <c r="AM303" s="245">
        <v>60.48</v>
      </c>
      <c r="AN303" s="177">
        <f t="shared" si="2377"/>
        <v>487.33042175999992</v>
      </c>
      <c r="AO303" s="207">
        <v>60.48</v>
      </c>
      <c r="AP303" s="206">
        <f t="shared" si="2378"/>
        <v>477.05104742399999</v>
      </c>
      <c r="AQ303" s="189">
        <f>SUM(AK303+AM303+AO303)</f>
        <v>120.96</v>
      </c>
      <c r="AR303" s="97">
        <f t="shared" ref="AR303" si="2396">SUM(AL303+AN303+AP303)</f>
        <v>964.38146918399991</v>
      </c>
      <c r="AS303" s="97">
        <v>12.096</v>
      </c>
      <c r="AT303" s="177">
        <f t="shared" si="2381"/>
        <v>97.236937728000015</v>
      </c>
      <c r="AU303" s="207">
        <v>20.16</v>
      </c>
      <c r="AV303" s="177">
        <f t="shared" si="2382"/>
        <v>166.09191782400001</v>
      </c>
      <c r="AW303" s="207">
        <v>16.212</v>
      </c>
      <c r="AX303" s="206">
        <f t="shared" ref="AX303:AX316" si="2397">O303*AW303*$AX$2/1000</f>
        <v>136.2202535232</v>
      </c>
      <c r="AY303" s="189">
        <f t="shared" ref="AY303" si="2398">SUM(AS303+AU303+AW303)</f>
        <v>48.468000000000004</v>
      </c>
      <c r="AZ303" s="97">
        <f t="shared" ref="AZ303" si="2399">SUM(AT303+AV303+AX303)</f>
        <v>399.54910907520002</v>
      </c>
      <c r="BA303" s="97">
        <f t="shared" si="2386"/>
        <v>169.428</v>
      </c>
      <c r="BB303" s="97">
        <f t="shared" si="2387"/>
        <v>1363.9305782592</v>
      </c>
      <c r="BC303" s="1" t="s">
        <v>1780</v>
      </c>
    </row>
    <row r="304" spans="1:55">
      <c r="A304" s="498">
        <v>205</v>
      </c>
      <c r="B304" s="13"/>
      <c r="C304" s="13"/>
      <c r="D304" s="13"/>
      <c r="E304" s="21" t="s">
        <v>1654</v>
      </c>
      <c r="F304" s="46" t="s">
        <v>1662</v>
      </c>
      <c r="G304" s="430"/>
      <c r="H304" s="268"/>
      <c r="I304" s="55">
        <v>5.9</v>
      </c>
      <c r="J304" s="102"/>
      <c r="K304" s="55">
        <v>5.9</v>
      </c>
      <c r="L304" s="163"/>
      <c r="M304" s="55">
        <v>5.9</v>
      </c>
      <c r="N304" s="163"/>
      <c r="O304" s="55">
        <v>5.9</v>
      </c>
      <c r="P304" s="102"/>
      <c r="Q304" s="97">
        <f t="shared" ref="Q304:R314" si="2400">SUM(AI304+BA304)</f>
        <v>83.60499999999999</v>
      </c>
      <c r="R304" s="342">
        <f t="shared" si="2400"/>
        <v>668.37699192800005</v>
      </c>
      <c r="S304" s="97">
        <v>7.4960000000000004</v>
      </c>
      <c r="T304" s="97">
        <f t="shared" si="2388"/>
        <v>58.462435896000009</v>
      </c>
      <c r="U304" s="97">
        <v>15.349</v>
      </c>
      <c r="V304" s="177">
        <f t="shared" si="2389"/>
        <v>120.47982664000001</v>
      </c>
      <c r="W304" s="207">
        <v>0.33600000000000002</v>
      </c>
      <c r="X304" s="206">
        <f t="shared" si="2390"/>
        <v>2.6377814400000004</v>
      </c>
      <c r="Y304" s="189">
        <f t="shared" si="2391"/>
        <v>23.180999999999997</v>
      </c>
      <c r="Z304" s="177">
        <f t="shared" ref="Z304:Z314" si="2401">SUM(T304+V304+X304)</f>
        <v>181.58004397600001</v>
      </c>
      <c r="AA304" s="207">
        <v>4.984</v>
      </c>
      <c r="AB304" s="206">
        <f t="shared" ref="AB304:AB305" si="2402">K304*AA304*$AB$2/1000</f>
        <v>40.112767072000004</v>
      </c>
      <c r="AC304" s="207">
        <v>3.528</v>
      </c>
      <c r="AD304" s="177">
        <f t="shared" si="2393"/>
        <v>28.509122376000004</v>
      </c>
      <c r="AE304" s="207">
        <v>5.2080000000000002</v>
      </c>
      <c r="AF304" s="205">
        <f t="shared" ref="AF304:AF314" si="2403">K304*AE304*$AF$2/1000</f>
        <v>42.367585175999999</v>
      </c>
      <c r="AG304" s="189">
        <f t="shared" si="2394"/>
        <v>13.72</v>
      </c>
      <c r="AH304" s="97">
        <f t="shared" ref="AH304:AH305" si="2404">SUM(AB304+AD304+AF304)</f>
        <v>110.989474624</v>
      </c>
      <c r="AI304" s="97">
        <f t="shared" ref="AI304:AI314" si="2405">SUM(Y304+AG304)</f>
        <v>36.900999999999996</v>
      </c>
      <c r="AJ304" s="177">
        <f t="shared" ref="AJ304:AJ314" si="2406">SUM(Z304,AH304)</f>
        <v>292.56951860000004</v>
      </c>
      <c r="AK304" s="207">
        <v>6.048</v>
      </c>
      <c r="AL304" s="177">
        <f t="shared" ref="AL304:AL314" si="2407">M304*AK304*$AL$2/1000</f>
        <v>49.352720255999991</v>
      </c>
      <c r="AM304" s="245">
        <v>10.135999999999999</v>
      </c>
      <c r="AN304" s="177">
        <f t="shared" ref="AN304:AN314" si="2408">M304*AM304*$AN$2/1000</f>
        <v>81.397046639999985</v>
      </c>
      <c r="AO304" s="207">
        <v>12.824</v>
      </c>
      <c r="AP304" s="206">
        <f t="shared" ref="AP304:AP314" si="2409">M304*AO304*$AP$2/1000</f>
        <v>100.81075922400002</v>
      </c>
      <c r="AQ304" s="189">
        <f t="shared" ref="AQ304:AQ305" si="2410">SUM(AK304+AM304+AO304)</f>
        <v>29.007999999999996</v>
      </c>
      <c r="AR304" s="97">
        <f t="shared" ref="AR304:AR314" si="2411">SUM(AL304+AN304+AP304)</f>
        <v>231.56052612000002</v>
      </c>
      <c r="AS304" s="97">
        <v>7.8959999999999999</v>
      </c>
      <c r="AT304" s="177">
        <f t="shared" ref="AT304:AT314" si="2412">O304*AS304*$AT$2/1000</f>
        <v>63.259672560000013</v>
      </c>
      <c r="AU304" s="207">
        <v>6.6079999999999997</v>
      </c>
      <c r="AV304" s="177">
        <f t="shared" ref="AV304:AV318" si="2413">O304*AU304*$AV$2/1000</f>
        <v>54.257316624000005</v>
      </c>
      <c r="AW304" s="207">
        <v>3.1920000000000002</v>
      </c>
      <c r="AX304" s="206">
        <f t="shared" si="2397"/>
        <v>26.729958024000002</v>
      </c>
      <c r="AY304" s="189">
        <f t="shared" ref="AY304:AY305" si="2414">SUM(AS304+AU304+AW304)</f>
        <v>17.695999999999998</v>
      </c>
      <c r="AZ304" s="97">
        <f t="shared" ref="AZ304:AZ314" si="2415">SUM(AT304+AV304+AX304)</f>
        <v>144.24694720800002</v>
      </c>
      <c r="BA304" s="97">
        <f t="shared" ref="BA304:BA314" si="2416">SUM(AQ304+AY304)</f>
        <v>46.703999999999994</v>
      </c>
      <c r="BB304" s="97">
        <f t="shared" ref="BB304:BB314" si="2417">SUM(AR304,AZ304)</f>
        <v>375.80747332800001</v>
      </c>
      <c r="BC304" s="1" t="s">
        <v>1782</v>
      </c>
    </row>
    <row r="305" spans="1:55">
      <c r="A305" s="498">
        <v>205</v>
      </c>
      <c r="B305" s="13"/>
      <c r="C305" s="13"/>
      <c r="D305" s="13"/>
      <c r="E305" s="21" t="s">
        <v>1655</v>
      </c>
      <c r="F305" s="46" t="s">
        <v>1663</v>
      </c>
      <c r="G305" s="430"/>
      <c r="H305" s="268"/>
      <c r="I305" s="55">
        <v>6.1</v>
      </c>
      <c r="J305" s="102"/>
      <c r="K305" s="55">
        <v>6.1</v>
      </c>
      <c r="L305" s="163"/>
      <c r="M305" s="55">
        <v>6.1</v>
      </c>
      <c r="N305" s="163"/>
      <c r="O305" s="55">
        <v>6.1</v>
      </c>
      <c r="P305" s="102"/>
      <c r="Q305" s="97">
        <f t="shared" si="2400"/>
        <v>26.047999999999998</v>
      </c>
      <c r="R305" s="342">
        <f t="shared" si="2400"/>
        <v>215.24137663799999</v>
      </c>
      <c r="S305" s="97">
        <v>0.10199999999999999</v>
      </c>
      <c r="T305" s="97">
        <f t="shared" si="2388"/>
        <v>0.82247995799999996</v>
      </c>
      <c r="U305" s="97">
        <v>8.1379999999999999</v>
      </c>
      <c r="V305" s="177">
        <f t="shared" si="2389"/>
        <v>66.043450719999996</v>
      </c>
      <c r="W305" s="207">
        <v>0.16800000000000001</v>
      </c>
      <c r="X305" s="206">
        <f t="shared" si="2390"/>
        <v>1.3635988799999998</v>
      </c>
      <c r="Y305" s="189">
        <f t="shared" si="2391"/>
        <v>8.4079999999999995</v>
      </c>
      <c r="Z305" s="177">
        <f t="shared" si="2401"/>
        <v>68.229529557999996</v>
      </c>
      <c r="AA305" s="207">
        <v>2.4079999999999999</v>
      </c>
      <c r="AB305" s="206">
        <f t="shared" si="2402"/>
        <v>20.037285855999993</v>
      </c>
      <c r="AC305" s="207">
        <v>2.7440000000000002</v>
      </c>
      <c r="AD305" s="177">
        <f t="shared" si="2393"/>
        <v>22.925414791999998</v>
      </c>
      <c r="AE305" s="207">
        <v>1.288</v>
      </c>
      <c r="AF305" s="205">
        <f t="shared" si="2403"/>
        <v>10.833191544</v>
      </c>
      <c r="AG305" s="189">
        <f t="shared" si="2394"/>
        <v>6.44</v>
      </c>
      <c r="AH305" s="97">
        <f t="shared" si="2404"/>
        <v>53.795892191999997</v>
      </c>
      <c r="AI305" s="97">
        <f t="shared" si="2405"/>
        <v>14.847999999999999</v>
      </c>
      <c r="AJ305" s="177">
        <f t="shared" si="2406"/>
        <v>122.02542174999999</v>
      </c>
      <c r="AK305" s="207">
        <v>1.6240000000000001</v>
      </c>
      <c r="AL305" s="177">
        <f t="shared" si="2407"/>
        <v>13.701343711999998</v>
      </c>
      <c r="AM305" s="245">
        <v>5.0960000000000001</v>
      </c>
      <c r="AN305" s="177">
        <f t="shared" si="2408"/>
        <v>42.310610159999996</v>
      </c>
      <c r="AO305" s="207">
        <v>1.68</v>
      </c>
      <c r="AP305" s="206">
        <f t="shared" si="2409"/>
        <v>13.654332720000001</v>
      </c>
      <c r="AQ305" s="189">
        <f t="shared" si="2410"/>
        <v>8.4</v>
      </c>
      <c r="AR305" s="97">
        <f t="shared" si="2411"/>
        <v>69.666286591999992</v>
      </c>
      <c r="AS305" s="97">
        <v>1.8480000000000001</v>
      </c>
      <c r="AT305" s="177">
        <f t="shared" si="2412"/>
        <v>15.307335120000001</v>
      </c>
      <c r="AU305" s="207"/>
      <c r="AV305" s="177">
        <f t="shared" si="2413"/>
        <v>0</v>
      </c>
      <c r="AW305" s="207">
        <v>0.95199999999999996</v>
      </c>
      <c r="AX305" s="206">
        <f t="shared" si="2397"/>
        <v>8.2423331759999989</v>
      </c>
      <c r="AY305" s="189">
        <f t="shared" si="2414"/>
        <v>2.8</v>
      </c>
      <c r="AZ305" s="97">
        <f t="shared" si="2415"/>
        <v>23.549668296</v>
      </c>
      <c r="BA305" s="97">
        <f t="shared" si="2416"/>
        <v>11.2</v>
      </c>
      <c r="BB305" s="97">
        <f t="shared" si="2417"/>
        <v>93.215954887999999</v>
      </c>
      <c r="BC305" s="1" t="s">
        <v>1782</v>
      </c>
    </row>
    <row r="306" spans="1:55">
      <c r="A306" s="498">
        <v>205</v>
      </c>
      <c r="B306" s="13"/>
      <c r="C306" s="13"/>
      <c r="D306" s="13"/>
      <c r="E306" s="21" t="s">
        <v>1656</v>
      </c>
      <c r="F306" s="46" t="s">
        <v>1664</v>
      </c>
      <c r="G306" s="430"/>
      <c r="H306" s="268"/>
      <c r="I306" s="55">
        <v>6.35</v>
      </c>
      <c r="J306" s="102"/>
      <c r="K306" s="55">
        <v>6.35</v>
      </c>
      <c r="L306" s="163"/>
      <c r="M306" s="55">
        <v>6.35</v>
      </c>
      <c r="N306" s="163"/>
      <c r="O306" s="55">
        <v>6.35</v>
      </c>
      <c r="P306" s="102"/>
      <c r="Q306" s="97">
        <f t="shared" si="2400"/>
        <v>122.205</v>
      </c>
      <c r="R306" s="342">
        <f t="shared" si="2400"/>
        <v>1054.1674970709998</v>
      </c>
      <c r="S306" s="97">
        <v>8.6020000000000003</v>
      </c>
      <c r="T306" s="97">
        <f t="shared" ref="T306:T312" si="2418">I306*S306*$T$2/1000</f>
        <v>72.205200903000005</v>
      </c>
      <c r="U306" s="97">
        <v>16.274999999999999</v>
      </c>
      <c r="V306" s="177">
        <f t="shared" ref="V306:V312" si="2419">I306*U306*$V$2/1000</f>
        <v>137.491851</v>
      </c>
      <c r="W306" s="207">
        <v>9.6880000000000006</v>
      </c>
      <c r="X306" s="206">
        <f t="shared" ref="X306:X312" si="2420">I306*W306*$X$2/1000</f>
        <v>81.856915279999981</v>
      </c>
      <c r="Y306" s="189">
        <f t="shared" si="2391"/>
        <v>34.564999999999998</v>
      </c>
      <c r="Z306" s="177">
        <f t="shared" si="2401"/>
        <v>291.55396718299994</v>
      </c>
      <c r="AA306" s="207">
        <v>12.32</v>
      </c>
      <c r="AB306" s="206">
        <f t="shared" ref="AB306:AB312" si="2421">K306*AA306*$AB$2/1000</f>
        <v>106.71783583999999</v>
      </c>
      <c r="AC306" s="207">
        <v>12.768000000000001</v>
      </c>
      <c r="AD306" s="177">
        <f t="shared" ref="AD306:AD312" si="2422">K306*AC306*$AD$2/1000</f>
        <v>111.04521758400001</v>
      </c>
      <c r="AE306" s="207">
        <v>6.7759999999999998</v>
      </c>
      <c r="AF306" s="205">
        <f t="shared" si="2403"/>
        <v>59.327745707999995</v>
      </c>
      <c r="AG306" s="189">
        <f t="shared" ref="AG306:AG312" si="2423">SUM(AA306+AC306+AE306)</f>
        <v>31.864000000000001</v>
      </c>
      <c r="AH306" s="97">
        <f t="shared" ref="AH306:AH312" si="2424">SUM(AB306+AD306+AF306)</f>
        <v>277.09079913200003</v>
      </c>
      <c r="AI306" s="97">
        <f t="shared" si="2405"/>
        <v>66.429000000000002</v>
      </c>
      <c r="AJ306" s="177">
        <f t="shared" si="2406"/>
        <v>568.64476631499997</v>
      </c>
      <c r="AK306" s="207">
        <v>9.1839999999999993</v>
      </c>
      <c r="AL306" s="177">
        <f t="shared" si="2407"/>
        <v>80.659012671999989</v>
      </c>
      <c r="AM306" s="245">
        <v>22.736000000000001</v>
      </c>
      <c r="AN306" s="177">
        <f t="shared" si="2408"/>
        <v>196.50690695999995</v>
      </c>
      <c r="AO306" s="207">
        <v>6.8879999999999999</v>
      </c>
      <c r="AP306" s="206">
        <f t="shared" si="2409"/>
        <v>58.277139732000002</v>
      </c>
      <c r="AQ306" s="189">
        <f t="shared" ref="AQ306:AQ312" si="2425">SUM(AK306+AM306+AO306)</f>
        <v>38.808</v>
      </c>
      <c r="AR306" s="97">
        <f t="shared" si="2411"/>
        <v>335.44305936399996</v>
      </c>
      <c r="AS306" s="97">
        <v>7</v>
      </c>
      <c r="AT306" s="177">
        <f t="shared" si="2412"/>
        <v>60.358654999999999</v>
      </c>
      <c r="AU306" s="207">
        <v>0.67200000000000004</v>
      </c>
      <c r="AV306" s="177">
        <f t="shared" si="2413"/>
        <v>5.9385342239999996</v>
      </c>
      <c r="AW306" s="207">
        <v>9.2959999999999994</v>
      </c>
      <c r="AX306" s="206">
        <f t="shared" si="2397"/>
        <v>83.782482167999987</v>
      </c>
      <c r="AY306" s="189">
        <f t="shared" ref="AY306:AY312" si="2426">SUM(AS306+AU306+AW306)</f>
        <v>16.968</v>
      </c>
      <c r="AZ306" s="97">
        <f t="shared" si="2415"/>
        <v>150.07967139199997</v>
      </c>
      <c r="BA306" s="97">
        <f t="shared" si="2416"/>
        <v>55.775999999999996</v>
      </c>
      <c r="BB306" s="97">
        <f t="shared" si="2417"/>
        <v>485.52273075599993</v>
      </c>
      <c r="BC306" s="1" t="s">
        <v>1782</v>
      </c>
    </row>
    <row r="307" spans="1:55">
      <c r="A307" s="498">
        <v>205</v>
      </c>
      <c r="B307" s="13"/>
      <c r="C307" s="13"/>
      <c r="D307" s="13"/>
      <c r="E307" s="21" t="s">
        <v>1657</v>
      </c>
      <c r="F307" s="46" t="s">
        <v>1665</v>
      </c>
      <c r="G307" s="430"/>
      <c r="H307" s="268"/>
      <c r="I307" s="55">
        <v>6.55</v>
      </c>
      <c r="J307" s="102"/>
      <c r="K307" s="55">
        <v>6.55</v>
      </c>
      <c r="L307" s="163"/>
      <c r="M307" s="55">
        <v>6.55</v>
      </c>
      <c r="N307" s="163"/>
      <c r="O307" s="55">
        <v>6.55</v>
      </c>
      <c r="P307" s="102"/>
      <c r="Q307" s="97">
        <f t="shared" si="2400"/>
        <v>37.308000000000007</v>
      </c>
      <c r="R307" s="342">
        <f t="shared" si="2400"/>
        <v>331.32833220999999</v>
      </c>
      <c r="S307" s="97">
        <v>0.33200000000000002</v>
      </c>
      <c r="T307" s="97">
        <f t="shared" si="2418"/>
        <v>2.8745819940000001</v>
      </c>
      <c r="U307" s="97">
        <v>8.8640000000000008</v>
      </c>
      <c r="V307" s="177">
        <f t="shared" si="2419"/>
        <v>77.241959680000008</v>
      </c>
      <c r="W307" s="207">
        <v>2.6880000000000002</v>
      </c>
      <c r="X307" s="206">
        <f t="shared" si="2420"/>
        <v>23.427075839999997</v>
      </c>
      <c r="Y307" s="189">
        <f t="shared" si="2391"/>
        <v>11.884000000000002</v>
      </c>
      <c r="Z307" s="177">
        <f t="shared" si="2401"/>
        <v>103.543617514</v>
      </c>
      <c r="AA307" s="207">
        <v>5.8239999999999998</v>
      </c>
      <c r="AB307" s="206">
        <f t="shared" si="2421"/>
        <v>52.037358463999993</v>
      </c>
      <c r="AC307" s="207">
        <v>3.08</v>
      </c>
      <c r="AD307" s="177">
        <f t="shared" si="2422"/>
        <v>27.63091562</v>
      </c>
      <c r="AE307" s="207">
        <v>1.96</v>
      </c>
      <c r="AF307" s="205">
        <f t="shared" si="2403"/>
        <v>17.70141954</v>
      </c>
      <c r="AG307" s="189">
        <f t="shared" si="2423"/>
        <v>10.864000000000001</v>
      </c>
      <c r="AH307" s="97">
        <f t="shared" si="2424"/>
        <v>97.369693623999993</v>
      </c>
      <c r="AI307" s="97">
        <f t="shared" si="2405"/>
        <v>22.748000000000005</v>
      </c>
      <c r="AJ307" s="177">
        <f t="shared" si="2406"/>
        <v>200.91331113799998</v>
      </c>
      <c r="AK307" s="207">
        <v>5.1520000000000001</v>
      </c>
      <c r="AL307" s="177">
        <f t="shared" si="2407"/>
        <v>46.672864447999999</v>
      </c>
      <c r="AM307" s="245">
        <v>5.32</v>
      </c>
      <c r="AN307" s="177">
        <f t="shared" si="2408"/>
        <v>47.428890599999995</v>
      </c>
      <c r="AO307" s="207">
        <v>0.95199999999999996</v>
      </c>
      <c r="AP307" s="206">
        <f t="shared" si="2409"/>
        <v>8.3082510840000001</v>
      </c>
      <c r="AQ307" s="189">
        <f t="shared" si="2425"/>
        <v>11.424000000000001</v>
      </c>
      <c r="AR307" s="97">
        <f t="shared" si="2411"/>
        <v>102.41000613200001</v>
      </c>
      <c r="AS307" s="97">
        <v>2.8559999999999999</v>
      </c>
      <c r="AT307" s="177">
        <f t="shared" si="2412"/>
        <v>25.401963720000001</v>
      </c>
      <c r="AU307" s="207"/>
      <c r="AV307" s="177">
        <f t="shared" si="2413"/>
        <v>0</v>
      </c>
      <c r="AW307" s="207">
        <v>0.28000000000000003</v>
      </c>
      <c r="AX307" s="206">
        <f t="shared" si="2397"/>
        <v>2.6030512199999998</v>
      </c>
      <c r="AY307" s="189">
        <f t="shared" si="2426"/>
        <v>3.1360000000000001</v>
      </c>
      <c r="AZ307" s="97">
        <f t="shared" si="2415"/>
        <v>28.005014940000002</v>
      </c>
      <c r="BA307" s="97">
        <f t="shared" si="2416"/>
        <v>14.560000000000002</v>
      </c>
      <c r="BB307" s="97">
        <f t="shared" si="2417"/>
        <v>130.415021072</v>
      </c>
      <c r="BC307" s="1" t="s">
        <v>1782</v>
      </c>
    </row>
    <row r="308" spans="1:55">
      <c r="A308" s="498">
        <v>205</v>
      </c>
      <c r="B308" s="13"/>
      <c r="C308" s="13"/>
      <c r="D308" s="13"/>
      <c r="E308" s="21" t="s">
        <v>1759</v>
      </c>
      <c r="F308" s="46" t="s">
        <v>1761</v>
      </c>
      <c r="G308" s="430"/>
      <c r="H308" s="268"/>
      <c r="I308" s="55"/>
      <c r="J308" s="102"/>
      <c r="K308" s="55">
        <v>6.7</v>
      </c>
      <c r="L308" s="163"/>
      <c r="M308" s="55">
        <v>6.7</v>
      </c>
      <c r="N308" s="163"/>
      <c r="O308" s="55">
        <v>6.7</v>
      </c>
      <c r="P308" s="102"/>
      <c r="Q308" s="97">
        <f t="shared" si="2400"/>
        <v>2.7679999999999998</v>
      </c>
      <c r="R308" s="342">
        <f t="shared" si="2400"/>
        <v>25.456266224000004</v>
      </c>
      <c r="S308" s="97"/>
      <c r="T308" s="97">
        <f t="shared" si="2418"/>
        <v>0</v>
      </c>
      <c r="U308" s="97"/>
      <c r="V308" s="177">
        <f t="shared" si="2419"/>
        <v>0</v>
      </c>
      <c r="W308" s="207"/>
      <c r="X308" s="206">
        <f t="shared" si="2420"/>
        <v>0</v>
      </c>
      <c r="Y308" s="189">
        <f t="shared" si="2391"/>
        <v>0</v>
      </c>
      <c r="Z308" s="177">
        <f t="shared" si="2401"/>
        <v>0</v>
      </c>
      <c r="AA308" s="207">
        <v>0.216</v>
      </c>
      <c r="AB308" s="206">
        <f t="shared" si="2421"/>
        <v>1.9741544639999999</v>
      </c>
      <c r="AC308" s="207">
        <v>0.872</v>
      </c>
      <c r="AD308" s="177">
        <f t="shared" si="2422"/>
        <v>8.0019263120000019</v>
      </c>
      <c r="AE308" s="207">
        <v>0.39200000000000002</v>
      </c>
      <c r="AF308" s="205">
        <f t="shared" si="2403"/>
        <v>3.6213591119999999</v>
      </c>
      <c r="AG308" s="189">
        <f t="shared" si="2423"/>
        <v>1.48</v>
      </c>
      <c r="AH308" s="97">
        <f t="shared" si="2424"/>
        <v>13.597439888000002</v>
      </c>
      <c r="AI308" s="97">
        <f t="shared" si="2405"/>
        <v>1.48</v>
      </c>
      <c r="AJ308" s="177">
        <f t="shared" si="2406"/>
        <v>13.597439888000002</v>
      </c>
      <c r="AK308" s="207"/>
      <c r="AL308" s="177">
        <f t="shared" si="2407"/>
        <v>0</v>
      </c>
      <c r="AM308" s="245">
        <v>0.112</v>
      </c>
      <c r="AN308" s="177">
        <f t="shared" si="2408"/>
        <v>1.02136944</v>
      </c>
      <c r="AO308" s="207"/>
      <c r="AP308" s="206">
        <f t="shared" si="2409"/>
        <v>0</v>
      </c>
      <c r="AQ308" s="189">
        <f t="shared" si="2425"/>
        <v>0.112</v>
      </c>
      <c r="AR308" s="97">
        <f t="shared" si="2411"/>
        <v>1.02136944</v>
      </c>
      <c r="AS308" s="97">
        <v>0.84</v>
      </c>
      <c r="AT308" s="177">
        <f t="shared" si="2412"/>
        <v>7.642261200000001</v>
      </c>
      <c r="AU308" s="207"/>
      <c r="AV308" s="177">
        <f t="shared" si="2413"/>
        <v>0</v>
      </c>
      <c r="AW308" s="207">
        <v>0.33600000000000002</v>
      </c>
      <c r="AX308" s="206">
        <f t="shared" si="2397"/>
        <v>3.1951956960000003</v>
      </c>
      <c r="AY308" s="189">
        <f t="shared" si="2426"/>
        <v>1.1759999999999999</v>
      </c>
      <c r="AZ308" s="97">
        <f t="shared" si="2415"/>
        <v>10.837456896000001</v>
      </c>
      <c r="BA308" s="97">
        <f t="shared" si="2416"/>
        <v>1.288</v>
      </c>
      <c r="BB308" s="97">
        <f t="shared" si="2417"/>
        <v>11.858826336</v>
      </c>
      <c r="BC308" s="1" t="s">
        <v>1782</v>
      </c>
    </row>
    <row r="309" spans="1:55">
      <c r="A309" s="498">
        <v>205</v>
      </c>
      <c r="B309" s="13"/>
      <c r="C309" s="13"/>
      <c r="D309" s="13"/>
      <c r="E309" s="21" t="s">
        <v>1760</v>
      </c>
      <c r="F309" s="46" t="s">
        <v>1762</v>
      </c>
      <c r="G309" s="430"/>
      <c r="H309" s="268"/>
      <c r="I309" s="55"/>
      <c r="J309" s="102"/>
      <c r="K309" s="55">
        <v>6.9</v>
      </c>
      <c r="L309" s="163"/>
      <c r="M309" s="55">
        <v>6.9</v>
      </c>
      <c r="N309" s="163"/>
      <c r="O309" s="55">
        <v>6.9</v>
      </c>
      <c r="P309" s="102"/>
      <c r="Q309" s="97">
        <f t="shared" ref="Q309" si="2427">SUM(AI309+BA309)</f>
        <v>0.16</v>
      </c>
      <c r="R309" s="342">
        <f t="shared" ref="R309" si="2428">SUM(AJ309+BB309)</f>
        <v>1.5129894960000001</v>
      </c>
      <c r="S309" s="97"/>
      <c r="T309" s="97">
        <f t="shared" ref="T309" si="2429">I309*S309*$T$2/1000</f>
        <v>0</v>
      </c>
      <c r="U309" s="97"/>
      <c r="V309" s="177">
        <f t="shared" ref="V309" si="2430">I309*U309*$V$2/1000</f>
        <v>0</v>
      </c>
      <c r="W309" s="207"/>
      <c r="X309" s="206">
        <f t="shared" ref="X309" si="2431">I309*W309*$X$2/1000</f>
        <v>0</v>
      </c>
      <c r="Y309" s="189">
        <f t="shared" ref="Y309" si="2432">SUM(S309+U309+W309)</f>
        <v>0</v>
      </c>
      <c r="Z309" s="177">
        <f t="shared" ref="Z309" si="2433">SUM(T309+V309+X309)</f>
        <v>0</v>
      </c>
      <c r="AA309" s="207">
        <v>5.6000000000000001E-2</v>
      </c>
      <c r="AB309" s="206">
        <f t="shared" ref="AB309" si="2434">K309*AA309*$AB$2/1000</f>
        <v>0.52709596800000003</v>
      </c>
      <c r="AC309" s="207">
        <v>5.6000000000000001E-2</v>
      </c>
      <c r="AD309" s="177">
        <f t="shared" ref="AD309" si="2435">K309*AC309*$AD$2/1000</f>
        <v>0.52922503200000004</v>
      </c>
      <c r="AE309" s="207">
        <v>4.8000000000000001E-2</v>
      </c>
      <c r="AF309" s="205">
        <f t="shared" ref="AF309" si="2436">K309*AE309*$AF$2/1000</f>
        <v>0.45666849600000003</v>
      </c>
      <c r="AG309" s="189">
        <f t="shared" ref="AG309" si="2437">SUM(AA309+AC309+AE309)</f>
        <v>0.16</v>
      </c>
      <c r="AH309" s="97">
        <f t="shared" ref="AH309" si="2438">SUM(AB309+AD309+AF309)</f>
        <v>1.5129894960000001</v>
      </c>
      <c r="AI309" s="97">
        <f t="shared" ref="AI309" si="2439">SUM(Y309+AG309)</f>
        <v>0.16</v>
      </c>
      <c r="AJ309" s="177">
        <f t="shared" ref="AJ309" si="2440">SUM(Z309,AH309)</f>
        <v>1.5129894960000001</v>
      </c>
      <c r="AK309" s="207"/>
      <c r="AL309" s="177">
        <f t="shared" ref="AL309" si="2441">M309*AK309*$AL$2/1000</f>
        <v>0</v>
      </c>
      <c r="AM309" s="245"/>
      <c r="AN309" s="177">
        <f t="shared" ref="AN309" si="2442">M309*AM309*$AN$2/1000</f>
        <v>0</v>
      </c>
      <c r="AO309" s="207"/>
      <c r="AP309" s="206">
        <f t="shared" ref="AP309" si="2443">M309*AO309*$AP$2/1000</f>
        <v>0</v>
      </c>
      <c r="AQ309" s="189">
        <f>SUM(AK309+AM309+AO309)</f>
        <v>0</v>
      </c>
      <c r="AR309" s="97">
        <f t="shared" ref="AR309" si="2444">SUM(AL309+AN309+AP309)</f>
        <v>0</v>
      </c>
      <c r="AS309" s="97"/>
      <c r="AT309" s="177">
        <f t="shared" ref="AT309" si="2445">O309*AS309*$AT$2/1000</f>
        <v>0</v>
      </c>
      <c r="AU309" s="207"/>
      <c r="AV309" s="177">
        <f t="shared" ref="AV309" si="2446">O309*AU309*$AV$2/1000</f>
        <v>0</v>
      </c>
      <c r="AW309" s="207"/>
      <c r="AX309" s="206">
        <f t="shared" ref="AX309" si="2447">O309*AW309*$AX$2/1000</f>
        <v>0</v>
      </c>
      <c r="AY309" s="189">
        <f>SUM(AS309+AU309+AW309)</f>
        <v>0</v>
      </c>
      <c r="AZ309" s="97">
        <f t="shared" ref="AZ309" si="2448">SUM(AT309+AV309+AX309)</f>
        <v>0</v>
      </c>
      <c r="BA309" s="97">
        <f t="shared" ref="BA309" si="2449">SUM(AQ309+AY309)</f>
        <v>0</v>
      </c>
      <c r="BB309" s="97">
        <f t="shared" ref="BB309" si="2450">SUM(AR309,AZ309)</f>
        <v>0</v>
      </c>
      <c r="BC309" s="1" t="s">
        <v>1782</v>
      </c>
    </row>
    <row r="310" spans="1:55">
      <c r="A310" s="498">
        <v>205</v>
      </c>
      <c r="B310" s="13"/>
      <c r="C310" s="13"/>
      <c r="D310" s="13"/>
      <c r="E310" s="21" t="s">
        <v>1658</v>
      </c>
      <c r="F310" s="46" t="s">
        <v>1666</v>
      </c>
      <c r="G310" s="430"/>
      <c r="H310" s="268"/>
      <c r="I310" s="55">
        <v>6.8</v>
      </c>
      <c r="J310" s="102"/>
      <c r="K310" s="55">
        <v>6.8</v>
      </c>
      <c r="L310" s="163"/>
      <c r="M310" s="55">
        <v>6.8</v>
      </c>
      <c r="N310" s="163"/>
      <c r="O310" s="55">
        <v>6.8</v>
      </c>
      <c r="P310" s="102"/>
      <c r="Q310" s="97">
        <f t="shared" si="2400"/>
        <v>127.706</v>
      </c>
      <c r="R310" s="342">
        <f t="shared" si="2400"/>
        <v>1181.391788336</v>
      </c>
      <c r="S310" s="97">
        <v>2.52</v>
      </c>
      <c r="T310" s="97">
        <f t="shared" si="2418"/>
        <v>22.651907040000001</v>
      </c>
      <c r="U310" s="97">
        <v>8.2940000000000005</v>
      </c>
      <c r="V310" s="177">
        <f t="shared" si="2419"/>
        <v>75.033495680000001</v>
      </c>
      <c r="W310" s="207">
        <v>19.440000000000001</v>
      </c>
      <c r="X310" s="206">
        <f t="shared" si="2420"/>
        <v>175.89467519999999</v>
      </c>
      <c r="Y310" s="189">
        <f t="shared" si="2391"/>
        <v>30.254000000000001</v>
      </c>
      <c r="Z310" s="177">
        <f t="shared" si="2401"/>
        <v>273.58007792000001</v>
      </c>
      <c r="AA310" s="207">
        <v>15.804</v>
      </c>
      <c r="AB310" s="206">
        <f t="shared" si="2421"/>
        <v>146.598156864</v>
      </c>
      <c r="AC310" s="207">
        <v>13.608000000000001</v>
      </c>
      <c r="AD310" s="177">
        <f t="shared" si="2422"/>
        <v>126.73789027200002</v>
      </c>
      <c r="AE310" s="207">
        <v>19.295999999999999</v>
      </c>
      <c r="AF310" s="205">
        <f t="shared" si="2403"/>
        <v>180.92014502399996</v>
      </c>
      <c r="AG310" s="189">
        <f t="shared" si="2423"/>
        <v>48.707999999999998</v>
      </c>
      <c r="AH310" s="97">
        <f t="shared" si="2424"/>
        <v>454.25619216000001</v>
      </c>
      <c r="AI310" s="97">
        <f t="shared" si="2405"/>
        <v>78.962000000000003</v>
      </c>
      <c r="AJ310" s="177">
        <f t="shared" si="2406"/>
        <v>727.83627008000008</v>
      </c>
      <c r="AK310" s="207">
        <v>18.251999999999999</v>
      </c>
      <c r="AL310" s="177">
        <f t="shared" si="2407"/>
        <v>171.659037888</v>
      </c>
      <c r="AM310" s="245">
        <v>14.004</v>
      </c>
      <c r="AN310" s="177">
        <f t="shared" si="2408"/>
        <v>129.61374192</v>
      </c>
      <c r="AO310" s="207">
        <v>7.8479999999999999</v>
      </c>
      <c r="AP310" s="206">
        <f t="shared" si="2409"/>
        <v>71.10485769600001</v>
      </c>
      <c r="AQ310" s="189">
        <f t="shared" si="2425"/>
        <v>40.103999999999999</v>
      </c>
      <c r="AR310" s="97">
        <f t="shared" si="2411"/>
        <v>372.37763750400001</v>
      </c>
      <c r="AS310" s="97">
        <v>5.2919999999999998</v>
      </c>
      <c r="AT310" s="177">
        <f t="shared" si="2412"/>
        <v>48.864846239999999</v>
      </c>
      <c r="AU310" s="207"/>
      <c r="AV310" s="177">
        <f t="shared" si="2413"/>
        <v>0</v>
      </c>
      <c r="AW310" s="207">
        <v>3.3479999999999999</v>
      </c>
      <c r="AX310" s="206">
        <f t="shared" si="2397"/>
        <v>32.313034511999994</v>
      </c>
      <c r="AY310" s="189">
        <f t="shared" si="2426"/>
        <v>8.64</v>
      </c>
      <c r="AZ310" s="97">
        <f t="shared" si="2415"/>
        <v>81.177880751999993</v>
      </c>
      <c r="BA310" s="97">
        <f t="shared" si="2416"/>
        <v>48.744</v>
      </c>
      <c r="BB310" s="97">
        <f t="shared" si="2417"/>
        <v>453.55551825600003</v>
      </c>
      <c r="BC310" s="1" t="s">
        <v>1782</v>
      </c>
    </row>
    <row r="311" spans="1:55">
      <c r="A311" s="498">
        <v>205</v>
      </c>
      <c r="B311" s="13"/>
      <c r="C311" s="13"/>
      <c r="D311" s="13"/>
      <c r="E311" s="21" t="s">
        <v>1741</v>
      </c>
      <c r="F311" s="46" t="s">
        <v>1742</v>
      </c>
      <c r="G311" s="430"/>
      <c r="H311" s="268"/>
      <c r="I311" s="55">
        <v>7.15</v>
      </c>
      <c r="J311" s="102"/>
      <c r="K311" s="55">
        <v>7.15</v>
      </c>
      <c r="L311" s="163"/>
      <c r="M311" s="55">
        <v>7.15</v>
      </c>
      <c r="N311" s="163"/>
      <c r="O311" s="55">
        <v>7.15</v>
      </c>
      <c r="P311" s="102"/>
      <c r="Q311" s="97">
        <f t="shared" ref="Q311" si="2451">SUM(AI311+BA311)</f>
        <v>3.9780000000000006</v>
      </c>
      <c r="R311" s="342">
        <f t="shared" ref="R311" si="2452">SUM(AJ311+BB311)</f>
        <v>38.618589438000008</v>
      </c>
      <c r="S311" s="97"/>
      <c r="T311" s="97">
        <f t="shared" ref="T311" si="2453">I311*S311*$T$2/1000</f>
        <v>0</v>
      </c>
      <c r="U311" s="97"/>
      <c r="V311" s="177">
        <f t="shared" ref="V311" si="2454">I311*U311*$V$2/1000</f>
        <v>0</v>
      </c>
      <c r="W311" s="207">
        <v>0.68400000000000005</v>
      </c>
      <c r="X311" s="206">
        <f t="shared" ref="X311" si="2455">I311*W311*$X$2/1000</f>
        <v>6.507432360000001</v>
      </c>
      <c r="Y311" s="189">
        <f t="shared" ref="Y311" si="2456">SUM(S311+U311+W311)</f>
        <v>0.68400000000000005</v>
      </c>
      <c r="Z311" s="177">
        <f t="shared" ref="Z311" si="2457">SUM(T311+V311+X311)</f>
        <v>6.507432360000001</v>
      </c>
      <c r="AA311" s="207">
        <v>1.8180000000000001</v>
      </c>
      <c r="AB311" s="206">
        <f t="shared" ref="AB311" si="2458">K311*AA311*$AB$2/1000</f>
        <v>17.731786644</v>
      </c>
      <c r="AC311" s="207">
        <v>0.252</v>
      </c>
      <c r="AD311" s="177">
        <f t="shared" ref="AD311" si="2459">K311*AC311*$AD$2/1000</f>
        <v>2.4677993340000004</v>
      </c>
      <c r="AE311" s="207">
        <v>0.75600000000000001</v>
      </c>
      <c r="AF311" s="205">
        <f t="shared" ref="AF311" si="2460">K311*AE311*$AF$2/1000</f>
        <v>7.4531276819999999</v>
      </c>
      <c r="AG311" s="189">
        <f t="shared" ref="AG311" si="2461">SUM(AA311+AC311+AE311)</f>
        <v>2.8260000000000005</v>
      </c>
      <c r="AH311" s="97">
        <f t="shared" ref="AH311" si="2462">SUM(AB311+AD311+AF311)</f>
        <v>27.652713660000003</v>
      </c>
      <c r="AI311" s="97">
        <f t="shared" ref="AI311" si="2463">SUM(Y311+AG311)</f>
        <v>3.5100000000000007</v>
      </c>
      <c r="AJ311" s="177">
        <f t="shared" ref="AJ311" si="2464">SUM(Z311,AH311)</f>
        <v>34.160146020000006</v>
      </c>
      <c r="AK311" s="207"/>
      <c r="AL311" s="177">
        <f t="shared" ref="AL311" si="2465">M311*AK311*$AL$2/1000</f>
        <v>0</v>
      </c>
      <c r="AM311" s="245"/>
      <c r="AN311" s="177">
        <f t="shared" ref="AN311" si="2466">M311*AM311*$AN$2/1000</f>
        <v>0</v>
      </c>
      <c r="AO311" s="207">
        <v>0.46800000000000003</v>
      </c>
      <c r="AP311" s="206">
        <f t="shared" ref="AP311" si="2467">M311*AO311*$AP$2/1000</f>
        <v>4.4584434180000008</v>
      </c>
      <c r="AQ311" s="189">
        <f>SUM(AK311+AM311+AO311)</f>
        <v>0.46800000000000003</v>
      </c>
      <c r="AR311" s="97">
        <f t="shared" ref="AR311" si="2468">SUM(AL311+AN311+AP311)</f>
        <v>4.4584434180000008</v>
      </c>
      <c r="AS311" s="97"/>
      <c r="AT311" s="177">
        <f t="shared" ref="AT311" si="2469">O311*AS311*$AT$2/1000</f>
        <v>0</v>
      </c>
      <c r="AU311" s="207"/>
      <c r="AV311" s="177">
        <f t="shared" ref="AV311" si="2470">O311*AU311*$AV$2/1000</f>
        <v>0</v>
      </c>
      <c r="AW311" s="207"/>
      <c r="AX311" s="206">
        <f t="shared" ref="AX311" si="2471">O311*AW311*$AX$2/1000</f>
        <v>0</v>
      </c>
      <c r="AY311" s="189">
        <f>SUM(AS311+AU311+AW311)</f>
        <v>0</v>
      </c>
      <c r="AZ311" s="97">
        <f t="shared" ref="AZ311" si="2472">SUM(AT311+AV311+AX311)</f>
        <v>0</v>
      </c>
      <c r="BA311" s="97">
        <f t="shared" ref="BA311" si="2473">SUM(AQ311+AY311)</f>
        <v>0.46800000000000003</v>
      </c>
      <c r="BB311" s="97">
        <f t="shared" ref="BB311" si="2474">SUM(AR311,AZ311)</f>
        <v>4.4584434180000008</v>
      </c>
      <c r="BC311" s="1" t="s">
        <v>1782</v>
      </c>
    </row>
    <row r="312" spans="1:55">
      <c r="A312" s="498">
        <v>205</v>
      </c>
      <c r="B312" s="13"/>
      <c r="C312" s="13"/>
      <c r="D312" s="13"/>
      <c r="E312" s="21" t="s">
        <v>1659</v>
      </c>
      <c r="F312" s="46" t="s">
        <v>1667</v>
      </c>
      <c r="G312" s="430"/>
      <c r="H312" s="268"/>
      <c r="I312" s="55">
        <v>7</v>
      </c>
      <c r="J312" s="102"/>
      <c r="K312" s="55">
        <v>7</v>
      </c>
      <c r="L312" s="163"/>
      <c r="M312" s="55">
        <v>7</v>
      </c>
      <c r="N312" s="163"/>
      <c r="O312" s="55">
        <v>7</v>
      </c>
      <c r="P312" s="102"/>
      <c r="Q312" s="97">
        <f t="shared" si="2400"/>
        <v>0</v>
      </c>
      <c r="R312" s="342">
        <f t="shared" si="2400"/>
        <v>0</v>
      </c>
      <c r="S312" s="97"/>
      <c r="T312" s="97">
        <f t="shared" si="2418"/>
        <v>0</v>
      </c>
      <c r="U312" s="97"/>
      <c r="V312" s="177">
        <f t="shared" si="2419"/>
        <v>0</v>
      </c>
      <c r="W312" s="207"/>
      <c r="X312" s="206">
        <f t="shared" si="2420"/>
        <v>0</v>
      </c>
      <c r="Y312" s="189">
        <f t="shared" si="2391"/>
        <v>0</v>
      </c>
      <c r="Z312" s="177">
        <f t="shared" si="2401"/>
        <v>0</v>
      </c>
      <c r="AA312" s="207"/>
      <c r="AB312" s="206">
        <f t="shared" si="2421"/>
        <v>0</v>
      </c>
      <c r="AC312" s="207"/>
      <c r="AD312" s="177">
        <f t="shared" si="2422"/>
        <v>0</v>
      </c>
      <c r="AE312" s="207"/>
      <c r="AF312" s="205">
        <f t="shared" si="2403"/>
        <v>0</v>
      </c>
      <c r="AG312" s="189">
        <f t="shared" si="2423"/>
        <v>0</v>
      </c>
      <c r="AH312" s="97">
        <f t="shared" si="2424"/>
        <v>0</v>
      </c>
      <c r="AI312" s="97">
        <f t="shared" si="2405"/>
        <v>0</v>
      </c>
      <c r="AJ312" s="177">
        <f t="shared" si="2406"/>
        <v>0</v>
      </c>
      <c r="AK312" s="207"/>
      <c r="AL312" s="177">
        <f t="shared" si="2407"/>
        <v>0</v>
      </c>
      <c r="AM312" s="245"/>
      <c r="AN312" s="177">
        <f t="shared" si="2408"/>
        <v>0</v>
      </c>
      <c r="AO312" s="207"/>
      <c r="AP312" s="206">
        <f t="shared" si="2409"/>
        <v>0</v>
      </c>
      <c r="AQ312" s="189">
        <f t="shared" si="2425"/>
        <v>0</v>
      </c>
      <c r="AR312" s="97">
        <f t="shared" si="2411"/>
        <v>0</v>
      </c>
      <c r="AS312" s="97"/>
      <c r="AT312" s="177">
        <f t="shared" si="2412"/>
        <v>0</v>
      </c>
      <c r="AU312" s="207"/>
      <c r="AV312" s="177">
        <f t="shared" si="2413"/>
        <v>0</v>
      </c>
      <c r="AW312" s="207"/>
      <c r="AX312" s="206">
        <f t="shared" si="2397"/>
        <v>0</v>
      </c>
      <c r="AY312" s="189">
        <f t="shared" si="2426"/>
        <v>0</v>
      </c>
      <c r="AZ312" s="97">
        <f t="shared" si="2415"/>
        <v>0</v>
      </c>
      <c r="BA312" s="97">
        <f t="shared" si="2416"/>
        <v>0</v>
      </c>
      <c r="BB312" s="97">
        <f t="shared" si="2417"/>
        <v>0</v>
      </c>
      <c r="BC312" s="1" t="s">
        <v>1782</v>
      </c>
    </row>
    <row r="313" spans="1:55">
      <c r="A313" s="498">
        <v>205</v>
      </c>
      <c r="B313" s="13"/>
      <c r="C313" s="13"/>
      <c r="D313" s="13"/>
      <c r="E313" s="21" t="s">
        <v>1660</v>
      </c>
      <c r="F313" s="46" t="s">
        <v>1668</v>
      </c>
      <c r="G313" s="430"/>
      <c r="H313" s="268"/>
      <c r="I313" s="55">
        <v>8.9</v>
      </c>
      <c r="J313" s="102"/>
      <c r="K313" s="55">
        <v>8.9</v>
      </c>
      <c r="L313" s="163"/>
      <c r="M313" s="55">
        <v>8.9</v>
      </c>
      <c r="N313" s="163"/>
      <c r="O313" s="55">
        <v>8.9</v>
      </c>
      <c r="P313" s="102"/>
      <c r="Q313" s="97">
        <f t="shared" si="2400"/>
        <v>0</v>
      </c>
      <c r="R313" s="342">
        <f t="shared" si="2400"/>
        <v>0</v>
      </c>
      <c r="S313" s="97"/>
      <c r="T313" s="97">
        <f t="shared" ref="T313:T314" si="2475">I313*S313*$T$2/1000</f>
        <v>0</v>
      </c>
      <c r="U313" s="97"/>
      <c r="V313" s="177">
        <f t="shared" ref="V313:V314" si="2476">I313*U313*$V$2/1000</f>
        <v>0</v>
      </c>
      <c r="W313" s="207"/>
      <c r="X313" s="206">
        <f t="shared" ref="X313:X314" si="2477">I313*W313*$X$2/1000</f>
        <v>0</v>
      </c>
      <c r="Y313" s="189">
        <f t="shared" si="2391"/>
        <v>0</v>
      </c>
      <c r="Z313" s="177">
        <f t="shared" si="2401"/>
        <v>0</v>
      </c>
      <c r="AA313" s="207"/>
      <c r="AB313" s="206">
        <f t="shared" ref="AB313:AB314" si="2478">K313*AA313*$AB$2/1000</f>
        <v>0</v>
      </c>
      <c r="AC313" s="207"/>
      <c r="AD313" s="177">
        <f t="shared" ref="AD313:AD314" si="2479">K313*AC313*$AD$2/1000</f>
        <v>0</v>
      </c>
      <c r="AE313" s="207"/>
      <c r="AF313" s="205">
        <f t="shared" si="2403"/>
        <v>0</v>
      </c>
      <c r="AG313" s="189">
        <f t="shared" ref="AG313:AG314" si="2480">SUM(AA313+AC313+AE313)</f>
        <v>0</v>
      </c>
      <c r="AH313" s="97">
        <f t="shared" ref="AH313:AH314" si="2481">SUM(AB313+AD313+AF313)</f>
        <v>0</v>
      </c>
      <c r="AI313" s="97">
        <f t="shared" si="2405"/>
        <v>0</v>
      </c>
      <c r="AJ313" s="177">
        <f t="shared" si="2406"/>
        <v>0</v>
      </c>
      <c r="AK313" s="207"/>
      <c r="AL313" s="177">
        <f t="shared" si="2407"/>
        <v>0</v>
      </c>
      <c r="AM313" s="245"/>
      <c r="AN313" s="177">
        <f t="shared" si="2408"/>
        <v>0</v>
      </c>
      <c r="AO313" s="207"/>
      <c r="AP313" s="206">
        <f t="shared" si="2409"/>
        <v>0</v>
      </c>
      <c r="AQ313" s="189">
        <f t="shared" ref="AQ313:AQ314" si="2482">SUM(AK313+AM313+AO313)</f>
        <v>0</v>
      </c>
      <c r="AR313" s="97">
        <f t="shared" si="2411"/>
        <v>0</v>
      </c>
      <c r="AS313" s="97"/>
      <c r="AT313" s="177">
        <f t="shared" si="2412"/>
        <v>0</v>
      </c>
      <c r="AU313" s="207"/>
      <c r="AV313" s="177">
        <f t="shared" si="2413"/>
        <v>0</v>
      </c>
      <c r="AW313" s="207"/>
      <c r="AX313" s="206">
        <f t="shared" si="2397"/>
        <v>0</v>
      </c>
      <c r="AY313" s="189">
        <f t="shared" ref="AY313:AY314" si="2483">SUM(AS313+AU313+AW313)</f>
        <v>0</v>
      </c>
      <c r="AZ313" s="97">
        <f t="shared" si="2415"/>
        <v>0</v>
      </c>
      <c r="BA313" s="97">
        <f t="shared" si="2416"/>
        <v>0</v>
      </c>
      <c r="BB313" s="97">
        <f t="shared" si="2417"/>
        <v>0</v>
      </c>
      <c r="BC313" s="1" t="s">
        <v>1782</v>
      </c>
    </row>
    <row r="314" spans="1:55">
      <c r="A314" s="498">
        <v>205</v>
      </c>
      <c r="B314" s="13"/>
      <c r="C314" s="13"/>
      <c r="D314" s="13"/>
      <c r="E314" s="21" t="s">
        <v>1661</v>
      </c>
      <c r="F314" s="46" t="s">
        <v>1669</v>
      </c>
      <c r="G314" s="430"/>
      <c r="H314" s="268"/>
      <c r="I314" s="55">
        <v>9.1</v>
      </c>
      <c r="J314" s="102"/>
      <c r="K314" s="55">
        <v>9.1</v>
      </c>
      <c r="L314" s="163"/>
      <c r="M314" s="55">
        <v>9.1</v>
      </c>
      <c r="N314" s="163"/>
      <c r="O314" s="55">
        <v>9.1</v>
      </c>
      <c r="P314" s="102"/>
      <c r="Q314" s="97">
        <f t="shared" si="2400"/>
        <v>0</v>
      </c>
      <c r="R314" s="342">
        <f t="shared" si="2400"/>
        <v>0</v>
      </c>
      <c r="S314" s="97"/>
      <c r="T314" s="97">
        <f t="shared" si="2475"/>
        <v>0</v>
      </c>
      <c r="U314" s="97"/>
      <c r="V314" s="177">
        <f t="shared" si="2476"/>
        <v>0</v>
      </c>
      <c r="W314" s="207"/>
      <c r="X314" s="206">
        <f t="shared" si="2477"/>
        <v>0</v>
      </c>
      <c r="Y314" s="189">
        <f t="shared" si="2391"/>
        <v>0</v>
      </c>
      <c r="Z314" s="177">
        <f t="shared" si="2401"/>
        <v>0</v>
      </c>
      <c r="AA314" s="207"/>
      <c r="AB314" s="206">
        <f t="shared" si="2478"/>
        <v>0</v>
      </c>
      <c r="AC314" s="207"/>
      <c r="AD314" s="177">
        <f t="shared" si="2479"/>
        <v>0</v>
      </c>
      <c r="AE314" s="207"/>
      <c r="AF314" s="205">
        <f t="shared" si="2403"/>
        <v>0</v>
      </c>
      <c r="AG314" s="189">
        <f t="shared" si="2480"/>
        <v>0</v>
      </c>
      <c r="AH314" s="97">
        <f t="shared" si="2481"/>
        <v>0</v>
      </c>
      <c r="AI314" s="97">
        <f t="shared" si="2405"/>
        <v>0</v>
      </c>
      <c r="AJ314" s="177">
        <f t="shared" si="2406"/>
        <v>0</v>
      </c>
      <c r="AK314" s="207"/>
      <c r="AL314" s="177">
        <f t="shared" si="2407"/>
        <v>0</v>
      </c>
      <c r="AM314" s="245"/>
      <c r="AN314" s="177">
        <f t="shared" si="2408"/>
        <v>0</v>
      </c>
      <c r="AO314" s="207"/>
      <c r="AP314" s="206">
        <f t="shared" si="2409"/>
        <v>0</v>
      </c>
      <c r="AQ314" s="189">
        <f t="shared" si="2482"/>
        <v>0</v>
      </c>
      <c r="AR314" s="97">
        <f t="shared" si="2411"/>
        <v>0</v>
      </c>
      <c r="AS314" s="97"/>
      <c r="AT314" s="177">
        <f t="shared" si="2412"/>
        <v>0</v>
      </c>
      <c r="AU314" s="207"/>
      <c r="AV314" s="177">
        <f t="shared" si="2413"/>
        <v>0</v>
      </c>
      <c r="AW314" s="207"/>
      <c r="AX314" s="206">
        <f t="shared" si="2397"/>
        <v>0</v>
      </c>
      <c r="AY314" s="189">
        <f t="shared" si="2483"/>
        <v>0</v>
      </c>
      <c r="AZ314" s="97">
        <f t="shared" si="2415"/>
        <v>0</v>
      </c>
      <c r="BA314" s="97">
        <f t="shared" si="2416"/>
        <v>0</v>
      </c>
      <c r="BB314" s="97">
        <f t="shared" si="2417"/>
        <v>0</v>
      </c>
      <c r="BC314" s="1" t="s">
        <v>1782</v>
      </c>
    </row>
    <row r="315" spans="1:55">
      <c r="A315" s="498">
        <v>215</v>
      </c>
      <c r="B315" s="53" t="s">
        <v>692</v>
      </c>
      <c r="C315" s="53" t="s">
        <v>685</v>
      </c>
      <c r="D315" s="53" t="s">
        <v>686</v>
      </c>
      <c r="E315" s="21" t="s">
        <v>1015</v>
      </c>
      <c r="F315" s="46" t="s">
        <v>1017</v>
      </c>
      <c r="G315" s="46" t="s">
        <v>1103</v>
      </c>
      <c r="H315" s="268" t="s">
        <v>364</v>
      </c>
      <c r="I315" s="55">
        <v>5.14</v>
      </c>
      <c r="J315" s="102"/>
      <c r="K315" s="55">
        <v>5.0999999999999996</v>
      </c>
      <c r="L315" s="163"/>
      <c r="M315" s="55">
        <v>5.0999999999999996</v>
      </c>
      <c r="N315" s="163"/>
      <c r="O315" s="55">
        <v>5</v>
      </c>
      <c r="P315" s="102"/>
      <c r="Q315" s="97">
        <f t="shared" ref="Q315:Q318" si="2484">SUM(AI315+BA315)</f>
        <v>314.42899999999997</v>
      </c>
      <c r="R315" s="342">
        <f t="shared" ref="R315:R318" si="2485">SUM(AJ315+BB315)</f>
        <v>2173.5705626658</v>
      </c>
      <c r="S315" s="97">
        <v>32.448</v>
      </c>
      <c r="T315" s="97">
        <f t="shared" si="1731"/>
        <v>220.46840974080001</v>
      </c>
      <c r="U315" s="97">
        <v>23.103999999999999</v>
      </c>
      <c r="V315" s="177">
        <f t="shared" si="1732"/>
        <v>157.99106662400001</v>
      </c>
      <c r="W315" s="207">
        <v>22.72</v>
      </c>
      <c r="X315" s="206">
        <f t="shared" si="1733"/>
        <v>155.38853247999995</v>
      </c>
      <c r="Y315" s="189">
        <f t="shared" si="2391"/>
        <v>78.271999999999991</v>
      </c>
      <c r="Z315" s="177">
        <f t="shared" ref="Z315:Z318" si="2486">SUM(T315+V315+X315)</f>
        <v>533.84800884480001</v>
      </c>
      <c r="AA315" s="207">
        <v>28.48</v>
      </c>
      <c r="AB315" s="206">
        <f t="shared" si="1735"/>
        <v>198.13570175999996</v>
      </c>
      <c r="AC315" s="207">
        <v>25.216000000000001</v>
      </c>
      <c r="AD315" s="177">
        <f t="shared" si="1736"/>
        <v>176.136609408</v>
      </c>
      <c r="AE315" s="207">
        <v>26.812999999999999</v>
      </c>
      <c r="AF315" s="205">
        <f t="shared" ref="AF315:AF318" si="2487">K315*AE315*$AF$2/1000</f>
        <v>188.54990082899999</v>
      </c>
      <c r="AG315" s="189">
        <f t="shared" ref="AG315:AG318" si="2488">SUM(AA315+AC315+AE315)</f>
        <v>80.509</v>
      </c>
      <c r="AH315" s="97">
        <f t="shared" ref="AH315:AH318" si="2489">SUM(AB315+AD315+AF315)</f>
        <v>562.82221199699995</v>
      </c>
      <c r="AI315" s="97">
        <f t="shared" ref="AI315:AI318" si="2490">SUM(Y315+AG315)</f>
        <v>158.78100000000001</v>
      </c>
      <c r="AJ315" s="177">
        <f t="shared" ref="AJ315:AJ318" si="2491">SUM(Z315,AH315)</f>
        <v>1096.6702208418001</v>
      </c>
      <c r="AK315" s="207">
        <v>22.847999999999999</v>
      </c>
      <c r="AL315" s="177">
        <f t="shared" ref="AL315:AL318" si="2492">M315*AK315*$AL$2/1000</f>
        <v>161.16312038399997</v>
      </c>
      <c r="AM315" s="245">
        <v>44.095999999999997</v>
      </c>
      <c r="AN315" s="177">
        <f t="shared" ref="AN315:AN318" si="2493">M315*AM315*$AN$2/1000</f>
        <v>306.09723455999995</v>
      </c>
      <c r="AO315" s="207">
        <v>25.92</v>
      </c>
      <c r="AP315" s="206">
        <f t="shared" ref="AP315:AP318" si="2494">M315*AO315*$AP$2/1000</f>
        <v>176.13129888</v>
      </c>
      <c r="AQ315" s="189">
        <f t="shared" ref="AQ315:AQ318" si="2495">SUM(AK315+AM315+AO315)</f>
        <v>92.86399999999999</v>
      </c>
      <c r="AR315" s="97">
        <f t="shared" ref="AR315:AR318" si="2496">SUM(AL315+AN315+AP315)</f>
        <v>643.39165382399995</v>
      </c>
      <c r="AS315" s="97">
        <v>27.263999999999999</v>
      </c>
      <c r="AT315" s="177">
        <f t="shared" ref="AT315:AT318" si="2497">O315*AS315*$AT$2/1000</f>
        <v>185.10892800000002</v>
      </c>
      <c r="AU315" s="207">
        <v>26.56</v>
      </c>
      <c r="AV315" s="177">
        <f t="shared" si="2413"/>
        <v>184.81377599999999</v>
      </c>
      <c r="AW315" s="207">
        <v>8.9600000000000009</v>
      </c>
      <c r="AX315" s="206">
        <f t="shared" si="2397"/>
        <v>63.585984000000003</v>
      </c>
      <c r="AY315" s="189">
        <f t="shared" ref="AY315:AY318" si="2498">SUM(AS315+AU315+AW315)</f>
        <v>62.783999999999999</v>
      </c>
      <c r="AZ315" s="97">
        <f t="shared" ref="AZ315:AZ318" si="2499">SUM(AT315+AV315+AX315)</f>
        <v>433.50868800000001</v>
      </c>
      <c r="BA315" s="97">
        <f t="shared" ref="BA315:BA318" si="2500">SUM(AQ315+AY315)</f>
        <v>155.648</v>
      </c>
      <c r="BB315" s="97">
        <f t="shared" ref="BB315:BB318" si="2501">SUM(AR315,AZ315)</f>
        <v>1076.900341824</v>
      </c>
      <c r="BC315" s="1" t="s">
        <v>1780</v>
      </c>
    </row>
    <row r="316" spans="1:55">
      <c r="A316" s="498">
        <v>216</v>
      </c>
      <c r="B316" s="13"/>
      <c r="C316" s="13"/>
      <c r="D316" s="13"/>
      <c r="E316" s="21" t="s">
        <v>1046</v>
      </c>
      <c r="F316" s="46" t="s">
        <v>1045</v>
      </c>
      <c r="G316" s="46" t="s">
        <v>1103</v>
      </c>
      <c r="H316" s="268" t="s">
        <v>364</v>
      </c>
      <c r="I316" s="55">
        <v>5.64</v>
      </c>
      <c r="J316" s="102"/>
      <c r="K316" s="55">
        <v>5.64</v>
      </c>
      <c r="L316" s="163"/>
      <c r="M316" s="55">
        <v>5.64</v>
      </c>
      <c r="N316" s="163"/>
      <c r="O316" s="55">
        <v>5.64</v>
      </c>
      <c r="P316" s="102"/>
      <c r="Q316" s="97">
        <f t="shared" ref="Q316:Q317" si="2502">SUM(AI316+BA316)</f>
        <v>1.1520000000000001</v>
      </c>
      <c r="R316" s="342">
        <f t="shared" ref="R316:R317" si="2503">SUM(AJ316+BB316)</f>
        <v>8.9316303360000013</v>
      </c>
      <c r="S316" s="97"/>
      <c r="T316" s="97">
        <f t="shared" ref="T316:T317" si="2504">I316*S316*$T$2/1000</f>
        <v>0</v>
      </c>
      <c r="U316" s="97">
        <v>0.128</v>
      </c>
      <c r="V316" s="177">
        <f t="shared" ref="V316:V317" si="2505">I316*U316*$V$2/1000</f>
        <v>0.96044236800000005</v>
      </c>
      <c r="W316" s="207"/>
      <c r="X316" s="206">
        <f t="shared" ref="X316:X317" si="2506">I316*W316*$X$2/1000</f>
        <v>0</v>
      </c>
      <c r="Y316" s="189">
        <f t="shared" ref="Y316:Y317" si="2507">SUM(S316+U316+W316)</f>
        <v>0.128</v>
      </c>
      <c r="Z316" s="177">
        <f t="shared" ref="Z316:Z317" si="2508">SUM(T316+V316+X316)</f>
        <v>0.96044236800000005</v>
      </c>
      <c r="AA316" s="207"/>
      <c r="AB316" s="206">
        <f t="shared" ref="AB316:AB317" si="2509">K316*AA316*$AB$2/1000</f>
        <v>0</v>
      </c>
      <c r="AC316" s="207"/>
      <c r="AD316" s="177">
        <f t="shared" ref="AD316:AD317" si="2510">K316*AC316*$AD$2/1000</f>
        <v>0</v>
      </c>
      <c r="AE316" s="207"/>
      <c r="AF316" s="205">
        <f t="shared" ref="AF316:AF317" si="2511">K316*AE316*$AF$2/1000</f>
        <v>0</v>
      </c>
      <c r="AG316" s="189">
        <f t="shared" ref="AG316:AG317" si="2512">SUM(AA316+AC316+AE316)</f>
        <v>0</v>
      </c>
      <c r="AH316" s="97">
        <f t="shared" ref="AH316:AH317" si="2513">SUM(AB316+AD316+AF316)</f>
        <v>0</v>
      </c>
      <c r="AI316" s="97">
        <f t="shared" ref="AI316:AI317" si="2514">SUM(Y316+AG316)</f>
        <v>0.128</v>
      </c>
      <c r="AJ316" s="177">
        <f t="shared" ref="AJ316:AJ317" si="2515">SUM(Z316,AH316)</f>
        <v>0.96044236800000005</v>
      </c>
      <c r="AK316" s="207"/>
      <c r="AL316" s="177">
        <f t="shared" ref="AL316:AL317" si="2516">M316*AK316*$AL$2/1000</f>
        <v>0</v>
      </c>
      <c r="AM316" s="245">
        <v>0.38400000000000001</v>
      </c>
      <c r="AN316" s="177">
        <f t="shared" ref="AN316:AN317" si="2517">M316*AM316*$AN$2/1000</f>
        <v>2.947815936</v>
      </c>
      <c r="AO316" s="207"/>
      <c r="AP316" s="206">
        <f t="shared" ref="AP316:AP317" si="2518">M316*AO316*$AP$2/1000</f>
        <v>0</v>
      </c>
      <c r="AQ316" s="189">
        <f t="shared" ref="AQ316:AQ317" si="2519">SUM(AK316+AM316+AO316)</f>
        <v>0.38400000000000001</v>
      </c>
      <c r="AR316" s="97">
        <f t="shared" ref="AR316:AR317" si="2520">SUM(AL316+AN316+AP316)</f>
        <v>2.947815936</v>
      </c>
      <c r="AS316" s="97"/>
      <c r="AT316" s="177">
        <f t="shared" ref="AT316:AT317" si="2521">O316*AS316*$AT$2/1000</f>
        <v>0</v>
      </c>
      <c r="AU316" s="207">
        <v>0.64</v>
      </c>
      <c r="AV316" s="177">
        <f t="shared" si="2413"/>
        <v>5.0233720320000002</v>
      </c>
      <c r="AW316" s="207"/>
      <c r="AX316" s="206">
        <f t="shared" si="2397"/>
        <v>0</v>
      </c>
      <c r="AY316" s="189">
        <f t="shared" ref="AY316:AY317" si="2522">SUM(AS316+AU316+AW316)</f>
        <v>0.64</v>
      </c>
      <c r="AZ316" s="97">
        <f t="shared" ref="AZ316:AZ317" si="2523">SUM(AT316+AV316+AX316)</f>
        <v>5.0233720320000002</v>
      </c>
      <c r="BA316" s="97">
        <f t="shared" ref="BA316:BA317" si="2524">SUM(AQ316+AY316)</f>
        <v>1.024</v>
      </c>
      <c r="BB316" s="97">
        <f t="shared" ref="BB316:BB317" si="2525">SUM(AR316,AZ316)</f>
        <v>7.9711879680000006</v>
      </c>
      <c r="BC316" s="1" t="s">
        <v>1780</v>
      </c>
    </row>
    <row r="317" spans="1:55">
      <c r="A317" s="498">
        <v>217</v>
      </c>
      <c r="B317" s="13"/>
      <c r="C317" s="13"/>
      <c r="D317" s="13"/>
      <c r="E317" s="21" t="s">
        <v>1016</v>
      </c>
      <c r="F317" s="46" t="s">
        <v>1018</v>
      </c>
      <c r="G317" s="46" t="s">
        <v>1103</v>
      </c>
      <c r="H317" s="268" t="s">
        <v>364</v>
      </c>
      <c r="I317" s="55">
        <v>6.07</v>
      </c>
      <c r="J317" s="102"/>
      <c r="K317" s="55">
        <v>6.03</v>
      </c>
      <c r="L317" s="163"/>
      <c r="M317" s="55">
        <v>6.03</v>
      </c>
      <c r="N317" s="163"/>
      <c r="O317" s="55">
        <v>5.93</v>
      </c>
      <c r="P317" s="102"/>
      <c r="Q317" s="97">
        <f t="shared" si="2502"/>
        <v>369.024</v>
      </c>
      <c r="R317" s="342">
        <f t="shared" si="2503"/>
        <v>3016.3669711936</v>
      </c>
      <c r="S317" s="97">
        <v>36.607999999999997</v>
      </c>
      <c r="T317" s="97">
        <f t="shared" si="2504"/>
        <v>293.73791715840002</v>
      </c>
      <c r="U317" s="97">
        <v>32.704000000000001</v>
      </c>
      <c r="V317" s="177">
        <f t="shared" si="2505"/>
        <v>264.10206771200006</v>
      </c>
      <c r="W317" s="207">
        <v>28.8</v>
      </c>
      <c r="X317" s="206">
        <f t="shared" si="2506"/>
        <v>232.61016960000001</v>
      </c>
      <c r="Y317" s="189">
        <f t="shared" si="2507"/>
        <v>98.111999999999995</v>
      </c>
      <c r="Z317" s="177">
        <f t="shared" si="2508"/>
        <v>790.45015447040009</v>
      </c>
      <c r="AA317" s="207">
        <v>33.664000000000001</v>
      </c>
      <c r="AB317" s="206">
        <f t="shared" si="2509"/>
        <v>276.90806615040003</v>
      </c>
      <c r="AC317" s="207">
        <v>37.567999999999998</v>
      </c>
      <c r="AD317" s="177">
        <f t="shared" si="2510"/>
        <v>310.26918683520006</v>
      </c>
      <c r="AE317" s="207">
        <v>22.655999999999999</v>
      </c>
      <c r="AF317" s="205">
        <f t="shared" si="2511"/>
        <v>188.36979805439998</v>
      </c>
      <c r="AG317" s="189">
        <f t="shared" si="2512"/>
        <v>93.888000000000005</v>
      </c>
      <c r="AH317" s="97">
        <f t="shared" si="2513"/>
        <v>775.54705104000004</v>
      </c>
      <c r="AI317" s="97">
        <f t="shared" si="2514"/>
        <v>192</v>
      </c>
      <c r="AJ317" s="177">
        <f t="shared" si="2515"/>
        <v>1565.9972055104001</v>
      </c>
      <c r="AK317" s="207">
        <v>33.344000000000001</v>
      </c>
      <c r="AL317" s="177">
        <f t="shared" si="2516"/>
        <v>278.08803970560001</v>
      </c>
      <c r="AM317" s="245">
        <v>55.231999999999999</v>
      </c>
      <c r="AN317" s="177">
        <f t="shared" si="2517"/>
        <v>453.31293945599998</v>
      </c>
      <c r="AO317" s="207">
        <v>26.751999999999999</v>
      </c>
      <c r="AP317" s="206">
        <f t="shared" si="2518"/>
        <v>214.9339065984</v>
      </c>
      <c r="AQ317" s="189">
        <f t="shared" si="2519"/>
        <v>115.32799999999999</v>
      </c>
      <c r="AR317" s="97">
        <f t="shared" si="2520"/>
        <v>946.33488575999991</v>
      </c>
      <c r="AS317" s="97">
        <v>34.048000000000002</v>
      </c>
      <c r="AT317" s="177">
        <f t="shared" si="2521"/>
        <v>274.16631065600006</v>
      </c>
      <c r="AU317" s="207">
        <v>17.28</v>
      </c>
      <c r="AV317" s="177">
        <f t="shared" si="2413"/>
        <v>142.60498156800003</v>
      </c>
      <c r="AW317" s="207">
        <v>10.368</v>
      </c>
      <c r="AX317" s="206">
        <f t="shared" ref="AX317" si="2526">O317*AW317*$AX$2/1000</f>
        <v>87.263587699200002</v>
      </c>
      <c r="AY317" s="189">
        <f t="shared" si="2522"/>
        <v>61.696000000000005</v>
      </c>
      <c r="AZ317" s="97">
        <f t="shared" si="2523"/>
        <v>504.03487992320009</v>
      </c>
      <c r="BA317" s="97">
        <f t="shared" si="2524"/>
        <v>177.024</v>
      </c>
      <c r="BB317" s="97">
        <f t="shared" si="2525"/>
        <v>1450.3697656832001</v>
      </c>
      <c r="BC317" s="1" t="s">
        <v>1780</v>
      </c>
    </row>
    <row r="318" spans="1:55">
      <c r="A318" s="498">
        <v>218</v>
      </c>
      <c r="B318" s="13"/>
      <c r="C318" s="13"/>
      <c r="D318" s="13"/>
      <c r="E318" s="21" t="s">
        <v>1047</v>
      </c>
      <c r="F318" s="46" t="s">
        <v>1048</v>
      </c>
      <c r="G318" s="46" t="s">
        <v>1103</v>
      </c>
      <c r="H318" s="268" t="s">
        <v>364</v>
      </c>
      <c r="I318" s="55">
        <v>6.57</v>
      </c>
      <c r="J318" s="102"/>
      <c r="K318" s="55">
        <v>6.57</v>
      </c>
      <c r="L318" s="163"/>
      <c r="M318" s="55">
        <v>6.57</v>
      </c>
      <c r="N318" s="163"/>
      <c r="O318" s="55">
        <v>6.57</v>
      </c>
      <c r="P318" s="102"/>
      <c r="Q318" s="97">
        <f t="shared" si="2484"/>
        <v>12.118</v>
      </c>
      <c r="R318" s="342">
        <f t="shared" si="2485"/>
        <v>108.89477234460001</v>
      </c>
      <c r="S318" s="97">
        <v>0.25600000000000001</v>
      </c>
      <c r="T318" s="97">
        <f t="shared" si="1731"/>
        <v>2.2233132288000004</v>
      </c>
      <c r="U318" s="97">
        <v>0.44800000000000001</v>
      </c>
      <c r="V318" s="177">
        <f t="shared" si="1732"/>
        <v>3.9158461440000005</v>
      </c>
      <c r="W318" s="207">
        <v>0.64</v>
      </c>
      <c r="X318" s="206">
        <f t="shared" si="1733"/>
        <v>5.5949068800000008</v>
      </c>
      <c r="Y318" s="189">
        <f>SUM(S318+U318+W318)</f>
        <v>1.3439999999999999</v>
      </c>
      <c r="Z318" s="177">
        <f t="shared" si="2486"/>
        <v>11.734066252800002</v>
      </c>
      <c r="AA318" s="207">
        <v>0.76800000000000002</v>
      </c>
      <c r="AB318" s="206">
        <f t="shared" si="1735"/>
        <v>6.8830221312000006</v>
      </c>
      <c r="AC318" s="207">
        <v>0.37</v>
      </c>
      <c r="AD318" s="177">
        <f t="shared" si="1736"/>
        <v>3.3294335670000006</v>
      </c>
      <c r="AE318" s="207">
        <v>2.1760000000000002</v>
      </c>
      <c r="AF318" s="205">
        <f t="shared" si="2487"/>
        <v>19.712194905600001</v>
      </c>
      <c r="AG318" s="189">
        <f t="shared" si="2488"/>
        <v>3.3140000000000001</v>
      </c>
      <c r="AH318" s="97">
        <f t="shared" si="2489"/>
        <v>29.924650603800004</v>
      </c>
      <c r="AI318" s="97">
        <f t="shared" si="2490"/>
        <v>4.6579999999999995</v>
      </c>
      <c r="AJ318" s="177">
        <f t="shared" si="2491"/>
        <v>41.658716856600009</v>
      </c>
      <c r="AK318" s="207">
        <v>1.92</v>
      </c>
      <c r="AL318" s="177">
        <f t="shared" si="2492"/>
        <v>17.446724351999997</v>
      </c>
      <c r="AM318" s="245">
        <v>3.5920000000000001</v>
      </c>
      <c r="AN318" s="177">
        <f t="shared" si="2493"/>
        <v>32.121197784000003</v>
      </c>
      <c r="AO318" s="207">
        <v>6.4000000000000001E-2</v>
      </c>
      <c r="AP318" s="206">
        <f t="shared" si="2494"/>
        <v>0.56024334720000002</v>
      </c>
      <c r="AQ318" s="189">
        <f t="shared" si="2495"/>
        <v>5.5760000000000005</v>
      </c>
      <c r="AR318" s="97">
        <f t="shared" si="2496"/>
        <v>50.1281654832</v>
      </c>
      <c r="AS318" s="97">
        <v>0.53200000000000003</v>
      </c>
      <c r="AT318" s="177">
        <f t="shared" si="2497"/>
        <v>4.7461863960000006</v>
      </c>
      <c r="AU318" s="207">
        <v>1.3520000000000001</v>
      </c>
      <c r="AV318" s="177">
        <f t="shared" si="2413"/>
        <v>12.361703608800001</v>
      </c>
      <c r="AW318" s="207"/>
      <c r="AX318" s="206">
        <f t="shared" ref="AX318" si="2527">O318*AW318*$AX$2/1000</f>
        <v>0</v>
      </c>
      <c r="AY318" s="189">
        <f t="shared" si="2498"/>
        <v>1.8840000000000001</v>
      </c>
      <c r="AZ318" s="97">
        <f t="shared" si="2499"/>
        <v>17.107890004800002</v>
      </c>
      <c r="BA318" s="97">
        <f t="shared" si="2500"/>
        <v>7.4600000000000009</v>
      </c>
      <c r="BB318" s="97">
        <f t="shared" si="2501"/>
        <v>67.236055488000005</v>
      </c>
      <c r="BC318" s="1" t="s">
        <v>1780</v>
      </c>
    </row>
    <row r="319" spans="1:55">
      <c r="A319" s="498">
        <v>219</v>
      </c>
      <c r="B319" s="13"/>
      <c r="C319" s="13"/>
      <c r="D319" s="13"/>
      <c r="E319" s="21" t="s">
        <v>917</v>
      </c>
      <c r="F319" s="22" t="s">
        <v>916</v>
      </c>
      <c r="G319" s="22" t="s">
        <v>1107</v>
      </c>
      <c r="H319" s="268" t="s">
        <v>364</v>
      </c>
      <c r="I319" s="55">
        <v>7.68</v>
      </c>
      <c r="J319" s="102"/>
      <c r="K319" s="55">
        <v>7.68</v>
      </c>
      <c r="L319" s="163"/>
      <c r="M319" s="55">
        <v>7.68</v>
      </c>
      <c r="N319" s="163"/>
      <c r="O319" s="55">
        <v>7.68</v>
      </c>
      <c r="P319" s="102"/>
      <c r="Q319" s="97">
        <f t="shared" si="1944"/>
        <v>0.24</v>
      </c>
      <c r="R319" s="342">
        <f t="shared" si="1945"/>
        <v>2.5194239999999999</v>
      </c>
      <c r="S319" s="97"/>
      <c r="T319" s="97">
        <f t="shared" ref="T319" si="2528">I319*S319*$T$2/1000</f>
        <v>0</v>
      </c>
      <c r="U319" s="97"/>
      <c r="V319" s="177">
        <f t="shared" ref="V319" si="2529">I319*U319*$V$2/1000</f>
        <v>0</v>
      </c>
      <c r="W319" s="207"/>
      <c r="X319" s="206">
        <f t="shared" ref="X319" si="2530">I319*W319*$X$2/1000</f>
        <v>0</v>
      </c>
      <c r="Y319" s="189">
        <f t="shared" ref="Y319" si="2531">SUM(S319+U319+W319)</f>
        <v>0</v>
      </c>
      <c r="Z319" s="177">
        <f t="shared" si="1946"/>
        <v>0</v>
      </c>
      <c r="AA319" s="207">
        <v>0.12</v>
      </c>
      <c r="AB319" s="206">
        <f t="shared" ref="AB319" si="2532">K319*AA319*$AB$2/1000</f>
        <v>1.2571729919999999</v>
      </c>
      <c r="AC319" s="207">
        <v>0.12</v>
      </c>
      <c r="AD319" s="177">
        <f t="shared" ref="AD319" si="2533">K319*AC319*$AD$2/1000</f>
        <v>1.262251008</v>
      </c>
      <c r="AE319" s="207"/>
      <c r="AF319" s="205">
        <f t="shared" ref="AF319" si="2534">K319*AE319*$AF$2/1000</f>
        <v>0</v>
      </c>
      <c r="AG319" s="189">
        <f t="shared" si="1947"/>
        <v>0.24</v>
      </c>
      <c r="AH319" s="97">
        <f t="shared" si="1948"/>
        <v>2.5194239999999999</v>
      </c>
      <c r="AI319" s="97">
        <f t="shared" ref="AI319" si="2535">SUM(Y319+AG319)</f>
        <v>0.24</v>
      </c>
      <c r="AJ319" s="177">
        <f t="shared" si="1949"/>
        <v>2.5194239999999999</v>
      </c>
      <c r="AK319" s="207"/>
      <c r="AL319" s="177">
        <f t="shared" ref="AL319" si="2536">M319*AK319*$AL$2/1000</f>
        <v>0</v>
      </c>
      <c r="AM319" s="245"/>
      <c r="AN319" s="177">
        <f t="shared" si="1950"/>
        <v>0</v>
      </c>
      <c r="AO319" s="207"/>
      <c r="AP319" s="206">
        <f t="shared" ref="AP319" si="2537">M319*AO319*$AP$2/1000</f>
        <v>0</v>
      </c>
      <c r="AQ319" s="189">
        <f t="shared" si="1951"/>
        <v>0</v>
      </c>
      <c r="AR319" s="97">
        <f t="shared" si="1952"/>
        <v>0</v>
      </c>
      <c r="AS319" s="97"/>
      <c r="AT319" s="177">
        <f t="shared" si="1953"/>
        <v>0</v>
      </c>
      <c r="AU319" s="207"/>
      <c r="AV319" s="177">
        <f t="shared" si="1954"/>
        <v>0</v>
      </c>
      <c r="AW319" s="207"/>
      <c r="AX319" s="206">
        <f t="shared" ref="AX319:AX320" si="2538">O319*AW319*$AX$2/1000</f>
        <v>0</v>
      </c>
      <c r="AY319" s="189">
        <f t="shared" si="1956"/>
        <v>0</v>
      </c>
      <c r="AZ319" s="97">
        <f t="shared" si="1957"/>
        <v>0</v>
      </c>
      <c r="BA319" s="97">
        <f t="shared" si="1958"/>
        <v>0</v>
      </c>
      <c r="BB319" s="97">
        <f t="shared" si="1959"/>
        <v>0</v>
      </c>
      <c r="BC319" s="1" t="s">
        <v>1780</v>
      </c>
    </row>
    <row r="320" spans="1:55">
      <c r="A320" s="498">
        <v>220</v>
      </c>
      <c r="B320" s="13"/>
      <c r="C320" s="13"/>
      <c r="D320" s="13"/>
      <c r="E320" s="90" t="s">
        <v>104</v>
      </c>
      <c r="F320" s="91" t="s">
        <v>693</v>
      </c>
      <c r="G320" s="22" t="s">
        <v>1107</v>
      </c>
      <c r="H320" s="268" t="s">
        <v>364</v>
      </c>
      <c r="I320" s="55">
        <v>7.37</v>
      </c>
      <c r="J320" s="102"/>
      <c r="K320" s="55">
        <v>7.37</v>
      </c>
      <c r="L320" s="163"/>
      <c r="M320" s="55">
        <v>7.37</v>
      </c>
      <c r="N320" s="163"/>
      <c r="O320" s="55">
        <v>7.37</v>
      </c>
      <c r="P320" s="102"/>
      <c r="Q320" s="97">
        <f t="shared" si="1944"/>
        <v>95.459000000000003</v>
      </c>
      <c r="R320" s="342">
        <f t="shared" si="1945"/>
        <v>960.67935038900009</v>
      </c>
      <c r="S320" s="97">
        <v>7.48</v>
      </c>
      <c r="T320" s="97">
        <f t="shared" si="1731"/>
        <v>72.872623164000004</v>
      </c>
      <c r="U320" s="97">
        <v>1.92</v>
      </c>
      <c r="V320" s="177">
        <f t="shared" si="1732"/>
        <v>18.825692160000003</v>
      </c>
      <c r="W320" s="207">
        <v>5.52</v>
      </c>
      <c r="X320" s="206">
        <f t="shared" si="1733"/>
        <v>54.132001439999982</v>
      </c>
      <c r="Y320" s="189">
        <f>SUM(S320+U320+W320)</f>
        <v>14.92</v>
      </c>
      <c r="Z320" s="177">
        <f t="shared" si="1946"/>
        <v>145.83031676399997</v>
      </c>
      <c r="AA320" s="207">
        <v>12.8</v>
      </c>
      <c r="AB320" s="206">
        <f t="shared" si="1735"/>
        <v>128.68562432000002</v>
      </c>
      <c r="AC320" s="207">
        <v>6.92</v>
      </c>
      <c r="AD320" s="177">
        <f t="shared" si="1736"/>
        <v>69.851677852000009</v>
      </c>
      <c r="AE320" s="207">
        <v>5.12</v>
      </c>
      <c r="AF320" s="205">
        <f t="shared" ref="AF320:AF321" si="2539">K320*AE320*$AF$2/1000</f>
        <v>52.029322751999999</v>
      </c>
      <c r="AG320" s="189">
        <f t="shared" si="1947"/>
        <v>24.84</v>
      </c>
      <c r="AH320" s="97">
        <f t="shared" si="1948"/>
        <v>250.566624924</v>
      </c>
      <c r="AI320" s="97">
        <f t="shared" ref="AI320:AI321" si="2540">SUM(Y320+AG320)</f>
        <v>39.76</v>
      </c>
      <c r="AJ320" s="177">
        <f t="shared" si="1949"/>
        <v>396.39694168799997</v>
      </c>
      <c r="AK320" s="207">
        <v>8.32</v>
      </c>
      <c r="AL320" s="177">
        <f t="shared" ref="AL320:AL321" si="2541">M320*AK320*$AL$2/1000</f>
        <v>84.808252672000009</v>
      </c>
      <c r="AM320" s="245">
        <v>13.019</v>
      </c>
      <c r="AN320" s="177">
        <f t="shared" si="1950"/>
        <v>130.59758583299998</v>
      </c>
      <c r="AO320" s="207">
        <v>5.8</v>
      </c>
      <c r="AP320" s="206">
        <f t="shared" ref="AP320:AP321" si="2542">M320*AO320*$AP$2/1000</f>
        <v>56.954342940000011</v>
      </c>
      <c r="AQ320" s="189">
        <f t="shared" si="1951"/>
        <v>27.138999999999999</v>
      </c>
      <c r="AR320" s="97">
        <f t="shared" si="1952"/>
        <v>272.36018144500002</v>
      </c>
      <c r="AS320" s="97">
        <v>10.4</v>
      </c>
      <c r="AT320" s="177">
        <f t="shared" si="1953"/>
        <v>104.08031920000003</v>
      </c>
      <c r="AU320" s="207">
        <v>10.4</v>
      </c>
      <c r="AV320" s="177">
        <f t="shared" si="1954"/>
        <v>106.66872216000002</v>
      </c>
      <c r="AW320" s="207">
        <v>7.76</v>
      </c>
      <c r="AX320" s="206">
        <f t="shared" si="2538"/>
        <v>81.173185895999993</v>
      </c>
      <c r="AY320" s="189">
        <f t="shared" si="1956"/>
        <v>28.560000000000002</v>
      </c>
      <c r="AZ320" s="97">
        <f t="shared" si="1957"/>
        <v>291.92222725600004</v>
      </c>
      <c r="BA320" s="97">
        <f t="shared" si="1958"/>
        <v>55.698999999999998</v>
      </c>
      <c r="BB320" s="97">
        <f t="shared" si="1959"/>
        <v>564.28240870100012</v>
      </c>
      <c r="BC320" s="1" t="s">
        <v>1780</v>
      </c>
    </row>
    <row r="321" spans="1:55">
      <c r="A321" s="498">
        <v>221</v>
      </c>
      <c r="B321" s="13"/>
      <c r="C321" s="13"/>
      <c r="D321" s="13"/>
      <c r="E321" s="90" t="s">
        <v>687</v>
      </c>
      <c r="F321" s="91" t="s">
        <v>694</v>
      </c>
      <c r="G321" s="22" t="s">
        <v>1107</v>
      </c>
      <c r="H321" s="268" t="s">
        <v>364</v>
      </c>
      <c r="I321" s="55">
        <v>7.36</v>
      </c>
      <c r="J321" s="102"/>
      <c r="K321" s="55">
        <v>7.36</v>
      </c>
      <c r="L321" s="163"/>
      <c r="M321" s="55">
        <v>7.36</v>
      </c>
      <c r="N321" s="163"/>
      <c r="O321" s="55">
        <v>7.36</v>
      </c>
      <c r="P321" s="102"/>
      <c r="Q321" s="97">
        <f t="shared" si="1944"/>
        <v>3</v>
      </c>
      <c r="R321" s="342">
        <f t="shared" si="1945"/>
        <v>30.119769599999998</v>
      </c>
      <c r="S321" s="97"/>
      <c r="T321" s="97">
        <f t="shared" si="1731"/>
        <v>0</v>
      </c>
      <c r="U321" s="97"/>
      <c r="V321" s="177">
        <f t="shared" si="1732"/>
        <v>0</v>
      </c>
      <c r="W321" s="207"/>
      <c r="X321" s="206">
        <f t="shared" si="1733"/>
        <v>0</v>
      </c>
      <c r="Y321" s="189">
        <f>SUM(S321+U321+W321)</f>
        <v>0</v>
      </c>
      <c r="Z321" s="177">
        <f t="shared" si="1946"/>
        <v>0</v>
      </c>
      <c r="AA321" s="207">
        <v>3</v>
      </c>
      <c r="AB321" s="206">
        <f t="shared" si="1735"/>
        <v>30.119769599999998</v>
      </c>
      <c r="AC321" s="207"/>
      <c r="AD321" s="177">
        <f t="shared" si="1736"/>
        <v>0</v>
      </c>
      <c r="AE321" s="207"/>
      <c r="AF321" s="205">
        <f t="shared" si="2539"/>
        <v>0</v>
      </c>
      <c r="AG321" s="189">
        <f t="shared" si="1947"/>
        <v>3</v>
      </c>
      <c r="AH321" s="97">
        <f t="shared" si="1948"/>
        <v>30.119769599999998</v>
      </c>
      <c r="AI321" s="97">
        <f t="shared" si="2540"/>
        <v>3</v>
      </c>
      <c r="AJ321" s="177">
        <f t="shared" si="1949"/>
        <v>30.119769599999998</v>
      </c>
      <c r="AK321" s="207"/>
      <c r="AL321" s="177">
        <f t="shared" si="2541"/>
        <v>0</v>
      </c>
      <c r="AM321" s="245"/>
      <c r="AN321" s="177">
        <f t="shared" si="1950"/>
        <v>0</v>
      </c>
      <c r="AO321" s="207"/>
      <c r="AP321" s="206">
        <f t="shared" si="2542"/>
        <v>0</v>
      </c>
      <c r="AQ321" s="189">
        <f t="shared" si="1951"/>
        <v>0</v>
      </c>
      <c r="AR321" s="97">
        <f t="shared" si="1952"/>
        <v>0</v>
      </c>
      <c r="AS321" s="97"/>
      <c r="AT321" s="177">
        <f t="shared" si="1953"/>
        <v>0</v>
      </c>
      <c r="AU321" s="207"/>
      <c r="AV321" s="177">
        <f t="shared" si="1954"/>
        <v>0</v>
      </c>
      <c r="AW321" s="207"/>
      <c r="AX321" s="206">
        <f>O321*AW321*$AX$2/1000</f>
        <v>0</v>
      </c>
      <c r="AY321" s="189">
        <f t="shared" si="1956"/>
        <v>0</v>
      </c>
      <c r="AZ321" s="97">
        <f t="shared" si="1957"/>
        <v>0</v>
      </c>
      <c r="BA321" s="97">
        <f t="shared" si="1958"/>
        <v>0</v>
      </c>
      <c r="BB321" s="97">
        <f t="shared" si="1959"/>
        <v>0</v>
      </c>
      <c r="BC321" s="1" t="s">
        <v>1780</v>
      </c>
    </row>
    <row r="322" spans="1:55">
      <c r="A322" s="498">
        <v>222</v>
      </c>
      <c r="B322" s="13"/>
      <c r="C322" s="13"/>
      <c r="D322" s="13"/>
      <c r="E322" s="21" t="s">
        <v>689</v>
      </c>
      <c r="F322" s="91" t="s">
        <v>695</v>
      </c>
      <c r="G322" s="22" t="s">
        <v>1107</v>
      </c>
      <c r="H322" s="268" t="s">
        <v>364</v>
      </c>
      <c r="I322" s="55">
        <v>7.51</v>
      </c>
      <c r="J322" s="102"/>
      <c r="K322" s="55">
        <v>7.51</v>
      </c>
      <c r="L322" s="163"/>
      <c r="M322" s="55">
        <v>7.51</v>
      </c>
      <c r="N322" s="163"/>
      <c r="O322" s="55">
        <v>7.51</v>
      </c>
      <c r="P322" s="102"/>
      <c r="Q322" s="131">
        <f t="shared" si="1944"/>
        <v>29.571000000000002</v>
      </c>
      <c r="R322" s="352">
        <f t="shared" si="1945"/>
        <v>303.18960767419998</v>
      </c>
      <c r="S322" s="131">
        <v>1.52</v>
      </c>
      <c r="T322" s="131">
        <f t="shared" si="1731"/>
        <v>15.089638728000002</v>
      </c>
      <c r="U322" s="131">
        <v>0.8</v>
      </c>
      <c r="V322" s="185">
        <f t="shared" si="1732"/>
        <v>7.9930432000000007</v>
      </c>
      <c r="W322" s="224">
        <v>2.12</v>
      </c>
      <c r="X322" s="225">
        <f t="shared" si="1733"/>
        <v>21.184748719999998</v>
      </c>
      <c r="Y322" s="198">
        <f>SUM(S322+U322+W322)</f>
        <v>4.4400000000000004</v>
      </c>
      <c r="Z322" s="185">
        <f t="shared" si="1946"/>
        <v>44.267430648000001</v>
      </c>
      <c r="AA322" s="224">
        <v>2.3929999999999998</v>
      </c>
      <c r="AB322" s="225">
        <f t="shared" si="1735"/>
        <v>24.515187091599998</v>
      </c>
      <c r="AC322" s="224">
        <v>1.48</v>
      </c>
      <c r="AD322" s="185">
        <f t="shared" si="1736"/>
        <v>15.223163524</v>
      </c>
      <c r="AE322" s="224">
        <v>2.92</v>
      </c>
      <c r="AF322" s="424">
        <f>K322*AE322*$AF$2/1000</f>
        <v>30.236638835999994</v>
      </c>
      <c r="AG322" s="198">
        <f t="shared" si="1947"/>
        <v>6.7929999999999993</v>
      </c>
      <c r="AH322" s="131">
        <f t="shared" si="1948"/>
        <v>69.974989451599996</v>
      </c>
      <c r="AI322" s="131">
        <f>SUM(Y322+AG322)</f>
        <v>11.233000000000001</v>
      </c>
      <c r="AJ322" s="185">
        <f t="shared" si="1949"/>
        <v>114.2424200996</v>
      </c>
      <c r="AK322" s="224">
        <v>2.88</v>
      </c>
      <c r="AL322" s="185">
        <f>M322*AK322*$AL$2/1000</f>
        <v>29.914360703999996</v>
      </c>
      <c r="AM322" s="254">
        <v>7.12</v>
      </c>
      <c r="AN322" s="185">
        <f t="shared" si="1950"/>
        <v>72.779650319999988</v>
      </c>
      <c r="AO322" s="224">
        <v>1.48</v>
      </c>
      <c r="AP322" s="225">
        <f>M322*AO322*$AP$2/1000</f>
        <v>14.809248372000001</v>
      </c>
      <c r="AQ322" s="198">
        <f t="shared" si="1951"/>
        <v>11.48</v>
      </c>
      <c r="AR322" s="131">
        <f t="shared" si="1952"/>
        <v>117.50325939599999</v>
      </c>
      <c r="AS322" s="131">
        <v>2.16</v>
      </c>
      <c r="AT322" s="185">
        <f t="shared" si="1953"/>
        <v>22.027310640000003</v>
      </c>
      <c r="AU322" s="224">
        <v>3.1779999999999999</v>
      </c>
      <c r="AV322" s="185">
        <f t="shared" si="1954"/>
        <v>33.214681722599998</v>
      </c>
      <c r="AW322" s="224">
        <v>1.52</v>
      </c>
      <c r="AX322" s="225">
        <f t="shared" ref="AX322:AX345" si="2543">O322*AW322*$AX$2/1000</f>
        <v>16.201935815999999</v>
      </c>
      <c r="AY322" s="198">
        <f t="shared" si="1956"/>
        <v>6.8580000000000005</v>
      </c>
      <c r="AZ322" s="131">
        <f t="shared" si="1957"/>
        <v>71.443928178600004</v>
      </c>
      <c r="BA322" s="131">
        <f t="shared" si="1958"/>
        <v>18.338000000000001</v>
      </c>
      <c r="BB322" s="131">
        <f t="shared" si="1959"/>
        <v>188.94718757459998</v>
      </c>
      <c r="BC322" s="1" t="s">
        <v>1780</v>
      </c>
    </row>
    <row r="323" spans="1:55">
      <c r="A323" s="498">
        <v>224</v>
      </c>
      <c r="B323" s="13"/>
      <c r="C323" s="13"/>
      <c r="D323" s="13"/>
      <c r="E323" s="21" t="s">
        <v>1606</v>
      </c>
      <c r="F323" s="46" t="s">
        <v>1607</v>
      </c>
      <c r="G323" s="22" t="s">
        <v>1107</v>
      </c>
      <c r="H323" s="268" t="s">
        <v>365</v>
      </c>
      <c r="I323" s="67">
        <v>6.6</v>
      </c>
      <c r="J323" s="102"/>
      <c r="K323" s="67">
        <v>6.6</v>
      </c>
      <c r="L323" s="163"/>
      <c r="M323" s="67">
        <v>6.6</v>
      </c>
      <c r="N323" s="163"/>
      <c r="O323" s="67">
        <v>6.6</v>
      </c>
      <c r="P323" s="102"/>
      <c r="Q323" s="97">
        <f t="shared" si="1944"/>
        <v>317.74900000000002</v>
      </c>
      <c r="R323" s="342">
        <f t="shared" si="1945"/>
        <v>2842.62938652</v>
      </c>
      <c r="S323" s="97">
        <v>47.92</v>
      </c>
      <c r="T323" s="97">
        <f t="shared" si="1731"/>
        <v>418.07679408000001</v>
      </c>
      <c r="U323" s="97">
        <v>24.88</v>
      </c>
      <c r="V323" s="177">
        <f t="shared" si="1732"/>
        <v>218.46232320000001</v>
      </c>
      <c r="W323" s="207">
        <v>21.588999999999999</v>
      </c>
      <c r="X323" s="206">
        <f t="shared" si="1733"/>
        <v>189.59373443999996</v>
      </c>
      <c r="Y323" s="189">
        <f t="shared" ref="Y323" si="2544">SUM(S323+U323+W323)</f>
        <v>94.388999999999996</v>
      </c>
      <c r="Z323" s="177">
        <f t="shared" si="1946"/>
        <v>826.13285171999996</v>
      </c>
      <c r="AA323" s="207">
        <v>25</v>
      </c>
      <c r="AB323" s="206">
        <f t="shared" si="1735"/>
        <v>225.07979999999998</v>
      </c>
      <c r="AC323" s="207">
        <v>30</v>
      </c>
      <c r="AD323" s="177">
        <f t="shared" si="1736"/>
        <v>271.18674000000004</v>
      </c>
      <c r="AE323" s="207">
        <v>11.8</v>
      </c>
      <c r="AF323" s="205">
        <f t="shared" ref="AF323:AF333" si="2545">K323*AE323*$AF$2/1000</f>
        <v>107.38328039999999</v>
      </c>
      <c r="AG323" s="189">
        <f t="shared" si="1947"/>
        <v>66.8</v>
      </c>
      <c r="AH323" s="97">
        <f t="shared" si="1948"/>
        <v>603.64982039999995</v>
      </c>
      <c r="AI323" s="97">
        <f t="shared" ref="AI323:AI330" si="2546">SUM(Y323+AG323)</f>
        <v>161.18899999999999</v>
      </c>
      <c r="AJ323" s="177">
        <f t="shared" si="1949"/>
        <v>1429.7826721199999</v>
      </c>
      <c r="AK323" s="207">
        <v>20</v>
      </c>
      <c r="AL323" s="177">
        <f>M323*AK323*$AL$2/1000</f>
        <v>182.56656000000001</v>
      </c>
      <c r="AM323" s="245">
        <v>49.6</v>
      </c>
      <c r="AN323" s="177">
        <f t="shared" si="1950"/>
        <v>445.56969600000002</v>
      </c>
      <c r="AO323" s="207">
        <v>24</v>
      </c>
      <c r="AP323" s="206">
        <f t="shared" ref="AP323:AP330" si="2547">M323*AO323*$AP$2/1000</f>
        <v>211.05057599999998</v>
      </c>
      <c r="AQ323" s="189">
        <f t="shared" si="1951"/>
        <v>93.6</v>
      </c>
      <c r="AR323" s="97">
        <f t="shared" si="1952"/>
        <v>839.18683199999998</v>
      </c>
      <c r="AS323" s="97">
        <v>28.96</v>
      </c>
      <c r="AT323" s="177">
        <f t="shared" si="1953"/>
        <v>259.54357440000001</v>
      </c>
      <c r="AU323" s="207">
        <v>24</v>
      </c>
      <c r="AV323" s="177">
        <f t="shared" si="1954"/>
        <v>220.440528</v>
      </c>
      <c r="AW323" s="207">
        <v>10</v>
      </c>
      <c r="AX323" s="206">
        <f>O323*AW323*$AX$2/1000</f>
        <v>93.675780000000003</v>
      </c>
      <c r="AY323" s="189">
        <f t="shared" si="1956"/>
        <v>62.96</v>
      </c>
      <c r="AZ323" s="97">
        <f t="shared" si="1957"/>
        <v>573.65988240000001</v>
      </c>
      <c r="BA323" s="97">
        <f t="shared" si="1958"/>
        <v>156.56</v>
      </c>
      <c r="BB323" s="97">
        <f t="shared" si="1959"/>
        <v>1412.8467144000001</v>
      </c>
      <c r="BC323" s="1" t="s">
        <v>1780</v>
      </c>
    </row>
    <row r="324" spans="1:55">
      <c r="A324" s="498">
        <v>221</v>
      </c>
      <c r="B324" s="13"/>
      <c r="C324" s="13"/>
      <c r="D324" s="13"/>
      <c r="E324" s="90" t="s">
        <v>1738</v>
      </c>
      <c r="F324" s="91" t="s">
        <v>1739</v>
      </c>
      <c r="G324" s="22" t="s">
        <v>1106</v>
      </c>
      <c r="H324" s="268" t="s">
        <v>364</v>
      </c>
      <c r="I324" s="55">
        <v>7.05</v>
      </c>
      <c r="J324" s="102"/>
      <c r="K324" s="55">
        <v>7.05</v>
      </c>
      <c r="L324" s="163"/>
      <c r="M324" s="55">
        <v>7.05</v>
      </c>
      <c r="N324" s="163"/>
      <c r="O324" s="55">
        <v>7.05</v>
      </c>
      <c r="P324" s="102"/>
      <c r="Q324" s="97">
        <f t="shared" ref="Q324" si="2548">SUM(AI324+BA324)</f>
        <v>5.45</v>
      </c>
      <c r="R324" s="342">
        <f t="shared" ref="R324" si="2549">SUM(AJ324+BB324)</f>
        <v>52.634561160000004</v>
      </c>
      <c r="S324" s="97"/>
      <c r="T324" s="97">
        <f t="shared" ref="T324" si="2550">I324*S324*$T$2/1000</f>
        <v>0</v>
      </c>
      <c r="U324" s="97">
        <v>0.32</v>
      </c>
      <c r="V324" s="177">
        <f t="shared" ref="V324" si="2551">I324*U324*$V$2/1000</f>
        <v>3.0013823999999998</v>
      </c>
      <c r="W324" s="207"/>
      <c r="X324" s="206">
        <f t="shared" ref="X324" si="2552">I324*W324*$X$2/1000</f>
        <v>0</v>
      </c>
      <c r="Y324" s="189">
        <f>SUM(S324+U324+W324)</f>
        <v>0.32</v>
      </c>
      <c r="Z324" s="177">
        <f t="shared" ref="Z324" si="2553">SUM(T324+V324+X324)</f>
        <v>3.0013823999999998</v>
      </c>
      <c r="AA324" s="207">
        <v>0.45</v>
      </c>
      <c r="AB324" s="206">
        <f t="shared" ref="AB324" si="2554">K324*AA324*$AB$2/1000</f>
        <v>4.3276706999999996</v>
      </c>
      <c r="AC324" s="207">
        <v>0.16</v>
      </c>
      <c r="AD324" s="177">
        <f t="shared" ref="AD324" si="2555">K324*AC324*$AD$2/1000</f>
        <v>1.5449426399999999</v>
      </c>
      <c r="AE324" s="207">
        <v>1.08</v>
      </c>
      <c r="AF324" s="205">
        <f t="shared" si="2545"/>
        <v>10.498411619999999</v>
      </c>
      <c r="AG324" s="189">
        <f t="shared" ref="AG324" si="2556">SUM(AA324+AC324+AE324)</f>
        <v>1.69</v>
      </c>
      <c r="AH324" s="97">
        <f t="shared" ref="AH324" si="2557">SUM(AB324+AD324+AF324)</f>
        <v>16.37102496</v>
      </c>
      <c r="AI324" s="97">
        <f t="shared" si="2546"/>
        <v>2.0099999999999998</v>
      </c>
      <c r="AJ324" s="177">
        <f t="shared" ref="AJ324" si="2558">SUM(Z324,AH324)</f>
        <v>19.37240736</v>
      </c>
      <c r="AK324" s="207">
        <v>0.6</v>
      </c>
      <c r="AL324" s="177">
        <f t="shared" ref="AL324" si="2559">M324*AK324*$AL$2/1000</f>
        <v>5.8504283999999993</v>
      </c>
      <c r="AM324" s="245">
        <v>1.48</v>
      </c>
      <c r="AN324" s="177">
        <f t="shared" ref="AN324" si="2560">M324*AM324*$AN$2/1000</f>
        <v>14.201717399999998</v>
      </c>
      <c r="AO324" s="207"/>
      <c r="AP324" s="206">
        <f t="shared" si="2547"/>
        <v>0</v>
      </c>
      <c r="AQ324" s="189">
        <f t="shared" ref="AQ324" si="2561">SUM(AK324+AM324+AO324)</f>
        <v>2.08</v>
      </c>
      <c r="AR324" s="97">
        <f t="shared" ref="AR324" si="2562">SUM(AL324+AN324+AP324)</f>
        <v>20.052145799999998</v>
      </c>
      <c r="AS324" s="97">
        <v>0.56000000000000005</v>
      </c>
      <c r="AT324" s="177">
        <f t="shared" ref="AT324" si="2563">O324*AS324*$AT$2/1000</f>
        <v>5.3609892000000006</v>
      </c>
      <c r="AU324" s="207">
        <v>0.8</v>
      </c>
      <c r="AV324" s="177">
        <f t="shared" ref="AV324" si="2564">O324*AU324*$AV$2/1000</f>
        <v>7.8490188000000014</v>
      </c>
      <c r="AW324" s="207"/>
      <c r="AX324" s="206">
        <f>O324*AW324*$AX$2/1000</f>
        <v>0</v>
      </c>
      <c r="AY324" s="189">
        <f t="shared" ref="AY324" si="2565">SUM(AS324+AU324+AW324)</f>
        <v>1.36</v>
      </c>
      <c r="AZ324" s="97">
        <f t="shared" ref="AZ324" si="2566">SUM(AT324+AV324+AX324)</f>
        <v>13.210008000000002</v>
      </c>
      <c r="BA324" s="97">
        <f t="shared" ref="BA324" si="2567">SUM(AQ324+AY324)</f>
        <v>3.4400000000000004</v>
      </c>
      <c r="BB324" s="97">
        <f t="shared" ref="BB324" si="2568">SUM(AR324,AZ324)</f>
        <v>33.2621538</v>
      </c>
      <c r="BC324" s="1" t="s">
        <v>1780</v>
      </c>
    </row>
    <row r="325" spans="1:55">
      <c r="A325" s="498">
        <v>223</v>
      </c>
      <c r="B325" s="13"/>
      <c r="C325" s="13"/>
      <c r="D325" s="13"/>
      <c r="E325" s="21" t="s">
        <v>1336</v>
      </c>
      <c r="F325" s="22" t="s">
        <v>1338</v>
      </c>
      <c r="G325" s="430" t="s">
        <v>1102</v>
      </c>
      <c r="H325" s="268" t="s">
        <v>365</v>
      </c>
      <c r="I325" s="55">
        <v>6.6</v>
      </c>
      <c r="J325" s="102"/>
      <c r="K325" s="55">
        <v>6.6</v>
      </c>
      <c r="L325" s="163"/>
      <c r="M325" s="55">
        <v>6.6</v>
      </c>
      <c r="N325" s="163"/>
      <c r="O325" s="55">
        <v>6.55</v>
      </c>
      <c r="P325" s="102"/>
      <c r="Q325" s="97">
        <f t="shared" ref="Q325:R328" si="2569">SUM(AI325+BA325)</f>
        <v>492.36</v>
      </c>
      <c r="R325" s="342">
        <f t="shared" si="2569"/>
        <v>4399.7574455199992</v>
      </c>
      <c r="S325" s="97">
        <v>61</v>
      </c>
      <c r="T325" s="97">
        <f t="shared" ref="T325" si="2570">I325*S325*$T$2/1000</f>
        <v>532.19291399999997</v>
      </c>
      <c r="U325" s="97">
        <v>41.12</v>
      </c>
      <c r="V325" s="177">
        <f t="shared" ref="V325" si="2571">I325*U325*$V$2/1000</f>
        <v>361.0599168</v>
      </c>
      <c r="W325" s="207">
        <v>35</v>
      </c>
      <c r="X325" s="206">
        <f t="shared" ref="X325" si="2572">I325*W325*$X$2/1000</f>
        <v>307.36859999999996</v>
      </c>
      <c r="Y325" s="189">
        <f t="shared" ref="Y325" si="2573">SUM(S325+U325+W325)</f>
        <v>137.12</v>
      </c>
      <c r="Z325" s="177">
        <f t="shared" ref="Z325:Z328" si="2574">SUM(T325+V325+X325)</f>
        <v>1200.6214307999999</v>
      </c>
      <c r="AA325" s="207">
        <v>43.32</v>
      </c>
      <c r="AB325" s="206">
        <f t="shared" ref="AB325" si="2575">K325*AA325*$AB$2/1000</f>
        <v>390.01827743999991</v>
      </c>
      <c r="AC325" s="207">
        <v>44.48</v>
      </c>
      <c r="AD325" s="177">
        <f t="shared" ref="AD325" si="2576">K325*AC325*$AD$2/1000</f>
        <v>402.07953984</v>
      </c>
      <c r="AE325" s="207">
        <v>30</v>
      </c>
      <c r="AF325" s="205">
        <f t="shared" ref="AF325:AF328" si="2577">K325*AE325*$AF$2/1000</f>
        <v>273.00833999999998</v>
      </c>
      <c r="AG325" s="189">
        <f t="shared" ref="AG325:AG328" si="2578">SUM(AA325+AC325+AE325)</f>
        <v>117.8</v>
      </c>
      <c r="AH325" s="97">
        <f t="shared" ref="AH325:AH328" si="2579">SUM(AB325+AD325+AF325)</f>
        <v>1065.1061572799999</v>
      </c>
      <c r="AI325" s="97">
        <f t="shared" ref="AI325" si="2580">SUM(Y325+AG325)</f>
        <v>254.92000000000002</v>
      </c>
      <c r="AJ325" s="177">
        <f t="shared" ref="AJ325:AJ328" si="2581">SUM(Z325,AH325)</f>
        <v>2265.7275880799998</v>
      </c>
      <c r="AK325" s="207">
        <v>36</v>
      </c>
      <c r="AL325" s="177">
        <f t="shared" ref="AL325" si="2582">M325*AK325*$AL$2/1000</f>
        <v>328.61980799999998</v>
      </c>
      <c r="AM325" s="245">
        <v>73.08</v>
      </c>
      <c r="AN325" s="177">
        <f t="shared" ref="AN325:AN328" si="2583">M325*AM325*$AN$2/1000</f>
        <v>656.49664079999991</v>
      </c>
      <c r="AO325" s="207">
        <v>42</v>
      </c>
      <c r="AP325" s="206">
        <f t="shared" ref="AP325" si="2584">M325*AO325*$AP$2/1000</f>
        <v>369.33850800000005</v>
      </c>
      <c r="AQ325" s="189">
        <f t="shared" ref="AQ325:AR328" si="2585">SUM(AK325+AM325+AO325)</f>
        <v>151.07999999999998</v>
      </c>
      <c r="AR325" s="97">
        <f t="shared" si="2585"/>
        <v>1354.4549568</v>
      </c>
      <c r="AS325" s="97">
        <v>43</v>
      </c>
      <c r="AT325" s="177">
        <f t="shared" ref="AT325:AT328" si="2586">O325*AS325*$AT$2/1000</f>
        <v>382.45253499999995</v>
      </c>
      <c r="AU325" s="207">
        <v>33</v>
      </c>
      <c r="AV325" s="177">
        <f t="shared" ref="AV325:AV328" si="2587">O325*AU325*$AV$2/1000</f>
        <v>300.80947049999997</v>
      </c>
      <c r="AW325" s="207">
        <v>10.36</v>
      </c>
      <c r="AX325" s="206">
        <f t="shared" ref="AX325:AX328" si="2588">O325*AW325*$AX$2/1000</f>
        <v>96.312895139999981</v>
      </c>
      <c r="AY325" s="189">
        <f t="shared" ref="AY325:AZ328" si="2589">SUM(AS325+AU325+AW325)</f>
        <v>86.36</v>
      </c>
      <c r="AZ325" s="97">
        <f t="shared" si="2589"/>
        <v>779.57490064000001</v>
      </c>
      <c r="BA325" s="97">
        <f t="shared" ref="BA325:BA328" si="2590">SUM(AQ325+AY325)</f>
        <v>237.44</v>
      </c>
      <c r="BB325" s="97">
        <f t="shared" ref="BB325:BB328" si="2591">SUM(AR325,AZ325)</f>
        <v>2134.0298574399999</v>
      </c>
      <c r="BC325" s="1" t="s">
        <v>1780</v>
      </c>
    </row>
    <row r="326" spans="1:55">
      <c r="A326" s="498">
        <v>223</v>
      </c>
      <c r="B326" s="13"/>
      <c r="C326" s="13"/>
      <c r="D326" s="13"/>
      <c r="E326" s="21" t="s">
        <v>1337</v>
      </c>
      <c r="F326" s="22" t="s">
        <v>1339</v>
      </c>
      <c r="G326" s="430" t="s">
        <v>1102</v>
      </c>
      <c r="H326" s="268" t="s">
        <v>365</v>
      </c>
      <c r="I326" s="55">
        <v>7.35</v>
      </c>
      <c r="J326" s="102"/>
      <c r="K326" s="55">
        <v>7.35</v>
      </c>
      <c r="L326" s="163"/>
      <c r="M326" s="55">
        <v>7.35</v>
      </c>
      <c r="N326" s="163"/>
      <c r="O326" s="55">
        <v>7.35</v>
      </c>
      <c r="P326" s="102"/>
      <c r="Q326" s="97">
        <f t="shared" si="2569"/>
        <v>11.64</v>
      </c>
      <c r="R326" s="342">
        <f t="shared" si="2569"/>
        <v>116.7105177</v>
      </c>
      <c r="S326" s="97">
        <v>0.32</v>
      </c>
      <c r="T326" s="97">
        <f t="shared" ref="T326:T330" si="2592">I326*S326*$T$2/1000</f>
        <v>3.1090852800000004</v>
      </c>
      <c r="U326" s="97">
        <v>1.1200000000000001</v>
      </c>
      <c r="V326" s="177">
        <f t="shared" ref="V326:V330" si="2593">I326*U326*$V$2/1000</f>
        <v>10.951852800000003</v>
      </c>
      <c r="W326" s="207">
        <v>0.2</v>
      </c>
      <c r="X326" s="206">
        <f t="shared" ref="X326:X333" si="2594">I326*W326*$X$2/1000</f>
        <v>1.9559819999999997</v>
      </c>
      <c r="Y326" s="189">
        <f t="shared" ref="Y326:Y333" si="2595">SUM(S326+U326+W326)</f>
        <v>1.6400000000000001</v>
      </c>
      <c r="Z326" s="177">
        <f t="shared" si="2574"/>
        <v>16.016920080000002</v>
      </c>
      <c r="AA326" s="207">
        <v>0.88</v>
      </c>
      <c r="AB326" s="206">
        <f t="shared" ref="AB326" si="2596">K326*AA326*$AB$2/1000</f>
        <v>8.8231281599999978</v>
      </c>
      <c r="AC326" s="207">
        <v>0.72</v>
      </c>
      <c r="AD326" s="177">
        <f t="shared" ref="AD326:AD330" si="2597">K326*AC326*$AD$2/1000</f>
        <v>7.2480819600000004</v>
      </c>
      <c r="AE326" s="207">
        <v>1.08</v>
      </c>
      <c r="AF326" s="205">
        <f t="shared" si="2577"/>
        <v>10.945152539999999</v>
      </c>
      <c r="AG326" s="189">
        <f t="shared" si="2578"/>
        <v>2.68</v>
      </c>
      <c r="AH326" s="97">
        <f t="shared" si="2579"/>
        <v>27.016362659999995</v>
      </c>
      <c r="AI326" s="97">
        <f t="shared" si="2546"/>
        <v>4.32</v>
      </c>
      <c r="AJ326" s="177">
        <f t="shared" si="2581"/>
        <v>43.033282739999997</v>
      </c>
      <c r="AK326" s="207">
        <v>1.52</v>
      </c>
      <c r="AL326" s="177">
        <f t="shared" ref="AL326:AL330" si="2598">M326*AK326*$AL$2/1000</f>
        <v>15.451769759999998</v>
      </c>
      <c r="AM326" s="245">
        <v>3.44</v>
      </c>
      <c r="AN326" s="177">
        <f t="shared" si="2583"/>
        <v>34.414052399999996</v>
      </c>
      <c r="AO326" s="207">
        <v>0.64</v>
      </c>
      <c r="AP326" s="206">
        <f t="shared" si="2547"/>
        <v>6.26756256</v>
      </c>
      <c r="AQ326" s="189">
        <f t="shared" si="2585"/>
        <v>5.6</v>
      </c>
      <c r="AR326" s="97">
        <f t="shared" si="2585"/>
        <v>56.133384719999995</v>
      </c>
      <c r="AS326" s="97">
        <v>0.2</v>
      </c>
      <c r="AT326" s="177">
        <f t="shared" si="2586"/>
        <v>1.996113</v>
      </c>
      <c r="AU326" s="207">
        <v>1.52</v>
      </c>
      <c r="AV326" s="177">
        <f t="shared" si="2587"/>
        <v>15.547737239999998</v>
      </c>
      <c r="AW326" s="207"/>
      <c r="AX326" s="206">
        <f t="shared" si="2588"/>
        <v>0</v>
      </c>
      <c r="AY326" s="189">
        <f t="shared" si="2589"/>
        <v>1.72</v>
      </c>
      <c r="AZ326" s="97">
        <f t="shared" si="2589"/>
        <v>17.543850239999998</v>
      </c>
      <c r="BA326" s="97">
        <f t="shared" si="2590"/>
        <v>7.3199999999999994</v>
      </c>
      <c r="BB326" s="97">
        <f t="shared" si="2591"/>
        <v>73.677234959999993</v>
      </c>
      <c r="BC326" s="1" t="s">
        <v>1780</v>
      </c>
    </row>
    <row r="327" spans="1:55">
      <c r="A327" s="498">
        <v>223</v>
      </c>
      <c r="B327" s="13"/>
      <c r="C327" s="13"/>
      <c r="D327" s="13"/>
      <c r="E327" s="21" t="s">
        <v>1340</v>
      </c>
      <c r="F327" s="22" t="s">
        <v>1342</v>
      </c>
      <c r="G327" s="430" t="s">
        <v>1102</v>
      </c>
      <c r="H327" s="268" t="s">
        <v>365</v>
      </c>
      <c r="I327" s="55">
        <v>7.58</v>
      </c>
      <c r="J327" s="102"/>
      <c r="K327" s="55">
        <v>7.57</v>
      </c>
      <c r="L327" s="163"/>
      <c r="M327" s="55">
        <v>7.57</v>
      </c>
      <c r="N327" s="163"/>
      <c r="O327" s="55">
        <v>7.47</v>
      </c>
      <c r="P327" s="102"/>
      <c r="Q327" s="97">
        <f t="shared" si="2569"/>
        <v>182.364</v>
      </c>
      <c r="R327" s="342">
        <f t="shared" si="2569"/>
        <v>1869.4462310076001</v>
      </c>
      <c r="S327" s="97">
        <v>17.850000000000001</v>
      </c>
      <c r="T327" s="97">
        <f t="shared" ref="T327" si="2599">I327*S327*$T$2/1000</f>
        <v>178.85568267000005</v>
      </c>
      <c r="U327" s="97">
        <v>17.303999999999998</v>
      </c>
      <c r="V327" s="177">
        <f t="shared" ref="V327" si="2600">I327*U327*$V$2/1000</f>
        <v>174.50101132800003</v>
      </c>
      <c r="W327" s="207">
        <v>14.321999999999999</v>
      </c>
      <c r="X327" s="206">
        <f t="shared" ref="X327" si="2601">I327*W327*$X$2/1000</f>
        <v>144.45094725599998</v>
      </c>
      <c r="Y327" s="189">
        <f t="shared" ref="Y327" si="2602">SUM(S327+U327+W327)</f>
        <v>49.475999999999999</v>
      </c>
      <c r="Z327" s="177">
        <f t="shared" si="2574"/>
        <v>497.80764125400003</v>
      </c>
      <c r="AA327" s="207">
        <v>17.724</v>
      </c>
      <c r="AB327" s="206">
        <f t="shared" ref="AB327" si="2603">K327*AA327*$AB$2/1000</f>
        <v>183.02490800159998</v>
      </c>
      <c r="AC327" s="207">
        <v>17.346</v>
      </c>
      <c r="AD327" s="177">
        <f t="shared" ref="AD327" si="2604">K327*AC327*$AD$2/1000</f>
        <v>179.84504698860002</v>
      </c>
      <c r="AE327" s="207">
        <v>12.39</v>
      </c>
      <c r="AF327" s="205">
        <f t="shared" si="2577"/>
        <v>129.32363700900001</v>
      </c>
      <c r="AG327" s="189">
        <f t="shared" si="2578"/>
        <v>47.46</v>
      </c>
      <c r="AH327" s="97">
        <f t="shared" si="2579"/>
        <v>492.19359199919995</v>
      </c>
      <c r="AI327" s="97">
        <f t="shared" ref="AI327" si="2605">SUM(Y327+AG327)</f>
        <v>96.936000000000007</v>
      </c>
      <c r="AJ327" s="177">
        <f t="shared" si="2581"/>
        <v>990.00123325319998</v>
      </c>
      <c r="AK327" s="207">
        <v>16.632000000000001</v>
      </c>
      <c r="AL327" s="177">
        <f t="shared" ref="AL327" si="2606">M327*AK327*$AL$2/1000</f>
        <v>174.13563625920003</v>
      </c>
      <c r="AM327" s="245">
        <v>24.611999999999998</v>
      </c>
      <c r="AN327" s="177">
        <f t="shared" si="2583"/>
        <v>253.59040652399997</v>
      </c>
      <c r="AO327" s="207">
        <v>14.364000000000001</v>
      </c>
      <c r="AP327" s="206">
        <f t="shared" ref="AP327" si="2607">M327*AO327*$AP$2/1000</f>
        <v>144.87806619720004</v>
      </c>
      <c r="AQ327" s="189">
        <f t="shared" si="2585"/>
        <v>55.608000000000004</v>
      </c>
      <c r="AR327" s="97">
        <f t="shared" si="2585"/>
        <v>572.60410898040004</v>
      </c>
      <c r="AS327" s="97">
        <v>16.212</v>
      </c>
      <c r="AT327" s="177">
        <f t="shared" si="2586"/>
        <v>164.44663275600001</v>
      </c>
      <c r="AU327" s="207">
        <f>9.03+0.084</f>
        <v>9.113999999999999</v>
      </c>
      <c r="AV327" s="177">
        <f t="shared" si="2587"/>
        <v>94.747092438599978</v>
      </c>
      <c r="AW327" s="207">
        <v>4.4939999999999998</v>
      </c>
      <c r="AX327" s="206">
        <f t="shared" si="2588"/>
        <v>47.647163579399994</v>
      </c>
      <c r="AY327" s="189">
        <f t="shared" si="2589"/>
        <v>29.82</v>
      </c>
      <c r="AZ327" s="97">
        <f t="shared" si="2589"/>
        <v>306.84088877400001</v>
      </c>
      <c r="BA327" s="97">
        <f t="shared" si="2590"/>
        <v>85.427999999999997</v>
      </c>
      <c r="BB327" s="97">
        <f t="shared" si="2591"/>
        <v>879.44499775439999</v>
      </c>
      <c r="BC327" s="1" t="s">
        <v>1780</v>
      </c>
    </row>
    <row r="328" spans="1:55">
      <c r="A328" s="498">
        <v>223</v>
      </c>
      <c r="B328" s="13"/>
      <c r="C328" s="13"/>
      <c r="D328" s="13"/>
      <c r="E328" s="21" t="s">
        <v>1341</v>
      </c>
      <c r="F328" s="22" t="s">
        <v>1343</v>
      </c>
      <c r="G328" s="430" t="s">
        <v>1102</v>
      </c>
      <c r="H328" s="268" t="s">
        <v>365</v>
      </c>
      <c r="I328" s="55">
        <v>8.33</v>
      </c>
      <c r="J328" s="102"/>
      <c r="K328" s="55">
        <v>8.33</v>
      </c>
      <c r="L328" s="163"/>
      <c r="M328" s="55">
        <v>8.33</v>
      </c>
      <c r="N328" s="163"/>
      <c r="O328" s="55">
        <v>8.33</v>
      </c>
      <c r="P328" s="102"/>
      <c r="Q328" s="97">
        <f t="shared" si="2569"/>
        <v>6.2160000000000002</v>
      </c>
      <c r="R328" s="342">
        <f t="shared" si="2569"/>
        <v>70.785302048999995</v>
      </c>
      <c r="S328" s="97">
        <v>0.21</v>
      </c>
      <c r="T328" s="97">
        <f t="shared" ref="T328" si="2608">I328*S328*$T$2/1000</f>
        <v>2.3123821769999999</v>
      </c>
      <c r="U328" s="97">
        <v>0.29399999999999998</v>
      </c>
      <c r="V328" s="177">
        <f t="shared" ref="V328" si="2609">I328*U328*$V$2/1000</f>
        <v>3.2581762080000005</v>
      </c>
      <c r="W328" s="207">
        <v>8.4000000000000005E-2</v>
      </c>
      <c r="X328" s="206">
        <f t="shared" ref="X328" si="2610">I328*W328*$X$2/1000</f>
        <v>0.93104743199999995</v>
      </c>
      <c r="Y328" s="189">
        <f t="shared" ref="Y328" si="2611">SUM(S328+U328+W328)</f>
        <v>0.58799999999999997</v>
      </c>
      <c r="Z328" s="177">
        <f t="shared" si="2574"/>
        <v>6.5016058169999997</v>
      </c>
      <c r="AA328" s="207">
        <v>0.58799999999999997</v>
      </c>
      <c r="AB328" s="206">
        <f t="shared" ref="AB328" si="2612">K328*AA328*$AB$2/1000</f>
        <v>6.6815143247999993</v>
      </c>
      <c r="AC328" s="207">
        <v>8.4000000000000005E-2</v>
      </c>
      <c r="AD328" s="177">
        <f t="shared" ref="AD328" si="2613">K328*AC328*$AD$2/1000</f>
        <v>0.95835750360000005</v>
      </c>
      <c r="AE328" s="207">
        <v>1.1759999999999999</v>
      </c>
      <c r="AF328" s="205">
        <f t="shared" si="2577"/>
        <v>13.5071289864</v>
      </c>
      <c r="AG328" s="189">
        <f t="shared" si="2578"/>
        <v>1.8479999999999999</v>
      </c>
      <c r="AH328" s="97">
        <f t="shared" si="2579"/>
        <v>21.147000814799998</v>
      </c>
      <c r="AI328" s="97">
        <f t="shared" ref="AI328" si="2614">SUM(Y328+AG328)</f>
        <v>2.4359999999999999</v>
      </c>
      <c r="AJ328" s="177">
        <f t="shared" si="2581"/>
        <v>27.6486066318</v>
      </c>
      <c r="AK328" s="207">
        <v>0.504</v>
      </c>
      <c r="AL328" s="177">
        <f t="shared" ref="AL328" si="2615">M328*AK328*$AL$2/1000</f>
        <v>5.8066124255999991</v>
      </c>
      <c r="AM328" s="245">
        <v>2.31</v>
      </c>
      <c r="AN328" s="177">
        <f t="shared" si="2583"/>
        <v>26.190694529999998</v>
      </c>
      <c r="AO328" s="207"/>
      <c r="AP328" s="206">
        <f t="shared" ref="AP328" si="2616">M328*AO328*$AP$2/1000</f>
        <v>0</v>
      </c>
      <c r="AQ328" s="189">
        <f t="shared" si="2585"/>
        <v>2.8140000000000001</v>
      </c>
      <c r="AR328" s="97">
        <f t="shared" si="2585"/>
        <v>31.997306955599996</v>
      </c>
      <c r="AS328" s="97">
        <v>0.21</v>
      </c>
      <c r="AT328" s="177">
        <f t="shared" si="2586"/>
        <v>2.3753744699999997</v>
      </c>
      <c r="AU328" s="207">
        <v>0.75600000000000001</v>
      </c>
      <c r="AV328" s="177">
        <f t="shared" si="2587"/>
        <v>8.7640139916000006</v>
      </c>
      <c r="AW328" s="207"/>
      <c r="AX328" s="206">
        <f t="shared" si="2588"/>
        <v>0</v>
      </c>
      <c r="AY328" s="189">
        <f t="shared" si="2589"/>
        <v>0.96599999999999997</v>
      </c>
      <c r="AZ328" s="97">
        <f t="shared" si="2589"/>
        <v>11.139388461599999</v>
      </c>
      <c r="BA328" s="97">
        <f t="shared" si="2590"/>
        <v>3.7800000000000002</v>
      </c>
      <c r="BB328" s="97">
        <f t="shared" si="2591"/>
        <v>43.136695417199995</v>
      </c>
      <c r="BC328" s="1" t="s">
        <v>1780</v>
      </c>
    </row>
    <row r="329" spans="1:55">
      <c r="A329" s="498">
        <v>226</v>
      </c>
      <c r="B329" s="13"/>
      <c r="C329" s="13"/>
      <c r="D329" s="13"/>
      <c r="E329" s="439" t="s">
        <v>1643</v>
      </c>
      <c r="F329" s="430" t="s">
        <v>1007</v>
      </c>
      <c r="G329" s="430" t="s">
        <v>1102</v>
      </c>
      <c r="H329" s="268" t="s">
        <v>365</v>
      </c>
      <c r="I329" s="55">
        <v>6.38</v>
      </c>
      <c r="J329" s="102"/>
      <c r="K329" s="55">
        <v>6.3789999999999996</v>
      </c>
      <c r="L329" s="163"/>
      <c r="M329" s="55">
        <v>6.3789999999999996</v>
      </c>
      <c r="N329" s="163"/>
      <c r="O329" s="55">
        <v>6.3789999999999996</v>
      </c>
      <c r="P329" s="102"/>
      <c r="Q329" s="97">
        <f t="shared" ref="Q329" si="2617">SUM(AI329+BA329)</f>
        <v>57.120000000000005</v>
      </c>
      <c r="R329" s="342">
        <f t="shared" ref="R329" si="2618">SUM(AJ329+BB329)</f>
        <v>496.49406130679995</v>
      </c>
      <c r="S329" s="97">
        <v>0.14000000000000001</v>
      </c>
      <c r="T329" s="97">
        <f t="shared" ref="T329" si="2619">I329*S329*$T$2/1000</f>
        <v>1.1807121480000002</v>
      </c>
      <c r="U329" s="97">
        <v>4.3</v>
      </c>
      <c r="V329" s="177">
        <f t="shared" ref="V329" si="2620">I329*U329*$V$2/1000</f>
        <v>36.4981936</v>
      </c>
      <c r="W329" s="207">
        <v>7.64</v>
      </c>
      <c r="X329" s="206">
        <f t="shared" ref="X329" si="2621">I329*W329*$X$2/1000</f>
        <v>64.857701919999982</v>
      </c>
      <c r="Y329" s="189">
        <f t="shared" ref="Y329" si="2622">SUM(S329+U329+W329)</f>
        <v>12.079999999999998</v>
      </c>
      <c r="Z329" s="177">
        <f t="shared" ref="Z329" si="2623">SUM(T329+V329+X329)</f>
        <v>102.53660766799999</v>
      </c>
      <c r="AA329" s="207">
        <v>10.48</v>
      </c>
      <c r="AB329" s="206">
        <f>K329*AA329*$AB$2/1000</f>
        <v>91.194041110399979</v>
      </c>
      <c r="AC329" s="207">
        <v>7.96</v>
      </c>
      <c r="AD329" s="177">
        <f t="shared" ref="AD329" si="2624">K329*AC329*$AD$2/1000</f>
        <v>69.545483369199999</v>
      </c>
      <c r="AE329" s="207">
        <v>8.32</v>
      </c>
      <c r="AF329" s="205">
        <f t="shared" ref="AF329" si="2625">K329*AE329*$AF$2/1000</f>
        <v>73.179030662399995</v>
      </c>
      <c r="AG329" s="189">
        <f t="shared" ref="AG329" si="2626">SUM(AA329+AC329+AE329)</f>
        <v>26.76</v>
      </c>
      <c r="AH329" s="97">
        <f t="shared" ref="AH329" si="2627">SUM(AB329+AD329+AF329)</f>
        <v>233.918555142</v>
      </c>
      <c r="AI329" s="97">
        <f t="shared" ref="AI329" si="2628">SUM(Y329+AG329)</f>
        <v>38.840000000000003</v>
      </c>
      <c r="AJ329" s="177">
        <f t="shared" ref="AJ329" si="2629">SUM(Z329,AH329)</f>
        <v>336.45516280999999</v>
      </c>
      <c r="AK329" s="207">
        <v>9.44</v>
      </c>
      <c r="AL329" s="177">
        <f t="shared" ref="AL329" si="2630">M329*AK329*$AL$2/1000</f>
        <v>83.285979500799982</v>
      </c>
      <c r="AM329" s="245">
        <v>8.84</v>
      </c>
      <c r="AN329" s="177">
        <f t="shared" ref="AN329" si="2631">M329*AM329*$AN$2/1000</f>
        <v>76.752918995999991</v>
      </c>
      <c r="AO329" s="207"/>
      <c r="AP329" s="206">
        <f t="shared" ref="AP329" si="2632">M329*AO329*$AP$2/1000</f>
        <v>0</v>
      </c>
      <c r="AQ329" s="189">
        <f t="shared" ref="AQ329" si="2633">SUM(AK329+AM329+AO329)</f>
        <v>18.28</v>
      </c>
      <c r="AR329" s="97">
        <f t="shared" ref="AR329" si="2634">SUM(AL329+AN329+AP329)</f>
        <v>160.03889849679996</v>
      </c>
      <c r="AS329" s="97"/>
      <c r="AT329" s="177">
        <f t="shared" ref="AT329" si="2635">O329*AS329*$AT$2/1000</f>
        <v>0</v>
      </c>
      <c r="AU329" s="207"/>
      <c r="AV329" s="177">
        <f t="shared" ref="AV329" si="2636">O329*AU329*$AV$2/1000</f>
        <v>0</v>
      </c>
      <c r="AW329" s="207"/>
      <c r="AX329" s="206">
        <f t="shared" ref="AX329" si="2637">O329*AW329*$AX$2/1000</f>
        <v>0</v>
      </c>
      <c r="AY329" s="189">
        <f t="shared" ref="AY329" si="2638">SUM(AS329+AU329+AW329)</f>
        <v>0</v>
      </c>
      <c r="AZ329" s="97">
        <f t="shared" ref="AZ329" si="2639">SUM(AT329+AV329+AX329)</f>
        <v>0</v>
      </c>
      <c r="BA329" s="97">
        <f t="shared" ref="BA329" si="2640">SUM(AQ329+AY329)</f>
        <v>18.28</v>
      </c>
      <c r="BB329" s="97">
        <f t="shared" ref="BB329" si="2641">SUM(AR329,AZ329)</f>
        <v>160.03889849679996</v>
      </c>
      <c r="BC329" s="1" t="s">
        <v>1782</v>
      </c>
    </row>
    <row r="330" spans="1:55">
      <c r="A330" s="498">
        <v>227</v>
      </c>
      <c r="B330" s="13"/>
      <c r="C330" s="13"/>
      <c r="D330" s="13"/>
      <c r="E330" s="439" t="s">
        <v>1749</v>
      </c>
      <c r="F330" s="430" t="s">
        <v>1007</v>
      </c>
      <c r="G330" s="430" t="s">
        <v>1102</v>
      </c>
      <c r="H330" s="268" t="s">
        <v>365</v>
      </c>
      <c r="I330" s="55">
        <v>6.78</v>
      </c>
      <c r="J330" s="102"/>
      <c r="K330" s="55">
        <v>6.78</v>
      </c>
      <c r="L330" s="163"/>
      <c r="M330" s="55">
        <v>6.78</v>
      </c>
      <c r="N330" s="163"/>
      <c r="O330" s="55">
        <v>6.78</v>
      </c>
      <c r="P330" s="102"/>
      <c r="Q330" s="97">
        <f t="shared" ref="Q330:Q333" si="2642">SUM(AI330+BA330)</f>
        <v>20.451999999999998</v>
      </c>
      <c r="R330" s="342">
        <f t="shared" ref="R330:R333" si="2643">SUM(AJ330+BB330)</f>
        <v>190.04055511199999</v>
      </c>
      <c r="S330" s="97"/>
      <c r="T330" s="97">
        <f t="shared" si="2592"/>
        <v>0</v>
      </c>
      <c r="U330" s="97"/>
      <c r="V330" s="177">
        <f t="shared" si="2593"/>
        <v>0</v>
      </c>
      <c r="W330" s="207">
        <v>5.1999999999999998E-2</v>
      </c>
      <c r="X330" s="206">
        <f t="shared" si="2594"/>
        <v>0.46911633599999991</v>
      </c>
      <c r="Y330" s="189">
        <f t="shared" si="2595"/>
        <v>5.1999999999999998E-2</v>
      </c>
      <c r="Z330" s="177">
        <f t="shared" ref="Z330:Z333" si="2644">SUM(T330+V330+X330)</f>
        <v>0.46911633599999991</v>
      </c>
      <c r="AA330" s="207">
        <v>1.76</v>
      </c>
      <c r="AB330" s="206">
        <f>K330*AA330*$AB$2/1000</f>
        <v>16.277771135999998</v>
      </c>
      <c r="AC330" s="207">
        <v>0.6</v>
      </c>
      <c r="AD330" s="177">
        <f t="shared" si="2597"/>
        <v>5.5716548399999999</v>
      </c>
      <c r="AE330" s="207">
        <v>4.4000000000000004</v>
      </c>
      <c r="AF330" s="205">
        <f t="shared" si="2545"/>
        <v>41.13325656</v>
      </c>
      <c r="AG330" s="189">
        <f t="shared" ref="AG330:AG333" si="2645">SUM(AA330+AC330+AE330)</f>
        <v>6.76</v>
      </c>
      <c r="AH330" s="97">
        <f t="shared" ref="AH330:AH333" si="2646">SUM(AB330+AD330+AF330)</f>
        <v>62.982682535999999</v>
      </c>
      <c r="AI330" s="97">
        <f t="shared" si="2546"/>
        <v>6.8119999999999994</v>
      </c>
      <c r="AJ330" s="177">
        <f t="shared" ref="AJ330" si="2647">SUM(Z330,AH330)</f>
        <v>63.451798871999998</v>
      </c>
      <c r="AK330" s="207">
        <v>4.8</v>
      </c>
      <c r="AL330" s="177">
        <f t="shared" si="2598"/>
        <v>45.010955519999996</v>
      </c>
      <c r="AM330" s="245">
        <v>8.84</v>
      </c>
      <c r="AN330" s="177">
        <f t="shared" ref="AN330" si="2648">M330*AM330*$AN$2/1000</f>
        <v>81.577800719999999</v>
      </c>
      <c r="AO330" s="207"/>
      <c r="AP330" s="206">
        <f t="shared" si="2547"/>
        <v>0</v>
      </c>
      <c r="AQ330" s="189">
        <f t="shared" ref="AQ330:AQ333" si="2649">SUM(AK330+AM330+AO330)</f>
        <v>13.64</v>
      </c>
      <c r="AR330" s="97">
        <f t="shared" ref="AR330:AR333" si="2650">SUM(AL330+AN330+AP330)</f>
        <v>126.58875624</v>
      </c>
      <c r="AS330" s="97"/>
      <c r="AT330" s="177">
        <f t="shared" ref="AT330:AT333" si="2651">O330*AS330*$AT$2/1000</f>
        <v>0</v>
      </c>
      <c r="AU330" s="207"/>
      <c r="AV330" s="177">
        <f t="shared" ref="AV330" si="2652">O330*AU330*$AV$2/1000</f>
        <v>0</v>
      </c>
      <c r="AW330" s="207"/>
      <c r="AX330" s="206">
        <f t="shared" ref="AX330" si="2653">O330*AW330*$AX$2/1000</f>
        <v>0</v>
      </c>
      <c r="AY330" s="189">
        <f t="shared" ref="AY330:AY333" si="2654">SUM(AS330+AU330+AW330)</f>
        <v>0</v>
      </c>
      <c r="AZ330" s="97">
        <f t="shared" ref="AZ330:AZ333" si="2655">SUM(AT330+AV330+AX330)</f>
        <v>0</v>
      </c>
      <c r="BA330" s="97">
        <f t="shared" ref="BA330" si="2656">SUM(AQ330+AY330)</f>
        <v>13.64</v>
      </c>
      <c r="BB330" s="97">
        <f t="shared" ref="BB330" si="2657">SUM(AR330,AZ330)</f>
        <v>126.58875624</v>
      </c>
      <c r="BC330" s="1" t="s">
        <v>1782</v>
      </c>
    </row>
    <row r="331" spans="1:55">
      <c r="A331" s="498">
        <v>231</v>
      </c>
      <c r="B331" s="13"/>
      <c r="C331" s="13"/>
      <c r="D331" s="13"/>
      <c r="E331" s="21" t="s">
        <v>2335</v>
      </c>
      <c r="F331" s="46" t="s">
        <v>1007</v>
      </c>
      <c r="G331" s="46" t="s">
        <v>1105</v>
      </c>
      <c r="H331" s="268" t="s">
        <v>365</v>
      </c>
      <c r="I331" s="55"/>
      <c r="J331" s="163"/>
      <c r="K331" s="55"/>
      <c r="L331" s="163"/>
      <c r="M331" s="55"/>
      <c r="N331" s="163"/>
      <c r="O331" s="55">
        <v>3.8</v>
      </c>
      <c r="P331" s="163"/>
      <c r="Q331" s="97">
        <f t="shared" si="2642"/>
        <v>0.216</v>
      </c>
      <c r="R331" s="342">
        <f t="shared" si="2643"/>
        <v>1.117900796</v>
      </c>
      <c r="S331" s="97"/>
      <c r="T331" s="97">
        <f>I331*S331*$T$2/1000</f>
        <v>0</v>
      </c>
      <c r="U331" s="97"/>
      <c r="V331" s="97">
        <f>I331*U331*$V$2/1000</f>
        <v>0</v>
      </c>
      <c r="W331" s="97"/>
      <c r="X331" s="97">
        <f t="shared" si="2594"/>
        <v>0</v>
      </c>
      <c r="Y331" s="97">
        <f t="shared" si="2595"/>
        <v>0</v>
      </c>
      <c r="Z331" s="97">
        <f t="shared" si="2644"/>
        <v>0</v>
      </c>
      <c r="AA331" s="97"/>
      <c r="AB331" s="97">
        <f t="shared" ref="AB331:AB333" si="2658">K331*AA331*$AB$2/1000</f>
        <v>0</v>
      </c>
      <c r="AC331" s="97"/>
      <c r="AD331" s="97">
        <f>K331*AC331*$AD$2/1000</f>
        <v>0</v>
      </c>
      <c r="AE331" s="97"/>
      <c r="AF331" s="96">
        <f t="shared" si="2545"/>
        <v>0</v>
      </c>
      <c r="AG331" s="97">
        <f t="shared" si="2645"/>
        <v>0</v>
      </c>
      <c r="AH331" s="97">
        <f t="shared" si="2646"/>
        <v>0</v>
      </c>
      <c r="AI331" s="97">
        <f>SUM(Y331+AG331)</f>
        <v>0</v>
      </c>
      <c r="AJ331" s="97">
        <f>SUM(Z331,AH331)</f>
        <v>0</v>
      </c>
      <c r="AK331" s="97"/>
      <c r="AL331" s="97">
        <f>M331*AK331*$AL$2/1000</f>
        <v>0</v>
      </c>
      <c r="AM331" s="97"/>
      <c r="AN331" s="97">
        <f>M331*AM331*$AN$2/1000</f>
        <v>0</v>
      </c>
      <c r="AO331" s="97"/>
      <c r="AP331" s="97">
        <f>M331*AO331*$AP$2/1000</f>
        <v>0</v>
      </c>
      <c r="AQ331" s="97">
        <f t="shared" si="2649"/>
        <v>0</v>
      </c>
      <c r="AR331" s="97">
        <f t="shared" si="2650"/>
        <v>0</v>
      </c>
      <c r="AS331" s="97">
        <v>0.19</v>
      </c>
      <c r="AT331" s="97">
        <f t="shared" si="2651"/>
        <v>0.98040380000000005</v>
      </c>
      <c r="AU331" s="97">
        <v>2.5999999999999999E-2</v>
      </c>
      <c r="AV331" s="97">
        <f>O331*AU331*$AV$2/1000</f>
        <v>0.13749699599999998</v>
      </c>
      <c r="AW331" s="97"/>
      <c r="AX331" s="97">
        <f>O331*AW331*$AX$2/1000</f>
        <v>0</v>
      </c>
      <c r="AY331" s="97">
        <f t="shared" si="2654"/>
        <v>0.216</v>
      </c>
      <c r="AZ331" s="97">
        <f t="shared" si="2655"/>
        <v>1.117900796</v>
      </c>
      <c r="BA331" s="97">
        <f>SUM(AQ331+AY331)</f>
        <v>0.216</v>
      </c>
      <c r="BB331" s="97">
        <f>SUM(AR331,AZ331)</f>
        <v>1.117900796</v>
      </c>
      <c r="BC331" s="1" t="s">
        <v>1106</v>
      </c>
    </row>
    <row r="332" spans="1:55">
      <c r="A332" s="498">
        <v>232</v>
      </c>
      <c r="B332" s="13"/>
      <c r="C332" s="13"/>
      <c r="D332" s="13"/>
      <c r="E332" s="19" t="s">
        <v>2336</v>
      </c>
      <c r="F332" s="46" t="s">
        <v>1007</v>
      </c>
      <c r="G332" s="46" t="s">
        <v>1105</v>
      </c>
      <c r="H332" s="268" t="s">
        <v>365</v>
      </c>
      <c r="I332" s="55"/>
      <c r="J332" s="102"/>
      <c r="K332" s="55"/>
      <c r="L332" s="163"/>
      <c r="M332" s="55"/>
      <c r="N332" s="163"/>
      <c r="O332" s="55">
        <v>3.95</v>
      </c>
      <c r="P332" s="102"/>
      <c r="Q332" s="97">
        <f t="shared" si="2642"/>
        <v>0.216</v>
      </c>
      <c r="R332" s="342">
        <f t="shared" si="2643"/>
        <v>1.1620284590000001</v>
      </c>
      <c r="S332" s="97"/>
      <c r="T332" s="97">
        <f t="shared" ref="T332" si="2659">I332*S332*$T$2/1000</f>
        <v>0</v>
      </c>
      <c r="U332" s="97"/>
      <c r="V332" s="177">
        <f t="shared" ref="V332" si="2660">I332*U332*$V$2/1000</f>
        <v>0</v>
      </c>
      <c r="W332" s="207"/>
      <c r="X332" s="206">
        <f t="shared" si="2594"/>
        <v>0</v>
      </c>
      <c r="Y332" s="189">
        <f t="shared" si="2595"/>
        <v>0</v>
      </c>
      <c r="Z332" s="177">
        <f t="shared" si="2644"/>
        <v>0</v>
      </c>
      <c r="AA332" s="207"/>
      <c r="AB332" s="206">
        <f t="shared" si="2658"/>
        <v>0</v>
      </c>
      <c r="AC332" s="207"/>
      <c r="AD332" s="177">
        <f t="shared" ref="AD332" si="2661">K332*AC332*$AD$2/1000</f>
        <v>0</v>
      </c>
      <c r="AE332" s="207"/>
      <c r="AF332" s="205">
        <f t="shared" si="2545"/>
        <v>0</v>
      </c>
      <c r="AG332" s="189">
        <f t="shared" si="2645"/>
        <v>0</v>
      </c>
      <c r="AH332" s="97">
        <f t="shared" si="2646"/>
        <v>0</v>
      </c>
      <c r="AI332" s="97">
        <f t="shared" ref="AI332" si="2662">SUM(Y332+AG332)</f>
        <v>0</v>
      </c>
      <c r="AJ332" s="177">
        <f t="shared" ref="AJ332" si="2663">SUM(Z332,AH332)</f>
        <v>0</v>
      </c>
      <c r="AK332" s="207"/>
      <c r="AL332" s="177">
        <f t="shared" ref="AL332" si="2664">M332*AK332*$AL$2/1000</f>
        <v>0</v>
      </c>
      <c r="AM332" s="245"/>
      <c r="AN332" s="177">
        <f t="shared" ref="AN332" si="2665">M332*AM332*$AN$2/1000</f>
        <v>0</v>
      </c>
      <c r="AO332" s="207"/>
      <c r="AP332" s="206">
        <f t="shared" ref="AP332" si="2666">M332*AO332*$AP$2/1000</f>
        <v>0</v>
      </c>
      <c r="AQ332" s="189">
        <f t="shared" si="2649"/>
        <v>0</v>
      </c>
      <c r="AR332" s="97">
        <f t="shared" si="2650"/>
        <v>0</v>
      </c>
      <c r="AS332" s="97">
        <v>0.19</v>
      </c>
      <c r="AT332" s="177">
        <f t="shared" si="2651"/>
        <v>1.0191039500000001</v>
      </c>
      <c r="AU332" s="207">
        <v>2.5999999999999999E-2</v>
      </c>
      <c r="AV332" s="177">
        <f t="shared" ref="AV332" si="2667">O332*AU332*$AV$2/1000</f>
        <v>0.14292450900000001</v>
      </c>
      <c r="AW332" s="207"/>
      <c r="AX332" s="206">
        <f t="shared" ref="AX332" si="2668">O332*AW332*$AX$2/1000</f>
        <v>0</v>
      </c>
      <c r="AY332" s="189">
        <f t="shared" si="2654"/>
        <v>0.216</v>
      </c>
      <c r="AZ332" s="97">
        <f t="shared" si="2655"/>
        <v>1.1620284590000001</v>
      </c>
      <c r="BA332" s="97">
        <f t="shared" ref="BA332" si="2669">SUM(AQ332+AY332)</f>
        <v>0.216</v>
      </c>
      <c r="BB332" s="97">
        <f t="shared" ref="BB332" si="2670">SUM(AR332,AZ332)</f>
        <v>1.1620284590000001</v>
      </c>
      <c r="BC332" s="1" t="s">
        <v>1106</v>
      </c>
    </row>
    <row r="333" spans="1:55">
      <c r="A333" s="498">
        <v>231</v>
      </c>
      <c r="B333" s="13"/>
      <c r="C333" s="13"/>
      <c r="D333" s="13"/>
      <c r="E333" s="21" t="s">
        <v>1833</v>
      </c>
      <c r="F333" s="46" t="s">
        <v>1007</v>
      </c>
      <c r="G333" s="46" t="s">
        <v>1105</v>
      </c>
      <c r="H333" s="268" t="s">
        <v>365</v>
      </c>
      <c r="I333" s="55"/>
      <c r="J333" s="163"/>
      <c r="K333" s="55"/>
      <c r="L333" s="163"/>
      <c r="M333" s="55"/>
      <c r="N333" s="163"/>
      <c r="O333" s="55">
        <v>8.5</v>
      </c>
      <c r="P333" s="163"/>
      <c r="Q333" s="97">
        <f t="shared" si="2642"/>
        <v>0.18</v>
      </c>
      <c r="R333" s="342">
        <f t="shared" si="2643"/>
        <v>2.1292551000000004</v>
      </c>
      <c r="S333" s="97"/>
      <c r="T333" s="97">
        <f>I333*S333*$T$2/1000</f>
        <v>0</v>
      </c>
      <c r="U333" s="97"/>
      <c r="V333" s="97">
        <f>I333*U333*$V$2/1000</f>
        <v>0</v>
      </c>
      <c r="W333" s="97"/>
      <c r="X333" s="97">
        <f t="shared" si="2594"/>
        <v>0</v>
      </c>
      <c r="Y333" s="97">
        <f t="shared" si="2595"/>
        <v>0</v>
      </c>
      <c r="Z333" s="97">
        <f t="shared" si="2644"/>
        <v>0</v>
      </c>
      <c r="AA333" s="97"/>
      <c r="AB333" s="97">
        <f t="shared" si="2658"/>
        <v>0</v>
      </c>
      <c r="AC333" s="97"/>
      <c r="AD333" s="97">
        <f>K333*AC333*$AD$2/1000</f>
        <v>0</v>
      </c>
      <c r="AE333" s="97"/>
      <c r="AF333" s="96">
        <f t="shared" si="2545"/>
        <v>0</v>
      </c>
      <c r="AG333" s="97">
        <f t="shared" si="2645"/>
        <v>0</v>
      </c>
      <c r="AH333" s="97">
        <f t="shared" si="2646"/>
        <v>0</v>
      </c>
      <c r="AI333" s="97">
        <f>SUM(Y333+AG333)</f>
        <v>0</v>
      </c>
      <c r="AJ333" s="97">
        <f>SUM(Z333,AH333)</f>
        <v>0</v>
      </c>
      <c r="AK333" s="97"/>
      <c r="AL333" s="97">
        <f>M333*AK333*$AL$2/1000</f>
        <v>0</v>
      </c>
      <c r="AM333" s="97"/>
      <c r="AN333" s="97">
        <f>M333*AM333*$AN$2/1000</f>
        <v>0</v>
      </c>
      <c r="AO333" s="97"/>
      <c r="AP333" s="97">
        <f>M333*AO333*$AP$2/1000</f>
        <v>0</v>
      </c>
      <c r="AQ333" s="97">
        <f t="shared" si="2649"/>
        <v>0</v>
      </c>
      <c r="AR333" s="97">
        <f t="shared" si="2650"/>
        <v>0</v>
      </c>
      <c r="AS333" s="97"/>
      <c r="AT333" s="97">
        <f t="shared" si="2651"/>
        <v>0</v>
      </c>
      <c r="AU333" s="97">
        <v>0.18</v>
      </c>
      <c r="AV333" s="97">
        <f>O333*AU333*$AV$2/1000</f>
        <v>2.1292551000000004</v>
      </c>
      <c r="AW333" s="97"/>
      <c r="AX333" s="97">
        <f>O333*AW333*$AX$2/1000</f>
        <v>0</v>
      </c>
      <c r="AY333" s="97">
        <f t="shared" si="2654"/>
        <v>0.18</v>
      </c>
      <c r="AZ333" s="97">
        <f t="shared" si="2655"/>
        <v>2.1292551000000004</v>
      </c>
      <c r="BA333" s="97">
        <f>SUM(AQ333+AY333)</f>
        <v>0.18</v>
      </c>
      <c r="BB333" s="97">
        <f>SUM(AR333,AZ333)</f>
        <v>2.1292551000000004</v>
      </c>
      <c r="BC333" s="1" t="s">
        <v>1106</v>
      </c>
    </row>
    <row r="334" spans="1:55">
      <c r="B334" s="13"/>
      <c r="C334" s="13"/>
      <c r="D334" s="13"/>
      <c r="E334" s="21" t="s">
        <v>1256</v>
      </c>
      <c r="F334" s="22" t="s">
        <v>1257</v>
      </c>
      <c r="G334" s="430" t="s">
        <v>1102</v>
      </c>
      <c r="H334" s="268" t="s">
        <v>365</v>
      </c>
      <c r="I334" s="55">
        <v>7.08</v>
      </c>
      <c r="J334" s="102"/>
      <c r="K334" s="55">
        <v>7.08</v>
      </c>
      <c r="L334" s="163"/>
      <c r="M334" s="55">
        <v>7.08</v>
      </c>
      <c r="N334" s="163"/>
      <c r="O334" s="55">
        <v>7.08</v>
      </c>
      <c r="P334" s="102"/>
      <c r="Q334" s="97">
        <f t="shared" ref="Q334:Q345" si="2671">SUM(AI334+BA334)</f>
        <v>59.052</v>
      </c>
      <c r="R334" s="342">
        <f t="shared" ref="R334:R345" si="2672">SUM(AJ334+BB334)</f>
        <v>571.56655721759989</v>
      </c>
      <c r="S334" s="97">
        <v>2.016</v>
      </c>
      <c r="T334" s="97">
        <f>I334*S334*$T$2/1000</f>
        <v>18.867706099199999</v>
      </c>
      <c r="U334" s="97">
        <v>4.032</v>
      </c>
      <c r="V334" s="177">
        <f>I334*U334*$V$2/1000</f>
        <v>37.978343424000002</v>
      </c>
      <c r="W334" s="207">
        <v>2.016</v>
      </c>
      <c r="X334" s="206">
        <f>I334*W334*$X$2/1000</f>
        <v>18.992026367999998</v>
      </c>
      <c r="Y334" s="189">
        <f t="shared" ref="Y334" si="2673">SUM(S334+U334+W334)</f>
        <v>8.0640000000000001</v>
      </c>
      <c r="Z334" s="177">
        <f t="shared" ref="Z334" si="2674">SUM(T334+V334+X334)</f>
        <v>75.838075891199992</v>
      </c>
      <c r="AA334" s="207">
        <v>7.056</v>
      </c>
      <c r="AB334" s="206">
        <f>K334*AA334*$AB$2/1000</f>
        <v>68.146633497599993</v>
      </c>
      <c r="AC334" s="207"/>
      <c r="AD334" s="177">
        <f>K334*AC334*$AD$2/1000</f>
        <v>0</v>
      </c>
      <c r="AE334" s="207">
        <v>9.0719999999999992</v>
      </c>
      <c r="AF334" s="206">
        <f t="shared" ref="AF334" si="2675">K334*AE334*$AF$2/1000</f>
        <v>88.561919980799999</v>
      </c>
      <c r="AG334" s="189">
        <f t="shared" ref="AG334" si="2676">SUM(AA334+AC334+AE334)</f>
        <v>16.128</v>
      </c>
      <c r="AH334" s="97">
        <f t="shared" ref="AH334" si="2677">SUM(AB334+AD334+AF334)</f>
        <v>156.70855347840001</v>
      </c>
      <c r="AI334" s="97">
        <f t="shared" ref="AI334" si="2678">SUM(Y334+AG334)</f>
        <v>24.192</v>
      </c>
      <c r="AJ334" s="177">
        <f t="shared" ref="AJ334:AJ345" si="2679">SUM(Z334,AH334)</f>
        <v>232.5466293696</v>
      </c>
      <c r="AK334" s="207">
        <v>10.08</v>
      </c>
      <c r="AL334" s="177">
        <f t="shared" ref="AL334" si="2680">M334*AK334*$AL$2/1000</f>
        <v>98.705440511999981</v>
      </c>
      <c r="AM334" s="245">
        <v>8.0640000000000001</v>
      </c>
      <c r="AN334" s="177">
        <f t="shared" ref="AN334:AN345" si="2681">M334*AM334*$AN$2/1000</f>
        <v>77.709445631999984</v>
      </c>
      <c r="AO334" s="207">
        <v>5.6280000000000001</v>
      </c>
      <c r="AP334" s="206">
        <f t="shared" ref="AP334" si="2682">M334*AO334*$AP$2/1000</f>
        <v>53.090731713600007</v>
      </c>
      <c r="AQ334" s="189">
        <f t="shared" ref="AQ334" si="2683">SUM(AK334+AM334+AO334)</f>
        <v>23.771999999999998</v>
      </c>
      <c r="AR334" s="97">
        <f t="shared" ref="AR334" si="2684">SUM(AL334+AN334+AP334)</f>
        <v>229.50561785759999</v>
      </c>
      <c r="AS334" s="97">
        <v>3.024</v>
      </c>
      <c r="AT334" s="177">
        <f t="shared" ref="AT334:AT345" si="2685">O334*AS334*$AT$2/1000</f>
        <v>29.072530367999999</v>
      </c>
      <c r="AU334" s="207">
        <v>3.024</v>
      </c>
      <c r="AV334" s="177">
        <f t="shared" ref="AV334:AV345" si="2686">O334*AU334*$AV$2/1000</f>
        <v>29.7955433664</v>
      </c>
      <c r="AW334" s="207">
        <v>5.04</v>
      </c>
      <c r="AX334" s="206">
        <f t="shared" si="2543"/>
        <v>50.646236255999995</v>
      </c>
      <c r="AY334" s="189">
        <f>SUM(AS334+AU334+AW334)</f>
        <v>11.088000000000001</v>
      </c>
      <c r="AZ334" s="97">
        <f t="shared" ref="AZ334" si="2687">SUM(AT334+AV334+AX334)</f>
        <v>109.51430999039999</v>
      </c>
      <c r="BA334" s="97">
        <f t="shared" ref="BA334:BA345" si="2688">SUM(AQ334+AY334)</f>
        <v>34.86</v>
      </c>
      <c r="BB334" s="97">
        <f t="shared" ref="BB334:BB345" si="2689">SUM(AR334,AZ334)</f>
        <v>339.01992784799995</v>
      </c>
      <c r="BC334" s="1" t="s">
        <v>1780</v>
      </c>
    </row>
    <row r="335" spans="1:55">
      <c r="A335" s="498">
        <v>229</v>
      </c>
      <c r="B335" s="13"/>
      <c r="C335" s="13"/>
      <c r="D335" s="13"/>
      <c r="E335" s="63" t="s">
        <v>890</v>
      </c>
      <c r="F335" s="425" t="s">
        <v>1140</v>
      </c>
      <c r="G335" s="425" t="s">
        <v>1106</v>
      </c>
      <c r="H335" s="268" t="s">
        <v>365</v>
      </c>
      <c r="I335" s="55">
        <v>30.98</v>
      </c>
      <c r="J335" s="163"/>
      <c r="K335" s="55">
        <v>30.98</v>
      </c>
      <c r="L335" s="163"/>
      <c r="M335" s="55">
        <v>30.98</v>
      </c>
      <c r="N335" s="163"/>
      <c r="O335" s="55">
        <v>30.98</v>
      </c>
      <c r="P335" s="163"/>
      <c r="Q335" s="97">
        <f t="shared" si="2671"/>
        <v>3.2410000000000001</v>
      </c>
      <c r="R335" s="342">
        <f t="shared" si="2672"/>
        <v>135.60323305419999</v>
      </c>
      <c r="S335" s="97">
        <v>0.57599999999999996</v>
      </c>
      <c r="T335" s="97">
        <f>I335*S335*$T$2/1000</f>
        <v>23.588439667199996</v>
      </c>
      <c r="U335" s="97"/>
      <c r="V335" s="97">
        <f>I335*U335*$V$2/1000</f>
        <v>0</v>
      </c>
      <c r="W335" s="97">
        <v>0.9</v>
      </c>
      <c r="X335" s="97">
        <f t="shared" si="1733"/>
        <v>37.099789199999996</v>
      </c>
      <c r="Y335" s="97">
        <f t="shared" ref="Y335" si="2690">SUM(S335+U335+W335)</f>
        <v>1.476</v>
      </c>
      <c r="Z335" s="97">
        <f t="shared" ref="Z335:Z345" si="2691">SUM(T335+V335+X335)</f>
        <v>60.688228867199996</v>
      </c>
      <c r="AA335" s="97"/>
      <c r="AB335" s="97">
        <f t="shared" ref="AB335:AB338" si="2692">K335*AA335*$AB$2/1000</f>
        <v>0</v>
      </c>
      <c r="AC335" s="97">
        <v>0.2</v>
      </c>
      <c r="AD335" s="97">
        <f>K335*AC335*$AD$2/1000</f>
        <v>8.4862274800000019</v>
      </c>
      <c r="AE335" s="97">
        <v>0.376</v>
      </c>
      <c r="AF335" s="96">
        <f t="shared" ref="AF335" si="2693">K335*AE335*$AF$2/1000</f>
        <v>16.061273678399999</v>
      </c>
      <c r="AG335" s="97">
        <f t="shared" ref="AG335:AG345" si="2694">SUM(AA335+AC335+AE335)</f>
        <v>0.57600000000000007</v>
      </c>
      <c r="AH335" s="97">
        <f t="shared" ref="AH335:AH345" si="2695">SUM(AB335+AD335+AF335)</f>
        <v>24.547501158400003</v>
      </c>
      <c r="AI335" s="97">
        <f>SUM(Y335+AG335)</f>
        <v>2.052</v>
      </c>
      <c r="AJ335" s="97">
        <f>SUM(Z335,AH335)</f>
        <v>85.235730025599992</v>
      </c>
      <c r="AK335" s="97"/>
      <c r="AL335" s="97">
        <f>M335*AK335*$AL$2/1000</f>
        <v>0</v>
      </c>
      <c r="AM335" s="97">
        <v>0.14399999999999999</v>
      </c>
      <c r="AN335" s="97">
        <f>M335*AM335*$AN$2/1000</f>
        <v>6.0720304319999983</v>
      </c>
      <c r="AO335" s="97">
        <v>0.249</v>
      </c>
      <c r="AP335" s="97">
        <f>M335*AO335*$AP$2/1000</f>
        <v>10.278083107800001</v>
      </c>
      <c r="AQ335" s="97">
        <f t="shared" ref="AQ335:AQ345" si="2696">SUM(AK335+AM335+AO335)</f>
        <v>0.39300000000000002</v>
      </c>
      <c r="AR335" s="97">
        <f t="shared" ref="AR335:AR345" si="2697">SUM(AL335+AN335+AP335)</f>
        <v>16.350113539799999</v>
      </c>
      <c r="AS335" s="97">
        <v>0.28799999999999998</v>
      </c>
      <c r="AT335" s="97">
        <f t="shared" si="2685"/>
        <v>12.115509695999998</v>
      </c>
      <c r="AU335" s="97">
        <v>0.50800000000000001</v>
      </c>
      <c r="AV335" s="97">
        <f>O335*AU335*$AV$2/1000</f>
        <v>21.901879792800003</v>
      </c>
      <c r="AW335" s="97"/>
      <c r="AX335" s="97">
        <f>O335*AW335*$AX$2/1000</f>
        <v>0</v>
      </c>
      <c r="AY335" s="97">
        <f t="shared" ref="AY335:AY345" si="2698">SUM(AS335+AU335+AW335)</f>
        <v>0.79600000000000004</v>
      </c>
      <c r="AZ335" s="97">
        <f t="shared" ref="AZ335:AZ345" si="2699">SUM(AT335+AV335+AX335)</f>
        <v>34.017389488799999</v>
      </c>
      <c r="BA335" s="97">
        <f>SUM(AQ335+AY335)</f>
        <v>1.1890000000000001</v>
      </c>
      <c r="BB335" s="97">
        <f>SUM(AR335,AZ335)</f>
        <v>50.367503028599998</v>
      </c>
      <c r="BC335" s="1" t="s">
        <v>1780</v>
      </c>
    </row>
    <row r="336" spans="1:55">
      <c r="A336" s="498">
        <v>231</v>
      </c>
      <c r="B336" s="13"/>
      <c r="C336" s="13"/>
      <c r="D336" s="13"/>
      <c r="E336" s="21" t="s">
        <v>924</v>
      </c>
      <c r="F336" s="46" t="s">
        <v>1141</v>
      </c>
      <c r="G336" s="46" t="s">
        <v>1105</v>
      </c>
      <c r="H336" s="268" t="s">
        <v>365</v>
      </c>
      <c r="I336" s="55">
        <v>29.95</v>
      </c>
      <c r="J336" s="163"/>
      <c r="K336" s="55">
        <v>29.95</v>
      </c>
      <c r="L336" s="163"/>
      <c r="M336" s="55">
        <v>29.95</v>
      </c>
      <c r="N336" s="163"/>
      <c r="O336" s="55">
        <v>29.95</v>
      </c>
      <c r="P336" s="163"/>
      <c r="Q336" s="97">
        <f t="shared" ref="Q336:Q337" si="2700">SUM(AI336+BA336)</f>
        <v>0</v>
      </c>
      <c r="R336" s="342">
        <f t="shared" ref="R336:R337" si="2701">SUM(AJ336+BB336)</f>
        <v>0</v>
      </c>
      <c r="S336" s="97"/>
      <c r="T336" s="97">
        <f>I336*S336*$T$2/1000</f>
        <v>0</v>
      </c>
      <c r="U336" s="97"/>
      <c r="V336" s="97">
        <f>I336*U336*$V$2/1000</f>
        <v>0</v>
      </c>
      <c r="W336" s="97"/>
      <c r="X336" s="97">
        <f t="shared" ref="X336:X337" si="2702">I336*W336*$X$2/1000</f>
        <v>0</v>
      </c>
      <c r="Y336" s="97">
        <f t="shared" ref="Y336:Y337" si="2703">SUM(S336+U336+W336)</f>
        <v>0</v>
      </c>
      <c r="Z336" s="97">
        <f t="shared" ref="Z336:Z337" si="2704">SUM(T336+V336+X336)</f>
        <v>0</v>
      </c>
      <c r="AA336" s="97"/>
      <c r="AB336" s="97">
        <f t="shared" si="2692"/>
        <v>0</v>
      </c>
      <c r="AC336" s="97"/>
      <c r="AD336" s="97">
        <f>K336*AC336*$AD$2/1000</f>
        <v>0</v>
      </c>
      <c r="AE336" s="97"/>
      <c r="AF336" s="96">
        <f t="shared" ref="AF336:AF337" si="2705">K336*AE336*$AF$2/1000</f>
        <v>0</v>
      </c>
      <c r="AG336" s="97">
        <f t="shared" ref="AG336:AG337" si="2706">SUM(AA336+AC336+AE336)</f>
        <v>0</v>
      </c>
      <c r="AH336" s="97">
        <f t="shared" ref="AH336:AH337" si="2707">SUM(AB336+AD336+AF336)</f>
        <v>0</v>
      </c>
      <c r="AI336" s="97">
        <f>SUM(Y336+AG336)</f>
        <v>0</v>
      </c>
      <c r="AJ336" s="97">
        <f>SUM(Z336,AH336)</f>
        <v>0</v>
      </c>
      <c r="AK336" s="97"/>
      <c r="AL336" s="97">
        <f>M336*AK336*$AL$2/1000</f>
        <v>0</v>
      </c>
      <c r="AM336" s="97"/>
      <c r="AN336" s="97">
        <f>M336*AM336*$AN$2/1000</f>
        <v>0</v>
      </c>
      <c r="AO336" s="97"/>
      <c r="AP336" s="97">
        <f>M336*AO336*$AP$2/1000</f>
        <v>0</v>
      </c>
      <c r="AQ336" s="97">
        <f t="shared" ref="AQ336:AQ337" si="2708">SUM(AK336+AM336+AO336)</f>
        <v>0</v>
      </c>
      <c r="AR336" s="97">
        <f t="shared" ref="AR336:AR337" si="2709">SUM(AL336+AN336+AP336)</f>
        <v>0</v>
      </c>
      <c r="AS336" s="97"/>
      <c r="AT336" s="97">
        <f t="shared" ref="AT336:AT337" si="2710">O336*AS336*$AT$2/1000</f>
        <v>0</v>
      </c>
      <c r="AU336" s="97"/>
      <c r="AV336" s="97">
        <f>O336*AU336*$AV$2/1000</f>
        <v>0</v>
      </c>
      <c r="AW336" s="97"/>
      <c r="AX336" s="97">
        <f>O336*AW336*$AX$2/1000</f>
        <v>0</v>
      </c>
      <c r="AY336" s="97">
        <f t="shared" ref="AY336:AY337" si="2711">SUM(AS336+AU336+AW336)</f>
        <v>0</v>
      </c>
      <c r="AZ336" s="97">
        <f t="shared" ref="AZ336:AZ337" si="2712">SUM(AT336+AV336+AX336)</f>
        <v>0</v>
      </c>
      <c r="BA336" s="97">
        <f>SUM(AQ336+AY336)</f>
        <v>0</v>
      </c>
      <c r="BB336" s="97">
        <f>SUM(AR336,AZ336)</f>
        <v>0</v>
      </c>
      <c r="BC336" s="1" t="s">
        <v>1780</v>
      </c>
    </row>
    <row r="337" spans="1:55">
      <c r="A337" s="498">
        <v>232</v>
      </c>
      <c r="B337" s="13"/>
      <c r="C337" s="13"/>
      <c r="D337" s="13"/>
      <c r="E337" s="19" t="s">
        <v>963</v>
      </c>
      <c r="F337" s="46" t="s">
        <v>1142</v>
      </c>
      <c r="G337" s="46" t="s">
        <v>1105</v>
      </c>
      <c r="H337" s="268" t="s">
        <v>365</v>
      </c>
      <c r="I337" s="55">
        <v>30.14</v>
      </c>
      <c r="J337" s="102"/>
      <c r="K337" s="55">
        <v>30.14</v>
      </c>
      <c r="L337" s="163"/>
      <c r="M337" s="55">
        <v>30.14</v>
      </c>
      <c r="N337" s="163"/>
      <c r="O337" s="55">
        <v>30.14</v>
      </c>
      <c r="P337" s="102"/>
      <c r="Q337" s="97">
        <f t="shared" si="2700"/>
        <v>0</v>
      </c>
      <c r="R337" s="342">
        <f t="shared" si="2701"/>
        <v>0</v>
      </c>
      <c r="S337" s="97"/>
      <c r="T337" s="97">
        <f t="shared" ref="T337" si="2713">I337*S337*$T$2/1000</f>
        <v>0</v>
      </c>
      <c r="U337" s="97"/>
      <c r="V337" s="177">
        <f t="shared" ref="V337" si="2714">I337*U337*$V$2/1000</f>
        <v>0</v>
      </c>
      <c r="W337" s="207"/>
      <c r="X337" s="206">
        <f t="shared" si="2702"/>
        <v>0</v>
      </c>
      <c r="Y337" s="189">
        <f t="shared" si="2703"/>
        <v>0</v>
      </c>
      <c r="Z337" s="177">
        <f t="shared" si="2704"/>
        <v>0</v>
      </c>
      <c r="AA337" s="207"/>
      <c r="AB337" s="206">
        <f t="shared" si="2692"/>
        <v>0</v>
      </c>
      <c r="AC337" s="207"/>
      <c r="AD337" s="177">
        <f t="shared" ref="AD337" si="2715">K337*AC337*$AD$2/1000</f>
        <v>0</v>
      </c>
      <c r="AE337" s="207"/>
      <c r="AF337" s="205">
        <f t="shared" si="2705"/>
        <v>0</v>
      </c>
      <c r="AG337" s="189">
        <f t="shared" si="2706"/>
        <v>0</v>
      </c>
      <c r="AH337" s="97">
        <f t="shared" si="2707"/>
        <v>0</v>
      </c>
      <c r="AI337" s="97">
        <f t="shared" ref="AI337" si="2716">SUM(Y337+AG337)</f>
        <v>0</v>
      </c>
      <c r="AJ337" s="177">
        <f t="shared" ref="AJ337" si="2717">SUM(Z337,AH337)</f>
        <v>0</v>
      </c>
      <c r="AK337" s="207"/>
      <c r="AL337" s="177">
        <f t="shared" ref="AL337" si="2718">M337*AK337*$AL$2/1000</f>
        <v>0</v>
      </c>
      <c r="AM337" s="245"/>
      <c r="AN337" s="177">
        <f t="shared" ref="AN337" si="2719">M337*AM337*$AN$2/1000</f>
        <v>0</v>
      </c>
      <c r="AO337" s="207"/>
      <c r="AP337" s="206">
        <f t="shared" ref="AP337" si="2720">M337*AO337*$AP$2/1000</f>
        <v>0</v>
      </c>
      <c r="AQ337" s="189">
        <f t="shared" si="2708"/>
        <v>0</v>
      </c>
      <c r="AR337" s="97">
        <f t="shared" si="2709"/>
        <v>0</v>
      </c>
      <c r="AS337" s="97"/>
      <c r="AT337" s="177">
        <f t="shared" si="2710"/>
        <v>0</v>
      </c>
      <c r="AU337" s="207"/>
      <c r="AV337" s="177">
        <f t="shared" ref="AV337" si="2721">O337*AU337*$AV$2/1000</f>
        <v>0</v>
      </c>
      <c r="AW337" s="207"/>
      <c r="AX337" s="206">
        <f t="shared" ref="AX337" si="2722">O337*AW337*$AX$2/1000</f>
        <v>0</v>
      </c>
      <c r="AY337" s="189">
        <f t="shared" si="2711"/>
        <v>0</v>
      </c>
      <c r="AZ337" s="97">
        <f t="shared" si="2712"/>
        <v>0</v>
      </c>
      <c r="BA337" s="97">
        <f t="shared" ref="BA337" si="2723">SUM(AQ337+AY337)</f>
        <v>0</v>
      </c>
      <c r="BB337" s="97">
        <f t="shared" ref="BB337" si="2724">SUM(AR337,AZ337)</f>
        <v>0</v>
      </c>
      <c r="BC337" s="1" t="s">
        <v>1780</v>
      </c>
    </row>
    <row r="338" spans="1:55">
      <c r="A338" s="498">
        <v>233</v>
      </c>
      <c r="B338" s="13"/>
      <c r="C338" s="13"/>
      <c r="D338" s="13"/>
      <c r="E338" s="19" t="s">
        <v>964</v>
      </c>
      <c r="F338" s="46" t="s">
        <v>1143</v>
      </c>
      <c r="G338" s="46" t="s">
        <v>1105</v>
      </c>
      <c r="H338" s="268" t="s">
        <v>365</v>
      </c>
      <c r="I338" s="55">
        <v>30.54</v>
      </c>
      <c r="J338" s="102"/>
      <c r="K338" s="55">
        <v>30.54</v>
      </c>
      <c r="L338" s="163"/>
      <c r="M338" s="55">
        <v>30.54</v>
      </c>
      <c r="N338" s="163"/>
      <c r="O338" s="55">
        <v>30.54</v>
      </c>
      <c r="P338" s="102"/>
      <c r="Q338" s="97">
        <f t="shared" ref="Q338" si="2725">SUM(AI338+BA338)</f>
        <v>0</v>
      </c>
      <c r="R338" s="342">
        <f t="shared" ref="R338" si="2726">SUM(AJ338+BB338)</f>
        <v>0</v>
      </c>
      <c r="S338" s="97"/>
      <c r="T338" s="97">
        <f t="shared" ref="T338" si="2727">I338*S338*$T$2/1000</f>
        <v>0</v>
      </c>
      <c r="U338" s="97"/>
      <c r="V338" s="177">
        <f t="shared" ref="V338" si="2728">I338*U338*$V$2/1000</f>
        <v>0</v>
      </c>
      <c r="W338" s="207"/>
      <c r="X338" s="206">
        <f t="shared" ref="X338" si="2729">I338*W338*$X$2/1000</f>
        <v>0</v>
      </c>
      <c r="Y338" s="189">
        <f t="shared" ref="Y338" si="2730">SUM(S338+U338+W338)</f>
        <v>0</v>
      </c>
      <c r="Z338" s="177">
        <f t="shared" ref="Z338" si="2731">SUM(T338+V338+X338)</f>
        <v>0</v>
      </c>
      <c r="AA338" s="207"/>
      <c r="AB338" s="206">
        <f t="shared" si="2692"/>
        <v>0</v>
      </c>
      <c r="AC338" s="207"/>
      <c r="AD338" s="177">
        <f t="shared" ref="AD338" si="2732">K338*AC338*$AD$2/1000</f>
        <v>0</v>
      </c>
      <c r="AE338" s="207"/>
      <c r="AF338" s="205">
        <f t="shared" ref="AF338" si="2733">K338*AE338*$AF$2/1000</f>
        <v>0</v>
      </c>
      <c r="AG338" s="189">
        <f t="shared" ref="AG338" si="2734">SUM(AA338+AC338+AE338)</f>
        <v>0</v>
      </c>
      <c r="AH338" s="97">
        <f t="shared" ref="AH338" si="2735">SUM(AB338+AD338+AF338)</f>
        <v>0</v>
      </c>
      <c r="AI338" s="97">
        <f t="shared" ref="AI338" si="2736">SUM(Y338+AG338)</f>
        <v>0</v>
      </c>
      <c r="AJ338" s="177">
        <f t="shared" ref="AJ338" si="2737">SUM(Z338,AH338)</f>
        <v>0</v>
      </c>
      <c r="AK338" s="207"/>
      <c r="AL338" s="177">
        <f t="shared" ref="AL338" si="2738">M338*AK338*$AL$2/1000</f>
        <v>0</v>
      </c>
      <c r="AM338" s="245"/>
      <c r="AN338" s="177">
        <f t="shared" ref="AN338" si="2739">M338*AM338*$AN$2/1000</f>
        <v>0</v>
      </c>
      <c r="AO338" s="207"/>
      <c r="AP338" s="206">
        <f t="shared" ref="AP338" si="2740">M338*AO338*$AP$2/1000</f>
        <v>0</v>
      </c>
      <c r="AQ338" s="189">
        <f t="shared" ref="AQ338" si="2741">SUM(AK338+AM338+AO338)</f>
        <v>0</v>
      </c>
      <c r="AR338" s="97">
        <f t="shared" ref="AR338" si="2742">SUM(AL338+AN338+AP338)</f>
        <v>0</v>
      </c>
      <c r="AS338" s="97"/>
      <c r="AT338" s="177">
        <f t="shared" ref="AT338" si="2743">O338*AS338*$AT$2/1000</f>
        <v>0</v>
      </c>
      <c r="AU338" s="207"/>
      <c r="AV338" s="177">
        <f t="shared" ref="AV338" si="2744">O338*AU338*$AV$2/1000</f>
        <v>0</v>
      </c>
      <c r="AW338" s="207"/>
      <c r="AX338" s="206">
        <f t="shared" ref="AX338" si="2745">O338*AW338*$AX$2/1000</f>
        <v>0</v>
      </c>
      <c r="AY338" s="189">
        <f t="shared" ref="AY338" si="2746">SUM(AS338+AU338+AW338)</f>
        <v>0</v>
      </c>
      <c r="AZ338" s="97">
        <f t="shared" ref="AZ338" si="2747">SUM(AT338+AV338+AX338)</f>
        <v>0</v>
      </c>
      <c r="BA338" s="97">
        <f t="shared" ref="BA338" si="2748">SUM(AQ338+AY338)</f>
        <v>0</v>
      </c>
      <c r="BB338" s="97">
        <f t="shared" ref="BB338" si="2749">SUM(AR338,AZ338)</f>
        <v>0</v>
      </c>
      <c r="BC338" s="1" t="s">
        <v>1780</v>
      </c>
    </row>
    <row r="339" spans="1:55">
      <c r="B339" s="13"/>
      <c r="C339" s="13"/>
      <c r="D339" s="13"/>
      <c r="E339" s="19" t="s">
        <v>1258</v>
      </c>
      <c r="F339" s="22" t="s">
        <v>1259</v>
      </c>
      <c r="G339" s="430" t="s">
        <v>1102</v>
      </c>
      <c r="H339" s="268" t="s">
        <v>365</v>
      </c>
      <c r="I339" s="55">
        <v>5.75</v>
      </c>
      <c r="J339" s="102"/>
      <c r="K339" s="55">
        <v>5.75</v>
      </c>
      <c r="L339" s="163"/>
      <c r="M339" s="55">
        <v>5.75</v>
      </c>
      <c r="N339" s="163"/>
      <c r="O339" s="55">
        <v>5.75</v>
      </c>
      <c r="P339" s="102"/>
      <c r="Q339" s="97">
        <f t="shared" si="2671"/>
        <v>400.17499999999995</v>
      </c>
      <c r="R339" s="342">
        <f t="shared" si="2672"/>
        <v>3130.1223923325006</v>
      </c>
      <c r="S339" s="97">
        <v>40.32</v>
      </c>
      <c r="T339" s="97">
        <f>I339*S339*$T$2/1000</f>
        <v>306.46697760000006</v>
      </c>
      <c r="U339" s="97">
        <v>25.2</v>
      </c>
      <c r="V339" s="177">
        <f>I339*U339*$V$2/1000</f>
        <v>192.77496000000002</v>
      </c>
      <c r="W339" s="207">
        <v>40.32</v>
      </c>
      <c r="X339" s="206">
        <f>I339*W339*$X$2/1000</f>
        <v>308.48630400000002</v>
      </c>
      <c r="Y339" s="189">
        <f t="shared" ref="Y339:Y341" si="2750">SUM(S339+U339+W339)</f>
        <v>105.84</v>
      </c>
      <c r="Z339" s="177">
        <f t="shared" ref="Z339:Z341" si="2751">SUM(T339+V339+X339)</f>
        <v>807.72824160000005</v>
      </c>
      <c r="AA339" s="207">
        <v>40.32</v>
      </c>
      <c r="AB339" s="206">
        <f>K339*AA339*$AB$2/1000</f>
        <v>316.25758079999997</v>
      </c>
      <c r="AC339" s="207"/>
      <c r="AD339" s="177">
        <f>K339*AC339*$AD$2/1000</f>
        <v>0</v>
      </c>
      <c r="AE339" s="207">
        <v>73.584000000000003</v>
      </c>
      <c r="AF339" s="206">
        <f t="shared" ref="AF339:AF343" si="2752">K339*AE339*$AF$2/1000</f>
        <v>583.39400364000005</v>
      </c>
      <c r="AG339" s="189">
        <f t="shared" ref="AG339:AG341" si="2753">SUM(AA339+AC339+AE339)</f>
        <v>113.904</v>
      </c>
      <c r="AH339" s="97">
        <f t="shared" ref="AH339:AH341" si="2754">SUM(AB339+AD339+AF339)</f>
        <v>899.65158444000008</v>
      </c>
      <c r="AI339" s="97">
        <f t="shared" ref="AI339:AI343" si="2755">SUM(Y339+AG339)</f>
        <v>219.744</v>
      </c>
      <c r="AJ339" s="177">
        <f t="shared" si="2679"/>
        <v>1707.3798260400001</v>
      </c>
      <c r="AK339" s="207">
        <v>40.32</v>
      </c>
      <c r="AL339" s="177">
        <f t="shared" ref="AL339:AL343" si="2756">M339*AK339*$AL$2/1000</f>
        <v>320.65326720000002</v>
      </c>
      <c r="AM339" s="245">
        <v>43.344000000000001</v>
      </c>
      <c r="AN339" s="177">
        <f t="shared" si="2681"/>
        <v>339.22423079999999</v>
      </c>
      <c r="AO339" s="207">
        <v>36.287999999999997</v>
      </c>
      <c r="AP339" s="206">
        <f t="shared" ref="AP339:AP343" si="2757">M339*AO339*$AP$2/1000</f>
        <v>278.01116783999998</v>
      </c>
      <c r="AQ339" s="189">
        <f t="shared" ref="AQ339:AQ341" si="2758">SUM(AK339+AM339+AO339)</f>
        <v>119.952</v>
      </c>
      <c r="AR339" s="97">
        <f t="shared" ref="AR339:AR341" si="2759">SUM(AL339+AN339+AP339)</f>
        <v>937.88866584000004</v>
      </c>
      <c r="AS339" s="97">
        <v>20.16</v>
      </c>
      <c r="AT339" s="177">
        <f t="shared" si="2685"/>
        <v>157.407768</v>
      </c>
      <c r="AU339" s="207">
        <v>10.08</v>
      </c>
      <c r="AV339" s="177">
        <f t="shared" ref="AV339:AV341" si="2760">O339*AU339*$AV$2/1000</f>
        <v>80.661193200000014</v>
      </c>
      <c r="AW339" s="207">
        <v>30.239000000000001</v>
      </c>
      <c r="AX339" s="206">
        <f t="shared" si="2543"/>
        <v>246.78493925250001</v>
      </c>
      <c r="AY339" s="189">
        <f t="shared" ref="AY339:AY341" si="2761">SUM(AS339+AU339+AW339)</f>
        <v>60.478999999999999</v>
      </c>
      <c r="AZ339" s="97">
        <f t="shared" ref="AZ339:AZ341" si="2762">SUM(AT339+AV339+AX339)</f>
        <v>484.85390045250006</v>
      </c>
      <c r="BA339" s="97">
        <f t="shared" si="2688"/>
        <v>180.43099999999998</v>
      </c>
      <c r="BB339" s="97">
        <f t="shared" si="2689"/>
        <v>1422.7425662925002</v>
      </c>
      <c r="BC339" s="1" t="s">
        <v>1780</v>
      </c>
    </row>
    <row r="340" spans="1:55">
      <c r="B340" s="13"/>
      <c r="C340" s="13"/>
      <c r="D340" s="13"/>
      <c r="E340" s="21" t="s">
        <v>1756</v>
      </c>
      <c r="F340" s="22" t="s">
        <v>1259</v>
      </c>
      <c r="G340" s="430" t="s">
        <v>1102</v>
      </c>
      <c r="H340" s="268" t="s">
        <v>365</v>
      </c>
      <c r="I340" s="55">
        <v>5.75</v>
      </c>
      <c r="J340" s="102"/>
      <c r="K340" s="55">
        <v>5.75</v>
      </c>
      <c r="L340" s="163"/>
      <c r="M340" s="55">
        <v>5.75</v>
      </c>
      <c r="N340" s="163"/>
      <c r="O340" s="55">
        <v>5.75</v>
      </c>
      <c r="P340" s="102"/>
      <c r="Q340" s="97">
        <f t="shared" si="2671"/>
        <v>0</v>
      </c>
      <c r="R340" s="342">
        <f t="shared" si="2672"/>
        <v>0</v>
      </c>
      <c r="S340" s="97"/>
      <c r="T340" s="97">
        <f>I340*S340*$T$2/1000</f>
        <v>0</v>
      </c>
      <c r="U340" s="97"/>
      <c r="V340" s="177">
        <f>I340*U340*$V$2/1000</f>
        <v>0</v>
      </c>
      <c r="W340" s="207"/>
      <c r="X340" s="206">
        <f>I340*W340*$X$2/1000</f>
        <v>0</v>
      </c>
      <c r="Y340" s="189">
        <f t="shared" ref="Y340" si="2763">SUM(S340+U340+W340)</f>
        <v>0</v>
      </c>
      <c r="Z340" s="177">
        <f t="shared" ref="Z340" si="2764">SUM(T340+V340+X340)</f>
        <v>0</v>
      </c>
      <c r="AA340" s="207"/>
      <c r="AB340" s="206">
        <f>K340*AA340*$AB$2/1000</f>
        <v>0</v>
      </c>
      <c r="AC340" s="207"/>
      <c r="AD340" s="177">
        <f>K340*AC340*$AD$2/1000</f>
        <v>0</v>
      </c>
      <c r="AE340" s="207"/>
      <c r="AF340" s="206">
        <f t="shared" ref="AF340" si="2765">K340*AE340*$AF$2/1000</f>
        <v>0</v>
      </c>
      <c r="AG340" s="189">
        <f t="shared" ref="AG340" si="2766">SUM(AA340+AC340+AE340)</f>
        <v>0</v>
      </c>
      <c r="AH340" s="97">
        <f t="shared" ref="AH340" si="2767">SUM(AB340+AD340+AF340)</f>
        <v>0</v>
      </c>
      <c r="AI340" s="97">
        <f t="shared" ref="AI340" si="2768">SUM(Y340+AG340)</f>
        <v>0</v>
      </c>
      <c r="AJ340" s="177">
        <f t="shared" si="2679"/>
        <v>0</v>
      </c>
      <c r="AK340" s="207"/>
      <c r="AL340" s="177">
        <f t="shared" ref="AL340" si="2769">M340*AK340*$AL$2/1000</f>
        <v>0</v>
      </c>
      <c r="AM340" s="245"/>
      <c r="AN340" s="177">
        <f t="shared" si="2681"/>
        <v>0</v>
      </c>
      <c r="AO340" s="207"/>
      <c r="AP340" s="206">
        <f t="shared" ref="AP340" si="2770">M340*AO340*$AP$2/1000</f>
        <v>0</v>
      </c>
      <c r="AQ340" s="189">
        <f t="shared" ref="AQ340" si="2771">SUM(AK340+AM340+AO340)</f>
        <v>0</v>
      </c>
      <c r="AR340" s="97">
        <f t="shared" ref="AR340" si="2772">SUM(AL340+AN340+AP340)</f>
        <v>0</v>
      </c>
      <c r="AS340" s="97"/>
      <c r="AT340" s="177">
        <f t="shared" si="2685"/>
        <v>0</v>
      </c>
      <c r="AU340" s="207"/>
      <c r="AV340" s="177">
        <f t="shared" ref="AV340" si="2773">O340*AU340*$AV$2/1000</f>
        <v>0</v>
      </c>
      <c r="AW340" s="207"/>
      <c r="AX340" s="206">
        <f t="shared" si="2543"/>
        <v>0</v>
      </c>
      <c r="AY340" s="189">
        <f t="shared" ref="AY340" si="2774">SUM(AS340+AU340+AW340)</f>
        <v>0</v>
      </c>
      <c r="AZ340" s="97">
        <f t="shared" ref="AZ340" si="2775">SUM(AT340+AV340+AX340)</f>
        <v>0</v>
      </c>
      <c r="BA340" s="97">
        <f t="shared" si="2688"/>
        <v>0</v>
      </c>
      <c r="BB340" s="97">
        <f t="shared" si="2689"/>
        <v>0</v>
      </c>
      <c r="BC340" s="1" t="s">
        <v>1780</v>
      </c>
    </row>
    <row r="341" spans="1:55">
      <c r="B341" s="13"/>
      <c r="C341" s="13"/>
      <c r="D341" s="13"/>
      <c r="E341" s="21" t="s">
        <v>1260</v>
      </c>
      <c r="F341" s="22" t="s">
        <v>1261</v>
      </c>
      <c r="G341" s="430" t="s">
        <v>1102</v>
      </c>
      <c r="H341" s="268" t="s">
        <v>365</v>
      </c>
      <c r="I341" s="55">
        <v>5.28</v>
      </c>
      <c r="J341" s="102"/>
      <c r="K341" s="55">
        <v>5.28</v>
      </c>
      <c r="L341" s="163"/>
      <c r="M341" s="55">
        <v>5.28</v>
      </c>
      <c r="N341" s="163"/>
      <c r="O341" s="55">
        <v>5.28</v>
      </c>
      <c r="P341" s="102"/>
      <c r="Q341" s="97">
        <f t="shared" ref="Q341" si="2776">SUM(AI341+BA341)</f>
        <v>8.0640000000000001</v>
      </c>
      <c r="R341" s="342">
        <f t="shared" ref="R341" si="2777">SUM(AJ341+BB341)</f>
        <v>58.066596403200002</v>
      </c>
      <c r="S341" s="97"/>
      <c r="T341" s="97">
        <f>I341*S341*$T$2/1000</f>
        <v>0</v>
      </c>
      <c r="U341" s="97"/>
      <c r="V341" s="177">
        <f>I341*U341*$V$2/1000</f>
        <v>0</v>
      </c>
      <c r="W341" s="207"/>
      <c r="X341" s="206">
        <f>I341*W341*$X$2/1000</f>
        <v>0</v>
      </c>
      <c r="Y341" s="189">
        <f t="shared" si="2750"/>
        <v>0</v>
      </c>
      <c r="Z341" s="177">
        <f t="shared" si="2751"/>
        <v>0</v>
      </c>
      <c r="AA341" s="207">
        <v>2.016</v>
      </c>
      <c r="AB341" s="206">
        <f>K341*AA341*$AB$2/1000</f>
        <v>14.520348057599998</v>
      </c>
      <c r="AC341" s="207"/>
      <c r="AD341" s="177">
        <f>K341*AC341*$AD$2/1000</f>
        <v>0</v>
      </c>
      <c r="AE341" s="207">
        <v>1.008</v>
      </c>
      <c r="AF341" s="206">
        <f t="shared" si="2752"/>
        <v>7.3384641791999989</v>
      </c>
      <c r="AG341" s="189">
        <f t="shared" si="2753"/>
        <v>3.024</v>
      </c>
      <c r="AH341" s="97">
        <f t="shared" si="2754"/>
        <v>21.858812236799999</v>
      </c>
      <c r="AI341" s="97">
        <f t="shared" si="2755"/>
        <v>3.024</v>
      </c>
      <c r="AJ341" s="177">
        <f t="shared" ref="AJ341" si="2778">SUM(Z341,AH341)</f>
        <v>21.858812236799999</v>
      </c>
      <c r="AK341" s="207"/>
      <c r="AL341" s="177">
        <f t="shared" si="2756"/>
        <v>0</v>
      </c>
      <c r="AM341" s="245">
        <v>1.008</v>
      </c>
      <c r="AN341" s="177">
        <f t="shared" ref="AN341" si="2779">M341*AM341*$AN$2/1000</f>
        <v>7.2441008639999991</v>
      </c>
      <c r="AO341" s="207">
        <v>2.016</v>
      </c>
      <c r="AP341" s="206">
        <f t="shared" si="2757"/>
        <v>14.1825987072</v>
      </c>
      <c r="AQ341" s="189">
        <f t="shared" si="2758"/>
        <v>3.024</v>
      </c>
      <c r="AR341" s="97">
        <f t="shared" si="2759"/>
        <v>21.4266995712</v>
      </c>
      <c r="AS341" s="97">
        <v>1.008</v>
      </c>
      <c r="AT341" s="177">
        <f t="shared" ref="AT341" si="2780">O341*AS341*$AT$2/1000</f>
        <v>7.227069696</v>
      </c>
      <c r="AU341" s="207"/>
      <c r="AV341" s="177">
        <f t="shared" si="2760"/>
        <v>0</v>
      </c>
      <c r="AW341" s="207">
        <v>1.008</v>
      </c>
      <c r="AX341" s="206">
        <f t="shared" ref="AX341" si="2781">O341*AW341*$AX$2/1000</f>
        <v>7.5540148991999994</v>
      </c>
      <c r="AY341" s="189">
        <f t="shared" si="2761"/>
        <v>2.016</v>
      </c>
      <c r="AZ341" s="97">
        <f t="shared" si="2762"/>
        <v>14.781084595199999</v>
      </c>
      <c r="BA341" s="97">
        <f t="shared" ref="BA341" si="2782">SUM(AQ341+AY341)</f>
        <v>5.04</v>
      </c>
      <c r="BB341" s="97">
        <f t="shared" ref="BB341" si="2783">SUM(AR341,AZ341)</f>
        <v>36.207784166400003</v>
      </c>
      <c r="BC341" s="1" t="s">
        <v>1780</v>
      </c>
    </row>
    <row r="342" spans="1:55">
      <c r="A342" s="498">
        <v>239</v>
      </c>
      <c r="B342" s="13"/>
      <c r="C342" s="13"/>
      <c r="D342" s="13"/>
      <c r="E342" s="21" t="s">
        <v>1656</v>
      </c>
      <c r="F342" s="46" t="s">
        <v>1664</v>
      </c>
      <c r="G342" s="46" t="s">
        <v>1110</v>
      </c>
      <c r="H342" s="268" t="s">
        <v>365</v>
      </c>
      <c r="I342" s="55">
        <v>6.35</v>
      </c>
      <c r="J342" s="102"/>
      <c r="K342" s="55">
        <v>6.35</v>
      </c>
      <c r="L342" s="163"/>
      <c r="M342" s="55">
        <v>6.35</v>
      </c>
      <c r="N342" s="163"/>
      <c r="O342" s="55">
        <v>6.35</v>
      </c>
      <c r="P342" s="102"/>
      <c r="Q342" s="97">
        <f t="shared" si="2671"/>
        <v>9.9099999999999984</v>
      </c>
      <c r="R342" s="342">
        <f t="shared" si="2672"/>
        <v>85.697156011999979</v>
      </c>
      <c r="S342" s="97"/>
      <c r="T342" s="97">
        <f t="shared" si="1731"/>
        <v>0</v>
      </c>
      <c r="U342" s="97">
        <v>0.15</v>
      </c>
      <c r="V342" s="177">
        <f t="shared" si="1732"/>
        <v>1.2672059999999998</v>
      </c>
      <c r="W342" s="207"/>
      <c r="X342" s="206">
        <f t="shared" si="1733"/>
        <v>0</v>
      </c>
      <c r="Y342" s="189">
        <f>SUM(S342+U342+W342)</f>
        <v>0.15</v>
      </c>
      <c r="Z342" s="177">
        <f t="shared" si="2691"/>
        <v>1.2672059999999998</v>
      </c>
      <c r="AA342" s="207"/>
      <c r="AB342" s="206">
        <f t="shared" si="1735"/>
        <v>0</v>
      </c>
      <c r="AC342" s="207"/>
      <c r="AD342" s="177">
        <f t="shared" si="1736"/>
        <v>0</v>
      </c>
      <c r="AE342" s="207">
        <v>0.16800000000000001</v>
      </c>
      <c r="AF342" s="205">
        <f t="shared" si="2752"/>
        <v>1.4709358439999998</v>
      </c>
      <c r="AG342" s="189">
        <f t="shared" si="2694"/>
        <v>0.16800000000000001</v>
      </c>
      <c r="AH342" s="97">
        <f t="shared" si="2695"/>
        <v>1.4709358439999998</v>
      </c>
      <c r="AI342" s="97">
        <f t="shared" si="2755"/>
        <v>0.318</v>
      </c>
      <c r="AJ342" s="177">
        <f t="shared" si="2679"/>
        <v>2.7381418439999994</v>
      </c>
      <c r="AK342" s="207">
        <v>0.24</v>
      </c>
      <c r="AL342" s="177">
        <f t="shared" si="2756"/>
        <v>2.1078139199999995</v>
      </c>
      <c r="AM342" s="245">
        <v>2.2959999999999998</v>
      </c>
      <c r="AN342" s="177">
        <f t="shared" si="2681"/>
        <v>19.844293559999993</v>
      </c>
      <c r="AO342" s="207">
        <v>2.464</v>
      </c>
      <c r="AP342" s="206">
        <f t="shared" si="2757"/>
        <v>20.847106895999996</v>
      </c>
      <c r="AQ342" s="189">
        <f t="shared" si="2696"/>
        <v>5</v>
      </c>
      <c r="AR342" s="97">
        <f t="shared" si="2697"/>
        <v>42.799214375999988</v>
      </c>
      <c r="AS342" s="97">
        <v>2.464</v>
      </c>
      <c r="AT342" s="177">
        <f t="shared" si="2685"/>
        <v>21.246246559999999</v>
      </c>
      <c r="AU342" s="207">
        <v>1.512</v>
      </c>
      <c r="AV342" s="177">
        <f t="shared" si="2686"/>
        <v>13.361702004000001</v>
      </c>
      <c r="AW342" s="207">
        <v>0.61599999999999999</v>
      </c>
      <c r="AX342" s="206">
        <f t="shared" si="2543"/>
        <v>5.5518512279999985</v>
      </c>
      <c r="AY342" s="189">
        <f t="shared" si="2698"/>
        <v>4.5919999999999996</v>
      </c>
      <c r="AZ342" s="97">
        <f t="shared" si="2699"/>
        <v>40.159799791999994</v>
      </c>
      <c r="BA342" s="97">
        <f t="shared" si="2688"/>
        <v>9.5919999999999987</v>
      </c>
      <c r="BB342" s="97">
        <f t="shared" si="2689"/>
        <v>82.959014167999982</v>
      </c>
      <c r="BC342" s="1" t="s">
        <v>1782</v>
      </c>
    </row>
    <row r="343" spans="1:55">
      <c r="B343" s="13"/>
      <c r="C343" s="13"/>
      <c r="D343" s="13"/>
      <c r="E343" s="21" t="s">
        <v>1588</v>
      </c>
      <c r="F343" s="22" t="s">
        <v>1765</v>
      </c>
      <c r="G343" s="430" t="s">
        <v>1102</v>
      </c>
      <c r="H343" s="268" t="s">
        <v>365</v>
      </c>
      <c r="I343" s="55">
        <v>6.8</v>
      </c>
      <c r="J343" s="102"/>
      <c r="K343" s="55">
        <v>6.8</v>
      </c>
      <c r="L343" s="163"/>
      <c r="M343" s="55">
        <v>6.8</v>
      </c>
      <c r="N343" s="163"/>
      <c r="O343" s="55">
        <v>6.8</v>
      </c>
      <c r="P343" s="102"/>
      <c r="Q343" s="97">
        <f t="shared" ref="Q343" si="2784">SUM(AI343+BA343)</f>
        <v>0.84800000000000009</v>
      </c>
      <c r="R343" s="342">
        <f t="shared" ref="R343" si="2785">SUM(AJ343+BB343)</f>
        <v>7.8957487359999998</v>
      </c>
      <c r="S343" s="97"/>
      <c r="T343" s="97">
        <f>I343*S343*$T$2/1000</f>
        <v>0</v>
      </c>
      <c r="U343" s="97"/>
      <c r="V343" s="177">
        <f>I343*U343*$V$2/1000</f>
        <v>0</v>
      </c>
      <c r="W343" s="207"/>
      <c r="X343" s="206">
        <f>I343*W343*$X$2/1000</f>
        <v>0</v>
      </c>
      <c r="Y343" s="189">
        <f t="shared" ref="Y343" si="2786">SUM(S343+U343+W343)</f>
        <v>0</v>
      </c>
      <c r="Z343" s="177">
        <f t="shared" si="2691"/>
        <v>0</v>
      </c>
      <c r="AA343" s="207"/>
      <c r="AB343" s="206">
        <f>K343*AA343*$AB$2/1000</f>
        <v>0</v>
      </c>
      <c r="AC343" s="207">
        <v>0.2</v>
      </c>
      <c r="AD343" s="177">
        <f>K343*AC343*$AD$2/1000</f>
        <v>1.8626968000000004</v>
      </c>
      <c r="AE343" s="207"/>
      <c r="AF343" s="206">
        <f t="shared" si="2752"/>
        <v>0</v>
      </c>
      <c r="AG343" s="189">
        <f t="shared" si="2694"/>
        <v>0.2</v>
      </c>
      <c r="AH343" s="97">
        <f t="shared" si="2695"/>
        <v>1.8626968000000004</v>
      </c>
      <c r="AI343" s="97">
        <f t="shared" si="2755"/>
        <v>0.2</v>
      </c>
      <c r="AJ343" s="177">
        <f t="shared" ref="AJ343" si="2787">SUM(Z343,AH343)</f>
        <v>1.8626968000000004</v>
      </c>
      <c r="AK343" s="207"/>
      <c r="AL343" s="177">
        <f t="shared" si="2756"/>
        <v>0</v>
      </c>
      <c r="AM343" s="245"/>
      <c r="AN343" s="177">
        <f t="shared" ref="AN343" si="2788">M343*AM343*$AN$2/1000</f>
        <v>0</v>
      </c>
      <c r="AO343" s="207"/>
      <c r="AP343" s="206">
        <f t="shared" si="2757"/>
        <v>0</v>
      </c>
      <c r="AQ343" s="189">
        <f t="shared" si="2696"/>
        <v>0</v>
      </c>
      <c r="AR343" s="97">
        <f t="shared" si="2697"/>
        <v>0</v>
      </c>
      <c r="AS343" s="97">
        <v>0.432</v>
      </c>
      <c r="AT343" s="177">
        <f t="shared" ref="AT343" si="2789">O343*AS343*$AT$2/1000</f>
        <v>3.9889670399999999</v>
      </c>
      <c r="AU343" s="207">
        <v>0.216</v>
      </c>
      <c r="AV343" s="177">
        <f t="shared" si="2686"/>
        <v>2.0440848959999998</v>
      </c>
      <c r="AW343" s="207"/>
      <c r="AX343" s="206">
        <f t="shared" ref="AX343" si="2790">O343*AW343*$AX$2/1000</f>
        <v>0</v>
      </c>
      <c r="AY343" s="189">
        <f t="shared" si="2698"/>
        <v>0.64800000000000002</v>
      </c>
      <c r="AZ343" s="97">
        <f t="shared" si="2699"/>
        <v>6.0330519359999997</v>
      </c>
      <c r="BA343" s="97">
        <f t="shared" ref="BA343" si="2791">SUM(AQ343+AY343)</f>
        <v>0.64800000000000002</v>
      </c>
      <c r="BB343" s="97">
        <f t="shared" ref="BB343" si="2792">SUM(AR343,AZ343)</f>
        <v>6.0330519359999997</v>
      </c>
      <c r="BC343" s="1" t="s">
        <v>1782</v>
      </c>
    </row>
    <row r="344" spans="1:55">
      <c r="A344" s="498">
        <v>179</v>
      </c>
      <c r="B344" s="53" t="s">
        <v>1450</v>
      </c>
      <c r="C344" s="53" t="s">
        <v>33</v>
      </c>
      <c r="D344" s="53" t="s">
        <v>1452</v>
      </c>
      <c r="E344" s="21" t="s">
        <v>1453</v>
      </c>
      <c r="F344" s="22" t="s">
        <v>1455</v>
      </c>
      <c r="G344" s="22" t="s">
        <v>1105</v>
      </c>
      <c r="H344" s="268" t="s">
        <v>365</v>
      </c>
      <c r="I344" s="55">
        <v>6.5</v>
      </c>
      <c r="J344" s="102"/>
      <c r="K344" s="55">
        <v>6.5</v>
      </c>
      <c r="L344" s="163"/>
      <c r="M344" s="55">
        <v>6.5</v>
      </c>
      <c r="N344" s="163"/>
      <c r="O344" s="55">
        <v>6.5</v>
      </c>
      <c r="P344" s="102"/>
      <c r="Q344" s="97">
        <f t="shared" si="2671"/>
        <v>0</v>
      </c>
      <c r="R344" s="342">
        <f t="shared" si="2672"/>
        <v>0</v>
      </c>
      <c r="S344" s="97"/>
      <c r="T344" s="97">
        <f t="shared" ref="T344:T345" si="2793">I344*S344*$T$2/1000</f>
        <v>0</v>
      </c>
      <c r="U344" s="97"/>
      <c r="V344" s="177">
        <f t="shared" ref="V344:V345" si="2794">I344*U344*$V$2/1000</f>
        <v>0</v>
      </c>
      <c r="W344" s="207"/>
      <c r="X344" s="206">
        <f t="shared" ref="X344:X345" si="2795">I344*W344*$X$2/1000</f>
        <v>0</v>
      </c>
      <c r="Y344" s="189">
        <f>SUM(S344+U344+W344)</f>
        <v>0</v>
      </c>
      <c r="Z344" s="177">
        <f t="shared" si="2691"/>
        <v>0</v>
      </c>
      <c r="AA344" s="207"/>
      <c r="AB344" s="206">
        <f t="shared" ref="AB344:AB345" si="2796">K344*AA344*$AB$2/1000</f>
        <v>0</v>
      </c>
      <c r="AC344" s="207"/>
      <c r="AD344" s="177">
        <f t="shared" ref="AD344:AD345" si="2797">K344*AC344*$AD$2/1000</f>
        <v>0</v>
      </c>
      <c r="AE344" s="207"/>
      <c r="AF344" s="205">
        <f>K344*AE344*$AF$2/1000</f>
        <v>0</v>
      </c>
      <c r="AG344" s="189">
        <f t="shared" si="2694"/>
        <v>0</v>
      </c>
      <c r="AH344" s="97">
        <f t="shared" si="2695"/>
        <v>0</v>
      </c>
      <c r="AI344" s="97">
        <f>SUM(Y344+AG344)</f>
        <v>0</v>
      </c>
      <c r="AJ344" s="177">
        <f t="shared" si="2679"/>
        <v>0</v>
      </c>
      <c r="AK344" s="207"/>
      <c r="AL344" s="177">
        <f>M344*AK344*$AL$2/1000</f>
        <v>0</v>
      </c>
      <c r="AM344" s="245"/>
      <c r="AN344" s="177">
        <f t="shared" si="2681"/>
        <v>0</v>
      </c>
      <c r="AO344" s="207"/>
      <c r="AP344" s="206">
        <f>M344*AO344*$AP$2/1000</f>
        <v>0</v>
      </c>
      <c r="AQ344" s="189">
        <f t="shared" si="2696"/>
        <v>0</v>
      </c>
      <c r="AR344" s="97">
        <f t="shared" si="2697"/>
        <v>0</v>
      </c>
      <c r="AS344" s="97"/>
      <c r="AT344" s="177">
        <f t="shared" si="2685"/>
        <v>0</v>
      </c>
      <c r="AU344" s="207"/>
      <c r="AV344" s="177">
        <f t="shared" si="2686"/>
        <v>0</v>
      </c>
      <c r="AW344" s="207"/>
      <c r="AX344" s="206">
        <f t="shared" si="2543"/>
        <v>0</v>
      </c>
      <c r="AY344" s="189">
        <f t="shared" si="2698"/>
        <v>0</v>
      </c>
      <c r="AZ344" s="97">
        <f t="shared" si="2699"/>
        <v>0</v>
      </c>
      <c r="BA344" s="97">
        <f t="shared" si="2688"/>
        <v>0</v>
      </c>
      <c r="BB344" s="97">
        <f t="shared" si="2689"/>
        <v>0</v>
      </c>
      <c r="BC344" s="1" t="s">
        <v>1780</v>
      </c>
    </row>
    <row r="345" spans="1:55">
      <c r="A345" s="498">
        <v>180</v>
      </c>
      <c r="B345" s="13"/>
      <c r="C345" s="13" t="s">
        <v>1451</v>
      </c>
      <c r="D345" s="13"/>
      <c r="E345" s="21" t="s">
        <v>1454</v>
      </c>
      <c r="F345" s="22" t="s">
        <v>1456</v>
      </c>
      <c r="G345" s="22" t="s">
        <v>1105</v>
      </c>
      <c r="H345" s="268" t="s">
        <v>365</v>
      </c>
      <c r="I345" s="55">
        <v>8.6</v>
      </c>
      <c r="J345" s="102"/>
      <c r="K345" s="55">
        <v>8.6</v>
      </c>
      <c r="L345" s="163"/>
      <c r="M345" s="55">
        <v>8.6</v>
      </c>
      <c r="N345" s="163"/>
      <c r="O345" s="55">
        <v>8.6</v>
      </c>
      <c r="P345" s="102"/>
      <c r="Q345" s="97">
        <f t="shared" si="2671"/>
        <v>0</v>
      </c>
      <c r="R345" s="342">
        <f t="shared" si="2672"/>
        <v>0</v>
      </c>
      <c r="S345" s="97"/>
      <c r="T345" s="97">
        <f t="shared" si="2793"/>
        <v>0</v>
      </c>
      <c r="U345" s="97"/>
      <c r="V345" s="177">
        <f t="shared" si="2794"/>
        <v>0</v>
      </c>
      <c r="W345" s="207"/>
      <c r="X345" s="206">
        <f t="shared" si="2795"/>
        <v>0</v>
      </c>
      <c r="Y345" s="189">
        <f t="shared" ref="Y345" si="2798">SUM(S345+U345+W345)</f>
        <v>0</v>
      </c>
      <c r="Z345" s="177">
        <f t="shared" si="2691"/>
        <v>0</v>
      </c>
      <c r="AA345" s="207"/>
      <c r="AB345" s="206">
        <f t="shared" si="2796"/>
        <v>0</v>
      </c>
      <c r="AC345" s="207"/>
      <c r="AD345" s="177">
        <f t="shared" si="2797"/>
        <v>0</v>
      </c>
      <c r="AE345" s="207"/>
      <c r="AF345" s="205">
        <f t="shared" ref="AF345" si="2799">K345*AE345*$AF$2/1000</f>
        <v>0</v>
      </c>
      <c r="AG345" s="189">
        <f t="shared" si="2694"/>
        <v>0</v>
      </c>
      <c r="AH345" s="97">
        <f t="shared" si="2695"/>
        <v>0</v>
      </c>
      <c r="AI345" s="97">
        <f t="shared" ref="AI345" si="2800">SUM(Y345+AG345)</f>
        <v>0</v>
      </c>
      <c r="AJ345" s="177">
        <f t="shared" si="2679"/>
        <v>0</v>
      </c>
      <c r="AK345" s="207"/>
      <c r="AL345" s="177">
        <f t="shared" ref="AL345" si="2801">M345*AK345*$AL$2/1000</f>
        <v>0</v>
      </c>
      <c r="AM345" s="245"/>
      <c r="AN345" s="177">
        <f t="shared" si="2681"/>
        <v>0</v>
      </c>
      <c r="AO345" s="207"/>
      <c r="AP345" s="206">
        <f t="shared" ref="AP345" si="2802">M345*AO345*$AP$2/1000</f>
        <v>0</v>
      </c>
      <c r="AQ345" s="189">
        <f t="shared" si="2696"/>
        <v>0</v>
      </c>
      <c r="AR345" s="97">
        <f t="shared" si="2697"/>
        <v>0</v>
      </c>
      <c r="AS345" s="97"/>
      <c r="AT345" s="177">
        <f t="shared" si="2685"/>
        <v>0</v>
      </c>
      <c r="AU345" s="207"/>
      <c r="AV345" s="177">
        <f t="shared" si="2686"/>
        <v>0</v>
      </c>
      <c r="AW345" s="207"/>
      <c r="AX345" s="206">
        <f t="shared" si="2543"/>
        <v>0</v>
      </c>
      <c r="AY345" s="189">
        <f t="shared" si="2698"/>
        <v>0</v>
      </c>
      <c r="AZ345" s="97">
        <f t="shared" si="2699"/>
        <v>0</v>
      </c>
      <c r="BA345" s="97">
        <f t="shared" si="2688"/>
        <v>0</v>
      </c>
      <c r="BB345" s="97">
        <f t="shared" si="2689"/>
        <v>0</v>
      </c>
      <c r="BC345" s="1" t="s">
        <v>1780</v>
      </c>
    </row>
    <row r="346" spans="1:55">
      <c r="A346" s="498">
        <v>179</v>
      </c>
      <c r="B346" s="53" t="s">
        <v>1519</v>
      </c>
      <c r="C346" s="53" t="s">
        <v>33</v>
      </c>
      <c r="D346" s="53" t="s">
        <v>686</v>
      </c>
      <c r="E346" s="21" t="s">
        <v>1520</v>
      </c>
      <c r="F346" s="22" t="s">
        <v>1007</v>
      </c>
      <c r="G346" s="22" t="s">
        <v>1105</v>
      </c>
      <c r="H346" s="268" t="s">
        <v>365</v>
      </c>
      <c r="I346" s="55">
        <v>6.5</v>
      </c>
      <c r="J346" s="102"/>
      <c r="K346" s="55">
        <v>6.5</v>
      </c>
      <c r="L346" s="163"/>
      <c r="M346" s="55">
        <v>6.5</v>
      </c>
      <c r="N346" s="163"/>
      <c r="O346" s="55">
        <v>6.5</v>
      </c>
      <c r="P346" s="102"/>
      <c r="Q346" s="97">
        <f t="shared" ref="Q346:Q354" si="2803">SUM(AI346+BA346)</f>
        <v>35.567999999999998</v>
      </c>
      <c r="R346" s="342">
        <f t="shared" ref="R346:R354" si="2804">SUM(AJ346+BB346)</f>
        <v>317.70138815999996</v>
      </c>
      <c r="S346" s="97">
        <v>2.016</v>
      </c>
      <c r="T346" s="97">
        <f t="shared" ref="T346:T354" si="2805">I346*S346*$T$2/1000</f>
        <v>17.32204656</v>
      </c>
      <c r="U346" s="97">
        <v>5.04</v>
      </c>
      <c r="V346" s="177">
        <f t="shared" ref="V346:V354" si="2806">I346*U346*$V$2/1000</f>
        <v>43.583904000000004</v>
      </c>
      <c r="W346" s="207"/>
      <c r="X346" s="206">
        <f t="shared" ref="X346:X354" si="2807">I346*W346*$X$2/1000</f>
        <v>0</v>
      </c>
      <c r="Y346" s="189">
        <f>SUM(S346+U346+W346)</f>
        <v>7.056</v>
      </c>
      <c r="Z346" s="177">
        <f t="shared" ref="Z346:Z354" si="2808">SUM(T346+V346+X346)</f>
        <v>60.905950560000008</v>
      </c>
      <c r="AA346" s="207"/>
      <c r="AB346" s="206">
        <f t="shared" ref="AB346:AB354" si="2809">K346*AA346*$AB$2/1000</f>
        <v>0</v>
      </c>
      <c r="AC346" s="207"/>
      <c r="AD346" s="177">
        <f t="shared" ref="AD346:AD354" si="2810">K346*AC346*$AD$2/1000</f>
        <v>0</v>
      </c>
      <c r="AE346" s="207">
        <v>11.087999999999999</v>
      </c>
      <c r="AF346" s="205">
        <f>K346*AE346*$AF$2/1000</f>
        <v>99.375035759999989</v>
      </c>
      <c r="AG346" s="189">
        <f t="shared" ref="AG346:AG354" si="2811">SUM(AA346+AC346+AE346)</f>
        <v>11.087999999999999</v>
      </c>
      <c r="AH346" s="97">
        <f t="shared" ref="AH346:AH354" si="2812">SUM(AB346+AD346+AF346)</f>
        <v>99.375035759999989</v>
      </c>
      <c r="AI346" s="97">
        <f>SUM(Y346+AG346)</f>
        <v>18.143999999999998</v>
      </c>
      <c r="AJ346" s="177">
        <f t="shared" ref="AJ346:AJ354" si="2813">SUM(Z346,AH346)</f>
        <v>160.28098632000001</v>
      </c>
      <c r="AK346" s="207"/>
      <c r="AL346" s="177">
        <f>M346*AK346*$AL$2/1000</f>
        <v>0</v>
      </c>
      <c r="AM346" s="245">
        <v>5.04</v>
      </c>
      <c r="AN346" s="177">
        <f t="shared" ref="AN346:AN354" si="2814">M346*AM346*$AN$2/1000</f>
        <v>44.589635999999992</v>
      </c>
      <c r="AO346" s="207"/>
      <c r="AP346" s="206">
        <f>M346*AO346*$AP$2/1000</f>
        <v>0</v>
      </c>
      <c r="AQ346" s="189">
        <f t="shared" ref="AQ346:AQ354" si="2815">SUM(AK346+AM346+AO346)</f>
        <v>5.04</v>
      </c>
      <c r="AR346" s="97">
        <f t="shared" ref="AR346:AR354" si="2816">SUM(AL346+AN346+AP346)</f>
        <v>44.589635999999992</v>
      </c>
      <c r="AS346" s="97"/>
      <c r="AT346" s="177">
        <f t="shared" ref="AT346:AT354" si="2817">O346*AS346*$AT$2/1000</f>
        <v>0</v>
      </c>
      <c r="AU346" s="207">
        <v>7.8959999999999999</v>
      </c>
      <c r="AV346" s="177">
        <f t="shared" ref="AV346:AV354" si="2818">O346*AU346*$AV$2/1000</f>
        <v>71.42607108</v>
      </c>
      <c r="AW346" s="207">
        <v>4.4880000000000004</v>
      </c>
      <c r="AX346" s="206">
        <f t="shared" ref="AX346:AX354" si="2819">O346*AW346*$AX$2/1000</f>
        <v>41.404694760000005</v>
      </c>
      <c r="AY346" s="189">
        <f t="shared" ref="AY346:AY354" si="2820">SUM(AS346+AU346+AW346)</f>
        <v>12.384</v>
      </c>
      <c r="AZ346" s="97">
        <f t="shared" ref="AZ346:AZ354" si="2821">SUM(AT346+AV346+AX346)</f>
        <v>112.83076584</v>
      </c>
      <c r="BA346" s="97">
        <f t="shared" ref="BA346:BA354" si="2822">SUM(AQ346+AY346)</f>
        <v>17.423999999999999</v>
      </c>
      <c r="BB346" s="97">
        <f t="shared" ref="BB346:BB354" si="2823">SUM(AR346,AZ346)</f>
        <v>157.42040183999998</v>
      </c>
      <c r="BC346" s="1" t="s">
        <v>1780</v>
      </c>
    </row>
    <row r="347" spans="1:55">
      <c r="A347" s="498">
        <v>180</v>
      </c>
      <c r="B347" s="13"/>
      <c r="C347" s="13" t="s">
        <v>216</v>
      </c>
      <c r="D347" s="13"/>
      <c r="E347" s="21" t="s">
        <v>1521</v>
      </c>
      <c r="F347" s="22" t="s">
        <v>1007</v>
      </c>
      <c r="G347" s="22" t="s">
        <v>1105</v>
      </c>
      <c r="H347" s="268" t="s">
        <v>365</v>
      </c>
      <c r="I347" s="55">
        <v>7.68</v>
      </c>
      <c r="J347" s="102"/>
      <c r="K347" s="55">
        <v>7.68</v>
      </c>
      <c r="L347" s="163"/>
      <c r="M347" s="55">
        <v>7.68</v>
      </c>
      <c r="N347" s="163"/>
      <c r="O347" s="55">
        <v>7.68</v>
      </c>
      <c r="P347" s="102"/>
      <c r="Q347" s="97">
        <f t="shared" si="2803"/>
        <v>36.04</v>
      </c>
      <c r="R347" s="342">
        <f t="shared" si="2804"/>
        <v>383.29411276799999</v>
      </c>
      <c r="S347" s="97">
        <v>2</v>
      </c>
      <c r="T347" s="97">
        <f t="shared" si="2805"/>
        <v>20.304230400000002</v>
      </c>
      <c r="U347" s="97"/>
      <c r="V347" s="177">
        <f t="shared" si="2806"/>
        <v>0</v>
      </c>
      <c r="W347" s="207"/>
      <c r="X347" s="206">
        <f t="shared" si="2807"/>
        <v>0</v>
      </c>
      <c r="Y347" s="189">
        <f t="shared" ref="Y347" si="2824">SUM(S347+U347+W347)</f>
        <v>2</v>
      </c>
      <c r="Z347" s="177">
        <f t="shared" si="2808"/>
        <v>20.304230400000002</v>
      </c>
      <c r="AA347" s="207"/>
      <c r="AB347" s="206">
        <f t="shared" si="2809"/>
        <v>0</v>
      </c>
      <c r="AC347" s="207"/>
      <c r="AD347" s="177">
        <f t="shared" si="2810"/>
        <v>0</v>
      </c>
      <c r="AE347" s="207">
        <v>5.08</v>
      </c>
      <c r="AF347" s="205">
        <f t="shared" ref="AF347" si="2825">K347*AE347*$AF$2/1000</f>
        <v>53.794225151999996</v>
      </c>
      <c r="AG347" s="189">
        <f t="shared" si="2811"/>
        <v>5.08</v>
      </c>
      <c r="AH347" s="97">
        <f t="shared" si="2812"/>
        <v>53.794225151999996</v>
      </c>
      <c r="AI347" s="97">
        <f t="shared" ref="AI347" si="2826">SUM(Y347+AG347)</f>
        <v>7.08</v>
      </c>
      <c r="AJ347" s="177">
        <f t="shared" si="2813"/>
        <v>74.09845555199999</v>
      </c>
      <c r="AK347" s="207">
        <v>6</v>
      </c>
      <c r="AL347" s="177">
        <f t="shared" ref="AL347" si="2827">M347*AK347*$AL$2/1000</f>
        <v>63.732326399999991</v>
      </c>
      <c r="AM347" s="245">
        <v>6.16</v>
      </c>
      <c r="AN347" s="177">
        <f t="shared" si="2814"/>
        <v>64.392007679999992</v>
      </c>
      <c r="AO347" s="207"/>
      <c r="AP347" s="206">
        <f t="shared" ref="AP347" si="2828">M347*AO347*$AP$2/1000</f>
        <v>0</v>
      </c>
      <c r="AQ347" s="189">
        <f t="shared" si="2815"/>
        <v>12.16</v>
      </c>
      <c r="AR347" s="97">
        <f t="shared" si="2816"/>
        <v>128.12433407999998</v>
      </c>
      <c r="AS347" s="97"/>
      <c r="AT347" s="177">
        <f t="shared" si="2817"/>
        <v>0</v>
      </c>
      <c r="AU347" s="207">
        <v>9.68</v>
      </c>
      <c r="AV347" s="177">
        <f t="shared" si="2818"/>
        <v>103.460087808</v>
      </c>
      <c r="AW347" s="207">
        <v>7.12</v>
      </c>
      <c r="AX347" s="206">
        <f t="shared" si="2819"/>
        <v>77.611235327999992</v>
      </c>
      <c r="AY347" s="189">
        <f t="shared" si="2820"/>
        <v>16.8</v>
      </c>
      <c r="AZ347" s="97">
        <f t="shared" si="2821"/>
        <v>181.07132313599999</v>
      </c>
      <c r="BA347" s="97">
        <f t="shared" si="2822"/>
        <v>28.96</v>
      </c>
      <c r="BB347" s="97">
        <f t="shared" si="2823"/>
        <v>309.19565721599997</v>
      </c>
      <c r="BC347" s="1" t="s">
        <v>1780</v>
      </c>
    </row>
    <row r="348" spans="1:55">
      <c r="A348" s="498">
        <v>179</v>
      </c>
      <c r="B348" s="13"/>
      <c r="C348" s="13"/>
      <c r="D348" s="13"/>
      <c r="E348" s="21" t="s">
        <v>1680</v>
      </c>
      <c r="F348" s="22" t="s">
        <v>1148</v>
      </c>
      <c r="G348" s="22" t="s">
        <v>1105</v>
      </c>
      <c r="H348" s="268" t="s">
        <v>365</v>
      </c>
      <c r="I348" s="55">
        <v>6.7</v>
      </c>
      <c r="J348" s="102"/>
      <c r="K348" s="55">
        <v>6.7</v>
      </c>
      <c r="L348" s="163"/>
      <c r="M348" s="55">
        <v>6.7</v>
      </c>
      <c r="N348" s="163"/>
      <c r="O348" s="55">
        <v>6.7</v>
      </c>
      <c r="P348" s="102"/>
      <c r="Q348" s="97">
        <f t="shared" ref="Q348" si="2829">SUM(AI348+BA348)</f>
        <v>3.4020000000000001</v>
      </c>
      <c r="R348" s="342">
        <f t="shared" ref="R348" si="2830">SUM(AJ348+BB348)</f>
        <v>31.488869441999999</v>
      </c>
      <c r="S348" s="97"/>
      <c r="T348" s="97">
        <f t="shared" ref="T348" si="2831">I348*S348*$T$2/1000</f>
        <v>0</v>
      </c>
      <c r="U348" s="97"/>
      <c r="V348" s="177">
        <f t="shared" ref="V348" si="2832">I348*U348*$V$2/1000</f>
        <v>0</v>
      </c>
      <c r="W348" s="207"/>
      <c r="X348" s="206">
        <f t="shared" ref="X348" si="2833">I348*W348*$X$2/1000</f>
        <v>0</v>
      </c>
      <c r="Y348" s="189">
        <f>SUM(S348+U348+W348)</f>
        <v>0</v>
      </c>
      <c r="Z348" s="177">
        <f t="shared" ref="Z348" si="2834">SUM(T348+V348+X348)</f>
        <v>0</v>
      </c>
      <c r="AA348" s="207"/>
      <c r="AB348" s="206">
        <f t="shared" ref="AB348" si="2835">K348*AA348*$AB$2/1000</f>
        <v>0</v>
      </c>
      <c r="AC348" s="207">
        <v>0.40200000000000002</v>
      </c>
      <c r="AD348" s="177">
        <f t="shared" ref="AD348" si="2836">K348*AC348*$AD$2/1000</f>
        <v>3.6889614420000001</v>
      </c>
      <c r="AE348" s="207"/>
      <c r="AF348" s="205">
        <f>K348*AE348*$AF$2/1000</f>
        <v>0</v>
      </c>
      <c r="AG348" s="189">
        <f t="shared" ref="AG348" si="2837">SUM(AA348+AC348+AE348)</f>
        <v>0.40200000000000002</v>
      </c>
      <c r="AH348" s="97">
        <f t="shared" ref="AH348" si="2838">SUM(AB348+AD348+AF348)</f>
        <v>3.6889614420000001</v>
      </c>
      <c r="AI348" s="97">
        <f>SUM(Y348+AG348)</f>
        <v>0.40200000000000002</v>
      </c>
      <c r="AJ348" s="177">
        <f t="shared" ref="AJ348" si="2839">SUM(Z348,AH348)</f>
        <v>3.6889614420000001</v>
      </c>
      <c r="AK348" s="207">
        <v>3</v>
      </c>
      <c r="AL348" s="177">
        <f>M348*AK348*$AL$2/1000</f>
        <v>27.799907999999999</v>
      </c>
      <c r="AM348" s="245"/>
      <c r="AN348" s="177">
        <f t="shared" ref="AN348" si="2840">M348*AM348*$AN$2/1000</f>
        <v>0</v>
      </c>
      <c r="AO348" s="207"/>
      <c r="AP348" s="206">
        <f>M348*AO348*$AP$2/1000</f>
        <v>0</v>
      </c>
      <c r="AQ348" s="189">
        <f t="shared" ref="AQ348" si="2841">SUM(AK348+AM348+AO348)</f>
        <v>3</v>
      </c>
      <c r="AR348" s="97">
        <f t="shared" ref="AR348" si="2842">SUM(AL348+AN348+AP348)</f>
        <v>27.799907999999999</v>
      </c>
      <c r="AS348" s="97"/>
      <c r="AT348" s="177">
        <f t="shared" ref="AT348" si="2843">O348*AS348*$AT$2/1000</f>
        <v>0</v>
      </c>
      <c r="AU348" s="207"/>
      <c r="AV348" s="177">
        <f t="shared" ref="AV348" si="2844">O348*AU348*$AV$2/1000</f>
        <v>0</v>
      </c>
      <c r="AW348" s="207"/>
      <c r="AX348" s="206">
        <f t="shared" ref="AX348" si="2845">O348*AW348*$AX$2/1000</f>
        <v>0</v>
      </c>
      <c r="AY348" s="189">
        <f t="shared" ref="AY348" si="2846">SUM(AS348+AU348+AW348)</f>
        <v>0</v>
      </c>
      <c r="AZ348" s="97">
        <f t="shared" ref="AZ348" si="2847">SUM(AT348+AV348+AX348)</f>
        <v>0</v>
      </c>
      <c r="BA348" s="97">
        <f t="shared" ref="BA348" si="2848">SUM(AQ348+AY348)</f>
        <v>3</v>
      </c>
      <c r="BB348" s="97">
        <f t="shared" ref="BB348" si="2849">SUM(AR348,AZ348)</f>
        <v>27.799907999999999</v>
      </c>
      <c r="BC348" s="1" t="s">
        <v>1782</v>
      </c>
    </row>
    <row r="349" spans="1:55">
      <c r="A349" s="498">
        <v>179</v>
      </c>
      <c r="B349" s="13"/>
      <c r="C349" s="13"/>
      <c r="D349" s="13"/>
      <c r="E349" s="21" t="s">
        <v>1336</v>
      </c>
      <c r="F349" s="22" t="s">
        <v>1148</v>
      </c>
      <c r="G349" s="22" t="s">
        <v>1105</v>
      </c>
      <c r="H349" s="268" t="s">
        <v>365</v>
      </c>
      <c r="I349" s="55">
        <v>6.7</v>
      </c>
      <c r="J349" s="102"/>
      <c r="K349" s="55">
        <v>6.7</v>
      </c>
      <c r="L349" s="163"/>
      <c r="M349" s="55">
        <v>6.7</v>
      </c>
      <c r="N349" s="163"/>
      <c r="O349" s="55">
        <v>6.7</v>
      </c>
      <c r="P349" s="102"/>
      <c r="Q349" s="97">
        <f t="shared" si="2803"/>
        <v>3.4020000000000001</v>
      </c>
      <c r="R349" s="342">
        <f t="shared" si="2804"/>
        <v>31.488869441999999</v>
      </c>
      <c r="S349" s="97"/>
      <c r="T349" s="97">
        <f t="shared" si="2805"/>
        <v>0</v>
      </c>
      <c r="U349" s="97"/>
      <c r="V349" s="177">
        <f t="shared" si="2806"/>
        <v>0</v>
      </c>
      <c r="W349" s="207"/>
      <c r="X349" s="206">
        <f t="shared" si="2807"/>
        <v>0</v>
      </c>
      <c r="Y349" s="189">
        <f>SUM(S349+U349+W349)</f>
        <v>0</v>
      </c>
      <c r="Z349" s="177">
        <f t="shared" si="2808"/>
        <v>0</v>
      </c>
      <c r="AA349" s="207"/>
      <c r="AB349" s="206">
        <f t="shared" si="2809"/>
        <v>0</v>
      </c>
      <c r="AC349" s="207">
        <v>0.40200000000000002</v>
      </c>
      <c r="AD349" s="177">
        <f t="shared" si="2810"/>
        <v>3.6889614420000001</v>
      </c>
      <c r="AE349" s="207"/>
      <c r="AF349" s="205">
        <f>K349*AE349*$AF$2/1000</f>
        <v>0</v>
      </c>
      <c r="AG349" s="189">
        <f t="shared" si="2811"/>
        <v>0.40200000000000002</v>
      </c>
      <c r="AH349" s="97">
        <f t="shared" si="2812"/>
        <v>3.6889614420000001</v>
      </c>
      <c r="AI349" s="97">
        <f>SUM(Y349+AG349)</f>
        <v>0.40200000000000002</v>
      </c>
      <c r="AJ349" s="177">
        <f t="shared" si="2813"/>
        <v>3.6889614420000001</v>
      </c>
      <c r="AK349" s="207">
        <v>3</v>
      </c>
      <c r="AL349" s="177">
        <f>M349*AK349*$AL$2/1000</f>
        <v>27.799907999999999</v>
      </c>
      <c r="AM349" s="245"/>
      <c r="AN349" s="177">
        <f t="shared" si="2814"/>
        <v>0</v>
      </c>
      <c r="AO349" s="207"/>
      <c r="AP349" s="206">
        <f>M349*AO349*$AP$2/1000</f>
        <v>0</v>
      </c>
      <c r="AQ349" s="189">
        <f t="shared" si="2815"/>
        <v>3</v>
      </c>
      <c r="AR349" s="97">
        <f t="shared" si="2816"/>
        <v>27.799907999999999</v>
      </c>
      <c r="AS349" s="97"/>
      <c r="AT349" s="177">
        <f t="shared" si="2817"/>
        <v>0</v>
      </c>
      <c r="AU349" s="207"/>
      <c r="AV349" s="177">
        <f t="shared" si="2818"/>
        <v>0</v>
      </c>
      <c r="AW349" s="207"/>
      <c r="AX349" s="206">
        <f t="shared" si="2819"/>
        <v>0</v>
      </c>
      <c r="AY349" s="189">
        <f t="shared" si="2820"/>
        <v>0</v>
      </c>
      <c r="AZ349" s="97">
        <f t="shared" si="2821"/>
        <v>0</v>
      </c>
      <c r="BA349" s="97">
        <f t="shared" si="2822"/>
        <v>3</v>
      </c>
      <c r="BB349" s="97">
        <f t="shared" si="2823"/>
        <v>27.799907999999999</v>
      </c>
      <c r="BC349" s="1" t="s">
        <v>1782</v>
      </c>
    </row>
    <row r="350" spans="1:55">
      <c r="A350" s="498">
        <v>180</v>
      </c>
      <c r="B350" s="24"/>
      <c r="C350" s="24"/>
      <c r="D350" s="24"/>
      <c r="E350" s="21" t="s">
        <v>1015</v>
      </c>
      <c r="F350" s="22" t="s">
        <v>1148</v>
      </c>
      <c r="G350" s="22" t="s">
        <v>1105</v>
      </c>
      <c r="H350" s="268" t="s">
        <v>365</v>
      </c>
      <c r="I350" s="55">
        <v>5.29</v>
      </c>
      <c r="J350" s="102"/>
      <c r="K350" s="55">
        <v>5.29</v>
      </c>
      <c r="L350" s="163"/>
      <c r="M350" s="55">
        <v>5.29</v>
      </c>
      <c r="N350" s="163"/>
      <c r="O350" s="55">
        <v>5.29</v>
      </c>
      <c r="P350" s="102"/>
      <c r="Q350" s="97">
        <f t="shared" si="2803"/>
        <v>3.41</v>
      </c>
      <c r="R350" s="342">
        <f t="shared" si="2804"/>
        <v>24.920639310999999</v>
      </c>
      <c r="S350" s="97"/>
      <c r="T350" s="97">
        <f t="shared" si="2805"/>
        <v>0</v>
      </c>
      <c r="U350" s="97"/>
      <c r="V350" s="177">
        <f t="shared" si="2806"/>
        <v>0</v>
      </c>
      <c r="W350" s="207"/>
      <c r="X350" s="206">
        <f t="shared" si="2807"/>
        <v>0</v>
      </c>
      <c r="Y350" s="189">
        <f t="shared" ref="Y350" si="2850">SUM(S350+U350+W350)</f>
        <v>0</v>
      </c>
      <c r="Z350" s="177">
        <f t="shared" si="2808"/>
        <v>0</v>
      </c>
      <c r="AA350" s="207"/>
      <c r="AB350" s="206">
        <f t="shared" si="2809"/>
        <v>0</v>
      </c>
      <c r="AC350" s="207">
        <v>0.40200000000000002</v>
      </c>
      <c r="AD350" s="177">
        <f t="shared" si="2810"/>
        <v>2.9126277654000003</v>
      </c>
      <c r="AE350" s="207"/>
      <c r="AF350" s="205">
        <f t="shared" ref="AF350" si="2851">K350*AE350*$AF$2/1000</f>
        <v>0</v>
      </c>
      <c r="AG350" s="189">
        <f t="shared" si="2811"/>
        <v>0.40200000000000002</v>
      </c>
      <c r="AH350" s="97">
        <f t="shared" si="2812"/>
        <v>2.9126277654000003</v>
      </c>
      <c r="AI350" s="97">
        <f t="shared" ref="AI350" si="2852">SUM(Y350+AG350)</f>
        <v>0.40200000000000002</v>
      </c>
      <c r="AJ350" s="177">
        <f t="shared" si="2813"/>
        <v>2.9126277654000003</v>
      </c>
      <c r="AK350" s="207">
        <v>3.008</v>
      </c>
      <c r="AL350" s="177">
        <f t="shared" ref="AL350" si="2853">M350*AK350*$AL$2/1000</f>
        <v>22.008011545599999</v>
      </c>
      <c r="AM350" s="245"/>
      <c r="AN350" s="177">
        <f t="shared" si="2814"/>
        <v>0</v>
      </c>
      <c r="AO350" s="207"/>
      <c r="AP350" s="206">
        <f t="shared" ref="AP350" si="2854">M350*AO350*$AP$2/1000</f>
        <v>0</v>
      </c>
      <c r="AQ350" s="189">
        <f t="shared" si="2815"/>
        <v>3.008</v>
      </c>
      <c r="AR350" s="97">
        <f t="shared" si="2816"/>
        <v>22.008011545599999</v>
      </c>
      <c r="AS350" s="97"/>
      <c r="AT350" s="177">
        <f t="shared" si="2817"/>
        <v>0</v>
      </c>
      <c r="AU350" s="207"/>
      <c r="AV350" s="177">
        <f t="shared" si="2818"/>
        <v>0</v>
      </c>
      <c r="AW350" s="207"/>
      <c r="AX350" s="206">
        <f t="shared" si="2819"/>
        <v>0</v>
      </c>
      <c r="AY350" s="189">
        <f t="shared" si="2820"/>
        <v>0</v>
      </c>
      <c r="AZ350" s="97">
        <f t="shared" si="2821"/>
        <v>0</v>
      </c>
      <c r="BA350" s="97">
        <f t="shared" si="2822"/>
        <v>3.008</v>
      </c>
      <c r="BB350" s="97">
        <f t="shared" si="2823"/>
        <v>22.008011545599999</v>
      </c>
      <c r="BC350" s="1" t="s">
        <v>1782</v>
      </c>
    </row>
    <row r="351" spans="1:55">
      <c r="A351" s="498">
        <v>179</v>
      </c>
      <c r="B351" s="53" t="s">
        <v>1583</v>
      </c>
      <c r="C351" s="53" t="s">
        <v>33</v>
      </c>
      <c r="D351" s="53" t="s">
        <v>241</v>
      </c>
      <c r="E351" s="21" t="s">
        <v>1728</v>
      </c>
      <c r="F351" s="22" t="s">
        <v>1007</v>
      </c>
      <c r="G351" s="22" t="s">
        <v>1105</v>
      </c>
      <c r="H351" s="268" t="s">
        <v>365</v>
      </c>
      <c r="I351" s="55">
        <v>6.31</v>
      </c>
      <c r="J351" s="102"/>
      <c r="K351" s="55">
        <v>6.31</v>
      </c>
      <c r="L351" s="163"/>
      <c r="M351" s="55">
        <v>6.31</v>
      </c>
      <c r="N351" s="163"/>
      <c r="O351" s="55">
        <v>6.31</v>
      </c>
      <c r="P351" s="102"/>
      <c r="Q351" s="97">
        <f t="shared" ref="Q351:Q352" si="2855">SUM(AI351+BA351)</f>
        <v>119.74200000000002</v>
      </c>
      <c r="R351" s="342">
        <f t="shared" ref="R351:R352" si="2856">SUM(AJ351+BB351)</f>
        <v>1030.3568170602</v>
      </c>
      <c r="S351" s="97">
        <v>17.262</v>
      </c>
      <c r="T351" s="97">
        <f t="shared" ref="T351:T352" si="2857">I351*S351*$T$2/1000</f>
        <v>143.9845152858</v>
      </c>
      <c r="U351" s="97"/>
      <c r="V351" s="177">
        <f t="shared" ref="V351:V352" si="2858">I351*U351*$V$2/1000</f>
        <v>0</v>
      </c>
      <c r="W351" s="207">
        <v>10.752000000000001</v>
      </c>
      <c r="X351" s="206">
        <f t="shared" ref="X351:X352" si="2859">I351*W351*$X$2/1000</f>
        <v>90.274716671999983</v>
      </c>
      <c r="Y351" s="189">
        <f>SUM(S351+U351+W351)</f>
        <v>28.014000000000003</v>
      </c>
      <c r="Z351" s="177">
        <f t="shared" ref="Z351:Z352" si="2860">SUM(T351+V351+X351)</f>
        <v>234.25923195779998</v>
      </c>
      <c r="AA351" s="207"/>
      <c r="AB351" s="206">
        <f t="shared" ref="AB351:AB352" si="2861">K351*AA351*$AB$2/1000</f>
        <v>0</v>
      </c>
      <c r="AC351" s="207">
        <v>19.152000000000001</v>
      </c>
      <c r="AD351" s="177">
        <f t="shared" ref="AD351:AD352" si="2862">K351*AC351*$AD$2/1000</f>
        <v>165.5185802256</v>
      </c>
      <c r="AE351" s="207">
        <v>7.056</v>
      </c>
      <c r="AF351" s="205">
        <f>K351*AE351*$AF$2/1000</f>
        <v>61.390144468799988</v>
      </c>
      <c r="AG351" s="189">
        <f t="shared" ref="AG351:AG352" si="2863">SUM(AA351+AC351+AE351)</f>
        <v>26.208000000000002</v>
      </c>
      <c r="AH351" s="97">
        <f t="shared" ref="AH351:AH352" si="2864">SUM(AB351+AD351+AF351)</f>
        <v>226.90872469440001</v>
      </c>
      <c r="AI351" s="97">
        <f>SUM(Y351+AG351)</f>
        <v>54.222000000000008</v>
      </c>
      <c r="AJ351" s="177">
        <f t="shared" ref="AJ351:AJ352" si="2865">SUM(Z351,AH351)</f>
        <v>461.16795665220002</v>
      </c>
      <c r="AK351" s="207">
        <v>15.12</v>
      </c>
      <c r="AL351" s="177">
        <f>M351*AK351*$AL$2/1000</f>
        <v>131.95579017599999</v>
      </c>
      <c r="AM351" s="245">
        <v>20.16</v>
      </c>
      <c r="AN351" s="177">
        <f t="shared" ref="AN351:AN352" si="2866">M351*AM351*$AN$2/1000</f>
        <v>173.14498655999998</v>
      </c>
      <c r="AO351" s="207"/>
      <c r="AP351" s="206">
        <f>M351*AO351*$AP$2/1000</f>
        <v>0</v>
      </c>
      <c r="AQ351" s="189">
        <f t="shared" ref="AQ351:AQ352" si="2867">SUM(AK351+AM351+AO351)</f>
        <v>35.28</v>
      </c>
      <c r="AR351" s="97">
        <f t="shared" ref="AR351:AR352" si="2868">SUM(AL351+AN351+AP351)</f>
        <v>305.10077673599994</v>
      </c>
      <c r="AS351" s="97">
        <v>15.12</v>
      </c>
      <c r="AT351" s="177">
        <f t="shared" ref="AT351:AT352" si="2869">O351*AS351*$AT$2/1000</f>
        <v>129.55343687999999</v>
      </c>
      <c r="AU351" s="207">
        <v>5.04</v>
      </c>
      <c r="AV351" s="177">
        <f t="shared" ref="AV351:AV352" si="2870">O351*AU351*$AV$2/1000</f>
        <v>44.258446008</v>
      </c>
      <c r="AW351" s="207">
        <v>10.08</v>
      </c>
      <c r="AX351" s="206">
        <f t="shared" ref="AX351:AX352" si="2871">O351*AW351*$AX$2/1000</f>
        <v>90.276200783999982</v>
      </c>
      <c r="AY351" s="189">
        <f t="shared" ref="AY351:AY352" si="2872">SUM(AS351+AU351+AW351)</f>
        <v>30.240000000000002</v>
      </c>
      <c r="AZ351" s="97">
        <f t="shared" ref="AZ351:AZ352" si="2873">SUM(AT351+AV351+AX351)</f>
        <v>264.08808367199998</v>
      </c>
      <c r="BA351" s="97">
        <f t="shared" ref="BA351:BA352" si="2874">SUM(AQ351+AY351)</f>
        <v>65.52000000000001</v>
      </c>
      <c r="BB351" s="97">
        <f t="shared" ref="BB351:BB352" si="2875">SUM(AR351,AZ351)</f>
        <v>569.18886040799998</v>
      </c>
      <c r="BC351" s="1" t="s">
        <v>1782</v>
      </c>
    </row>
    <row r="352" spans="1:55">
      <c r="A352" s="498">
        <v>180</v>
      </c>
      <c r="B352" s="13"/>
      <c r="C352" s="13"/>
      <c r="D352" s="13"/>
      <c r="E352" s="21" t="s">
        <v>1729</v>
      </c>
      <c r="F352" s="22" t="s">
        <v>1007</v>
      </c>
      <c r="G352" s="22" t="s">
        <v>1105</v>
      </c>
      <c r="H352" s="268" t="s">
        <v>365</v>
      </c>
      <c r="I352" s="55">
        <v>7.49</v>
      </c>
      <c r="J352" s="102"/>
      <c r="K352" s="55">
        <v>7.49</v>
      </c>
      <c r="L352" s="163"/>
      <c r="M352" s="55">
        <v>7.49</v>
      </c>
      <c r="N352" s="163"/>
      <c r="O352" s="55">
        <v>7.49</v>
      </c>
      <c r="P352" s="102"/>
      <c r="Q352" s="97">
        <f t="shared" si="2855"/>
        <v>11.030000000000001</v>
      </c>
      <c r="R352" s="342">
        <f t="shared" si="2856"/>
        <v>112.4843431866</v>
      </c>
      <c r="S352" s="97">
        <v>2</v>
      </c>
      <c r="T352" s="97">
        <f t="shared" si="2857"/>
        <v>19.801912200000004</v>
      </c>
      <c r="U352" s="97"/>
      <c r="V352" s="177">
        <f t="shared" si="2858"/>
        <v>0</v>
      </c>
      <c r="W352" s="207"/>
      <c r="X352" s="206">
        <f t="shared" si="2859"/>
        <v>0</v>
      </c>
      <c r="Y352" s="189">
        <f t="shared" ref="Y352" si="2876">SUM(S352+U352+W352)</f>
        <v>2</v>
      </c>
      <c r="Z352" s="177">
        <f t="shared" si="2860"/>
        <v>19.801912200000004</v>
      </c>
      <c r="AA352" s="207"/>
      <c r="AB352" s="206">
        <f t="shared" si="2861"/>
        <v>0</v>
      </c>
      <c r="AC352" s="207"/>
      <c r="AD352" s="177">
        <f t="shared" si="2862"/>
        <v>0</v>
      </c>
      <c r="AE352" s="207">
        <v>3.528</v>
      </c>
      <c r="AF352" s="205">
        <f t="shared" ref="AF352" si="2877">K352*AE352*$AF$2/1000</f>
        <v>36.435196677599997</v>
      </c>
      <c r="AG352" s="189">
        <f t="shared" si="2863"/>
        <v>3.528</v>
      </c>
      <c r="AH352" s="97">
        <f t="shared" si="2864"/>
        <v>36.435196677599997</v>
      </c>
      <c r="AI352" s="97">
        <f t="shared" ref="AI352" si="2878">SUM(Y352+AG352)</f>
        <v>5.5280000000000005</v>
      </c>
      <c r="AJ352" s="177">
        <f t="shared" si="2865"/>
        <v>56.237108877600001</v>
      </c>
      <c r="AK352" s="207">
        <v>3.528</v>
      </c>
      <c r="AL352" s="177">
        <f t="shared" ref="AL352" si="2879">M352*AK352*$AL$2/1000</f>
        <v>36.547501737599994</v>
      </c>
      <c r="AM352" s="245"/>
      <c r="AN352" s="177">
        <f t="shared" si="2866"/>
        <v>0</v>
      </c>
      <c r="AO352" s="207">
        <v>1.974</v>
      </c>
      <c r="AP352" s="206">
        <f t="shared" ref="AP352" si="2880">M352*AO352*$AP$2/1000</f>
        <v>19.699732571400002</v>
      </c>
      <c r="AQ352" s="189">
        <f t="shared" si="2867"/>
        <v>5.5019999999999998</v>
      </c>
      <c r="AR352" s="97">
        <f t="shared" si="2868"/>
        <v>56.247234308999992</v>
      </c>
      <c r="AS352" s="97"/>
      <c r="AT352" s="177">
        <f t="shared" si="2869"/>
        <v>0</v>
      </c>
      <c r="AU352" s="207"/>
      <c r="AV352" s="177">
        <f t="shared" si="2870"/>
        <v>0</v>
      </c>
      <c r="AW352" s="207"/>
      <c r="AX352" s="206">
        <f t="shared" si="2871"/>
        <v>0</v>
      </c>
      <c r="AY352" s="189">
        <f t="shared" si="2872"/>
        <v>0</v>
      </c>
      <c r="AZ352" s="97">
        <f t="shared" si="2873"/>
        <v>0</v>
      </c>
      <c r="BA352" s="97">
        <f t="shared" si="2874"/>
        <v>5.5019999999999998</v>
      </c>
      <c r="BB352" s="97">
        <f t="shared" si="2875"/>
        <v>56.247234308999992</v>
      </c>
      <c r="BC352" s="1" t="s">
        <v>1782</v>
      </c>
    </row>
    <row r="353" spans="1:55">
      <c r="A353" s="498">
        <v>179</v>
      </c>
      <c r="B353" s="53" t="s">
        <v>1584</v>
      </c>
      <c r="C353" s="53" t="s">
        <v>33</v>
      </c>
      <c r="D353" s="53" t="s">
        <v>241</v>
      </c>
      <c r="E353" s="21" t="s">
        <v>1730</v>
      </c>
      <c r="F353" s="22" t="s">
        <v>1007</v>
      </c>
      <c r="G353" s="22" t="s">
        <v>1105</v>
      </c>
      <c r="H353" s="268" t="s">
        <v>365</v>
      </c>
      <c r="I353" s="55">
        <v>6.31</v>
      </c>
      <c r="J353" s="102"/>
      <c r="K353" s="55">
        <v>6.31</v>
      </c>
      <c r="L353" s="163"/>
      <c r="M353" s="55">
        <v>6.31</v>
      </c>
      <c r="N353" s="163"/>
      <c r="O353" s="55">
        <v>6.31</v>
      </c>
      <c r="P353" s="102"/>
      <c r="Q353" s="97">
        <f t="shared" si="2803"/>
        <v>169.73</v>
      </c>
      <c r="R353" s="342">
        <f t="shared" si="2804"/>
        <v>1465.8831531917999</v>
      </c>
      <c r="S353" s="97">
        <v>31.544</v>
      </c>
      <c r="T353" s="97">
        <f t="shared" si="2805"/>
        <v>263.11247538959998</v>
      </c>
      <c r="U353" s="97"/>
      <c r="V353" s="177">
        <f t="shared" si="2806"/>
        <v>0</v>
      </c>
      <c r="W353" s="207"/>
      <c r="X353" s="206">
        <f t="shared" si="2807"/>
        <v>0</v>
      </c>
      <c r="Y353" s="189">
        <f>SUM(S353+U353+W353)</f>
        <v>31.544</v>
      </c>
      <c r="Z353" s="177">
        <f t="shared" si="2808"/>
        <v>263.11247538959998</v>
      </c>
      <c r="AA353" s="207">
        <v>10.625999999999999</v>
      </c>
      <c r="AB353" s="206">
        <f t="shared" si="2809"/>
        <v>91.464327847199982</v>
      </c>
      <c r="AC353" s="207">
        <v>10.08</v>
      </c>
      <c r="AD353" s="177">
        <f t="shared" si="2810"/>
        <v>87.115042224000007</v>
      </c>
      <c r="AE353" s="207">
        <v>20.16</v>
      </c>
      <c r="AF353" s="205">
        <f>K353*AE353*$AF$2/1000</f>
        <v>175.40041276799997</v>
      </c>
      <c r="AG353" s="189">
        <f t="shared" si="2811"/>
        <v>40.866</v>
      </c>
      <c r="AH353" s="97">
        <f t="shared" si="2812"/>
        <v>353.97978283919997</v>
      </c>
      <c r="AI353" s="97">
        <f>SUM(Y353+AG353)</f>
        <v>72.41</v>
      </c>
      <c r="AJ353" s="177">
        <f t="shared" si="2813"/>
        <v>617.09225822879989</v>
      </c>
      <c r="AK353" s="207">
        <v>34.034999999999997</v>
      </c>
      <c r="AL353" s="177">
        <f>M353*AK353*$AL$2/1000</f>
        <v>297.03143641799994</v>
      </c>
      <c r="AM353" s="245">
        <v>14.228999999999999</v>
      </c>
      <c r="AN353" s="177">
        <f t="shared" si="2814"/>
        <v>122.20634988899999</v>
      </c>
      <c r="AO353" s="207">
        <v>7.056</v>
      </c>
      <c r="AP353" s="206">
        <f>M353*AO353*$AP$2/1000</f>
        <v>59.322479630399997</v>
      </c>
      <c r="AQ353" s="189">
        <f t="shared" si="2815"/>
        <v>55.319999999999993</v>
      </c>
      <c r="AR353" s="97">
        <f t="shared" si="2816"/>
        <v>478.56026593739995</v>
      </c>
      <c r="AS353" s="97">
        <v>12.096</v>
      </c>
      <c r="AT353" s="177">
        <f t="shared" si="2817"/>
        <v>103.64274950400001</v>
      </c>
      <c r="AU353" s="207">
        <v>7.056</v>
      </c>
      <c r="AV353" s="177">
        <f t="shared" si="2818"/>
        <v>61.961824411199999</v>
      </c>
      <c r="AW353" s="207">
        <v>22.847999999999999</v>
      </c>
      <c r="AX353" s="206">
        <f t="shared" si="2819"/>
        <v>204.62605511039996</v>
      </c>
      <c r="AY353" s="189">
        <f t="shared" si="2820"/>
        <v>42</v>
      </c>
      <c r="AZ353" s="97">
        <f t="shared" si="2821"/>
        <v>370.23062902559997</v>
      </c>
      <c r="BA353" s="97">
        <f t="shared" si="2822"/>
        <v>97.32</v>
      </c>
      <c r="BB353" s="97">
        <f t="shared" si="2823"/>
        <v>848.79089496299991</v>
      </c>
      <c r="BC353" s="1" t="s">
        <v>1782</v>
      </c>
    </row>
    <row r="354" spans="1:55">
      <c r="A354" s="498">
        <v>180</v>
      </c>
      <c r="B354" s="13"/>
      <c r="C354" s="13"/>
      <c r="D354" s="13"/>
      <c r="E354" s="21" t="s">
        <v>1585</v>
      </c>
      <c r="F354" s="22" t="s">
        <v>1007</v>
      </c>
      <c r="G354" s="22" t="s">
        <v>1105</v>
      </c>
      <c r="H354" s="268" t="s">
        <v>365</v>
      </c>
      <c r="I354" s="55">
        <v>7.49</v>
      </c>
      <c r="J354" s="102"/>
      <c r="K354" s="55">
        <v>7.49</v>
      </c>
      <c r="L354" s="163"/>
      <c r="M354" s="55">
        <v>7.49</v>
      </c>
      <c r="N354" s="163"/>
      <c r="O354" s="55">
        <v>7.49</v>
      </c>
      <c r="P354" s="102"/>
      <c r="Q354" s="97">
        <f t="shared" si="2803"/>
        <v>0</v>
      </c>
      <c r="R354" s="342">
        <f t="shared" si="2804"/>
        <v>0</v>
      </c>
      <c r="S354" s="97"/>
      <c r="T354" s="97">
        <f t="shared" si="2805"/>
        <v>0</v>
      </c>
      <c r="U354" s="97"/>
      <c r="V354" s="177">
        <f t="shared" si="2806"/>
        <v>0</v>
      </c>
      <c r="W354" s="207"/>
      <c r="X354" s="206">
        <f t="shared" si="2807"/>
        <v>0</v>
      </c>
      <c r="Y354" s="189">
        <f t="shared" ref="Y354" si="2881">SUM(S354+U354+W354)</f>
        <v>0</v>
      </c>
      <c r="Z354" s="177">
        <f t="shared" si="2808"/>
        <v>0</v>
      </c>
      <c r="AA354" s="207"/>
      <c r="AB354" s="206">
        <f t="shared" si="2809"/>
        <v>0</v>
      </c>
      <c r="AC354" s="207"/>
      <c r="AD354" s="177">
        <f t="shared" si="2810"/>
        <v>0</v>
      </c>
      <c r="AE354" s="207"/>
      <c r="AF354" s="205">
        <f t="shared" ref="AF354" si="2882">K354*AE354*$AF$2/1000</f>
        <v>0</v>
      </c>
      <c r="AG354" s="189">
        <f t="shared" si="2811"/>
        <v>0</v>
      </c>
      <c r="AH354" s="97">
        <f t="shared" si="2812"/>
        <v>0</v>
      </c>
      <c r="AI354" s="97">
        <f t="shared" ref="AI354" si="2883">SUM(Y354+AG354)</f>
        <v>0</v>
      </c>
      <c r="AJ354" s="177">
        <f t="shared" si="2813"/>
        <v>0</v>
      </c>
      <c r="AK354" s="207"/>
      <c r="AL354" s="177">
        <f t="shared" ref="AL354" si="2884">M354*AK354*$AL$2/1000</f>
        <v>0</v>
      </c>
      <c r="AM354" s="245"/>
      <c r="AN354" s="177">
        <f t="shared" si="2814"/>
        <v>0</v>
      </c>
      <c r="AO354" s="207"/>
      <c r="AP354" s="206">
        <f t="shared" ref="AP354" si="2885">M354*AO354*$AP$2/1000</f>
        <v>0</v>
      </c>
      <c r="AQ354" s="189">
        <f t="shared" si="2815"/>
        <v>0</v>
      </c>
      <c r="AR354" s="97">
        <f t="shared" si="2816"/>
        <v>0</v>
      </c>
      <c r="AS354" s="97"/>
      <c r="AT354" s="177">
        <f t="shared" si="2817"/>
        <v>0</v>
      </c>
      <c r="AU354" s="207"/>
      <c r="AV354" s="177">
        <f t="shared" si="2818"/>
        <v>0</v>
      </c>
      <c r="AW354" s="207"/>
      <c r="AX354" s="206">
        <f t="shared" si="2819"/>
        <v>0</v>
      </c>
      <c r="AY354" s="189">
        <f t="shared" si="2820"/>
        <v>0</v>
      </c>
      <c r="AZ354" s="97">
        <f t="shared" si="2821"/>
        <v>0</v>
      </c>
      <c r="BA354" s="97">
        <f t="shared" si="2822"/>
        <v>0</v>
      </c>
      <c r="BB354" s="97">
        <f t="shared" si="2823"/>
        <v>0</v>
      </c>
      <c r="BC354" s="1" t="s">
        <v>1782</v>
      </c>
    </row>
    <row r="355" spans="1:55">
      <c r="A355" s="498">
        <v>240</v>
      </c>
      <c r="B355" s="59" t="s">
        <v>156</v>
      </c>
      <c r="C355" s="60"/>
      <c r="D355" s="60"/>
      <c r="E355" s="60"/>
      <c r="F355" s="60"/>
      <c r="G355" s="60"/>
      <c r="H355" s="282"/>
      <c r="I355" s="61"/>
      <c r="J355" s="104"/>
      <c r="K355" s="61"/>
      <c r="L355" s="61"/>
      <c r="M355" s="61"/>
      <c r="N355" s="61"/>
      <c r="O355" s="146"/>
      <c r="P355" s="104"/>
      <c r="Q355" s="127">
        <f t="shared" ref="Q355:BB355" si="2886">SUM(Q238:Q354)</f>
        <v>7990.6410000000005</v>
      </c>
      <c r="R355" s="127">
        <f t="shared" si="2886"/>
        <v>55128.465454602112</v>
      </c>
      <c r="S355" s="127">
        <f t="shared" si="2886"/>
        <v>825.12199999999996</v>
      </c>
      <c r="T355" s="127">
        <f t="shared" si="2886"/>
        <v>5641.1257332353989</v>
      </c>
      <c r="U355" s="127">
        <f t="shared" si="2886"/>
        <v>616.40799999999979</v>
      </c>
      <c r="V355" s="127">
        <f t="shared" si="2886"/>
        <v>4108.1786528719995</v>
      </c>
      <c r="W355" s="127">
        <f t="shared" si="2886"/>
        <v>758.4140000000001</v>
      </c>
      <c r="X355" s="127">
        <f t="shared" si="2886"/>
        <v>4771.6653386059998</v>
      </c>
      <c r="Y355" s="127">
        <f t="shared" si="2886"/>
        <v>2199.9439999999995</v>
      </c>
      <c r="Z355" s="127">
        <f t="shared" si="2886"/>
        <v>14520.969724713397</v>
      </c>
      <c r="AA355" s="127">
        <f t="shared" si="2886"/>
        <v>696.98800000000017</v>
      </c>
      <c r="AB355" s="127">
        <f t="shared" si="2886"/>
        <v>4823.0846536112012</v>
      </c>
      <c r="AC355" s="127">
        <f t="shared" si="2886"/>
        <v>622.28600000000051</v>
      </c>
      <c r="AD355" s="127">
        <f t="shared" si="2886"/>
        <v>4366.8364993974001</v>
      </c>
      <c r="AE355" s="127">
        <f t="shared" si="2886"/>
        <v>727.40200000000016</v>
      </c>
      <c r="AF355" s="127">
        <f t="shared" si="2886"/>
        <v>5253.3707176862981</v>
      </c>
      <c r="AG355" s="127">
        <f t="shared" si="2886"/>
        <v>2046.6759999999997</v>
      </c>
      <c r="AH355" s="127">
        <f t="shared" si="2886"/>
        <v>14443.291870694904</v>
      </c>
      <c r="AI355" s="127">
        <f t="shared" si="2886"/>
        <v>4246.6200000000017</v>
      </c>
      <c r="AJ355" s="127">
        <f t="shared" si="2886"/>
        <v>28964.261595408305</v>
      </c>
      <c r="AK355" s="127">
        <f t="shared" si="2886"/>
        <v>745.13700000000017</v>
      </c>
      <c r="AL355" s="127">
        <f t="shared" si="2886"/>
        <v>5209.9063624068003</v>
      </c>
      <c r="AM355" s="127">
        <f t="shared" si="2886"/>
        <v>1009.8120000000001</v>
      </c>
      <c r="AN355" s="127">
        <f t="shared" si="2886"/>
        <v>7188.8611921619986</v>
      </c>
      <c r="AO355" s="127">
        <f t="shared" si="2886"/>
        <v>759.50499999999988</v>
      </c>
      <c r="AP355" s="127">
        <f t="shared" si="2886"/>
        <v>4930.7789773272016</v>
      </c>
      <c r="AQ355" s="127">
        <f t="shared" si="2886"/>
        <v>2514.4540000000006</v>
      </c>
      <c r="AR355" s="127">
        <f t="shared" si="2886"/>
        <v>17329.546531896009</v>
      </c>
      <c r="AS355" s="127">
        <f t="shared" si="2886"/>
        <v>504.21199999999988</v>
      </c>
      <c r="AT355" s="127">
        <f t="shared" si="2886"/>
        <v>3599.9222263960005</v>
      </c>
      <c r="AU355" s="127">
        <f t="shared" si="2886"/>
        <v>329.76599999999996</v>
      </c>
      <c r="AV355" s="127">
        <f t="shared" si="2886"/>
        <v>2476.1295850851011</v>
      </c>
      <c r="AW355" s="127">
        <f t="shared" si="2886"/>
        <v>395.58899999999994</v>
      </c>
      <c r="AX355" s="127">
        <f t="shared" si="2886"/>
        <v>2758.6055158167001</v>
      </c>
      <c r="AY355" s="127">
        <f t="shared" si="2886"/>
        <v>1229.567</v>
      </c>
      <c r="AZ355" s="127">
        <f t="shared" si="2886"/>
        <v>8834.6573272978003</v>
      </c>
      <c r="BA355" s="127">
        <f t="shared" si="2886"/>
        <v>3744.0210000000006</v>
      </c>
      <c r="BB355" s="127">
        <f t="shared" si="2886"/>
        <v>26164.203859193804</v>
      </c>
    </row>
    <row r="356" spans="1:55">
      <c r="A356" s="498">
        <v>241</v>
      </c>
      <c r="B356" s="13" t="s">
        <v>160</v>
      </c>
      <c r="C356" s="13" t="s">
        <v>161</v>
      </c>
      <c r="D356" s="13" t="s">
        <v>162</v>
      </c>
      <c r="E356" s="21" t="s">
        <v>300</v>
      </c>
      <c r="F356" s="314" t="s">
        <v>301</v>
      </c>
      <c r="G356" s="236" t="s">
        <v>1105</v>
      </c>
      <c r="H356" s="283" t="s">
        <v>367</v>
      </c>
      <c r="I356" s="62"/>
      <c r="J356" s="164">
        <v>4030</v>
      </c>
      <c r="K356" s="62"/>
      <c r="L356" s="164">
        <v>4030</v>
      </c>
      <c r="M356" s="62"/>
      <c r="N356" s="164">
        <v>4030</v>
      </c>
      <c r="O356" s="147"/>
      <c r="P356" s="164">
        <v>4030</v>
      </c>
      <c r="Q356" s="128">
        <f t="shared" ref="Q356:Q368" si="2887">SUM(AI356+BA356)</f>
        <v>0</v>
      </c>
      <c r="R356" s="348">
        <f t="shared" ref="R356:R434" si="2888">SUM(AJ356+BB356)</f>
        <v>0</v>
      </c>
      <c r="S356" s="128"/>
      <c r="T356" s="128">
        <f t="shared" ref="T356:T368" si="2889">J356*S356/1000</f>
        <v>0</v>
      </c>
      <c r="U356" s="128"/>
      <c r="V356" s="183">
        <f t="shared" ref="V356:V434" si="2890">J356*U356/1000</f>
        <v>0</v>
      </c>
      <c r="W356" s="220"/>
      <c r="X356" s="221">
        <f t="shared" ref="X356:X434" si="2891">J356*W356/1000</f>
        <v>0</v>
      </c>
      <c r="Y356" s="196">
        <f t="shared" ref="Y356:Y368" si="2892">SUM(S356+U356+W356)</f>
        <v>0</v>
      </c>
      <c r="Z356" s="183">
        <f t="shared" ref="Z356:Z368" si="2893">SUM(T356+V356+X356)</f>
        <v>0</v>
      </c>
      <c r="AA356" s="220"/>
      <c r="AB356" s="221">
        <f t="shared" ref="AB356:AB368" si="2894">L356*AA356/1000</f>
        <v>0</v>
      </c>
      <c r="AC356" s="220"/>
      <c r="AD356" s="183">
        <f>L356*AC356/1000</f>
        <v>0</v>
      </c>
      <c r="AE356" s="220"/>
      <c r="AF356" s="213">
        <f>L356*AE356/1000</f>
        <v>0</v>
      </c>
      <c r="AG356" s="196">
        <f t="shared" ref="AG356:AG368" si="2895">SUM(AA356+AC356+AE356)</f>
        <v>0</v>
      </c>
      <c r="AH356" s="128">
        <f t="shared" ref="AH356:AH368" si="2896">SUM(AB356+AD356+AF356)</f>
        <v>0</v>
      </c>
      <c r="AI356" s="128">
        <f t="shared" ref="AI356:AI368" si="2897">SUM(Y356+AG356)</f>
        <v>0</v>
      </c>
      <c r="AJ356" s="183">
        <f t="shared" ref="AJ356:AJ368" si="2898">SUM(Z356,AH356)</f>
        <v>0</v>
      </c>
      <c r="AK356" s="220"/>
      <c r="AL356" s="183">
        <f>N356*AK356/1000</f>
        <v>0</v>
      </c>
      <c r="AM356" s="252"/>
      <c r="AN356" s="183">
        <f>N356*AM356/1000</f>
        <v>0</v>
      </c>
      <c r="AO356" s="220"/>
      <c r="AP356" s="221">
        <f t="shared" ref="AP356:AP364" si="2899">N356*AO356/1000</f>
        <v>0</v>
      </c>
      <c r="AQ356" s="196">
        <f t="shared" ref="AQ356:AQ368" si="2900">SUM(AK356+AM356+AO356)</f>
        <v>0</v>
      </c>
      <c r="AR356" s="128">
        <f t="shared" ref="AR356:AR368" si="2901">SUM(AL356+AN356+AP356)</f>
        <v>0</v>
      </c>
      <c r="AS356" s="128"/>
      <c r="AT356" s="183">
        <f>P356*AS356/1000</f>
        <v>0</v>
      </c>
      <c r="AU356" s="220"/>
      <c r="AV356" s="183">
        <f>P356*AU356/1000</f>
        <v>0</v>
      </c>
      <c r="AW356" s="220"/>
      <c r="AX356" s="221">
        <f>P356*AW356/1000</f>
        <v>0</v>
      </c>
      <c r="AY356" s="196">
        <f t="shared" ref="AY356:AY368" si="2902">SUM(AS356+AU356+AW356)</f>
        <v>0</v>
      </c>
      <c r="AZ356" s="128">
        <f t="shared" ref="AZ356:AZ368" si="2903">SUM(AT356+AV356+AX356)</f>
        <v>0</v>
      </c>
      <c r="BA356" s="128">
        <f t="shared" ref="BA356:BA368" si="2904">SUM(AQ356+AY356)</f>
        <v>0</v>
      </c>
      <c r="BB356" s="128">
        <f t="shared" ref="BB356:BB368" si="2905">SUM(AR356,AZ356)</f>
        <v>0</v>
      </c>
    </row>
    <row r="357" spans="1:55">
      <c r="A357" s="498">
        <v>242</v>
      </c>
      <c r="B357" s="13"/>
      <c r="C357" s="13"/>
      <c r="D357" s="13" t="s">
        <v>162</v>
      </c>
      <c r="E357" s="21" t="s">
        <v>753</v>
      </c>
      <c r="F357" s="46" t="s">
        <v>754</v>
      </c>
      <c r="G357" s="22" t="s">
        <v>1105</v>
      </c>
      <c r="H357" s="268" t="s">
        <v>365</v>
      </c>
      <c r="I357" s="55"/>
      <c r="J357" s="163">
        <v>5000</v>
      </c>
      <c r="K357" s="55"/>
      <c r="L357" s="163">
        <v>5000</v>
      </c>
      <c r="M357" s="55"/>
      <c r="N357" s="163">
        <v>5000</v>
      </c>
      <c r="O357" s="143"/>
      <c r="P357" s="163">
        <v>5000</v>
      </c>
      <c r="Q357" s="97">
        <f t="shared" ref="Q357" si="2906">SUM(AI357+BA357)</f>
        <v>0</v>
      </c>
      <c r="R357" s="342">
        <f t="shared" ref="R357" si="2907">SUM(AJ357+BB357)</f>
        <v>0</v>
      </c>
      <c r="S357" s="97"/>
      <c r="T357" s="97">
        <f t="shared" ref="T357" si="2908">J357*S357/1000</f>
        <v>0</v>
      </c>
      <c r="U357" s="97"/>
      <c r="V357" s="177">
        <f t="shared" ref="V357" si="2909">J357*U357/1000</f>
        <v>0</v>
      </c>
      <c r="W357" s="207"/>
      <c r="X357" s="206">
        <f t="shared" ref="X357" si="2910">J357*W357/1000</f>
        <v>0</v>
      </c>
      <c r="Y357" s="189">
        <f>SUM(S357+U357+W357)</f>
        <v>0</v>
      </c>
      <c r="Z357" s="177">
        <f t="shared" ref="Z357" si="2911">SUM(T357+V357+X357)</f>
        <v>0</v>
      </c>
      <c r="AA357" s="207"/>
      <c r="AB357" s="206">
        <f t="shared" ref="AB357" si="2912">L357*AA357/1000</f>
        <v>0</v>
      </c>
      <c r="AC357" s="207"/>
      <c r="AD357" s="177">
        <f t="shared" ref="AD357" si="2913">L357*AC357/1000</f>
        <v>0</v>
      </c>
      <c r="AE357" s="207"/>
      <c r="AF357" s="206">
        <f t="shared" ref="AF357" si="2914">L357*AE357/1000</f>
        <v>0</v>
      </c>
      <c r="AG357" s="189">
        <f t="shared" ref="AG357" si="2915">SUM(AA357+AC357+AE357)</f>
        <v>0</v>
      </c>
      <c r="AH357" s="97">
        <f t="shared" ref="AH357" si="2916">SUM(AB357+AD357+AF357)</f>
        <v>0</v>
      </c>
      <c r="AI357" s="97">
        <f t="shared" ref="AI357" si="2917">SUM(Y357+AG357)</f>
        <v>0</v>
      </c>
      <c r="AJ357" s="177">
        <f t="shared" ref="AJ357" si="2918">SUM(Z357,AH357)</f>
        <v>0</v>
      </c>
      <c r="AK357" s="207"/>
      <c r="AL357" s="177">
        <f t="shared" ref="AL357" si="2919">N357*AK357/1000</f>
        <v>0</v>
      </c>
      <c r="AM357" s="245"/>
      <c r="AN357" s="177">
        <f t="shared" ref="AN357" si="2920">N357*AM357/1000</f>
        <v>0</v>
      </c>
      <c r="AO357" s="207"/>
      <c r="AP357" s="206">
        <f t="shared" ref="AP357" si="2921">N357*AO357/1000</f>
        <v>0</v>
      </c>
      <c r="AQ357" s="189">
        <f t="shared" ref="AQ357" si="2922">SUM(AK357+AM357+AO357)</f>
        <v>0</v>
      </c>
      <c r="AR357" s="97">
        <f t="shared" ref="AR357" si="2923">SUM(AL357+AN357+AP357)</f>
        <v>0</v>
      </c>
      <c r="AS357" s="97"/>
      <c r="AT357" s="177">
        <f t="shared" ref="AT357" si="2924">P357*AS357/1000</f>
        <v>0</v>
      </c>
      <c r="AU357" s="207"/>
      <c r="AV357" s="177">
        <f t="shared" ref="AV357" si="2925">P357*AU357/1000</f>
        <v>0</v>
      </c>
      <c r="AW357" s="207"/>
      <c r="AX357" s="206">
        <f t="shared" ref="AX357" si="2926">P357*AW357/1000</f>
        <v>0</v>
      </c>
      <c r="AY357" s="189">
        <f t="shared" ref="AY357" si="2927">SUM(AS357+AU357+AW357)</f>
        <v>0</v>
      </c>
      <c r="AZ357" s="97">
        <f t="shared" ref="AZ357" si="2928">SUM(AT357+AV357+AX357)</f>
        <v>0</v>
      </c>
      <c r="BA357" s="97">
        <f t="shared" ref="BA357" si="2929">SUM(AQ357+AY357)</f>
        <v>0</v>
      </c>
      <c r="BB357" s="97">
        <f t="shared" ref="BB357" si="2930">SUM(AR357,AZ357)</f>
        <v>0</v>
      </c>
    </row>
    <row r="358" spans="1:55">
      <c r="A358" s="498">
        <v>243</v>
      </c>
      <c r="B358" s="13"/>
      <c r="C358" s="13"/>
      <c r="D358" s="13" t="s">
        <v>162</v>
      </c>
      <c r="E358" s="21" t="s">
        <v>302</v>
      </c>
      <c r="F358" s="46" t="s">
        <v>303</v>
      </c>
      <c r="G358" s="22" t="s">
        <v>1105</v>
      </c>
      <c r="H358" s="268" t="s">
        <v>365</v>
      </c>
      <c r="I358" s="55"/>
      <c r="J358" s="163">
        <v>4500</v>
      </c>
      <c r="K358" s="55"/>
      <c r="L358" s="163">
        <v>4500</v>
      </c>
      <c r="M358" s="55"/>
      <c r="N358" s="163">
        <v>4500</v>
      </c>
      <c r="O358" s="143"/>
      <c r="P358" s="163">
        <v>4500</v>
      </c>
      <c r="Q358" s="97">
        <f t="shared" si="2887"/>
        <v>0</v>
      </c>
      <c r="R358" s="342">
        <f t="shared" si="2888"/>
        <v>0</v>
      </c>
      <c r="S358" s="97"/>
      <c r="T358" s="97">
        <f t="shared" si="2889"/>
        <v>0</v>
      </c>
      <c r="U358" s="97"/>
      <c r="V358" s="177">
        <f t="shared" si="2890"/>
        <v>0</v>
      </c>
      <c r="W358" s="207"/>
      <c r="X358" s="206">
        <f t="shared" si="2891"/>
        <v>0</v>
      </c>
      <c r="Y358" s="189">
        <f t="shared" si="2892"/>
        <v>0</v>
      </c>
      <c r="Z358" s="177">
        <f t="shared" si="2893"/>
        <v>0</v>
      </c>
      <c r="AA358" s="207"/>
      <c r="AB358" s="206">
        <f t="shared" si="2894"/>
        <v>0</v>
      </c>
      <c r="AC358" s="207"/>
      <c r="AD358" s="177">
        <f t="shared" ref="AD358:AD434" si="2931">L358*AC358/1000</f>
        <v>0</v>
      </c>
      <c r="AE358" s="207"/>
      <c r="AF358" s="206">
        <f t="shared" ref="AF358:AF377" si="2932">L358*AE358/1000</f>
        <v>0</v>
      </c>
      <c r="AG358" s="189">
        <f t="shared" si="2895"/>
        <v>0</v>
      </c>
      <c r="AH358" s="97">
        <f t="shared" si="2896"/>
        <v>0</v>
      </c>
      <c r="AI358" s="97">
        <f t="shared" si="2897"/>
        <v>0</v>
      </c>
      <c r="AJ358" s="177">
        <f t="shared" si="2898"/>
        <v>0</v>
      </c>
      <c r="AK358" s="207"/>
      <c r="AL358" s="177">
        <f t="shared" ref="AL358:AL368" si="2933">N358*AK358/1000</f>
        <v>0</v>
      </c>
      <c r="AM358" s="245"/>
      <c r="AN358" s="177">
        <f t="shared" ref="AN358" si="2934">N358*AM358/1000</f>
        <v>0</v>
      </c>
      <c r="AO358" s="207"/>
      <c r="AP358" s="206">
        <f t="shared" si="2899"/>
        <v>0</v>
      </c>
      <c r="AQ358" s="189">
        <f t="shared" si="2900"/>
        <v>0</v>
      </c>
      <c r="AR358" s="97">
        <f t="shared" si="2901"/>
        <v>0</v>
      </c>
      <c r="AS358" s="97"/>
      <c r="AT358" s="177">
        <f t="shared" ref="AT358:AT368" si="2935">P358*AS358/1000</f>
        <v>0</v>
      </c>
      <c r="AU358" s="207"/>
      <c r="AV358" s="177">
        <f t="shared" ref="AV358:AV368" si="2936">P358*AU358/1000</f>
        <v>0</v>
      </c>
      <c r="AW358" s="207"/>
      <c r="AX358" s="206">
        <f t="shared" ref="AX358:AX368" si="2937">P358*AW358/1000</f>
        <v>0</v>
      </c>
      <c r="AY358" s="189">
        <f t="shared" si="2902"/>
        <v>0</v>
      </c>
      <c r="AZ358" s="97">
        <f t="shared" si="2903"/>
        <v>0</v>
      </c>
      <c r="BA358" s="97">
        <f t="shared" si="2904"/>
        <v>0</v>
      </c>
      <c r="BB358" s="97">
        <f t="shared" si="2905"/>
        <v>0</v>
      </c>
    </row>
    <row r="359" spans="1:55" s="6" customFormat="1">
      <c r="A359" s="498">
        <v>244</v>
      </c>
      <c r="B359" s="14"/>
      <c r="C359" s="14"/>
      <c r="D359" s="13" t="s">
        <v>162</v>
      </c>
      <c r="E359" s="16" t="s">
        <v>351</v>
      </c>
      <c r="F359" s="45" t="s">
        <v>354</v>
      </c>
      <c r="G359" s="17" t="s">
        <v>1105</v>
      </c>
      <c r="H359" s="267" t="s">
        <v>365</v>
      </c>
      <c r="I359" s="234"/>
      <c r="J359" s="241">
        <v>5950</v>
      </c>
      <c r="K359" s="234"/>
      <c r="L359" s="241">
        <v>5950</v>
      </c>
      <c r="M359" s="234"/>
      <c r="N359" s="241">
        <v>5950</v>
      </c>
      <c r="O359" s="242"/>
      <c r="P359" s="241">
        <v>5950</v>
      </c>
      <c r="Q359" s="96">
        <f t="shared" si="2887"/>
        <v>14.36</v>
      </c>
      <c r="R359" s="340">
        <f t="shared" si="2888"/>
        <v>85.442000000000007</v>
      </c>
      <c r="S359" s="96">
        <v>1.44</v>
      </c>
      <c r="T359" s="96">
        <f t="shared" ref="T359" si="2938">J359*S359/1000</f>
        <v>8.5679999999999996</v>
      </c>
      <c r="U359" s="96">
        <v>2.88</v>
      </c>
      <c r="V359" s="176">
        <f t="shared" ref="V359" si="2939">J359*U359/1000</f>
        <v>17.135999999999999</v>
      </c>
      <c r="W359" s="204"/>
      <c r="X359" s="205">
        <f>J359*W359/1000</f>
        <v>0</v>
      </c>
      <c r="Y359" s="192">
        <f t="shared" ref="Y359" si="2940">SUM(S359+U359+W359)</f>
        <v>4.32</v>
      </c>
      <c r="Z359" s="176">
        <f t="shared" ref="Z359" si="2941">SUM(T359+V359+X359)</f>
        <v>25.704000000000001</v>
      </c>
      <c r="AA359" s="204"/>
      <c r="AB359" s="205">
        <f t="shared" ref="AB359" si="2942">L359*AA359/1000</f>
        <v>0</v>
      </c>
      <c r="AC359" s="204">
        <v>1.44</v>
      </c>
      <c r="AD359" s="176">
        <f>L359*AC359/1000</f>
        <v>8.5679999999999996</v>
      </c>
      <c r="AE359" s="204"/>
      <c r="AF359" s="206">
        <f t="shared" si="2932"/>
        <v>0</v>
      </c>
      <c r="AG359" s="192">
        <f t="shared" ref="AG359" si="2943">SUM(AA359+AC359+AE359)</f>
        <v>1.44</v>
      </c>
      <c r="AH359" s="96">
        <f t="shared" ref="AH359" si="2944">SUM(AB359+AD359+AF359)</f>
        <v>8.5679999999999996</v>
      </c>
      <c r="AI359" s="96">
        <f t="shared" ref="AI359" si="2945">SUM(Y359+AG359)</f>
        <v>5.76</v>
      </c>
      <c r="AJ359" s="176">
        <f t="shared" ref="AJ359" si="2946">SUM(Z359,AH359)</f>
        <v>34.271999999999998</v>
      </c>
      <c r="AK359" s="204">
        <v>1.44</v>
      </c>
      <c r="AL359" s="176">
        <f t="shared" ref="AL359" si="2947">N359*AK359/1000</f>
        <v>8.5679999999999996</v>
      </c>
      <c r="AM359" s="244">
        <v>0.72</v>
      </c>
      <c r="AN359" s="176">
        <f t="shared" ref="AN359" si="2948">N359*AM359/1000</f>
        <v>4.2839999999999998</v>
      </c>
      <c r="AO359" s="204">
        <v>1.44</v>
      </c>
      <c r="AP359" s="205">
        <f t="shared" si="2899"/>
        <v>8.5679999999999996</v>
      </c>
      <c r="AQ359" s="192">
        <f t="shared" ref="AQ359" si="2949">SUM(AK359+AM359+AO359)</f>
        <v>3.6</v>
      </c>
      <c r="AR359" s="96">
        <f t="shared" ref="AR359" si="2950">SUM(AL359+AN359+AP359)</f>
        <v>21.42</v>
      </c>
      <c r="AS359" s="96">
        <v>2.16</v>
      </c>
      <c r="AT359" s="176">
        <f t="shared" ref="AT359" si="2951">P359*AS359/1000</f>
        <v>12.852</v>
      </c>
      <c r="AU359" s="204">
        <v>1.4</v>
      </c>
      <c r="AV359" s="176">
        <f t="shared" ref="AV359" si="2952">P359*AU359/1000</f>
        <v>8.33</v>
      </c>
      <c r="AW359" s="204">
        <v>1.44</v>
      </c>
      <c r="AX359" s="205">
        <f t="shared" ref="AX359" si="2953">P359*AW359/1000</f>
        <v>8.5679999999999996</v>
      </c>
      <c r="AY359" s="192">
        <f t="shared" ref="AY359" si="2954">SUM(AS359+AU359+AW359)</f>
        <v>5</v>
      </c>
      <c r="AZ359" s="96">
        <f t="shared" ref="AZ359" si="2955">SUM(AT359+AV359+AX359)</f>
        <v>29.75</v>
      </c>
      <c r="BA359" s="96">
        <f t="shared" ref="BA359" si="2956">SUM(AQ359+AY359)</f>
        <v>8.6</v>
      </c>
      <c r="BB359" s="96">
        <f t="shared" ref="BB359" si="2957">SUM(AR359,AZ359)</f>
        <v>51.17</v>
      </c>
    </row>
    <row r="360" spans="1:55" s="6" customFormat="1">
      <c r="A360" s="498">
        <v>245</v>
      </c>
      <c r="B360" s="14"/>
      <c r="C360" s="14"/>
      <c r="D360" s="13" t="s">
        <v>162</v>
      </c>
      <c r="E360" s="16" t="s">
        <v>352</v>
      </c>
      <c r="F360" s="45" t="s">
        <v>355</v>
      </c>
      <c r="G360" s="17" t="s">
        <v>1105</v>
      </c>
      <c r="H360" s="267" t="s">
        <v>365</v>
      </c>
      <c r="I360" s="234"/>
      <c r="J360" s="241">
        <v>5940</v>
      </c>
      <c r="K360" s="234"/>
      <c r="L360" s="241">
        <v>5940</v>
      </c>
      <c r="M360" s="234"/>
      <c r="N360" s="241">
        <v>5940</v>
      </c>
      <c r="O360" s="242"/>
      <c r="P360" s="241">
        <v>5940</v>
      </c>
      <c r="Q360" s="96">
        <f t="shared" si="2887"/>
        <v>15.399999999999999</v>
      </c>
      <c r="R360" s="340">
        <f t="shared" si="2888"/>
        <v>91.475999999999999</v>
      </c>
      <c r="S360" s="96">
        <v>1.44</v>
      </c>
      <c r="T360" s="96">
        <f t="shared" ref="T360" si="2958">J360*S360/1000</f>
        <v>8.5536000000000012</v>
      </c>
      <c r="U360" s="96">
        <v>2.88</v>
      </c>
      <c r="V360" s="176">
        <f t="shared" ref="V360" si="2959">J360*U360/1000</f>
        <v>17.107200000000002</v>
      </c>
      <c r="W360" s="204"/>
      <c r="X360" s="205">
        <f t="shared" ref="X360" si="2960">J360*W360/1000</f>
        <v>0</v>
      </c>
      <c r="Y360" s="192">
        <f t="shared" ref="Y360" si="2961">SUM(S360+U360+W360)</f>
        <v>4.32</v>
      </c>
      <c r="Z360" s="176">
        <f t="shared" ref="Z360" si="2962">SUM(T360+V360+X360)</f>
        <v>25.660800000000002</v>
      </c>
      <c r="AA360" s="204">
        <v>1.44</v>
      </c>
      <c r="AB360" s="205">
        <f t="shared" ref="AB360" si="2963">L360*AA360/1000</f>
        <v>8.5536000000000012</v>
      </c>
      <c r="AC360" s="204">
        <v>1.44</v>
      </c>
      <c r="AD360" s="176">
        <f t="shared" ref="AD360" si="2964">L360*AC360/1000</f>
        <v>8.5536000000000012</v>
      </c>
      <c r="AE360" s="204"/>
      <c r="AF360" s="206">
        <f t="shared" si="2932"/>
        <v>0</v>
      </c>
      <c r="AG360" s="192">
        <f t="shared" ref="AG360" si="2965">SUM(AA360+AC360+AE360)</f>
        <v>2.88</v>
      </c>
      <c r="AH360" s="96">
        <f t="shared" ref="AH360" si="2966">SUM(AB360+AD360+AF360)</f>
        <v>17.107200000000002</v>
      </c>
      <c r="AI360" s="96">
        <f t="shared" ref="AI360" si="2967">SUM(Y360+AG360)</f>
        <v>7.2</v>
      </c>
      <c r="AJ360" s="176">
        <f t="shared" ref="AJ360" si="2968">SUM(Z360,AH360)</f>
        <v>42.768000000000001</v>
      </c>
      <c r="AK360" s="204">
        <v>1</v>
      </c>
      <c r="AL360" s="176">
        <f t="shared" ref="AL360" si="2969">N360*AK360/1000</f>
        <v>5.94</v>
      </c>
      <c r="AM360" s="244">
        <v>0.72</v>
      </c>
      <c r="AN360" s="176">
        <f t="shared" ref="AN360" si="2970">N360*AM360/1000</f>
        <v>4.2768000000000006</v>
      </c>
      <c r="AO360" s="204">
        <v>1.44</v>
      </c>
      <c r="AP360" s="205">
        <f t="shared" si="2899"/>
        <v>8.5536000000000012</v>
      </c>
      <c r="AQ360" s="192">
        <f t="shared" ref="AQ360" si="2971">SUM(AK360+AM360+AO360)</f>
        <v>3.16</v>
      </c>
      <c r="AR360" s="96">
        <f t="shared" ref="AR360" si="2972">SUM(AL360+AN360+AP360)</f>
        <v>18.770400000000002</v>
      </c>
      <c r="AS360" s="96">
        <v>2.16</v>
      </c>
      <c r="AT360" s="176">
        <f t="shared" ref="AT360" si="2973">P360*AS360/1000</f>
        <v>12.830400000000001</v>
      </c>
      <c r="AU360" s="204">
        <v>1.44</v>
      </c>
      <c r="AV360" s="176">
        <f t="shared" ref="AV360" si="2974">P360*AU360/1000</f>
        <v>8.5536000000000012</v>
      </c>
      <c r="AW360" s="204">
        <v>1.44</v>
      </c>
      <c r="AX360" s="205">
        <f t="shared" ref="AX360" si="2975">P360*AW360/1000</f>
        <v>8.5536000000000012</v>
      </c>
      <c r="AY360" s="192">
        <f t="shared" ref="AY360" si="2976">SUM(AS360+AU360+AW360)</f>
        <v>5.04</v>
      </c>
      <c r="AZ360" s="96">
        <f t="shared" ref="AZ360" si="2977">SUM(AT360+AV360+AX360)</f>
        <v>29.937600000000003</v>
      </c>
      <c r="BA360" s="96">
        <f t="shared" ref="BA360" si="2978">SUM(AQ360+AY360)</f>
        <v>8.1999999999999993</v>
      </c>
      <c r="BB360" s="96">
        <f t="shared" ref="BB360" si="2979">SUM(AR360,AZ360)</f>
        <v>48.708000000000006</v>
      </c>
    </row>
    <row r="361" spans="1:55" s="6" customFormat="1">
      <c r="A361" s="498">
        <v>246</v>
      </c>
      <c r="B361" s="14"/>
      <c r="C361" s="14"/>
      <c r="D361" s="13" t="s">
        <v>162</v>
      </c>
      <c r="E361" s="16" t="s">
        <v>353</v>
      </c>
      <c r="F361" s="45" t="s">
        <v>356</v>
      </c>
      <c r="G361" s="17" t="s">
        <v>1105</v>
      </c>
      <c r="H361" s="267" t="s">
        <v>365</v>
      </c>
      <c r="I361" s="234"/>
      <c r="J361" s="241">
        <v>5900</v>
      </c>
      <c r="K361" s="234"/>
      <c r="L361" s="241">
        <v>5900</v>
      </c>
      <c r="M361" s="234"/>
      <c r="N361" s="241">
        <v>5900</v>
      </c>
      <c r="O361" s="242"/>
      <c r="P361" s="241">
        <v>5900</v>
      </c>
      <c r="Q361" s="96">
        <f t="shared" si="2887"/>
        <v>8.4</v>
      </c>
      <c r="R361" s="340">
        <f t="shared" si="2888"/>
        <v>49.56</v>
      </c>
      <c r="S361" s="96">
        <v>1.44</v>
      </c>
      <c r="T361" s="96">
        <f>J361*S361/1000</f>
        <v>8.4960000000000004</v>
      </c>
      <c r="U361" s="96">
        <v>1.44</v>
      </c>
      <c r="V361" s="176">
        <f t="shared" ref="V361" si="2980">J361*U361/1000</f>
        <v>8.4960000000000004</v>
      </c>
      <c r="W361" s="204"/>
      <c r="X361" s="205">
        <f t="shared" ref="X361" si="2981">J361*W361/1000</f>
        <v>0</v>
      </c>
      <c r="Y361" s="192">
        <f t="shared" ref="Y361" si="2982">SUM(S361+U361+W361)</f>
        <v>2.88</v>
      </c>
      <c r="Z361" s="176">
        <f t="shared" ref="Z361" si="2983">SUM(T361+V361+X361)</f>
        <v>16.992000000000001</v>
      </c>
      <c r="AA361" s="204">
        <v>1.44</v>
      </c>
      <c r="AB361" s="205">
        <f t="shared" ref="AB361" si="2984">L361*AA361/1000</f>
        <v>8.4960000000000004</v>
      </c>
      <c r="AC361" s="204">
        <v>0.72</v>
      </c>
      <c r="AD361" s="176">
        <f>L361*AC361/1000</f>
        <v>4.2480000000000002</v>
      </c>
      <c r="AE361" s="204"/>
      <c r="AF361" s="206">
        <f t="shared" si="2932"/>
        <v>0</v>
      </c>
      <c r="AG361" s="192">
        <f t="shared" ref="AG361" si="2985">SUM(AA361+AC361+AE361)</f>
        <v>2.16</v>
      </c>
      <c r="AH361" s="96">
        <f t="shared" ref="AH361" si="2986">SUM(AB361+AD361+AF361)</f>
        <v>12.744</v>
      </c>
      <c r="AI361" s="96">
        <f t="shared" ref="AI361" si="2987">SUM(Y361+AG361)</f>
        <v>5.04</v>
      </c>
      <c r="AJ361" s="176">
        <f t="shared" ref="AJ361" si="2988">SUM(Z361,AH361)</f>
        <v>29.736000000000001</v>
      </c>
      <c r="AK361" s="204">
        <v>0.72</v>
      </c>
      <c r="AL361" s="176">
        <f t="shared" ref="AL361" si="2989">N361*AK361/1000</f>
        <v>4.2480000000000002</v>
      </c>
      <c r="AM361" s="244">
        <v>0.72</v>
      </c>
      <c r="AN361" s="176">
        <f t="shared" ref="AN361" si="2990">N361*AM361/1000</f>
        <v>4.2480000000000002</v>
      </c>
      <c r="AO361" s="204"/>
      <c r="AP361" s="205">
        <f t="shared" si="2899"/>
        <v>0</v>
      </c>
      <c r="AQ361" s="192">
        <f t="shared" ref="AQ361" si="2991">SUM(AK361+AM361+AO361)</f>
        <v>1.44</v>
      </c>
      <c r="AR361" s="96">
        <f t="shared" ref="AR361" si="2992">SUM(AL361+AN361+AP361)</f>
        <v>8.4960000000000004</v>
      </c>
      <c r="AS361" s="96">
        <v>0.96</v>
      </c>
      <c r="AT361" s="176">
        <f t="shared" ref="AT361" si="2993">P361*AS361/1000</f>
        <v>5.6639999999999997</v>
      </c>
      <c r="AU361" s="204">
        <v>0.44</v>
      </c>
      <c r="AV361" s="176">
        <f t="shared" ref="AV361" si="2994">P361*AU361/1000</f>
        <v>2.5960000000000001</v>
      </c>
      <c r="AW361" s="204">
        <v>0.52</v>
      </c>
      <c r="AX361" s="205">
        <f t="shared" ref="AX361" si="2995">P361*AW361/1000</f>
        <v>3.0680000000000001</v>
      </c>
      <c r="AY361" s="192">
        <f t="shared" ref="AY361" si="2996">SUM(AS361+AU361+AW361)</f>
        <v>1.92</v>
      </c>
      <c r="AZ361" s="96">
        <f t="shared" ref="AZ361" si="2997">SUM(AT361+AV361+AX361)</f>
        <v>11.327999999999999</v>
      </c>
      <c r="BA361" s="96">
        <f t="shared" ref="BA361" si="2998">SUM(AQ361+AY361)</f>
        <v>3.36</v>
      </c>
      <c r="BB361" s="96">
        <f t="shared" ref="BB361" si="2999">SUM(AR361,AZ361)</f>
        <v>19.823999999999998</v>
      </c>
    </row>
    <row r="362" spans="1:55" s="6" customFormat="1">
      <c r="A362" s="498">
        <v>247</v>
      </c>
      <c r="B362" s="14"/>
      <c r="C362" s="14"/>
      <c r="D362" s="13" t="s">
        <v>162</v>
      </c>
      <c r="E362" s="16" t="s">
        <v>465</v>
      </c>
      <c r="F362" s="45" t="s">
        <v>466</v>
      </c>
      <c r="G362" s="17" t="s">
        <v>1105</v>
      </c>
      <c r="H362" s="267" t="s">
        <v>365</v>
      </c>
      <c r="I362" s="234"/>
      <c r="J362" s="241">
        <v>5980</v>
      </c>
      <c r="K362" s="234"/>
      <c r="L362" s="241">
        <v>5980</v>
      </c>
      <c r="M362" s="234"/>
      <c r="N362" s="241">
        <v>5980</v>
      </c>
      <c r="O362" s="242"/>
      <c r="P362" s="241">
        <v>5980</v>
      </c>
      <c r="Q362" s="96">
        <f t="shared" ref="Q362:Q363" si="3000">SUM(AI362+BA362)</f>
        <v>35.959999999999994</v>
      </c>
      <c r="R362" s="340">
        <f t="shared" ref="R362:R363" si="3001">SUM(AJ362+BB362)</f>
        <v>215.04079999999999</v>
      </c>
      <c r="S362" s="96">
        <v>7.2</v>
      </c>
      <c r="T362" s="96">
        <f t="shared" ref="T362:T363" si="3002">J362*S362/1000</f>
        <v>43.055999999999997</v>
      </c>
      <c r="U362" s="96"/>
      <c r="V362" s="176">
        <f t="shared" ref="V362:V363" si="3003">J362*U362/1000</f>
        <v>0</v>
      </c>
      <c r="W362" s="204"/>
      <c r="X362" s="205">
        <f t="shared" ref="X362:X363" si="3004">J362*W362/1000</f>
        <v>0</v>
      </c>
      <c r="Y362" s="192">
        <f t="shared" ref="Y362" si="3005">SUM(S362+U362+W362)</f>
        <v>7.2</v>
      </c>
      <c r="Z362" s="176">
        <f t="shared" ref="Z362:Z363" si="3006">SUM(T362+V362+X362)</f>
        <v>43.055999999999997</v>
      </c>
      <c r="AA362" s="204">
        <v>4.32</v>
      </c>
      <c r="AB362" s="205">
        <f t="shared" ref="AB362:AB363" si="3007">L362*AA362/1000</f>
        <v>25.833600000000001</v>
      </c>
      <c r="AC362" s="204">
        <v>4.32</v>
      </c>
      <c r="AD362" s="176">
        <f t="shared" ref="AD362:AD363" si="3008">L362*AC362/1000</f>
        <v>25.833600000000001</v>
      </c>
      <c r="AE362" s="204">
        <v>2.88</v>
      </c>
      <c r="AF362" s="206">
        <f t="shared" si="2932"/>
        <v>17.222399999999997</v>
      </c>
      <c r="AG362" s="192">
        <f t="shared" ref="AG362:AG363" si="3009">SUM(AA362+AC362+AE362)</f>
        <v>11.52</v>
      </c>
      <c r="AH362" s="96">
        <f t="shared" ref="AH362:AH363" si="3010">SUM(AB362+AD362+AF362)</f>
        <v>68.889600000000002</v>
      </c>
      <c r="AI362" s="96">
        <f t="shared" ref="AI362:AI363" si="3011">SUM(Y362+AG362)</f>
        <v>18.72</v>
      </c>
      <c r="AJ362" s="176">
        <f t="shared" ref="AJ362:AJ363" si="3012">SUM(Z362,AH362)</f>
        <v>111.9456</v>
      </c>
      <c r="AK362" s="204">
        <v>2.88</v>
      </c>
      <c r="AL362" s="176">
        <f t="shared" ref="AL362:AL363" si="3013">N362*AK362/1000</f>
        <v>17.222399999999997</v>
      </c>
      <c r="AM362" s="244">
        <v>1.44</v>
      </c>
      <c r="AN362" s="176">
        <f t="shared" ref="AN362:AN363" si="3014">N362*AM362/1000</f>
        <v>8.6111999999999984</v>
      </c>
      <c r="AO362" s="204">
        <v>2.88</v>
      </c>
      <c r="AP362" s="205">
        <f t="shared" si="2899"/>
        <v>17.222399999999997</v>
      </c>
      <c r="AQ362" s="192">
        <f t="shared" ref="AQ362:AQ363" si="3015">SUM(AK362+AM362+AO362)</f>
        <v>7.2</v>
      </c>
      <c r="AR362" s="96">
        <f t="shared" ref="AR362:AR363" si="3016">SUM(AL362+AN362+AP362)</f>
        <v>43.055999999999997</v>
      </c>
      <c r="AS362" s="96">
        <v>5.76</v>
      </c>
      <c r="AT362" s="176">
        <f t="shared" ref="AT362:AT363" si="3017">P362*AS362/1000</f>
        <v>34.444799999999994</v>
      </c>
      <c r="AU362" s="204">
        <v>0.72</v>
      </c>
      <c r="AV362" s="176">
        <f t="shared" ref="AV362:AV363" si="3018">P362*AU362/1000</f>
        <v>4.3055999999999992</v>
      </c>
      <c r="AW362" s="204">
        <v>3.56</v>
      </c>
      <c r="AX362" s="205">
        <f t="shared" ref="AX362:AX363" si="3019">P362*AW362/1000</f>
        <v>21.288799999999998</v>
      </c>
      <c r="AY362" s="192">
        <f t="shared" ref="AY362:AY363" si="3020">SUM(AS362+AU362+AW362)</f>
        <v>10.039999999999999</v>
      </c>
      <c r="AZ362" s="96">
        <f t="shared" ref="AZ362:AZ363" si="3021">SUM(AT362+AV362+AX362)</f>
        <v>60.039199999999994</v>
      </c>
      <c r="BA362" s="96">
        <f t="shared" ref="BA362:BA363" si="3022">SUM(AQ362+AY362)</f>
        <v>17.239999999999998</v>
      </c>
      <c r="BB362" s="96">
        <f t="shared" ref="BB362:BB363" si="3023">SUM(AR362,AZ362)</f>
        <v>103.09519999999999</v>
      </c>
    </row>
    <row r="363" spans="1:55">
      <c r="A363" s="498">
        <v>248</v>
      </c>
      <c r="B363" s="13"/>
      <c r="C363" s="13"/>
      <c r="D363" s="13" t="s">
        <v>162</v>
      </c>
      <c r="E363" s="21" t="s">
        <v>566</v>
      </c>
      <c r="F363" s="46" t="s">
        <v>565</v>
      </c>
      <c r="G363" s="22" t="s">
        <v>1105</v>
      </c>
      <c r="H363" s="268" t="s">
        <v>365</v>
      </c>
      <c r="I363" s="55"/>
      <c r="J363" s="163">
        <v>5900</v>
      </c>
      <c r="K363" s="55"/>
      <c r="L363" s="163">
        <v>5900</v>
      </c>
      <c r="M363" s="55"/>
      <c r="N363" s="163">
        <v>5900</v>
      </c>
      <c r="O363" s="143"/>
      <c r="P363" s="163">
        <v>5900</v>
      </c>
      <c r="Q363" s="97">
        <f t="shared" si="3000"/>
        <v>2.0459999999999998</v>
      </c>
      <c r="R363" s="342">
        <f t="shared" si="3001"/>
        <v>12.071400000000001</v>
      </c>
      <c r="S363" s="97">
        <v>1.44</v>
      </c>
      <c r="T363" s="97">
        <f t="shared" si="3002"/>
        <v>8.4960000000000004</v>
      </c>
      <c r="U363" s="97"/>
      <c r="V363" s="177">
        <f t="shared" si="3003"/>
        <v>0</v>
      </c>
      <c r="W363" s="207"/>
      <c r="X363" s="206">
        <f t="shared" si="3004"/>
        <v>0</v>
      </c>
      <c r="Y363" s="189">
        <f t="shared" ref="Y363" si="3024">SUM(S363+U363+W363)</f>
        <v>1.44</v>
      </c>
      <c r="Z363" s="177">
        <f t="shared" si="3006"/>
        <v>8.4960000000000004</v>
      </c>
      <c r="AA363" s="207"/>
      <c r="AB363" s="206">
        <f t="shared" si="3007"/>
        <v>0</v>
      </c>
      <c r="AC363" s="207"/>
      <c r="AD363" s="177">
        <f t="shared" si="3008"/>
        <v>0</v>
      </c>
      <c r="AE363" s="207"/>
      <c r="AF363" s="206">
        <f t="shared" ref="AF363" si="3025">L363*AE363/1000</f>
        <v>0</v>
      </c>
      <c r="AG363" s="189">
        <f t="shared" si="3009"/>
        <v>0</v>
      </c>
      <c r="AH363" s="97">
        <f t="shared" si="3010"/>
        <v>0</v>
      </c>
      <c r="AI363" s="97">
        <f t="shared" si="3011"/>
        <v>1.44</v>
      </c>
      <c r="AJ363" s="177">
        <f t="shared" si="3012"/>
        <v>8.4960000000000004</v>
      </c>
      <c r="AK363" s="207">
        <v>0.24</v>
      </c>
      <c r="AL363" s="177">
        <f t="shared" si="3013"/>
        <v>1.4159999999999999</v>
      </c>
      <c r="AM363" s="245"/>
      <c r="AN363" s="177">
        <f t="shared" si="3014"/>
        <v>0</v>
      </c>
      <c r="AO363" s="207"/>
      <c r="AP363" s="206">
        <f t="shared" si="2899"/>
        <v>0</v>
      </c>
      <c r="AQ363" s="189">
        <f t="shared" si="3015"/>
        <v>0.24</v>
      </c>
      <c r="AR363" s="97">
        <f t="shared" si="3016"/>
        <v>1.4159999999999999</v>
      </c>
      <c r="AS363" s="97"/>
      <c r="AT363" s="177">
        <f t="shared" si="3017"/>
        <v>0</v>
      </c>
      <c r="AU363" s="207">
        <v>0.08</v>
      </c>
      <c r="AV363" s="177">
        <f t="shared" si="3018"/>
        <v>0.47199999999999998</v>
      </c>
      <c r="AW363" s="207">
        <v>0.28599999999999998</v>
      </c>
      <c r="AX363" s="206">
        <f t="shared" si="3019"/>
        <v>1.6873999999999998</v>
      </c>
      <c r="AY363" s="189">
        <f t="shared" si="3020"/>
        <v>0.36599999999999999</v>
      </c>
      <c r="AZ363" s="97">
        <f t="shared" si="3021"/>
        <v>2.1593999999999998</v>
      </c>
      <c r="BA363" s="97">
        <f t="shared" si="3022"/>
        <v>0.60599999999999998</v>
      </c>
      <c r="BB363" s="97">
        <f t="shared" si="3023"/>
        <v>3.5753999999999997</v>
      </c>
    </row>
    <row r="364" spans="1:55">
      <c r="A364" s="498">
        <v>249</v>
      </c>
      <c r="B364" s="13"/>
      <c r="C364" s="13"/>
      <c r="D364" s="13" t="s">
        <v>162</v>
      </c>
      <c r="E364" s="16" t="s">
        <v>304</v>
      </c>
      <c r="F364" s="45" t="s">
        <v>305</v>
      </c>
      <c r="G364" s="17" t="s">
        <v>1105</v>
      </c>
      <c r="H364" s="268" t="s">
        <v>365</v>
      </c>
      <c r="I364" s="55"/>
      <c r="J364" s="163">
        <v>4300</v>
      </c>
      <c r="K364" s="55"/>
      <c r="L364" s="163">
        <v>4300</v>
      </c>
      <c r="M364" s="55"/>
      <c r="N364" s="163">
        <v>4300</v>
      </c>
      <c r="O364" s="143"/>
      <c r="P364" s="163">
        <v>4300</v>
      </c>
      <c r="Q364" s="97">
        <f>SUM(AI364+BA364)</f>
        <v>0</v>
      </c>
      <c r="R364" s="342">
        <f t="shared" ref="R364" si="3026">SUM(AJ364+BB364)</f>
        <v>0</v>
      </c>
      <c r="S364" s="97"/>
      <c r="T364" s="97">
        <f t="shared" ref="T364" si="3027">J364*S364/1000</f>
        <v>0</v>
      </c>
      <c r="U364" s="97"/>
      <c r="V364" s="177">
        <f t="shared" ref="V364" si="3028">J364*U364/1000</f>
        <v>0</v>
      </c>
      <c r="W364" s="207"/>
      <c r="X364" s="206">
        <f t="shared" ref="X364" si="3029">J364*W364/1000</f>
        <v>0</v>
      </c>
      <c r="Y364" s="189">
        <f t="shared" ref="Y364" si="3030">SUM(S364+U364+W364)</f>
        <v>0</v>
      </c>
      <c r="Z364" s="177">
        <f t="shared" si="2893"/>
        <v>0</v>
      </c>
      <c r="AA364" s="207"/>
      <c r="AB364" s="206">
        <f t="shared" si="2894"/>
        <v>0</v>
      </c>
      <c r="AC364" s="207"/>
      <c r="AD364" s="177">
        <f t="shared" ref="AD364" si="3031">L364*AC364/1000</f>
        <v>0</v>
      </c>
      <c r="AE364" s="207"/>
      <c r="AF364" s="206">
        <f t="shared" si="2932"/>
        <v>0</v>
      </c>
      <c r="AG364" s="189">
        <f t="shared" si="2895"/>
        <v>0</v>
      </c>
      <c r="AH364" s="97">
        <f t="shared" si="2896"/>
        <v>0</v>
      </c>
      <c r="AI364" s="97">
        <f t="shared" si="2897"/>
        <v>0</v>
      </c>
      <c r="AJ364" s="177">
        <f t="shared" si="2898"/>
        <v>0</v>
      </c>
      <c r="AK364" s="207"/>
      <c r="AL364" s="177">
        <f>N364*AK364/1000</f>
        <v>0</v>
      </c>
      <c r="AM364" s="245"/>
      <c r="AN364" s="177">
        <f>N364*AM364/1000</f>
        <v>0</v>
      </c>
      <c r="AO364" s="207"/>
      <c r="AP364" s="206">
        <f t="shared" si="2899"/>
        <v>0</v>
      </c>
      <c r="AQ364" s="189">
        <f t="shared" si="2900"/>
        <v>0</v>
      </c>
      <c r="AR364" s="97">
        <f t="shared" si="2901"/>
        <v>0</v>
      </c>
      <c r="AS364" s="97"/>
      <c r="AT364" s="177">
        <f t="shared" si="2935"/>
        <v>0</v>
      </c>
      <c r="AU364" s="207"/>
      <c r="AV364" s="177">
        <f t="shared" si="2936"/>
        <v>0</v>
      </c>
      <c r="AW364" s="207"/>
      <c r="AX364" s="206">
        <f t="shared" si="2937"/>
        <v>0</v>
      </c>
      <c r="AY364" s="189">
        <f t="shared" si="2902"/>
        <v>0</v>
      </c>
      <c r="AZ364" s="97">
        <f t="shared" si="2903"/>
        <v>0</v>
      </c>
      <c r="BA364" s="97">
        <f t="shared" si="2904"/>
        <v>0</v>
      </c>
      <c r="BB364" s="97">
        <f t="shared" si="2905"/>
        <v>0</v>
      </c>
    </row>
    <row r="365" spans="1:55">
      <c r="A365" s="498">
        <v>250</v>
      </c>
      <c r="B365" s="13"/>
      <c r="C365" s="13"/>
      <c r="D365" s="13" t="s">
        <v>162</v>
      </c>
      <c r="E365" s="16" t="s">
        <v>415</v>
      </c>
      <c r="F365" s="45" t="s">
        <v>416</v>
      </c>
      <c r="G365" s="17" t="s">
        <v>1105</v>
      </c>
      <c r="H365" s="268" t="s">
        <v>365</v>
      </c>
      <c r="I365" s="55"/>
      <c r="J365" s="163">
        <v>4360</v>
      </c>
      <c r="K365" s="55"/>
      <c r="L365" s="163">
        <v>4360</v>
      </c>
      <c r="M365" s="55"/>
      <c r="N365" s="163">
        <v>4360</v>
      </c>
      <c r="O365" s="143"/>
      <c r="P365" s="163">
        <v>4360</v>
      </c>
      <c r="Q365" s="97">
        <f t="shared" si="2887"/>
        <v>0</v>
      </c>
      <c r="R365" s="342">
        <f t="shared" si="2888"/>
        <v>0</v>
      </c>
      <c r="S365" s="97"/>
      <c r="T365" s="97">
        <f t="shared" si="2889"/>
        <v>0</v>
      </c>
      <c r="U365" s="97"/>
      <c r="V365" s="177">
        <f t="shared" si="2890"/>
        <v>0</v>
      </c>
      <c r="W365" s="207"/>
      <c r="X365" s="206">
        <f t="shared" si="2891"/>
        <v>0</v>
      </c>
      <c r="Y365" s="189">
        <f t="shared" ref="Y365" si="3032">SUM(S365+U365+W365)</f>
        <v>0</v>
      </c>
      <c r="Z365" s="177">
        <f t="shared" ref="Z365" si="3033">SUM(T365+V365+X365)</f>
        <v>0</v>
      </c>
      <c r="AA365" s="207"/>
      <c r="AB365" s="206">
        <f t="shared" ref="AB365" si="3034">L365*AA365/1000</f>
        <v>0</v>
      </c>
      <c r="AC365" s="207"/>
      <c r="AD365" s="177">
        <f t="shared" si="2931"/>
        <v>0</v>
      </c>
      <c r="AE365" s="207"/>
      <c r="AF365" s="206">
        <f t="shared" ref="AF365" si="3035">L365*AE365/1000</f>
        <v>0</v>
      </c>
      <c r="AG365" s="189">
        <f t="shared" ref="AG365" si="3036">SUM(AA365+AC365+AE365)</f>
        <v>0</v>
      </c>
      <c r="AH365" s="97">
        <f t="shared" ref="AH365" si="3037">SUM(AB365+AD365+AF365)</f>
        <v>0</v>
      </c>
      <c r="AI365" s="97">
        <f t="shared" ref="AI365" si="3038">SUM(Y365+AG365)</f>
        <v>0</v>
      </c>
      <c r="AJ365" s="177">
        <f t="shared" ref="AJ365" si="3039">SUM(Z365,AH365)</f>
        <v>0</v>
      </c>
      <c r="AK365" s="207"/>
      <c r="AL365" s="177">
        <f t="shared" ref="AL365" si="3040">N365*AK365/1000</f>
        <v>0</v>
      </c>
      <c r="AM365" s="245"/>
      <c r="AN365" s="177">
        <f>N365*AM365/1000</f>
        <v>0</v>
      </c>
      <c r="AO365" s="207"/>
      <c r="AP365" s="206">
        <f t="shared" ref="AP365" si="3041">N365*AO365/1000</f>
        <v>0</v>
      </c>
      <c r="AQ365" s="189">
        <f t="shared" ref="AQ365" si="3042">SUM(AK365+AM365+AO365)</f>
        <v>0</v>
      </c>
      <c r="AR365" s="97">
        <f t="shared" ref="AR365" si="3043">SUM(AL365+AN365+AP365)</f>
        <v>0</v>
      </c>
      <c r="AS365" s="97"/>
      <c r="AT365" s="177">
        <f t="shared" ref="AT365" si="3044">P365*AS365/1000</f>
        <v>0</v>
      </c>
      <c r="AU365" s="207"/>
      <c r="AV365" s="177">
        <f t="shared" ref="AV365" si="3045">P365*AU365/1000</f>
        <v>0</v>
      </c>
      <c r="AW365" s="207"/>
      <c r="AX365" s="206">
        <f t="shared" ref="AX365" si="3046">P365*AW365/1000</f>
        <v>0</v>
      </c>
      <c r="AY365" s="189">
        <f t="shared" ref="AY365" si="3047">SUM(AS365+AU365+AW365)</f>
        <v>0</v>
      </c>
      <c r="AZ365" s="97">
        <f t="shared" ref="AZ365" si="3048">SUM(AT365+AV365+AX365)</f>
        <v>0</v>
      </c>
      <c r="BA365" s="97">
        <f t="shared" ref="BA365" si="3049">SUM(AQ365+AY365)</f>
        <v>0</v>
      </c>
      <c r="BB365" s="97">
        <f t="shared" ref="BB365" si="3050">SUM(AR365,AZ365)</f>
        <v>0</v>
      </c>
    </row>
    <row r="366" spans="1:55">
      <c r="A366" s="498">
        <v>251</v>
      </c>
      <c r="B366" s="13"/>
      <c r="C366" s="13"/>
      <c r="D366" s="13" t="s">
        <v>162</v>
      </c>
      <c r="E366" s="16" t="s">
        <v>417</v>
      </c>
      <c r="F366" s="45" t="s">
        <v>418</v>
      </c>
      <c r="G366" s="17" t="s">
        <v>1105</v>
      </c>
      <c r="H366" s="268" t="s">
        <v>365</v>
      </c>
      <c r="I366" s="55"/>
      <c r="J366" s="163">
        <v>4800</v>
      </c>
      <c r="K366" s="55"/>
      <c r="L366" s="163">
        <v>4800</v>
      </c>
      <c r="M366" s="55"/>
      <c r="N366" s="163">
        <v>4800</v>
      </c>
      <c r="O366" s="143"/>
      <c r="P366" s="163">
        <v>4800</v>
      </c>
      <c r="Q366" s="97">
        <f t="shared" si="2887"/>
        <v>0</v>
      </c>
      <c r="R366" s="342">
        <f t="shared" si="2888"/>
        <v>0</v>
      </c>
      <c r="S366" s="97"/>
      <c r="T366" s="97">
        <f>J366*S366/1000</f>
        <v>0</v>
      </c>
      <c r="U366" s="97"/>
      <c r="V366" s="177">
        <f t="shared" si="2890"/>
        <v>0</v>
      </c>
      <c r="W366" s="207"/>
      <c r="X366" s="206">
        <f t="shared" si="2891"/>
        <v>0</v>
      </c>
      <c r="Y366" s="189">
        <f>SUM(S366+U366+W366)</f>
        <v>0</v>
      </c>
      <c r="Z366" s="177">
        <f t="shared" si="2893"/>
        <v>0</v>
      </c>
      <c r="AA366" s="207"/>
      <c r="AB366" s="206">
        <f t="shared" si="2894"/>
        <v>0</v>
      </c>
      <c r="AC366" s="207"/>
      <c r="AD366" s="177">
        <f t="shared" si="2931"/>
        <v>0</v>
      </c>
      <c r="AE366" s="207"/>
      <c r="AF366" s="206">
        <f t="shared" si="2932"/>
        <v>0</v>
      </c>
      <c r="AG366" s="189">
        <f t="shared" si="2895"/>
        <v>0</v>
      </c>
      <c r="AH366" s="97">
        <f t="shared" si="2896"/>
        <v>0</v>
      </c>
      <c r="AI366" s="97">
        <f t="shared" si="2897"/>
        <v>0</v>
      </c>
      <c r="AJ366" s="177">
        <f t="shared" si="2898"/>
        <v>0</v>
      </c>
      <c r="AK366" s="207"/>
      <c r="AL366" s="177">
        <f t="shared" si="2933"/>
        <v>0</v>
      </c>
      <c r="AM366" s="245"/>
      <c r="AN366" s="177">
        <f t="shared" ref="AN366:AN377" si="3051">N366*AM366/1000</f>
        <v>0</v>
      </c>
      <c r="AO366" s="207"/>
      <c r="AP366" s="206">
        <f t="shared" ref="AP366:AP368" si="3052">N366*AO366/1000</f>
        <v>0</v>
      </c>
      <c r="AQ366" s="189">
        <f t="shared" si="2900"/>
        <v>0</v>
      </c>
      <c r="AR366" s="97">
        <f t="shared" si="2901"/>
        <v>0</v>
      </c>
      <c r="AS366" s="97"/>
      <c r="AT366" s="177">
        <f t="shared" si="2935"/>
        <v>0</v>
      </c>
      <c r="AU366" s="207"/>
      <c r="AV366" s="177">
        <f t="shared" si="2936"/>
        <v>0</v>
      </c>
      <c r="AW366" s="207"/>
      <c r="AX366" s="206">
        <f t="shared" si="2937"/>
        <v>0</v>
      </c>
      <c r="AY366" s="189">
        <f t="shared" si="2902"/>
        <v>0</v>
      </c>
      <c r="AZ366" s="97">
        <f t="shared" si="2903"/>
        <v>0</v>
      </c>
      <c r="BA366" s="97">
        <f t="shared" si="2904"/>
        <v>0</v>
      </c>
      <c r="BB366" s="97">
        <f t="shared" si="2905"/>
        <v>0</v>
      </c>
    </row>
    <row r="367" spans="1:55">
      <c r="A367" s="498">
        <v>252</v>
      </c>
      <c r="B367" s="13"/>
      <c r="C367" s="13"/>
      <c r="D367" s="13" t="s">
        <v>162</v>
      </c>
      <c r="E367" s="16" t="s">
        <v>617</v>
      </c>
      <c r="F367" s="45" t="s">
        <v>618</v>
      </c>
      <c r="G367" s="17" t="s">
        <v>1105</v>
      </c>
      <c r="H367" s="268" t="s">
        <v>365</v>
      </c>
      <c r="I367" s="55"/>
      <c r="J367" s="163">
        <v>5720</v>
      </c>
      <c r="K367" s="55"/>
      <c r="L367" s="163">
        <v>5720</v>
      </c>
      <c r="M367" s="55"/>
      <c r="N367" s="163">
        <v>5720</v>
      </c>
      <c r="O367" s="143"/>
      <c r="P367" s="163">
        <v>5470</v>
      </c>
      <c r="Q367" s="97">
        <f>SUM(AI367+BA367)</f>
        <v>135.38800000000001</v>
      </c>
      <c r="R367" s="342">
        <f t="shared" ref="R367" si="3053">SUM(AJ367+BB367)</f>
        <v>770.49185999999997</v>
      </c>
      <c r="S367" s="97">
        <v>18.48</v>
      </c>
      <c r="T367" s="97">
        <f t="shared" ref="T367" si="3054">J367*S367/1000</f>
        <v>105.7056</v>
      </c>
      <c r="U367" s="97">
        <v>29.52</v>
      </c>
      <c r="V367" s="177">
        <f t="shared" ref="V367" si="3055">J367*U367/1000</f>
        <v>168.8544</v>
      </c>
      <c r="W367" s="207">
        <v>18.72</v>
      </c>
      <c r="X367" s="206">
        <f t="shared" ref="X367" si="3056">J367*W367/1000</f>
        <v>107.07839999999999</v>
      </c>
      <c r="Y367" s="189">
        <f>SUM(S367+U367+W367)</f>
        <v>66.72</v>
      </c>
      <c r="Z367" s="177">
        <f t="shared" ref="Z367" si="3057">SUM(T367+V367+X367)</f>
        <v>381.63839999999999</v>
      </c>
      <c r="AA367" s="207">
        <v>10.08</v>
      </c>
      <c r="AB367" s="206">
        <f t="shared" ref="AB367" si="3058">L367*AA367/1000</f>
        <v>57.657599999999995</v>
      </c>
      <c r="AC367" s="207">
        <v>20.079999999999998</v>
      </c>
      <c r="AD367" s="177">
        <f t="shared" ref="AD367" si="3059">L367*AC367/1000</f>
        <v>114.85759999999999</v>
      </c>
      <c r="AE367" s="207">
        <v>8.64</v>
      </c>
      <c r="AF367" s="206">
        <f t="shared" ref="AF367" si="3060">L367*AE367/1000</f>
        <v>49.4208</v>
      </c>
      <c r="AG367" s="189">
        <f t="shared" ref="AG367" si="3061">SUM(AA367+AC367+AE367)</f>
        <v>38.799999999999997</v>
      </c>
      <c r="AH367" s="97">
        <f t="shared" ref="AH367" si="3062">SUM(AB367+AD367+AF367)</f>
        <v>221.93599999999998</v>
      </c>
      <c r="AI367" s="97">
        <f t="shared" ref="AI367" si="3063">SUM(Y367+AG367)</f>
        <v>105.52</v>
      </c>
      <c r="AJ367" s="177">
        <f t="shared" ref="AJ367" si="3064">SUM(Z367,AH367)</f>
        <v>603.57439999999997</v>
      </c>
      <c r="AK367" s="207">
        <v>12</v>
      </c>
      <c r="AL367" s="177">
        <f t="shared" ref="AL367" si="3065">N367*AK367/1000</f>
        <v>68.64</v>
      </c>
      <c r="AM367" s="245"/>
      <c r="AN367" s="177">
        <f t="shared" si="3051"/>
        <v>0</v>
      </c>
      <c r="AO367" s="207">
        <v>2.1579999999999999</v>
      </c>
      <c r="AP367" s="206">
        <f t="shared" ref="AP367" si="3066">N367*AO367/1000</f>
        <v>12.34376</v>
      </c>
      <c r="AQ367" s="189">
        <f t="shared" ref="AQ367" si="3067">SUM(AK367+AM367+AO367)</f>
        <v>14.157999999999999</v>
      </c>
      <c r="AR367" s="97">
        <f t="shared" ref="AR367" si="3068">SUM(AL367+AN367+AP367)</f>
        <v>80.983760000000004</v>
      </c>
      <c r="AS367" s="97">
        <v>2.85</v>
      </c>
      <c r="AT367" s="177">
        <f t="shared" ref="AT367" si="3069">P367*AS367/1000</f>
        <v>15.589499999999999</v>
      </c>
      <c r="AU367" s="207">
        <v>5.66</v>
      </c>
      <c r="AV367" s="177">
        <f t="shared" ref="AV367" si="3070">P367*AU367/1000</f>
        <v>30.9602</v>
      </c>
      <c r="AW367" s="207">
        <v>7.2</v>
      </c>
      <c r="AX367" s="206">
        <f t="shared" ref="AX367" si="3071">P367*AW367/1000</f>
        <v>39.384</v>
      </c>
      <c r="AY367" s="189">
        <f t="shared" ref="AY367" si="3072">SUM(AS367+AU367+AW367)</f>
        <v>15.71</v>
      </c>
      <c r="AZ367" s="97">
        <f t="shared" ref="AZ367" si="3073">SUM(AT367+AV367+AX367)</f>
        <v>85.933700000000002</v>
      </c>
      <c r="BA367" s="97">
        <f t="shared" ref="BA367" si="3074">SUM(AQ367+AY367)</f>
        <v>29.868000000000002</v>
      </c>
      <c r="BB367" s="97">
        <f t="shared" ref="BB367" si="3075">SUM(AR367,AZ367)</f>
        <v>166.91746000000001</v>
      </c>
    </row>
    <row r="368" spans="1:55">
      <c r="A368" s="498">
        <v>253</v>
      </c>
      <c r="B368" s="13"/>
      <c r="C368" s="13"/>
      <c r="D368" s="13" t="s">
        <v>162</v>
      </c>
      <c r="E368" s="16" t="s">
        <v>467</v>
      </c>
      <c r="F368" s="45" t="s">
        <v>470</v>
      </c>
      <c r="G368" s="17" t="s">
        <v>1105</v>
      </c>
      <c r="H368" s="268" t="s">
        <v>365</v>
      </c>
      <c r="I368" s="55"/>
      <c r="J368" s="163">
        <v>4783</v>
      </c>
      <c r="K368" s="55"/>
      <c r="L368" s="163">
        <v>4783</v>
      </c>
      <c r="M368" s="55"/>
      <c r="N368" s="163">
        <v>4783</v>
      </c>
      <c r="O368" s="143"/>
      <c r="P368" s="163">
        <v>4783</v>
      </c>
      <c r="Q368" s="97">
        <f t="shared" si="2887"/>
        <v>0</v>
      </c>
      <c r="R368" s="342">
        <f t="shared" si="2888"/>
        <v>0</v>
      </c>
      <c r="S368" s="97"/>
      <c r="T368" s="97">
        <f t="shared" si="2889"/>
        <v>0</v>
      </c>
      <c r="U368" s="97"/>
      <c r="V368" s="177">
        <f t="shared" si="2890"/>
        <v>0</v>
      </c>
      <c r="W368" s="207"/>
      <c r="X368" s="206">
        <f t="shared" si="2891"/>
        <v>0</v>
      </c>
      <c r="Y368" s="189">
        <f t="shared" si="2892"/>
        <v>0</v>
      </c>
      <c r="Z368" s="177">
        <f t="shared" si="2893"/>
        <v>0</v>
      </c>
      <c r="AA368" s="207"/>
      <c r="AB368" s="206">
        <f t="shared" si="2894"/>
        <v>0</v>
      </c>
      <c r="AC368" s="207"/>
      <c r="AD368" s="177">
        <f t="shared" si="2931"/>
        <v>0</v>
      </c>
      <c r="AE368" s="207"/>
      <c r="AF368" s="206">
        <f t="shared" si="2932"/>
        <v>0</v>
      </c>
      <c r="AG368" s="189">
        <f t="shared" si="2895"/>
        <v>0</v>
      </c>
      <c r="AH368" s="97">
        <f t="shared" si="2896"/>
        <v>0</v>
      </c>
      <c r="AI368" s="97">
        <f t="shared" si="2897"/>
        <v>0</v>
      </c>
      <c r="AJ368" s="177">
        <f t="shared" si="2898"/>
        <v>0</v>
      </c>
      <c r="AK368" s="207"/>
      <c r="AL368" s="177">
        <f t="shared" si="2933"/>
        <v>0</v>
      </c>
      <c r="AM368" s="245"/>
      <c r="AN368" s="177">
        <f t="shared" si="3051"/>
        <v>0</v>
      </c>
      <c r="AO368" s="207"/>
      <c r="AP368" s="206">
        <f t="shared" si="3052"/>
        <v>0</v>
      </c>
      <c r="AQ368" s="189">
        <f t="shared" si="2900"/>
        <v>0</v>
      </c>
      <c r="AR368" s="97">
        <f t="shared" si="2901"/>
        <v>0</v>
      </c>
      <c r="AS368" s="97"/>
      <c r="AT368" s="177">
        <f t="shared" si="2935"/>
        <v>0</v>
      </c>
      <c r="AU368" s="207"/>
      <c r="AV368" s="177">
        <f t="shared" si="2936"/>
        <v>0</v>
      </c>
      <c r="AW368" s="207"/>
      <c r="AX368" s="206">
        <f t="shared" si="2937"/>
        <v>0</v>
      </c>
      <c r="AY368" s="189">
        <f t="shared" si="2902"/>
        <v>0</v>
      </c>
      <c r="AZ368" s="97">
        <f t="shared" si="2903"/>
        <v>0</v>
      </c>
      <c r="BA368" s="97">
        <f t="shared" si="2904"/>
        <v>0</v>
      </c>
      <c r="BB368" s="97">
        <f t="shared" si="2905"/>
        <v>0</v>
      </c>
    </row>
    <row r="369" spans="1:54">
      <c r="A369" s="498">
        <v>254</v>
      </c>
      <c r="B369" s="13"/>
      <c r="C369" s="13"/>
      <c r="D369" s="13" t="s">
        <v>162</v>
      </c>
      <c r="E369" s="16" t="s">
        <v>468</v>
      </c>
      <c r="F369" s="45" t="s">
        <v>472</v>
      </c>
      <c r="G369" s="17" t="s">
        <v>1105</v>
      </c>
      <c r="H369" s="268" t="s">
        <v>365</v>
      </c>
      <c r="I369" s="55"/>
      <c r="J369" s="163">
        <v>4445</v>
      </c>
      <c r="K369" s="55"/>
      <c r="L369" s="163">
        <v>4445</v>
      </c>
      <c r="M369" s="55"/>
      <c r="N369" s="163">
        <v>4445</v>
      </c>
      <c r="O369" s="143"/>
      <c r="P369" s="163">
        <v>4445</v>
      </c>
      <c r="Q369" s="97">
        <f>SUM(AI369+BA369)</f>
        <v>0</v>
      </c>
      <c r="R369" s="342">
        <f t="shared" ref="R369:R374" si="3076">SUM(AJ369+BB369)</f>
        <v>0</v>
      </c>
      <c r="S369" s="97"/>
      <c r="T369" s="97">
        <f t="shared" ref="T369" si="3077">J369*S369/1000</f>
        <v>0</v>
      </c>
      <c r="U369" s="97"/>
      <c r="V369" s="177">
        <f t="shared" ref="V369:V372" si="3078">J369*U369/1000</f>
        <v>0</v>
      </c>
      <c r="W369" s="207"/>
      <c r="X369" s="206">
        <f t="shared" ref="X369:X374" si="3079">J369*W369/1000</f>
        <v>0</v>
      </c>
      <c r="Y369" s="189">
        <f t="shared" ref="Y369:Y374" si="3080">SUM(S369+U369+W369)</f>
        <v>0</v>
      </c>
      <c r="Z369" s="177">
        <f t="shared" ref="Z369:Z374" si="3081">SUM(T369+V369+X369)</f>
        <v>0</v>
      </c>
      <c r="AA369" s="207"/>
      <c r="AB369" s="206">
        <f t="shared" ref="AB369:AB374" si="3082">L369*AA369/1000</f>
        <v>0</v>
      </c>
      <c r="AC369" s="207"/>
      <c r="AD369" s="177">
        <f t="shared" ref="AD369:AD374" si="3083">L369*AC369/1000</f>
        <v>0</v>
      </c>
      <c r="AE369" s="207"/>
      <c r="AF369" s="206">
        <f t="shared" si="2932"/>
        <v>0</v>
      </c>
      <c r="AG369" s="189">
        <f t="shared" ref="AG369:AG374" si="3084">SUM(AA369+AC369+AE369)</f>
        <v>0</v>
      </c>
      <c r="AH369" s="97">
        <f t="shared" ref="AH369:AH374" si="3085">SUM(AB369+AD369+AF369)</f>
        <v>0</v>
      </c>
      <c r="AI369" s="97">
        <f t="shared" ref="AI369:AI374" si="3086">SUM(Y369+AG369)</f>
        <v>0</v>
      </c>
      <c r="AJ369" s="177">
        <f t="shared" ref="AJ369:AJ374" si="3087">SUM(Z369,AH369)</f>
        <v>0</v>
      </c>
      <c r="AK369" s="207"/>
      <c r="AL369" s="177">
        <f t="shared" ref="AL369:AL374" si="3088">N369*AK369/1000</f>
        <v>0</v>
      </c>
      <c r="AM369" s="245"/>
      <c r="AN369" s="177">
        <f t="shared" si="3051"/>
        <v>0</v>
      </c>
      <c r="AO369" s="207"/>
      <c r="AP369" s="206">
        <f>N369*AO369/1000</f>
        <v>0</v>
      </c>
      <c r="AQ369" s="189">
        <f t="shared" ref="AQ369:AQ374" si="3089">SUM(AK369+AM369+AO369)</f>
        <v>0</v>
      </c>
      <c r="AR369" s="97">
        <f t="shared" ref="AR369:AR374" si="3090">SUM(AL369+AN369+AP369)</f>
        <v>0</v>
      </c>
      <c r="AS369" s="97"/>
      <c r="AT369" s="177">
        <f t="shared" ref="AT369:AT374" si="3091">P369*AS369/1000</f>
        <v>0</v>
      </c>
      <c r="AU369" s="207"/>
      <c r="AV369" s="177">
        <f t="shared" ref="AV369:AV374" si="3092">P369*AU369/1000</f>
        <v>0</v>
      </c>
      <c r="AW369" s="207"/>
      <c r="AX369" s="206">
        <f t="shared" ref="AX369:AX374" si="3093">P369*AW369/1000</f>
        <v>0</v>
      </c>
      <c r="AY369" s="189">
        <f t="shared" ref="AY369:AY374" si="3094">SUM(AS369+AU369+AW369)</f>
        <v>0</v>
      </c>
      <c r="AZ369" s="97">
        <f t="shared" ref="AZ369:AZ374" si="3095">SUM(AT369+AV369+AX369)</f>
        <v>0</v>
      </c>
      <c r="BA369" s="97">
        <f t="shared" ref="BA369:BA374" si="3096">SUM(AQ369+AY369)</f>
        <v>0</v>
      </c>
      <c r="BB369" s="97">
        <f t="shared" ref="BB369:BB374" si="3097">SUM(AR369,AZ369)</f>
        <v>0</v>
      </c>
    </row>
    <row r="370" spans="1:54">
      <c r="A370" s="498">
        <v>255</v>
      </c>
      <c r="B370" s="13"/>
      <c r="C370" s="13"/>
      <c r="D370" s="13" t="s">
        <v>162</v>
      </c>
      <c r="E370" s="16" t="s">
        <v>469</v>
      </c>
      <c r="F370" s="45" t="s">
        <v>471</v>
      </c>
      <c r="G370" s="17" t="s">
        <v>1105</v>
      </c>
      <c r="H370" s="268" t="s">
        <v>365</v>
      </c>
      <c r="I370" s="55"/>
      <c r="J370" s="163">
        <v>4727</v>
      </c>
      <c r="K370" s="55"/>
      <c r="L370" s="163">
        <v>4727</v>
      </c>
      <c r="M370" s="55"/>
      <c r="N370" s="163">
        <v>4727</v>
      </c>
      <c r="O370" s="143"/>
      <c r="P370" s="163">
        <v>4727</v>
      </c>
      <c r="Q370" s="97">
        <f t="shared" ref="Q370" si="3098">SUM(AI370+BA370)</f>
        <v>0</v>
      </c>
      <c r="R370" s="342">
        <f t="shared" ref="R370" si="3099">SUM(AJ370+BB370)</f>
        <v>0</v>
      </c>
      <c r="S370" s="97"/>
      <c r="T370" s="97">
        <f>J370*S370/1000</f>
        <v>0</v>
      </c>
      <c r="U370" s="97"/>
      <c r="V370" s="177">
        <f t="shared" ref="V370" si="3100">J370*U370/1000</f>
        <v>0</v>
      </c>
      <c r="W370" s="207"/>
      <c r="X370" s="206">
        <f t="shared" ref="X370" si="3101">J370*W370/1000</f>
        <v>0</v>
      </c>
      <c r="Y370" s="189">
        <f t="shared" ref="Y370" si="3102">SUM(S370+U370+W370)</f>
        <v>0</v>
      </c>
      <c r="Z370" s="177">
        <f t="shared" ref="Z370" si="3103">SUM(T370+V370+X370)</f>
        <v>0</v>
      </c>
      <c r="AA370" s="207"/>
      <c r="AB370" s="206">
        <f t="shared" ref="AB370" si="3104">L370*AA370/1000</f>
        <v>0</v>
      </c>
      <c r="AC370" s="207"/>
      <c r="AD370" s="177">
        <f t="shared" ref="AD370" si="3105">L370*AC370/1000</f>
        <v>0</v>
      </c>
      <c r="AE370" s="207"/>
      <c r="AF370" s="206">
        <f t="shared" si="2932"/>
        <v>0</v>
      </c>
      <c r="AG370" s="189">
        <f t="shared" ref="AG370" si="3106">SUM(AA370+AC370+AE370)</f>
        <v>0</v>
      </c>
      <c r="AH370" s="97">
        <f t="shared" ref="AH370" si="3107">SUM(AB370+AD370+AF370)</f>
        <v>0</v>
      </c>
      <c r="AI370" s="97">
        <f t="shared" ref="AI370" si="3108">SUM(Y370+AG370)</f>
        <v>0</v>
      </c>
      <c r="AJ370" s="177">
        <f t="shared" ref="AJ370" si="3109">SUM(Z370,AH370)</f>
        <v>0</v>
      </c>
      <c r="AK370" s="207"/>
      <c r="AL370" s="177">
        <f t="shared" ref="AL370" si="3110">N370*AK370/1000</f>
        <v>0</v>
      </c>
      <c r="AM370" s="245"/>
      <c r="AN370" s="177">
        <f t="shared" ref="AN370" si="3111">N370*AM370/1000</f>
        <v>0</v>
      </c>
      <c r="AO370" s="207"/>
      <c r="AP370" s="206">
        <f t="shared" ref="AP370" si="3112">N370*AO370/1000</f>
        <v>0</v>
      </c>
      <c r="AQ370" s="189">
        <f t="shared" ref="AQ370" si="3113">SUM(AK370+AM370+AO370)</f>
        <v>0</v>
      </c>
      <c r="AR370" s="97">
        <f t="shared" ref="AR370" si="3114">SUM(AL370+AN370+AP370)</f>
        <v>0</v>
      </c>
      <c r="AS370" s="97"/>
      <c r="AT370" s="177">
        <f t="shared" ref="AT370" si="3115">P370*AS370/1000</f>
        <v>0</v>
      </c>
      <c r="AU370" s="207"/>
      <c r="AV370" s="177">
        <f t="shared" ref="AV370" si="3116">P370*AU370/1000</f>
        <v>0</v>
      </c>
      <c r="AW370" s="207"/>
      <c r="AX370" s="206">
        <f t="shared" ref="AX370" si="3117">P370*AW370/1000</f>
        <v>0</v>
      </c>
      <c r="AY370" s="189">
        <f t="shared" ref="AY370" si="3118">SUM(AS370+AU370+AW370)</f>
        <v>0</v>
      </c>
      <c r="AZ370" s="97">
        <f t="shared" ref="AZ370" si="3119">SUM(AT370+AV370+AX370)</f>
        <v>0</v>
      </c>
      <c r="BA370" s="97">
        <f t="shared" ref="BA370" si="3120">SUM(AQ370+AY370)</f>
        <v>0</v>
      </c>
      <c r="BB370" s="97">
        <f t="shared" ref="BB370" si="3121">SUM(AR370,AZ370)</f>
        <v>0</v>
      </c>
    </row>
    <row r="371" spans="1:54">
      <c r="A371" s="498">
        <v>256</v>
      </c>
      <c r="B371" s="13"/>
      <c r="C371" s="13"/>
      <c r="D371" s="13" t="s">
        <v>162</v>
      </c>
      <c r="E371" s="16" t="s">
        <v>665</v>
      </c>
      <c r="F371" s="45" t="s">
        <v>666</v>
      </c>
      <c r="G371" s="17" t="s">
        <v>1105</v>
      </c>
      <c r="H371" s="268" t="s">
        <v>365</v>
      </c>
      <c r="I371" s="55"/>
      <c r="J371" s="163">
        <v>4883</v>
      </c>
      <c r="K371" s="55"/>
      <c r="L371" s="163">
        <v>4883</v>
      </c>
      <c r="M371" s="55"/>
      <c r="N371" s="163">
        <v>4883</v>
      </c>
      <c r="O371" s="143"/>
      <c r="P371" s="163">
        <v>4883</v>
      </c>
      <c r="Q371" s="97">
        <f t="shared" ref="Q371" si="3122">SUM(AI371+BA371)</f>
        <v>0</v>
      </c>
      <c r="R371" s="342">
        <f t="shared" si="3076"/>
        <v>0</v>
      </c>
      <c r="S371" s="97"/>
      <c r="T371" s="97">
        <f>J371*S371/1000</f>
        <v>0</v>
      </c>
      <c r="U371" s="97"/>
      <c r="V371" s="177">
        <f t="shared" si="3078"/>
        <v>0</v>
      </c>
      <c r="W371" s="207"/>
      <c r="X371" s="206">
        <f t="shared" si="3079"/>
        <v>0</v>
      </c>
      <c r="Y371" s="189">
        <f t="shared" si="3080"/>
        <v>0</v>
      </c>
      <c r="Z371" s="177">
        <f t="shared" si="3081"/>
        <v>0</v>
      </c>
      <c r="AA371" s="207"/>
      <c r="AB371" s="206">
        <f t="shared" si="3082"/>
        <v>0</v>
      </c>
      <c r="AC371" s="207"/>
      <c r="AD371" s="177">
        <f t="shared" si="3083"/>
        <v>0</v>
      </c>
      <c r="AE371" s="207"/>
      <c r="AF371" s="206">
        <f t="shared" ref="AF371:AF374" si="3123">L371*AE371/1000</f>
        <v>0</v>
      </c>
      <c r="AG371" s="189">
        <f t="shared" si="3084"/>
        <v>0</v>
      </c>
      <c r="AH371" s="97">
        <f t="shared" si="3085"/>
        <v>0</v>
      </c>
      <c r="AI371" s="97">
        <f t="shared" si="3086"/>
        <v>0</v>
      </c>
      <c r="AJ371" s="177">
        <f t="shared" si="3087"/>
        <v>0</v>
      </c>
      <c r="AK371" s="207"/>
      <c r="AL371" s="177">
        <f t="shared" si="3088"/>
        <v>0</v>
      </c>
      <c r="AM371" s="245"/>
      <c r="AN371" s="177">
        <f t="shared" si="3051"/>
        <v>0</v>
      </c>
      <c r="AO371" s="207"/>
      <c r="AP371" s="206">
        <f t="shared" ref="AP371:AP374" si="3124">N371*AO371/1000</f>
        <v>0</v>
      </c>
      <c r="AQ371" s="189">
        <f t="shared" si="3089"/>
        <v>0</v>
      </c>
      <c r="AR371" s="97">
        <f t="shared" si="3090"/>
        <v>0</v>
      </c>
      <c r="AS371" s="97"/>
      <c r="AT371" s="177">
        <f t="shared" si="3091"/>
        <v>0</v>
      </c>
      <c r="AU371" s="207"/>
      <c r="AV371" s="177">
        <f t="shared" si="3092"/>
        <v>0</v>
      </c>
      <c r="AW371" s="207"/>
      <c r="AX371" s="206">
        <f t="shared" si="3093"/>
        <v>0</v>
      </c>
      <c r="AY371" s="189">
        <f t="shared" si="3094"/>
        <v>0</v>
      </c>
      <c r="AZ371" s="97">
        <f t="shared" si="3095"/>
        <v>0</v>
      </c>
      <c r="BA371" s="97">
        <f t="shared" si="3096"/>
        <v>0</v>
      </c>
      <c r="BB371" s="97">
        <f t="shared" si="3097"/>
        <v>0</v>
      </c>
    </row>
    <row r="372" spans="1:54">
      <c r="A372" s="498">
        <v>257</v>
      </c>
      <c r="B372" s="13"/>
      <c r="C372" s="13"/>
      <c r="D372" s="13" t="s">
        <v>162</v>
      </c>
      <c r="E372" s="16" t="s">
        <v>610</v>
      </c>
      <c r="F372" s="45" t="s">
        <v>611</v>
      </c>
      <c r="G372" s="17" t="s">
        <v>1105</v>
      </c>
      <c r="H372" s="268" t="s">
        <v>365</v>
      </c>
      <c r="I372" s="55"/>
      <c r="J372" s="163">
        <v>5150</v>
      </c>
      <c r="K372" s="55"/>
      <c r="L372" s="163">
        <v>5150</v>
      </c>
      <c r="M372" s="55"/>
      <c r="N372" s="163">
        <v>5150</v>
      </c>
      <c r="O372" s="143"/>
      <c r="P372" s="163">
        <v>5150</v>
      </c>
      <c r="Q372" s="97">
        <f t="shared" ref="Q372:Q374" si="3125">SUM(AI372+BA372)</f>
        <v>0</v>
      </c>
      <c r="R372" s="342">
        <f t="shared" si="3076"/>
        <v>0</v>
      </c>
      <c r="S372" s="97"/>
      <c r="T372" s="97">
        <f t="shared" ref="T372:T374" si="3126">J372*S372/1000</f>
        <v>0</v>
      </c>
      <c r="U372" s="97"/>
      <c r="V372" s="177">
        <f t="shared" si="3078"/>
        <v>0</v>
      </c>
      <c r="W372" s="207"/>
      <c r="X372" s="206">
        <f t="shared" si="3079"/>
        <v>0</v>
      </c>
      <c r="Y372" s="189">
        <f t="shared" si="3080"/>
        <v>0</v>
      </c>
      <c r="Z372" s="177">
        <f t="shared" si="3081"/>
        <v>0</v>
      </c>
      <c r="AA372" s="207"/>
      <c r="AB372" s="206">
        <f t="shared" si="3082"/>
        <v>0</v>
      </c>
      <c r="AC372" s="207"/>
      <c r="AD372" s="177">
        <f t="shared" si="3083"/>
        <v>0</v>
      </c>
      <c r="AE372" s="207"/>
      <c r="AF372" s="206">
        <f t="shared" si="3123"/>
        <v>0</v>
      </c>
      <c r="AG372" s="189">
        <f t="shared" si="3084"/>
        <v>0</v>
      </c>
      <c r="AH372" s="97">
        <f t="shared" si="3085"/>
        <v>0</v>
      </c>
      <c r="AI372" s="97">
        <f t="shared" si="3086"/>
        <v>0</v>
      </c>
      <c r="AJ372" s="177">
        <f t="shared" si="3087"/>
        <v>0</v>
      </c>
      <c r="AK372" s="207"/>
      <c r="AL372" s="177">
        <f t="shared" si="3088"/>
        <v>0</v>
      </c>
      <c r="AM372" s="245"/>
      <c r="AN372" s="177">
        <f>N372*AM372/1000</f>
        <v>0</v>
      </c>
      <c r="AO372" s="207"/>
      <c r="AP372" s="206">
        <f t="shared" si="3124"/>
        <v>0</v>
      </c>
      <c r="AQ372" s="189">
        <f t="shared" si="3089"/>
        <v>0</v>
      </c>
      <c r="AR372" s="97">
        <f t="shared" si="3090"/>
        <v>0</v>
      </c>
      <c r="AS372" s="97"/>
      <c r="AT372" s="177">
        <f t="shared" si="3091"/>
        <v>0</v>
      </c>
      <c r="AU372" s="207"/>
      <c r="AV372" s="177">
        <f t="shared" si="3092"/>
        <v>0</v>
      </c>
      <c r="AW372" s="207"/>
      <c r="AX372" s="206">
        <f t="shared" si="3093"/>
        <v>0</v>
      </c>
      <c r="AY372" s="189">
        <f t="shared" si="3094"/>
        <v>0</v>
      </c>
      <c r="AZ372" s="97">
        <f t="shared" si="3095"/>
        <v>0</v>
      </c>
      <c r="BA372" s="97">
        <f t="shared" si="3096"/>
        <v>0</v>
      </c>
      <c r="BB372" s="97">
        <f t="shared" si="3097"/>
        <v>0</v>
      </c>
    </row>
    <row r="373" spans="1:54">
      <c r="A373" s="498">
        <v>258</v>
      </c>
      <c r="B373" s="13"/>
      <c r="C373" s="13"/>
      <c r="D373" s="13" t="s">
        <v>162</v>
      </c>
      <c r="E373" s="16" t="s">
        <v>668</v>
      </c>
      <c r="F373" s="45" t="s">
        <v>667</v>
      </c>
      <c r="G373" s="17" t="s">
        <v>1105</v>
      </c>
      <c r="H373" s="268" t="s">
        <v>365</v>
      </c>
      <c r="I373" s="55"/>
      <c r="J373" s="163">
        <v>9880</v>
      </c>
      <c r="K373" s="55"/>
      <c r="L373" s="163">
        <v>9880</v>
      </c>
      <c r="M373" s="55"/>
      <c r="N373" s="163">
        <v>9880</v>
      </c>
      <c r="O373" s="143"/>
      <c r="P373" s="163">
        <v>9879</v>
      </c>
      <c r="Q373" s="97">
        <f t="shared" ref="Q373" si="3127">SUM(AI373+BA373)</f>
        <v>29.88</v>
      </c>
      <c r="R373" s="342">
        <f t="shared" ref="R373" si="3128">SUM(AJ373+BB373)</f>
        <v>295.20647999999994</v>
      </c>
      <c r="S373" s="97">
        <v>9</v>
      </c>
      <c r="T373" s="97">
        <f t="shared" ref="T373" si="3129">J373*S373/1000</f>
        <v>88.92</v>
      </c>
      <c r="U373" s="97">
        <v>5.04</v>
      </c>
      <c r="V373" s="177">
        <f>J373*U373/1000</f>
        <v>49.795199999999994</v>
      </c>
      <c r="W373" s="207"/>
      <c r="X373" s="206">
        <f t="shared" ref="X373" si="3130">J373*W373/1000</f>
        <v>0</v>
      </c>
      <c r="Y373" s="189">
        <f t="shared" ref="Y373" si="3131">SUM(S373+U373+W373)</f>
        <v>14.04</v>
      </c>
      <c r="Z373" s="177">
        <f t="shared" ref="Z373" si="3132">SUM(T373+V373+X373)</f>
        <v>138.71519999999998</v>
      </c>
      <c r="AA373" s="207"/>
      <c r="AB373" s="206">
        <f t="shared" ref="AB373" si="3133">L373*AA373/1000</f>
        <v>0</v>
      </c>
      <c r="AC373" s="207"/>
      <c r="AD373" s="177">
        <f t="shared" ref="AD373" si="3134">L373*AC373/1000</f>
        <v>0</v>
      </c>
      <c r="AE373" s="207">
        <v>2.88</v>
      </c>
      <c r="AF373" s="206">
        <f t="shared" ref="AF373" si="3135">L373*AE373/1000</f>
        <v>28.454399999999996</v>
      </c>
      <c r="AG373" s="189">
        <f t="shared" ref="AG373" si="3136">SUM(AA373+AC373+AE373)</f>
        <v>2.88</v>
      </c>
      <c r="AH373" s="97">
        <f t="shared" ref="AH373" si="3137">SUM(AB373+AD373+AF373)</f>
        <v>28.454399999999996</v>
      </c>
      <c r="AI373" s="97">
        <f t="shared" ref="AI373" si="3138">SUM(Y373+AG373)</f>
        <v>16.919999999999998</v>
      </c>
      <c r="AJ373" s="177">
        <f t="shared" ref="AJ373" si="3139">SUM(Z373,AH373)</f>
        <v>167.16959999999997</v>
      </c>
      <c r="AK373" s="207">
        <v>5.04</v>
      </c>
      <c r="AL373" s="177">
        <f t="shared" ref="AL373" si="3140">N373*AK373/1000</f>
        <v>49.795199999999994</v>
      </c>
      <c r="AM373" s="245"/>
      <c r="AN373" s="177">
        <f t="shared" ref="AN373" si="3141">N373*AM373/1000</f>
        <v>0</v>
      </c>
      <c r="AO373" s="207"/>
      <c r="AP373" s="206">
        <f t="shared" ref="AP373" si="3142">N373*AO373/1000</f>
        <v>0</v>
      </c>
      <c r="AQ373" s="189">
        <f t="shared" ref="AQ373" si="3143">SUM(AK373+AM373+AO373)</f>
        <v>5.04</v>
      </c>
      <c r="AR373" s="97">
        <f t="shared" ref="AR373" si="3144">SUM(AL373+AN373+AP373)</f>
        <v>49.795199999999994</v>
      </c>
      <c r="AS373" s="97"/>
      <c r="AT373" s="177">
        <f t="shared" ref="AT373" si="3145">P373*AS373/1000</f>
        <v>0</v>
      </c>
      <c r="AU373" s="207">
        <v>3.6</v>
      </c>
      <c r="AV373" s="177">
        <f t="shared" ref="AV373" si="3146">P373*AU373/1000</f>
        <v>35.564399999999999</v>
      </c>
      <c r="AW373" s="207">
        <v>4.32</v>
      </c>
      <c r="AX373" s="206">
        <f t="shared" ref="AX373" si="3147">P373*AW373/1000</f>
        <v>42.677280000000003</v>
      </c>
      <c r="AY373" s="189">
        <f t="shared" ref="AY373" si="3148">SUM(AS373+AU373+AW373)</f>
        <v>7.92</v>
      </c>
      <c r="AZ373" s="97">
        <f t="shared" ref="AZ373" si="3149">SUM(AT373+AV373+AX373)</f>
        <v>78.241680000000002</v>
      </c>
      <c r="BA373" s="97">
        <f t="shared" ref="BA373" si="3150">SUM(AQ373+AY373)</f>
        <v>12.96</v>
      </c>
      <c r="BB373" s="97">
        <f t="shared" ref="BB373" si="3151">SUM(AR373,AZ373)</f>
        <v>128.03688</v>
      </c>
    </row>
    <row r="374" spans="1:54">
      <c r="A374" s="498">
        <v>259</v>
      </c>
      <c r="B374" s="13"/>
      <c r="C374" s="13"/>
      <c r="D374" s="13" t="s">
        <v>162</v>
      </c>
      <c r="E374" s="16" t="s">
        <v>856</v>
      </c>
      <c r="F374" s="45" t="s">
        <v>857</v>
      </c>
      <c r="G374" s="17" t="s">
        <v>1105</v>
      </c>
      <c r="H374" s="268" t="s">
        <v>365</v>
      </c>
      <c r="I374" s="55"/>
      <c r="J374" s="163">
        <v>9960</v>
      </c>
      <c r="K374" s="55"/>
      <c r="L374" s="163">
        <v>9960</v>
      </c>
      <c r="M374" s="55"/>
      <c r="N374" s="163">
        <v>9960</v>
      </c>
      <c r="O374" s="143"/>
      <c r="P374" s="163">
        <v>9960</v>
      </c>
      <c r="Q374" s="97">
        <f t="shared" si="3125"/>
        <v>0.72</v>
      </c>
      <c r="R374" s="342">
        <f t="shared" si="3076"/>
        <v>7.1711999999999998</v>
      </c>
      <c r="S374" s="97"/>
      <c r="T374" s="97">
        <f t="shared" si="3126"/>
        <v>0</v>
      </c>
      <c r="U374" s="97">
        <v>0.72</v>
      </c>
      <c r="V374" s="177">
        <f>J374*U374/1000</f>
        <v>7.1711999999999998</v>
      </c>
      <c r="W374" s="207"/>
      <c r="X374" s="206">
        <f t="shared" si="3079"/>
        <v>0</v>
      </c>
      <c r="Y374" s="189">
        <f t="shared" si="3080"/>
        <v>0.72</v>
      </c>
      <c r="Z374" s="177">
        <f t="shared" si="3081"/>
        <v>7.1711999999999998</v>
      </c>
      <c r="AA374" s="207"/>
      <c r="AB374" s="206">
        <f t="shared" si="3082"/>
        <v>0</v>
      </c>
      <c r="AC374" s="207"/>
      <c r="AD374" s="177">
        <f t="shared" si="3083"/>
        <v>0</v>
      </c>
      <c r="AE374" s="207"/>
      <c r="AF374" s="206">
        <f t="shared" si="3123"/>
        <v>0</v>
      </c>
      <c r="AG374" s="189">
        <f t="shared" si="3084"/>
        <v>0</v>
      </c>
      <c r="AH374" s="97">
        <f t="shared" si="3085"/>
        <v>0</v>
      </c>
      <c r="AI374" s="97">
        <f t="shared" si="3086"/>
        <v>0.72</v>
      </c>
      <c r="AJ374" s="177">
        <f t="shared" si="3087"/>
        <v>7.1711999999999998</v>
      </c>
      <c r="AK374" s="207"/>
      <c r="AL374" s="177">
        <f t="shared" si="3088"/>
        <v>0</v>
      </c>
      <c r="AM374" s="245"/>
      <c r="AN374" s="177">
        <f t="shared" ref="AN374" si="3152">N374*AM374/1000</f>
        <v>0</v>
      </c>
      <c r="AO374" s="207"/>
      <c r="AP374" s="206">
        <f t="shared" si="3124"/>
        <v>0</v>
      </c>
      <c r="AQ374" s="189">
        <f t="shared" si="3089"/>
        <v>0</v>
      </c>
      <c r="AR374" s="97">
        <f t="shared" si="3090"/>
        <v>0</v>
      </c>
      <c r="AS374" s="97"/>
      <c r="AT374" s="177">
        <f t="shared" si="3091"/>
        <v>0</v>
      </c>
      <c r="AU374" s="207"/>
      <c r="AV374" s="177">
        <f t="shared" si="3092"/>
        <v>0</v>
      </c>
      <c r="AW374" s="207"/>
      <c r="AX374" s="206">
        <f t="shared" si="3093"/>
        <v>0</v>
      </c>
      <c r="AY374" s="189">
        <f t="shared" si="3094"/>
        <v>0</v>
      </c>
      <c r="AZ374" s="97">
        <f t="shared" si="3095"/>
        <v>0</v>
      </c>
      <c r="BA374" s="97">
        <f t="shared" si="3096"/>
        <v>0</v>
      </c>
      <c r="BB374" s="97">
        <f t="shared" si="3097"/>
        <v>0</v>
      </c>
    </row>
    <row r="375" spans="1:54">
      <c r="A375" s="498">
        <v>260</v>
      </c>
      <c r="B375" s="13"/>
      <c r="C375" s="13"/>
      <c r="D375" s="13" t="s">
        <v>162</v>
      </c>
      <c r="E375" s="16" t="s">
        <v>842</v>
      </c>
      <c r="F375" s="45" t="s">
        <v>843</v>
      </c>
      <c r="G375" s="17" t="s">
        <v>1105</v>
      </c>
      <c r="H375" s="268" t="s">
        <v>365</v>
      </c>
      <c r="I375" s="55"/>
      <c r="J375" s="163">
        <v>5130</v>
      </c>
      <c r="K375" s="55"/>
      <c r="L375" s="163">
        <v>5130</v>
      </c>
      <c r="M375" s="55"/>
      <c r="N375" s="163">
        <v>5130</v>
      </c>
      <c r="O375" s="143"/>
      <c r="P375" s="163">
        <v>5130</v>
      </c>
      <c r="Q375" s="97">
        <f t="shared" ref="Q375" si="3153">SUM(AI375+BA375)</f>
        <v>9</v>
      </c>
      <c r="R375" s="342">
        <f t="shared" ref="R375:R381" si="3154">SUM(AJ375+BB375)</f>
        <v>46.169999999999995</v>
      </c>
      <c r="S375" s="97"/>
      <c r="T375" s="97">
        <f t="shared" ref="T375:T378" si="3155">J375*S375/1000</f>
        <v>0</v>
      </c>
      <c r="U375" s="97"/>
      <c r="V375" s="177">
        <f>J375*U375/1000</f>
        <v>0</v>
      </c>
      <c r="W375" s="207">
        <v>7</v>
      </c>
      <c r="X375" s="206">
        <f t="shared" ref="X375:X381" si="3156">J375*W375/1000</f>
        <v>35.909999999999997</v>
      </c>
      <c r="Y375" s="189">
        <f t="shared" ref="Y375:Y381" si="3157">SUM(S375+U375+W375)</f>
        <v>7</v>
      </c>
      <c r="Z375" s="177">
        <f t="shared" ref="Z375:Z381" si="3158">SUM(T375+V375+X375)</f>
        <v>35.909999999999997</v>
      </c>
      <c r="AA375" s="207">
        <v>2</v>
      </c>
      <c r="AB375" s="206">
        <f t="shared" ref="AB375:AB381" si="3159">L375*AA375/1000</f>
        <v>10.26</v>
      </c>
      <c r="AC375" s="207"/>
      <c r="AD375" s="177">
        <f t="shared" ref="AD375:AD381" si="3160">L375*AC375/1000</f>
        <v>0</v>
      </c>
      <c r="AE375" s="207"/>
      <c r="AF375" s="209">
        <f t="shared" si="2932"/>
        <v>0</v>
      </c>
      <c r="AG375" s="189">
        <f t="shared" ref="AG375:AG381" si="3161">SUM(AA375+AC375+AE375)</f>
        <v>2</v>
      </c>
      <c r="AH375" s="97">
        <f t="shared" ref="AH375:AH381" si="3162">SUM(AB375+AD375+AF375)</f>
        <v>10.26</v>
      </c>
      <c r="AI375" s="97">
        <f t="shared" ref="AI375:AI381" si="3163">SUM(Y375+AG375)</f>
        <v>9</v>
      </c>
      <c r="AJ375" s="177">
        <f t="shared" ref="AJ375:AJ381" si="3164">SUM(Z375,AH375)</f>
        <v>46.169999999999995</v>
      </c>
      <c r="AK375" s="207"/>
      <c r="AL375" s="177">
        <f t="shared" ref="AL375:AL381" si="3165">N375*AK375/1000</f>
        <v>0</v>
      </c>
      <c r="AM375" s="245"/>
      <c r="AN375" s="177">
        <f t="shared" si="3051"/>
        <v>0</v>
      </c>
      <c r="AO375" s="207"/>
      <c r="AP375" s="206">
        <f t="shared" ref="AP375" si="3166">N375*AO375/1000</f>
        <v>0</v>
      </c>
      <c r="AQ375" s="189">
        <f t="shared" ref="AQ375:AQ381" si="3167">SUM(AK375+AM375+AO375)</f>
        <v>0</v>
      </c>
      <c r="AR375" s="97">
        <f t="shared" ref="AR375:AR381" si="3168">SUM(AL375+AN375+AP375)</f>
        <v>0</v>
      </c>
      <c r="AS375" s="97"/>
      <c r="AT375" s="177">
        <f t="shared" ref="AT375:AT381" si="3169">P375*AS375/1000</f>
        <v>0</v>
      </c>
      <c r="AU375" s="207"/>
      <c r="AV375" s="177">
        <f t="shared" ref="AV375:AV381" si="3170">P375*AU375/1000</f>
        <v>0</v>
      </c>
      <c r="AW375" s="207"/>
      <c r="AX375" s="206">
        <f t="shared" ref="AX375:AX381" si="3171">P375*AW375/1000</f>
        <v>0</v>
      </c>
      <c r="AY375" s="189">
        <f t="shared" ref="AY375:AY381" si="3172">SUM(AS375+AU375+AW375)</f>
        <v>0</v>
      </c>
      <c r="AZ375" s="97">
        <f t="shared" ref="AZ375:AZ381" si="3173">SUM(AT375+AV375+AX375)</f>
        <v>0</v>
      </c>
      <c r="BA375" s="97">
        <f t="shared" ref="BA375:BA381" si="3174">SUM(AQ375+AY375)</f>
        <v>0</v>
      </c>
      <c r="BB375" s="97">
        <f t="shared" ref="BB375:BB381" si="3175">SUM(AR375,AZ375)</f>
        <v>0</v>
      </c>
    </row>
    <row r="376" spans="1:54">
      <c r="A376" s="498">
        <v>261</v>
      </c>
      <c r="B376" s="13"/>
      <c r="C376" s="13"/>
      <c r="D376" s="13" t="s">
        <v>162</v>
      </c>
      <c r="E376" s="16" t="s">
        <v>1021</v>
      </c>
      <c r="F376" s="45" t="s">
        <v>1022</v>
      </c>
      <c r="G376" s="17" t="s">
        <v>1105</v>
      </c>
      <c r="H376" s="268" t="s">
        <v>365</v>
      </c>
      <c r="I376" s="55"/>
      <c r="J376" s="163">
        <v>6117</v>
      </c>
      <c r="K376" s="55"/>
      <c r="L376" s="163">
        <v>6117</v>
      </c>
      <c r="M376" s="55"/>
      <c r="N376" s="163">
        <v>6117</v>
      </c>
      <c r="O376" s="143"/>
      <c r="P376" s="163">
        <v>6117</v>
      </c>
      <c r="Q376" s="97">
        <f>SUM(AI376+BA376)</f>
        <v>5.87</v>
      </c>
      <c r="R376" s="342">
        <f t="shared" si="3154"/>
        <v>35.906790000000001</v>
      </c>
      <c r="S376" s="97">
        <v>1</v>
      </c>
      <c r="T376" s="97">
        <f t="shared" si="3155"/>
        <v>6.117</v>
      </c>
      <c r="U376" s="97"/>
      <c r="V376" s="177">
        <f t="shared" ref="V376" si="3176">J376*U376/1000</f>
        <v>0</v>
      </c>
      <c r="W376" s="207">
        <v>1.99</v>
      </c>
      <c r="X376" s="206">
        <f t="shared" si="3156"/>
        <v>12.172829999999999</v>
      </c>
      <c r="Y376" s="189">
        <f t="shared" si="3157"/>
        <v>2.99</v>
      </c>
      <c r="Z376" s="177">
        <f t="shared" si="3158"/>
        <v>18.289829999999998</v>
      </c>
      <c r="AA376" s="207">
        <v>0.88</v>
      </c>
      <c r="AB376" s="206">
        <f t="shared" si="3159"/>
        <v>5.3829599999999997</v>
      </c>
      <c r="AC376" s="207"/>
      <c r="AD376" s="177">
        <f t="shared" si="3160"/>
        <v>0</v>
      </c>
      <c r="AE376" s="207"/>
      <c r="AF376" s="206">
        <f t="shared" ref="AF376" si="3177">L376*AE376/1000</f>
        <v>0</v>
      </c>
      <c r="AG376" s="189">
        <f t="shared" si="3161"/>
        <v>0.88</v>
      </c>
      <c r="AH376" s="97">
        <f t="shared" si="3162"/>
        <v>5.3829599999999997</v>
      </c>
      <c r="AI376" s="97">
        <f t="shared" si="3163"/>
        <v>3.87</v>
      </c>
      <c r="AJ376" s="177">
        <f t="shared" si="3164"/>
        <v>23.672789999999999</v>
      </c>
      <c r="AK376" s="207"/>
      <c r="AL376" s="177">
        <f t="shared" si="3165"/>
        <v>0</v>
      </c>
      <c r="AM376" s="245"/>
      <c r="AN376" s="177">
        <f t="shared" ref="AN376" si="3178">N376*AM376/1000</f>
        <v>0</v>
      </c>
      <c r="AO376" s="207">
        <v>2</v>
      </c>
      <c r="AP376" s="206">
        <f>N376*AO376/1000</f>
        <v>12.234</v>
      </c>
      <c r="AQ376" s="189">
        <f t="shared" si="3167"/>
        <v>2</v>
      </c>
      <c r="AR376" s="97">
        <f t="shared" si="3168"/>
        <v>12.234</v>
      </c>
      <c r="AS376" s="97"/>
      <c r="AT376" s="177">
        <f t="shared" si="3169"/>
        <v>0</v>
      </c>
      <c r="AU376" s="207"/>
      <c r="AV376" s="177">
        <f t="shared" si="3170"/>
        <v>0</v>
      </c>
      <c r="AW376" s="207"/>
      <c r="AX376" s="206">
        <f t="shared" si="3171"/>
        <v>0</v>
      </c>
      <c r="AY376" s="189">
        <f t="shared" si="3172"/>
        <v>0</v>
      </c>
      <c r="AZ376" s="97">
        <f t="shared" si="3173"/>
        <v>0</v>
      </c>
      <c r="BA376" s="97">
        <f t="shared" si="3174"/>
        <v>2</v>
      </c>
      <c r="BB376" s="97">
        <f t="shared" si="3175"/>
        <v>12.234</v>
      </c>
    </row>
    <row r="377" spans="1:54">
      <c r="A377" s="498">
        <v>262</v>
      </c>
      <c r="B377" s="13"/>
      <c r="C377" s="13"/>
      <c r="D377" s="13" t="s">
        <v>1301</v>
      </c>
      <c r="E377" s="16" t="s">
        <v>1023</v>
      </c>
      <c r="F377" s="45" t="s">
        <v>1024</v>
      </c>
      <c r="G377" s="17" t="s">
        <v>1103</v>
      </c>
      <c r="H377" s="268" t="s">
        <v>365</v>
      </c>
      <c r="I377" s="55"/>
      <c r="J377" s="163">
        <v>6990</v>
      </c>
      <c r="K377" s="55"/>
      <c r="L377" s="163">
        <v>6990</v>
      </c>
      <c r="M377" s="55"/>
      <c r="N377" s="163">
        <v>6990</v>
      </c>
      <c r="O377" s="143"/>
      <c r="P377" s="163">
        <v>6990</v>
      </c>
      <c r="Q377" s="97">
        <f>SUM(AI377+BA377)</f>
        <v>9.84</v>
      </c>
      <c r="R377" s="342">
        <f t="shared" ref="R377" si="3179">SUM(AJ377+BB377)</f>
        <v>68.781599999999997</v>
      </c>
      <c r="S377" s="97">
        <v>5.76</v>
      </c>
      <c r="T377" s="97">
        <f t="shared" ref="T377" si="3180">J377*S377/1000</f>
        <v>40.2624</v>
      </c>
      <c r="U377" s="97">
        <v>1.2</v>
      </c>
      <c r="V377" s="177">
        <f t="shared" ref="V377" si="3181">J377*U377/1000</f>
        <v>8.3879999999999999</v>
      </c>
      <c r="W377" s="207"/>
      <c r="X377" s="206">
        <f t="shared" ref="X377" si="3182">J377*W377/1000</f>
        <v>0</v>
      </c>
      <c r="Y377" s="189">
        <f t="shared" ref="Y377" si="3183">SUM(S377+U377+W377)</f>
        <v>6.96</v>
      </c>
      <c r="Z377" s="177">
        <f t="shared" ref="Z377" si="3184">SUM(T377+V377+X377)</f>
        <v>48.650399999999998</v>
      </c>
      <c r="AA377" s="207">
        <v>1.44</v>
      </c>
      <c r="AB377" s="206">
        <f t="shared" ref="AB377" si="3185">L377*AA377/1000</f>
        <v>10.0656</v>
      </c>
      <c r="AC377" s="207">
        <v>1.44</v>
      </c>
      <c r="AD377" s="177">
        <f t="shared" ref="AD377" si="3186">L377*AC377/1000</f>
        <v>10.0656</v>
      </c>
      <c r="AE377" s="207"/>
      <c r="AF377" s="206">
        <f t="shared" si="2932"/>
        <v>0</v>
      </c>
      <c r="AG377" s="189">
        <f t="shared" ref="AG377" si="3187">SUM(AA377+AC377+AE377)</f>
        <v>2.88</v>
      </c>
      <c r="AH377" s="97">
        <f t="shared" ref="AH377" si="3188">SUM(AB377+AD377+AF377)</f>
        <v>20.1312</v>
      </c>
      <c r="AI377" s="97">
        <f t="shared" ref="AI377" si="3189">SUM(Y377+AG377)</f>
        <v>9.84</v>
      </c>
      <c r="AJ377" s="177">
        <f t="shared" ref="AJ377" si="3190">SUM(Z377,AH377)</f>
        <v>68.781599999999997</v>
      </c>
      <c r="AK377" s="207"/>
      <c r="AL377" s="177">
        <f t="shared" ref="AL377" si="3191">N377*AK377/1000</f>
        <v>0</v>
      </c>
      <c r="AM377" s="245"/>
      <c r="AN377" s="177">
        <f t="shared" si="3051"/>
        <v>0</v>
      </c>
      <c r="AO377" s="207"/>
      <c r="AP377" s="206">
        <f>N377*AO377/1000</f>
        <v>0</v>
      </c>
      <c r="AQ377" s="189">
        <f t="shared" ref="AQ377" si="3192">SUM(AK377+AM377+AO377)</f>
        <v>0</v>
      </c>
      <c r="AR377" s="97">
        <f t="shared" ref="AR377" si="3193">SUM(AL377+AN377+AP377)</f>
        <v>0</v>
      </c>
      <c r="AS377" s="97"/>
      <c r="AT377" s="177">
        <f t="shared" ref="AT377" si="3194">P377*AS377/1000</f>
        <v>0</v>
      </c>
      <c r="AU377" s="207"/>
      <c r="AV377" s="177">
        <f t="shared" ref="AV377" si="3195">P377*AU377/1000</f>
        <v>0</v>
      </c>
      <c r="AW377" s="207"/>
      <c r="AX377" s="206">
        <f t="shared" ref="AX377" si="3196">P377*AW377/1000</f>
        <v>0</v>
      </c>
      <c r="AY377" s="189">
        <f t="shared" ref="AY377" si="3197">SUM(AS377+AU377+AW377)</f>
        <v>0</v>
      </c>
      <c r="AZ377" s="97">
        <f t="shared" ref="AZ377" si="3198">SUM(AT377+AV377+AX377)</f>
        <v>0</v>
      </c>
      <c r="BA377" s="97">
        <f t="shared" ref="BA377" si="3199">SUM(AQ377+AY377)</f>
        <v>0</v>
      </c>
      <c r="BB377" s="97">
        <f t="shared" ref="BB377" si="3200">SUM(AR377,AZ377)</f>
        <v>0</v>
      </c>
    </row>
    <row r="378" spans="1:54">
      <c r="A378" s="498">
        <v>263</v>
      </c>
      <c r="B378" s="13"/>
      <c r="C378" s="13"/>
      <c r="D378" s="13" t="s">
        <v>771</v>
      </c>
      <c r="E378" s="16" t="s">
        <v>1025</v>
      </c>
      <c r="F378" s="45" t="s">
        <v>1026</v>
      </c>
      <c r="G378" s="17" t="s">
        <v>1104</v>
      </c>
      <c r="H378" s="268" t="s">
        <v>365</v>
      </c>
      <c r="I378" s="55"/>
      <c r="J378" s="163">
        <v>6970</v>
      </c>
      <c r="K378" s="55"/>
      <c r="L378" s="163">
        <v>6970</v>
      </c>
      <c r="M378" s="55"/>
      <c r="N378" s="163">
        <v>6970</v>
      </c>
      <c r="O378" s="143"/>
      <c r="P378" s="163">
        <v>6970</v>
      </c>
      <c r="Q378" s="97">
        <f>SUM(AI378+BA378)</f>
        <v>4.8879999999999999</v>
      </c>
      <c r="R378" s="342">
        <f t="shared" si="3154"/>
        <v>34.069359999999996</v>
      </c>
      <c r="S378" s="97">
        <v>1.44</v>
      </c>
      <c r="T378" s="97">
        <f t="shared" si="3155"/>
        <v>10.036799999999999</v>
      </c>
      <c r="U378" s="97">
        <v>1.008</v>
      </c>
      <c r="V378" s="177">
        <f t="shared" ref="V378:V381" si="3201">J378*U378/1000</f>
        <v>7.02576</v>
      </c>
      <c r="W378" s="207">
        <v>1</v>
      </c>
      <c r="X378" s="206">
        <f t="shared" si="3156"/>
        <v>6.97</v>
      </c>
      <c r="Y378" s="189">
        <f t="shared" si="3157"/>
        <v>3.448</v>
      </c>
      <c r="Z378" s="177">
        <f t="shared" si="3158"/>
        <v>24.032559999999997</v>
      </c>
      <c r="AA378" s="207"/>
      <c r="AB378" s="206">
        <f t="shared" si="3159"/>
        <v>0</v>
      </c>
      <c r="AC378" s="207">
        <v>1.44</v>
      </c>
      <c r="AD378" s="177">
        <f t="shared" si="3160"/>
        <v>10.036799999999999</v>
      </c>
      <c r="AE378" s="207"/>
      <c r="AF378" s="206">
        <f t="shared" ref="AF378:AF381" si="3202">L378*AE378/1000</f>
        <v>0</v>
      </c>
      <c r="AG378" s="189">
        <f t="shared" si="3161"/>
        <v>1.44</v>
      </c>
      <c r="AH378" s="97">
        <f t="shared" si="3162"/>
        <v>10.036799999999999</v>
      </c>
      <c r="AI378" s="97">
        <f t="shared" si="3163"/>
        <v>4.8879999999999999</v>
      </c>
      <c r="AJ378" s="177">
        <f t="shared" si="3164"/>
        <v>34.069359999999996</v>
      </c>
      <c r="AK378" s="207"/>
      <c r="AL378" s="177">
        <f t="shared" si="3165"/>
        <v>0</v>
      </c>
      <c r="AM378" s="245"/>
      <c r="AN378" s="177">
        <f t="shared" ref="AN378:AN380" si="3203">N378*AM378/1000</f>
        <v>0</v>
      </c>
      <c r="AO378" s="207"/>
      <c r="AP378" s="206">
        <f>N378*AO378/1000</f>
        <v>0</v>
      </c>
      <c r="AQ378" s="189">
        <f t="shared" si="3167"/>
        <v>0</v>
      </c>
      <c r="AR378" s="97">
        <f t="shared" si="3168"/>
        <v>0</v>
      </c>
      <c r="AS378" s="97"/>
      <c r="AT378" s="177">
        <f t="shared" si="3169"/>
        <v>0</v>
      </c>
      <c r="AU378" s="207"/>
      <c r="AV378" s="177">
        <f t="shared" si="3170"/>
        <v>0</v>
      </c>
      <c r="AW378" s="207"/>
      <c r="AX378" s="206">
        <f t="shared" si="3171"/>
        <v>0</v>
      </c>
      <c r="AY378" s="189">
        <f t="shared" si="3172"/>
        <v>0</v>
      </c>
      <c r="AZ378" s="97">
        <f t="shared" si="3173"/>
        <v>0</v>
      </c>
      <c r="BA378" s="97">
        <f t="shared" si="3174"/>
        <v>0</v>
      </c>
      <c r="BB378" s="97">
        <f t="shared" si="3175"/>
        <v>0</v>
      </c>
    </row>
    <row r="379" spans="1:54">
      <c r="A379" s="498">
        <v>255</v>
      </c>
      <c r="B379" s="13"/>
      <c r="C379" s="13"/>
      <c r="D379" s="13" t="s">
        <v>771</v>
      </c>
      <c r="E379" s="16" t="s">
        <v>1556</v>
      </c>
      <c r="F379" s="45" t="s">
        <v>1558</v>
      </c>
      <c r="G379" s="17" t="s">
        <v>1105</v>
      </c>
      <c r="H379" s="268" t="s">
        <v>365</v>
      </c>
      <c r="I379" s="55"/>
      <c r="J379" s="163">
        <v>7090</v>
      </c>
      <c r="K379" s="55"/>
      <c r="L379" s="163">
        <v>7090</v>
      </c>
      <c r="M379" s="55"/>
      <c r="N379" s="163">
        <v>7090</v>
      </c>
      <c r="O379" s="143"/>
      <c r="P379" s="163">
        <v>7090</v>
      </c>
      <c r="Q379" s="97">
        <f t="shared" ref="Q379" si="3204">SUM(AI379+BA379)</f>
        <v>4.08</v>
      </c>
      <c r="R379" s="342">
        <f t="shared" ref="R379" si="3205">SUM(AJ379+BB379)</f>
        <v>28.927199999999999</v>
      </c>
      <c r="S379" s="97"/>
      <c r="T379" s="97">
        <f>J379*S379/1000</f>
        <v>0</v>
      </c>
      <c r="U379" s="97">
        <v>0.2</v>
      </c>
      <c r="V379" s="177">
        <f t="shared" ref="V379" si="3206">J379*U379/1000</f>
        <v>1.4179999999999999</v>
      </c>
      <c r="W379" s="207">
        <v>0.32</v>
      </c>
      <c r="X379" s="206">
        <f t="shared" ref="X379" si="3207">J379*W379/1000</f>
        <v>2.2688000000000001</v>
      </c>
      <c r="Y379" s="189">
        <f t="shared" ref="Y379" si="3208">SUM(S379+U379+W379)</f>
        <v>0.52</v>
      </c>
      <c r="Z379" s="177">
        <f t="shared" ref="Z379" si="3209">SUM(T379+V379+X379)</f>
        <v>3.6867999999999999</v>
      </c>
      <c r="AA379" s="207">
        <v>0.84</v>
      </c>
      <c r="AB379" s="206">
        <f t="shared" ref="AB379" si="3210">L379*AA379/1000</f>
        <v>5.9555999999999996</v>
      </c>
      <c r="AC379" s="207">
        <v>0.64</v>
      </c>
      <c r="AD379" s="177">
        <f t="shared" ref="AD379" si="3211">L379*AC379/1000</f>
        <v>4.5376000000000003</v>
      </c>
      <c r="AE379" s="207"/>
      <c r="AF379" s="206">
        <f t="shared" ref="AF379" si="3212">L379*AE379/1000</f>
        <v>0</v>
      </c>
      <c r="AG379" s="189">
        <f t="shared" ref="AG379" si="3213">SUM(AA379+AC379+AE379)</f>
        <v>1.48</v>
      </c>
      <c r="AH379" s="97">
        <f t="shared" ref="AH379" si="3214">SUM(AB379+AD379+AF379)</f>
        <v>10.4932</v>
      </c>
      <c r="AI379" s="97">
        <f t="shared" ref="AI379" si="3215">SUM(Y379+AG379)</f>
        <v>2</v>
      </c>
      <c r="AJ379" s="177">
        <f t="shared" ref="AJ379" si="3216">SUM(Z379,AH379)</f>
        <v>14.18</v>
      </c>
      <c r="AK379" s="207">
        <v>1</v>
      </c>
      <c r="AL379" s="177">
        <f t="shared" ref="AL379" si="3217">N379*AK379/1000</f>
        <v>7.09</v>
      </c>
      <c r="AM379" s="245"/>
      <c r="AN379" s="177">
        <f t="shared" ref="AN379" si="3218">N379*AM379/1000</f>
        <v>0</v>
      </c>
      <c r="AO379" s="207">
        <v>0.36</v>
      </c>
      <c r="AP379" s="206">
        <f t="shared" ref="AP379" si="3219">N379*AO379/1000</f>
        <v>2.5524</v>
      </c>
      <c r="AQ379" s="189">
        <f t="shared" ref="AQ379" si="3220">SUM(AK379+AM379+AO379)</f>
        <v>1.3599999999999999</v>
      </c>
      <c r="AR379" s="97">
        <f t="shared" ref="AR379" si="3221">SUM(AL379+AN379+AP379)</f>
        <v>9.6424000000000003</v>
      </c>
      <c r="AS379" s="97">
        <v>0.72</v>
      </c>
      <c r="AT379" s="177">
        <f t="shared" ref="AT379" si="3222">P379*AS379/1000</f>
        <v>5.1048</v>
      </c>
      <c r="AU379" s="207"/>
      <c r="AV379" s="177">
        <f t="shared" ref="AV379" si="3223">P379*AU379/1000</f>
        <v>0</v>
      </c>
      <c r="AW379" s="207"/>
      <c r="AX379" s="206">
        <f t="shared" ref="AX379" si="3224">P379*AW379/1000</f>
        <v>0</v>
      </c>
      <c r="AY379" s="189">
        <f t="shared" ref="AY379" si="3225">SUM(AS379+AU379+AW379)</f>
        <v>0.72</v>
      </c>
      <c r="AZ379" s="97">
        <f t="shared" ref="AZ379" si="3226">SUM(AT379+AV379+AX379)</f>
        <v>5.1048</v>
      </c>
      <c r="BA379" s="97">
        <f t="shared" ref="BA379" si="3227">SUM(AQ379+AY379)</f>
        <v>2.08</v>
      </c>
      <c r="BB379" s="97">
        <f t="shared" ref="BB379" si="3228">SUM(AR379,AZ379)</f>
        <v>14.747199999999999</v>
      </c>
    </row>
    <row r="380" spans="1:54">
      <c r="A380" s="498">
        <v>255</v>
      </c>
      <c r="B380" s="13"/>
      <c r="C380" s="13"/>
      <c r="D380" s="13" t="s">
        <v>771</v>
      </c>
      <c r="E380" s="16" t="s">
        <v>1557</v>
      </c>
      <c r="F380" s="317" t="s">
        <v>1559</v>
      </c>
      <c r="G380" s="17" t="s">
        <v>1105</v>
      </c>
      <c r="H380" s="268" t="s">
        <v>365</v>
      </c>
      <c r="I380" s="55"/>
      <c r="J380" s="163">
        <v>7140</v>
      </c>
      <c r="K380" s="55"/>
      <c r="L380" s="163">
        <v>7140</v>
      </c>
      <c r="M380" s="55"/>
      <c r="N380" s="163">
        <v>7140</v>
      </c>
      <c r="O380" s="143"/>
      <c r="P380" s="163">
        <v>7140</v>
      </c>
      <c r="Q380" s="97">
        <f>SUM(AI380+BA380)</f>
        <v>2.29</v>
      </c>
      <c r="R380" s="342">
        <f t="shared" si="3154"/>
        <v>16.3506</v>
      </c>
      <c r="S380" s="97"/>
      <c r="T380" s="97">
        <f>J380*S380/1000</f>
        <v>0</v>
      </c>
      <c r="U380" s="97">
        <v>0.2</v>
      </c>
      <c r="V380" s="177">
        <f t="shared" si="3201"/>
        <v>1.4279999999999999</v>
      </c>
      <c r="W380" s="207"/>
      <c r="X380" s="206">
        <f t="shared" si="3156"/>
        <v>0</v>
      </c>
      <c r="Y380" s="189">
        <f t="shared" si="3157"/>
        <v>0.2</v>
      </c>
      <c r="Z380" s="177">
        <f t="shared" si="3158"/>
        <v>1.4279999999999999</v>
      </c>
      <c r="AA380" s="207">
        <v>0.2</v>
      </c>
      <c r="AB380" s="206">
        <f t="shared" si="3159"/>
        <v>1.4279999999999999</v>
      </c>
      <c r="AC380" s="207">
        <v>0.56000000000000005</v>
      </c>
      <c r="AD380" s="177">
        <f t="shared" si="3160"/>
        <v>3.9984000000000006</v>
      </c>
      <c r="AE380" s="207"/>
      <c r="AF380" s="206">
        <f t="shared" si="3202"/>
        <v>0</v>
      </c>
      <c r="AG380" s="189">
        <f t="shared" si="3161"/>
        <v>0.76</v>
      </c>
      <c r="AH380" s="97">
        <f t="shared" si="3162"/>
        <v>5.426400000000001</v>
      </c>
      <c r="AI380" s="97">
        <f t="shared" si="3163"/>
        <v>0.96</v>
      </c>
      <c r="AJ380" s="177">
        <f t="shared" si="3164"/>
        <v>6.8544000000000009</v>
      </c>
      <c r="AK380" s="207">
        <v>0.72</v>
      </c>
      <c r="AL380" s="177">
        <f t="shared" si="3165"/>
        <v>5.1408000000000005</v>
      </c>
      <c r="AM380" s="245"/>
      <c r="AN380" s="177">
        <f t="shared" si="3203"/>
        <v>0</v>
      </c>
      <c r="AO380" s="207">
        <v>0.2</v>
      </c>
      <c r="AP380" s="206">
        <f t="shared" ref="AP380:AP381" si="3229">N380*AO380/1000</f>
        <v>1.4279999999999999</v>
      </c>
      <c r="AQ380" s="189">
        <f t="shared" si="3167"/>
        <v>0.91999999999999993</v>
      </c>
      <c r="AR380" s="97">
        <f t="shared" si="3168"/>
        <v>6.5688000000000004</v>
      </c>
      <c r="AS380" s="97">
        <v>0.4</v>
      </c>
      <c r="AT380" s="177">
        <f t="shared" si="3169"/>
        <v>2.8559999999999999</v>
      </c>
      <c r="AU380" s="207">
        <v>0.01</v>
      </c>
      <c r="AV380" s="177">
        <f t="shared" si="3170"/>
        <v>7.1400000000000005E-2</v>
      </c>
      <c r="AW380" s="207"/>
      <c r="AX380" s="206">
        <f t="shared" si="3171"/>
        <v>0</v>
      </c>
      <c r="AY380" s="189">
        <f t="shared" si="3172"/>
        <v>0.41000000000000003</v>
      </c>
      <c r="AZ380" s="97">
        <f t="shared" si="3173"/>
        <v>2.9274</v>
      </c>
      <c r="BA380" s="97">
        <f t="shared" si="3174"/>
        <v>1.33</v>
      </c>
      <c r="BB380" s="97">
        <f t="shared" si="3175"/>
        <v>9.4962</v>
      </c>
    </row>
    <row r="381" spans="1:54">
      <c r="A381" s="498">
        <v>257</v>
      </c>
      <c r="B381" s="13"/>
      <c r="C381" s="13"/>
      <c r="D381" s="13" t="s">
        <v>771</v>
      </c>
      <c r="E381" s="16" t="s">
        <v>1687</v>
      </c>
      <c r="F381" s="45" t="s">
        <v>1688</v>
      </c>
      <c r="G381" s="17" t="s">
        <v>1105</v>
      </c>
      <c r="H381" s="268" t="s">
        <v>365</v>
      </c>
      <c r="I381" s="55"/>
      <c r="J381" s="163">
        <v>10998</v>
      </c>
      <c r="K381" s="55"/>
      <c r="L381" s="163">
        <v>5980</v>
      </c>
      <c r="M381" s="55"/>
      <c r="N381" s="163">
        <v>5980</v>
      </c>
      <c r="O381" s="143"/>
      <c r="P381" s="163">
        <v>5980</v>
      </c>
      <c r="Q381" s="97">
        <f t="shared" ref="Q381" si="3230">SUM(AI381+BA381)</f>
        <v>27.823</v>
      </c>
      <c r="R381" s="342">
        <f t="shared" si="3154"/>
        <v>179.05199000000002</v>
      </c>
      <c r="S381" s="97">
        <v>0.17</v>
      </c>
      <c r="T381" s="97">
        <f t="shared" ref="T381" si="3231">J381*S381/1000</f>
        <v>1.8696600000000001</v>
      </c>
      <c r="U381" s="97">
        <v>2.355</v>
      </c>
      <c r="V381" s="177">
        <f t="shared" si="3201"/>
        <v>25.900290000000002</v>
      </c>
      <c r="W381" s="207"/>
      <c r="X381" s="206">
        <f t="shared" si="3156"/>
        <v>0</v>
      </c>
      <c r="Y381" s="189">
        <f t="shared" si="3157"/>
        <v>2.5249999999999999</v>
      </c>
      <c r="Z381" s="177">
        <f t="shared" si="3158"/>
        <v>27.769950000000001</v>
      </c>
      <c r="AA381" s="207">
        <v>2</v>
      </c>
      <c r="AB381" s="206">
        <f t="shared" si="3159"/>
        <v>11.96</v>
      </c>
      <c r="AC381" s="207">
        <v>2</v>
      </c>
      <c r="AD381" s="177">
        <f t="shared" si="3160"/>
        <v>11.96</v>
      </c>
      <c r="AE381" s="207">
        <v>3</v>
      </c>
      <c r="AF381" s="206">
        <f t="shared" si="3202"/>
        <v>17.940000000000001</v>
      </c>
      <c r="AG381" s="189">
        <f t="shared" si="3161"/>
        <v>7</v>
      </c>
      <c r="AH381" s="97">
        <f t="shared" si="3162"/>
        <v>41.86</v>
      </c>
      <c r="AI381" s="97">
        <f t="shared" si="3163"/>
        <v>9.5250000000000004</v>
      </c>
      <c r="AJ381" s="177">
        <f t="shared" si="3164"/>
        <v>69.629950000000008</v>
      </c>
      <c r="AK381" s="207">
        <v>3</v>
      </c>
      <c r="AL381" s="177">
        <f t="shared" si="3165"/>
        <v>17.940000000000001</v>
      </c>
      <c r="AM381" s="245"/>
      <c r="AN381" s="177">
        <f>N381*AM381/1000</f>
        <v>0</v>
      </c>
      <c r="AO381" s="207">
        <v>5.34</v>
      </c>
      <c r="AP381" s="206">
        <f t="shared" si="3229"/>
        <v>31.933199999999999</v>
      </c>
      <c r="AQ381" s="189">
        <f t="shared" si="3167"/>
        <v>8.34</v>
      </c>
      <c r="AR381" s="97">
        <f t="shared" si="3168"/>
        <v>49.873199999999997</v>
      </c>
      <c r="AS381" s="97">
        <v>2</v>
      </c>
      <c r="AT381" s="177">
        <f t="shared" si="3169"/>
        <v>11.96</v>
      </c>
      <c r="AU381" s="207">
        <v>2</v>
      </c>
      <c r="AV381" s="177">
        <f t="shared" si="3170"/>
        <v>11.96</v>
      </c>
      <c r="AW381" s="207">
        <v>5.9580000000000002</v>
      </c>
      <c r="AX381" s="206">
        <f t="shared" si="3171"/>
        <v>35.628840000000004</v>
      </c>
      <c r="AY381" s="189">
        <f t="shared" si="3172"/>
        <v>9.9580000000000002</v>
      </c>
      <c r="AZ381" s="97">
        <f t="shared" si="3173"/>
        <v>59.548840000000006</v>
      </c>
      <c r="BA381" s="97">
        <f t="shared" si="3174"/>
        <v>18.298000000000002</v>
      </c>
      <c r="BB381" s="97">
        <f t="shared" si="3175"/>
        <v>109.42204000000001</v>
      </c>
    </row>
    <row r="382" spans="1:54">
      <c r="A382" s="498">
        <v>264</v>
      </c>
      <c r="B382" s="13"/>
      <c r="C382" s="27" t="s">
        <v>135</v>
      </c>
      <c r="D382" s="292"/>
      <c r="E382" s="291"/>
      <c r="F382" s="238"/>
      <c r="G382" s="238"/>
      <c r="H382" s="238"/>
      <c r="I382" s="238"/>
      <c r="J382" s="238"/>
      <c r="K382" s="237"/>
      <c r="L382" s="239"/>
      <c r="M382" s="237"/>
      <c r="N382" s="239"/>
      <c r="O382" s="240"/>
      <c r="P382" s="238"/>
      <c r="Q382" s="124">
        <f>SUM(Q356:Q381)</f>
        <v>305.94499999999994</v>
      </c>
      <c r="R382" s="124">
        <f>SUM(R356:R381)</f>
        <v>1935.7172800000001</v>
      </c>
      <c r="S382" s="124">
        <f>SUM(S356:S381)</f>
        <v>48.809999999999995</v>
      </c>
      <c r="T382" s="124">
        <f t="shared" ref="T382:BA382" si="3232">SUM(T356:T381)</f>
        <v>330.08106000000004</v>
      </c>
      <c r="U382" s="124">
        <f t="shared" si="3232"/>
        <v>47.443000000000005</v>
      </c>
      <c r="V382" s="124">
        <f t="shared" si="3232"/>
        <v>312.72004999999996</v>
      </c>
      <c r="W382" s="124">
        <f t="shared" si="3232"/>
        <v>29.029999999999998</v>
      </c>
      <c r="X382" s="124">
        <f t="shared" si="3232"/>
        <v>164.40002999999999</v>
      </c>
      <c r="Y382" s="124">
        <f t="shared" si="3232"/>
        <v>125.28299999999997</v>
      </c>
      <c r="Z382" s="124">
        <f t="shared" si="3232"/>
        <v>807.2011399999999</v>
      </c>
      <c r="AA382" s="124">
        <f t="shared" si="3232"/>
        <v>24.64</v>
      </c>
      <c r="AB382" s="124">
        <f t="shared" si="3232"/>
        <v>145.59296000000001</v>
      </c>
      <c r="AC382" s="124">
        <f t="shared" si="3232"/>
        <v>34.080000000000005</v>
      </c>
      <c r="AD382" s="124">
        <f t="shared" si="3232"/>
        <v>202.6592</v>
      </c>
      <c r="AE382" s="124">
        <f t="shared" si="3232"/>
        <v>17.399999999999999</v>
      </c>
      <c r="AF382" s="124">
        <f t="shared" si="3232"/>
        <v>113.03759999999998</v>
      </c>
      <c r="AG382" s="124">
        <f t="shared" si="3232"/>
        <v>76.12</v>
      </c>
      <c r="AH382" s="124">
        <f t="shared" si="3232"/>
        <v>461.28976000000006</v>
      </c>
      <c r="AI382" s="124">
        <f t="shared" si="3232"/>
        <v>201.40300000000002</v>
      </c>
      <c r="AJ382" s="124">
        <f t="shared" si="3232"/>
        <v>1268.4909</v>
      </c>
      <c r="AK382" s="124">
        <f t="shared" si="3232"/>
        <v>28.04</v>
      </c>
      <c r="AL382" s="124">
        <f t="shared" si="3232"/>
        <v>186.00039999999998</v>
      </c>
      <c r="AM382" s="124">
        <f t="shared" si="3232"/>
        <v>3.6</v>
      </c>
      <c r="AN382" s="124">
        <f t="shared" si="3232"/>
        <v>21.42</v>
      </c>
      <c r="AO382" s="124">
        <f t="shared" si="3232"/>
        <v>15.817999999999998</v>
      </c>
      <c r="AP382" s="124">
        <f t="shared" si="3232"/>
        <v>94.835359999999994</v>
      </c>
      <c r="AQ382" s="124">
        <f t="shared" si="3232"/>
        <v>47.457999999999998</v>
      </c>
      <c r="AR382" s="124">
        <f t="shared" si="3232"/>
        <v>302.25576000000001</v>
      </c>
      <c r="AS382" s="124">
        <f t="shared" si="3232"/>
        <v>17.009999999999998</v>
      </c>
      <c r="AT382" s="124">
        <f t="shared" si="3232"/>
        <v>101.3015</v>
      </c>
      <c r="AU382" s="124">
        <f t="shared" si="3232"/>
        <v>15.35</v>
      </c>
      <c r="AV382" s="124">
        <f t="shared" si="3232"/>
        <v>102.81319999999999</v>
      </c>
      <c r="AW382" s="124">
        <f t="shared" si="3232"/>
        <v>24.723999999999997</v>
      </c>
      <c r="AX382" s="124">
        <f t="shared" si="3232"/>
        <v>160.85592</v>
      </c>
      <c r="AY382" s="124">
        <f t="shared" si="3232"/>
        <v>57.083999999999996</v>
      </c>
      <c r="AZ382" s="124">
        <f t="shared" si="3232"/>
        <v>364.97062</v>
      </c>
      <c r="BA382" s="124">
        <f t="shared" si="3232"/>
        <v>104.542</v>
      </c>
      <c r="BB382" s="124">
        <f>SUM(BB356:BB381)</f>
        <v>667.22638000000018</v>
      </c>
    </row>
    <row r="383" spans="1:54" s="6" customFormat="1">
      <c r="A383" s="498">
        <v>245</v>
      </c>
      <c r="B383" s="14"/>
      <c r="C383" s="13" t="s">
        <v>1233</v>
      </c>
      <c r="D383" s="14" t="s">
        <v>1304</v>
      </c>
      <c r="E383" s="21" t="s">
        <v>1508</v>
      </c>
      <c r="F383" s="261" t="s">
        <v>1510</v>
      </c>
      <c r="G383" s="517" t="s">
        <v>1102</v>
      </c>
      <c r="H383" s="518" t="s">
        <v>365</v>
      </c>
      <c r="I383" s="519"/>
      <c r="J383" s="520">
        <v>10550</v>
      </c>
      <c r="K383" s="519"/>
      <c r="L383" s="520">
        <v>10550</v>
      </c>
      <c r="M383" s="519"/>
      <c r="N383" s="520">
        <v>10550</v>
      </c>
      <c r="O383" s="521"/>
      <c r="P383" s="520">
        <v>10550</v>
      </c>
      <c r="Q383" s="434">
        <f t="shared" ref="Q383" si="3233">SUM(AI383+BA383)</f>
        <v>1.675</v>
      </c>
      <c r="R383" s="455">
        <f t="shared" ref="R383" si="3234">SUM(AJ383+BB383)</f>
        <v>17.671250000000001</v>
      </c>
      <c r="S383" s="434">
        <v>0.85499999999999998</v>
      </c>
      <c r="T383" s="434">
        <f t="shared" ref="T383" si="3235">J383*S383/1000</f>
        <v>9.0202500000000008</v>
      </c>
      <c r="U383" s="434">
        <v>0.373</v>
      </c>
      <c r="V383" s="535">
        <f t="shared" ref="V383" si="3236">J383*U383/1000</f>
        <v>3.9351500000000001</v>
      </c>
      <c r="W383" s="536">
        <v>5.6000000000000001E-2</v>
      </c>
      <c r="X383" s="424">
        <f t="shared" ref="X383" si="3237">J383*W383/1000</f>
        <v>0.5908000000000001</v>
      </c>
      <c r="Y383" s="537">
        <f t="shared" ref="Y383" si="3238">SUM(S383+U383+W383)</f>
        <v>1.284</v>
      </c>
      <c r="Z383" s="535">
        <f t="shared" ref="Z383" si="3239">SUM(T383+V383+X383)</f>
        <v>13.546200000000001</v>
      </c>
      <c r="AA383" s="536">
        <v>0.19</v>
      </c>
      <c r="AB383" s="424">
        <f t="shared" ref="AB383" si="3240">L383*AA383/1000</f>
        <v>2.0045000000000002</v>
      </c>
      <c r="AC383" s="536">
        <v>0.16400000000000001</v>
      </c>
      <c r="AD383" s="535">
        <f t="shared" ref="AD383" si="3241">L383*AC383/1000</f>
        <v>1.7302</v>
      </c>
      <c r="AE383" s="536">
        <v>5.0000000000000001E-3</v>
      </c>
      <c r="AF383" s="225">
        <f t="shared" ref="AF383" si="3242">L383*AE383/1000</f>
        <v>5.2749999999999998E-2</v>
      </c>
      <c r="AG383" s="537">
        <f t="shared" ref="AG383" si="3243">SUM(AA383+AC383+AE383)</f>
        <v>0.35899999999999999</v>
      </c>
      <c r="AH383" s="434">
        <f t="shared" ref="AH383" si="3244">SUM(AB383+AD383+AF383)</f>
        <v>3.7874500000000002</v>
      </c>
      <c r="AI383" s="434">
        <f t="shared" ref="AI383" si="3245">SUM(Y383+AG383)</f>
        <v>1.643</v>
      </c>
      <c r="AJ383" s="535">
        <f t="shared" ref="AJ383" si="3246">SUM(Z383,AH383)</f>
        <v>17.333650000000002</v>
      </c>
      <c r="AK383" s="536">
        <v>1.4999999999999999E-2</v>
      </c>
      <c r="AL383" s="535">
        <f t="shared" ref="AL383" si="3247">N383*AK383/1000</f>
        <v>0.15825</v>
      </c>
      <c r="AM383" s="538">
        <v>1.0999999999999999E-2</v>
      </c>
      <c r="AN383" s="535">
        <f t="shared" ref="AN383" si="3248">N383*AM383/1000</f>
        <v>0.11605</v>
      </c>
      <c r="AO383" s="536">
        <v>1E-3</v>
      </c>
      <c r="AP383" s="424">
        <f t="shared" ref="AP383" si="3249">N383*AO383/1000</f>
        <v>1.055E-2</v>
      </c>
      <c r="AQ383" s="537">
        <f t="shared" ref="AQ383" si="3250">SUM(AK383+AM383+AO383)</f>
        <v>2.7E-2</v>
      </c>
      <c r="AR383" s="434">
        <f t="shared" ref="AR383" si="3251">SUM(AL383+AN383+AP383)</f>
        <v>0.28484999999999999</v>
      </c>
      <c r="AS383" s="434">
        <v>5.0000000000000001E-3</v>
      </c>
      <c r="AT383" s="535">
        <f t="shared" ref="AT383" si="3252">P383*AS383/1000</f>
        <v>5.2749999999999998E-2</v>
      </c>
      <c r="AU383" s="536"/>
      <c r="AV383" s="535">
        <f t="shared" ref="AV383" si="3253">P383*AU383/1000</f>
        <v>0</v>
      </c>
      <c r="AW383" s="536"/>
      <c r="AX383" s="424">
        <f t="shared" ref="AX383" si="3254">P383*AW383/1000</f>
        <v>0</v>
      </c>
      <c r="AY383" s="537">
        <f t="shared" ref="AY383" si="3255">SUM(AS383+AU383+AW383)</f>
        <v>5.0000000000000001E-3</v>
      </c>
      <c r="AZ383" s="434">
        <f t="shared" ref="AZ383" si="3256">SUM(AT383+AV383+AX383)</f>
        <v>5.2749999999999998E-2</v>
      </c>
      <c r="BA383" s="434">
        <f t="shared" ref="BA383" si="3257">SUM(AQ383+AY383)</f>
        <v>3.2000000000000001E-2</v>
      </c>
      <c r="BB383" s="434">
        <f t="shared" ref="BB383" si="3258">SUM(AR383,AZ383)</f>
        <v>0.33760000000000001</v>
      </c>
    </row>
    <row r="384" spans="1:54" s="6" customFormat="1">
      <c r="A384" s="498">
        <v>245</v>
      </c>
      <c r="B384" s="14"/>
      <c r="C384" s="13"/>
      <c r="D384" s="14" t="s">
        <v>1304</v>
      </c>
      <c r="E384" s="16" t="s">
        <v>1509</v>
      </c>
      <c r="F384" s="261" t="s">
        <v>1511</v>
      </c>
      <c r="G384" s="517" t="s">
        <v>1102</v>
      </c>
      <c r="H384" s="518" t="s">
        <v>365</v>
      </c>
      <c r="I384" s="519"/>
      <c r="J384" s="520">
        <v>10950</v>
      </c>
      <c r="K384" s="519"/>
      <c r="L384" s="520">
        <v>10950</v>
      </c>
      <c r="M384" s="519"/>
      <c r="N384" s="520">
        <v>10950</v>
      </c>
      <c r="O384" s="521"/>
      <c r="P384" s="520">
        <v>10950</v>
      </c>
      <c r="Q384" s="96">
        <f t="shared" ref="Q384:Q386" si="3259">SUM(AI384+BA384)</f>
        <v>2.2000000000000002E-2</v>
      </c>
      <c r="R384" s="340">
        <f t="shared" ref="R384:R386" si="3260">SUM(AJ384+BB384)</f>
        <v>0.24089999999999998</v>
      </c>
      <c r="S384" s="96">
        <v>0.01</v>
      </c>
      <c r="T384" s="96">
        <f t="shared" ref="T384:T386" si="3261">J384*S384/1000</f>
        <v>0.1095</v>
      </c>
      <c r="U384" s="96"/>
      <c r="V384" s="176">
        <f t="shared" ref="V384:V386" si="3262">J384*U384/1000</f>
        <v>0</v>
      </c>
      <c r="W384" s="204"/>
      <c r="X384" s="205">
        <f t="shared" ref="X384:X386" si="3263">J384*W384/1000</f>
        <v>0</v>
      </c>
      <c r="Y384" s="192">
        <f t="shared" ref="Y384:Y386" si="3264">SUM(S384+U384+W384)</f>
        <v>0.01</v>
      </c>
      <c r="Z384" s="176">
        <f t="shared" ref="Z384:Z386" si="3265">SUM(T384+V384+X384)</f>
        <v>0.1095</v>
      </c>
      <c r="AA384" s="204">
        <v>2E-3</v>
      </c>
      <c r="AB384" s="205">
        <f t="shared" ref="AB384:AB386" si="3266">L384*AA384/1000</f>
        <v>2.1900000000000003E-2</v>
      </c>
      <c r="AC384" s="204"/>
      <c r="AD384" s="176">
        <f t="shared" ref="AD384:AD386" si="3267">L384*AC384/1000</f>
        <v>0</v>
      </c>
      <c r="AE384" s="204">
        <v>5.0000000000000001E-3</v>
      </c>
      <c r="AF384" s="206">
        <f t="shared" ref="AF384:AF386" si="3268">L384*AE384/1000</f>
        <v>5.475E-2</v>
      </c>
      <c r="AG384" s="192">
        <f t="shared" ref="AG384:AG386" si="3269">SUM(AA384+AC384+AE384)</f>
        <v>7.0000000000000001E-3</v>
      </c>
      <c r="AH384" s="96">
        <f t="shared" ref="AH384:AH386" si="3270">SUM(AB384+AD384+AF384)</f>
        <v>7.6649999999999996E-2</v>
      </c>
      <c r="AI384" s="96">
        <f t="shared" ref="AI384:AI386" si="3271">SUM(Y384+AG384)</f>
        <v>1.7000000000000001E-2</v>
      </c>
      <c r="AJ384" s="176">
        <f t="shared" ref="AJ384:AJ386" si="3272">SUM(Z384,AH384)</f>
        <v>0.18614999999999998</v>
      </c>
      <c r="AK384" s="204"/>
      <c r="AL384" s="176">
        <f t="shared" ref="AL384:AL386" si="3273">N384*AK384/1000</f>
        <v>0</v>
      </c>
      <c r="AM384" s="244"/>
      <c r="AN384" s="176">
        <f t="shared" ref="AN384:AN386" si="3274">N384*AM384/1000</f>
        <v>0</v>
      </c>
      <c r="AO384" s="204"/>
      <c r="AP384" s="205">
        <f t="shared" ref="AP384:AP386" si="3275">N384*AO384/1000</f>
        <v>0</v>
      </c>
      <c r="AQ384" s="192">
        <f t="shared" ref="AQ384:AQ386" si="3276">SUM(AK384+AM384+AO384)</f>
        <v>0</v>
      </c>
      <c r="AR384" s="96">
        <f t="shared" ref="AR384:AR386" si="3277">SUM(AL384+AN384+AP384)</f>
        <v>0</v>
      </c>
      <c r="AS384" s="96"/>
      <c r="AT384" s="176">
        <f t="shared" ref="AT384:AT386" si="3278">P384*AS384/1000</f>
        <v>0</v>
      </c>
      <c r="AU384" s="204"/>
      <c r="AV384" s="176">
        <f t="shared" ref="AV384:AV386" si="3279">P384*AU384/1000</f>
        <v>0</v>
      </c>
      <c r="AW384" s="204">
        <v>5.0000000000000001E-3</v>
      </c>
      <c r="AX384" s="205">
        <f t="shared" ref="AX384:AX386" si="3280">P384*AW384/1000</f>
        <v>5.475E-2</v>
      </c>
      <c r="AY384" s="192">
        <f t="shared" ref="AY384:AY386" si="3281">SUM(AS384+AU384+AW384)</f>
        <v>5.0000000000000001E-3</v>
      </c>
      <c r="AZ384" s="96">
        <f t="shared" ref="AZ384:AZ386" si="3282">SUM(AT384+AV384+AX384)</f>
        <v>5.475E-2</v>
      </c>
      <c r="BA384" s="96">
        <f t="shared" ref="BA384:BA386" si="3283">SUM(AQ384+AY384)</f>
        <v>5.0000000000000001E-3</v>
      </c>
      <c r="BB384" s="96">
        <f t="shared" ref="BB384:BB386" si="3284">SUM(AR384,AZ384)</f>
        <v>5.475E-2</v>
      </c>
    </row>
    <row r="385" spans="1:54" s="6" customFormat="1">
      <c r="A385" s="498">
        <v>245</v>
      </c>
      <c r="B385" s="14"/>
      <c r="C385" s="13"/>
      <c r="D385" s="14" t="s">
        <v>1304</v>
      </c>
      <c r="E385" s="16" t="s">
        <v>1690</v>
      </c>
      <c r="F385" s="430" t="s">
        <v>1692</v>
      </c>
      <c r="G385" s="501" t="s">
        <v>1102</v>
      </c>
      <c r="H385" s="452" t="s">
        <v>365</v>
      </c>
      <c r="I385" s="431"/>
      <c r="J385" s="499">
        <v>5400</v>
      </c>
      <c r="K385" s="431"/>
      <c r="L385" s="499">
        <v>5400</v>
      </c>
      <c r="M385" s="431"/>
      <c r="N385" s="499">
        <v>5400</v>
      </c>
      <c r="O385" s="502"/>
      <c r="P385" s="499">
        <v>5400</v>
      </c>
      <c r="Q385" s="96">
        <f t="shared" ref="Q385" si="3285">SUM(AI385+BA385)</f>
        <v>0</v>
      </c>
      <c r="R385" s="340">
        <f t="shared" ref="R385" si="3286">SUM(AJ385+BB385)</f>
        <v>0</v>
      </c>
      <c r="S385" s="96"/>
      <c r="T385" s="96">
        <f t="shared" ref="T385" si="3287">J385*S385/1000</f>
        <v>0</v>
      </c>
      <c r="U385" s="96"/>
      <c r="V385" s="176">
        <f t="shared" ref="V385" si="3288">J385*U385/1000</f>
        <v>0</v>
      </c>
      <c r="W385" s="204"/>
      <c r="X385" s="205">
        <f t="shared" ref="X385" si="3289">J385*W385/1000</f>
        <v>0</v>
      </c>
      <c r="Y385" s="192">
        <f t="shared" ref="Y385" si="3290">SUM(S385+U385+W385)</f>
        <v>0</v>
      </c>
      <c r="Z385" s="176">
        <f t="shared" ref="Z385" si="3291">SUM(T385+V385+X385)</f>
        <v>0</v>
      </c>
      <c r="AA385" s="204"/>
      <c r="AB385" s="205">
        <f t="shared" ref="AB385" si="3292">L385*AA385/1000</f>
        <v>0</v>
      </c>
      <c r="AC385" s="204"/>
      <c r="AD385" s="176">
        <f t="shared" ref="AD385" si="3293">L385*AC385/1000</f>
        <v>0</v>
      </c>
      <c r="AE385" s="204"/>
      <c r="AF385" s="206">
        <f t="shared" ref="AF385" si="3294">L385*AE385/1000</f>
        <v>0</v>
      </c>
      <c r="AG385" s="192">
        <f t="shared" ref="AG385" si="3295">SUM(AA385+AC385+AE385)</f>
        <v>0</v>
      </c>
      <c r="AH385" s="96">
        <f t="shared" ref="AH385" si="3296">SUM(AB385+AD385+AF385)</f>
        <v>0</v>
      </c>
      <c r="AI385" s="96">
        <f t="shared" ref="AI385" si="3297">SUM(Y385+AG385)</f>
        <v>0</v>
      </c>
      <c r="AJ385" s="176">
        <f t="shared" ref="AJ385" si="3298">SUM(Z385,AH385)</f>
        <v>0</v>
      </c>
      <c r="AK385" s="204"/>
      <c r="AL385" s="176">
        <f t="shared" ref="AL385" si="3299">N385*AK385/1000</f>
        <v>0</v>
      </c>
      <c r="AM385" s="244"/>
      <c r="AN385" s="176">
        <f t="shared" ref="AN385" si="3300">N385*AM385/1000</f>
        <v>0</v>
      </c>
      <c r="AO385" s="204"/>
      <c r="AP385" s="205">
        <f t="shared" ref="AP385" si="3301">N385*AO385/1000</f>
        <v>0</v>
      </c>
      <c r="AQ385" s="192">
        <f t="shared" ref="AQ385" si="3302">SUM(AK385+AM385+AO385)</f>
        <v>0</v>
      </c>
      <c r="AR385" s="96">
        <f t="shared" ref="AR385" si="3303">SUM(AL385+AN385+AP385)</f>
        <v>0</v>
      </c>
      <c r="AS385" s="96"/>
      <c r="AT385" s="176">
        <f t="shared" ref="AT385" si="3304">P385*AS385/1000</f>
        <v>0</v>
      </c>
      <c r="AU385" s="204"/>
      <c r="AV385" s="176">
        <f t="shared" ref="AV385" si="3305">P385*AU385/1000</f>
        <v>0</v>
      </c>
      <c r="AW385" s="204"/>
      <c r="AX385" s="205">
        <f t="shared" ref="AX385" si="3306">P385*AW385/1000</f>
        <v>0</v>
      </c>
      <c r="AY385" s="192">
        <f t="shared" ref="AY385" si="3307">SUM(AS385+AU385+AW385)</f>
        <v>0</v>
      </c>
      <c r="AZ385" s="96">
        <f t="shared" ref="AZ385" si="3308">SUM(AT385+AV385+AX385)</f>
        <v>0</v>
      </c>
      <c r="BA385" s="96">
        <f t="shared" ref="BA385" si="3309">SUM(AQ385+AY385)</f>
        <v>0</v>
      </c>
      <c r="BB385" s="96">
        <f t="shared" ref="BB385" si="3310">SUM(AR385,AZ385)</f>
        <v>0</v>
      </c>
    </row>
    <row r="386" spans="1:54" s="6" customFormat="1">
      <c r="A386" s="498">
        <v>245</v>
      </c>
      <c r="B386" s="14"/>
      <c r="C386" s="13"/>
      <c r="D386" s="14" t="s">
        <v>1304</v>
      </c>
      <c r="E386" s="16" t="s">
        <v>1691</v>
      </c>
      <c r="F386" s="430" t="s">
        <v>1693</v>
      </c>
      <c r="G386" s="501" t="s">
        <v>1102</v>
      </c>
      <c r="H386" s="452" t="s">
        <v>365</v>
      </c>
      <c r="I386" s="431"/>
      <c r="J386" s="499">
        <v>12660</v>
      </c>
      <c r="K386" s="431"/>
      <c r="L386" s="499">
        <v>12660</v>
      </c>
      <c r="M386" s="431"/>
      <c r="N386" s="499">
        <v>12660</v>
      </c>
      <c r="O386" s="502"/>
      <c r="P386" s="499">
        <v>12660</v>
      </c>
      <c r="Q386" s="96">
        <f t="shared" si="3259"/>
        <v>15.55</v>
      </c>
      <c r="R386" s="340">
        <f t="shared" si="3260"/>
        <v>196.863</v>
      </c>
      <c r="S386" s="96">
        <v>2.64</v>
      </c>
      <c r="T386" s="96">
        <f t="shared" si="3261"/>
        <v>33.422400000000003</v>
      </c>
      <c r="U386" s="96"/>
      <c r="V386" s="176">
        <f t="shared" si="3262"/>
        <v>0</v>
      </c>
      <c r="W386" s="204">
        <v>2.64</v>
      </c>
      <c r="X386" s="205">
        <f t="shared" si="3263"/>
        <v>33.422400000000003</v>
      </c>
      <c r="Y386" s="192">
        <f t="shared" si="3264"/>
        <v>5.28</v>
      </c>
      <c r="Z386" s="176">
        <f t="shared" si="3265"/>
        <v>66.844800000000006</v>
      </c>
      <c r="AA386" s="204"/>
      <c r="AB386" s="205">
        <f t="shared" si="3266"/>
        <v>0</v>
      </c>
      <c r="AC386" s="204">
        <v>3.85</v>
      </c>
      <c r="AD386" s="176">
        <f t="shared" si="3267"/>
        <v>48.741</v>
      </c>
      <c r="AE386" s="204">
        <v>1.1000000000000001</v>
      </c>
      <c r="AF386" s="206">
        <f t="shared" si="3268"/>
        <v>13.926000000000002</v>
      </c>
      <c r="AG386" s="192">
        <f t="shared" si="3269"/>
        <v>4.95</v>
      </c>
      <c r="AH386" s="96">
        <f t="shared" si="3270"/>
        <v>62.667000000000002</v>
      </c>
      <c r="AI386" s="96">
        <f t="shared" si="3271"/>
        <v>10.23</v>
      </c>
      <c r="AJ386" s="176">
        <f t="shared" si="3272"/>
        <v>129.51179999999999</v>
      </c>
      <c r="AK386" s="204"/>
      <c r="AL386" s="176">
        <f t="shared" si="3273"/>
        <v>0</v>
      </c>
      <c r="AM386" s="244">
        <v>5.28</v>
      </c>
      <c r="AN386" s="176">
        <f t="shared" si="3274"/>
        <v>66.844800000000006</v>
      </c>
      <c r="AO386" s="204"/>
      <c r="AP386" s="205">
        <f t="shared" si="3275"/>
        <v>0</v>
      </c>
      <c r="AQ386" s="192">
        <f t="shared" si="3276"/>
        <v>5.28</v>
      </c>
      <c r="AR386" s="96">
        <f t="shared" si="3277"/>
        <v>66.844800000000006</v>
      </c>
      <c r="AS386" s="96">
        <v>0.04</v>
      </c>
      <c r="AT386" s="176">
        <f t="shared" si="3278"/>
        <v>0.50640000000000007</v>
      </c>
      <c r="AU386" s="204"/>
      <c r="AV386" s="176">
        <f t="shared" si="3279"/>
        <v>0</v>
      </c>
      <c r="AW386" s="204"/>
      <c r="AX386" s="205">
        <f t="shared" si="3280"/>
        <v>0</v>
      </c>
      <c r="AY386" s="192">
        <f t="shared" si="3281"/>
        <v>0.04</v>
      </c>
      <c r="AZ386" s="96">
        <f t="shared" si="3282"/>
        <v>0.50640000000000007</v>
      </c>
      <c r="BA386" s="96">
        <f t="shared" si="3283"/>
        <v>5.32</v>
      </c>
      <c r="BB386" s="96">
        <f t="shared" si="3284"/>
        <v>67.351200000000006</v>
      </c>
    </row>
    <row r="387" spans="1:54" s="6" customFormat="1">
      <c r="A387" s="498">
        <v>245</v>
      </c>
      <c r="B387" s="14"/>
      <c r="C387" s="13"/>
      <c r="D387" s="14" t="s">
        <v>1307</v>
      </c>
      <c r="E387" s="16" t="s">
        <v>1234</v>
      </c>
      <c r="F387" s="516" t="s">
        <v>1689</v>
      </c>
      <c r="G387" s="501" t="s">
        <v>1102</v>
      </c>
      <c r="H387" s="452" t="s">
        <v>365</v>
      </c>
      <c r="I387" s="431"/>
      <c r="J387" s="499">
        <v>5400</v>
      </c>
      <c r="K387" s="431"/>
      <c r="L387" s="499">
        <v>5400</v>
      </c>
      <c r="M387" s="431"/>
      <c r="N387" s="499">
        <v>5400</v>
      </c>
      <c r="O387" s="502"/>
      <c r="P387" s="499">
        <v>5400</v>
      </c>
      <c r="Q387" s="96">
        <f t="shared" ref="Q387:R396" si="3311">SUM(AI387+BA387)</f>
        <v>0</v>
      </c>
      <c r="R387" s="340">
        <f t="shared" si="3311"/>
        <v>0</v>
      </c>
      <c r="S387" s="96"/>
      <c r="T387" s="96">
        <f t="shared" ref="T387:T396" si="3312">J387*S387/1000</f>
        <v>0</v>
      </c>
      <c r="U387" s="96"/>
      <c r="V387" s="176">
        <f t="shared" ref="V387:V396" si="3313">J387*U387/1000</f>
        <v>0</v>
      </c>
      <c r="W387" s="204"/>
      <c r="X387" s="205">
        <f t="shared" ref="X387:X391" si="3314">J387*W387/1000</f>
        <v>0</v>
      </c>
      <c r="Y387" s="192">
        <f t="shared" ref="Y387:Z396" si="3315">SUM(S387+U387+W387)</f>
        <v>0</v>
      </c>
      <c r="Z387" s="176">
        <f t="shared" si="3315"/>
        <v>0</v>
      </c>
      <c r="AA387" s="204"/>
      <c r="AB387" s="205">
        <f t="shared" ref="AB387:AB396" si="3316">L387*AA387/1000</f>
        <v>0</v>
      </c>
      <c r="AC387" s="204"/>
      <c r="AD387" s="176">
        <f t="shared" ref="AD387" si="3317">L387*AC387/1000</f>
        <v>0</v>
      </c>
      <c r="AE387" s="204"/>
      <c r="AF387" s="206">
        <f t="shared" ref="AF387:AF396" si="3318">L387*AE387/1000</f>
        <v>0</v>
      </c>
      <c r="AG387" s="192">
        <f t="shared" ref="AG387:AH396" si="3319">SUM(AA387+AC387+AE387)</f>
        <v>0</v>
      </c>
      <c r="AH387" s="96">
        <f t="shared" si="3319"/>
        <v>0</v>
      </c>
      <c r="AI387" s="96">
        <f t="shared" ref="AI387:AI396" si="3320">SUM(Y387+AG387)</f>
        <v>0</v>
      </c>
      <c r="AJ387" s="176">
        <f t="shared" ref="AJ387:AJ396" si="3321">SUM(Z387,AH387)</f>
        <v>0</v>
      </c>
      <c r="AK387" s="204"/>
      <c r="AL387" s="176">
        <f t="shared" ref="AL387:AL396" si="3322">N387*AK387/1000</f>
        <v>0</v>
      </c>
      <c r="AM387" s="244"/>
      <c r="AN387" s="176">
        <f t="shared" ref="AN387:AN390" si="3323">N387*AM387/1000</f>
        <v>0</v>
      </c>
      <c r="AO387" s="204"/>
      <c r="AP387" s="205">
        <f t="shared" ref="AP387:AP395" si="3324">N387*AO387/1000</f>
        <v>0</v>
      </c>
      <c r="AQ387" s="192">
        <f t="shared" ref="AQ387:AR396" si="3325">SUM(AK387+AM387+AO387)</f>
        <v>0</v>
      </c>
      <c r="AR387" s="96">
        <f t="shared" si="3325"/>
        <v>0</v>
      </c>
      <c r="AS387" s="96"/>
      <c r="AT387" s="176">
        <f t="shared" ref="AT387:AT396" si="3326">P387*AS387/1000</f>
        <v>0</v>
      </c>
      <c r="AU387" s="204"/>
      <c r="AV387" s="176">
        <f t="shared" ref="AV387:AV396" si="3327">P387*AU387/1000</f>
        <v>0</v>
      </c>
      <c r="AW387" s="204"/>
      <c r="AX387" s="205">
        <f t="shared" ref="AX387:AX396" si="3328">P387*AW387/1000</f>
        <v>0</v>
      </c>
      <c r="AY387" s="192">
        <f t="shared" ref="AY387:AZ396" si="3329">SUM(AS387+AU387+AW387)</f>
        <v>0</v>
      </c>
      <c r="AZ387" s="96">
        <f t="shared" si="3329"/>
        <v>0</v>
      </c>
      <c r="BA387" s="96">
        <f t="shared" ref="BA387:BA396" si="3330">SUM(AQ387+AY387)</f>
        <v>0</v>
      </c>
      <c r="BB387" s="96">
        <f t="shared" ref="BB387:BB396" si="3331">SUM(AR387,AZ387)</f>
        <v>0</v>
      </c>
    </row>
    <row r="388" spans="1:54" s="6" customFormat="1">
      <c r="A388" s="498">
        <v>246</v>
      </c>
      <c r="B388" s="14"/>
      <c r="C388" s="14"/>
      <c r="D388" s="14" t="s">
        <v>1303</v>
      </c>
      <c r="E388" s="16" t="s">
        <v>1235</v>
      </c>
      <c r="F388" s="22" t="s">
        <v>1244</v>
      </c>
      <c r="G388" s="17" t="s">
        <v>1102</v>
      </c>
      <c r="H388" s="267" t="s">
        <v>365</v>
      </c>
      <c r="I388" s="234"/>
      <c r="J388" s="241">
        <v>5400</v>
      </c>
      <c r="K388" s="234"/>
      <c r="L388" s="241">
        <v>5400</v>
      </c>
      <c r="M388" s="234"/>
      <c r="N388" s="241">
        <v>5400</v>
      </c>
      <c r="O388" s="242"/>
      <c r="P388" s="241">
        <v>5400</v>
      </c>
      <c r="Q388" s="96">
        <f t="shared" si="3311"/>
        <v>0</v>
      </c>
      <c r="R388" s="340">
        <f t="shared" si="3311"/>
        <v>0</v>
      </c>
      <c r="S388" s="96"/>
      <c r="T388" s="96">
        <f t="shared" si="3312"/>
        <v>0</v>
      </c>
      <c r="U388" s="96"/>
      <c r="V388" s="176">
        <f t="shared" si="3313"/>
        <v>0</v>
      </c>
      <c r="W388" s="204"/>
      <c r="X388" s="205">
        <f t="shared" si="3314"/>
        <v>0</v>
      </c>
      <c r="Y388" s="192">
        <f t="shared" si="3315"/>
        <v>0</v>
      </c>
      <c r="Z388" s="176">
        <f t="shared" si="3315"/>
        <v>0</v>
      </c>
      <c r="AA388" s="204"/>
      <c r="AB388" s="205">
        <f t="shared" si="3316"/>
        <v>0</v>
      </c>
      <c r="AC388" s="204"/>
      <c r="AD388" s="176">
        <f>L388*AC388/1000</f>
        <v>0</v>
      </c>
      <c r="AE388" s="204"/>
      <c r="AF388" s="206">
        <f t="shared" si="3318"/>
        <v>0</v>
      </c>
      <c r="AG388" s="192">
        <f t="shared" si="3319"/>
        <v>0</v>
      </c>
      <c r="AH388" s="96">
        <f t="shared" si="3319"/>
        <v>0</v>
      </c>
      <c r="AI388" s="96">
        <f t="shared" si="3320"/>
        <v>0</v>
      </c>
      <c r="AJ388" s="176">
        <f t="shared" si="3321"/>
        <v>0</v>
      </c>
      <c r="AK388" s="204"/>
      <c r="AL388" s="176">
        <f t="shared" si="3322"/>
        <v>0</v>
      </c>
      <c r="AM388" s="244"/>
      <c r="AN388" s="176">
        <f t="shared" si="3323"/>
        <v>0</v>
      </c>
      <c r="AO388" s="204"/>
      <c r="AP388" s="205">
        <f t="shared" si="3324"/>
        <v>0</v>
      </c>
      <c r="AQ388" s="192">
        <f t="shared" si="3325"/>
        <v>0</v>
      </c>
      <c r="AR388" s="96">
        <f t="shared" si="3325"/>
        <v>0</v>
      </c>
      <c r="AS388" s="96"/>
      <c r="AT388" s="176">
        <f t="shared" si="3326"/>
        <v>0</v>
      </c>
      <c r="AU388" s="204"/>
      <c r="AV388" s="176">
        <f t="shared" si="3327"/>
        <v>0</v>
      </c>
      <c r="AW388" s="204"/>
      <c r="AX388" s="205">
        <f t="shared" si="3328"/>
        <v>0</v>
      </c>
      <c r="AY388" s="192">
        <f t="shared" si="3329"/>
        <v>0</v>
      </c>
      <c r="AZ388" s="96">
        <f t="shared" si="3329"/>
        <v>0</v>
      </c>
      <c r="BA388" s="96">
        <f t="shared" si="3330"/>
        <v>0</v>
      </c>
      <c r="BB388" s="96">
        <f t="shared" si="3331"/>
        <v>0</v>
      </c>
    </row>
    <row r="389" spans="1:54" s="6" customFormat="1">
      <c r="A389" s="498">
        <v>247</v>
      </c>
      <c r="B389" s="14"/>
      <c r="C389" s="14"/>
      <c r="D389" s="14" t="s">
        <v>1303</v>
      </c>
      <c r="E389" s="16" t="s">
        <v>1236</v>
      </c>
      <c r="F389" s="46" t="s">
        <v>1245</v>
      </c>
      <c r="G389" s="17" t="s">
        <v>1102</v>
      </c>
      <c r="H389" s="267" t="s">
        <v>365</v>
      </c>
      <c r="I389" s="234"/>
      <c r="J389" s="241">
        <v>5400</v>
      </c>
      <c r="K389" s="234"/>
      <c r="L389" s="241">
        <v>5400</v>
      </c>
      <c r="M389" s="234"/>
      <c r="N389" s="241">
        <v>5400</v>
      </c>
      <c r="O389" s="242"/>
      <c r="P389" s="241">
        <v>5400</v>
      </c>
      <c r="Q389" s="96">
        <f t="shared" si="3311"/>
        <v>0</v>
      </c>
      <c r="R389" s="340">
        <f t="shared" si="3311"/>
        <v>0</v>
      </c>
      <c r="S389" s="96"/>
      <c r="T389" s="96">
        <f t="shared" si="3312"/>
        <v>0</v>
      </c>
      <c r="U389" s="96"/>
      <c r="V389" s="176">
        <f t="shared" si="3313"/>
        <v>0</v>
      </c>
      <c r="W389" s="204"/>
      <c r="X389" s="205">
        <f t="shared" si="3314"/>
        <v>0</v>
      </c>
      <c r="Y389" s="192">
        <f t="shared" si="3315"/>
        <v>0</v>
      </c>
      <c r="Z389" s="176">
        <f t="shared" si="3315"/>
        <v>0</v>
      </c>
      <c r="AA389" s="204"/>
      <c r="AB389" s="205">
        <f t="shared" si="3316"/>
        <v>0</v>
      </c>
      <c r="AC389" s="204"/>
      <c r="AD389" s="176">
        <f t="shared" ref="AD389:AD391" si="3332">L389*AC389/1000</f>
        <v>0</v>
      </c>
      <c r="AE389" s="204"/>
      <c r="AF389" s="206">
        <f t="shared" si="3318"/>
        <v>0</v>
      </c>
      <c r="AG389" s="192">
        <f t="shared" si="3319"/>
        <v>0</v>
      </c>
      <c r="AH389" s="96">
        <f t="shared" si="3319"/>
        <v>0</v>
      </c>
      <c r="AI389" s="96">
        <f t="shared" si="3320"/>
        <v>0</v>
      </c>
      <c r="AJ389" s="176">
        <f t="shared" si="3321"/>
        <v>0</v>
      </c>
      <c r="AK389" s="204"/>
      <c r="AL389" s="176">
        <f t="shared" si="3322"/>
        <v>0</v>
      </c>
      <c r="AM389" s="244"/>
      <c r="AN389" s="176">
        <f t="shared" si="3323"/>
        <v>0</v>
      </c>
      <c r="AO389" s="204"/>
      <c r="AP389" s="205">
        <f t="shared" si="3324"/>
        <v>0</v>
      </c>
      <c r="AQ389" s="192">
        <f t="shared" si="3325"/>
        <v>0</v>
      </c>
      <c r="AR389" s="96">
        <f t="shared" si="3325"/>
        <v>0</v>
      </c>
      <c r="AS389" s="96"/>
      <c r="AT389" s="176">
        <f t="shared" si="3326"/>
        <v>0</v>
      </c>
      <c r="AU389" s="204"/>
      <c r="AV389" s="176">
        <f t="shared" si="3327"/>
        <v>0</v>
      </c>
      <c r="AW389" s="204"/>
      <c r="AX389" s="205">
        <f t="shared" si="3328"/>
        <v>0</v>
      </c>
      <c r="AY389" s="192">
        <f t="shared" si="3329"/>
        <v>0</v>
      </c>
      <c r="AZ389" s="96">
        <f t="shared" si="3329"/>
        <v>0</v>
      </c>
      <c r="BA389" s="96">
        <f t="shared" si="3330"/>
        <v>0</v>
      </c>
      <c r="BB389" s="96">
        <f t="shared" si="3331"/>
        <v>0</v>
      </c>
    </row>
    <row r="390" spans="1:54">
      <c r="A390" s="498">
        <v>248</v>
      </c>
      <c r="B390" s="13"/>
      <c r="C390" s="13"/>
      <c r="D390" s="13" t="s">
        <v>1303</v>
      </c>
      <c r="E390" s="21" t="s">
        <v>1237</v>
      </c>
      <c r="F390" s="46" t="s">
        <v>1246</v>
      </c>
      <c r="G390" s="17" t="s">
        <v>1102</v>
      </c>
      <c r="H390" s="268" t="s">
        <v>365</v>
      </c>
      <c r="I390" s="55"/>
      <c r="J390" s="241">
        <v>5400</v>
      </c>
      <c r="K390" s="55"/>
      <c r="L390" s="241">
        <v>5400</v>
      </c>
      <c r="M390" s="55"/>
      <c r="N390" s="241">
        <v>5400</v>
      </c>
      <c r="O390" s="143"/>
      <c r="P390" s="241">
        <v>5400</v>
      </c>
      <c r="Q390" s="97">
        <f t="shared" si="3311"/>
        <v>0</v>
      </c>
      <c r="R390" s="342">
        <f t="shared" si="3311"/>
        <v>0</v>
      </c>
      <c r="S390" s="97"/>
      <c r="T390" s="97">
        <f t="shared" si="3312"/>
        <v>0</v>
      </c>
      <c r="U390" s="97"/>
      <c r="V390" s="177">
        <f t="shared" si="3313"/>
        <v>0</v>
      </c>
      <c r="W390" s="207"/>
      <c r="X390" s="206">
        <f t="shared" si="3314"/>
        <v>0</v>
      </c>
      <c r="Y390" s="189">
        <f t="shared" si="3315"/>
        <v>0</v>
      </c>
      <c r="Z390" s="177">
        <f t="shared" si="3315"/>
        <v>0</v>
      </c>
      <c r="AA390" s="207"/>
      <c r="AB390" s="206">
        <f t="shared" si="3316"/>
        <v>0</v>
      </c>
      <c r="AC390" s="207"/>
      <c r="AD390" s="177">
        <f t="shared" si="3332"/>
        <v>0</v>
      </c>
      <c r="AE390" s="207"/>
      <c r="AF390" s="206">
        <f t="shared" si="3318"/>
        <v>0</v>
      </c>
      <c r="AG390" s="189">
        <f t="shared" si="3319"/>
        <v>0</v>
      </c>
      <c r="AH390" s="97">
        <f t="shared" si="3319"/>
        <v>0</v>
      </c>
      <c r="AI390" s="97">
        <f t="shared" si="3320"/>
        <v>0</v>
      </c>
      <c r="AJ390" s="177">
        <f t="shared" si="3321"/>
        <v>0</v>
      </c>
      <c r="AK390" s="207"/>
      <c r="AL390" s="177">
        <f t="shared" si="3322"/>
        <v>0</v>
      </c>
      <c r="AM390" s="245"/>
      <c r="AN390" s="177">
        <f t="shared" si="3323"/>
        <v>0</v>
      </c>
      <c r="AO390" s="207"/>
      <c r="AP390" s="206">
        <f t="shared" si="3324"/>
        <v>0</v>
      </c>
      <c r="AQ390" s="189">
        <f t="shared" si="3325"/>
        <v>0</v>
      </c>
      <c r="AR390" s="97">
        <f t="shared" si="3325"/>
        <v>0</v>
      </c>
      <c r="AS390" s="97"/>
      <c r="AT390" s="177">
        <f t="shared" si="3326"/>
        <v>0</v>
      </c>
      <c r="AU390" s="207"/>
      <c r="AV390" s="177">
        <f t="shared" si="3327"/>
        <v>0</v>
      </c>
      <c r="AW390" s="207"/>
      <c r="AX390" s="206">
        <f t="shared" si="3328"/>
        <v>0</v>
      </c>
      <c r="AY390" s="189">
        <f t="shared" si="3329"/>
        <v>0</v>
      </c>
      <c r="AZ390" s="97">
        <f t="shared" si="3329"/>
        <v>0</v>
      </c>
      <c r="BA390" s="97">
        <f t="shared" si="3330"/>
        <v>0</v>
      </c>
      <c r="BB390" s="97">
        <f t="shared" si="3331"/>
        <v>0</v>
      </c>
    </row>
    <row r="391" spans="1:54">
      <c r="A391" s="498">
        <v>249</v>
      </c>
      <c r="B391" s="13"/>
      <c r="C391" s="13"/>
      <c r="D391" s="13" t="s">
        <v>1303</v>
      </c>
      <c r="E391" s="16" t="s">
        <v>1238</v>
      </c>
      <c r="F391" s="46" t="s">
        <v>1247</v>
      </c>
      <c r="G391" s="17" t="s">
        <v>1102</v>
      </c>
      <c r="H391" s="268" t="s">
        <v>365</v>
      </c>
      <c r="I391" s="55"/>
      <c r="J391" s="241">
        <v>5400</v>
      </c>
      <c r="K391" s="55"/>
      <c r="L391" s="241">
        <v>5400</v>
      </c>
      <c r="M391" s="55"/>
      <c r="N391" s="241">
        <v>5400</v>
      </c>
      <c r="O391" s="143"/>
      <c r="P391" s="241">
        <v>5400</v>
      </c>
      <c r="Q391" s="97">
        <f>SUM(AI391+BA391)</f>
        <v>5.0000000000000001E-3</v>
      </c>
      <c r="R391" s="342">
        <f t="shared" si="3311"/>
        <v>2.7E-2</v>
      </c>
      <c r="S391" s="97"/>
      <c r="T391" s="97">
        <f t="shared" si="3312"/>
        <v>0</v>
      </c>
      <c r="U391" s="97">
        <v>5.0000000000000001E-3</v>
      </c>
      <c r="V391" s="177">
        <f t="shared" si="3313"/>
        <v>2.7E-2</v>
      </c>
      <c r="W391" s="207"/>
      <c r="X391" s="206">
        <f t="shared" si="3314"/>
        <v>0</v>
      </c>
      <c r="Y391" s="189">
        <f t="shared" si="3315"/>
        <v>5.0000000000000001E-3</v>
      </c>
      <c r="Z391" s="177">
        <f t="shared" si="3315"/>
        <v>2.7E-2</v>
      </c>
      <c r="AA391" s="207"/>
      <c r="AB391" s="206">
        <f t="shared" si="3316"/>
        <v>0</v>
      </c>
      <c r="AC391" s="207"/>
      <c r="AD391" s="177">
        <f t="shared" si="3332"/>
        <v>0</v>
      </c>
      <c r="AE391" s="207"/>
      <c r="AF391" s="206">
        <f t="shared" si="3318"/>
        <v>0</v>
      </c>
      <c r="AG391" s="189">
        <f t="shared" si="3319"/>
        <v>0</v>
      </c>
      <c r="AH391" s="97">
        <f t="shared" si="3319"/>
        <v>0</v>
      </c>
      <c r="AI391" s="97">
        <f t="shared" si="3320"/>
        <v>5.0000000000000001E-3</v>
      </c>
      <c r="AJ391" s="177">
        <f t="shared" si="3321"/>
        <v>2.7E-2</v>
      </c>
      <c r="AK391" s="207"/>
      <c r="AL391" s="177">
        <f>N391*AK391/1000</f>
        <v>0</v>
      </c>
      <c r="AM391" s="245"/>
      <c r="AN391" s="177">
        <f>N391*AM391/1000</f>
        <v>0</v>
      </c>
      <c r="AO391" s="207"/>
      <c r="AP391" s="206">
        <f t="shared" si="3324"/>
        <v>0</v>
      </c>
      <c r="AQ391" s="189">
        <f t="shared" si="3325"/>
        <v>0</v>
      </c>
      <c r="AR391" s="97">
        <f t="shared" si="3325"/>
        <v>0</v>
      </c>
      <c r="AS391" s="97"/>
      <c r="AT391" s="177">
        <f t="shared" si="3326"/>
        <v>0</v>
      </c>
      <c r="AU391" s="207"/>
      <c r="AV391" s="177">
        <f t="shared" si="3327"/>
        <v>0</v>
      </c>
      <c r="AW391" s="207"/>
      <c r="AX391" s="206">
        <f t="shared" si="3328"/>
        <v>0</v>
      </c>
      <c r="AY391" s="189">
        <f t="shared" si="3329"/>
        <v>0</v>
      </c>
      <c r="AZ391" s="97">
        <f t="shared" si="3329"/>
        <v>0</v>
      </c>
      <c r="BA391" s="97">
        <f t="shared" si="3330"/>
        <v>0</v>
      </c>
      <c r="BB391" s="97">
        <f t="shared" si="3331"/>
        <v>0</v>
      </c>
    </row>
    <row r="392" spans="1:54">
      <c r="A392" s="498">
        <v>250</v>
      </c>
      <c r="B392" s="13"/>
      <c r="C392" s="13"/>
      <c r="D392" s="13" t="s">
        <v>1303</v>
      </c>
      <c r="E392" s="16" t="s">
        <v>1239</v>
      </c>
      <c r="F392" s="46" t="s">
        <v>1248</v>
      </c>
      <c r="G392" s="17" t="s">
        <v>1102</v>
      </c>
      <c r="H392" s="268" t="s">
        <v>365</v>
      </c>
      <c r="I392" s="55"/>
      <c r="J392" s="241">
        <v>5400</v>
      </c>
      <c r="K392" s="55"/>
      <c r="L392" s="241">
        <v>5400</v>
      </c>
      <c r="M392" s="55"/>
      <c r="N392" s="241">
        <v>5400</v>
      </c>
      <c r="O392" s="143"/>
      <c r="P392" s="241">
        <v>5400</v>
      </c>
      <c r="Q392" s="97">
        <f t="shared" si="3311"/>
        <v>1.9E-2</v>
      </c>
      <c r="R392" s="342">
        <f t="shared" si="3311"/>
        <v>0.1026</v>
      </c>
      <c r="S392" s="97"/>
      <c r="T392" s="97">
        <f t="shared" si="3312"/>
        <v>0</v>
      </c>
      <c r="U392" s="97"/>
      <c r="V392" s="177">
        <f t="shared" si="3313"/>
        <v>0</v>
      </c>
      <c r="W392" s="207"/>
      <c r="X392" s="206">
        <f t="shared" ref="X392:X396" si="3333">J392*W392/1000</f>
        <v>0</v>
      </c>
      <c r="Y392" s="189">
        <f t="shared" si="3315"/>
        <v>0</v>
      </c>
      <c r="Z392" s="177">
        <f t="shared" si="3315"/>
        <v>0</v>
      </c>
      <c r="AA392" s="207"/>
      <c r="AB392" s="206">
        <f t="shared" si="3316"/>
        <v>0</v>
      </c>
      <c r="AC392" s="207">
        <v>5.0000000000000001E-3</v>
      </c>
      <c r="AD392" s="177">
        <f t="shared" ref="AD392:AD396" si="3334">L392*AC392/1000</f>
        <v>2.7E-2</v>
      </c>
      <c r="AE392" s="207"/>
      <c r="AF392" s="206">
        <f t="shared" si="3318"/>
        <v>0</v>
      </c>
      <c r="AG392" s="189">
        <f t="shared" si="3319"/>
        <v>5.0000000000000001E-3</v>
      </c>
      <c r="AH392" s="97">
        <f t="shared" si="3319"/>
        <v>2.7E-2</v>
      </c>
      <c r="AI392" s="97">
        <f t="shared" si="3320"/>
        <v>5.0000000000000001E-3</v>
      </c>
      <c r="AJ392" s="177">
        <f t="shared" si="3321"/>
        <v>2.7E-2</v>
      </c>
      <c r="AK392" s="207">
        <v>8.0000000000000002E-3</v>
      </c>
      <c r="AL392" s="177">
        <f t="shared" ref="AL392" si="3335">N392*AK392/1000</f>
        <v>4.3200000000000002E-2</v>
      </c>
      <c r="AM392" s="245">
        <v>6.0000000000000001E-3</v>
      </c>
      <c r="AN392" s="177">
        <f>N392*AM392/1000</f>
        <v>3.2399999999999998E-2</v>
      </c>
      <c r="AO392" s="207"/>
      <c r="AP392" s="206">
        <f t="shared" si="3324"/>
        <v>0</v>
      </c>
      <c r="AQ392" s="189">
        <f t="shared" si="3325"/>
        <v>1.4E-2</v>
      </c>
      <c r="AR392" s="97">
        <f t="shared" si="3325"/>
        <v>7.5600000000000001E-2</v>
      </c>
      <c r="AS392" s="97"/>
      <c r="AT392" s="177">
        <f t="shared" si="3326"/>
        <v>0</v>
      </c>
      <c r="AU392" s="207"/>
      <c r="AV392" s="177">
        <f t="shared" si="3327"/>
        <v>0</v>
      </c>
      <c r="AW392" s="207"/>
      <c r="AX392" s="206">
        <f t="shared" si="3328"/>
        <v>0</v>
      </c>
      <c r="AY392" s="189">
        <f t="shared" si="3329"/>
        <v>0</v>
      </c>
      <c r="AZ392" s="97">
        <f t="shared" si="3329"/>
        <v>0</v>
      </c>
      <c r="BA392" s="97">
        <f t="shared" si="3330"/>
        <v>1.4E-2</v>
      </c>
      <c r="BB392" s="97">
        <f t="shared" si="3331"/>
        <v>7.5600000000000001E-2</v>
      </c>
    </row>
    <row r="393" spans="1:54">
      <c r="A393" s="498">
        <v>251</v>
      </c>
      <c r="B393" s="13"/>
      <c r="C393" s="13"/>
      <c r="D393" s="13" t="s">
        <v>1303</v>
      </c>
      <c r="E393" s="16" t="s">
        <v>1240</v>
      </c>
      <c r="F393" s="46" t="s">
        <v>1249</v>
      </c>
      <c r="G393" s="17" t="s">
        <v>1102</v>
      </c>
      <c r="H393" s="268" t="s">
        <v>365</v>
      </c>
      <c r="I393" s="55"/>
      <c r="J393" s="241">
        <v>5400</v>
      </c>
      <c r="K393" s="55"/>
      <c r="L393" s="241">
        <v>5400</v>
      </c>
      <c r="M393" s="55"/>
      <c r="N393" s="241">
        <v>5400</v>
      </c>
      <c r="O393" s="143"/>
      <c r="P393" s="241">
        <v>5400</v>
      </c>
      <c r="Q393" s="97">
        <f t="shared" si="3311"/>
        <v>0</v>
      </c>
      <c r="R393" s="342">
        <f t="shared" si="3311"/>
        <v>0</v>
      </c>
      <c r="S393" s="97"/>
      <c r="T393" s="97">
        <f>J393*S393/1000</f>
        <v>0</v>
      </c>
      <c r="U393" s="97"/>
      <c r="V393" s="177">
        <f t="shared" si="3313"/>
        <v>0</v>
      </c>
      <c r="W393" s="207"/>
      <c r="X393" s="206">
        <f t="shared" si="3333"/>
        <v>0</v>
      </c>
      <c r="Y393" s="189">
        <f>SUM(S393+U393+W393)</f>
        <v>0</v>
      </c>
      <c r="Z393" s="177">
        <f t="shared" si="3315"/>
        <v>0</v>
      </c>
      <c r="AA393" s="207"/>
      <c r="AB393" s="206">
        <f t="shared" si="3316"/>
        <v>0</v>
      </c>
      <c r="AC393" s="207"/>
      <c r="AD393" s="177">
        <f t="shared" si="3334"/>
        <v>0</v>
      </c>
      <c r="AE393" s="207"/>
      <c r="AF393" s="206">
        <f t="shared" si="3318"/>
        <v>0</v>
      </c>
      <c r="AG393" s="189">
        <f t="shared" si="3319"/>
        <v>0</v>
      </c>
      <c r="AH393" s="97">
        <f t="shared" si="3319"/>
        <v>0</v>
      </c>
      <c r="AI393" s="97">
        <f t="shared" si="3320"/>
        <v>0</v>
      </c>
      <c r="AJ393" s="177">
        <f t="shared" si="3321"/>
        <v>0</v>
      </c>
      <c r="AK393" s="207"/>
      <c r="AL393" s="177">
        <f t="shared" si="3322"/>
        <v>0</v>
      </c>
      <c r="AM393" s="245"/>
      <c r="AN393" s="177">
        <f t="shared" ref="AN393:AN396" si="3336">N393*AM393/1000</f>
        <v>0</v>
      </c>
      <c r="AO393" s="207"/>
      <c r="AP393" s="206">
        <f t="shared" si="3324"/>
        <v>0</v>
      </c>
      <c r="AQ393" s="189">
        <f t="shared" si="3325"/>
        <v>0</v>
      </c>
      <c r="AR393" s="97">
        <f t="shared" si="3325"/>
        <v>0</v>
      </c>
      <c r="AS393" s="97"/>
      <c r="AT393" s="177">
        <f t="shared" si="3326"/>
        <v>0</v>
      </c>
      <c r="AU393" s="207"/>
      <c r="AV393" s="177">
        <f t="shared" si="3327"/>
        <v>0</v>
      </c>
      <c r="AW393" s="207"/>
      <c r="AX393" s="206">
        <f t="shared" si="3328"/>
        <v>0</v>
      </c>
      <c r="AY393" s="189">
        <f t="shared" si="3329"/>
        <v>0</v>
      </c>
      <c r="AZ393" s="97">
        <f t="shared" si="3329"/>
        <v>0</v>
      </c>
      <c r="BA393" s="97">
        <f t="shared" si="3330"/>
        <v>0</v>
      </c>
      <c r="BB393" s="97">
        <f t="shared" si="3331"/>
        <v>0</v>
      </c>
    </row>
    <row r="394" spans="1:54">
      <c r="A394" s="498">
        <v>252</v>
      </c>
      <c r="B394" s="13"/>
      <c r="C394" s="13"/>
      <c r="D394" s="13" t="s">
        <v>1303</v>
      </c>
      <c r="E394" s="16" t="s">
        <v>1241</v>
      </c>
      <c r="F394" s="46" t="s">
        <v>1250</v>
      </c>
      <c r="G394" s="17" t="s">
        <v>1102</v>
      </c>
      <c r="H394" s="268" t="s">
        <v>365</v>
      </c>
      <c r="I394" s="55"/>
      <c r="J394" s="241">
        <v>5130</v>
      </c>
      <c r="K394" s="55"/>
      <c r="L394" s="241">
        <v>5130</v>
      </c>
      <c r="M394" s="55"/>
      <c r="N394" s="241">
        <v>5130</v>
      </c>
      <c r="O394" s="143"/>
      <c r="P394" s="241">
        <v>5130</v>
      </c>
      <c r="Q394" s="97">
        <f>SUM(AI394+BA394)</f>
        <v>0</v>
      </c>
      <c r="R394" s="342">
        <f t="shared" si="3311"/>
        <v>0</v>
      </c>
      <c r="S394" s="97"/>
      <c r="T394" s="97">
        <f t="shared" ref="T394" si="3337">J394*S394/1000</f>
        <v>0</v>
      </c>
      <c r="U394" s="97"/>
      <c r="V394" s="177">
        <f t="shared" si="3313"/>
        <v>0</v>
      </c>
      <c r="W394" s="207"/>
      <c r="X394" s="206">
        <f t="shared" si="3333"/>
        <v>0</v>
      </c>
      <c r="Y394" s="189">
        <f>SUM(S394+U394+W394)</f>
        <v>0</v>
      </c>
      <c r="Z394" s="177">
        <f t="shared" si="3315"/>
        <v>0</v>
      </c>
      <c r="AA394" s="207"/>
      <c r="AB394" s="206">
        <f t="shared" si="3316"/>
        <v>0</v>
      </c>
      <c r="AC394" s="207"/>
      <c r="AD394" s="177">
        <f t="shared" si="3334"/>
        <v>0</v>
      </c>
      <c r="AE394" s="207"/>
      <c r="AF394" s="206">
        <f t="shared" si="3318"/>
        <v>0</v>
      </c>
      <c r="AG394" s="189">
        <f t="shared" si="3319"/>
        <v>0</v>
      </c>
      <c r="AH394" s="97">
        <f t="shared" si="3319"/>
        <v>0</v>
      </c>
      <c r="AI394" s="97">
        <f t="shared" si="3320"/>
        <v>0</v>
      </c>
      <c r="AJ394" s="177">
        <f t="shared" si="3321"/>
        <v>0</v>
      </c>
      <c r="AK394" s="207"/>
      <c r="AL394" s="177">
        <f t="shared" si="3322"/>
        <v>0</v>
      </c>
      <c r="AM394" s="245"/>
      <c r="AN394" s="177">
        <f t="shared" si="3336"/>
        <v>0</v>
      </c>
      <c r="AO394" s="207"/>
      <c r="AP394" s="206">
        <f t="shared" si="3324"/>
        <v>0</v>
      </c>
      <c r="AQ394" s="189">
        <f t="shared" si="3325"/>
        <v>0</v>
      </c>
      <c r="AR394" s="97">
        <f t="shared" si="3325"/>
        <v>0</v>
      </c>
      <c r="AS394" s="97"/>
      <c r="AT394" s="177">
        <f t="shared" si="3326"/>
        <v>0</v>
      </c>
      <c r="AU394" s="207"/>
      <c r="AV394" s="177">
        <f t="shared" si="3327"/>
        <v>0</v>
      </c>
      <c r="AW394" s="207"/>
      <c r="AX394" s="206">
        <f t="shared" si="3328"/>
        <v>0</v>
      </c>
      <c r="AY394" s="189">
        <f t="shared" si="3329"/>
        <v>0</v>
      </c>
      <c r="AZ394" s="97">
        <f t="shared" si="3329"/>
        <v>0</v>
      </c>
      <c r="BA394" s="97">
        <f t="shared" si="3330"/>
        <v>0</v>
      </c>
      <c r="BB394" s="97">
        <f t="shared" si="3331"/>
        <v>0</v>
      </c>
    </row>
    <row r="395" spans="1:54">
      <c r="A395" s="498">
        <v>253</v>
      </c>
      <c r="B395" s="13"/>
      <c r="C395" s="13"/>
      <c r="D395" s="13" t="s">
        <v>1303</v>
      </c>
      <c r="E395" s="16" t="s">
        <v>1242</v>
      </c>
      <c r="F395" s="46" t="s">
        <v>1251</v>
      </c>
      <c r="G395" s="17" t="s">
        <v>1102</v>
      </c>
      <c r="H395" s="268" t="s">
        <v>365</v>
      </c>
      <c r="I395" s="55"/>
      <c r="J395" s="241">
        <v>5130</v>
      </c>
      <c r="K395" s="55"/>
      <c r="L395" s="241">
        <v>5130</v>
      </c>
      <c r="M395" s="55"/>
      <c r="N395" s="241">
        <v>5130</v>
      </c>
      <c r="O395" s="143"/>
      <c r="P395" s="241">
        <v>5130</v>
      </c>
      <c r="Q395" s="97">
        <f t="shared" si="3311"/>
        <v>62.951000000000001</v>
      </c>
      <c r="R395" s="342">
        <f t="shared" si="3311"/>
        <v>322.93862999999999</v>
      </c>
      <c r="S395" s="97">
        <v>1.2999999999999999E-2</v>
      </c>
      <c r="T395" s="97">
        <f t="shared" si="3312"/>
        <v>6.6689999999999999E-2</v>
      </c>
      <c r="U395" s="97">
        <v>2.8000000000000001E-2</v>
      </c>
      <c r="V395" s="177">
        <f t="shared" si="3313"/>
        <v>0.14364000000000002</v>
      </c>
      <c r="W395" s="207"/>
      <c r="X395" s="206">
        <f t="shared" si="3333"/>
        <v>0</v>
      </c>
      <c r="Y395" s="189">
        <f t="shared" si="3315"/>
        <v>4.1000000000000002E-2</v>
      </c>
      <c r="Z395" s="177">
        <f t="shared" si="3315"/>
        <v>0.21033000000000002</v>
      </c>
      <c r="AA395" s="207">
        <v>5.1559999999999997</v>
      </c>
      <c r="AB395" s="206">
        <f t="shared" si="3316"/>
        <v>26.450279999999999</v>
      </c>
      <c r="AC395" s="207">
        <v>9.6549999999999994</v>
      </c>
      <c r="AD395" s="177">
        <f t="shared" si="3334"/>
        <v>49.530149999999992</v>
      </c>
      <c r="AE395" s="207">
        <v>8.4039999999999999</v>
      </c>
      <c r="AF395" s="206">
        <f t="shared" si="3318"/>
        <v>43.112519999999996</v>
      </c>
      <c r="AG395" s="189">
        <f t="shared" si="3319"/>
        <v>23.215</v>
      </c>
      <c r="AH395" s="97">
        <f t="shared" si="3319"/>
        <v>119.09294999999997</v>
      </c>
      <c r="AI395" s="97">
        <f t="shared" si="3320"/>
        <v>23.256</v>
      </c>
      <c r="AJ395" s="177">
        <f t="shared" si="3321"/>
        <v>119.30327999999997</v>
      </c>
      <c r="AK395" s="207">
        <v>10.413</v>
      </c>
      <c r="AL395" s="177">
        <f t="shared" si="3322"/>
        <v>53.418690000000005</v>
      </c>
      <c r="AM395" s="245">
        <v>5.0609999999999999</v>
      </c>
      <c r="AN395" s="177">
        <f t="shared" si="3336"/>
        <v>25.96293</v>
      </c>
      <c r="AO395" s="207">
        <v>6.3410000000000002</v>
      </c>
      <c r="AP395" s="206">
        <f t="shared" si="3324"/>
        <v>32.529330000000002</v>
      </c>
      <c r="AQ395" s="189">
        <f t="shared" si="3325"/>
        <v>21.815000000000001</v>
      </c>
      <c r="AR395" s="97">
        <f t="shared" si="3325"/>
        <v>111.91095</v>
      </c>
      <c r="AS395" s="97">
        <v>7.968</v>
      </c>
      <c r="AT395" s="177">
        <f t="shared" si="3326"/>
        <v>40.875839999999997</v>
      </c>
      <c r="AU395" s="207">
        <v>3.01</v>
      </c>
      <c r="AV395" s="177">
        <f t="shared" si="3327"/>
        <v>15.4413</v>
      </c>
      <c r="AW395" s="207">
        <v>6.9020000000000001</v>
      </c>
      <c r="AX395" s="206">
        <f t="shared" si="3328"/>
        <v>35.407260000000001</v>
      </c>
      <c r="AY395" s="189">
        <f t="shared" si="3329"/>
        <v>17.88</v>
      </c>
      <c r="AZ395" s="97">
        <f t="shared" si="3329"/>
        <v>91.724400000000003</v>
      </c>
      <c r="BA395" s="97">
        <f t="shared" si="3330"/>
        <v>39.695</v>
      </c>
      <c r="BB395" s="97">
        <f t="shared" si="3331"/>
        <v>203.63535000000002</v>
      </c>
    </row>
    <row r="396" spans="1:54">
      <c r="A396" s="498">
        <v>254</v>
      </c>
      <c r="B396" s="13"/>
      <c r="C396" s="13"/>
      <c r="D396" s="13" t="s">
        <v>1303</v>
      </c>
      <c r="E396" s="16" t="s">
        <v>1243</v>
      </c>
      <c r="F396" s="46" t="s">
        <v>1252</v>
      </c>
      <c r="G396" s="17" t="s">
        <v>1102</v>
      </c>
      <c r="H396" s="268" t="s">
        <v>365</v>
      </c>
      <c r="I396" s="55"/>
      <c r="J396" s="327">
        <v>5130</v>
      </c>
      <c r="K396" s="55"/>
      <c r="L396" s="327">
        <v>5130</v>
      </c>
      <c r="M396" s="55"/>
      <c r="N396" s="327">
        <v>5130</v>
      </c>
      <c r="O396" s="143"/>
      <c r="P396" s="327">
        <v>5130</v>
      </c>
      <c r="Q396" s="97">
        <f>SUM(AI396+BA396)</f>
        <v>0</v>
      </c>
      <c r="R396" s="342">
        <f t="shared" si="3311"/>
        <v>0</v>
      </c>
      <c r="S396" s="97"/>
      <c r="T396" s="97">
        <f t="shared" si="3312"/>
        <v>0</v>
      </c>
      <c r="U396" s="97"/>
      <c r="V396" s="177">
        <f t="shared" si="3313"/>
        <v>0</v>
      </c>
      <c r="W396" s="207"/>
      <c r="X396" s="206">
        <f t="shared" si="3333"/>
        <v>0</v>
      </c>
      <c r="Y396" s="189">
        <f t="shared" si="3315"/>
        <v>0</v>
      </c>
      <c r="Z396" s="177">
        <f t="shared" si="3315"/>
        <v>0</v>
      </c>
      <c r="AA396" s="207"/>
      <c r="AB396" s="206">
        <f t="shared" si="3316"/>
        <v>0</v>
      </c>
      <c r="AC396" s="207"/>
      <c r="AD396" s="177">
        <f t="shared" si="3334"/>
        <v>0</v>
      </c>
      <c r="AE396" s="207"/>
      <c r="AF396" s="206">
        <f t="shared" si="3318"/>
        <v>0</v>
      </c>
      <c r="AG396" s="189">
        <f t="shared" si="3319"/>
        <v>0</v>
      </c>
      <c r="AH396" s="97">
        <f t="shared" si="3319"/>
        <v>0</v>
      </c>
      <c r="AI396" s="97">
        <f t="shared" si="3320"/>
        <v>0</v>
      </c>
      <c r="AJ396" s="177">
        <f t="shared" si="3321"/>
        <v>0</v>
      </c>
      <c r="AK396" s="207"/>
      <c r="AL396" s="177">
        <f t="shared" si="3322"/>
        <v>0</v>
      </c>
      <c r="AM396" s="245"/>
      <c r="AN396" s="177">
        <f t="shared" si="3336"/>
        <v>0</v>
      </c>
      <c r="AO396" s="207"/>
      <c r="AP396" s="206">
        <f>N396*AO396/1000</f>
        <v>0</v>
      </c>
      <c r="AQ396" s="189">
        <f t="shared" si="3325"/>
        <v>0</v>
      </c>
      <c r="AR396" s="97">
        <f t="shared" si="3325"/>
        <v>0</v>
      </c>
      <c r="AS396" s="97"/>
      <c r="AT396" s="177">
        <f t="shared" si="3326"/>
        <v>0</v>
      </c>
      <c r="AU396" s="207"/>
      <c r="AV396" s="177">
        <f t="shared" si="3327"/>
        <v>0</v>
      </c>
      <c r="AW396" s="207"/>
      <c r="AX396" s="206">
        <f t="shared" si="3328"/>
        <v>0</v>
      </c>
      <c r="AY396" s="189">
        <f t="shared" si="3329"/>
        <v>0</v>
      </c>
      <c r="AZ396" s="97">
        <f t="shared" si="3329"/>
        <v>0</v>
      </c>
      <c r="BA396" s="97">
        <f t="shared" si="3330"/>
        <v>0</v>
      </c>
      <c r="BB396" s="97">
        <f t="shared" si="3331"/>
        <v>0</v>
      </c>
    </row>
    <row r="397" spans="1:54" s="6" customFormat="1">
      <c r="A397" s="498">
        <v>245</v>
      </c>
      <c r="B397" s="14"/>
      <c r="C397" s="13"/>
      <c r="D397" s="14" t="s">
        <v>1304</v>
      </c>
      <c r="E397" s="16" t="s">
        <v>1395</v>
      </c>
      <c r="F397" s="430" t="s">
        <v>1396</v>
      </c>
      <c r="G397" s="501" t="s">
        <v>1102</v>
      </c>
      <c r="H397" s="452" t="s">
        <v>365</v>
      </c>
      <c r="I397" s="431"/>
      <c r="J397" s="499">
        <v>5458</v>
      </c>
      <c r="K397" s="431"/>
      <c r="L397" s="499">
        <v>5458</v>
      </c>
      <c r="M397" s="431"/>
      <c r="N397" s="499">
        <v>5458</v>
      </c>
      <c r="O397" s="502"/>
      <c r="P397" s="499">
        <v>5458</v>
      </c>
      <c r="Q397" s="96">
        <f>SUM(AI397+BA397)</f>
        <v>78.277000000000001</v>
      </c>
      <c r="R397" s="340">
        <f>SUM(AJ397+BB397)</f>
        <v>427.23586599999999</v>
      </c>
      <c r="S397" s="96">
        <v>7.5839999999999996</v>
      </c>
      <c r="T397" s="96">
        <f t="shared" ref="T397" si="3338">J397*S397/1000</f>
        <v>41.393472000000003</v>
      </c>
      <c r="U397" s="96">
        <v>4.9180000000000001</v>
      </c>
      <c r="V397" s="176">
        <f t="shared" ref="V397" si="3339">J397*U397/1000</f>
        <v>26.842444</v>
      </c>
      <c r="W397" s="204">
        <v>10.249000000000001</v>
      </c>
      <c r="X397" s="205">
        <f t="shared" ref="X397" si="3340">J397*W397/1000</f>
        <v>55.939042000000001</v>
      </c>
      <c r="Y397" s="192">
        <f t="shared" ref="Y397" si="3341">SUM(S397+U397+W397)</f>
        <v>22.750999999999998</v>
      </c>
      <c r="Z397" s="176">
        <f t="shared" ref="Z397:Z398" si="3342">SUM(T397+V397+X397)</f>
        <v>124.174958</v>
      </c>
      <c r="AA397" s="204">
        <v>10.224</v>
      </c>
      <c r="AB397" s="205">
        <f t="shared" ref="AB397" si="3343">L397*AA397/1000</f>
        <v>55.802592000000004</v>
      </c>
      <c r="AC397" s="204">
        <v>9.6489999999999991</v>
      </c>
      <c r="AD397" s="176">
        <f t="shared" ref="AD397" si="3344">L397*AC397/1000</f>
        <v>52.664242000000002</v>
      </c>
      <c r="AE397" s="204">
        <v>9.9450000000000003</v>
      </c>
      <c r="AF397" s="206">
        <f t="shared" ref="AF397" si="3345">L397*AE397/1000</f>
        <v>54.279810000000005</v>
      </c>
      <c r="AG397" s="192">
        <f t="shared" ref="AG397" si="3346">SUM(AA397+AC397+AE397)</f>
        <v>29.817999999999998</v>
      </c>
      <c r="AH397" s="96">
        <f t="shared" ref="AH397:AH398" si="3347">SUM(AB397+AD397+AF397)</f>
        <v>162.746644</v>
      </c>
      <c r="AI397" s="96">
        <f t="shared" ref="AI397:AI398" si="3348">SUM(Y397+AG397)</f>
        <v>52.568999999999996</v>
      </c>
      <c r="AJ397" s="176">
        <f t="shared" ref="AJ397:AJ398" si="3349">SUM(Z397,AH397)</f>
        <v>286.92160200000001</v>
      </c>
      <c r="AK397" s="204">
        <v>8.6940000000000008</v>
      </c>
      <c r="AL397" s="176">
        <f t="shared" ref="AL397" si="3350">N397*AK397/1000</f>
        <v>47.451852000000009</v>
      </c>
      <c r="AM397" s="244">
        <v>6.3150000000000004</v>
      </c>
      <c r="AN397" s="176">
        <f t="shared" ref="AN397" si="3351">N397*AM397/1000</f>
        <v>34.467270000000006</v>
      </c>
      <c r="AO397" s="204">
        <v>4.024</v>
      </c>
      <c r="AP397" s="205">
        <f t="shared" ref="AP397" si="3352">N397*AO397/1000</f>
        <v>21.962992</v>
      </c>
      <c r="AQ397" s="192">
        <f t="shared" ref="AQ397" si="3353">SUM(AK397+AM397+AO397)</f>
        <v>19.033000000000001</v>
      </c>
      <c r="AR397" s="96">
        <f t="shared" ref="AR397" si="3354">SUM(AL397+AN397+AP397)</f>
        <v>103.88211400000002</v>
      </c>
      <c r="AS397" s="96">
        <v>5.2409999999999997</v>
      </c>
      <c r="AT397" s="176">
        <f t="shared" ref="AT397" si="3355">P397*AS397/1000</f>
        <v>28.605377999999998</v>
      </c>
      <c r="AU397" s="204">
        <v>1.4339999999999999</v>
      </c>
      <c r="AV397" s="176">
        <f t="shared" ref="AV397" si="3356">P397*AU397/1000</f>
        <v>7.8267720000000001</v>
      </c>
      <c r="AW397" s="204"/>
      <c r="AX397" s="205">
        <f t="shared" ref="AX397" si="3357">P397*AW397/1000</f>
        <v>0</v>
      </c>
      <c r="AY397" s="192">
        <f t="shared" ref="AY397:AY398" si="3358">SUM(AS397+AU397+AW397)</f>
        <v>6.6749999999999998</v>
      </c>
      <c r="AZ397" s="96">
        <f t="shared" ref="AZ397" si="3359">SUM(AT397+AV397+AX397)</f>
        <v>36.43215</v>
      </c>
      <c r="BA397" s="96">
        <f t="shared" ref="BA397:BA398" si="3360">SUM(AQ397+AY397)</f>
        <v>25.708000000000002</v>
      </c>
      <c r="BB397" s="96">
        <f t="shared" ref="BB397:BB398" si="3361">SUM(AR397,AZ397)</f>
        <v>140.31426400000001</v>
      </c>
    </row>
    <row r="398" spans="1:54" ht="12.75" customHeight="1">
      <c r="A398" s="498">
        <v>271</v>
      </c>
      <c r="B398" s="13"/>
      <c r="C398" s="13"/>
      <c r="D398" s="13" t="s">
        <v>162</v>
      </c>
      <c r="E398" s="21" t="s">
        <v>1686</v>
      </c>
      <c r="F398" s="46"/>
      <c r="G398" s="46" t="s">
        <v>1105</v>
      </c>
      <c r="H398" s="268" t="s">
        <v>365</v>
      </c>
      <c r="I398" s="55">
        <v>9.6999999999999993</v>
      </c>
      <c r="J398" s="102"/>
      <c r="K398" s="55">
        <v>9.6999999999999993</v>
      </c>
      <c r="L398" s="163"/>
      <c r="M398" s="55">
        <v>9.6999999999999993</v>
      </c>
      <c r="N398" s="163"/>
      <c r="O398" s="55">
        <v>9.6999999999999993</v>
      </c>
      <c r="P398" s="102"/>
      <c r="Q398" s="97">
        <f t="shared" ref="Q398" si="3362">SUM(AI398+BA398)</f>
        <v>7.0730000000000004</v>
      </c>
      <c r="R398" s="342">
        <f t="shared" ref="R398" si="3363">SUM(AJ398+BB398)</f>
        <v>93.353590549999993</v>
      </c>
      <c r="S398" s="97"/>
      <c r="T398" s="97">
        <f>I398*S398*$T$2/1000</f>
        <v>0</v>
      </c>
      <c r="U398" s="97"/>
      <c r="V398" s="177">
        <f t="shared" ref="V398" si="3364">I398*U398*$V$2/1000</f>
        <v>0</v>
      </c>
      <c r="W398" s="207">
        <v>2.06</v>
      </c>
      <c r="X398" s="206">
        <f t="shared" ref="X398" si="3365">I398*W398*$X$2/1000</f>
        <v>26.588049199999997</v>
      </c>
      <c r="Y398" s="189">
        <f t="shared" ref="Y398" si="3366">SUM(S398+U398+W398)</f>
        <v>2.06</v>
      </c>
      <c r="Z398" s="177">
        <f t="shared" si="3342"/>
        <v>26.588049199999997</v>
      </c>
      <c r="AA398" s="207">
        <v>0.95899999999999996</v>
      </c>
      <c r="AB398" s="206">
        <f t="shared" ref="AB398" si="3367">K398*AA398*$AB$2/1000</f>
        <v>12.689453475999997</v>
      </c>
      <c r="AC398" s="207">
        <v>1.6220000000000001</v>
      </c>
      <c r="AD398" s="206">
        <f t="shared" ref="AD398" si="3368">K398*AC398*$AD$2/1000</f>
        <v>21.548936642000001</v>
      </c>
      <c r="AE398" s="207">
        <v>2.4319999999999999</v>
      </c>
      <c r="AF398" s="206">
        <f t="shared" ref="AF398" si="3369">K398*AE398*$AF$2/1000</f>
        <v>32.527151231999994</v>
      </c>
      <c r="AG398" s="189">
        <f t="shared" ref="AG398" si="3370">SUM(AA398+AC398+AE398)</f>
        <v>5.0129999999999999</v>
      </c>
      <c r="AH398" s="97">
        <f t="shared" si="3347"/>
        <v>66.765541349999992</v>
      </c>
      <c r="AI398" s="97">
        <f t="shared" si="3348"/>
        <v>7.0730000000000004</v>
      </c>
      <c r="AJ398" s="177">
        <f t="shared" si="3349"/>
        <v>93.353590549999993</v>
      </c>
      <c r="AK398" s="207"/>
      <c r="AL398" s="445">
        <f t="shared" ref="AL398" si="3371">M398*AK398*$AL$2/1000</f>
        <v>0</v>
      </c>
      <c r="AM398" s="245"/>
      <c r="AN398" s="177">
        <f>M398*AM398*$AN$2/1000</f>
        <v>0</v>
      </c>
      <c r="AO398" s="207"/>
      <c r="AP398" s="206">
        <f t="shared" ref="AP398" si="3372">M398*AO398*$AP$2/1000</f>
        <v>0</v>
      </c>
      <c r="AQ398" s="189">
        <f>SUM(AK398+AM398+AO398)</f>
        <v>0</v>
      </c>
      <c r="AR398" s="97">
        <f>SUM(AL398+AN398+AP398)</f>
        <v>0</v>
      </c>
      <c r="AS398" s="97"/>
      <c r="AT398" s="177">
        <f t="shared" ref="AT398" si="3373">O398*AS398*$AT$2/1000</f>
        <v>0</v>
      </c>
      <c r="AU398" s="207"/>
      <c r="AV398" s="177">
        <f t="shared" ref="AV398" si="3374">O398*AU398*$AV$2/1000</f>
        <v>0</v>
      </c>
      <c r="AW398" s="207"/>
      <c r="AX398" s="206">
        <f t="shared" ref="AX398" si="3375">O398*AW398*$AX$2/1000</f>
        <v>0</v>
      </c>
      <c r="AY398" s="189">
        <f t="shared" si="3358"/>
        <v>0</v>
      </c>
      <c r="AZ398" s="97">
        <f>SUM(AT398+AV398+AX398)</f>
        <v>0</v>
      </c>
      <c r="BA398" s="97">
        <f t="shared" si="3360"/>
        <v>0</v>
      </c>
      <c r="BB398" s="97">
        <f t="shared" si="3361"/>
        <v>0</v>
      </c>
    </row>
    <row r="399" spans="1:54">
      <c r="A399" s="498">
        <v>264</v>
      </c>
      <c r="B399" s="13"/>
      <c r="C399" s="27" t="s">
        <v>135</v>
      </c>
      <c r="D399" s="292"/>
      <c r="E399" s="291"/>
      <c r="F399" s="238"/>
      <c r="G399" s="238"/>
      <c r="H399" s="238"/>
      <c r="I399" s="238"/>
      <c r="J399" s="238"/>
      <c r="K399" s="237"/>
      <c r="L399" s="239"/>
      <c r="M399" s="237"/>
      <c r="N399" s="239"/>
      <c r="O399" s="240"/>
      <c r="P399" s="238"/>
      <c r="Q399" s="463">
        <f t="shared" ref="Q399:BB399" si="3376">SUM(Q383:Q398)</f>
        <v>165.572</v>
      </c>
      <c r="R399" s="463">
        <f t="shared" si="3376"/>
        <v>1058.43283655</v>
      </c>
      <c r="S399" s="463">
        <f t="shared" si="3376"/>
        <v>11.102</v>
      </c>
      <c r="T399" s="463">
        <f t="shared" si="3376"/>
        <v>84.012312000000009</v>
      </c>
      <c r="U399" s="463">
        <f t="shared" si="3376"/>
        <v>5.3239999999999998</v>
      </c>
      <c r="V399" s="463">
        <f t="shared" si="3376"/>
        <v>30.948233999999999</v>
      </c>
      <c r="W399" s="463">
        <f t="shared" si="3376"/>
        <v>15.005000000000001</v>
      </c>
      <c r="X399" s="463">
        <f t="shared" si="3376"/>
        <v>116.54029120000001</v>
      </c>
      <c r="Y399" s="463">
        <f t="shared" si="3376"/>
        <v>31.430999999999997</v>
      </c>
      <c r="Z399" s="463">
        <f t="shared" si="3376"/>
        <v>231.50083720000001</v>
      </c>
      <c r="AA399" s="463">
        <f t="shared" si="3376"/>
        <v>16.530999999999999</v>
      </c>
      <c r="AB399" s="463">
        <f t="shared" si="3376"/>
        <v>96.968725476000003</v>
      </c>
      <c r="AC399" s="463">
        <f t="shared" si="3376"/>
        <v>24.945</v>
      </c>
      <c r="AD399" s="463">
        <f t="shared" si="3376"/>
        <v>174.24152864199999</v>
      </c>
      <c r="AE399" s="463">
        <f t="shared" si="3376"/>
        <v>21.890999999999998</v>
      </c>
      <c r="AF399" s="463">
        <f t="shared" si="3376"/>
        <v>143.95298123200001</v>
      </c>
      <c r="AG399" s="463">
        <f t="shared" si="3376"/>
        <v>63.366999999999997</v>
      </c>
      <c r="AH399" s="463">
        <f t="shared" si="3376"/>
        <v>415.16323534999998</v>
      </c>
      <c r="AI399" s="463">
        <f t="shared" si="3376"/>
        <v>94.798000000000002</v>
      </c>
      <c r="AJ399" s="463">
        <f t="shared" si="3376"/>
        <v>646.66407255000001</v>
      </c>
      <c r="AK399" s="463">
        <f t="shared" si="3376"/>
        <v>19.130000000000003</v>
      </c>
      <c r="AL399" s="463">
        <f t="shared" si="3376"/>
        <v>101.07199200000002</v>
      </c>
      <c r="AM399" s="463">
        <f t="shared" si="3376"/>
        <v>16.673000000000002</v>
      </c>
      <c r="AN399" s="463">
        <f t="shared" si="3376"/>
        <v>127.42345</v>
      </c>
      <c r="AO399" s="463">
        <f t="shared" si="3376"/>
        <v>10.366</v>
      </c>
      <c r="AP399" s="463">
        <f t="shared" si="3376"/>
        <v>54.502872000000004</v>
      </c>
      <c r="AQ399" s="463">
        <f t="shared" si="3376"/>
        <v>46.169000000000004</v>
      </c>
      <c r="AR399" s="463">
        <f t="shared" si="3376"/>
        <v>282.99831399999999</v>
      </c>
      <c r="AS399" s="463">
        <f t="shared" si="3376"/>
        <v>13.254</v>
      </c>
      <c r="AT399" s="463">
        <f t="shared" si="3376"/>
        <v>70.040368000000001</v>
      </c>
      <c r="AU399" s="463">
        <f t="shared" si="3376"/>
        <v>4.444</v>
      </c>
      <c r="AV399" s="463">
        <f t="shared" si="3376"/>
        <v>23.268072</v>
      </c>
      <c r="AW399" s="463">
        <f t="shared" si="3376"/>
        <v>6.907</v>
      </c>
      <c r="AX399" s="463">
        <f t="shared" si="3376"/>
        <v>35.462009999999999</v>
      </c>
      <c r="AY399" s="463">
        <f t="shared" si="3376"/>
        <v>24.605</v>
      </c>
      <c r="AZ399" s="463">
        <f t="shared" si="3376"/>
        <v>128.77045000000001</v>
      </c>
      <c r="BA399" s="463">
        <f t="shared" si="3376"/>
        <v>70.774000000000001</v>
      </c>
      <c r="BB399" s="463">
        <f t="shared" si="3376"/>
        <v>411.76876400000003</v>
      </c>
    </row>
    <row r="400" spans="1:54" ht="12.75" customHeight="1">
      <c r="A400" s="498">
        <v>265</v>
      </c>
      <c r="B400" s="13"/>
      <c r="C400" s="53" t="s">
        <v>33</v>
      </c>
      <c r="D400" s="53" t="s">
        <v>1305</v>
      </c>
      <c r="E400" s="90" t="s">
        <v>863</v>
      </c>
      <c r="F400" s="414" t="s">
        <v>858</v>
      </c>
      <c r="G400" s="414" t="s">
        <v>1105</v>
      </c>
      <c r="H400" s="415" t="s">
        <v>365</v>
      </c>
      <c r="I400" s="256">
        <v>5.7</v>
      </c>
      <c r="J400" s="257"/>
      <c r="K400" s="256">
        <v>5.7</v>
      </c>
      <c r="L400" s="257"/>
      <c r="M400" s="256">
        <v>5.7</v>
      </c>
      <c r="N400" s="258"/>
      <c r="O400" s="256">
        <v>5.7</v>
      </c>
      <c r="P400" s="257"/>
      <c r="Q400" s="131">
        <f t="shared" ref="Q400:Q412" si="3377">SUM(AI400+BA400)</f>
        <v>54.143999999999998</v>
      </c>
      <c r="R400" s="352">
        <f t="shared" ref="R400:R411" si="3378">SUM(AJ400+BB400)</f>
        <v>421.11976291200006</v>
      </c>
      <c r="S400" s="131">
        <v>6.9119999999999999</v>
      </c>
      <c r="T400" s="131">
        <f t="shared" ref="T400:T415" si="3379">I400*S400*$T$2/1000</f>
        <v>52.080350976000005</v>
      </c>
      <c r="U400" s="131">
        <v>1.728</v>
      </c>
      <c r="V400" s="185">
        <f t="shared" ref="V400:V415" si="3380">I400*U400*$V$2/1000</f>
        <v>13.103907840000002</v>
      </c>
      <c r="W400" s="224">
        <v>1.728</v>
      </c>
      <c r="X400" s="225">
        <f t="shared" ref="X400:X415" si="3381">I400*W400*$X$2/1000</f>
        <v>13.10587776</v>
      </c>
      <c r="Y400" s="198">
        <f t="shared" ref="Y400:Y402" si="3382">SUM(S400+U400+W400)</f>
        <v>10.368</v>
      </c>
      <c r="Z400" s="185">
        <f t="shared" ref="Z400:Z415" si="3383">SUM(T400+V400+X400)</f>
        <v>78.290136576000009</v>
      </c>
      <c r="AA400" s="224">
        <v>8.64</v>
      </c>
      <c r="AB400" s="225">
        <f>K400*AA400*$AB$2/1000</f>
        <v>67.180181760000011</v>
      </c>
      <c r="AC400" s="224">
        <v>3.456</v>
      </c>
      <c r="AD400" s="225">
        <f>K400*AC400*$AD$2/1000</f>
        <v>26.980615296000003</v>
      </c>
      <c r="AE400" s="224"/>
      <c r="AF400" s="225">
        <f>K400*AE400*$AF$2/1000</f>
        <v>0</v>
      </c>
      <c r="AG400" s="419">
        <f t="shared" ref="AG400:AG402" si="3384">SUM(AA400+AC400+AE400)</f>
        <v>12.096</v>
      </c>
      <c r="AH400" s="416">
        <f t="shared" ref="AH400:AH415" si="3385">SUM(AB400+AD400+AF400)</f>
        <v>94.160797056000007</v>
      </c>
      <c r="AI400" s="416">
        <f t="shared" ref="AI400:AI411" si="3386">SUM(Y400+AG400)</f>
        <v>22.463999999999999</v>
      </c>
      <c r="AJ400" s="420">
        <f t="shared" ref="AJ400:AJ411" si="3387">SUM(Z400,AH400)</f>
        <v>172.45093363200002</v>
      </c>
      <c r="AK400" s="418">
        <v>11.808</v>
      </c>
      <c r="AL400" s="449">
        <f>M400*AK400*$AL$2/1000</f>
        <v>93.089029247999989</v>
      </c>
      <c r="AM400" s="422">
        <v>5.1840000000000002</v>
      </c>
      <c r="AN400" s="420">
        <f>M400*AM400*$AN$2/1000</f>
        <v>40.218871680000007</v>
      </c>
      <c r="AO400" s="418">
        <v>3.456</v>
      </c>
      <c r="AP400" s="456">
        <f>M400*AO400*$AP$2/1000</f>
        <v>26.247017088000003</v>
      </c>
      <c r="AQ400" s="419">
        <f t="shared" ref="AQ400:AQ402" si="3388">SUM(AK400+AM400+AO400)</f>
        <v>20.448</v>
      </c>
      <c r="AR400" s="416">
        <f t="shared" ref="AR400:AR412" si="3389">SUM(AL400+AN400+AP400)</f>
        <v>159.55491801599999</v>
      </c>
      <c r="AS400" s="416">
        <v>3.456</v>
      </c>
      <c r="AT400" s="420">
        <f>O400*AS400*$AT$2/1000</f>
        <v>26.749543680000002</v>
      </c>
      <c r="AU400" s="418">
        <v>3.456</v>
      </c>
      <c r="AV400" s="420">
        <f>O400*AU400*$AV$2/1000</f>
        <v>27.414785664000004</v>
      </c>
      <c r="AW400" s="418">
        <v>4.32</v>
      </c>
      <c r="AX400" s="421">
        <f>O400*AW400*$AX$2/1000</f>
        <v>34.949581920000007</v>
      </c>
      <c r="AY400" s="419">
        <f t="shared" ref="AY400:AY411" si="3390">SUM(AS400+AU400+AW400)</f>
        <v>11.231999999999999</v>
      </c>
      <c r="AZ400" s="416">
        <f>SUM(AT400+AV400+AX400)</f>
        <v>89.113911264000023</v>
      </c>
      <c r="BA400" s="416">
        <f t="shared" ref="BA400:BA411" si="3391">SUM(AQ400+AY400)</f>
        <v>31.68</v>
      </c>
      <c r="BB400" s="416">
        <f t="shared" ref="BB400:BB411" si="3392">SUM(AR400,AZ400)</f>
        <v>248.66882928000001</v>
      </c>
    </row>
    <row r="401" spans="1:54" ht="12.75" customHeight="1">
      <c r="A401" s="498">
        <v>266</v>
      </c>
      <c r="B401" s="13"/>
      <c r="C401" s="13"/>
      <c r="D401" s="13" t="s">
        <v>1305</v>
      </c>
      <c r="E401" s="21" t="s">
        <v>864</v>
      </c>
      <c r="F401" s="46" t="s">
        <v>859</v>
      </c>
      <c r="G401" s="46" t="s">
        <v>1105</v>
      </c>
      <c r="H401" s="268" t="s">
        <v>365</v>
      </c>
      <c r="I401" s="55">
        <v>5.65</v>
      </c>
      <c r="J401" s="102"/>
      <c r="K401" s="55">
        <v>5.65</v>
      </c>
      <c r="L401" s="102"/>
      <c r="M401" s="55">
        <v>5.55</v>
      </c>
      <c r="N401" s="163"/>
      <c r="O401" s="55">
        <v>5.55</v>
      </c>
      <c r="P401" s="102"/>
      <c r="Q401" s="97">
        <f t="shared" si="3377"/>
        <v>36.988</v>
      </c>
      <c r="R401" s="342">
        <f t="shared" si="3378"/>
        <v>281.51196085800001</v>
      </c>
      <c r="S401" s="97">
        <v>2.16</v>
      </c>
      <c r="T401" s="97">
        <f t="shared" si="3379"/>
        <v>16.132345560000005</v>
      </c>
      <c r="U401" s="97">
        <v>2.16</v>
      </c>
      <c r="V401" s="177">
        <f t="shared" si="3380"/>
        <v>16.236201600000005</v>
      </c>
      <c r="W401" s="207">
        <v>4.32</v>
      </c>
      <c r="X401" s="206">
        <f t="shared" si="3381"/>
        <v>32.477284800000007</v>
      </c>
      <c r="Y401" s="189">
        <f t="shared" si="3382"/>
        <v>8.64</v>
      </c>
      <c r="Z401" s="177">
        <f t="shared" si="3383"/>
        <v>64.845831960000012</v>
      </c>
      <c r="AA401" s="207">
        <v>4.32</v>
      </c>
      <c r="AB401" s="206">
        <f t="shared" ref="AB401:AB415" si="3393">K401*AA401*$AB$2/1000</f>
        <v>33.295440960000008</v>
      </c>
      <c r="AC401" s="207">
        <v>1.08</v>
      </c>
      <c r="AD401" s="206">
        <f t="shared" ref="AD401:AD415" si="3394">K401*AC401*$AD$2/1000</f>
        <v>8.3574822600000029</v>
      </c>
      <c r="AE401" s="207">
        <v>2.16</v>
      </c>
      <c r="AF401" s="206">
        <f t="shared" ref="AF401:AF413" si="3395">K401*AE401*$AF$2/1000</f>
        <v>16.827241320000002</v>
      </c>
      <c r="AG401" s="189">
        <f t="shared" si="3384"/>
        <v>7.5600000000000005</v>
      </c>
      <c r="AH401" s="97">
        <f t="shared" si="3385"/>
        <v>58.480164540000018</v>
      </c>
      <c r="AI401" s="97">
        <f t="shared" si="3386"/>
        <v>16.200000000000003</v>
      </c>
      <c r="AJ401" s="177">
        <f t="shared" si="3387"/>
        <v>123.32599650000003</v>
      </c>
      <c r="AK401" s="207">
        <v>4.8600000000000003</v>
      </c>
      <c r="AL401" s="445">
        <f t="shared" ref="AL401:AL413" si="3396">M401*AK401*$AL$2/1000</f>
        <v>37.305816839999999</v>
      </c>
      <c r="AM401" s="245">
        <v>2.16</v>
      </c>
      <c r="AN401" s="177">
        <f t="shared" ref="AN401:AN413" si="3397">M401*AM401*$AN$2/1000</f>
        <v>16.3168668</v>
      </c>
      <c r="AO401" s="207">
        <v>2.98</v>
      </c>
      <c r="AP401" s="206">
        <f t="shared" ref="AP401:AP413" si="3398">M401*AO401*$AP$2/1000</f>
        <v>22.036398209999998</v>
      </c>
      <c r="AQ401" s="189">
        <f t="shared" si="3388"/>
        <v>10</v>
      </c>
      <c r="AR401" s="97">
        <f t="shared" si="3389"/>
        <v>75.659081849999993</v>
      </c>
      <c r="AS401" s="97">
        <v>5.58</v>
      </c>
      <c r="AT401" s="177">
        <f t="shared" ref="AT401:AT413" si="3399">O401*AS401*$AT$2/1000</f>
        <v>42.0528051</v>
      </c>
      <c r="AU401" s="207">
        <v>3.5880000000000001</v>
      </c>
      <c r="AV401" s="177">
        <f t="shared" ref="AV401:AV411" si="3400">O401*AU401*$AV$2/1000</f>
        <v>27.712881378000002</v>
      </c>
      <c r="AW401" s="207">
        <v>1.62</v>
      </c>
      <c r="AX401" s="206">
        <f t="shared" ref="AX401:AX413" si="3401">O401*AW401*$AX$2/1000</f>
        <v>12.761196029999999</v>
      </c>
      <c r="AY401" s="189">
        <f t="shared" si="3390"/>
        <v>10.788</v>
      </c>
      <c r="AZ401" s="97">
        <f t="shared" ref="AZ401:AZ415" si="3402">SUM(AT401+AV401+AX401)</f>
        <v>82.526882508</v>
      </c>
      <c r="BA401" s="97">
        <f t="shared" si="3391"/>
        <v>20.788</v>
      </c>
      <c r="BB401" s="97">
        <f t="shared" si="3392"/>
        <v>158.18596435799998</v>
      </c>
    </row>
    <row r="402" spans="1:54" ht="12.75" customHeight="1">
      <c r="A402" s="498">
        <v>267</v>
      </c>
      <c r="B402" s="13"/>
      <c r="C402" s="13"/>
      <c r="D402" s="13" t="s">
        <v>1305</v>
      </c>
      <c r="E402" s="552" t="s">
        <v>1427</v>
      </c>
      <c r="F402" s="46" t="s">
        <v>848</v>
      </c>
      <c r="G402" s="46" t="s">
        <v>1105</v>
      </c>
      <c r="H402" s="268" t="s">
        <v>365</v>
      </c>
      <c r="I402" s="55">
        <v>5.67</v>
      </c>
      <c r="J402" s="102"/>
      <c r="K402" s="55">
        <v>5.67</v>
      </c>
      <c r="L402" s="102"/>
      <c r="M402" s="55">
        <v>5.67</v>
      </c>
      <c r="N402" s="163"/>
      <c r="O402" s="55">
        <v>5.67</v>
      </c>
      <c r="P402" s="102"/>
      <c r="Q402" s="97">
        <f t="shared" si="3377"/>
        <v>99.263999999999996</v>
      </c>
      <c r="R402" s="342">
        <f t="shared" si="3378"/>
        <v>761.0929579008</v>
      </c>
      <c r="S402" s="97">
        <v>23.04</v>
      </c>
      <c r="T402" s="97">
        <f t="shared" si="3379"/>
        <v>172.68747955200001</v>
      </c>
      <c r="U402" s="97">
        <v>31.295999999999999</v>
      </c>
      <c r="V402" s="177">
        <f t="shared" si="3380"/>
        <v>236.077244928</v>
      </c>
      <c r="W402" s="207"/>
      <c r="X402" s="206">
        <f t="shared" si="3381"/>
        <v>0</v>
      </c>
      <c r="Y402" s="189">
        <f t="shared" si="3382"/>
        <v>54.335999999999999</v>
      </c>
      <c r="Z402" s="177">
        <f t="shared" si="3383"/>
        <v>408.76472448000004</v>
      </c>
      <c r="AA402" s="207"/>
      <c r="AB402" s="206">
        <f t="shared" si="3393"/>
        <v>0</v>
      </c>
      <c r="AC402" s="207"/>
      <c r="AD402" s="206">
        <f t="shared" si="3394"/>
        <v>0</v>
      </c>
      <c r="AE402" s="207"/>
      <c r="AF402" s="206">
        <f t="shared" si="3395"/>
        <v>0</v>
      </c>
      <c r="AG402" s="189">
        <f t="shared" si="3384"/>
        <v>0</v>
      </c>
      <c r="AH402" s="97">
        <f t="shared" si="3385"/>
        <v>0</v>
      </c>
      <c r="AI402" s="97">
        <f t="shared" si="3386"/>
        <v>54.335999999999999</v>
      </c>
      <c r="AJ402" s="177">
        <f t="shared" si="3387"/>
        <v>408.76472448000004</v>
      </c>
      <c r="AK402" s="207">
        <v>44.927999999999997</v>
      </c>
      <c r="AL402" s="445">
        <f t="shared" si="3396"/>
        <v>352.32823342079996</v>
      </c>
      <c r="AM402" s="245"/>
      <c r="AN402" s="177">
        <f t="shared" si="3397"/>
        <v>0</v>
      </c>
      <c r="AO402" s="207"/>
      <c r="AP402" s="206">
        <f t="shared" si="3398"/>
        <v>0</v>
      </c>
      <c r="AQ402" s="189">
        <f t="shared" si="3388"/>
        <v>44.927999999999997</v>
      </c>
      <c r="AR402" s="97">
        <f t="shared" si="3389"/>
        <v>352.32823342079996</v>
      </c>
      <c r="AS402" s="97"/>
      <c r="AT402" s="177">
        <f t="shared" si="3399"/>
        <v>0</v>
      </c>
      <c r="AU402" s="207"/>
      <c r="AV402" s="177">
        <f t="shared" si="3400"/>
        <v>0</v>
      </c>
      <c r="AW402" s="207"/>
      <c r="AX402" s="206">
        <f t="shared" si="3401"/>
        <v>0</v>
      </c>
      <c r="AY402" s="189">
        <f t="shared" si="3390"/>
        <v>0</v>
      </c>
      <c r="AZ402" s="97">
        <f t="shared" si="3402"/>
        <v>0</v>
      </c>
      <c r="BA402" s="97">
        <f t="shared" si="3391"/>
        <v>44.927999999999997</v>
      </c>
      <c r="BB402" s="97">
        <f t="shared" si="3392"/>
        <v>352.32823342079996</v>
      </c>
    </row>
    <row r="403" spans="1:54" ht="12.75" customHeight="1">
      <c r="A403" s="498">
        <v>268</v>
      </c>
      <c r="B403" s="13"/>
      <c r="C403" s="13"/>
      <c r="D403" s="13" t="s">
        <v>1305</v>
      </c>
      <c r="E403" s="552" t="s">
        <v>1427</v>
      </c>
      <c r="F403" s="46" t="s">
        <v>848</v>
      </c>
      <c r="G403" s="46" t="s">
        <v>1105</v>
      </c>
      <c r="H403" s="268" t="s">
        <v>365</v>
      </c>
      <c r="I403" s="55">
        <v>5.55</v>
      </c>
      <c r="J403" s="102"/>
      <c r="K403" s="55">
        <v>5.55</v>
      </c>
      <c r="L403" s="102"/>
      <c r="M403" s="55">
        <v>5.45</v>
      </c>
      <c r="N403" s="163"/>
      <c r="O403" s="55">
        <v>5.45</v>
      </c>
      <c r="P403" s="102"/>
      <c r="Q403" s="97">
        <f t="shared" ref="Q403" si="3403">SUM(AI403+BA403)</f>
        <v>387.072</v>
      </c>
      <c r="R403" s="342">
        <f t="shared" si="3378"/>
        <v>2898.8283916800001</v>
      </c>
      <c r="S403" s="97"/>
      <c r="T403" s="97">
        <f t="shared" ref="T403" si="3404">I403*S403*$T$2/1000</f>
        <v>0</v>
      </c>
      <c r="U403" s="97"/>
      <c r="V403" s="177">
        <f t="shared" ref="V403" si="3405">I403*U403*$V$2/1000</f>
        <v>0</v>
      </c>
      <c r="W403" s="207">
        <v>66.816000000000003</v>
      </c>
      <c r="X403" s="206">
        <f t="shared" ref="X403" si="3406">I403*W403*$X$2/1000</f>
        <v>493.42480127999994</v>
      </c>
      <c r="Y403" s="189">
        <f>SUM(S403+U403+W403)</f>
        <v>66.816000000000003</v>
      </c>
      <c r="Z403" s="177">
        <f t="shared" ref="Z403" si="3407">SUM(T403+V403+X403)</f>
        <v>493.42480127999994</v>
      </c>
      <c r="AA403" s="207">
        <v>35.04</v>
      </c>
      <c r="AB403" s="206">
        <f t="shared" ref="AB403" si="3408">K403*AA403*$AB$2/1000</f>
        <v>265.28314463999993</v>
      </c>
      <c r="AC403" s="207">
        <v>34.56</v>
      </c>
      <c r="AD403" s="206">
        <f t="shared" ref="AD403" si="3409">K403*AC403*$AD$2/1000</f>
        <v>262.70599104000001</v>
      </c>
      <c r="AE403" s="207">
        <v>57.6</v>
      </c>
      <c r="AF403" s="206">
        <f t="shared" ref="AF403" si="3410">K403*AE403*$AF$2/1000</f>
        <v>440.78437439999999</v>
      </c>
      <c r="AG403" s="189">
        <f t="shared" ref="AG403" si="3411">SUM(AA403+AC403+AE403)</f>
        <v>127.19999999999999</v>
      </c>
      <c r="AH403" s="97">
        <f t="shared" ref="AH403" si="3412">SUM(AB403+AD403+AF403)</f>
        <v>968.77351007999982</v>
      </c>
      <c r="AI403" s="97">
        <f t="shared" si="3386"/>
        <v>194.01599999999999</v>
      </c>
      <c r="AJ403" s="177">
        <f t="shared" si="3387"/>
        <v>1462.1983113599997</v>
      </c>
      <c r="AK403" s="207"/>
      <c r="AL403" s="445">
        <f t="shared" ref="AL403" si="3413">M403*AK403*$AL$2/1000</f>
        <v>0</v>
      </c>
      <c r="AM403" s="245">
        <v>35.423999999999999</v>
      </c>
      <c r="AN403" s="177">
        <f t="shared" ref="AN403" si="3414">M403*AM403*$AN$2/1000</f>
        <v>262.77505488000003</v>
      </c>
      <c r="AO403" s="207">
        <v>49.344000000000001</v>
      </c>
      <c r="AP403" s="206">
        <f t="shared" ref="AP403" si="3415">M403*AO403*$AP$2/1000</f>
        <v>358.31271427199999</v>
      </c>
      <c r="AQ403" s="189">
        <f t="shared" ref="AQ403" si="3416">SUM(AK403+AM403+AO403)</f>
        <v>84.768000000000001</v>
      </c>
      <c r="AR403" s="97">
        <f t="shared" ref="AR403" si="3417">SUM(AL403+AN403+AP403)</f>
        <v>621.08776915199996</v>
      </c>
      <c r="AS403" s="97">
        <v>48.384</v>
      </c>
      <c r="AT403" s="177">
        <f t="shared" ref="AT403" si="3418">O403*AS403*$AT$2/1000</f>
        <v>358.06845312000007</v>
      </c>
      <c r="AU403" s="207">
        <v>39.167999999999999</v>
      </c>
      <c r="AV403" s="177">
        <f t="shared" ref="AV403" si="3419">O403*AU403*$AV$2/1000</f>
        <v>297.07367155200001</v>
      </c>
      <c r="AW403" s="207">
        <v>20.736000000000001</v>
      </c>
      <c r="AX403" s="206">
        <f t="shared" ref="AX403" si="3420">O403*AW403*$AX$2/1000</f>
        <v>160.400186496</v>
      </c>
      <c r="AY403" s="189">
        <f t="shared" ref="AY403" si="3421">SUM(AS403+AU403+AW403)</f>
        <v>108.288</v>
      </c>
      <c r="AZ403" s="97">
        <f>SUM(AT403+AV403+AX403)</f>
        <v>815.5423111680002</v>
      </c>
      <c r="BA403" s="97">
        <f t="shared" si="3391"/>
        <v>193.05599999999998</v>
      </c>
      <c r="BB403" s="97">
        <f t="shared" si="3392"/>
        <v>1436.6300803200002</v>
      </c>
    </row>
    <row r="404" spans="1:54" ht="12.75" customHeight="1">
      <c r="A404" s="498">
        <v>268</v>
      </c>
      <c r="B404" s="13"/>
      <c r="C404" s="13"/>
      <c r="D404" s="13" t="s">
        <v>1305</v>
      </c>
      <c r="E404" s="21" t="s">
        <v>865</v>
      </c>
      <c r="F404" s="46" t="s">
        <v>860</v>
      </c>
      <c r="G404" s="46" t="s">
        <v>1105</v>
      </c>
      <c r="H404" s="268" t="s">
        <v>365</v>
      </c>
      <c r="I404" s="55">
        <v>5.5</v>
      </c>
      <c r="J404" s="102"/>
      <c r="K404" s="55">
        <v>5.5</v>
      </c>
      <c r="L404" s="102"/>
      <c r="M404" s="55">
        <v>5.4</v>
      </c>
      <c r="N404" s="163"/>
      <c r="O404" s="55">
        <v>5.4</v>
      </c>
      <c r="P404" s="102"/>
      <c r="Q404" s="97">
        <f t="shared" si="3377"/>
        <v>2.1120000000000001</v>
      </c>
      <c r="R404" s="342">
        <f t="shared" ref="R404:R409" si="3422">SUM(AJ404+BB404)</f>
        <v>15.742768416000001</v>
      </c>
      <c r="S404" s="97"/>
      <c r="T404" s="97">
        <f t="shared" si="3379"/>
        <v>0</v>
      </c>
      <c r="U404" s="97"/>
      <c r="V404" s="177">
        <f t="shared" si="3380"/>
        <v>0</v>
      </c>
      <c r="W404" s="207"/>
      <c r="X404" s="206">
        <f t="shared" si="3381"/>
        <v>0</v>
      </c>
      <c r="Y404" s="189">
        <f>SUM(S404+U404+W404)</f>
        <v>0</v>
      </c>
      <c r="Z404" s="177">
        <f t="shared" si="3383"/>
        <v>0</v>
      </c>
      <c r="AA404" s="207"/>
      <c r="AB404" s="206">
        <f t="shared" si="3393"/>
        <v>0</v>
      </c>
      <c r="AC404" s="207">
        <v>0.67200000000000004</v>
      </c>
      <c r="AD404" s="206">
        <f t="shared" si="3394"/>
        <v>5.0621524800000008</v>
      </c>
      <c r="AE404" s="207"/>
      <c r="AF404" s="206">
        <f t="shared" si="3395"/>
        <v>0</v>
      </c>
      <c r="AG404" s="189">
        <f t="shared" ref="AG404:AG405" si="3423">SUM(AA404+AC404+AE404)</f>
        <v>0.67200000000000004</v>
      </c>
      <c r="AH404" s="97">
        <f t="shared" si="3385"/>
        <v>5.0621524800000008</v>
      </c>
      <c r="AI404" s="97">
        <f t="shared" ref="AI404:AI409" si="3424">SUM(Y404+AG404)</f>
        <v>0.67200000000000004</v>
      </c>
      <c r="AJ404" s="177">
        <f t="shared" ref="AJ404:AJ409" si="3425">SUM(Z404,AH404)</f>
        <v>5.0621524800000008</v>
      </c>
      <c r="AK404" s="207">
        <v>9.6000000000000002E-2</v>
      </c>
      <c r="AL404" s="445">
        <f t="shared" si="3396"/>
        <v>0.71698867200000005</v>
      </c>
      <c r="AM404" s="245">
        <v>0.192</v>
      </c>
      <c r="AN404" s="177">
        <f t="shared" si="3397"/>
        <v>1.4111884800000001</v>
      </c>
      <c r="AO404" s="207">
        <v>0.28799999999999998</v>
      </c>
      <c r="AP404" s="206">
        <f t="shared" si="3398"/>
        <v>2.0721329279999998</v>
      </c>
      <c r="AQ404" s="189">
        <f t="shared" ref="AQ404:AQ408" si="3426">SUM(AK404+AM404+AO404)</f>
        <v>0.57600000000000007</v>
      </c>
      <c r="AR404" s="97">
        <f t="shared" si="3389"/>
        <v>4.2003100799999995</v>
      </c>
      <c r="AS404" s="97">
        <v>0.38400000000000001</v>
      </c>
      <c r="AT404" s="177">
        <f t="shared" si="3399"/>
        <v>2.8157414400000005</v>
      </c>
      <c r="AU404" s="207">
        <v>9.6000000000000002E-2</v>
      </c>
      <c r="AV404" s="177">
        <f t="shared" si="3400"/>
        <v>0.72144172800000017</v>
      </c>
      <c r="AW404" s="207">
        <v>0.38400000000000001</v>
      </c>
      <c r="AX404" s="206">
        <f t="shared" si="3401"/>
        <v>2.9431226880000003</v>
      </c>
      <c r="AY404" s="189">
        <f t="shared" ref="AY404:AY408" si="3427">SUM(AS404+AU404+AW404)</f>
        <v>0.86399999999999999</v>
      </c>
      <c r="AZ404" s="97">
        <f t="shared" si="3402"/>
        <v>6.4803058560000011</v>
      </c>
      <c r="BA404" s="97">
        <f t="shared" ref="BA404:BA409" si="3428">SUM(AQ404+AY404)</f>
        <v>1.44</v>
      </c>
      <c r="BB404" s="97">
        <f t="shared" ref="BB404:BB409" si="3429">SUM(AR404,AZ404)</f>
        <v>10.680615936000001</v>
      </c>
    </row>
    <row r="405" spans="1:54" ht="12.75" customHeight="1">
      <c r="A405" s="498">
        <v>269</v>
      </c>
      <c r="B405" s="13"/>
      <c r="C405" s="13"/>
      <c r="D405" s="13" t="s">
        <v>1305</v>
      </c>
      <c r="E405" s="21" t="s">
        <v>882</v>
      </c>
      <c r="F405" s="46" t="s">
        <v>883</v>
      </c>
      <c r="G405" s="46" t="s">
        <v>1105</v>
      </c>
      <c r="H405" s="268" t="s">
        <v>365</v>
      </c>
      <c r="I405" s="55">
        <v>5.55</v>
      </c>
      <c r="J405" s="102"/>
      <c r="K405" s="55">
        <v>5.55</v>
      </c>
      <c r="L405" s="102"/>
      <c r="M405" s="55">
        <v>5.35</v>
      </c>
      <c r="N405" s="163"/>
      <c r="O405" s="55">
        <v>5.35</v>
      </c>
      <c r="P405" s="102"/>
      <c r="Q405" s="97">
        <f t="shared" ref="Q405:Q409" si="3430">SUM(AI405+BA405)</f>
        <v>20.735999999999997</v>
      </c>
      <c r="R405" s="342">
        <f t="shared" si="3422"/>
        <v>153.25098969599998</v>
      </c>
      <c r="S405" s="97">
        <v>2.3039999999999998</v>
      </c>
      <c r="T405" s="97">
        <f>I405*S405*$T$2/1000</f>
        <v>16.903271807999996</v>
      </c>
      <c r="U405" s="97">
        <v>2.3039999999999998</v>
      </c>
      <c r="V405" s="177">
        <f t="shared" ref="V405:V408" si="3431">I405*U405*$V$2/1000</f>
        <v>17.012090879999999</v>
      </c>
      <c r="W405" s="207">
        <v>4.6079999999999997</v>
      </c>
      <c r="X405" s="206">
        <f t="shared" ref="X405:X408" si="3432">I405*W405*$X$2/1000</f>
        <v>34.029296639999991</v>
      </c>
      <c r="Y405" s="189">
        <f>SUM(S405+U405+W405)</f>
        <v>9.2159999999999993</v>
      </c>
      <c r="Z405" s="177">
        <f t="shared" ref="Z405:Z408" si="3433">SUM(T405+V405+X405)</f>
        <v>67.944659327999986</v>
      </c>
      <c r="AA405" s="207"/>
      <c r="AB405" s="206">
        <f t="shared" si="3393"/>
        <v>0</v>
      </c>
      <c r="AC405" s="207"/>
      <c r="AD405" s="206">
        <f t="shared" si="3394"/>
        <v>0</v>
      </c>
      <c r="AE405" s="207"/>
      <c r="AF405" s="206">
        <f t="shared" si="3395"/>
        <v>0</v>
      </c>
      <c r="AG405" s="189">
        <f t="shared" si="3423"/>
        <v>0</v>
      </c>
      <c r="AH405" s="97">
        <f t="shared" ref="AH405:AH408" si="3434">SUM(AB405+AD405+AF405)</f>
        <v>0</v>
      </c>
      <c r="AI405" s="97">
        <f t="shared" si="3424"/>
        <v>9.2159999999999993</v>
      </c>
      <c r="AJ405" s="177">
        <f t="shared" si="3425"/>
        <v>67.944659327999986</v>
      </c>
      <c r="AK405" s="207"/>
      <c r="AL405" s="445">
        <f t="shared" si="3396"/>
        <v>0</v>
      </c>
      <c r="AM405" s="245"/>
      <c r="AN405" s="177">
        <f>M405*AM405*$AN$2/1000</f>
        <v>0</v>
      </c>
      <c r="AO405" s="207">
        <v>2.3039999999999998</v>
      </c>
      <c r="AP405" s="206">
        <f t="shared" si="3398"/>
        <v>16.423572096000001</v>
      </c>
      <c r="AQ405" s="189">
        <f t="shared" si="3426"/>
        <v>2.3039999999999998</v>
      </c>
      <c r="AR405" s="97">
        <f t="shared" ref="AR405:AR408" si="3435">SUM(AL405+AN405+AP405)</f>
        <v>16.423572096000001</v>
      </c>
      <c r="AS405" s="97">
        <v>2.3039999999999998</v>
      </c>
      <c r="AT405" s="177">
        <f t="shared" si="3399"/>
        <v>16.738018559999997</v>
      </c>
      <c r="AU405" s="207">
        <v>2.3039999999999998</v>
      </c>
      <c r="AV405" s="177">
        <f t="shared" si="3400"/>
        <v>17.154281087999998</v>
      </c>
      <c r="AW405" s="207">
        <v>4.6079999999999997</v>
      </c>
      <c r="AX405" s="206">
        <f>O405*AW405*$AX$2/1000</f>
        <v>34.990458623999992</v>
      </c>
      <c r="AY405" s="189">
        <f t="shared" si="3427"/>
        <v>9.2159999999999993</v>
      </c>
      <c r="AZ405" s="97">
        <f t="shared" ref="AZ405:AZ408" si="3436">SUM(AT405+AV405+AX405)</f>
        <v>68.88275827199999</v>
      </c>
      <c r="BA405" s="97">
        <f t="shared" si="3428"/>
        <v>11.52</v>
      </c>
      <c r="BB405" s="97">
        <f t="shared" si="3429"/>
        <v>85.30633036799999</v>
      </c>
    </row>
    <row r="406" spans="1:54" ht="12.75" customHeight="1">
      <c r="A406" s="498">
        <v>270</v>
      </c>
      <c r="B406" s="13"/>
      <c r="C406" s="13"/>
      <c r="D406" s="13" t="s">
        <v>1305</v>
      </c>
      <c r="E406" s="21" t="s">
        <v>922</v>
      </c>
      <c r="F406" s="46" t="s">
        <v>920</v>
      </c>
      <c r="G406" s="46" t="s">
        <v>1105</v>
      </c>
      <c r="H406" s="268" t="s">
        <v>365</v>
      </c>
      <c r="I406" s="55">
        <v>5.6</v>
      </c>
      <c r="J406" s="102"/>
      <c r="K406" s="55">
        <v>5.6</v>
      </c>
      <c r="L406" s="102"/>
      <c r="M406" s="55">
        <v>5.5</v>
      </c>
      <c r="N406" s="163"/>
      <c r="O406" s="55">
        <v>5.5</v>
      </c>
      <c r="P406" s="102"/>
      <c r="Q406" s="97">
        <f t="shared" si="3430"/>
        <v>11.231999999999999</v>
      </c>
      <c r="R406" s="342">
        <f t="shared" si="3422"/>
        <v>83.807563680000001</v>
      </c>
      <c r="S406" s="97">
        <v>3.84</v>
      </c>
      <c r="T406" s="97">
        <f t="shared" ref="T406" si="3437">I406*S406*$T$2/1000</f>
        <v>28.42592256</v>
      </c>
      <c r="U406" s="97">
        <v>1.92</v>
      </c>
      <c r="V406" s="177">
        <f t="shared" si="3431"/>
        <v>14.304460799999999</v>
      </c>
      <c r="W406" s="207"/>
      <c r="X406" s="206">
        <f t="shared" si="3432"/>
        <v>0</v>
      </c>
      <c r="Y406" s="189">
        <f>SUM(S406+U406+W406)</f>
        <v>5.76</v>
      </c>
      <c r="Z406" s="177">
        <f t="shared" si="3433"/>
        <v>42.730383359999998</v>
      </c>
      <c r="AA406" s="207"/>
      <c r="AB406" s="206">
        <f t="shared" ref="AB406:AB408" si="3438">K406*AA406*$AB$2/1000</f>
        <v>0</v>
      </c>
      <c r="AC406" s="207"/>
      <c r="AD406" s="206">
        <f t="shared" ref="AD406:AD408" si="3439">K406*AC406*$AD$2/1000</f>
        <v>0</v>
      </c>
      <c r="AE406" s="207"/>
      <c r="AF406" s="206">
        <f t="shared" si="3395"/>
        <v>0</v>
      </c>
      <c r="AG406" s="189">
        <f>SUM(AA406+AC406+AE406)</f>
        <v>0</v>
      </c>
      <c r="AH406" s="97">
        <f t="shared" si="3434"/>
        <v>0</v>
      </c>
      <c r="AI406" s="97">
        <f t="shared" si="3424"/>
        <v>5.76</v>
      </c>
      <c r="AJ406" s="177">
        <f t="shared" si="3425"/>
        <v>42.730383359999998</v>
      </c>
      <c r="AK406" s="207">
        <v>0.76800000000000002</v>
      </c>
      <c r="AL406" s="445">
        <f t="shared" si="3396"/>
        <v>5.8421299200000005</v>
      </c>
      <c r="AM406" s="245">
        <v>0.48</v>
      </c>
      <c r="AN406" s="177">
        <f>M406*AM406*$AN$2/1000</f>
        <v>3.5933039999999994</v>
      </c>
      <c r="AO406" s="207">
        <v>1.056</v>
      </c>
      <c r="AP406" s="206">
        <f t="shared" si="3398"/>
        <v>7.7385211200000006</v>
      </c>
      <c r="AQ406" s="189">
        <f t="shared" si="3426"/>
        <v>2.3040000000000003</v>
      </c>
      <c r="AR406" s="97">
        <f t="shared" si="3435"/>
        <v>17.173955039999999</v>
      </c>
      <c r="AS406" s="97">
        <v>2.016</v>
      </c>
      <c r="AT406" s="177">
        <f t="shared" si="3399"/>
        <v>15.056395200000003</v>
      </c>
      <c r="AU406" s="207">
        <v>0.96</v>
      </c>
      <c r="AV406" s="177">
        <f t="shared" si="3400"/>
        <v>7.3480175999999995</v>
      </c>
      <c r="AW406" s="207">
        <v>0.192</v>
      </c>
      <c r="AX406" s="206">
        <f t="shared" si="3401"/>
        <v>1.49881248</v>
      </c>
      <c r="AY406" s="189">
        <f t="shared" si="3427"/>
        <v>3.1680000000000001</v>
      </c>
      <c r="AZ406" s="97">
        <f t="shared" si="3436"/>
        <v>23.903225280000004</v>
      </c>
      <c r="BA406" s="97">
        <f t="shared" si="3428"/>
        <v>5.4720000000000004</v>
      </c>
      <c r="BB406" s="97">
        <f t="shared" si="3429"/>
        <v>41.077180320000004</v>
      </c>
    </row>
    <row r="407" spans="1:54" ht="12.75" customHeight="1">
      <c r="A407" s="498">
        <v>271</v>
      </c>
      <c r="B407" s="13"/>
      <c r="C407" s="13"/>
      <c r="D407" s="13" t="s">
        <v>1305</v>
      </c>
      <c r="E407" s="21" t="s">
        <v>948</v>
      </c>
      <c r="F407" s="46" t="s">
        <v>947</v>
      </c>
      <c r="G407" s="46" t="s">
        <v>1105</v>
      </c>
      <c r="H407" s="268" t="s">
        <v>365</v>
      </c>
      <c r="I407" s="55">
        <v>5.81</v>
      </c>
      <c r="J407" s="102"/>
      <c r="K407" s="55">
        <v>5.81</v>
      </c>
      <c r="L407" s="102"/>
      <c r="M407" s="55">
        <v>5.81</v>
      </c>
      <c r="N407" s="163"/>
      <c r="O407" s="55">
        <v>5.81</v>
      </c>
      <c r="P407" s="102"/>
      <c r="Q407" s="97">
        <f t="shared" ref="Q407" si="3440">SUM(AI407+BA407)</f>
        <v>0</v>
      </c>
      <c r="R407" s="342">
        <f t="shared" ref="R407" si="3441">SUM(AJ407+BB407)</f>
        <v>0</v>
      </c>
      <c r="S407" s="97"/>
      <c r="T407" s="97">
        <f t="shared" ref="T407" si="3442">I407*S407*$T$2/1000</f>
        <v>0</v>
      </c>
      <c r="U407" s="97"/>
      <c r="V407" s="177">
        <f t="shared" ref="V407" si="3443">I407*U407*$V$2/1000</f>
        <v>0</v>
      </c>
      <c r="W407" s="207"/>
      <c r="X407" s="206">
        <f t="shared" ref="X407" si="3444">I407*W407*$X$2/1000</f>
        <v>0</v>
      </c>
      <c r="Y407" s="189">
        <f t="shared" ref="Y407" si="3445">SUM(S407+U407+W407)</f>
        <v>0</v>
      </c>
      <c r="Z407" s="177">
        <f t="shared" ref="Z407" si="3446">SUM(T407+V407+X407)</f>
        <v>0</v>
      </c>
      <c r="AA407" s="207"/>
      <c r="AB407" s="206">
        <f t="shared" ref="AB407" si="3447">K407*AA407*$AB$2/1000</f>
        <v>0</v>
      </c>
      <c r="AC407" s="207"/>
      <c r="AD407" s="206">
        <f t="shared" ref="AD407" si="3448">K407*AC407*$AD$2/1000</f>
        <v>0</v>
      </c>
      <c r="AE407" s="207"/>
      <c r="AF407" s="206">
        <f t="shared" ref="AF407" si="3449">K407*AE407*$AF$2/1000</f>
        <v>0</v>
      </c>
      <c r="AG407" s="189">
        <f t="shared" ref="AG407" si="3450">SUM(AA407+AC407+AE407)</f>
        <v>0</v>
      </c>
      <c r="AH407" s="97">
        <f t="shared" ref="AH407" si="3451">SUM(AB407+AD407+AF407)</f>
        <v>0</v>
      </c>
      <c r="AI407" s="97">
        <f t="shared" ref="AI407" si="3452">SUM(Y407+AG407)</f>
        <v>0</v>
      </c>
      <c r="AJ407" s="177">
        <f t="shared" ref="AJ407" si="3453">SUM(Z407,AH407)</f>
        <v>0</v>
      </c>
      <c r="AK407" s="207"/>
      <c r="AL407" s="445">
        <f t="shared" ref="AL407" si="3454">M407*AK407*$AL$2/1000</f>
        <v>0</v>
      </c>
      <c r="AM407" s="245"/>
      <c r="AN407" s="177">
        <f>M407*AM407*$AN$2/1000</f>
        <v>0</v>
      </c>
      <c r="AO407" s="207"/>
      <c r="AP407" s="206">
        <f t="shared" si="3398"/>
        <v>0</v>
      </c>
      <c r="AQ407" s="189">
        <f>SUM(AK407+AM407+AO407)</f>
        <v>0</v>
      </c>
      <c r="AR407" s="97">
        <f>SUM(AL407+AN407+AP407)</f>
        <v>0</v>
      </c>
      <c r="AS407" s="97"/>
      <c r="AT407" s="177">
        <f t="shared" si="3399"/>
        <v>0</v>
      </c>
      <c r="AU407" s="207"/>
      <c r="AV407" s="177">
        <f t="shared" si="3400"/>
        <v>0</v>
      </c>
      <c r="AW407" s="207"/>
      <c r="AX407" s="206">
        <f t="shared" si="3401"/>
        <v>0</v>
      </c>
      <c r="AY407" s="189">
        <f t="shared" ref="AY407" si="3455">SUM(AS407+AU407+AW407)</f>
        <v>0</v>
      </c>
      <c r="AZ407" s="97">
        <f>SUM(AT407+AV407+AX407)</f>
        <v>0</v>
      </c>
      <c r="BA407" s="97">
        <f t="shared" ref="BA407" si="3456">SUM(AQ407+AY407)</f>
        <v>0</v>
      </c>
      <c r="BB407" s="97">
        <f t="shared" ref="BB407" si="3457">SUM(AR407,AZ407)</f>
        <v>0</v>
      </c>
    </row>
    <row r="408" spans="1:54" ht="12.75" customHeight="1">
      <c r="A408" s="498">
        <v>272</v>
      </c>
      <c r="B408" s="13"/>
      <c r="C408" s="13"/>
      <c r="D408" s="13" t="s">
        <v>1305</v>
      </c>
      <c r="E408" s="21" t="s">
        <v>923</v>
      </c>
      <c r="F408" s="46" t="s">
        <v>921</v>
      </c>
      <c r="G408" s="46" t="s">
        <v>1105</v>
      </c>
      <c r="H408" s="268" t="s">
        <v>365</v>
      </c>
      <c r="I408" s="55">
        <v>5.75</v>
      </c>
      <c r="J408" s="102"/>
      <c r="K408" s="55">
        <v>5.75</v>
      </c>
      <c r="L408" s="102"/>
      <c r="M408" s="55">
        <v>5.75</v>
      </c>
      <c r="N408" s="163"/>
      <c r="O408" s="55">
        <v>5.75</v>
      </c>
      <c r="P408" s="102"/>
      <c r="Q408" s="97">
        <f t="shared" si="3430"/>
        <v>0</v>
      </c>
      <c r="R408" s="342">
        <f t="shared" si="3422"/>
        <v>0</v>
      </c>
      <c r="S408" s="97"/>
      <c r="T408" s="97">
        <f>I408*S408*$T$2/1000</f>
        <v>0</v>
      </c>
      <c r="U408" s="97"/>
      <c r="V408" s="177">
        <f t="shared" si="3431"/>
        <v>0</v>
      </c>
      <c r="W408" s="207"/>
      <c r="X408" s="206">
        <f t="shared" si="3432"/>
        <v>0</v>
      </c>
      <c r="Y408" s="189">
        <f>SUM(S408+U408+W408)</f>
        <v>0</v>
      </c>
      <c r="Z408" s="177">
        <f t="shared" si="3433"/>
        <v>0</v>
      </c>
      <c r="AA408" s="207"/>
      <c r="AB408" s="206">
        <f t="shared" si="3438"/>
        <v>0</v>
      </c>
      <c r="AC408" s="207"/>
      <c r="AD408" s="206">
        <f t="shared" si="3439"/>
        <v>0</v>
      </c>
      <c r="AE408" s="207"/>
      <c r="AF408" s="206">
        <f t="shared" si="3395"/>
        <v>0</v>
      </c>
      <c r="AG408" s="189">
        <f>SUM(AA408+AC408+AE408)</f>
        <v>0</v>
      </c>
      <c r="AH408" s="97">
        <f t="shared" si="3434"/>
        <v>0</v>
      </c>
      <c r="AI408" s="97">
        <f t="shared" si="3424"/>
        <v>0</v>
      </c>
      <c r="AJ408" s="177">
        <f t="shared" si="3425"/>
        <v>0</v>
      </c>
      <c r="AK408" s="207"/>
      <c r="AL408" s="445">
        <f t="shared" si="3396"/>
        <v>0</v>
      </c>
      <c r="AM408" s="245"/>
      <c r="AN408" s="177">
        <f t="shared" si="3397"/>
        <v>0</v>
      </c>
      <c r="AO408" s="207"/>
      <c r="AP408" s="206">
        <f t="shared" si="3398"/>
        <v>0</v>
      </c>
      <c r="AQ408" s="189">
        <f t="shared" si="3426"/>
        <v>0</v>
      </c>
      <c r="AR408" s="97">
        <f t="shared" si="3435"/>
        <v>0</v>
      </c>
      <c r="AS408" s="97"/>
      <c r="AT408" s="177">
        <f t="shared" si="3399"/>
        <v>0</v>
      </c>
      <c r="AU408" s="207"/>
      <c r="AV408" s="177">
        <f t="shared" si="3400"/>
        <v>0</v>
      </c>
      <c r="AW408" s="207"/>
      <c r="AX408" s="206">
        <f t="shared" si="3401"/>
        <v>0</v>
      </c>
      <c r="AY408" s="189">
        <f t="shared" si="3427"/>
        <v>0</v>
      </c>
      <c r="AZ408" s="97">
        <f t="shared" si="3436"/>
        <v>0</v>
      </c>
      <c r="BA408" s="97">
        <f t="shared" si="3428"/>
        <v>0</v>
      </c>
      <c r="BB408" s="97">
        <f t="shared" si="3429"/>
        <v>0</v>
      </c>
    </row>
    <row r="409" spans="1:54">
      <c r="B409" s="13"/>
      <c r="C409" s="13"/>
      <c r="D409" s="13" t="s">
        <v>1305</v>
      </c>
      <c r="E409" s="21" t="s">
        <v>1205</v>
      </c>
      <c r="F409" s="22" t="s">
        <v>1206</v>
      </c>
      <c r="G409" s="22" t="s">
        <v>1207</v>
      </c>
      <c r="H409" s="268" t="s">
        <v>365</v>
      </c>
      <c r="I409" s="55">
        <v>6.95</v>
      </c>
      <c r="J409" s="102"/>
      <c r="K409" s="55">
        <v>6.95</v>
      </c>
      <c r="L409" s="102"/>
      <c r="M409" s="55">
        <v>6.95</v>
      </c>
      <c r="N409" s="163"/>
      <c r="O409" s="55">
        <v>6.95</v>
      </c>
      <c r="P409" s="102"/>
      <c r="Q409" s="97">
        <f t="shared" si="3430"/>
        <v>0</v>
      </c>
      <c r="R409" s="342">
        <f t="shared" si="3422"/>
        <v>0</v>
      </c>
      <c r="S409" s="97"/>
      <c r="T409" s="97">
        <f>I409*S409*$T$2/1000</f>
        <v>0</v>
      </c>
      <c r="U409" s="97"/>
      <c r="V409" s="177">
        <f>I409*U409*$V$2/1000</f>
        <v>0</v>
      </c>
      <c r="W409" s="207"/>
      <c r="X409" s="206">
        <f>I409*W409*$X$2/1000</f>
        <v>0</v>
      </c>
      <c r="Y409" s="189">
        <f t="shared" ref="Y409" si="3458">SUM(S409+U409+W409)</f>
        <v>0</v>
      </c>
      <c r="Z409" s="177">
        <f t="shared" ref="Z409" si="3459">SUM(T409+V409+X409)</f>
        <v>0</v>
      </c>
      <c r="AA409" s="207"/>
      <c r="AB409" s="206">
        <f>K409*AA409*$AB$2/1000</f>
        <v>0</v>
      </c>
      <c r="AC409" s="207"/>
      <c r="AD409" s="177">
        <f>K409*AC409*$AD$2/1000</f>
        <v>0</v>
      </c>
      <c r="AE409" s="207"/>
      <c r="AF409" s="206">
        <f t="shared" si="3395"/>
        <v>0</v>
      </c>
      <c r="AG409" s="189">
        <f t="shared" ref="AG409" si="3460">SUM(AA409+AC409+AE409)</f>
        <v>0</v>
      </c>
      <c r="AH409" s="97">
        <f t="shared" ref="AH409" si="3461">SUM(AB409+AD409+AF409)</f>
        <v>0</v>
      </c>
      <c r="AI409" s="97">
        <f t="shared" si="3424"/>
        <v>0</v>
      </c>
      <c r="AJ409" s="177">
        <f t="shared" si="3425"/>
        <v>0</v>
      </c>
      <c r="AK409" s="207"/>
      <c r="AL409" s="177">
        <f t="shared" si="3396"/>
        <v>0</v>
      </c>
      <c r="AM409" s="245"/>
      <c r="AN409" s="177">
        <f t="shared" si="3397"/>
        <v>0</v>
      </c>
      <c r="AO409" s="207"/>
      <c r="AP409" s="206">
        <f t="shared" si="3398"/>
        <v>0</v>
      </c>
      <c r="AQ409" s="189">
        <f>SUM(AK409+AM409+AO409)</f>
        <v>0</v>
      </c>
      <c r="AR409" s="97">
        <f t="shared" ref="AR409" si="3462">SUM(AL409+AN409+AP409)</f>
        <v>0</v>
      </c>
      <c r="AS409" s="97"/>
      <c r="AT409" s="177">
        <f t="shared" si="3399"/>
        <v>0</v>
      </c>
      <c r="AU409" s="207"/>
      <c r="AV409" s="177">
        <f t="shared" si="3400"/>
        <v>0</v>
      </c>
      <c r="AW409" s="207"/>
      <c r="AX409" s="206">
        <f t="shared" si="3401"/>
        <v>0</v>
      </c>
      <c r="AY409" s="189">
        <f t="shared" ref="AY409" si="3463">SUM(AS409+AU409+AW409)</f>
        <v>0</v>
      </c>
      <c r="AZ409" s="97">
        <f>SUM(AT409+AV409+AX409)</f>
        <v>0</v>
      </c>
      <c r="BA409" s="97">
        <f t="shared" si="3428"/>
        <v>0</v>
      </c>
      <c r="BB409" s="97">
        <f t="shared" si="3429"/>
        <v>0</v>
      </c>
    </row>
    <row r="410" spans="1:54">
      <c r="B410" s="13"/>
      <c r="C410" s="13"/>
      <c r="D410" s="13" t="s">
        <v>1305</v>
      </c>
      <c r="E410" s="21" t="s">
        <v>1518</v>
      </c>
      <c r="F410" s="22" t="s">
        <v>1517</v>
      </c>
      <c r="G410" s="22" t="s">
        <v>1102</v>
      </c>
      <c r="H410" s="268" t="s">
        <v>365</v>
      </c>
      <c r="I410" s="55">
        <v>6.05</v>
      </c>
      <c r="J410" s="102"/>
      <c r="K410" s="55">
        <v>6.05</v>
      </c>
      <c r="L410" s="102"/>
      <c r="M410" s="55">
        <v>6.05</v>
      </c>
      <c r="N410" s="163"/>
      <c r="O410" s="55">
        <v>5.75</v>
      </c>
      <c r="P410" s="102"/>
      <c r="Q410" s="97">
        <f t="shared" ref="Q410" si="3464">SUM(AI410+BA410)</f>
        <v>0</v>
      </c>
      <c r="R410" s="342">
        <f t="shared" ref="R410" si="3465">SUM(AJ410+BB410)</f>
        <v>0</v>
      </c>
      <c r="S410" s="97"/>
      <c r="T410" s="97">
        <f>I410*S410*$T$2/1000</f>
        <v>0</v>
      </c>
      <c r="U410" s="97"/>
      <c r="V410" s="177">
        <f>I410*U410*$V$2/1000</f>
        <v>0</v>
      </c>
      <c r="W410" s="207"/>
      <c r="X410" s="206">
        <f>I410*W410*$X$2/1000</f>
        <v>0</v>
      </c>
      <c r="Y410" s="189">
        <f t="shared" ref="Y410" si="3466">SUM(S410+U410+W410)</f>
        <v>0</v>
      </c>
      <c r="Z410" s="177">
        <f t="shared" ref="Z410" si="3467">SUM(T410+V410+X410)</f>
        <v>0</v>
      </c>
      <c r="AA410" s="207"/>
      <c r="AB410" s="206">
        <f>K410*AA410*$AB$2/1000</f>
        <v>0</v>
      </c>
      <c r="AC410" s="207"/>
      <c r="AD410" s="177">
        <f>K410*AC410*$AD$2/1000</f>
        <v>0</v>
      </c>
      <c r="AE410" s="207"/>
      <c r="AF410" s="206">
        <f t="shared" ref="AF410" si="3468">K410*AE410*$AF$2/1000</f>
        <v>0</v>
      </c>
      <c r="AG410" s="189">
        <f t="shared" ref="AG410" si="3469">SUM(AA410+AC410+AE410)</f>
        <v>0</v>
      </c>
      <c r="AH410" s="97">
        <f t="shared" ref="AH410" si="3470">SUM(AB410+AD410+AF410)</f>
        <v>0</v>
      </c>
      <c r="AI410" s="97">
        <f t="shared" ref="AI410" si="3471">SUM(Y410+AG410)</f>
        <v>0</v>
      </c>
      <c r="AJ410" s="177">
        <f t="shared" ref="AJ410" si="3472">SUM(Z410,AH410)</f>
        <v>0</v>
      </c>
      <c r="AK410" s="207"/>
      <c r="AL410" s="177">
        <f t="shared" ref="AL410" si="3473">M410*AK410*$AL$2/1000</f>
        <v>0</v>
      </c>
      <c r="AM410" s="245"/>
      <c r="AN410" s="177">
        <f t="shared" ref="AN410" si="3474">M410*AM410*$AN$2/1000</f>
        <v>0</v>
      </c>
      <c r="AO410" s="207"/>
      <c r="AP410" s="206">
        <f t="shared" ref="AP410" si="3475">M410*AO410*$AP$2/1000</f>
        <v>0</v>
      </c>
      <c r="AQ410" s="189">
        <f>SUM(AK410+AM410+AO410)</f>
        <v>0</v>
      </c>
      <c r="AR410" s="97">
        <f t="shared" ref="AR410" si="3476">SUM(AL410+AN410+AP410)</f>
        <v>0</v>
      </c>
      <c r="AS410" s="97"/>
      <c r="AT410" s="177">
        <f t="shared" ref="AT410" si="3477">O410*AS410*$AT$2/1000</f>
        <v>0</v>
      </c>
      <c r="AU410" s="207"/>
      <c r="AV410" s="177">
        <f t="shared" ref="AV410" si="3478">O410*AU410*$AV$2/1000</f>
        <v>0</v>
      </c>
      <c r="AW410" s="207"/>
      <c r="AX410" s="206">
        <f t="shared" ref="AX410" si="3479">O410*AW410*$AX$2/1000</f>
        <v>0</v>
      </c>
      <c r="AY410" s="189">
        <f t="shared" ref="AY410" si="3480">SUM(AS410+AU410+AW410)</f>
        <v>0</v>
      </c>
      <c r="AZ410" s="97">
        <f>SUM(AT410+AV410+AX410)</f>
        <v>0</v>
      </c>
      <c r="BA410" s="97">
        <f t="shared" ref="BA410" si="3481">SUM(AQ410+AY410)</f>
        <v>0</v>
      </c>
      <c r="BB410" s="97">
        <f t="shared" ref="BB410" si="3482">SUM(AR410,AZ410)</f>
        <v>0</v>
      </c>
    </row>
    <row r="411" spans="1:54" ht="12.75" customHeight="1">
      <c r="A411" s="498">
        <v>273</v>
      </c>
      <c r="B411" s="13"/>
      <c r="C411" s="13"/>
      <c r="D411" s="13" t="s">
        <v>1305</v>
      </c>
      <c r="E411" s="21" t="s">
        <v>866</v>
      </c>
      <c r="F411" s="46" t="s">
        <v>861</v>
      </c>
      <c r="G411" s="46" t="s">
        <v>1105</v>
      </c>
      <c r="H411" s="268" t="s">
        <v>365</v>
      </c>
      <c r="I411" s="55">
        <v>3.89</v>
      </c>
      <c r="J411" s="102"/>
      <c r="K411" s="55">
        <v>3.89</v>
      </c>
      <c r="L411" s="102"/>
      <c r="M411" s="55">
        <v>3.89</v>
      </c>
      <c r="N411" s="163"/>
      <c r="O411" s="55">
        <v>3.89</v>
      </c>
      <c r="P411" s="102"/>
      <c r="Q411" s="97">
        <f t="shared" si="3377"/>
        <v>0</v>
      </c>
      <c r="R411" s="342">
        <f t="shared" si="3378"/>
        <v>0</v>
      </c>
      <c r="S411" s="97"/>
      <c r="T411" s="97">
        <f t="shared" si="3379"/>
        <v>0</v>
      </c>
      <c r="U411" s="97"/>
      <c r="V411" s="177">
        <f t="shared" si="3380"/>
        <v>0</v>
      </c>
      <c r="W411" s="207"/>
      <c r="X411" s="206">
        <f t="shared" si="3381"/>
        <v>0</v>
      </c>
      <c r="Y411" s="189">
        <f>SUM(S411+U411+W411)</f>
        <v>0</v>
      </c>
      <c r="Z411" s="177">
        <f t="shared" si="3383"/>
        <v>0</v>
      </c>
      <c r="AA411" s="207"/>
      <c r="AB411" s="206">
        <f t="shared" si="3393"/>
        <v>0</v>
      </c>
      <c r="AC411" s="207"/>
      <c r="AD411" s="206">
        <f t="shared" si="3394"/>
        <v>0</v>
      </c>
      <c r="AE411" s="207"/>
      <c r="AF411" s="206">
        <f t="shared" si="3395"/>
        <v>0</v>
      </c>
      <c r="AG411" s="189">
        <f>SUM(AA411+AC411+AE411)</f>
        <v>0</v>
      </c>
      <c r="AH411" s="97">
        <f t="shared" si="3385"/>
        <v>0</v>
      </c>
      <c r="AI411" s="97">
        <f t="shared" si="3386"/>
        <v>0</v>
      </c>
      <c r="AJ411" s="177">
        <f t="shared" si="3387"/>
        <v>0</v>
      </c>
      <c r="AK411" s="207"/>
      <c r="AL411" s="445">
        <f t="shared" si="3396"/>
        <v>0</v>
      </c>
      <c r="AM411" s="245"/>
      <c r="AN411" s="177">
        <f t="shared" si="3397"/>
        <v>0</v>
      </c>
      <c r="AO411" s="207"/>
      <c r="AP411" s="206">
        <f t="shared" si="3398"/>
        <v>0</v>
      </c>
      <c r="AQ411" s="189">
        <f>SUM(AK411+AM411+AO411)</f>
        <v>0</v>
      </c>
      <c r="AR411" s="97">
        <f t="shared" si="3389"/>
        <v>0</v>
      </c>
      <c r="AS411" s="97"/>
      <c r="AT411" s="177">
        <f t="shared" si="3399"/>
        <v>0</v>
      </c>
      <c r="AU411" s="207"/>
      <c r="AV411" s="177">
        <f t="shared" si="3400"/>
        <v>0</v>
      </c>
      <c r="AW411" s="207"/>
      <c r="AX411" s="206">
        <f t="shared" si="3401"/>
        <v>0</v>
      </c>
      <c r="AY411" s="189">
        <f t="shared" si="3390"/>
        <v>0</v>
      </c>
      <c r="AZ411" s="97">
        <f t="shared" si="3402"/>
        <v>0</v>
      </c>
      <c r="BA411" s="97">
        <f t="shared" si="3391"/>
        <v>0</v>
      </c>
      <c r="BB411" s="97">
        <f t="shared" si="3392"/>
        <v>0</v>
      </c>
    </row>
    <row r="412" spans="1:54" ht="12.75" customHeight="1">
      <c r="A412" s="498">
        <v>274</v>
      </c>
      <c r="B412" s="13"/>
      <c r="C412" s="13"/>
      <c r="D412" s="13" t="s">
        <v>1305</v>
      </c>
      <c r="E412" s="21" t="s">
        <v>867</v>
      </c>
      <c r="F412" s="46" t="s">
        <v>862</v>
      </c>
      <c r="G412" s="46" t="s">
        <v>1105</v>
      </c>
      <c r="H412" s="268" t="s">
        <v>365</v>
      </c>
      <c r="I412" s="55">
        <v>8.6</v>
      </c>
      <c r="J412" s="102"/>
      <c r="K412" s="55">
        <v>8.6</v>
      </c>
      <c r="L412" s="102"/>
      <c r="M412" s="55">
        <v>8.6</v>
      </c>
      <c r="N412" s="163"/>
      <c r="O412" s="55">
        <v>8.6</v>
      </c>
      <c r="P412" s="102"/>
      <c r="Q412" s="97">
        <f t="shared" si="3377"/>
        <v>0</v>
      </c>
      <c r="R412" s="342">
        <f t="shared" si="2888"/>
        <v>0</v>
      </c>
      <c r="S412" s="97"/>
      <c r="T412" s="97">
        <f t="shared" si="3379"/>
        <v>0</v>
      </c>
      <c r="U412" s="97"/>
      <c r="V412" s="177">
        <f t="shared" si="3380"/>
        <v>0</v>
      </c>
      <c r="W412" s="207"/>
      <c r="X412" s="206">
        <f t="shared" si="3381"/>
        <v>0</v>
      </c>
      <c r="Y412" s="189">
        <f t="shared" ref="Y412:Y434" si="3483">SUM(S412+U412+W412)</f>
        <v>0</v>
      </c>
      <c r="Z412" s="177">
        <f t="shared" si="3383"/>
        <v>0</v>
      </c>
      <c r="AA412" s="207"/>
      <c r="AB412" s="206">
        <f t="shared" si="3393"/>
        <v>0</v>
      </c>
      <c r="AC412" s="207"/>
      <c r="AD412" s="206">
        <f t="shared" si="3394"/>
        <v>0</v>
      </c>
      <c r="AE412" s="207"/>
      <c r="AF412" s="225">
        <f t="shared" si="3395"/>
        <v>0</v>
      </c>
      <c r="AG412" s="189">
        <f t="shared" ref="AG412:AG434" si="3484">SUM(AA412+AC412+AE412)</f>
        <v>0</v>
      </c>
      <c r="AH412" s="97">
        <f t="shared" si="3385"/>
        <v>0</v>
      </c>
      <c r="AI412" s="97">
        <f t="shared" ref="AI412:AI434" si="3485">SUM(Y412+AG412)</f>
        <v>0</v>
      </c>
      <c r="AJ412" s="177">
        <f t="shared" ref="AJ412:AJ434" si="3486">SUM(Z412,AH412)</f>
        <v>0</v>
      </c>
      <c r="AK412" s="207"/>
      <c r="AL412" s="445">
        <f t="shared" si="3396"/>
        <v>0</v>
      </c>
      <c r="AM412" s="245"/>
      <c r="AN412" s="177">
        <f t="shared" si="3397"/>
        <v>0</v>
      </c>
      <c r="AO412" s="207"/>
      <c r="AP412" s="206">
        <f t="shared" si="3398"/>
        <v>0</v>
      </c>
      <c r="AQ412" s="189">
        <f t="shared" ref="AQ412:AQ434" si="3487">SUM(AK412+AM412+AO412)</f>
        <v>0</v>
      </c>
      <c r="AR412" s="97">
        <f t="shared" si="3389"/>
        <v>0</v>
      </c>
      <c r="AS412" s="97"/>
      <c r="AT412" s="177">
        <f t="shared" si="3399"/>
        <v>0</v>
      </c>
      <c r="AU412" s="207"/>
      <c r="AV412" s="177">
        <f>O412*AU412*$AV$2/1000</f>
        <v>0</v>
      </c>
      <c r="AW412" s="207"/>
      <c r="AX412" s="206">
        <f t="shared" si="3401"/>
        <v>0</v>
      </c>
      <c r="AY412" s="189">
        <f t="shared" ref="AY412" si="3488">SUM(AS412+AU412+AW412)</f>
        <v>0</v>
      </c>
      <c r="AZ412" s="97">
        <f t="shared" si="3402"/>
        <v>0</v>
      </c>
      <c r="BA412" s="97">
        <f t="shared" ref="BA412:BA434" si="3489">SUM(AQ412+AY412)</f>
        <v>0</v>
      </c>
      <c r="BB412" s="97">
        <f t="shared" ref="BB412:BB434" si="3490">SUM(AR412,AZ412)</f>
        <v>0</v>
      </c>
    </row>
    <row r="413" spans="1:54" ht="12.75" customHeight="1">
      <c r="A413" s="498">
        <v>275</v>
      </c>
      <c r="B413" s="13"/>
      <c r="C413" s="13"/>
      <c r="D413" s="13" t="s">
        <v>1305</v>
      </c>
      <c r="E413" s="21" t="s">
        <v>1528</v>
      </c>
      <c r="F413" s="46" t="s">
        <v>1050</v>
      </c>
      <c r="G413" s="46" t="s">
        <v>1102</v>
      </c>
      <c r="H413" s="268" t="s">
        <v>365</v>
      </c>
      <c r="I413" s="55">
        <v>4.6500000000000004</v>
      </c>
      <c r="J413" s="102"/>
      <c r="K413" s="55">
        <v>4.6500000000000004</v>
      </c>
      <c r="L413" s="102"/>
      <c r="M413" s="55">
        <v>4.6500000000000004</v>
      </c>
      <c r="N413" s="163"/>
      <c r="O413" s="55">
        <v>4.6500000000000004</v>
      </c>
      <c r="P413" s="102"/>
      <c r="Q413" s="97">
        <f>SUM(AI413+BA413)</f>
        <v>15.480000000000002</v>
      </c>
      <c r="R413" s="342">
        <f t="shared" ref="R413:R414" si="3491">SUM(AJ413+BB413)</f>
        <v>96.092889840000012</v>
      </c>
      <c r="S413" s="97">
        <v>5.4</v>
      </c>
      <c r="T413" s="97">
        <f t="shared" ref="T413:T414" si="3492">I413*S413*$T$2/1000</f>
        <v>33.192657900000007</v>
      </c>
      <c r="U413" s="97">
        <v>0.36</v>
      </c>
      <c r="V413" s="177">
        <f t="shared" ref="V413:V414" si="3493">I413*U413*$V$2/1000</f>
        <v>2.2270896000000002</v>
      </c>
      <c r="W413" s="207">
        <v>6.48</v>
      </c>
      <c r="X413" s="206">
        <f t="shared" ref="X413:X414" si="3494">I413*W413*$X$2/1000</f>
        <v>40.093639200000005</v>
      </c>
      <c r="Y413" s="189">
        <f>SUM(S413+U413+W413)</f>
        <v>12.240000000000002</v>
      </c>
      <c r="Z413" s="177">
        <f t="shared" ref="Z413:Z414" si="3495">SUM(T413+V413+X413)</f>
        <v>75.513386700000012</v>
      </c>
      <c r="AA413" s="207">
        <v>2.16</v>
      </c>
      <c r="AB413" s="206">
        <f t="shared" ref="AB413:AB414" si="3496">K413*AA413*$AB$2/1000</f>
        <v>13.701221280000002</v>
      </c>
      <c r="AC413" s="207">
        <v>1.08</v>
      </c>
      <c r="AD413" s="206">
        <f t="shared" ref="AD413:AD414" si="3497">K413*AC413*$AD$2/1000</f>
        <v>6.8782818600000022</v>
      </c>
      <c r="AE413" s="207"/>
      <c r="AF413" s="206">
        <f t="shared" si="3395"/>
        <v>0</v>
      </c>
      <c r="AG413" s="189">
        <f t="shared" ref="AG413:AG430" si="3498">SUM(AA413+AC413+AE413)</f>
        <v>3.24</v>
      </c>
      <c r="AH413" s="97">
        <f t="shared" ref="AH413:AH414" si="3499">SUM(AB413+AD413+AF413)</f>
        <v>20.579503140000003</v>
      </c>
      <c r="AI413" s="97">
        <f t="shared" ref="AI413:AI414" si="3500">SUM(Y413+AG413)</f>
        <v>15.480000000000002</v>
      </c>
      <c r="AJ413" s="177">
        <f t="shared" ref="AJ413:AJ414" si="3501">SUM(Z413,AH413)</f>
        <v>96.092889840000012</v>
      </c>
      <c r="AK413" s="207"/>
      <c r="AL413" s="445">
        <f t="shared" si="3396"/>
        <v>0</v>
      </c>
      <c r="AM413" s="245"/>
      <c r="AN413" s="177">
        <f t="shared" si="3397"/>
        <v>0</v>
      </c>
      <c r="AO413" s="207"/>
      <c r="AP413" s="206">
        <f t="shared" si="3398"/>
        <v>0</v>
      </c>
      <c r="AQ413" s="189">
        <f t="shared" ref="AQ413:AQ414" si="3502">SUM(AK413+AM413+AO413)</f>
        <v>0</v>
      </c>
      <c r="AR413" s="97">
        <f t="shared" ref="AR413:AR414" si="3503">SUM(AL413+AN413+AP413)</f>
        <v>0</v>
      </c>
      <c r="AS413" s="97"/>
      <c r="AT413" s="177">
        <f t="shared" si="3399"/>
        <v>0</v>
      </c>
      <c r="AU413" s="207"/>
      <c r="AV413" s="177">
        <f t="shared" ref="AV413" si="3504">O413*AU413*$AV$2/1000</f>
        <v>0</v>
      </c>
      <c r="AW413" s="207"/>
      <c r="AX413" s="206">
        <f t="shared" si="3401"/>
        <v>0</v>
      </c>
      <c r="AY413" s="189">
        <f t="shared" ref="AY413:AY414" si="3505">SUM(AS413+AU413+AW413)</f>
        <v>0</v>
      </c>
      <c r="AZ413" s="97">
        <f>SUM(AT413+AV413+AX413)</f>
        <v>0</v>
      </c>
      <c r="BA413" s="97">
        <f t="shared" ref="BA413:BA414" si="3506">SUM(AQ413+AY413)</f>
        <v>0</v>
      </c>
      <c r="BB413" s="97">
        <f t="shared" ref="BB413:BB414" si="3507">SUM(AR413,AZ413)</f>
        <v>0</v>
      </c>
    </row>
    <row r="414" spans="1:54" ht="12.75" customHeight="1">
      <c r="A414" s="498">
        <v>274</v>
      </c>
      <c r="B414" s="13"/>
      <c r="C414" s="13"/>
      <c r="D414" s="13" t="s">
        <v>1305</v>
      </c>
      <c r="E414" s="21" t="s">
        <v>1489</v>
      </c>
      <c r="F414" s="46" t="s">
        <v>1490</v>
      </c>
      <c r="G414" s="46" t="s">
        <v>1105</v>
      </c>
      <c r="H414" s="268" t="s">
        <v>365</v>
      </c>
      <c r="I414" s="55">
        <v>6.25</v>
      </c>
      <c r="J414" s="102"/>
      <c r="K414" s="55">
        <v>6.25</v>
      </c>
      <c r="L414" s="102"/>
      <c r="M414" s="55">
        <v>6.25</v>
      </c>
      <c r="N414" s="163"/>
      <c r="O414" s="55">
        <v>6.25</v>
      </c>
      <c r="P414" s="102"/>
      <c r="Q414" s="97">
        <f t="shared" ref="Q414" si="3508">SUM(AI414+BA414)</f>
        <v>0</v>
      </c>
      <c r="R414" s="342">
        <f t="shared" si="3491"/>
        <v>0</v>
      </c>
      <c r="S414" s="97"/>
      <c r="T414" s="97">
        <f t="shared" si="3492"/>
        <v>0</v>
      </c>
      <c r="U414" s="97"/>
      <c r="V414" s="177">
        <f t="shared" si="3493"/>
        <v>0</v>
      </c>
      <c r="W414" s="207"/>
      <c r="X414" s="206">
        <f t="shared" si="3494"/>
        <v>0</v>
      </c>
      <c r="Y414" s="189">
        <f t="shared" ref="Y414" si="3509">SUM(S414+U414+W414)</f>
        <v>0</v>
      </c>
      <c r="Z414" s="177">
        <f t="shared" si="3495"/>
        <v>0</v>
      </c>
      <c r="AA414" s="207"/>
      <c r="AB414" s="206">
        <f t="shared" si="3496"/>
        <v>0</v>
      </c>
      <c r="AC414" s="207"/>
      <c r="AD414" s="206">
        <f t="shared" si="3497"/>
        <v>0</v>
      </c>
      <c r="AE414" s="207"/>
      <c r="AF414" s="225">
        <f t="shared" ref="AF414" si="3510">K414*AE414*$AF$2/1000</f>
        <v>0</v>
      </c>
      <c r="AG414" s="189">
        <f t="shared" ref="AG414" si="3511">SUM(AA414+AC414+AE414)</f>
        <v>0</v>
      </c>
      <c r="AH414" s="97">
        <f t="shared" si="3499"/>
        <v>0</v>
      </c>
      <c r="AI414" s="97">
        <f t="shared" si="3500"/>
        <v>0</v>
      </c>
      <c r="AJ414" s="177">
        <f t="shared" si="3501"/>
        <v>0</v>
      </c>
      <c r="AK414" s="207"/>
      <c r="AL414" s="445">
        <f t="shared" ref="AL414" si="3512">M414*AK414*$AL$2/1000</f>
        <v>0</v>
      </c>
      <c r="AM414" s="245"/>
      <c r="AN414" s="177">
        <f t="shared" ref="AN414" si="3513">M414*AM414*$AN$2/1000</f>
        <v>0</v>
      </c>
      <c r="AO414" s="207"/>
      <c r="AP414" s="206">
        <f t="shared" ref="AP414" si="3514">M414*AO414*$AP$2/1000</f>
        <v>0</v>
      </c>
      <c r="AQ414" s="189">
        <f t="shared" si="3502"/>
        <v>0</v>
      </c>
      <c r="AR414" s="97">
        <f t="shared" si="3503"/>
        <v>0</v>
      </c>
      <c r="AS414" s="97"/>
      <c r="AT414" s="177">
        <f t="shared" ref="AT414" si="3515">O414*AS414*$AT$2/1000</f>
        <v>0</v>
      </c>
      <c r="AU414" s="207"/>
      <c r="AV414" s="177">
        <f>O414*AU414*$AV$2/1000</f>
        <v>0</v>
      </c>
      <c r="AW414" s="207"/>
      <c r="AX414" s="206">
        <f>O414*AW414*$AX$2/1000</f>
        <v>0</v>
      </c>
      <c r="AY414" s="189">
        <f t="shared" si="3505"/>
        <v>0</v>
      </c>
      <c r="AZ414" s="97">
        <f t="shared" ref="AZ414" si="3516">SUM(AT414+AV414+AX414)</f>
        <v>0</v>
      </c>
      <c r="BA414" s="97">
        <f t="shared" si="3506"/>
        <v>0</v>
      </c>
      <c r="BB414" s="97">
        <f t="shared" si="3507"/>
        <v>0</v>
      </c>
    </row>
    <row r="415" spans="1:54" ht="12.75" customHeight="1">
      <c r="A415" s="498">
        <v>276</v>
      </c>
      <c r="B415" s="13"/>
      <c r="C415" s="13"/>
      <c r="D415" s="13" t="s">
        <v>1305</v>
      </c>
      <c r="E415" s="21" t="s">
        <v>914</v>
      </c>
      <c r="F415" s="46" t="s">
        <v>1051</v>
      </c>
      <c r="G415" s="46" t="s">
        <v>1101</v>
      </c>
      <c r="H415" s="268" t="s">
        <v>365</v>
      </c>
      <c r="I415" s="55">
        <v>4.4000000000000004</v>
      </c>
      <c r="J415" s="102"/>
      <c r="K415" s="55">
        <v>4.4000000000000004</v>
      </c>
      <c r="L415" s="102"/>
      <c r="M415" s="55">
        <v>4.4000000000000004</v>
      </c>
      <c r="N415" s="163"/>
      <c r="O415" s="55">
        <v>4.4000000000000004</v>
      </c>
      <c r="P415" s="102"/>
      <c r="Q415" s="97">
        <f t="shared" ref="Q415" si="3517">SUM(AI415+BA415)</f>
        <v>4.3239999999999998</v>
      </c>
      <c r="R415" s="342">
        <f t="shared" si="2888"/>
        <v>25.39250736</v>
      </c>
      <c r="S415" s="97">
        <v>2.16</v>
      </c>
      <c r="T415" s="97">
        <f t="shared" si="3379"/>
        <v>12.563242560000003</v>
      </c>
      <c r="U415" s="97"/>
      <c r="V415" s="177">
        <f t="shared" si="3380"/>
        <v>0</v>
      </c>
      <c r="W415" s="207">
        <v>1.08</v>
      </c>
      <c r="X415" s="206">
        <f t="shared" si="3381"/>
        <v>6.3230112000000007</v>
      </c>
      <c r="Y415" s="189">
        <f t="shared" ref="Y415:Y430" si="3518">SUM(S415+U415+W415)</f>
        <v>3.24</v>
      </c>
      <c r="Z415" s="177">
        <f t="shared" si="3383"/>
        <v>18.886253760000002</v>
      </c>
      <c r="AA415" s="207">
        <v>1.08</v>
      </c>
      <c r="AB415" s="206">
        <f t="shared" si="3393"/>
        <v>6.4822982400000004</v>
      </c>
      <c r="AC415" s="207"/>
      <c r="AD415" s="206">
        <f t="shared" si="3394"/>
        <v>0</v>
      </c>
      <c r="AE415" s="207"/>
      <c r="AF415" s="206">
        <f t="shared" ref="AF415:AF433" si="3519">K415*AE415*$AF$2/1000</f>
        <v>0</v>
      </c>
      <c r="AG415" s="189">
        <f t="shared" si="3498"/>
        <v>1.08</v>
      </c>
      <c r="AH415" s="97">
        <f t="shared" si="3385"/>
        <v>6.4822982400000004</v>
      </c>
      <c r="AI415" s="97">
        <f t="shared" si="3485"/>
        <v>4.32</v>
      </c>
      <c r="AJ415" s="177">
        <f t="shared" si="3486"/>
        <v>25.368552000000001</v>
      </c>
      <c r="AK415" s="207"/>
      <c r="AL415" s="445">
        <f t="shared" ref="AL415:AL433" si="3520">M415*AK415*$AL$2/1000</f>
        <v>0</v>
      </c>
      <c r="AM415" s="245">
        <v>4.0000000000000001E-3</v>
      </c>
      <c r="AN415" s="177">
        <f t="shared" ref="AN415:AN432" si="3521">M415*AM415*$AN$2/1000</f>
        <v>2.3955359999999998E-2</v>
      </c>
      <c r="AO415" s="207"/>
      <c r="AP415" s="206">
        <f t="shared" ref="AP415:AP433" si="3522">M415*AO415*$AP$2/1000</f>
        <v>0</v>
      </c>
      <c r="AQ415" s="189">
        <f t="shared" si="3487"/>
        <v>4.0000000000000001E-3</v>
      </c>
      <c r="AR415" s="97">
        <f>SUM(AL415+AN415+AP415)</f>
        <v>2.3955359999999998E-2</v>
      </c>
      <c r="AS415" s="97"/>
      <c r="AT415" s="177">
        <f t="shared" ref="AT415:AT433" si="3523">O415*AS415*$AT$2/1000</f>
        <v>0</v>
      </c>
      <c r="AU415" s="207"/>
      <c r="AV415" s="177">
        <f t="shared" ref="AV415:AV431" si="3524">O415*AU415*$AV$2/1000</f>
        <v>0</v>
      </c>
      <c r="AW415" s="207"/>
      <c r="AX415" s="206">
        <f t="shared" ref="AX415:AX433" si="3525">O415*AW415*$AX$2/1000</f>
        <v>0</v>
      </c>
      <c r="AY415" s="189">
        <f t="shared" ref="AY415" si="3526">SUM(AS415+AU415+AW415)</f>
        <v>0</v>
      </c>
      <c r="AZ415" s="97">
        <f t="shared" si="3402"/>
        <v>0</v>
      </c>
      <c r="BA415" s="97">
        <f t="shared" si="3489"/>
        <v>4.0000000000000001E-3</v>
      </c>
      <c r="BB415" s="97">
        <f t="shared" si="3490"/>
        <v>2.3955359999999998E-2</v>
      </c>
    </row>
    <row r="416" spans="1:54" ht="12.75" customHeight="1">
      <c r="A416" s="498">
        <v>277</v>
      </c>
      <c r="B416" s="13"/>
      <c r="C416" s="13"/>
      <c r="D416" s="13" t="s">
        <v>1305</v>
      </c>
      <c r="E416" s="21" t="s">
        <v>915</v>
      </c>
      <c r="F416" s="46" t="s">
        <v>1052</v>
      </c>
      <c r="G416" s="46" t="s">
        <v>1101</v>
      </c>
      <c r="H416" s="268" t="s">
        <v>365</v>
      </c>
      <c r="I416" s="55">
        <v>8.15</v>
      </c>
      <c r="J416" s="102"/>
      <c r="K416" s="55">
        <v>8.15</v>
      </c>
      <c r="L416" s="102"/>
      <c r="M416" s="55">
        <v>8.15</v>
      </c>
      <c r="N416" s="163"/>
      <c r="O416" s="55">
        <v>8.15</v>
      </c>
      <c r="P416" s="102"/>
      <c r="Q416" s="97">
        <f t="shared" ref="Q416:Q433" si="3527">SUM(AI416+BA416)</f>
        <v>0</v>
      </c>
      <c r="R416" s="342">
        <f t="shared" si="2888"/>
        <v>0</v>
      </c>
      <c r="S416" s="97"/>
      <c r="T416" s="97">
        <f t="shared" ref="T416:T433" si="3528">I416*S416*$T$2/1000</f>
        <v>0</v>
      </c>
      <c r="U416" s="97"/>
      <c r="V416" s="177">
        <f t="shared" ref="V416:V433" si="3529">I416*U416*$V$2/1000</f>
        <v>0</v>
      </c>
      <c r="W416" s="207"/>
      <c r="X416" s="206">
        <f t="shared" ref="X416:X430" si="3530">I416*W416*$X$2/1000</f>
        <v>0</v>
      </c>
      <c r="Y416" s="189">
        <f t="shared" si="3518"/>
        <v>0</v>
      </c>
      <c r="Z416" s="177">
        <f t="shared" ref="Z416:Z433" si="3531">SUM(T416+V416+X416)</f>
        <v>0</v>
      </c>
      <c r="AA416" s="207"/>
      <c r="AB416" s="206">
        <f t="shared" ref="AB416:AB433" si="3532">K416*AA416*$AB$2/1000</f>
        <v>0</v>
      </c>
      <c r="AC416" s="207"/>
      <c r="AD416" s="206">
        <f t="shared" ref="AD416:AD433" si="3533">K416*AC416*$AD$2/1000</f>
        <v>0</v>
      </c>
      <c r="AE416" s="207"/>
      <c r="AF416" s="206">
        <f t="shared" si="3519"/>
        <v>0</v>
      </c>
      <c r="AG416" s="189">
        <f t="shared" si="3498"/>
        <v>0</v>
      </c>
      <c r="AH416" s="97">
        <f t="shared" ref="AH416:AH433" si="3534">SUM(AB416+AD416+AF416)</f>
        <v>0</v>
      </c>
      <c r="AI416" s="97">
        <f t="shared" si="3485"/>
        <v>0</v>
      </c>
      <c r="AJ416" s="177">
        <f t="shared" si="3486"/>
        <v>0</v>
      </c>
      <c r="AK416" s="207"/>
      <c r="AL416" s="445">
        <f t="shared" si="3520"/>
        <v>0</v>
      </c>
      <c r="AM416" s="245"/>
      <c r="AN416" s="177">
        <f t="shared" si="3521"/>
        <v>0</v>
      </c>
      <c r="AO416" s="207"/>
      <c r="AP416" s="206">
        <f t="shared" si="3522"/>
        <v>0</v>
      </c>
      <c r="AQ416" s="189">
        <f>SUM(AK416+AM416+AO416)</f>
        <v>0</v>
      </c>
      <c r="AR416" s="97">
        <f t="shared" ref="AR416:AR432" si="3535">SUM(AL416+AN416+AP416)</f>
        <v>0</v>
      </c>
      <c r="AS416" s="97"/>
      <c r="AT416" s="177">
        <f t="shared" si="3523"/>
        <v>0</v>
      </c>
      <c r="AU416" s="207"/>
      <c r="AV416" s="177">
        <f t="shared" si="3524"/>
        <v>0</v>
      </c>
      <c r="AW416" s="207"/>
      <c r="AX416" s="206">
        <f t="shared" si="3525"/>
        <v>0</v>
      </c>
      <c r="AY416" s="189">
        <f>SUM(AS416+AU416+AW416)</f>
        <v>0</v>
      </c>
      <c r="AZ416" s="97">
        <f t="shared" ref="AZ416:AZ432" si="3536">SUM(AT416+AV416+AX416)</f>
        <v>0</v>
      </c>
      <c r="BA416" s="97">
        <f t="shared" si="3489"/>
        <v>0</v>
      </c>
      <c r="BB416" s="97">
        <f t="shared" si="3490"/>
        <v>0</v>
      </c>
    </row>
    <row r="417" spans="1:54" ht="12.75" customHeight="1">
      <c r="A417" s="498">
        <v>278</v>
      </c>
      <c r="B417" s="13"/>
      <c r="C417" s="13"/>
      <c r="D417" s="13" t="s">
        <v>1305</v>
      </c>
      <c r="E417" s="21" t="s">
        <v>1092</v>
      </c>
      <c r="F417" s="46" t="s">
        <v>1091</v>
      </c>
      <c r="G417" s="46" t="s">
        <v>1101</v>
      </c>
      <c r="H417" s="268" t="s">
        <v>365</v>
      </c>
      <c r="I417" s="55">
        <v>6.19</v>
      </c>
      <c r="J417" s="102"/>
      <c r="K417" s="55">
        <v>6</v>
      </c>
      <c r="L417" s="102"/>
      <c r="M417" s="55">
        <v>5.96</v>
      </c>
      <c r="N417" s="163"/>
      <c r="O417" s="55">
        <v>5.97</v>
      </c>
      <c r="P417" s="102"/>
      <c r="Q417" s="97">
        <f t="shared" ref="Q417:Q428" si="3537">SUM(AI417+BA417)</f>
        <v>73.265999999999991</v>
      </c>
      <c r="R417" s="342">
        <f t="shared" ref="R417:R428" si="3538">SUM(AJ417+BB417)</f>
        <v>601.79192998560006</v>
      </c>
      <c r="S417" s="97">
        <v>16.128</v>
      </c>
      <c r="T417" s="97">
        <f t="shared" ref="T417:T422" si="3539">I417*S417*$T$2/1000</f>
        <v>131.96734548480003</v>
      </c>
      <c r="U417" s="97">
        <f>0.03+11.136</f>
        <v>11.165999999999999</v>
      </c>
      <c r="V417" s="177">
        <f t="shared" ref="V417:V422" si="3540">I417*U417*$V$2/1000</f>
        <v>91.953975215999989</v>
      </c>
      <c r="W417" s="207">
        <v>0.27600000000000002</v>
      </c>
      <c r="X417" s="206">
        <f t="shared" ref="X417:X422" si="3541">I417*W417*$X$2/1000</f>
        <v>2.2732502640000001</v>
      </c>
      <c r="Y417" s="189">
        <f t="shared" si="3518"/>
        <v>27.569999999999997</v>
      </c>
      <c r="Z417" s="177">
        <f t="shared" ref="Z417" si="3542">SUM(T417+V417+X417)</f>
        <v>226.19457096480005</v>
      </c>
      <c r="AA417" s="207">
        <v>11.52</v>
      </c>
      <c r="AB417" s="206">
        <f t="shared" ref="AB417:AB422" si="3543">K417*AA417*$AB$2/1000</f>
        <v>94.287974399999996</v>
      </c>
      <c r="AC417" s="207">
        <v>2.3039999999999998</v>
      </c>
      <c r="AD417" s="206">
        <f t="shared" ref="AD417:AD422" si="3544">K417*AC417*$AD$2/1000</f>
        <v>18.93376512</v>
      </c>
      <c r="AE417" s="207">
        <v>10.368</v>
      </c>
      <c r="AF417" s="206">
        <f t="shared" ref="AF417:AF428" si="3545">K417*AE417*$AF$2/1000</f>
        <v>85.77425663999999</v>
      </c>
      <c r="AG417" s="189">
        <f t="shared" si="3498"/>
        <v>24.192</v>
      </c>
      <c r="AH417" s="97">
        <f t="shared" ref="AH417" si="3546">SUM(AB417+AD417+AF417)</f>
        <v>198.99599616</v>
      </c>
      <c r="AI417" s="97">
        <f t="shared" ref="AI417:AI428" si="3547">SUM(Y417+AG417)</f>
        <v>51.762</v>
      </c>
      <c r="AJ417" s="177">
        <f t="shared" ref="AJ417:AJ428" si="3548">SUM(Z417,AH417)</f>
        <v>425.19056712480005</v>
      </c>
      <c r="AK417" s="207"/>
      <c r="AL417" s="445">
        <f t="shared" ref="AL417:AL428" si="3549">M417*AK417*$AL$2/1000</f>
        <v>0</v>
      </c>
      <c r="AM417" s="245">
        <v>2.016</v>
      </c>
      <c r="AN417" s="177">
        <f>M417*AM417*$AN$2/1000</f>
        <v>16.354106496</v>
      </c>
      <c r="AO417" s="207">
        <v>3.84</v>
      </c>
      <c r="AP417" s="206">
        <f t="shared" ref="AP417:AP428" si="3550">M417*AO417*$AP$2/1000</f>
        <v>30.493610496000002</v>
      </c>
      <c r="AQ417" s="189">
        <f t="shared" ref="AQ417" si="3551">SUM(AK417+AM417+AO417)</f>
        <v>5.8559999999999999</v>
      </c>
      <c r="AR417" s="97">
        <f t="shared" si="3535"/>
        <v>46.847716992000002</v>
      </c>
      <c r="AS417" s="97">
        <v>5.6639999999999997</v>
      </c>
      <c r="AT417" s="177">
        <f t="shared" ref="AT417:AT428" si="3552">O417*AS417*$AT$2/1000</f>
        <v>45.916139231999999</v>
      </c>
      <c r="AU417" s="207">
        <v>4.6079999999999997</v>
      </c>
      <c r="AV417" s="177">
        <f t="shared" ref="AV417:AV428" si="3553">O417*AU417*$AV$2/1000</f>
        <v>38.284507699199999</v>
      </c>
      <c r="AW417" s="207">
        <v>5.3760000000000003</v>
      </c>
      <c r="AX417" s="206">
        <f t="shared" ref="AX417:AX428" si="3554">O417*AW417*$AX$2/1000</f>
        <v>45.552998937600002</v>
      </c>
      <c r="AY417" s="189">
        <f t="shared" ref="AY417:AY419" si="3555">SUM(AS417+AU417+AW417)</f>
        <v>15.648</v>
      </c>
      <c r="AZ417" s="97">
        <f t="shared" si="3536"/>
        <v>129.75364586879999</v>
      </c>
      <c r="BA417" s="97">
        <f t="shared" ref="BA417:BA428" si="3556">SUM(AQ417+AY417)</f>
        <v>21.503999999999998</v>
      </c>
      <c r="BB417" s="97">
        <f t="shared" ref="BB417:BB428" si="3557">SUM(AR417,AZ417)</f>
        <v>176.60136286080001</v>
      </c>
    </row>
    <row r="418" spans="1:54" ht="12.75" customHeight="1">
      <c r="A418" s="498">
        <v>274</v>
      </c>
      <c r="B418" s="13"/>
      <c r="C418" s="13"/>
      <c r="D418" s="13" t="s">
        <v>1305</v>
      </c>
      <c r="E418" s="21" t="s">
        <v>1431</v>
      </c>
      <c r="F418" s="46" t="s">
        <v>1432</v>
      </c>
      <c r="G418" s="46" t="s">
        <v>1105</v>
      </c>
      <c r="H418" s="268" t="s">
        <v>365</v>
      </c>
      <c r="I418" s="55">
        <v>6.15</v>
      </c>
      <c r="J418" s="102"/>
      <c r="K418" s="55">
        <v>6.15</v>
      </c>
      <c r="L418" s="102"/>
      <c r="M418" s="55">
        <v>6.15</v>
      </c>
      <c r="N418" s="163"/>
      <c r="O418" s="55">
        <v>6.15</v>
      </c>
      <c r="P418" s="102"/>
      <c r="Q418" s="97">
        <f>SUM(AI418+BA418)</f>
        <v>0</v>
      </c>
      <c r="R418" s="342">
        <f t="shared" si="3538"/>
        <v>0</v>
      </c>
      <c r="S418" s="97"/>
      <c r="T418" s="97">
        <f t="shared" si="3539"/>
        <v>0</v>
      </c>
      <c r="U418" s="97"/>
      <c r="V418" s="177">
        <f t="shared" si="3540"/>
        <v>0</v>
      </c>
      <c r="W418" s="207"/>
      <c r="X418" s="206">
        <f t="shared" si="3541"/>
        <v>0</v>
      </c>
      <c r="Y418" s="189">
        <f t="shared" ref="Y418" si="3558">SUM(S418+U418+W418)</f>
        <v>0</v>
      </c>
      <c r="Z418" s="177">
        <f t="shared" ref="Z418" si="3559">SUM(T418+V418+X418)</f>
        <v>0</v>
      </c>
      <c r="AA418" s="207"/>
      <c r="AB418" s="206">
        <f t="shared" si="3543"/>
        <v>0</v>
      </c>
      <c r="AC418" s="207"/>
      <c r="AD418" s="206">
        <f t="shared" si="3544"/>
        <v>0</v>
      </c>
      <c r="AE418" s="207"/>
      <c r="AF418" s="225">
        <f t="shared" si="3545"/>
        <v>0</v>
      </c>
      <c r="AG418" s="189">
        <f>SUM(AA418+AC418+AE418)</f>
        <v>0</v>
      </c>
      <c r="AH418" s="97">
        <f t="shared" ref="AH418" si="3560">SUM(AB418+AD418+AF418)</f>
        <v>0</v>
      </c>
      <c r="AI418" s="97">
        <f t="shared" si="3547"/>
        <v>0</v>
      </c>
      <c r="AJ418" s="177">
        <f t="shared" si="3548"/>
        <v>0</v>
      </c>
      <c r="AK418" s="207"/>
      <c r="AL418" s="445">
        <f t="shared" si="3549"/>
        <v>0</v>
      </c>
      <c r="AM418" s="245"/>
      <c r="AN418" s="177">
        <f t="shared" ref="AN418" si="3561">M418*AM418*$AN$2/1000</f>
        <v>0</v>
      </c>
      <c r="AO418" s="207"/>
      <c r="AP418" s="206">
        <f t="shared" si="3550"/>
        <v>0</v>
      </c>
      <c r="AQ418" s="189">
        <f t="shared" ref="AQ418" si="3562">SUM(AK418+AM418+AO418)</f>
        <v>0</v>
      </c>
      <c r="AR418" s="97">
        <f t="shared" si="3535"/>
        <v>0</v>
      </c>
      <c r="AS418" s="97"/>
      <c r="AT418" s="177">
        <f t="shared" si="3552"/>
        <v>0</v>
      </c>
      <c r="AU418" s="207"/>
      <c r="AV418" s="177">
        <f>O418*AU418*$AV$2/1000</f>
        <v>0</v>
      </c>
      <c r="AW418" s="207"/>
      <c r="AX418" s="206">
        <f t="shared" si="3554"/>
        <v>0</v>
      </c>
      <c r="AY418" s="189">
        <f t="shared" si="3555"/>
        <v>0</v>
      </c>
      <c r="AZ418" s="97">
        <f t="shared" ref="AZ418" si="3563">SUM(AT418+AV418+AX418)</f>
        <v>0</v>
      </c>
      <c r="BA418" s="97">
        <f t="shared" si="3556"/>
        <v>0</v>
      </c>
      <c r="BB418" s="97">
        <f t="shared" si="3557"/>
        <v>0</v>
      </c>
    </row>
    <row r="419" spans="1:54" ht="12.75" customHeight="1">
      <c r="A419" s="498">
        <v>274</v>
      </c>
      <c r="B419" s="13"/>
      <c r="C419" s="13"/>
      <c r="D419" s="13" t="s">
        <v>1305</v>
      </c>
      <c r="E419" s="21" t="s">
        <v>1414</v>
      </c>
      <c r="F419" s="46" t="s">
        <v>1415</v>
      </c>
      <c r="G419" s="46" t="s">
        <v>1105</v>
      </c>
      <c r="H419" s="268" t="s">
        <v>365</v>
      </c>
      <c r="I419" s="55">
        <v>6</v>
      </c>
      <c r="J419" s="102"/>
      <c r="K419" s="55">
        <v>6</v>
      </c>
      <c r="L419" s="102"/>
      <c r="M419" s="55">
        <v>6</v>
      </c>
      <c r="N419" s="163"/>
      <c r="O419" s="55">
        <v>6</v>
      </c>
      <c r="P419" s="102"/>
      <c r="Q419" s="97">
        <f>SUM(AI419+BA419)</f>
        <v>0</v>
      </c>
      <c r="R419" s="342">
        <f t="shared" si="3538"/>
        <v>0</v>
      </c>
      <c r="S419" s="97"/>
      <c r="T419" s="97">
        <f t="shared" si="3539"/>
        <v>0</v>
      </c>
      <c r="U419" s="97"/>
      <c r="V419" s="177">
        <f t="shared" si="3540"/>
        <v>0</v>
      </c>
      <c r="W419" s="207"/>
      <c r="X419" s="206">
        <f t="shared" si="3541"/>
        <v>0</v>
      </c>
      <c r="Y419" s="189">
        <f t="shared" ref="Y419" si="3564">SUM(S419+U419+W419)</f>
        <v>0</v>
      </c>
      <c r="Z419" s="177">
        <f t="shared" ref="Z419" si="3565">SUM(T419+V419+X419)</f>
        <v>0</v>
      </c>
      <c r="AA419" s="207"/>
      <c r="AB419" s="206">
        <f t="shared" si="3543"/>
        <v>0</v>
      </c>
      <c r="AC419" s="207"/>
      <c r="AD419" s="206">
        <f t="shared" si="3544"/>
        <v>0</v>
      </c>
      <c r="AE419" s="207"/>
      <c r="AF419" s="225">
        <f t="shared" si="3545"/>
        <v>0</v>
      </c>
      <c r="AG419" s="189">
        <f>SUM(AA419+AC419+AE419)</f>
        <v>0</v>
      </c>
      <c r="AH419" s="97">
        <f t="shared" ref="AH419" si="3566">SUM(AB419+AD419+AF419)</f>
        <v>0</v>
      </c>
      <c r="AI419" s="97">
        <f t="shared" si="3547"/>
        <v>0</v>
      </c>
      <c r="AJ419" s="177">
        <f t="shared" si="3548"/>
        <v>0</v>
      </c>
      <c r="AK419" s="207"/>
      <c r="AL419" s="445">
        <f t="shared" si="3549"/>
        <v>0</v>
      </c>
      <c r="AM419" s="245"/>
      <c r="AN419" s="177">
        <f t="shared" ref="AN419" si="3567">M419*AM419*$AN$2/1000</f>
        <v>0</v>
      </c>
      <c r="AO419" s="207"/>
      <c r="AP419" s="206">
        <f t="shared" si="3550"/>
        <v>0</v>
      </c>
      <c r="AQ419" s="189">
        <f>SUM(AK419+AM419+AO419)</f>
        <v>0</v>
      </c>
      <c r="AR419" s="97">
        <f t="shared" si="3535"/>
        <v>0</v>
      </c>
      <c r="AS419" s="97"/>
      <c r="AT419" s="177">
        <f t="shared" si="3552"/>
        <v>0</v>
      </c>
      <c r="AU419" s="207"/>
      <c r="AV419" s="177">
        <f>O419*AU419*$AV$2/1000</f>
        <v>0</v>
      </c>
      <c r="AW419" s="207"/>
      <c r="AX419" s="206">
        <f t="shared" si="3554"/>
        <v>0</v>
      </c>
      <c r="AY419" s="189">
        <f t="shared" si="3555"/>
        <v>0</v>
      </c>
      <c r="AZ419" s="97">
        <f t="shared" ref="AZ419" si="3568">SUM(AT419+AV419+AX419)</f>
        <v>0</v>
      </c>
      <c r="BA419" s="97">
        <f t="shared" si="3556"/>
        <v>0</v>
      </c>
      <c r="BB419" s="97">
        <f t="shared" si="3557"/>
        <v>0</v>
      </c>
    </row>
    <row r="420" spans="1:54" ht="12.75" customHeight="1">
      <c r="A420" s="498">
        <v>270</v>
      </c>
      <c r="B420" s="13"/>
      <c r="C420" s="13"/>
      <c r="D420" s="13" t="s">
        <v>1305</v>
      </c>
      <c r="E420" s="21" t="s">
        <v>1317</v>
      </c>
      <c r="F420" s="46" t="s">
        <v>1318</v>
      </c>
      <c r="G420" s="46" t="s">
        <v>1316</v>
      </c>
      <c r="H420" s="268" t="s">
        <v>365</v>
      </c>
      <c r="I420" s="55">
        <v>6.36</v>
      </c>
      <c r="J420" s="102"/>
      <c r="K420" s="55">
        <v>6.36</v>
      </c>
      <c r="L420" s="102"/>
      <c r="M420" s="55">
        <v>6.2</v>
      </c>
      <c r="N420" s="163"/>
      <c r="O420" s="55">
        <v>6.2</v>
      </c>
      <c r="P420" s="102"/>
      <c r="Q420" s="97">
        <f t="shared" si="3537"/>
        <v>16.070999999999998</v>
      </c>
      <c r="R420" s="342">
        <f t="shared" si="3538"/>
        <v>137.41414811519999</v>
      </c>
      <c r="S420" s="97">
        <v>0.36</v>
      </c>
      <c r="T420" s="97">
        <f t="shared" si="3539"/>
        <v>3.0265993440000001</v>
      </c>
      <c r="U420" s="97"/>
      <c r="V420" s="177">
        <f t="shared" si="3540"/>
        <v>0</v>
      </c>
      <c r="W420" s="207">
        <v>1.728</v>
      </c>
      <c r="X420" s="206">
        <f t="shared" si="3541"/>
        <v>14.623400448</v>
      </c>
      <c r="Y420" s="189">
        <f>SUM(S420+U420+W420)</f>
        <v>2.0880000000000001</v>
      </c>
      <c r="Z420" s="177">
        <f t="shared" ref="Z420:Z421" si="3569">SUM(T420+V420+X420)</f>
        <v>17.649999791999999</v>
      </c>
      <c r="AA420" s="207">
        <v>1.3680000000000001</v>
      </c>
      <c r="AB420" s="206">
        <f t="shared" si="3543"/>
        <v>11.868498777599999</v>
      </c>
      <c r="AC420" s="207"/>
      <c r="AD420" s="206">
        <f t="shared" si="3544"/>
        <v>0</v>
      </c>
      <c r="AE420" s="207">
        <v>1.742</v>
      </c>
      <c r="AF420" s="206">
        <f t="shared" si="3545"/>
        <v>15.276223029599999</v>
      </c>
      <c r="AG420" s="189">
        <f>SUM(AA420+AC420+AE420)</f>
        <v>3.1100000000000003</v>
      </c>
      <c r="AH420" s="97">
        <f t="shared" ref="AH420:AH421" si="3570">SUM(AB420+AD420+AF420)</f>
        <v>27.1447218072</v>
      </c>
      <c r="AI420" s="97">
        <f t="shared" si="3547"/>
        <v>5.1980000000000004</v>
      </c>
      <c r="AJ420" s="177">
        <f t="shared" si="3548"/>
        <v>44.794721599200003</v>
      </c>
      <c r="AK420" s="207">
        <v>4.68</v>
      </c>
      <c r="AL420" s="445">
        <f t="shared" si="3549"/>
        <v>40.131449279999991</v>
      </c>
      <c r="AM420" s="245">
        <v>1E-3</v>
      </c>
      <c r="AN420" s="177">
        <f>M420*AM420*$AN$2/1000</f>
        <v>8.4388199999999997E-3</v>
      </c>
      <c r="AO420" s="207">
        <v>2.88</v>
      </c>
      <c r="AP420" s="206">
        <f t="shared" si="3550"/>
        <v>23.791155839999998</v>
      </c>
      <c r="AQ420" s="189">
        <f t="shared" ref="AQ420" si="3571">SUM(AK420+AM420+AO420)</f>
        <v>7.5609999999999999</v>
      </c>
      <c r="AR420" s="97">
        <f t="shared" ref="AR420:AR421" si="3572">SUM(AL420+AN420+AP420)</f>
        <v>63.931043939999995</v>
      </c>
      <c r="AS420" s="97">
        <v>0.64800000000000002</v>
      </c>
      <c r="AT420" s="177">
        <f t="shared" si="3552"/>
        <v>5.4554990399999994</v>
      </c>
      <c r="AU420" s="207">
        <v>1.224</v>
      </c>
      <c r="AV420" s="177">
        <f t="shared" si="3553"/>
        <v>10.561105295999999</v>
      </c>
      <c r="AW420" s="207">
        <v>1.44</v>
      </c>
      <c r="AX420" s="206">
        <f>O420*AW420*$AX$2/1000</f>
        <v>12.671778239999998</v>
      </c>
      <c r="AY420" s="189">
        <f>SUM(AS420+AU420+AW420)</f>
        <v>3.3119999999999998</v>
      </c>
      <c r="AZ420" s="97">
        <f>SUM(AT420+AV420+AX420)</f>
        <v>28.688382575999999</v>
      </c>
      <c r="BA420" s="97">
        <f t="shared" si="3556"/>
        <v>10.872999999999999</v>
      </c>
      <c r="BB420" s="97">
        <f t="shared" si="3557"/>
        <v>92.61942651599999</v>
      </c>
    </row>
    <row r="421" spans="1:54" ht="12.75" customHeight="1">
      <c r="A421" s="498">
        <v>274</v>
      </c>
      <c r="B421" s="13"/>
      <c r="C421" s="13"/>
      <c r="D421" s="13" t="s">
        <v>1305</v>
      </c>
      <c r="E421" s="21" t="s">
        <v>1429</v>
      </c>
      <c r="F421" s="46" t="s">
        <v>1430</v>
      </c>
      <c r="G421" s="46" t="s">
        <v>1105</v>
      </c>
      <c r="H421" s="268" t="s">
        <v>365</v>
      </c>
      <c r="I421" s="55">
        <v>6.34</v>
      </c>
      <c r="J421" s="102"/>
      <c r="K421" s="55">
        <v>6.34</v>
      </c>
      <c r="L421" s="102"/>
      <c r="M421" s="55">
        <v>6</v>
      </c>
      <c r="N421" s="163"/>
      <c r="O421" s="55">
        <v>6</v>
      </c>
      <c r="P421" s="102"/>
      <c r="Q421" s="97">
        <f>SUM(AI421+BA421)</f>
        <v>0.52800000000000002</v>
      </c>
      <c r="R421" s="342">
        <f t="shared" si="3538"/>
        <v>4.4657085312000007</v>
      </c>
      <c r="S421" s="97"/>
      <c r="T421" s="97">
        <f t="shared" si="3539"/>
        <v>0</v>
      </c>
      <c r="U421" s="97"/>
      <c r="V421" s="177">
        <f t="shared" si="3540"/>
        <v>0</v>
      </c>
      <c r="W421" s="207"/>
      <c r="X421" s="206">
        <f t="shared" si="3541"/>
        <v>0</v>
      </c>
      <c r="Y421" s="189">
        <f t="shared" ref="Y421" si="3573">SUM(S421+U421+W421)</f>
        <v>0</v>
      </c>
      <c r="Z421" s="177">
        <f t="shared" si="3569"/>
        <v>0</v>
      </c>
      <c r="AA421" s="207">
        <v>9.6000000000000002E-2</v>
      </c>
      <c r="AB421" s="206">
        <f t="shared" si="3543"/>
        <v>0.8302579967999999</v>
      </c>
      <c r="AC421" s="207">
        <v>9.6000000000000002E-2</v>
      </c>
      <c r="AD421" s="206">
        <f t="shared" si="3544"/>
        <v>0.83361160319999994</v>
      </c>
      <c r="AE421" s="207">
        <v>9.6000000000000002E-2</v>
      </c>
      <c r="AF421" s="225">
        <f t="shared" si="3545"/>
        <v>0.83921109119999993</v>
      </c>
      <c r="AG421" s="189">
        <f t="shared" ref="AG421" si="3574">SUM(AA421+AC421+AE421)</f>
        <v>0.28800000000000003</v>
      </c>
      <c r="AH421" s="97">
        <f t="shared" si="3570"/>
        <v>2.5030806912000001</v>
      </c>
      <c r="AI421" s="97">
        <f t="shared" si="3547"/>
        <v>0.28800000000000003</v>
      </c>
      <c r="AJ421" s="177">
        <f t="shared" si="3548"/>
        <v>2.5030806912000001</v>
      </c>
      <c r="AK421" s="207">
        <v>4.8000000000000001E-2</v>
      </c>
      <c r="AL421" s="445">
        <f t="shared" si="3549"/>
        <v>0.39832704000000002</v>
      </c>
      <c r="AM421" s="245"/>
      <c r="AN421" s="177">
        <f t="shared" ref="AN421" si="3575">M421*AM421*$AN$2/1000</f>
        <v>0</v>
      </c>
      <c r="AO421" s="207"/>
      <c r="AP421" s="206">
        <f t="shared" si="3550"/>
        <v>0</v>
      </c>
      <c r="AQ421" s="189">
        <f t="shared" ref="AQ421" si="3576">SUM(AK421+AM421+AO421)</f>
        <v>4.8000000000000001E-2</v>
      </c>
      <c r="AR421" s="97">
        <f t="shared" si="3572"/>
        <v>0.39832704000000002</v>
      </c>
      <c r="AS421" s="97">
        <v>0.192</v>
      </c>
      <c r="AT421" s="177">
        <f t="shared" si="3552"/>
        <v>1.5643008000000003</v>
      </c>
      <c r="AU421" s="207"/>
      <c r="AV421" s="177">
        <f>O421*AU421*$AV$2/1000</f>
        <v>0</v>
      </c>
      <c r="AW421" s="207"/>
      <c r="AX421" s="206">
        <f t="shared" ref="AX421" si="3577">O421*AW421*$AX$2/1000</f>
        <v>0</v>
      </c>
      <c r="AY421" s="189">
        <f t="shared" ref="AY421" si="3578">SUM(AS421+AU421+AW421)</f>
        <v>0.192</v>
      </c>
      <c r="AZ421" s="97">
        <f t="shared" ref="AZ421" si="3579">SUM(AT421+AV421+AX421)</f>
        <v>1.5643008000000003</v>
      </c>
      <c r="BA421" s="97">
        <f t="shared" si="3556"/>
        <v>0.24</v>
      </c>
      <c r="BB421" s="97">
        <f t="shared" si="3557"/>
        <v>1.9626278400000003</v>
      </c>
    </row>
    <row r="422" spans="1:54" ht="12.75" customHeight="1">
      <c r="A422" s="498">
        <v>270</v>
      </c>
      <c r="B422" s="13"/>
      <c r="C422" s="13"/>
      <c r="D422" s="13" t="s">
        <v>1305</v>
      </c>
      <c r="E422" s="21" t="s">
        <v>1314</v>
      </c>
      <c r="F422" s="46" t="s">
        <v>1315</v>
      </c>
      <c r="G422" s="46" t="s">
        <v>1316</v>
      </c>
      <c r="H422" s="268" t="s">
        <v>365</v>
      </c>
      <c r="I422" s="55">
        <v>6.15</v>
      </c>
      <c r="J422" s="102"/>
      <c r="K422" s="55">
        <v>6.15</v>
      </c>
      <c r="L422" s="102"/>
      <c r="M422" s="55">
        <v>6</v>
      </c>
      <c r="N422" s="163"/>
      <c r="O422" s="55">
        <v>6</v>
      </c>
      <c r="P422" s="102"/>
      <c r="Q422" s="97">
        <f t="shared" si="3537"/>
        <v>7.25</v>
      </c>
      <c r="R422" s="342">
        <f t="shared" si="3538"/>
        <v>59.579179920000009</v>
      </c>
      <c r="S422" s="97">
        <v>2.16</v>
      </c>
      <c r="T422" s="97">
        <f t="shared" si="3539"/>
        <v>17.559986760000005</v>
      </c>
      <c r="U422" s="97"/>
      <c r="V422" s="177">
        <f t="shared" si="3540"/>
        <v>0</v>
      </c>
      <c r="W422" s="207"/>
      <c r="X422" s="206">
        <f t="shared" si="3541"/>
        <v>0</v>
      </c>
      <c r="Y422" s="189">
        <f>SUM(S422+U422+W422)</f>
        <v>2.16</v>
      </c>
      <c r="Z422" s="177">
        <f t="shared" ref="Z422" si="3580">SUM(T422+V422+X422)</f>
        <v>17.559986760000005</v>
      </c>
      <c r="AA422" s="207">
        <v>0.54</v>
      </c>
      <c r="AB422" s="206">
        <f t="shared" si="3543"/>
        <v>4.5302425200000007</v>
      </c>
      <c r="AC422" s="207">
        <v>1.08</v>
      </c>
      <c r="AD422" s="206">
        <f t="shared" si="3544"/>
        <v>9.0970824600000029</v>
      </c>
      <c r="AE422" s="207">
        <v>0.2</v>
      </c>
      <c r="AF422" s="206">
        <f t="shared" si="3545"/>
        <v>1.6959609000000002</v>
      </c>
      <c r="AG422" s="189">
        <f>SUM(AA422+AC422+AE422)</f>
        <v>1.82</v>
      </c>
      <c r="AH422" s="97">
        <f t="shared" ref="AH422" si="3581">SUM(AB422+AD422+AF422)</f>
        <v>15.323285880000004</v>
      </c>
      <c r="AI422" s="97">
        <f t="shared" si="3547"/>
        <v>3.9800000000000004</v>
      </c>
      <c r="AJ422" s="177">
        <f t="shared" si="3548"/>
        <v>32.883272640000008</v>
      </c>
      <c r="AK422" s="207"/>
      <c r="AL422" s="445">
        <f t="shared" si="3549"/>
        <v>0</v>
      </c>
      <c r="AM422" s="245">
        <v>0.92400000000000004</v>
      </c>
      <c r="AN422" s="177">
        <f>M422*AM422*$AN$2/1000</f>
        <v>7.5459383999999998</v>
      </c>
      <c r="AO422" s="207">
        <v>0.91200000000000003</v>
      </c>
      <c r="AP422" s="206">
        <f t="shared" si="3550"/>
        <v>7.2908380800000012</v>
      </c>
      <c r="AQ422" s="189">
        <f t="shared" ref="AQ422" si="3582">SUM(AK422+AM422+AO422)</f>
        <v>1.8360000000000001</v>
      </c>
      <c r="AR422" s="97">
        <f t="shared" ref="AR422" si="3583">SUM(AL422+AN422+AP422)</f>
        <v>14.836776480000001</v>
      </c>
      <c r="AS422" s="97">
        <v>0.71399999999999997</v>
      </c>
      <c r="AT422" s="177">
        <f t="shared" si="3552"/>
        <v>5.8172435999999994</v>
      </c>
      <c r="AU422" s="207">
        <v>0.54</v>
      </c>
      <c r="AV422" s="177">
        <f t="shared" si="3553"/>
        <v>4.5090108000000013</v>
      </c>
      <c r="AW422" s="207">
        <v>0.18</v>
      </c>
      <c r="AX422" s="206">
        <f t="shared" si="3554"/>
        <v>1.5328764000000001</v>
      </c>
      <c r="AY422" s="189">
        <f>SUM(AS422+AU422+AW422)</f>
        <v>1.4339999999999999</v>
      </c>
      <c r="AZ422" s="97">
        <f>SUM(AT422+AV422+AX422)</f>
        <v>11.859130799999999</v>
      </c>
      <c r="BA422" s="97">
        <f t="shared" si="3556"/>
        <v>3.27</v>
      </c>
      <c r="BB422" s="97">
        <f t="shared" si="3557"/>
        <v>26.69590728</v>
      </c>
    </row>
    <row r="423" spans="1:54">
      <c r="B423" s="13"/>
      <c r="C423" s="13"/>
      <c r="D423" s="13" t="s">
        <v>1305</v>
      </c>
      <c r="E423" s="21" t="s">
        <v>1224</v>
      </c>
      <c r="F423" s="22" t="s">
        <v>1226</v>
      </c>
      <c r="G423" s="46" t="s">
        <v>1101</v>
      </c>
      <c r="H423" s="268" t="s">
        <v>365</v>
      </c>
      <c r="I423" s="55">
        <v>6.05</v>
      </c>
      <c r="J423" s="102"/>
      <c r="K423" s="55">
        <v>6.05</v>
      </c>
      <c r="L423" s="102"/>
      <c r="M423" s="55">
        <v>5.95</v>
      </c>
      <c r="N423" s="163"/>
      <c r="O423" s="55">
        <v>5.95</v>
      </c>
      <c r="P423" s="102"/>
      <c r="Q423" s="97">
        <f t="shared" ref="Q423" si="3584">SUM(AI423+BA423)</f>
        <v>4.6959999999999997</v>
      </c>
      <c r="R423" s="342">
        <f t="shared" ref="R423" si="3585">SUM(AJ423+BB423)</f>
        <v>38.095432872000003</v>
      </c>
      <c r="S423" s="97"/>
      <c r="T423" s="97">
        <f>I423*S423*$T$2/1000</f>
        <v>0</v>
      </c>
      <c r="U423" s="97"/>
      <c r="V423" s="177">
        <f>I423*U423*$V$2/1000</f>
        <v>0</v>
      </c>
      <c r="W423" s="207"/>
      <c r="X423" s="206">
        <f>I423*W423*$X$2/1000</f>
        <v>0</v>
      </c>
      <c r="Y423" s="189">
        <f t="shared" ref="Y423" si="3586">SUM(S423+U423+W423)</f>
        <v>0</v>
      </c>
      <c r="Z423" s="177">
        <f t="shared" ref="Z423" si="3587">SUM(T423+V423+X423)</f>
        <v>0</v>
      </c>
      <c r="AA423" s="207"/>
      <c r="AB423" s="206">
        <f>K423*AA423*$AB$2/1000</f>
        <v>0</v>
      </c>
      <c r="AC423" s="207"/>
      <c r="AD423" s="177">
        <f>K423*AC423*$AD$2/1000</f>
        <v>0</v>
      </c>
      <c r="AE423" s="207"/>
      <c r="AF423" s="206">
        <f t="shared" ref="AF423" si="3588">K423*AE423*$AF$2/1000</f>
        <v>0</v>
      </c>
      <c r="AG423" s="189">
        <f t="shared" ref="AG423" si="3589">SUM(AA423+AC423+AE423)</f>
        <v>0</v>
      </c>
      <c r="AH423" s="97">
        <f t="shared" ref="AH423" si="3590">SUM(AB423+AD423+AF423)</f>
        <v>0</v>
      </c>
      <c r="AI423" s="97">
        <f t="shared" ref="AI423" si="3591">SUM(Y423+AG423)</f>
        <v>0</v>
      </c>
      <c r="AJ423" s="177">
        <f t="shared" ref="AJ423" si="3592">SUM(Z423,AH423)</f>
        <v>0</v>
      </c>
      <c r="AK423" s="207"/>
      <c r="AL423" s="177">
        <f t="shared" ref="AL423" si="3593">M423*AK423*$AL$2/1000</f>
        <v>0</v>
      </c>
      <c r="AM423" s="245">
        <v>2.3919999999999999</v>
      </c>
      <c r="AN423" s="177">
        <f t="shared" ref="AN423" si="3594">M423*AM423*$AN$2/1000</f>
        <v>19.371719639999998</v>
      </c>
      <c r="AO423" s="207">
        <v>0.67200000000000004</v>
      </c>
      <c r="AP423" s="206">
        <f t="shared" ref="AP423" si="3595">M423*AO423*$AP$2/1000</f>
        <v>5.3274281760000006</v>
      </c>
      <c r="AQ423" s="189">
        <f t="shared" ref="AQ423" si="3596">SUM(AK423+AM423+AO423)</f>
        <v>3.0640000000000001</v>
      </c>
      <c r="AR423" s="97">
        <f t="shared" ref="AR423" si="3597">SUM(AL423+AN423+AP423)</f>
        <v>24.699147816</v>
      </c>
      <c r="AS423" s="97">
        <v>1.056</v>
      </c>
      <c r="AT423" s="177">
        <f t="shared" ref="AT423" si="3598">O423*AS423*$AT$2/1000</f>
        <v>8.5319572800000021</v>
      </c>
      <c r="AU423" s="207"/>
      <c r="AV423" s="177">
        <f t="shared" ref="AV423" si="3599">O423*AU423*$AV$2/1000</f>
        <v>0</v>
      </c>
      <c r="AW423" s="207">
        <v>0.57599999999999996</v>
      </c>
      <c r="AX423" s="206">
        <f t="shared" ref="AX423" si="3600">O423*AW423*$AX$2/1000</f>
        <v>4.8643277759999997</v>
      </c>
      <c r="AY423" s="189">
        <f t="shared" ref="AY423" si="3601">SUM(AS423+AU423+AW423)</f>
        <v>1.6320000000000001</v>
      </c>
      <c r="AZ423" s="97">
        <f t="shared" ref="AZ423" si="3602">SUM(AT423+AV423+AX423)</f>
        <v>13.396285056000002</v>
      </c>
      <c r="BA423" s="97">
        <f t="shared" ref="BA423" si="3603">SUM(AQ423+AY423)</f>
        <v>4.6959999999999997</v>
      </c>
      <c r="BB423" s="97">
        <f t="shared" ref="BB423" si="3604">SUM(AR423,AZ423)</f>
        <v>38.095432872000003</v>
      </c>
    </row>
    <row r="424" spans="1:54">
      <c r="B424" s="13"/>
      <c r="C424" s="13"/>
      <c r="D424" s="13" t="s">
        <v>1305</v>
      </c>
      <c r="E424" s="552" t="s">
        <v>1225</v>
      </c>
      <c r="F424" s="22" t="s">
        <v>1227</v>
      </c>
      <c r="G424" s="46" t="s">
        <v>1101</v>
      </c>
      <c r="H424" s="268" t="s">
        <v>365</v>
      </c>
      <c r="I424" s="55">
        <v>6.1</v>
      </c>
      <c r="J424" s="102"/>
      <c r="K424" s="55">
        <v>6.1</v>
      </c>
      <c r="L424" s="102"/>
      <c r="M424" s="55">
        <v>5.95</v>
      </c>
      <c r="N424" s="163"/>
      <c r="O424" s="55">
        <v>5.95</v>
      </c>
      <c r="P424" s="102"/>
      <c r="Q424" s="97">
        <f t="shared" si="3537"/>
        <v>20.448</v>
      </c>
      <c r="R424" s="342">
        <f t="shared" si="3538"/>
        <v>165.34650239999999</v>
      </c>
      <c r="S424" s="97">
        <v>11.52</v>
      </c>
      <c r="T424" s="97">
        <f>I424*S424*$T$2/1000</f>
        <v>92.891854079999987</v>
      </c>
      <c r="U424" s="97">
        <v>8.9280000000000008</v>
      </c>
      <c r="V424" s="177">
        <f>I424*U424*$V$2/1000</f>
        <v>72.454648320000004</v>
      </c>
      <c r="W424" s="207"/>
      <c r="X424" s="206">
        <f>I424*W424*$X$2/1000</f>
        <v>0</v>
      </c>
      <c r="Y424" s="189">
        <f t="shared" ref="Y424:Y425" si="3605">SUM(S424+U424+W424)</f>
        <v>20.448</v>
      </c>
      <c r="Z424" s="177">
        <f t="shared" ref="Z424:Z426" si="3606">SUM(T424+V424+X424)</f>
        <v>165.34650239999999</v>
      </c>
      <c r="AA424" s="207"/>
      <c r="AB424" s="206">
        <f>K424*AA424*$AB$2/1000</f>
        <v>0</v>
      </c>
      <c r="AC424" s="207"/>
      <c r="AD424" s="177">
        <f>K424*AC424*$AD$2/1000</f>
        <v>0</v>
      </c>
      <c r="AE424" s="207"/>
      <c r="AF424" s="206">
        <f t="shared" si="3545"/>
        <v>0</v>
      </c>
      <c r="AG424" s="189">
        <f t="shared" ref="AG424:AG425" si="3607">SUM(AA424+AC424+AE424)</f>
        <v>0</v>
      </c>
      <c r="AH424" s="97">
        <f t="shared" ref="AH424:AH426" si="3608">SUM(AB424+AD424+AF424)</f>
        <v>0</v>
      </c>
      <c r="AI424" s="97">
        <f t="shared" si="3547"/>
        <v>20.448</v>
      </c>
      <c r="AJ424" s="177">
        <f t="shared" si="3548"/>
        <v>165.34650239999999</v>
      </c>
      <c r="AK424" s="207"/>
      <c r="AL424" s="177">
        <f t="shared" si="3549"/>
        <v>0</v>
      </c>
      <c r="AM424" s="245"/>
      <c r="AN424" s="177">
        <f t="shared" ref="AN424:AN426" si="3609">M424*AM424*$AN$2/1000</f>
        <v>0</v>
      </c>
      <c r="AO424" s="207"/>
      <c r="AP424" s="206">
        <f t="shared" si="3550"/>
        <v>0</v>
      </c>
      <c r="AQ424" s="189">
        <f t="shared" ref="AQ424" si="3610">SUM(AK424+AM424+AO424)</f>
        <v>0</v>
      </c>
      <c r="AR424" s="97">
        <f t="shared" ref="AR424:AR426" si="3611">SUM(AL424+AN424+AP424)</f>
        <v>0</v>
      </c>
      <c r="AS424" s="97"/>
      <c r="AT424" s="177">
        <f t="shared" si="3552"/>
        <v>0</v>
      </c>
      <c r="AU424" s="207"/>
      <c r="AV424" s="177">
        <f t="shared" si="3553"/>
        <v>0</v>
      </c>
      <c r="AW424" s="207"/>
      <c r="AX424" s="206">
        <f t="shared" si="3554"/>
        <v>0</v>
      </c>
      <c r="AY424" s="189">
        <f>SUM(AS424+AU424+AW424)</f>
        <v>0</v>
      </c>
      <c r="AZ424" s="97">
        <f t="shared" ref="AZ424" si="3612">SUM(AT424+AV424+AX424)</f>
        <v>0</v>
      </c>
      <c r="BA424" s="97">
        <f t="shared" si="3556"/>
        <v>0</v>
      </c>
      <c r="BB424" s="97">
        <f t="shared" si="3557"/>
        <v>0</v>
      </c>
    </row>
    <row r="425" spans="1:54" ht="12.75" customHeight="1">
      <c r="A425" s="498">
        <v>274</v>
      </c>
      <c r="B425" s="13"/>
      <c r="C425" s="13"/>
      <c r="D425" s="13" t="s">
        <v>1305</v>
      </c>
      <c r="E425" s="552" t="s">
        <v>1225</v>
      </c>
      <c r="F425" s="22" t="s">
        <v>1227</v>
      </c>
      <c r="G425" s="46" t="s">
        <v>1105</v>
      </c>
      <c r="H425" s="268" t="s">
        <v>365</v>
      </c>
      <c r="I425" s="55">
        <v>6</v>
      </c>
      <c r="J425" s="102"/>
      <c r="K425" s="55">
        <v>6</v>
      </c>
      <c r="L425" s="102"/>
      <c r="M425" s="55">
        <v>5.95</v>
      </c>
      <c r="N425" s="163"/>
      <c r="O425" s="55">
        <v>5.95</v>
      </c>
      <c r="P425" s="102"/>
      <c r="Q425" s="97">
        <f>SUM(AI425+BA425)</f>
        <v>203.13600000000002</v>
      </c>
      <c r="R425" s="342">
        <f t="shared" ref="R425" si="3613">SUM(AJ425+BB425)</f>
        <v>1658.388431808</v>
      </c>
      <c r="S425" s="97"/>
      <c r="T425" s="97">
        <f t="shared" ref="T425" si="3614">I425*S425*$T$2/1000</f>
        <v>0</v>
      </c>
      <c r="U425" s="97"/>
      <c r="V425" s="177">
        <f t="shared" ref="V425" si="3615">I425*U425*$V$2/1000</f>
        <v>0</v>
      </c>
      <c r="W425" s="207">
        <v>29.856000000000002</v>
      </c>
      <c r="X425" s="206">
        <f t="shared" ref="X425" si="3616">I425*W425*$X$2/1000</f>
        <v>238.35836159999999</v>
      </c>
      <c r="Y425" s="189">
        <f t="shared" si="3605"/>
        <v>29.856000000000002</v>
      </c>
      <c r="Z425" s="177">
        <f>SUM(T425+V425+X425)</f>
        <v>238.35836159999999</v>
      </c>
      <c r="AA425" s="207">
        <v>12.864000000000001</v>
      </c>
      <c r="AB425" s="206">
        <f t="shared" ref="AB425" si="3617">K425*AA425*$AB$2/1000</f>
        <v>105.28823807999999</v>
      </c>
      <c r="AC425" s="207">
        <v>25.344000000000001</v>
      </c>
      <c r="AD425" s="206">
        <f t="shared" ref="AD425" si="3618">K425*AC425*$AD$2/1000</f>
        <v>208.27141632000004</v>
      </c>
      <c r="AE425" s="207">
        <v>18.431999999999999</v>
      </c>
      <c r="AF425" s="225">
        <f t="shared" ref="AF425" si="3619">K425*AE425*$AF$2/1000</f>
        <v>152.48756735999996</v>
      </c>
      <c r="AG425" s="189">
        <f t="shared" si="3607"/>
        <v>56.64</v>
      </c>
      <c r="AH425" s="97">
        <f>SUM(AB425+AD425+AF425)</f>
        <v>466.04722175999996</v>
      </c>
      <c r="AI425" s="97">
        <f t="shared" ref="AI425" si="3620">SUM(Y425+AG425)</f>
        <v>86.496000000000009</v>
      </c>
      <c r="AJ425" s="177">
        <f t="shared" ref="AJ425" si="3621">SUM(Z425,AH425)</f>
        <v>704.40558335999992</v>
      </c>
      <c r="AK425" s="207">
        <v>22.175999999999998</v>
      </c>
      <c r="AL425" s="445">
        <f t="shared" ref="AL425" si="3622">M425*AK425*$AL$2/1000</f>
        <v>182.49353337599999</v>
      </c>
      <c r="AM425" s="245">
        <v>6.9119999999999999</v>
      </c>
      <c r="AN425" s="177">
        <f t="shared" ref="AN425" si="3623">M425*AM425*$AN$2/1000</f>
        <v>55.977143040000001</v>
      </c>
      <c r="AO425" s="207">
        <v>20.736000000000001</v>
      </c>
      <c r="AP425" s="206">
        <f t="shared" ref="AP425" si="3624">M425*AO425*$AP$2/1000</f>
        <v>164.38921228800004</v>
      </c>
      <c r="AQ425" s="189">
        <f>SUM(AK425+AM425+AO425)</f>
        <v>49.823999999999998</v>
      </c>
      <c r="AR425" s="97">
        <f t="shared" ref="AR425" si="3625">SUM(AL425+AN425+AP425)</f>
        <v>402.85988870400001</v>
      </c>
      <c r="AS425" s="97">
        <v>27.648</v>
      </c>
      <c r="AT425" s="177">
        <f t="shared" ref="AT425" si="3626">O425*AS425*$AT$2/1000</f>
        <v>223.38215424000003</v>
      </c>
      <c r="AU425" s="207">
        <v>18.431999999999999</v>
      </c>
      <c r="AV425" s="177">
        <f>O425*AU425*$AV$2/1000</f>
        <v>152.62500556800003</v>
      </c>
      <c r="AW425" s="207">
        <v>20.736000000000001</v>
      </c>
      <c r="AX425" s="206">
        <f>O425*AW425*$AX$2/1000</f>
        <v>175.115799936</v>
      </c>
      <c r="AY425" s="189">
        <f t="shared" ref="AY425" si="3627">SUM(AS425+AU425+AW425)</f>
        <v>66.816000000000003</v>
      </c>
      <c r="AZ425" s="97">
        <f>SUM(AT425+AV425+AX425)</f>
        <v>551.12295974400013</v>
      </c>
      <c r="BA425" s="97">
        <f t="shared" ref="BA425" si="3628">SUM(AQ425+AY425)</f>
        <v>116.64</v>
      </c>
      <c r="BB425" s="97">
        <f t="shared" ref="BB425" si="3629">SUM(AR425,AZ425)</f>
        <v>953.98284844800014</v>
      </c>
    </row>
    <row r="426" spans="1:54" ht="12.75" customHeight="1">
      <c r="A426" s="498">
        <v>274</v>
      </c>
      <c r="B426" s="13"/>
      <c r="C426" s="13"/>
      <c r="D426" s="13" t="s">
        <v>1305</v>
      </c>
      <c r="E426" s="21" t="s">
        <v>1491</v>
      </c>
      <c r="F426" s="46" t="s">
        <v>1492</v>
      </c>
      <c r="G426" s="46" t="s">
        <v>1105</v>
      </c>
      <c r="H426" s="268" t="s">
        <v>365</v>
      </c>
      <c r="I426" s="55">
        <v>7.55</v>
      </c>
      <c r="J426" s="102"/>
      <c r="K426" s="55">
        <v>7.55</v>
      </c>
      <c r="L426" s="102"/>
      <c r="M426" s="55">
        <v>7.55</v>
      </c>
      <c r="N426" s="163"/>
      <c r="O426" s="55">
        <v>7.55</v>
      </c>
      <c r="P426" s="102"/>
      <c r="Q426" s="97">
        <f>SUM(AI426+BA426)</f>
        <v>0</v>
      </c>
      <c r="R426" s="342">
        <f t="shared" si="3538"/>
        <v>0</v>
      </c>
      <c r="S426" s="97"/>
      <c r="T426" s="97">
        <f t="shared" ref="T426" si="3630">I426*S426*$T$2/1000</f>
        <v>0</v>
      </c>
      <c r="U426" s="97"/>
      <c r="V426" s="177">
        <f t="shared" ref="V426" si="3631">I426*U426*$V$2/1000</f>
        <v>0</v>
      </c>
      <c r="W426" s="207"/>
      <c r="X426" s="206">
        <f t="shared" ref="X426" si="3632">I426*W426*$X$2/1000</f>
        <v>0</v>
      </c>
      <c r="Y426" s="189">
        <f t="shared" ref="Y426" si="3633">SUM(S426+U426+W426)</f>
        <v>0</v>
      </c>
      <c r="Z426" s="177">
        <f t="shared" si="3606"/>
        <v>0</v>
      </c>
      <c r="AA426" s="207"/>
      <c r="AB426" s="206">
        <f t="shared" ref="AB426" si="3634">K426*AA426*$AB$2/1000</f>
        <v>0</v>
      </c>
      <c r="AC426" s="207"/>
      <c r="AD426" s="206">
        <f t="shared" ref="AD426" si="3635">K426*AC426*$AD$2/1000</f>
        <v>0</v>
      </c>
      <c r="AE426" s="207"/>
      <c r="AF426" s="225">
        <f t="shared" si="3545"/>
        <v>0</v>
      </c>
      <c r="AG426" s="189">
        <f t="shared" ref="AG426" si="3636">SUM(AA426+AC426+AE426)</f>
        <v>0</v>
      </c>
      <c r="AH426" s="97">
        <f t="shared" si="3608"/>
        <v>0</v>
      </c>
      <c r="AI426" s="97">
        <f t="shared" si="3547"/>
        <v>0</v>
      </c>
      <c r="AJ426" s="177">
        <f t="shared" si="3548"/>
        <v>0</v>
      </c>
      <c r="AK426" s="207"/>
      <c r="AL426" s="445">
        <f t="shared" si="3549"/>
        <v>0</v>
      </c>
      <c r="AM426" s="245"/>
      <c r="AN426" s="177">
        <f t="shared" si="3609"/>
        <v>0</v>
      </c>
      <c r="AO426" s="207"/>
      <c r="AP426" s="206">
        <f t="shared" si="3550"/>
        <v>0</v>
      </c>
      <c r="AQ426" s="189">
        <f>SUM(AK426+AM426+AO426)</f>
        <v>0</v>
      </c>
      <c r="AR426" s="97">
        <f t="shared" si="3611"/>
        <v>0</v>
      </c>
      <c r="AS426" s="97"/>
      <c r="AT426" s="177">
        <f t="shared" si="3552"/>
        <v>0</v>
      </c>
      <c r="AU426" s="207"/>
      <c r="AV426" s="177">
        <f>O426*AU426*$AV$2/1000</f>
        <v>0</v>
      </c>
      <c r="AW426" s="207"/>
      <c r="AX426" s="206">
        <f>O426*AW426*$AX$2/1000</f>
        <v>0</v>
      </c>
      <c r="AY426" s="189">
        <f t="shared" ref="AY426" si="3637">SUM(AS426+AU426+AW426)</f>
        <v>0</v>
      </c>
      <c r="AZ426" s="97">
        <f>SUM(AT426+AV426+AX426)</f>
        <v>0</v>
      </c>
      <c r="BA426" s="97">
        <f t="shared" si="3556"/>
        <v>0</v>
      </c>
      <c r="BB426" s="97">
        <f t="shared" si="3557"/>
        <v>0</v>
      </c>
    </row>
    <row r="427" spans="1:54">
      <c r="A427" s="498"/>
      <c r="B427" s="13"/>
      <c r="C427" s="13"/>
      <c r="D427" s="13" t="s">
        <v>1305</v>
      </c>
      <c r="E427" s="21" t="s">
        <v>1113</v>
      </c>
      <c r="F427" s="22" t="s">
        <v>1114</v>
      </c>
      <c r="G427" s="22" t="s">
        <v>1115</v>
      </c>
      <c r="H427" s="268" t="s">
        <v>365</v>
      </c>
      <c r="I427" s="55">
        <v>5.54</v>
      </c>
      <c r="J427" s="102"/>
      <c r="K427" s="55">
        <v>5.44</v>
      </c>
      <c r="L427" s="102"/>
      <c r="M427" s="55">
        <v>5.4</v>
      </c>
      <c r="N427" s="163"/>
      <c r="O427" s="55">
        <v>5.4</v>
      </c>
      <c r="P427" s="102"/>
      <c r="Q427" s="97">
        <f t="shared" si="3537"/>
        <v>10.943999999999999</v>
      </c>
      <c r="R427" s="342">
        <f t="shared" si="3538"/>
        <v>81.177772300800001</v>
      </c>
      <c r="S427" s="97"/>
      <c r="T427" s="97">
        <f>I427*S427*$T$2/1000</f>
        <v>0</v>
      </c>
      <c r="U427" s="97"/>
      <c r="V427" s="177">
        <f>I427*U427*$V$2/1000</f>
        <v>0</v>
      </c>
      <c r="W427" s="207">
        <v>2.7839999999999998</v>
      </c>
      <c r="X427" s="206">
        <f>I427*W427*$X$2/1000</f>
        <v>20.522322815999996</v>
      </c>
      <c r="Y427" s="189">
        <f t="shared" ref="Y427" si="3638">SUM(S427+U427+W427)</f>
        <v>2.7839999999999998</v>
      </c>
      <c r="Z427" s="177">
        <f t="shared" ref="Z427" si="3639">SUM(T427+V427+X427)</f>
        <v>20.522322815999996</v>
      </c>
      <c r="AA427" s="207"/>
      <c r="AB427" s="206">
        <f>K427*AA427*$AB$2/1000</f>
        <v>0</v>
      </c>
      <c r="AC427" s="207"/>
      <c r="AD427" s="177">
        <f>K427*AC427*$AD$2/1000</f>
        <v>0</v>
      </c>
      <c r="AE427" s="207">
        <v>3.2639999999999998</v>
      </c>
      <c r="AF427" s="206">
        <f t="shared" si="3545"/>
        <v>24.4827260928</v>
      </c>
      <c r="AG427" s="189">
        <f>SUM(AA427+AC427+AE427)</f>
        <v>3.2639999999999998</v>
      </c>
      <c r="AH427" s="97">
        <f>SUM(AB427+AD427+AF427)</f>
        <v>24.4827260928</v>
      </c>
      <c r="AI427" s="97">
        <f t="shared" si="3547"/>
        <v>6.048</v>
      </c>
      <c r="AJ427" s="177">
        <f t="shared" si="3548"/>
        <v>45.005048908799992</v>
      </c>
      <c r="AK427" s="207"/>
      <c r="AL427" s="177">
        <f t="shared" si="3549"/>
        <v>0</v>
      </c>
      <c r="AM427" s="245"/>
      <c r="AN427" s="177">
        <f t="shared" ref="AN427:AN428" si="3640">M427*AM427*$AN$2/1000</f>
        <v>0</v>
      </c>
      <c r="AO427" s="207">
        <v>2.88</v>
      </c>
      <c r="AP427" s="206">
        <f t="shared" si="3550"/>
        <v>20.721329280000003</v>
      </c>
      <c r="AQ427" s="189">
        <f>SUM(AK427+AM427+AO427)</f>
        <v>2.88</v>
      </c>
      <c r="AR427" s="97">
        <f>SUM(AL427+AN427+AP427)</f>
        <v>20.721329280000003</v>
      </c>
      <c r="AS427" s="97"/>
      <c r="AT427" s="177">
        <f t="shared" si="3552"/>
        <v>0</v>
      </c>
      <c r="AU427" s="207"/>
      <c r="AV427" s="177">
        <f t="shared" si="3553"/>
        <v>0</v>
      </c>
      <c r="AW427" s="207">
        <v>2.016</v>
      </c>
      <c r="AX427" s="206">
        <f t="shared" si="3554"/>
        <v>15.451394111999999</v>
      </c>
      <c r="AY427" s="189">
        <f>SUM(AS427+AU427+AW427)</f>
        <v>2.016</v>
      </c>
      <c r="AZ427" s="97">
        <f t="shared" ref="AZ427" si="3641">SUM(AT427+AV427+AX427)</f>
        <v>15.451394111999999</v>
      </c>
      <c r="BA427" s="97">
        <f t="shared" si="3556"/>
        <v>4.8959999999999999</v>
      </c>
      <c r="BB427" s="97">
        <f t="shared" si="3557"/>
        <v>36.172723392000002</v>
      </c>
    </row>
    <row r="428" spans="1:54">
      <c r="B428" s="13"/>
      <c r="C428" s="13"/>
      <c r="D428" s="13" t="s">
        <v>1305</v>
      </c>
      <c r="E428" s="21" t="s">
        <v>1220</v>
      </c>
      <c r="F428" s="22" t="s">
        <v>1221</v>
      </c>
      <c r="G428" s="22" t="s">
        <v>1222</v>
      </c>
      <c r="H428" s="268" t="s">
        <v>1223</v>
      </c>
      <c r="I428" s="55">
        <v>5.48</v>
      </c>
      <c r="J428" s="102"/>
      <c r="K428" s="55">
        <v>5.48</v>
      </c>
      <c r="L428" s="102"/>
      <c r="M428" s="55">
        <v>5.48</v>
      </c>
      <c r="N428" s="163"/>
      <c r="O428" s="55">
        <v>5.48</v>
      </c>
      <c r="P428" s="102"/>
      <c r="Q428" s="97">
        <f t="shared" si="3537"/>
        <v>0</v>
      </c>
      <c r="R428" s="342">
        <f t="shared" si="3538"/>
        <v>0</v>
      </c>
      <c r="S428" s="97"/>
      <c r="T428" s="97">
        <f>I428*S428*$T$2/1000</f>
        <v>0</v>
      </c>
      <c r="U428" s="97"/>
      <c r="V428" s="177">
        <f>I428*U428*$V$2/1000</f>
        <v>0</v>
      </c>
      <c r="W428" s="207"/>
      <c r="X428" s="206">
        <f>I428*W428*$X$2/1000</f>
        <v>0</v>
      </c>
      <c r="Y428" s="189">
        <f t="shared" ref="Y428" si="3642">SUM(S428+U428+W428)</f>
        <v>0</v>
      </c>
      <c r="Z428" s="177">
        <f t="shared" ref="Z428" si="3643">SUM(T428+V428+X428)</f>
        <v>0</v>
      </c>
      <c r="AA428" s="207"/>
      <c r="AB428" s="206">
        <f>K428*AA428*$AB$2/1000</f>
        <v>0</v>
      </c>
      <c r="AC428" s="207"/>
      <c r="AD428" s="177">
        <f>K428*AC428*$AD$2/1000</f>
        <v>0</v>
      </c>
      <c r="AE428" s="207"/>
      <c r="AF428" s="206">
        <f t="shared" si="3545"/>
        <v>0</v>
      </c>
      <c r="AG428" s="189">
        <f t="shared" ref="AG428" si="3644">SUM(AA428+AC428+AE428)</f>
        <v>0</v>
      </c>
      <c r="AH428" s="97">
        <f t="shared" ref="AH428" si="3645">SUM(AB428+AD428+AF428)</f>
        <v>0</v>
      </c>
      <c r="AI428" s="97">
        <f t="shared" si="3547"/>
        <v>0</v>
      </c>
      <c r="AJ428" s="177">
        <f t="shared" si="3548"/>
        <v>0</v>
      </c>
      <c r="AK428" s="207"/>
      <c r="AL428" s="177">
        <f t="shared" si="3549"/>
        <v>0</v>
      </c>
      <c r="AM428" s="245"/>
      <c r="AN428" s="177">
        <f t="shared" si="3640"/>
        <v>0</v>
      </c>
      <c r="AO428" s="207"/>
      <c r="AP428" s="206">
        <f t="shared" si="3550"/>
        <v>0</v>
      </c>
      <c r="AQ428" s="189">
        <f>SUM(AK428+AM428+AO428)</f>
        <v>0</v>
      </c>
      <c r="AR428" s="97">
        <f>SUM(AL428+AN428+AP428)</f>
        <v>0</v>
      </c>
      <c r="AS428" s="97"/>
      <c r="AT428" s="177">
        <f t="shared" si="3552"/>
        <v>0</v>
      </c>
      <c r="AU428" s="207"/>
      <c r="AV428" s="177">
        <f t="shared" si="3553"/>
        <v>0</v>
      </c>
      <c r="AW428" s="207"/>
      <c r="AX428" s="206">
        <f t="shared" si="3554"/>
        <v>0</v>
      </c>
      <c r="AY428" s="189">
        <f t="shared" ref="AY428" si="3646">SUM(AS428+AU428+AW428)</f>
        <v>0</v>
      </c>
      <c r="AZ428" s="97">
        <f t="shared" ref="AZ428" si="3647">SUM(AT428+AV428+AX428)</f>
        <v>0</v>
      </c>
      <c r="BA428" s="97">
        <f t="shared" si="3556"/>
        <v>0</v>
      </c>
      <c r="BB428" s="97">
        <f t="shared" si="3557"/>
        <v>0</v>
      </c>
    </row>
    <row r="429" spans="1:54" ht="12.75" customHeight="1">
      <c r="A429" s="498">
        <v>280</v>
      </c>
      <c r="B429" s="13"/>
      <c r="C429" s="13"/>
      <c r="D429" s="13" t="s">
        <v>1305</v>
      </c>
      <c r="E429" s="21" t="s">
        <v>1081</v>
      </c>
      <c r="F429" s="46" t="s">
        <v>1083</v>
      </c>
      <c r="G429" s="46" t="s">
        <v>1101</v>
      </c>
      <c r="H429" s="268" t="s">
        <v>365</v>
      </c>
      <c r="I429" s="55">
        <v>5.43</v>
      </c>
      <c r="J429" s="102"/>
      <c r="K429" s="55">
        <v>5.43</v>
      </c>
      <c r="L429" s="102"/>
      <c r="M429" s="55">
        <v>5.43</v>
      </c>
      <c r="N429" s="163"/>
      <c r="O429" s="55">
        <v>5.43</v>
      </c>
      <c r="P429" s="102"/>
      <c r="Q429" s="97">
        <f t="shared" ref="Q429" si="3648">SUM(AI429+BA429)</f>
        <v>0</v>
      </c>
      <c r="R429" s="342">
        <f t="shared" ref="R429" si="3649">SUM(AJ429+BB429)</f>
        <v>0</v>
      </c>
      <c r="S429" s="97"/>
      <c r="T429" s="97">
        <f t="shared" ref="T429" si="3650">I429*S429*$T$2/1000</f>
        <v>0</v>
      </c>
      <c r="U429" s="97"/>
      <c r="V429" s="177">
        <f t="shared" ref="V429" si="3651">I429*U429*$V$2/1000</f>
        <v>0</v>
      </c>
      <c r="W429" s="207"/>
      <c r="X429" s="206">
        <f t="shared" ref="X429" si="3652">I429*W429*$X$2/1000</f>
        <v>0</v>
      </c>
      <c r="Y429" s="189">
        <f t="shared" si="3518"/>
        <v>0</v>
      </c>
      <c r="Z429" s="177">
        <f t="shared" ref="Z429" si="3653">SUM(T429+V429+X429)</f>
        <v>0</v>
      </c>
      <c r="AA429" s="207"/>
      <c r="AB429" s="206">
        <f t="shared" ref="AB429" si="3654">K429*AA429*$AB$2/1000</f>
        <v>0</v>
      </c>
      <c r="AC429" s="207"/>
      <c r="AD429" s="206">
        <f t="shared" ref="AD429" si="3655">K429*AC429*$AD$2/1000</f>
        <v>0</v>
      </c>
      <c r="AE429" s="207"/>
      <c r="AF429" s="206">
        <f t="shared" ref="AF429" si="3656">K429*AE429*$AF$2/1000</f>
        <v>0</v>
      </c>
      <c r="AG429" s="189">
        <f t="shared" si="3498"/>
        <v>0</v>
      </c>
      <c r="AH429" s="97">
        <f t="shared" ref="AH429" si="3657">SUM(AB429+AD429+AF429)</f>
        <v>0</v>
      </c>
      <c r="AI429" s="97">
        <f t="shared" ref="AI429" si="3658">SUM(Y429+AG429)</f>
        <v>0</v>
      </c>
      <c r="AJ429" s="177">
        <f t="shared" ref="AJ429" si="3659">SUM(Z429,AH429)</f>
        <v>0</v>
      </c>
      <c r="AK429" s="207"/>
      <c r="AL429" s="445">
        <f t="shared" ref="AL429" si="3660">M429*AK429*$AL$2/1000</f>
        <v>0</v>
      </c>
      <c r="AM429" s="245"/>
      <c r="AN429" s="177">
        <f>M429*AM429*$AN$2/1000</f>
        <v>0</v>
      </c>
      <c r="AO429" s="207"/>
      <c r="AP429" s="206">
        <f t="shared" ref="AP429" si="3661">M429*AO429*$AP$2/1000</f>
        <v>0</v>
      </c>
      <c r="AQ429" s="189">
        <f t="shared" ref="AQ429" si="3662">SUM(AK429+AM429+AO429)</f>
        <v>0</v>
      </c>
      <c r="AR429" s="97">
        <f t="shared" ref="AR429" si="3663">SUM(AL429+AN429+AP429)</f>
        <v>0</v>
      </c>
      <c r="AS429" s="97"/>
      <c r="AT429" s="177">
        <f t="shared" ref="AT429" si="3664">O429*AS429*$AT$2/1000</f>
        <v>0</v>
      </c>
      <c r="AU429" s="207"/>
      <c r="AV429" s="177">
        <f t="shared" ref="AV429" si="3665">O429*AU429*$AV$2/1000</f>
        <v>0</v>
      </c>
      <c r="AW429" s="207"/>
      <c r="AX429" s="206">
        <f t="shared" ref="AX429" si="3666">O429*AW429*$AX$2/1000</f>
        <v>0</v>
      </c>
      <c r="AY429" s="189">
        <f>SUM(AS429+AU429+AW429)</f>
        <v>0</v>
      </c>
      <c r="AZ429" s="97">
        <f t="shared" ref="AZ429" si="3667">SUM(AT429+AV429+AX429)</f>
        <v>0</v>
      </c>
      <c r="BA429" s="97">
        <f t="shared" ref="BA429" si="3668">SUM(AQ429+AY429)</f>
        <v>0</v>
      </c>
      <c r="BB429" s="97">
        <f t="shared" ref="BB429" si="3669">SUM(AR429,AZ429)</f>
        <v>0</v>
      </c>
    </row>
    <row r="430" spans="1:54" ht="12.75" customHeight="1">
      <c r="A430" s="498">
        <v>281</v>
      </c>
      <c r="B430" s="13"/>
      <c r="C430" s="13"/>
      <c r="D430" s="13" t="s">
        <v>1305</v>
      </c>
      <c r="E430" s="21" t="s">
        <v>1082</v>
      </c>
      <c r="F430" s="46" t="s">
        <v>1084</v>
      </c>
      <c r="G430" s="46" t="s">
        <v>1101</v>
      </c>
      <c r="H430" s="268" t="s">
        <v>365</v>
      </c>
      <c r="I430" s="55">
        <v>5.15</v>
      </c>
      <c r="J430" s="102"/>
      <c r="K430" s="55">
        <v>5.15</v>
      </c>
      <c r="L430" s="102"/>
      <c r="M430" s="55">
        <v>5.15</v>
      </c>
      <c r="N430" s="163"/>
      <c r="O430" s="55">
        <v>5.15</v>
      </c>
      <c r="P430" s="102"/>
      <c r="Q430" s="97">
        <f t="shared" si="3527"/>
        <v>0</v>
      </c>
      <c r="R430" s="342">
        <f t="shared" si="2888"/>
        <v>0</v>
      </c>
      <c r="S430" s="97"/>
      <c r="T430" s="97">
        <f t="shared" si="3528"/>
        <v>0</v>
      </c>
      <c r="U430" s="97"/>
      <c r="V430" s="177">
        <f t="shared" si="3529"/>
        <v>0</v>
      </c>
      <c r="W430" s="207"/>
      <c r="X430" s="206">
        <f t="shared" si="3530"/>
        <v>0</v>
      </c>
      <c r="Y430" s="189">
        <f t="shared" si="3518"/>
        <v>0</v>
      </c>
      <c r="Z430" s="177">
        <f t="shared" si="3531"/>
        <v>0</v>
      </c>
      <c r="AA430" s="207"/>
      <c r="AB430" s="206">
        <f t="shared" si="3532"/>
        <v>0</v>
      </c>
      <c r="AC430" s="207"/>
      <c r="AD430" s="206">
        <f t="shared" si="3533"/>
        <v>0</v>
      </c>
      <c r="AE430" s="207"/>
      <c r="AF430" s="206">
        <f t="shared" si="3519"/>
        <v>0</v>
      </c>
      <c r="AG430" s="189">
        <f t="shared" si="3498"/>
        <v>0</v>
      </c>
      <c r="AH430" s="97">
        <f t="shared" si="3534"/>
        <v>0</v>
      </c>
      <c r="AI430" s="97">
        <f t="shared" si="3485"/>
        <v>0</v>
      </c>
      <c r="AJ430" s="177">
        <f t="shared" si="3486"/>
        <v>0</v>
      </c>
      <c r="AK430" s="207"/>
      <c r="AL430" s="445">
        <f t="shared" si="3520"/>
        <v>0</v>
      </c>
      <c r="AM430" s="245"/>
      <c r="AN430" s="177">
        <f>M430*AM430*$AN$2/1000</f>
        <v>0</v>
      </c>
      <c r="AO430" s="207"/>
      <c r="AP430" s="206">
        <f t="shared" si="3522"/>
        <v>0</v>
      </c>
      <c r="AQ430" s="189">
        <f t="shared" ref="AQ430" si="3670">SUM(AK430+AM430+AO430)</f>
        <v>0</v>
      </c>
      <c r="AR430" s="97">
        <f t="shared" ref="AR430" si="3671">SUM(AL430+AN430+AP430)</f>
        <v>0</v>
      </c>
      <c r="AS430" s="97"/>
      <c r="AT430" s="177">
        <f t="shared" si="3523"/>
        <v>0</v>
      </c>
      <c r="AU430" s="207"/>
      <c r="AV430" s="177">
        <f t="shared" si="3524"/>
        <v>0</v>
      </c>
      <c r="AW430" s="207"/>
      <c r="AX430" s="206">
        <f t="shared" si="3525"/>
        <v>0</v>
      </c>
      <c r="AY430" s="189">
        <f t="shared" ref="AY430:AY433" si="3672">SUM(AS430+AU430+AW430)</f>
        <v>0</v>
      </c>
      <c r="AZ430" s="97">
        <f t="shared" ref="AZ430" si="3673">SUM(AT430+AV430+AX430)</f>
        <v>0</v>
      </c>
      <c r="BA430" s="97">
        <f t="shared" si="3489"/>
        <v>0</v>
      </c>
      <c r="BB430" s="97">
        <f t="shared" si="3490"/>
        <v>0</v>
      </c>
    </row>
    <row r="431" spans="1:54">
      <c r="A431" s="498">
        <v>282</v>
      </c>
      <c r="B431" s="13"/>
      <c r="C431" s="13"/>
      <c r="D431" s="13" t="s">
        <v>1305</v>
      </c>
      <c r="E431" s="21" t="s">
        <v>1121</v>
      </c>
      <c r="F431" s="22" t="s">
        <v>1120</v>
      </c>
      <c r="G431" s="22" t="s">
        <v>1115</v>
      </c>
      <c r="H431" s="268" t="s">
        <v>365</v>
      </c>
      <c r="I431" s="55">
        <v>5.8</v>
      </c>
      <c r="J431" s="102"/>
      <c r="K431" s="55">
        <v>5.8</v>
      </c>
      <c r="L431" s="102"/>
      <c r="M431" s="55">
        <v>5.8</v>
      </c>
      <c r="N431" s="163"/>
      <c r="O431" s="55">
        <v>5.8</v>
      </c>
      <c r="P431" s="102"/>
      <c r="Q431" s="97">
        <f t="shared" si="3527"/>
        <v>0</v>
      </c>
      <c r="R431" s="342">
        <f t="shared" si="2888"/>
        <v>0</v>
      </c>
      <c r="S431" s="97"/>
      <c r="T431" s="97">
        <f>I431*S431*$T$2/1000</f>
        <v>0</v>
      </c>
      <c r="U431" s="97"/>
      <c r="V431" s="177">
        <f>I431*U431*$V$2/1000</f>
        <v>0</v>
      </c>
      <c r="W431" s="207"/>
      <c r="X431" s="206">
        <f>I431*W431*$X$2/1000</f>
        <v>0</v>
      </c>
      <c r="Y431" s="189">
        <f t="shared" ref="Y431" si="3674">SUM(S431+U431+W431)</f>
        <v>0</v>
      </c>
      <c r="Z431" s="177">
        <f>SUM(T431+V431+X431)</f>
        <v>0</v>
      </c>
      <c r="AA431" s="207"/>
      <c r="AB431" s="206">
        <f>K431*AA431*$AB$2/1000</f>
        <v>0</v>
      </c>
      <c r="AC431" s="207"/>
      <c r="AD431" s="177">
        <f>K431*AC431*$AD$2/1000</f>
        <v>0</v>
      </c>
      <c r="AE431" s="207"/>
      <c r="AF431" s="206">
        <f t="shared" si="3519"/>
        <v>0</v>
      </c>
      <c r="AG431" s="189">
        <f>SUM(AA431+AC431+AE431)</f>
        <v>0</v>
      </c>
      <c r="AH431" s="97">
        <f>SUM(AB431+AD431+AF431)</f>
        <v>0</v>
      </c>
      <c r="AI431" s="97">
        <f t="shared" si="3485"/>
        <v>0</v>
      </c>
      <c r="AJ431" s="177">
        <f t="shared" si="3486"/>
        <v>0</v>
      </c>
      <c r="AK431" s="207"/>
      <c r="AL431" s="177">
        <f t="shared" si="3520"/>
        <v>0</v>
      </c>
      <c r="AM431" s="245"/>
      <c r="AN431" s="177">
        <f t="shared" ref="AN431" si="3675">M431*AM431*$AN$2/1000</f>
        <v>0</v>
      </c>
      <c r="AO431" s="207"/>
      <c r="AP431" s="206">
        <f t="shared" si="3522"/>
        <v>0</v>
      </c>
      <c r="AQ431" s="189">
        <f t="shared" ref="AQ431" si="3676">SUM(AK431+AM431+AO431)</f>
        <v>0</v>
      </c>
      <c r="AR431" s="97">
        <f t="shared" ref="AR431" si="3677">SUM(AL431+AN431+AP431)</f>
        <v>0</v>
      </c>
      <c r="AS431" s="97"/>
      <c r="AT431" s="177">
        <f t="shared" si="3523"/>
        <v>0</v>
      </c>
      <c r="AU431" s="207"/>
      <c r="AV431" s="177">
        <f t="shared" si="3524"/>
        <v>0</v>
      </c>
      <c r="AW431" s="207"/>
      <c r="AX431" s="206">
        <f t="shared" si="3525"/>
        <v>0</v>
      </c>
      <c r="AY431" s="189">
        <f t="shared" ref="AY431" si="3678">SUM(AS431+AU431+AW431)</f>
        <v>0</v>
      </c>
      <c r="AZ431" s="97">
        <f t="shared" ref="AZ431" si="3679">SUM(AT431+AV431+AX431)</f>
        <v>0</v>
      </c>
      <c r="BA431" s="97">
        <f t="shared" si="3489"/>
        <v>0</v>
      </c>
      <c r="BB431" s="97">
        <f t="shared" si="3490"/>
        <v>0</v>
      </c>
    </row>
    <row r="432" spans="1:54" ht="12.75" customHeight="1">
      <c r="A432" s="498">
        <v>283</v>
      </c>
      <c r="B432" s="13"/>
      <c r="C432" s="13"/>
      <c r="D432" s="13" t="s">
        <v>1305</v>
      </c>
      <c r="E432" s="21" t="s">
        <v>1049</v>
      </c>
      <c r="F432" s="46" t="s">
        <v>1053</v>
      </c>
      <c r="G432" s="46" t="s">
        <v>1101</v>
      </c>
      <c r="H432" s="268" t="s">
        <v>365</v>
      </c>
      <c r="I432" s="55">
        <v>4.97</v>
      </c>
      <c r="J432" s="102"/>
      <c r="K432" s="55">
        <v>4.97</v>
      </c>
      <c r="L432" s="102"/>
      <c r="M432" s="55">
        <v>4.97</v>
      </c>
      <c r="N432" s="163"/>
      <c r="O432" s="55">
        <v>4.97</v>
      </c>
      <c r="P432" s="102"/>
      <c r="Q432" s="97">
        <f t="shared" si="3527"/>
        <v>0</v>
      </c>
      <c r="R432" s="342">
        <f t="shared" ref="R432:R433" si="3680">SUM(AJ432+BB432)</f>
        <v>0</v>
      </c>
      <c r="S432" s="97"/>
      <c r="T432" s="97">
        <f t="shared" si="3528"/>
        <v>0</v>
      </c>
      <c r="U432" s="97"/>
      <c r="V432" s="177">
        <f t="shared" si="3529"/>
        <v>0</v>
      </c>
      <c r="W432" s="207"/>
      <c r="X432" s="206">
        <f>I432*W432*$X$2/1000</f>
        <v>0</v>
      </c>
      <c r="Y432" s="189">
        <f t="shared" ref="Y432" si="3681">SUM(S432+U432+W432)</f>
        <v>0</v>
      </c>
      <c r="Z432" s="177">
        <f t="shared" si="3531"/>
        <v>0</v>
      </c>
      <c r="AA432" s="207"/>
      <c r="AB432" s="206">
        <f t="shared" si="3532"/>
        <v>0</v>
      </c>
      <c r="AC432" s="207"/>
      <c r="AD432" s="206">
        <f t="shared" si="3533"/>
        <v>0</v>
      </c>
      <c r="AE432" s="207"/>
      <c r="AF432" s="225">
        <f t="shared" si="3519"/>
        <v>0</v>
      </c>
      <c r="AG432" s="189">
        <f>SUM(AA432+AC432+AE432)</f>
        <v>0</v>
      </c>
      <c r="AH432" s="97">
        <f t="shared" si="3534"/>
        <v>0</v>
      </c>
      <c r="AI432" s="97">
        <f t="shared" ref="AI432:AI433" si="3682">SUM(Y432+AG432)</f>
        <v>0</v>
      </c>
      <c r="AJ432" s="177">
        <f t="shared" ref="AJ432:AJ433" si="3683">SUM(Z432,AH432)</f>
        <v>0</v>
      </c>
      <c r="AK432" s="207"/>
      <c r="AL432" s="445">
        <f t="shared" si="3520"/>
        <v>0</v>
      </c>
      <c r="AM432" s="245"/>
      <c r="AN432" s="177">
        <f t="shared" si="3521"/>
        <v>0</v>
      </c>
      <c r="AO432" s="207"/>
      <c r="AP432" s="206">
        <f t="shared" si="3522"/>
        <v>0</v>
      </c>
      <c r="AQ432" s="189">
        <f t="shared" ref="AQ432:AQ433" si="3684">SUM(AK432+AM432+AO432)</f>
        <v>0</v>
      </c>
      <c r="AR432" s="97">
        <f t="shared" si="3535"/>
        <v>0</v>
      </c>
      <c r="AS432" s="97"/>
      <c r="AT432" s="177">
        <f t="shared" si="3523"/>
        <v>0</v>
      </c>
      <c r="AU432" s="207"/>
      <c r="AV432" s="177">
        <f>O432*AU432*$AV$2/1000</f>
        <v>0</v>
      </c>
      <c r="AW432" s="207"/>
      <c r="AX432" s="206">
        <f t="shared" si="3525"/>
        <v>0</v>
      </c>
      <c r="AY432" s="189">
        <f t="shared" si="3672"/>
        <v>0</v>
      </c>
      <c r="AZ432" s="97">
        <f t="shared" si="3536"/>
        <v>0</v>
      </c>
      <c r="BA432" s="97">
        <f t="shared" ref="BA432:BA433" si="3685">SUM(AQ432+AY432)</f>
        <v>0</v>
      </c>
      <c r="BB432" s="97">
        <f t="shared" ref="BB432:BB433" si="3686">SUM(AR432,AZ432)</f>
        <v>0</v>
      </c>
    </row>
    <row r="433" spans="1:54" ht="12.75" customHeight="1">
      <c r="A433" s="498">
        <v>284</v>
      </c>
      <c r="B433" s="13"/>
      <c r="C433" s="13"/>
      <c r="D433" s="13" t="s">
        <v>1306</v>
      </c>
      <c r="E433" s="21" t="s">
        <v>1086</v>
      </c>
      <c r="F433" s="46" t="s">
        <v>1085</v>
      </c>
      <c r="G433" s="46" t="s">
        <v>1101</v>
      </c>
      <c r="H433" s="268" t="s">
        <v>365</v>
      </c>
      <c r="I433" s="55">
        <v>5.2</v>
      </c>
      <c r="J433" s="102"/>
      <c r="K433" s="55">
        <v>5.2</v>
      </c>
      <c r="L433" s="102"/>
      <c r="M433" s="55">
        <v>5.2</v>
      </c>
      <c r="N433" s="163"/>
      <c r="O433" s="55">
        <v>5.2</v>
      </c>
      <c r="P433" s="102"/>
      <c r="Q433" s="97">
        <f t="shared" si="3527"/>
        <v>0</v>
      </c>
      <c r="R433" s="342">
        <f t="shared" si="3680"/>
        <v>0</v>
      </c>
      <c r="S433" s="97"/>
      <c r="T433" s="97">
        <f t="shared" si="3528"/>
        <v>0</v>
      </c>
      <c r="U433" s="97"/>
      <c r="V433" s="177">
        <f t="shared" si="3529"/>
        <v>0</v>
      </c>
      <c r="W433" s="207"/>
      <c r="X433" s="206">
        <f t="shared" ref="X433" si="3687">I433*W433*$X$2/1000</f>
        <v>0</v>
      </c>
      <c r="Y433" s="189">
        <f>SUM(S433+U433+W433)</f>
        <v>0</v>
      </c>
      <c r="Z433" s="177">
        <f t="shared" si="3531"/>
        <v>0</v>
      </c>
      <c r="AA433" s="207"/>
      <c r="AB433" s="206">
        <f t="shared" si="3532"/>
        <v>0</v>
      </c>
      <c r="AC433" s="207"/>
      <c r="AD433" s="206">
        <f t="shared" si="3533"/>
        <v>0</v>
      </c>
      <c r="AE433" s="207"/>
      <c r="AF433" s="206">
        <f t="shared" si="3519"/>
        <v>0</v>
      </c>
      <c r="AG433" s="189">
        <f>SUM(AA433+AC433+AE433)</f>
        <v>0</v>
      </c>
      <c r="AH433" s="97">
        <f t="shared" si="3534"/>
        <v>0</v>
      </c>
      <c r="AI433" s="97">
        <f t="shared" si="3682"/>
        <v>0</v>
      </c>
      <c r="AJ433" s="177">
        <f t="shared" si="3683"/>
        <v>0</v>
      </c>
      <c r="AK433" s="207"/>
      <c r="AL433" s="445">
        <f t="shared" si="3520"/>
        <v>0</v>
      </c>
      <c r="AM433" s="245"/>
      <c r="AN433" s="177">
        <f>M433*AM433*$AN$2/1000</f>
        <v>0</v>
      </c>
      <c r="AO433" s="207"/>
      <c r="AP433" s="206">
        <f t="shared" si="3522"/>
        <v>0</v>
      </c>
      <c r="AQ433" s="189">
        <f t="shared" si="3684"/>
        <v>0</v>
      </c>
      <c r="AR433" s="97">
        <f>SUM(AL433+AN433+AP433)</f>
        <v>0</v>
      </c>
      <c r="AS433" s="97"/>
      <c r="AT433" s="177">
        <f t="shared" si="3523"/>
        <v>0</v>
      </c>
      <c r="AU433" s="207"/>
      <c r="AV433" s="177">
        <f t="shared" ref="AV433" si="3688">O433*AU433*$AV$2/1000</f>
        <v>0</v>
      </c>
      <c r="AW433" s="207"/>
      <c r="AX433" s="206">
        <f t="shared" si="3525"/>
        <v>0</v>
      </c>
      <c r="AY433" s="189">
        <f t="shared" si="3672"/>
        <v>0</v>
      </c>
      <c r="AZ433" s="97">
        <f>SUM(AT433+AV433+AX433)</f>
        <v>0</v>
      </c>
      <c r="BA433" s="97">
        <f t="shared" si="3685"/>
        <v>0</v>
      </c>
      <c r="BB433" s="97">
        <f t="shared" si="3686"/>
        <v>0</v>
      </c>
    </row>
    <row r="434" spans="1:54">
      <c r="A434" s="498">
        <v>285</v>
      </c>
      <c r="B434" s="13"/>
      <c r="C434" s="13"/>
      <c r="D434" s="13" t="s">
        <v>1302</v>
      </c>
      <c r="E434" s="21" t="s">
        <v>306</v>
      </c>
      <c r="F434" s="46" t="s">
        <v>307</v>
      </c>
      <c r="G434" s="46" t="s">
        <v>1105</v>
      </c>
      <c r="H434" s="268" t="s">
        <v>365</v>
      </c>
      <c r="I434" s="55"/>
      <c r="J434" s="168">
        <v>7990</v>
      </c>
      <c r="K434" s="55"/>
      <c r="L434" s="168">
        <v>7990</v>
      </c>
      <c r="M434" s="76"/>
      <c r="N434" s="168">
        <v>7990</v>
      </c>
      <c r="O434" s="154"/>
      <c r="P434" s="168">
        <v>7990</v>
      </c>
      <c r="Q434" s="131">
        <f>SUM(AI434+BA434)</f>
        <v>12.157999999999999</v>
      </c>
      <c r="R434" s="352">
        <f t="shared" si="2888"/>
        <v>97.142420000000001</v>
      </c>
      <c r="S434" s="131"/>
      <c r="T434" s="131">
        <f>J434*S434/1000</f>
        <v>0</v>
      </c>
      <c r="U434" s="131">
        <v>1.028</v>
      </c>
      <c r="V434" s="185">
        <f t="shared" si="2890"/>
        <v>8.2137199999999986</v>
      </c>
      <c r="W434" s="224">
        <v>0.75600000000000001</v>
      </c>
      <c r="X434" s="225">
        <f t="shared" si="2891"/>
        <v>6.0404399999999994</v>
      </c>
      <c r="Y434" s="198">
        <f t="shared" si="3483"/>
        <v>1.784</v>
      </c>
      <c r="Z434" s="185">
        <f>SUM(T434+V434+X434)</f>
        <v>14.254159999999999</v>
      </c>
      <c r="AA434" s="224">
        <v>2.016</v>
      </c>
      <c r="AB434" s="225">
        <f t="shared" ref="AB434" si="3689">L434*AA434/1000</f>
        <v>16.107839999999999</v>
      </c>
      <c r="AC434" s="224">
        <v>0.96599999999999997</v>
      </c>
      <c r="AD434" s="185">
        <f t="shared" si="2931"/>
        <v>7.7183400000000004</v>
      </c>
      <c r="AE434" s="224">
        <v>1.008</v>
      </c>
      <c r="AF434" s="206">
        <f t="shared" ref="AF434" si="3690">L434*AE434/1000</f>
        <v>8.0539199999999997</v>
      </c>
      <c r="AG434" s="198">
        <f t="shared" si="3484"/>
        <v>3.99</v>
      </c>
      <c r="AH434" s="131">
        <f>SUM(AB434+AD434+AF434)</f>
        <v>31.880099999999999</v>
      </c>
      <c r="AI434" s="131">
        <f t="shared" si="3485"/>
        <v>5.774</v>
      </c>
      <c r="AJ434" s="185">
        <f t="shared" si="3486"/>
        <v>46.134259999999998</v>
      </c>
      <c r="AK434" s="224">
        <v>1.048</v>
      </c>
      <c r="AL434" s="185">
        <f>N434*AK434/1000</f>
        <v>8.373520000000001</v>
      </c>
      <c r="AM434" s="254">
        <v>1.024</v>
      </c>
      <c r="AN434" s="185">
        <f t="shared" ref="AN434" si="3691">N434*AM434/1000</f>
        <v>8.1817600000000006</v>
      </c>
      <c r="AO434" s="224">
        <v>1.68</v>
      </c>
      <c r="AP434" s="225">
        <f t="shared" ref="AP434" si="3692">N434*AO434/1000</f>
        <v>13.4232</v>
      </c>
      <c r="AQ434" s="198">
        <f t="shared" si="3487"/>
        <v>3.7519999999999998</v>
      </c>
      <c r="AR434" s="131">
        <f>SUM(AL434+AN434+AP434)</f>
        <v>29.978480000000005</v>
      </c>
      <c r="AS434" s="131">
        <v>7.0000000000000001E-3</v>
      </c>
      <c r="AT434" s="185">
        <f t="shared" ref="AT434" si="3693">P434*AS434/1000</f>
        <v>5.5930000000000001E-2</v>
      </c>
      <c r="AU434" s="224">
        <v>1.4910000000000001</v>
      </c>
      <c r="AV434" s="185">
        <f t="shared" ref="AV434" si="3694">P434*AU434/1000</f>
        <v>11.91309</v>
      </c>
      <c r="AW434" s="224">
        <v>1.1339999999999999</v>
      </c>
      <c r="AX434" s="225">
        <f t="shared" ref="AX434" si="3695">P434*AW434/1000</f>
        <v>9.0606600000000004</v>
      </c>
      <c r="AY434" s="198">
        <f>SUM(AS434+AU434+AW434)</f>
        <v>2.6319999999999997</v>
      </c>
      <c r="AZ434" s="131">
        <f>SUM(AT434+AV434+AX434)</f>
        <v>21.029679999999999</v>
      </c>
      <c r="BA434" s="131">
        <f t="shared" si="3489"/>
        <v>6.3839999999999995</v>
      </c>
      <c r="BB434" s="131">
        <f t="shared" si="3490"/>
        <v>51.008160000000004</v>
      </c>
    </row>
    <row r="435" spans="1:54">
      <c r="A435" s="498">
        <v>286</v>
      </c>
      <c r="B435" s="13"/>
      <c r="C435" s="13"/>
      <c r="D435" s="13" t="s">
        <v>771</v>
      </c>
      <c r="E435" s="13" t="s">
        <v>481</v>
      </c>
      <c r="F435" s="46" t="s">
        <v>482</v>
      </c>
      <c r="G435" s="23" t="s">
        <v>1105</v>
      </c>
      <c r="H435" s="269" t="s">
        <v>365</v>
      </c>
      <c r="I435" s="74"/>
      <c r="J435" s="171">
        <v>9678</v>
      </c>
      <c r="K435" s="74"/>
      <c r="L435" s="171">
        <v>9678</v>
      </c>
      <c r="M435" s="74"/>
      <c r="N435" s="171">
        <v>9678</v>
      </c>
      <c r="O435" s="152"/>
      <c r="P435" s="171">
        <v>9678</v>
      </c>
      <c r="Q435" s="119">
        <f t="shared" ref="Q435:Q450" si="3696">SUM(AI435+BA435)</f>
        <v>0</v>
      </c>
      <c r="R435" s="349">
        <f t="shared" ref="R435:R457" si="3697">SUM(AJ435+BB435)</f>
        <v>0</v>
      </c>
      <c r="S435" s="119"/>
      <c r="T435" s="119">
        <f>J435*S435/1000</f>
        <v>0</v>
      </c>
      <c r="U435" s="119"/>
      <c r="V435" s="178">
        <f t="shared" ref="V435:V457" si="3698">J435*U435/1000</f>
        <v>0</v>
      </c>
      <c r="W435" s="208"/>
      <c r="X435" s="209">
        <f t="shared" ref="X435:X457" si="3699">J435*W435/1000</f>
        <v>0</v>
      </c>
      <c r="Y435" s="262">
        <f t="shared" ref="Y435:Y450" si="3700">SUM(S435+U435+W435)</f>
        <v>0</v>
      </c>
      <c r="Z435" s="178">
        <f>SUM(T435+V435+X435)</f>
        <v>0</v>
      </c>
      <c r="AA435" s="208"/>
      <c r="AB435" s="209">
        <f t="shared" ref="AB435:AB450" si="3701">L435*AA435/1000</f>
        <v>0</v>
      </c>
      <c r="AC435" s="208"/>
      <c r="AD435" s="178">
        <f t="shared" ref="AD435:AD453" si="3702">L435*AC435/1000</f>
        <v>0</v>
      </c>
      <c r="AE435" s="208"/>
      <c r="AF435" s="206">
        <f>L435*AE435/1000</f>
        <v>0</v>
      </c>
      <c r="AG435" s="262">
        <f t="shared" ref="AG435:AG457" si="3703">SUM(AA435+AC435+AE435)</f>
        <v>0</v>
      </c>
      <c r="AH435" s="119">
        <f>SUM(AB435+AD435+AF435)</f>
        <v>0</v>
      </c>
      <c r="AI435" s="119">
        <f t="shared" ref="AI435:AI457" si="3704">SUM(Y435+AG435)</f>
        <v>0</v>
      </c>
      <c r="AJ435" s="178">
        <f t="shared" ref="AJ435:AJ457" si="3705">SUM(Z435,AH435)</f>
        <v>0</v>
      </c>
      <c r="AK435" s="208"/>
      <c r="AL435" s="178">
        <f t="shared" ref="AL435:AL457" si="3706">N435*AK435/1000</f>
        <v>0</v>
      </c>
      <c r="AM435" s="246"/>
      <c r="AN435" s="178">
        <f>N435*AM435/1000</f>
        <v>0</v>
      </c>
      <c r="AO435" s="208"/>
      <c r="AP435" s="209">
        <f>N435*AO435/1000</f>
        <v>0</v>
      </c>
      <c r="AQ435" s="262">
        <f t="shared" ref="AQ435:AQ453" si="3707">SUM(AK435+AM435+AO435)</f>
        <v>0</v>
      </c>
      <c r="AR435" s="119">
        <f>SUM(AL435+AN435+AP435)</f>
        <v>0</v>
      </c>
      <c r="AS435" s="119"/>
      <c r="AT435" s="178">
        <f>P435*AS435/1000</f>
        <v>0</v>
      </c>
      <c r="AU435" s="208"/>
      <c r="AV435" s="178">
        <f t="shared" ref="AV435:AV457" si="3708">P435*AU435/1000</f>
        <v>0</v>
      </c>
      <c r="AW435" s="208"/>
      <c r="AX435" s="209">
        <f t="shared" ref="AX435:AX457" si="3709">P435*AW435/1000</f>
        <v>0</v>
      </c>
      <c r="AY435" s="262">
        <f t="shared" ref="AY435:AY457" si="3710">SUM(AS435+AU435+AW435)</f>
        <v>0</v>
      </c>
      <c r="AZ435" s="119">
        <f>SUM(AT435+AV435+AX435)</f>
        <v>0</v>
      </c>
      <c r="BA435" s="119">
        <f t="shared" ref="BA435:BA457" si="3711">SUM(AQ435+AY435)</f>
        <v>0</v>
      </c>
      <c r="BB435" s="119">
        <f t="shared" ref="BB435:BB457" si="3712">SUM(AR435,AZ435)</f>
        <v>0</v>
      </c>
    </row>
    <row r="436" spans="1:54">
      <c r="A436" s="498">
        <v>287</v>
      </c>
      <c r="B436" s="13"/>
      <c r="C436" s="13"/>
      <c r="D436" s="13" t="s">
        <v>771</v>
      </c>
      <c r="E436" s="21" t="s">
        <v>806</v>
      </c>
      <c r="F436" s="46" t="s">
        <v>808</v>
      </c>
      <c r="G436" s="46" t="s">
        <v>1105</v>
      </c>
      <c r="H436" s="268" t="s">
        <v>365</v>
      </c>
      <c r="I436" s="55"/>
      <c r="J436" s="163">
        <v>9680</v>
      </c>
      <c r="K436" s="55"/>
      <c r="L436" s="163">
        <v>9680</v>
      </c>
      <c r="M436" s="55"/>
      <c r="N436" s="163">
        <v>9680</v>
      </c>
      <c r="O436" s="143"/>
      <c r="P436" s="163">
        <v>9680</v>
      </c>
      <c r="Q436" s="97">
        <f t="shared" ref="Q436:Q441" si="3713">SUM(AI436+BA436)</f>
        <v>0</v>
      </c>
      <c r="R436" s="342">
        <f t="shared" ref="R436:R441" si="3714">SUM(AJ436+BB436)</f>
        <v>0</v>
      </c>
      <c r="S436" s="97"/>
      <c r="T436" s="97">
        <f t="shared" ref="T436:T438" si="3715">J436*S436/1000</f>
        <v>0</v>
      </c>
      <c r="U436" s="97"/>
      <c r="V436" s="177">
        <f t="shared" ref="V436:V441" si="3716">J436*U436/1000</f>
        <v>0</v>
      </c>
      <c r="W436" s="207"/>
      <c r="X436" s="206">
        <f t="shared" ref="X436:X441" si="3717">J436*W436/1000</f>
        <v>0</v>
      </c>
      <c r="Y436" s="189">
        <f t="shared" ref="Y436:Y441" si="3718">SUM(S436+U436+W436)</f>
        <v>0</v>
      </c>
      <c r="Z436" s="177">
        <f t="shared" ref="Z436:Z441" si="3719">SUM(T436+V436+X436)</f>
        <v>0</v>
      </c>
      <c r="AA436" s="207"/>
      <c r="AB436" s="206">
        <f t="shared" ref="AB436:AB441" si="3720">L436*AA436/1000</f>
        <v>0</v>
      </c>
      <c r="AC436" s="207"/>
      <c r="AD436" s="177">
        <f t="shared" ref="AD436:AD441" si="3721">L436*AC436/1000</f>
        <v>0</v>
      </c>
      <c r="AE436" s="207"/>
      <c r="AF436" s="206">
        <f t="shared" ref="AF436:AF441" si="3722">L436*AE436/1000</f>
        <v>0</v>
      </c>
      <c r="AG436" s="189">
        <f t="shared" ref="AG436:AG441" si="3723">SUM(AA436+AC436+AE436)</f>
        <v>0</v>
      </c>
      <c r="AH436" s="97">
        <f t="shared" ref="AH436:AH441" si="3724">SUM(AB436+AD436+AF436)</f>
        <v>0</v>
      </c>
      <c r="AI436" s="97">
        <f t="shared" ref="AI436:AI441" si="3725">SUM(Y436+AG436)</f>
        <v>0</v>
      </c>
      <c r="AJ436" s="177">
        <f t="shared" ref="AJ436:AJ441" si="3726">SUM(Z436,AH436)</f>
        <v>0</v>
      </c>
      <c r="AK436" s="207"/>
      <c r="AL436" s="177">
        <f t="shared" ref="AL436:AL450" si="3727">N436*AK436/1000</f>
        <v>0</v>
      </c>
      <c r="AM436" s="245"/>
      <c r="AN436" s="177">
        <f t="shared" ref="AN436:AN441" si="3728">N436*AM436/1000</f>
        <v>0</v>
      </c>
      <c r="AO436" s="207"/>
      <c r="AP436" s="206">
        <f t="shared" ref="AP436:AP441" si="3729">N436*AO436/1000</f>
        <v>0</v>
      </c>
      <c r="AQ436" s="189">
        <f t="shared" ref="AQ436:AQ441" si="3730">SUM(AK436+AM436+AO436)</f>
        <v>0</v>
      </c>
      <c r="AR436" s="97">
        <f t="shared" ref="AR436:AR437" si="3731">SUM(AL436+AN436+AP436)</f>
        <v>0</v>
      </c>
      <c r="AS436" s="97"/>
      <c r="AT436" s="177">
        <f t="shared" ref="AT436:AT437" si="3732">P436*AS436/1000</f>
        <v>0</v>
      </c>
      <c r="AU436" s="207"/>
      <c r="AV436" s="177">
        <f t="shared" ref="AV436:AV441" si="3733">P436*AU436/1000</f>
        <v>0</v>
      </c>
      <c r="AW436" s="207"/>
      <c r="AX436" s="206">
        <f t="shared" ref="AX436:AX441" si="3734">P436*AW436/1000</f>
        <v>0</v>
      </c>
      <c r="AY436" s="189">
        <f t="shared" ref="AY436:AY441" si="3735">SUM(AS436+AU436+AW436)</f>
        <v>0</v>
      </c>
      <c r="AZ436" s="97">
        <f t="shared" ref="AZ436:AZ441" si="3736">SUM(AT436+AV436+AX436)</f>
        <v>0</v>
      </c>
      <c r="BA436" s="97">
        <f t="shared" ref="BA436:BA441" si="3737">SUM(AQ436+AY436)</f>
        <v>0</v>
      </c>
      <c r="BB436" s="97">
        <f t="shared" ref="BB436:BB441" si="3738">SUM(AR436,AZ436)</f>
        <v>0</v>
      </c>
    </row>
    <row r="437" spans="1:54">
      <c r="A437" s="498">
        <v>288</v>
      </c>
      <c r="B437" s="13"/>
      <c r="C437" s="13"/>
      <c r="D437" s="13" t="s">
        <v>771</v>
      </c>
      <c r="E437" s="21" t="s">
        <v>807</v>
      </c>
      <c r="F437" s="46" t="s">
        <v>809</v>
      </c>
      <c r="G437" s="46" t="s">
        <v>1105</v>
      </c>
      <c r="H437" s="268" t="s">
        <v>365</v>
      </c>
      <c r="I437" s="55"/>
      <c r="J437" s="163">
        <v>9680</v>
      </c>
      <c r="K437" s="55"/>
      <c r="L437" s="163">
        <v>9680</v>
      </c>
      <c r="M437" s="55"/>
      <c r="N437" s="163">
        <v>9680</v>
      </c>
      <c r="O437" s="143"/>
      <c r="P437" s="163">
        <v>9680</v>
      </c>
      <c r="Q437" s="97">
        <f t="shared" si="3713"/>
        <v>0</v>
      </c>
      <c r="R437" s="342">
        <f t="shared" si="3714"/>
        <v>0</v>
      </c>
      <c r="S437" s="97"/>
      <c r="T437" s="97">
        <f t="shared" si="3715"/>
        <v>0</v>
      </c>
      <c r="U437" s="97"/>
      <c r="V437" s="177">
        <f t="shared" si="3716"/>
        <v>0</v>
      </c>
      <c r="W437" s="207"/>
      <c r="X437" s="206">
        <f t="shared" si="3717"/>
        <v>0</v>
      </c>
      <c r="Y437" s="189">
        <f t="shared" si="3718"/>
        <v>0</v>
      </c>
      <c r="Z437" s="177">
        <f t="shared" si="3719"/>
        <v>0</v>
      </c>
      <c r="AA437" s="207"/>
      <c r="AB437" s="206">
        <f t="shared" si="3720"/>
        <v>0</v>
      </c>
      <c r="AC437" s="207"/>
      <c r="AD437" s="177">
        <f t="shared" si="3721"/>
        <v>0</v>
      </c>
      <c r="AE437" s="207"/>
      <c r="AF437" s="206">
        <f t="shared" si="3722"/>
        <v>0</v>
      </c>
      <c r="AG437" s="189">
        <f t="shared" si="3723"/>
        <v>0</v>
      </c>
      <c r="AH437" s="97">
        <f t="shared" si="3724"/>
        <v>0</v>
      </c>
      <c r="AI437" s="97">
        <f t="shared" si="3725"/>
        <v>0</v>
      </c>
      <c r="AJ437" s="177">
        <f t="shared" si="3726"/>
        <v>0</v>
      </c>
      <c r="AK437" s="207"/>
      <c r="AL437" s="177">
        <f t="shared" si="3727"/>
        <v>0</v>
      </c>
      <c r="AM437" s="245"/>
      <c r="AN437" s="177">
        <f t="shared" si="3728"/>
        <v>0</v>
      </c>
      <c r="AO437" s="207"/>
      <c r="AP437" s="206">
        <f t="shared" si="3729"/>
        <v>0</v>
      </c>
      <c r="AQ437" s="189">
        <f t="shared" si="3730"/>
        <v>0</v>
      </c>
      <c r="AR437" s="97">
        <f t="shared" si="3731"/>
        <v>0</v>
      </c>
      <c r="AS437" s="97"/>
      <c r="AT437" s="177">
        <f t="shared" si="3732"/>
        <v>0</v>
      </c>
      <c r="AU437" s="207"/>
      <c r="AV437" s="177">
        <f t="shared" si="3733"/>
        <v>0</v>
      </c>
      <c r="AW437" s="207"/>
      <c r="AX437" s="206">
        <f t="shared" si="3734"/>
        <v>0</v>
      </c>
      <c r="AY437" s="189">
        <f t="shared" si="3735"/>
        <v>0</v>
      </c>
      <c r="AZ437" s="97">
        <f t="shared" si="3736"/>
        <v>0</v>
      </c>
      <c r="BA437" s="97">
        <f t="shared" si="3737"/>
        <v>0</v>
      </c>
      <c r="BB437" s="97">
        <f t="shared" si="3738"/>
        <v>0</v>
      </c>
    </row>
    <row r="438" spans="1:54">
      <c r="A438" s="498">
        <v>289</v>
      </c>
      <c r="B438" s="13"/>
      <c r="C438" s="13"/>
      <c r="D438" s="13" t="s">
        <v>771</v>
      </c>
      <c r="E438" s="21" t="s">
        <v>815</v>
      </c>
      <c r="F438" s="46" t="s">
        <v>816</v>
      </c>
      <c r="G438" s="46" t="s">
        <v>1105</v>
      </c>
      <c r="H438" s="268" t="s">
        <v>365</v>
      </c>
      <c r="I438" s="55"/>
      <c r="J438" s="163">
        <v>10445</v>
      </c>
      <c r="K438" s="55"/>
      <c r="L438" s="163">
        <v>10445</v>
      </c>
      <c r="M438" s="55"/>
      <c r="N438" s="163">
        <v>10445</v>
      </c>
      <c r="O438" s="143"/>
      <c r="P438" s="163">
        <v>10445</v>
      </c>
      <c r="Q438" s="97">
        <f t="shared" si="3713"/>
        <v>0</v>
      </c>
      <c r="R438" s="342">
        <f t="shared" si="3714"/>
        <v>0</v>
      </c>
      <c r="S438" s="97"/>
      <c r="T438" s="97">
        <f t="shared" si="3715"/>
        <v>0</v>
      </c>
      <c r="U438" s="131"/>
      <c r="V438" s="177">
        <f t="shared" si="3716"/>
        <v>0</v>
      </c>
      <c r="W438" s="207"/>
      <c r="X438" s="206">
        <f t="shared" si="3717"/>
        <v>0</v>
      </c>
      <c r="Y438" s="189">
        <f t="shared" si="3718"/>
        <v>0</v>
      </c>
      <c r="Z438" s="177">
        <f t="shared" si="3719"/>
        <v>0</v>
      </c>
      <c r="AA438" s="207"/>
      <c r="AB438" s="206">
        <f t="shared" si="3720"/>
        <v>0</v>
      </c>
      <c r="AC438" s="207"/>
      <c r="AD438" s="177">
        <f t="shared" si="3721"/>
        <v>0</v>
      </c>
      <c r="AE438" s="207"/>
      <c r="AF438" s="206">
        <f t="shared" si="3722"/>
        <v>0</v>
      </c>
      <c r="AG438" s="189">
        <f t="shared" si="3723"/>
        <v>0</v>
      </c>
      <c r="AH438" s="97">
        <f t="shared" si="3724"/>
        <v>0</v>
      </c>
      <c r="AI438" s="97">
        <f t="shared" si="3725"/>
        <v>0</v>
      </c>
      <c r="AJ438" s="177">
        <f t="shared" si="3726"/>
        <v>0</v>
      </c>
      <c r="AK438" s="207"/>
      <c r="AL438" s="177">
        <f t="shared" si="3727"/>
        <v>0</v>
      </c>
      <c r="AM438" s="245"/>
      <c r="AN438" s="177">
        <f t="shared" si="3728"/>
        <v>0</v>
      </c>
      <c r="AO438" s="207"/>
      <c r="AP438" s="206">
        <f t="shared" si="3729"/>
        <v>0</v>
      </c>
      <c r="AQ438" s="189">
        <f t="shared" si="3730"/>
        <v>0</v>
      </c>
      <c r="AR438" s="97">
        <f t="shared" ref="AR438:AR450" si="3739">SUM(AL438+AN438+AP438)</f>
        <v>0</v>
      </c>
      <c r="AS438" s="97"/>
      <c r="AT438" s="177">
        <f t="shared" ref="AT438:AT450" si="3740">P438*AS438/1000</f>
        <v>0</v>
      </c>
      <c r="AU438" s="207"/>
      <c r="AV438" s="177">
        <f t="shared" si="3733"/>
        <v>0</v>
      </c>
      <c r="AW438" s="207"/>
      <c r="AX438" s="206">
        <f t="shared" si="3734"/>
        <v>0</v>
      </c>
      <c r="AY438" s="189">
        <f t="shared" si="3735"/>
        <v>0</v>
      </c>
      <c r="AZ438" s="97">
        <f t="shared" si="3736"/>
        <v>0</v>
      </c>
      <c r="BA438" s="97">
        <f t="shared" si="3737"/>
        <v>0</v>
      </c>
      <c r="BB438" s="97">
        <f t="shared" si="3738"/>
        <v>0</v>
      </c>
    </row>
    <row r="439" spans="1:54">
      <c r="A439" s="498">
        <v>290</v>
      </c>
      <c r="B439" s="13"/>
      <c r="C439" s="13"/>
      <c r="D439" s="13" t="s">
        <v>771</v>
      </c>
      <c r="E439" s="21" t="s">
        <v>904</v>
      </c>
      <c r="F439" s="46" t="s">
        <v>905</v>
      </c>
      <c r="G439" s="46" t="s">
        <v>1105</v>
      </c>
      <c r="H439" s="268" t="s">
        <v>365</v>
      </c>
      <c r="I439" s="55"/>
      <c r="J439" s="163">
        <v>11200</v>
      </c>
      <c r="K439" s="55"/>
      <c r="L439" s="163">
        <v>11200</v>
      </c>
      <c r="M439" s="55"/>
      <c r="N439" s="163">
        <v>11200</v>
      </c>
      <c r="O439" s="143"/>
      <c r="P439" s="163">
        <v>11200</v>
      </c>
      <c r="Q439" s="97">
        <f t="shared" si="3713"/>
        <v>0</v>
      </c>
      <c r="R439" s="342">
        <f t="shared" si="3714"/>
        <v>0</v>
      </c>
      <c r="S439" s="97"/>
      <c r="T439" s="97">
        <f>J439*S439/1000</f>
        <v>0</v>
      </c>
      <c r="U439" s="131"/>
      <c r="V439" s="177">
        <f t="shared" si="3716"/>
        <v>0</v>
      </c>
      <c r="W439" s="207"/>
      <c r="X439" s="206">
        <f t="shared" si="3717"/>
        <v>0</v>
      </c>
      <c r="Y439" s="189">
        <f t="shared" si="3718"/>
        <v>0</v>
      </c>
      <c r="Z439" s="177">
        <f t="shared" si="3719"/>
        <v>0</v>
      </c>
      <c r="AA439" s="207"/>
      <c r="AB439" s="206">
        <f t="shared" si="3720"/>
        <v>0</v>
      </c>
      <c r="AC439" s="207"/>
      <c r="AD439" s="177">
        <f t="shared" si="3721"/>
        <v>0</v>
      </c>
      <c r="AE439" s="207"/>
      <c r="AF439" s="206">
        <f t="shared" si="3722"/>
        <v>0</v>
      </c>
      <c r="AG439" s="189">
        <f t="shared" si="3723"/>
        <v>0</v>
      </c>
      <c r="AH439" s="97">
        <f t="shared" si="3724"/>
        <v>0</v>
      </c>
      <c r="AI439" s="97">
        <f t="shared" si="3725"/>
        <v>0</v>
      </c>
      <c r="AJ439" s="177">
        <f t="shared" si="3726"/>
        <v>0</v>
      </c>
      <c r="AK439" s="207"/>
      <c r="AL439" s="177">
        <f t="shared" si="3727"/>
        <v>0</v>
      </c>
      <c r="AM439" s="245"/>
      <c r="AN439" s="177">
        <f t="shared" si="3728"/>
        <v>0</v>
      </c>
      <c r="AO439" s="207"/>
      <c r="AP439" s="206">
        <f t="shared" si="3729"/>
        <v>0</v>
      </c>
      <c r="AQ439" s="189">
        <f t="shared" si="3730"/>
        <v>0</v>
      </c>
      <c r="AR439" s="97">
        <f t="shared" si="3739"/>
        <v>0</v>
      </c>
      <c r="AS439" s="97"/>
      <c r="AT439" s="177">
        <f t="shared" si="3740"/>
        <v>0</v>
      </c>
      <c r="AU439" s="207"/>
      <c r="AV439" s="177">
        <f t="shared" si="3733"/>
        <v>0</v>
      </c>
      <c r="AW439" s="207"/>
      <c r="AX439" s="206">
        <f t="shared" si="3734"/>
        <v>0</v>
      </c>
      <c r="AY439" s="189">
        <f t="shared" si="3735"/>
        <v>0</v>
      </c>
      <c r="AZ439" s="97">
        <f t="shared" si="3736"/>
        <v>0</v>
      </c>
      <c r="BA439" s="97">
        <f t="shared" si="3737"/>
        <v>0</v>
      </c>
      <c r="BB439" s="97">
        <f t="shared" si="3738"/>
        <v>0</v>
      </c>
    </row>
    <row r="440" spans="1:54">
      <c r="A440" s="498">
        <v>291</v>
      </c>
      <c r="B440" s="13"/>
      <c r="C440" s="13"/>
      <c r="D440" s="13" t="s">
        <v>771</v>
      </c>
      <c r="E440" s="21" t="s">
        <v>906</v>
      </c>
      <c r="F440" s="46" t="s">
        <v>907</v>
      </c>
      <c r="G440" s="46" t="s">
        <v>1105</v>
      </c>
      <c r="H440" s="268" t="s">
        <v>365</v>
      </c>
      <c r="I440" s="55"/>
      <c r="J440" s="163">
        <v>10850</v>
      </c>
      <c r="K440" s="55"/>
      <c r="L440" s="163">
        <v>10850</v>
      </c>
      <c r="M440" s="55"/>
      <c r="N440" s="163">
        <v>10850</v>
      </c>
      <c r="O440" s="143"/>
      <c r="P440" s="163">
        <v>10850</v>
      </c>
      <c r="Q440" s="97">
        <f>SUM(AI440+BA440)</f>
        <v>0</v>
      </c>
      <c r="R440" s="342">
        <f t="shared" ref="R440" si="3741">SUM(AJ440+BB440)</f>
        <v>0</v>
      </c>
      <c r="S440" s="97"/>
      <c r="T440" s="97">
        <f t="shared" ref="T440" si="3742">J440*S440/1000</f>
        <v>0</v>
      </c>
      <c r="U440" s="131"/>
      <c r="V440" s="177">
        <f t="shared" ref="V440" si="3743">J440*U440/1000</f>
        <v>0</v>
      </c>
      <c r="W440" s="207"/>
      <c r="X440" s="206">
        <f t="shared" ref="X440" si="3744">J440*W440/1000</f>
        <v>0</v>
      </c>
      <c r="Y440" s="189">
        <f t="shared" ref="Y440" si="3745">SUM(S440+U440+W440)</f>
        <v>0</v>
      </c>
      <c r="Z440" s="177">
        <f t="shared" ref="Z440" si="3746">SUM(T440+V440+X440)</f>
        <v>0</v>
      </c>
      <c r="AA440" s="207"/>
      <c r="AB440" s="206">
        <f t="shared" ref="AB440" si="3747">L440*AA440/1000</f>
        <v>0</v>
      </c>
      <c r="AC440" s="207"/>
      <c r="AD440" s="177">
        <f t="shared" ref="AD440" si="3748">L440*AC440/1000</f>
        <v>0</v>
      </c>
      <c r="AE440" s="207"/>
      <c r="AF440" s="206">
        <f t="shared" ref="AF440" si="3749">L440*AE440/1000</f>
        <v>0</v>
      </c>
      <c r="AG440" s="189">
        <f t="shared" ref="AG440" si="3750">SUM(AA440+AC440+AE440)</f>
        <v>0</v>
      </c>
      <c r="AH440" s="97">
        <f t="shared" ref="AH440" si="3751">SUM(AB440+AD440+AF440)</f>
        <v>0</v>
      </c>
      <c r="AI440" s="97">
        <f t="shared" ref="AI440" si="3752">SUM(Y440+AG440)</f>
        <v>0</v>
      </c>
      <c r="AJ440" s="177">
        <f t="shared" ref="AJ440" si="3753">SUM(Z440,AH440)</f>
        <v>0</v>
      </c>
      <c r="AK440" s="207"/>
      <c r="AL440" s="177">
        <f t="shared" ref="AL440" si="3754">N440*AK440/1000</f>
        <v>0</v>
      </c>
      <c r="AM440" s="245"/>
      <c r="AN440" s="177">
        <f t="shared" ref="AN440" si="3755">N440*AM440/1000</f>
        <v>0</v>
      </c>
      <c r="AO440" s="207"/>
      <c r="AP440" s="206">
        <f t="shared" ref="AP440" si="3756">N440*AO440/1000</f>
        <v>0</v>
      </c>
      <c r="AQ440" s="189">
        <f t="shared" ref="AQ440" si="3757">SUM(AK440+AM440+AO440)</f>
        <v>0</v>
      </c>
      <c r="AR440" s="97">
        <f t="shared" ref="AR440" si="3758">SUM(AL440+AN440+AP440)</f>
        <v>0</v>
      </c>
      <c r="AS440" s="97"/>
      <c r="AT440" s="177">
        <f t="shared" ref="AT440" si="3759">P440*AS440/1000</f>
        <v>0</v>
      </c>
      <c r="AU440" s="207"/>
      <c r="AV440" s="177">
        <f t="shared" ref="AV440" si="3760">P440*AU440/1000</f>
        <v>0</v>
      </c>
      <c r="AW440" s="207"/>
      <c r="AX440" s="206">
        <f t="shared" ref="AX440" si="3761">P440*AW440/1000</f>
        <v>0</v>
      </c>
      <c r="AY440" s="189">
        <f t="shared" ref="AY440" si="3762">SUM(AS440+AU440+AW440)</f>
        <v>0</v>
      </c>
      <c r="AZ440" s="97">
        <f t="shared" ref="AZ440" si="3763">SUM(AT440+AV440+AX440)</f>
        <v>0</v>
      </c>
      <c r="BA440" s="97">
        <f t="shared" ref="BA440" si="3764">SUM(AQ440+AY440)</f>
        <v>0</v>
      </c>
      <c r="BB440" s="97">
        <f t="shared" ref="BB440" si="3765">SUM(AR440,AZ440)</f>
        <v>0</v>
      </c>
    </row>
    <row r="441" spans="1:54">
      <c r="A441" s="498">
        <v>292</v>
      </c>
      <c r="B441" s="13"/>
      <c r="C441" s="13"/>
      <c r="D441" s="13" t="s">
        <v>771</v>
      </c>
      <c r="E441" s="21" t="s">
        <v>1054</v>
      </c>
      <c r="F441" s="46" t="s">
        <v>1055</v>
      </c>
      <c r="G441" s="46" t="s">
        <v>1105</v>
      </c>
      <c r="H441" s="268" t="s">
        <v>365</v>
      </c>
      <c r="I441" s="55"/>
      <c r="J441" s="163">
        <v>10800</v>
      </c>
      <c r="K441" s="55"/>
      <c r="L441" s="163">
        <v>10800</v>
      </c>
      <c r="M441" s="55"/>
      <c r="N441" s="163">
        <v>10800</v>
      </c>
      <c r="O441" s="143"/>
      <c r="P441" s="163">
        <v>10800</v>
      </c>
      <c r="Q441" s="97">
        <f t="shared" si="3713"/>
        <v>0</v>
      </c>
      <c r="R441" s="342">
        <f t="shared" si="3714"/>
        <v>0</v>
      </c>
      <c r="S441" s="97"/>
      <c r="T441" s="97">
        <f>J441*S441/1000</f>
        <v>0</v>
      </c>
      <c r="U441" s="131"/>
      <c r="V441" s="177">
        <f t="shared" si="3716"/>
        <v>0</v>
      </c>
      <c r="W441" s="207"/>
      <c r="X441" s="206">
        <f t="shared" si="3717"/>
        <v>0</v>
      </c>
      <c r="Y441" s="189">
        <f t="shared" si="3718"/>
        <v>0</v>
      </c>
      <c r="Z441" s="177">
        <f t="shared" si="3719"/>
        <v>0</v>
      </c>
      <c r="AA441" s="207"/>
      <c r="AB441" s="206">
        <f t="shared" si="3720"/>
        <v>0</v>
      </c>
      <c r="AC441" s="207"/>
      <c r="AD441" s="177">
        <f t="shared" si="3721"/>
        <v>0</v>
      </c>
      <c r="AE441" s="207"/>
      <c r="AF441" s="206">
        <f t="shared" si="3722"/>
        <v>0</v>
      </c>
      <c r="AG441" s="189">
        <f t="shared" si="3723"/>
        <v>0</v>
      </c>
      <c r="AH441" s="97">
        <f t="shared" si="3724"/>
        <v>0</v>
      </c>
      <c r="AI441" s="97">
        <f t="shared" si="3725"/>
        <v>0</v>
      </c>
      <c r="AJ441" s="177">
        <f t="shared" si="3726"/>
        <v>0</v>
      </c>
      <c r="AK441" s="207"/>
      <c r="AL441" s="177">
        <f t="shared" si="3727"/>
        <v>0</v>
      </c>
      <c r="AM441" s="245"/>
      <c r="AN441" s="177">
        <f t="shared" si="3728"/>
        <v>0</v>
      </c>
      <c r="AO441" s="207"/>
      <c r="AP441" s="206">
        <f t="shared" si="3729"/>
        <v>0</v>
      </c>
      <c r="AQ441" s="189">
        <f t="shared" si="3730"/>
        <v>0</v>
      </c>
      <c r="AR441" s="97">
        <f t="shared" si="3739"/>
        <v>0</v>
      </c>
      <c r="AS441" s="97"/>
      <c r="AT441" s="177">
        <f t="shared" si="3740"/>
        <v>0</v>
      </c>
      <c r="AU441" s="207"/>
      <c r="AV441" s="177">
        <f t="shared" si="3733"/>
        <v>0</v>
      </c>
      <c r="AW441" s="207"/>
      <c r="AX441" s="206">
        <f t="shared" si="3734"/>
        <v>0</v>
      </c>
      <c r="AY441" s="189">
        <f t="shared" si="3735"/>
        <v>0</v>
      </c>
      <c r="AZ441" s="97">
        <f t="shared" si="3736"/>
        <v>0</v>
      </c>
      <c r="BA441" s="97">
        <f t="shared" si="3737"/>
        <v>0</v>
      </c>
      <c r="BB441" s="97">
        <f t="shared" si="3738"/>
        <v>0</v>
      </c>
    </row>
    <row r="442" spans="1:54">
      <c r="A442" s="498">
        <v>293</v>
      </c>
      <c r="B442" s="13"/>
      <c r="C442" s="13"/>
      <c r="D442" s="13" t="s">
        <v>1304</v>
      </c>
      <c r="E442" s="21" t="s">
        <v>962</v>
      </c>
      <c r="F442" s="46" t="s">
        <v>1012</v>
      </c>
      <c r="G442" s="46" t="s">
        <v>1101</v>
      </c>
      <c r="H442" s="268" t="s">
        <v>365</v>
      </c>
      <c r="I442" s="55"/>
      <c r="J442" s="163">
        <v>16800</v>
      </c>
      <c r="K442" s="55"/>
      <c r="L442" s="163">
        <v>16800</v>
      </c>
      <c r="M442" s="55"/>
      <c r="N442" s="163">
        <v>16800</v>
      </c>
      <c r="O442" s="143"/>
      <c r="P442" s="163">
        <v>16800</v>
      </c>
      <c r="Q442" s="97">
        <f>SUM(AI442+BA442)</f>
        <v>0.48</v>
      </c>
      <c r="R442" s="342">
        <f t="shared" ref="R442:R449" si="3766">SUM(AJ442+BB442)</f>
        <v>8.0640000000000001</v>
      </c>
      <c r="S442" s="97"/>
      <c r="T442" s="97">
        <f t="shared" ref="T442:T449" si="3767">J442*S442/1000</f>
        <v>0</v>
      </c>
      <c r="U442" s="131"/>
      <c r="V442" s="177">
        <f t="shared" ref="V442:V449" si="3768">J442*U442/1000</f>
        <v>0</v>
      </c>
      <c r="W442" s="207">
        <v>0.48</v>
      </c>
      <c r="X442" s="206">
        <f t="shared" ref="X442:X449" si="3769">J442*W442/1000</f>
        <v>8.0640000000000001</v>
      </c>
      <c r="Y442" s="189">
        <f t="shared" ref="Y442:Y444" si="3770">SUM(S442+U442+W442)</f>
        <v>0.48</v>
      </c>
      <c r="Z442" s="177">
        <f t="shared" ref="Z442:Z444" si="3771">SUM(T442+V442+X442)</f>
        <v>8.0640000000000001</v>
      </c>
      <c r="AA442" s="207"/>
      <c r="AB442" s="206">
        <f t="shared" ref="AB442:AB449" si="3772">L442*AA442/1000</f>
        <v>0</v>
      </c>
      <c r="AC442" s="207"/>
      <c r="AD442" s="177">
        <f t="shared" ref="AD442:AD449" si="3773">L442*AC442/1000</f>
        <v>0</v>
      </c>
      <c r="AE442" s="207"/>
      <c r="AF442" s="206">
        <f t="shared" ref="AF442:AF449" si="3774">L442*AE442/1000</f>
        <v>0</v>
      </c>
      <c r="AG442" s="189">
        <f t="shared" ref="AG442:AG443" si="3775">SUM(AA442+AC442+AE442)</f>
        <v>0</v>
      </c>
      <c r="AH442" s="97">
        <f t="shared" ref="AH442:AH443" si="3776">SUM(AB442+AD442+AF442)</f>
        <v>0</v>
      </c>
      <c r="AI442" s="97">
        <f t="shared" ref="AI442:AI449" si="3777">SUM(Y442+AG442)</f>
        <v>0.48</v>
      </c>
      <c r="AJ442" s="177">
        <f t="shared" ref="AJ442:AJ449" si="3778">SUM(Z442,AH442)</f>
        <v>8.0640000000000001</v>
      </c>
      <c r="AK442" s="207"/>
      <c r="AL442" s="177">
        <f t="shared" ref="AL442:AL449" si="3779">N442*AK442/1000</f>
        <v>0</v>
      </c>
      <c r="AM442" s="245"/>
      <c r="AN442" s="177">
        <f t="shared" ref="AN442:AN449" si="3780">N442*AM442/1000</f>
        <v>0</v>
      </c>
      <c r="AO442" s="207"/>
      <c r="AP442" s="206">
        <f>N442*AO442/1000</f>
        <v>0</v>
      </c>
      <c r="AQ442" s="189">
        <f t="shared" ref="AQ442:AQ443" si="3781">SUM(AK442+AM442+AO442)</f>
        <v>0</v>
      </c>
      <c r="AR442" s="97">
        <f t="shared" si="3739"/>
        <v>0</v>
      </c>
      <c r="AS442" s="97"/>
      <c r="AT442" s="177">
        <f t="shared" si="3740"/>
        <v>0</v>
      </c>
      <c r="AU442" s="207"/>
      <c r="AV442" s="177">
        <f t="shared" ref="AV442:AV449" si="3782">P442*AU442/1000</f>
        <v>0</v>
      </c>
      <c r="AW442" s="207"/>
      <c r="AX442" s="206">
        <f t="shared" ref="AX442:AX449" si="3783">P442*AW442/1000</f>
        <v>0</v>
      </c>
      <c r="AY442" s="189">
        <f t="shared" ref="AY442:AY443" si="3784">SUM(AS442+AU442+AW442)</f>
        <v>0</v>
      </c>
      <c r="AZ442" s="97">
        <f t="shared" ref="AZ442:AZ443" si="3785">SUM(AT442+AV442+AX442)</f>
        <v>0</v>
      </c>
      <c r="BA442" s="97">
        <f t="shared" ref="BA442:BA449" si="3786">SUM(AQ442+AY442)</f>
        <v>0</v>
      </c>
      <c r="BB442" s="97">
        <f t="shared" ref="BB442:BB449" si="3787">SUM(AR442,AZ442)</f>
        <v>0</v>
      </c>
    </row>
    <row r="443" spans="1:54">
      <c r="A443" s="498">
        <v>294</v>
      </c>
      <c r="B443" s="13"/>
      <c r="C443" s="13"/>
      <c r="D443" s="13" t="s">
        <v>771</v>
      </c>
      <c r="E443" s="63" t="s">
        <v>1020</v>
      </c>
      <c r="F443" s="425" t="s">
        <v>1080</v>
      </c>
      <c r="G443" s="425" t="s">
        <v>1101</v>
      </c>
      <c r="H443" s="284" t="s">
        <v>365</v>
      </c>
      <c r="I443" s="67"/>
      <c r="J443" s="166">
        <v>13970</v>
      </c>
      <c r="K443" s="67"/>
      <c r="L443" s="166">
        <v>13970</v>
      </c>
      <c r="M443" s="67"/>
      <c r="N443" s="166">
        <v>13970</v>
      </c>
      <c r="O443" s="148"/>
      <c r="P443" s="166">
        <v>13970</v>
      </c>
      <c r="Q443" s="129">
        <f t="shared" ref="Q443:Q449" si="3788">SUM(AI443+BA443)</f>
        <v>20.946000000000002</v>
      </c>
      <c r="R443" s="350">
        <f t="shared" si="3766"/>
        <v>292.61562000000004</v>
      </c>
      <c r="S443" s="129">
        <v>5.76</v>
      </c>
      <c r="T443" s="129">
        <f t="shared" si="3767"/>
        <v>80.467199999999991</v>
      </c>
      <c r="U443" s="119">
        <v>6.48</v>
      </c>
      <c r="V443" s="184">
        <f t="shared" si="3768"/>
        <v>90.525600000000011</v>
      </c>
      <c r="W443" s="222">
        <v>3.95</v>
      </c>
      <c r="X443" s="223">
        <f t="shared" si="3769"/>
        <v>55.1815</v>
      </c>
      <c r="Y443" s="197">
        <f t="shared" si="3770"/>
        <v>16.190000000000001</v>
      </c>
      <c r="Z443" s="184">
        <f t="shared" si="3771"/>
        <v>226.17429999999999</v>
      </c>
      <c r="AA443" s="222">
        <v>0.48</v>
      </c>
      <c r="AB443" s="223">
        <f t="shared" si="3772"/>
        <v>6.7055999999999996</v>
      </c>
      <c r="AC443" s="222">
        <v>2.8159999999999998</v>
      </c>
      <c r="AD443" s="184">
        <f t="shared" si="3773"/>
        <v>39.33952</v>
      </c>
      <c r="AE443" s="222"/>
      <c r="AF443" s="223">
        <f t="shared" si="3774"/>
        <v>0</v>
      </c>
      <c r="AG443" s="197">
        <f t="shared" si="3775"/>
        <v>3.2959999999999998</v>
      </c>
      <c r="AH443" s="129">
        <f t="shared" si="3776"/>
        <v>46.045119999999997</v>
      </c>
      <c r="AI443" s="129">
        <f t="shared" si="3777"/>
        <v>19.486000000000001</v>
      </c>
      <c r="AJ443" s="184">
        <f t="shared" si="3778"/>
        <v>272.21942000000001</v>
      </c>
      <c r="AK443" s="222"/>
      <c r="AL443" s="184">
        <f t="shared" si="3779"/>
        <v>0</v>
      </c>
      <c r="AM443" s="253">
        <v>1.44</v>
      </c>
      <c r="AN443" s="184">
        <f t="shared" si="3780"/>
        <v>20.116799999999998</v>
      </c>
      <c r="AO443" s="222"/>
      <c r="AP443" s="223">
        <f t="shared" ref="AP443:AP449" si="3789">N443*AO443/1000</f>
        <v>0</v>
      </c>
      <c r="AQ443" s="197">
        <f t="shared" si="3781"/>
        <v>1.44</v>
      </c>
      <c r="AR443" s="129">
        <f t="shared" si="3739"/>
        <v>20.116799999999998</v>
      </c>
      <c r="AS443" s="129">
        <v>0.02</v>
      </c>
      <c r="AT443" s="184">
        <f t="shared" si="3740"/>
        <v>0.27940000000000004</v>
      </c>
      <c r="AU443" s="222"/>
      <c r="AV443" s="184">
        <f t="shared" si="3782"/>
        <v>0</v>
      </c>
      <c r="AW443" s="222"/>
      <c r="AX443" s="223">
        <f t="shared" si="3783"/>
        <v>0</v>
      </c>
      <c r="AY443" s="197">
        <f t="shared" si="3784"/>
        <v>0.02</v>
      </c>
      <c r="AZ443" s="129">
        <f t="shared" si="3785"/>
        <v>0.27940000000000004</v>
      </c>
      <c r="BA443" s="129">
        <f t="shared" si="3786"/>
        <v>1.46</v>
      </c>
      <c r="BB443" s="129">
        <f t="shared" si="3787"/>
        <v>20.396199999999997</v>
      </c>
    </row>
    <row r="444" spans="1:54">
      <c r="B444" s="13"/>
      <c r="C444" s="13"/>
      <c r="D444" s="13" t="s">
        <v>771</v>
      </c>
      <c r="E444" s="63" t="s">
        <v>1171</v>
      </c>
      <c r="F444" s="425" t="s">
        <v>1198</v>
      </c>
      <c r="G444" s="425" t="s">
        <v>1101</v>
      </c>
      <c r="H444" s="284" t="s">
        <v>365</v>
      </c>
      <c r="I444" s="67"/>
      <c r="J444" s="166">
        <v>13900</v>
      </c>
      <c r="K444" s="67"/>
      <c r="L444" s="166">
        <v>13900</v>
      </c>
      <c r="M444" s="67"/>
      <c r="N444" s="166">
        <v>13900</v>
      </c>
      <c r="O444" s="67"/>
      <c r="P444" s="166">
        <v>13900</v>
      </c>
      <c r="Q444" s="129">
        <f>SUM(AI444+BA444)</f>
        <v>0</v>
      </c>
      <c r="R444" s="350">
        <f t="shared" ref="R444" si="3790">SUM(AJ444+BB444)</f>
        <v>0</v>
      </c>
      <c r="S444" s="129"/>
      <c r="T444" s="129">
        <f t="shared" ref="T444" si="3791">J444*S444/1000</f>
        <v>0</v>
      </c>
      <c r="U444" s="129"/>
      <c r="V444" s="129">
        <f t="shared" ref="V444" si="3792">J444*U444/1000</f>
        <v>0</v>
      </c>
      <c r="W444" s="129"/>
      <c r="X444" s="129">
        <f t="shared" ref="X444" si="3793">J444*W444/1000</f>
        <v>0</v>
      </c>
      <c r="Y444" s="129">
        <f t="shared" si="3770"/>
        <v>0</v>
      </c>
      <c r="Z444" s="129">
        <f t="shared" si="3771"/>
        <v>0</v>
      </c>
      <c r="AA444" s="129"/>
      <c r="AB444" s="129">
        <f t="shared" ref="AB444" si="3794">L444*AA444/1000</f>
        <v>0</v>
      </c>
      <c r="AC444" s="129"/>
      <c r="AD444" s="129">
        <f t="shared" ref="AD444" si="3795">L444*AC444/1000</f>
        <v>0</v>
      </c>
      <c r="AE444" s="129"/>
      <c r="AF444" s="129">
        <f t="shared" ref="AF444" si="3796">L444*AE444/1000</f>
        <v>0</v>
      </c>
      <c r="AG444" s="129">
        <f>SUM(AA444+AC444+AE444)</f>
        <v>0</v>
      </c>
      <c r="AH444" s="129">
        <f>SUM(AB444+AD444+AF444)</f>
        <v>0</v>
      </c>
      <c r="AI444" s="129">
        <f t="shared" ref="AI444" si="3797">SUM(Y444+AG444)</f>
        <v>0</v>
      </c>
      <c r="AJ444" s="129">
        <f t="shared" ref="AJ444" si="3798">SUM(Z444,AH444)</f>
        <v>0</v>
      </c>
      <c r="AK444" s="129"/>
      <c r="AL444" s="129">
        <f t="shared" ref="AL444" si="3799">N444*AK444/1000</f>
        <v>0</v>
      </c>
      <c r="AM444" s="129"/>
      <c r="AN444" s="129">
        <f t="shared" ref="AN444" si="3800">N444*AM444/1000</f>
        <v>0</v>
      </c>
      <c r="AO444" s="129"/>
      <c r="AP444" s="129">
        <f t="shared" ref="AP444" si="3801">N444*AO444/1000</f>
        <v>0</v>
      </c>
      <c r="AQ444" s="129">
        <f>SUM(AK444+AM444+AO444)</f>
        <v>0</v>
      </c>
      <c r="AR444" s="129">
        <f>SUM(AL444+AN444+AP444)</f>
        <v>0</v>
      </c>
      <c r="AS444" s="129"/>
      <c r="AT444" s="129">
        <f t="shared" ref="AT444" si="3802">P444*AS444/1000</f>
        <v>0</v>
      </c>
      <c r="AU444" s="129"/>
      <c r="AV444" s="129">
        <f t="shared" ref="AV444" si="3803">P444*AU444/1000</f>
        <v>0</v>
      </c>
      <c r="AW444" s="129"/>
      <c r="AX444" s="129">
        <f t="shared" ref="AX444" si="3804">P444*AW444/1000</f>
        <v>0</v>
      </c>
      <c r="AY444" s="129">
        <f>SUM(AS444+AU444+AW444)</f>
        <v>0</v>
      </c>
      <c r="AZ444" s="129">
        <f>SUM(AT444+AV444+AX444)</f>
        <v>0</v>
      </c>
      <c r="BA444" s="129">
        <f t="shared" ref="BA444" si="3805">SUM(AQ444+AY444)</f>
        <v>0</v>
      </c>
      <c r="BB444" s="129">
        <f t="shared" ref="BB444" si="3806">SUM(AR444,AZ444)</f>
        <v>0</v>
      </c>
    </row>
    <row r="445" spans="1:54">
      <c r="B445" s="13"/>
      <c r="C445" s="13"/>
      <c r="D445" s="13" t="s">
        <v>771</v>
      </c>
      <c r="E445" s="63" t="s">
        <v>1344</v>
      </c>
      <c r="F445" s="425" t="s">
        <v>1345</v>
      </c>
      <c r="G445" s="425" t="s">
        <v>1101</v>
      </c>
      <c r="H445" s="284" t="s">
        <v>365</v>
      </c>
      <c r="I445" s="67"/>
      <c r="J445" s="166">
        <v>13950</v>
      </c>
      <c r="K445" s="67"/>
      <c r="L445" s="166">
        <v>13950</v>
      </c>
      <c r="M445" s="67"/>
      <c r="N445" s="166">
        <v>13950</v>
      </c>
      <c r="O445" s="67"/>
      <c r="P445" s="166">
        <v>13950</v>
      </c>
      <c r="Q445" s="129">
        <f t="shared" si="3788"/>
        <v>0</v>
      </c>
      <c r="R445" s="350">
        <f t="shared" si="3766"/>
        <v>0</v>
      </c>
      <c r="S445" s="129"/>
      <c r="T445" s="129">
        <f t="shared" si="3767"/>
        <v>0</v>
      </c>
      <c r="U445" s="129"/>
      <c r="V445" s="129">
        <f t="shared" si="3768"/>
        <v>0</v>
      </c>
      <c r="W445" s="129"/>
      <c r="X445" s="129">
        <f t="shared" si="3769"/>
        <v>0</v>
      </c>
      <c r="Y445" s="129">
        <f t="shared" ref="Y445:Y447" si="3807">SUM(S445+U445+W445)</f>
        <v>0</v>
      </c>
      <c r="Z445" s="129">
        <f t="shared" ref="Z445:Z447" si="3808">SUM(T445+V445+X445)</f>
        <v>0</v>
      </c>
      <c r="AA445" s="129"/>
      <c r="AB445" s="129">
        <f t="shared" si="3772"/>
        <v>0</v>
      </c>
      <c r="AC445" s="129"/>
      <c r="AD445" s="129">
        <f t="shared" si="3773"/>
        <v>0</v>
      </c>
      <c r="AE445" s="129"/>
      <c r="AF445" s="129">
        <f t="shared" si="3774"/>
        <v>0</v>
      </c>
      <c r="AG445" s="129">
        <f>SUM(AA445+AC445+AE445)</f>
        <v>0</v>
      </c>
      <c r="AH445" s="129">
        <f>SUM(AB445+AD445+AF445)</f>
        <v>0</v>
      </c>
      <c r="AI445" s="129">
        <f t="shared" si="3777"/>
        <v>0</v>
      </c>
      <c r="AJ445" s="129">
        <f t="shared" si="3778"/>
        <v>0</v>
      </c>
      <c r="AK445" s="129"/>
      <c r="AL445" s="129">
        <f t="shared" si="3779"/>
        <v>0</v>
      </c>
      <c r="AM445" s="129"/>
      <c r="AN445" s="129">
        <f t="shared" si="3780"/>
        <v>0</v>
      </c>
      <c r="AO445" s="129"/>
      <c r="AP445" s="129">
        <f t="shared" si="3789"/>
        <v>0</v>
      </c>
      <c r="AQ445" s="129">
        <f>SUM(AK445+AM445+AO445)</f>
        <v>0</v>
      </c>
      <c r="AR445" s="129">
        <f>SUM(AL445+AN445+AP445)</f>
        <v>0</v>
      </c>
      <c r="AS445" s="129"/>
      <c r="AT445" s="129">
        <f t="shared" si="3740"/>
        <v>0</v>
      </c>
      <c r="AU445" s="129"/>
      <c r="AV445" s="129">
        <f t="shared" si="3782"/>
        <v>0</v>
      </c>
      <c r="AW445" s="129"/>
      <c r="AX445" s="129">
        <f t="shared" si="3783"/>
        <v>0</v>
      </c>
      <c r="AY445" s="129">
        <f>SUM(AS445+AU445+AW445)</f>
        <v>0</v>
      </c>
      <c r="AZ445" s="129">
        <f>SUM(AT445+AV445+AX445)</f>
        <v>0</v>
      </c>
      <c r="BA445" s="129">
        <f t="shared" si="3786"/>
        <v>0</v>
      </c>
      <c r="BB445" s="129">
        <f t="shared" si="3787"/>
        <v>0</v>
      </c>
    </row>
    <row r="446" spans="1:54">
      <c r="B446" s="13"/>
      <c r="C446" s="13"/>
      <c r="D446" s="13" t="s">
        <v>771</v>
      </c>
      <c r="E446" s="21" t="s">
        <v>1263</v>
      </c>
      <c r="F446" s="46" t="s">
        <v>1264</v>
      </c>
      <c r="G446" s="46" t="s">
        <v>1265</v>
      </c>
      <c r="H446" s="268" t="s">
        <v>1126</v>
      </c>
      <c r="I446" s="55"/>
      <c r="J446" s="163">
        <v>13280</v>
      </c>
      <c r="K446" s="55"/>
      <c r="L446" s="163">
        <v>13280</v>
      </c>
      <c r="M446" s="55"/>
      <c r="N446" s="163">
        <v>13280</v>
      </c>
      <c r="O446" s="55"/>
      <c r="P446" s="163">
        <v>13280</v>
      </c>
      <c r="Q446" s="97">
        <f t="shared" si="3788"/>
        <v>0</v>
      </c>
      <c r="R446" s="342">
        <f t="shared" si="3766"/>
        <v>0</v>
      </c>
      <c r="S446" s="97"/>
      <c r="T446" s="97">
        <f t="shared" si="3767"/>
        <v>0</v>
      </c>
      <c r="U446" s="97"/>
      <c r="V446" s="97">
        <f t="shared" si="3768"/>
        <v>0</v>
      </c>
      <c r="W446" s="97"/>
      <c r="X446" s="97">
        <f t="shared" si="3769"/>
        <v>0</v>
      </c>
      <c r="Y446" s="97">
        <f t="shared" ref="Y446" si="3809">SUM(S446+U446+W446)</f>
        <v>0</v>
      </c>
      <c r="Z446" s="97">
        <f t="shared" ref="Z446" si="3810">SUM(T446+V446+X446)</f>
        <v>0</v>
      </c>
      <c r="AA446" s="97"/>
      <c r="AB446" s="97">
        <f t="shared" si="3772"/>
        <v>0</v>
      </c>
      <c r="AC446" s="97"/>
      <c r="AD446" s="97">
        <f t="shared" si="3773"/>
        <v>0</v>
      </c>
      <c r="AE446" s="97"/>
      <c r="AF446" s="97">
        <f t="shared" si="3774"/>
        <v>0</v>
      </c>
      <c r="AG446" s="97">
        <f t="shared" ref="AG446" si="3811">SUM(AA446+AC446+AE446)</f>
        <v>0</v>
      </c>
      <c r="AH446" s="97">
        <f t="shared" ref="AH446" si="3812">SUM(AB446+AD446+AF446)</f>
        <v>0</v>
      </c>
      <c r="AI446" s="97">
        <f t="shared" si="3777"/>
        <v>0</v>
      </c>
      <c r="AJ446" s="97">
        <f t="shared" si="3778"/>
        <v>0</v>
      </c>
      <c r="AK446" s="97"/>
      <c r="AL446" s="97">
        <f t="shared" si="3779"/>
        <v>0</v>
      </c>
      <c r="AM446" s="97"/>
      <c r="AN446" s="97">
        <f t="shared" si="3780"/>
        <v>0</v>
      </c>
      <c r="AO446" s="97"/>
      <c r="AP446" s="97">
        <f t="shared" si="3789"/>
        <v>0</v>
      </c>
      <c r="AQ446" s="97">
        <f t="shared" ref="AQ446" si="3813">SUM(AK446+AM446+AO446)</f>
        <v>0</v>
      </c>
      <c r="AR446" s="97">
        <f t="shared" ref="AR446" si="3814">SUM(AL446+AN446+AP446)</f>
        <v>0</v>
      </c>
      <c r="AS446" s="97"/>
      <c r="AT446" s="97">
        <f t="shared" si="3740"/>
        <v>0</v>
      </c>
      <c r="AU446" s="97"/>
      <c r="AV446" s="97">
        <f t="shared" si="3782"/>
        <v>0</v>
      </c>
      <c r="AW446" s="97"/>
      <c r="AX446" s="97">
        <f t="shared" si="3783"/>
        <v>0</v>
      </c>
      <c r="AY446" s="97">
        <f t="shared" ref="AY446" si="3815">SUM(AS446+AU446+AW446)</f>
        <v>0</v>
      </c>
      <c r="AZ446" s="97">
        <f t="shared" ref="AZ446" si="3816">SUM(AT446+AV446+AX446)</f>
        <v>0</v>
      </c>
      <c r="BA446" s="97">
        <f t="shared" si="3786"/>
        <v>0</v>
      </c>
      <c r="BB446" s="97">
        <f t="shared" si="3787"/>
        <v>0</v>
      </c>
    </row>
    <row r="447" spans="1:54">
      <c r="B447" s="13"/>
      <c r="C447" s="13"/>
      <c r="D447" s="13" t="s">
        <v>771</v>
      </c>
      <c r="E447" s="21" t="s">
        <v>1346</v>
      </c>
      <c r="F447" s="46" t="s">
        <v>1348</v>
      </c>
      <c r="G447" s="46" t="s">
        <v>1265</v>
      </c>
      <c r="H447" s="268" t="s">
        <v>1126</v>
      </c>
      <c r="I447" s="55"/>
      <c r="J447" s="163">
        <v>13700</v>
      </c>
      <c r="K447" s="55"/>
      <c r="L447" s="163">
        <v>13700</v>
      </c>
      <c r="M447" s="55"/>
      <c r="N447" s="163">
        <v>13700</v>
      </c>
      <c r="O447" s="55"/>
      <c r="P447" s="163">
        <v>13700</v>
      </c>
      <c r="Q447" s="97">
        <f t="shared" ref="Q447" si="3817">SUM(AI447+BA447)</f>
        <v>4.351</v>
      </c>
      <c r="R447" s="342">
        <f t="shared" ref="R447" si="3818">SUM(AJ447+BB447)</f>
        <v>59.608700000000006</v>
      </c>
      <c r="S447" s="97"/>
      <c r="T447" s="97">
        <f t="shared" ref="T447" si="3819">J447*S447/1000</f>
        <v>0</v>
      </c>
      <c r="U447" s="97">
        <v>0.48</v>
      </c>
      <c r="V447" s="97">
        <f t="shared" ref="V447" si="3820">J447*U447/1000</f>
        <v>6.5759999999999996</v>
      </c>
      <c r="W447" s="97"/>
      <c r="X447" s="97">
        <f t="shared" ref="X447" si="3821">J447*W447/1000</f>
        <v>0</v>
      </c>
      <c r="Y447" s="97">
        <f t="shared" si="3807"/>
        <v>0.48</v>
      </c>
      <c r="Z447" s="97">
        <f t="shared" si="3808"/>
        <v>6.5759999999999996</v>
      </c>
      <c r="AA447" s="97"/>
      <c r="AB447" s="97">
        <f t="shared" ref="AB447" si="3822">L447*AA447/1000</f>
        <v>0</v>
      </c>
      <c r="AC447" s="97"/>
      <c r="AD447" s="97">
        <f t="shared" ref="AD447" si="3823">L447*AC447/1000</f>
        <v>0</v>
      </c>
      <c r="AE447" s="97"/>
      <c r="AF447" s="97">
        <f t="shared" ref="AF447" si="3824">L447*AE447/1000</f>
        <v>0</v>
      </c>
      <c r="AG447" s="97">
        <f t="shared" ref="AG447" si="3825">SUM(AA447+AC447+AE447)</f>
        <v>0</v>
      </c>
      <c r="AH447" s="97">
        <f t="shared" ref="AH447" si="3826">SUM(AB447+AD447+AF447)</f>
        <v>0</v>
      </c>
      <c r="AI447" s="97">
        <f t="shared" ref="AI447" si="3827">SUM(Y447+AG447)</f>
        <v>0.48</v>
      </c>
      <c r="AJ447" s="97">
        <f t="shared" ref="AJ447" si="3828">SUM(Z447,AH447)</f>
        <v>6.5759999999999996</v>
      </c>
      <c r="AK447" s="97"/>
      <c r="AL447" s="97">
        <f t="shared" ref="AL447" si="3829">N447*AK447/1000</f>
        <v>0</v>
      </c>
      <c r="AM447" s="97"/>
      <c r="AN447" s="97">
        <f t="shared" ref="AN447" si="3830">N447*AM447/1000</f>
        <v>0</v>
      </c>
      <c r="AO447" s="97"/>
      <c r="AP447" s="97">
        <f t="shared" ref="AP447" si="3831">N447*AO447/1000</f>
        <v>0</v>
      </c>
      <c r="AQ447" s="97">
        <f t="shared" ref="AQ447" si="3832">SUM(AK447+AM447+AO447)</f>
        <v>0</v>
      </c>
      <c r="AR447" s="97">
        <f t="shared" ref="AR447" si="3833">SUM(AL447+AN447+AP447)</f>
        <v>0</v>
      </c>
      <c r="AS447" s="97">
        <v>0.96</v>
      </c>
      <c r="AT447" s="97">
        <f t="shared" ref="AT447" si="3834">P447*AS447/1000</f>
        <v>13.151999999999999</v>
      </c>
      <c r="AU447" s="97">
        <v>0.94</v>
      </c>
      <c r="AV447" s="97">
        <f t="shared" ref="AV447" si="3835">P447*AU447/1000</f>
        <v>12.878</v>
      </c>
      <c r="AW447" s="97">
        <v>1.9710000000000001</v>
      </c>
      <c r="AX447" s="97">
        <f t="shared" ref="AX447" si="3836">P447*AW447/1000</f>
        <v>27.002700000000001</v>
      </c>
      <c r="AY447" s="97">
        <f t="shared" ref="AY447" si="3837">SUM(AS447+AU447+AW447)</f>
        <v>3.871</v>
      </c>
      <c r="AZ447" s="97">
        <f t="shared" ref="AZ447" si="3838">SUM(AT447+AV447+AX447)</f>
        <v>53.032700000000006</v>
      </c>
      <c r="BA447" s="97">
        <f t="shared" ref="BA447" si="3839">SUM(AQ447+AY447)</f>
        <v>3.871</v>
      </c>
      <c r="BB447" s="97">
        <f t="shared" ref="BB447" si="3840">SUM(AR447,AZ447)</f>
        <v>53.032700000000006</v>
      </c>
    </row>
    <row r="448" spans="1:54">
      <c r="B448" s="13"/>
      <c r="C448" s="13"/>
      <c r="D448" s="13" t="s">
        <v>771</v>
      </c>
      <c r="E448" s="21" t="s">
        <v>1347</v>
      </c>
      <c r="F448" s="46" t="s">
        <v>1349</v>
      </c>
      <c r="G448" s="46" t="s">
        <v>1265</v>
      </c>
      <c r="H448" s="268" t="s">
        <v>1266</v>
      </c>
      <c r="I448" s="55"/>
      <c r="J448" s="163">
        <v>13900</v>
      </c>
      <c r="K448" s="55"/>
      <c r="L448" s="163">
        <v>13900</v>
      </c>
      <c r="M448" s="55"/>
      <c r="N448" s="163">
        <v>13900</v>
      </c>
      <c r="O448" s="55"/>
      <c r="P448" s="163">
        <v>13900</v>
      </c>
      <c r="Q448" s="97">
        <f t="shared" si="3788"/>
        <v>0</v>
      </c>
      <c r="R448" s="342">
        <f t="shared" si="3766"/>
        <v>0</v>
      </c>
      <c r="S448" s="97"/>
      <c r="T448" s="97">
        <f t="shared" si="3767"/>
        <v>0</v>
      </c>
      <c r="U448" s="97"/>
      <c r="V448" s="97">
        <f t="shared" si="3768"/>
        <v>0</v>
      </c>
      <c r="W448" s="97"/>
      <c r="X448" s="97">
        <f t="shared" si="3769"/>
        <v>0</v>
      </c>
      <c r="Y448" s="97">
        <f t="shared" ref="Y448:Y449" si="3841">SUM(S448+U448+W448)</f>
        <v>0</v>
      </c>
      <c r="Z448" s="97">
        <f t="shared" ref="Z448:Z449" si="3842">SUM(T448+V448+X448)</f>
        <v>0</v>
      </c>
      <c r="AA448" s="97"/>
      <c r="AB448" s="97">
        <f t="shared" si="3772"/>
        <v>0</v>
      </c>
      <c r="AC448" s="97"/>
      <c r="AD448" s="97">
        <f t="shared" si="3773"/>
        <v>0</v>
      </c>
      <c r="AE448" s="97"/>
      <c r="AF448" s="97">
        <f t="shared" si="3774"/>
        <v>0</v>
      </c>
      <c r="AG448" s="97">
        <f t="shared" ref="AG448:AG449" si="3843">SUM(AA448+AC448+AE448)</f>
        <v>0</v>
      </c>
      <c r="AH448" s="97">
        <f t="shared" ref="AH448:AH449" si="3844">SUM(AB448+AD448+AF448)</f>
        <v>0</v>
      </c>
      <c r="AI448" s="97">
        <f t="shared" si="3777"/>
        <v>0</v>
      </c>
      <c r="AJ448" s="97">
        <f t="shared" si="3778"/>
        <v>0</v>
      </c>
      <c r="AK448" s="97"/>
      <c r="AL448" s="97">
        <f t="shared" si="3779"/>
        <v>0</v>
      </c>
      <c r="AM448" s="97"/>
      <c r="AN448" s="97">
        <f t="shared" si="3780"/>
        <v>0</v>
      </c>
      <c r="AO448" s="97"/>
      <c r="AP448" s="97">
        <f t="shared" si="3789"/>
        <v>0</v>
      </c>
      <c r="AQ448" s="97">
        <f t="shared" ref="AQ448:AQ449" si="3845">SUM(AK448+AM448+AO448)</f>
        <v>0</v>
      </c>
      <c r="AR448" s="97">
        <f t="shared" ref="AR448:AR449" si="3846">SUM(AL448+AN448+AP448)</f>
        <v>0</v>
      </c>
      <c r="AS448" s="97"/>
      <c r="AT448" s="97">
        <f t="shared" si="3740"/>
        <v>0</v>
      </c>
      <c r="AU448" s="97"/>
      <c r="AV448" s="97">
        <f t="shared" si="3782"/>
        <v>0</v>
      </c>
      <c r="AW448" s="97"/>
      <c r="AX448" s="97">
        <f t="shared" si="3783"/>
        <v>0</v>
      </c>
      <c r="AY448" s="97">
        <f t="shared" ref="AY448:AY449" si="3847">SUM(AS448+AU448+AW448)</f>
        <v>0</v>
      </c>
      <c r="AZ448" s="97">
        <f t="shared" ref="AZ448:AZ449" si="3848">SUM(AT448+AV448+AX448)</f>
        <v>0</v>
      </c>
      <c r="BA448" s="97">
        <f t="shared" si="3786"/>
        <v>0</v>
      </c>
      <c r="BB448" s="97">
        <f t="shared" si="3787"/>
        <v>0</v>
      </c>
    </row>
    <row r="449" spans="1:54">
      <c r="B449" s="13"/>
      <c r="C449" s="13"/>
      <c r="D449" s="13" t="s">
        <v>771</v>
      </c>
      <c r="E449" s="21" t="s">
        <v>1529</v>
      </c>
      <c r="F449" s="46" t="s">
        <v>1530</v>
      </c>
      <c r="G449" s="46" t="s">
        <v>1102</v>
      </c>
      <c r="H449" s="268" t="s">
        <v>1119</v>
      </c>
      <c r="I449" s="55"/>
      <c r="J449" s="163">
        <v>13950</v>
      </c>
      <c r="K449" s="55"/>
      <c r="L449" s="163">
        <v>13950</v>
      </c>
      <c r="M449" s="55"/>
      <c r="N449" s="163">
        <v>13950</v>
      </c>
      <c r="O449" s="55"/>
      <c r="P449" s="163">
        <v>13950</v>
      </c>
      <c r="Q449" s="97">
        <f t="shared" si="3788"/>
        <v>3.0000000000000001E-3</v>
      </c>
      <c r="R449" s="342">
        <f t="shared" si="3766"/>
        <v>4.1849999999999998E-2</v>
      </c>
      <c r="S449" s="97"/>
      <c r="T449" s="97">
        <f t="shared" si="3767"/>
        <v>0</v>
      </c>
      <c r="U449" s="97"/>
      <c r="V449" s="97">
        <f t="shared" si="3768"/>
        <v>0</v>
      </c>
      <c r="W449" s="97"/>
      <c r="X449" s="97">
        <f t="shared" si="3769"/>
        <v>0</v>
      </c>
      <c r="Y449" s="97">
        <f t="shared" si="3841"/>
        <v>0</v>
      </c>
      <c r="Z449" s="97">
        <f t="shared" si="3842"/>
        <v>0</v>
      </c>
      <c r="AA449" s="97"/>
      <c r="AB449" s="97">
        <f t="shared" si="3772"/>
        <v>0</v>
      </c>
      <c r="AC449" s="97"/>
      <c r="AD449" s="97">
        <f t="shared" si="3773"/>
        <v>0</v>
      </c>
      <c r="AE449" s="97"/>
      <c r="AF449" s="97">
        <f t="shared" si="3774"/>
        <v>0</v>
      </c>
      <c r="AG449" s="97">
        <f t="shared" si="3843"/>
        <v>0</v>
      </c>
      <c r="AH449" s="97">
        <f t="shared" si="3844"/>
        <v>0</v>
      </c>
      <c r="AI449" s="97">
        <f t="shared" si="3777"/>
        <v>0</v>
      </c>
      <c r="AJ449" s="97">
        <f t="shared" si="3778"/>
        <v>0</v>
      </c>
      <c r="AK449" s="97"/>
      <c r="AL449" s="97">
        <f t="shared" si="3779"/>
        <v>0</v>
      </c>
      <c r="AM449" s="97"/>
      <c r="AN449" s="97">
        <f t="shared" si="3780"/>
        <v>0</v>
      </c>
      <c r="AO449" s="97"/>
      <c r="AP449" s="97">
        <f t="shared" si="3789"/>
        <v>0</v>
      </c>
      <c r="AQ449" s="97">
        <f t="shared" si="3845"/>
        <v>0</v>
      </c>
      <c r="AR449" s="97">
        <f t="shared" si="3846"/>
        <v>0</v>
      </c>
      <c r="AS449" s="97"/>
      <c r="AT449" s="97">
        <f t="shared" si="3740"/>
        <v>0</v>
      </c>
      <c r="AU449" s="97">
        <v>3.0000000000000001E-3</v>
      </c>
      <c r="AV449" s="97">
        <f t="shared" si="3782"/>
        <v>4.1849999999999998E-2</v>
      </c>
      <c r="AW449" s="97"/>
      <c r="AX449" s="97">
        <f t="shared" si="3783"/>
        <v>0</v>
      </c>
      <c r="AY449" s="97">
        <f t="shared" si="3847"/>
        <v>3.0000000000000001E-3</v>
      </c>
      <c r="AZ449" s="97">
        <f t="shared" si="3848"/>
        <v>4.1849999999999998E-2</v>
      </c>
      <c r="BA449" s="97">
        <f t="shared" si="3786"/>
        <v>3.0000000000000001E-3</v>
      </c>
      <c r="BB449" s="97">
        <f t="shared" si="3787"/>
        <v>4.1849999999999998E-2</v>
      </c>
    </row>
    <row r="450" spans="1:54">
      <c r="A450" s="498">
        <v>295</v>
      </c>
      <c r="B450" s="13"/>
      <c r="C450" s="13"/>
      <c r="D450" s="24" t="s">
        <v>1301</v>
      </c>
      <c r="E450" s="90" t="s">
        <v>908</v>
      </c>
      <c r="F450" s="23" t="s">
        <v>1027</v>
      </c>
      <c r="G450" s="23" t="s">
        <v>1101</v>
      </c>
      <c r="H450" s="287" t="s">
        <v>365</v>
      </c>
      <c r="I450" s="76"/>
      <c r="J450" s="168">
        <v>18300</v>
      </c>
      <c r="K450" s="76"/>
      <c r="L450" s="168">
        <v>18300</v>
      </c>
      <c r="M450" s="76"/>
      <c r="N450" s="168">
        <v>18300</v>
      </c>
      <c r="O450" s="154"/>
      <c r="P450" s="168">
        <v>18300</v>
      </c>
      <c r="Q450" s="131">
        <f t="shared" si="3696"/>
        <v>0</v>
      </c>
      <c r="R450" s="352">
        <f t="shared" si="3697"/>
        <v>0</v>
      </c>
      <c r="S450" s="131"/>
      <c r="T450" s="131">
        <f t="shared" ref="T450:T457" si="3849">J450*S450/1000</f>
        <v>0</v>
      </c>
      <c r="U450" s="131"/>
      <c r="V450" s="185">
        <f t="shared" si="3698"/>
        <v>0</v>
      </c>
      <c r="W450" s="224"/>
      <c r="X450" s="225">
        <f t="shared" si="3699"/>
        <v>0</v>
      </c>
      <c r="Y450" s="198">
        <f t="shared" si="3700"/>
        <v>0</v>
      </c>
      <c r="Z450" s="185">
        <f t="shared" ref="Z450" si="3850">SUM(T450+V450+X450)</f>
        <v>0</v>
      </c>
      <c r="AA450" s="224"/>
      <c r="AB450" s="225">
        <f t="shared" si="3701"/>
        <v>0</v>
      </c>
      <c r="AC450" s="224"/>
      <c r="AD450" s="185">
        <f t="shared" si="3702"/>
        <v>0</v>
      </c>
      <c r="AE450" s="224"/>
      <c r="AF450" s="209">
        <f>L450*AE450/1000</f>
        <v>0</v>
      </c>
      <c r="AG450" s="198">
        <f t="shared" si="3703"/>
        <v>0</v>
      </c>
      <c r="AH450" s="131">
        <f t="shared" ref="AH450" si="3851">SUM(AB450+AD450+AF450)</f>
        <v>0</v>
      </c>
      <c r="AI450" s="131">
        <f t="shared" si="3704"/>
        <v>0</v>
      </c>
      <c r="AJ450" s="185">
        <f t="shared" si="3705"/>
        <v>0</v>
      </c>
      <c r="AK450" s="224"/>
      <c r="AL450" s="185">
        <f t="shared" si="3727"/>
        <v>0</v>
      </c>
      <c r="AM450" s="254"/>
      <c r="AN450" s="185">
        <f t="shared" ref="AN450" si="3852">N450*AM450/1000</f>
        <v>0</v>
      </c>
      <c r="AO450" s="224"/>
      <c r="AP450" s="225">
        <f t="shared" ref="AP450" si="3853">N450*AO450/1000</f>
        <v>0</v>
      </c>
      <c r="AQ450" s="198">
        <f t="shared" si="3707"/>
        <v>0</v>
      </c>
      <c r="AR450" s="131">
        <f t="shared" si="3739"/>
        <v>0</v>
      </c>
      <c r="AS450" s="131"/>
      <c r="AT450" s="185">
        <f t="shared" si="3740"/>
        <v>0</v>
      </c>
      <c r="AU450" s="224"/>
      <c r="AV450" s="185">
        <f t="shared" si="3708"/>
        <v>0</v>
      </c>
      <c r="AW450" s="224"/>
      <c r="AX450" s="225">
        <f t="shared" si="3709"/>
        <v>0</v>
      </c>
      <c r="AY450" s="198">
        <f t="shared" si="3710"/>
        <v>0</v>
      </c>
      <c r="AZ450" s="131">
        <f t="shared" ref="AZ450" si="3854">SUM(AT450+AV450+AX450)</f>
        <v>0</v>
      </c>
      <c r="BA450" s="131">
        <f t="shared" si="3711"/>
        <v>0</v>
      </c>
      <c r="BB450" s="131">
        <f t="shared" si="3712"/>
        <v>0</v>
      </c>
    </row>
    <row r="451" spans="1:54">
      <c r="A451" s="498">
        <v>296</v>
      </c>
      <c r="B451" s="13"/>
      <c r="C451" s="27" t="s">
        <v>135</v>
      </c>
      <c r="D451" s="289"/>
      <c r="E451" s="144"/>
      <c r="F451" s="54"/>
      <c r="G451" s="54"/>
      <c r="H451" s="54"/>
      <c r="I451" s="54"/>
      <c r="J451" s="54"/>
      <c r="K451" s="54"/>
      <c r="L451" s="170"/>
      <c r="M451" s="54"/>
      <c r="N451" s="170"/>
      <c r="O451" s="142"/>
      <c r="P451" s="114"/>
      <c r="Q451" s="293">
        <f t="shared" ref="Q451:BB451" si="3855">SUM(Q400:Q450)</f>
        <v>1005.6290000000001</v>
      </c>
      <c r="R451" s="293">
        <f t="shared" si="3855"/>
        <v>7940.571488275601</v>
      </c>
      <c r="S451" s="293">
        <f t="shared" si="3855"/>
        <v>81.744</v>
      </c>
      <c r="T451" s="293">
        <f t="shared" si="3855"/>
        <v>657.89825658480004</v>
      </c>
      <c r="U451" s="293">
        <f t="shared" si="3855"/>
        <v>67.849999999999994</v>
      </c>
      <c r="V451" s="293">
        <f t="shared" si="3855"/>
        <v>568.68493918400009</v>
      </c>
      <c r="W451" s="293">
        <f t="shared" si="3855"/>
        <v>124.86200000000001</v>
      </c>
      <c r="X451" s="293">
        <f t="shared" si="3855"/>
        <v>964.51718600799995</v>
      </c>
      <c r="Y451" s="293">
        <f t="shared" si="3855"/>
        <v>274.45600000000002</v>
      </c>
      <c r="Z451" s="293">
        <f t="shared" si="3855"/>
        <v>2191.1003817768001</v>
      </c>
      <c r="AA451" s="293">
        <f t="shared" si="3855"/>
        <v>80.124000000000009</v>
      </c>
      <c r="AB451" s="293">
        <f t="shared" si="3855"/>
        <v>625.56093865440005</v>
      </c>
      <c r="AC451" s="293">
        <f t="shared" si="3855"/>
        <v>73.453999999999994</v>
      </c>
      <c r="AD451" s="293">
        <f t="shared" si="3855"/>
        <v>594.17825843920014</v>
      </c>
      <c r="AE451" s="293">
        <f t="shared" si="3855"/>
        <v>94.87</v>
      </c>
      <c r="AF451" s="293">
        <f t="shared" si="3855"/>
        <v>746.22148083360003</v>
      </c>
      <c r="AG451" s="293">
        <f t="shared" si="3855"/>
        <v>248.44800000000004</v>
      </c>
      <c r="AH451" s="293">
        <f t="shared" si="3855"/>
        <v>1965.9606779271999</v>
      </c>
      <c r="AI451" s="293">
        <f t="shared" si="3855"/>
        <v>522.904</v>
      </c>
      <c r="AJ451" s="293">
        <f t="shared" si="3855"/>
        <v>4157.0610597039995</v>
      </c>
      <c r="AK451" s="293">
        <f t="shared" si="3855"/>
        <v>90.411999999999992</v>
      </c>
      <c r="AL451" s="293">
        <f t="shared" si="3855"/>
        <v>720.67902779679991</v>
      </c>
      <c r="AM451" s="293">
        <f t="shared" si="3855"/>
        <v>58.152999999999992</v>
      </c>
      <c r="AN451" s="293">
        <f t="shared" si="3855"/>
        <v>451.89514759600002</v>
      </c>
      <c r="AO451" s="293">
        <f t="shared" si="3855"/>
        <v>93.028000000000006</v>
      </c>
      <c r="AP451" s="293">
        <f t="shared" si="3855"/>
        <v>698.26712987399992</v>
      </c>
      <c r="AQ451" s="293">
        <f t="shared" si="3855"/>
        <v>241.59300000000002</v>
      </c>
      <c r="AR451" s="293">
        <f t="shared" si="3855"/>
        <v>1870.8413052668</v>
      </c>
      <c r="AS451" s="293">
        <f t="shared" si="3855"/>
        <v>99.032999999999973</v>
      </c>
      <c r="AT451" s="293">
        <f t="shared" si="3855"/>
        <v>765.63558129199998</v>
      </c>
      <c r="AU451" s="293">
        <f t="shared" si="3855"/>
        <v>76.809999999999988</v>
      </c>
      <c r="AV451" s="293">
        <f t="shared" si="3855"/>
        <v>608.23764837320005</v>
      </c>
      <c r="AW451" s="293">
        <f t="shared" si="3855"/>
        <v>65.289000000000001</v>
      </c>
      <c r="AX451" s="293">
        <f t="shared" si="3855"/>
        <v>538.79589363959997</v>
      </c>
      <c r="AY451" s="293">
        <f t="shared" si="3855"/>
        <v>241.13200000000003</v>
      </c>
      <c r="AZ451" s="293">
        <f t="shared" si="3855"/>
        <v>1912.6691233048002</v>
      </c>
      <c r="BA451" s="293">
        <f t="shared" si="3855"/>
        <v>482.72499999999997</v>
      </c>
      <c r="BB451" s="293">
        <f t="shared" si="3855"/>
        <v>3783.5104285716011</v>
      </c>
    </row>
    <row r="452" spans="1:54">
      <c r="A452" s="498">
        <v>297</v>
      </c>
      <c r="B452" s="13"/>
      <c r="C452" s="53" t="s">
        <v>372</v>
      </c>
      <c r="D452" s="53" t="s">
        <v>1304</v>
      </c>
      <c r="E452" s="290" t="s">
        <v>419</v>
      </c>
      <c r="F452" s="50" t="s">
        <v>420</v>
      </c>
      <c r="G452" s="50" t="s">
        <v>1107</v>
      </c>
      <c r="H452" s="274" t="s">
        <v>365</v>
      </c>
      <c r="I452" s="256"/>
      <c r="J452" s="258">
        <v>10850</v>
      </c>
      <c r="K452" s="256"/>
      <c r="L452" s="258">
        <v>10850</v>
      </c>
      <c r="M452" s="256"/>
      <c r="N452" s="258">
        <v>9734</v>
      </c>
      <c r="O452" s="259"/>
      <c r="P452" s="258">
        <v>9734</v>
      </c>
      <c r="Q452" s="416">
        <f>SUM(AI452+BA452)</f>
        <v>55.146999999999998</v>
      </c>
      <c r="R452" s="417">
        <f t="shared" si="3697"/>
        <v>577.76144599999998</v>
      </c>
      <c r="S452" s="416">
        <v>0.189</v>
      </c>
      <c r="T452" s="416">
        <f t="shared" si="3849"/>
        <v>2.0506500000000001</v>
      </c>
      <c r="U452" s="416">
        <v>2.9039999999999999</v>
      </c>
      <c r="V452" s="420">
        <f t="shared" si="3698"/>
        <v>31.508399999999998</v>
      </c>
      <c r="W452" s="418">
        <v>7.5069999999999997</v>
      </c>
      <c r="X452" s="421">
        <f t="shared" si="3699"/>
        <v>81.450949999999992</v>
      </c>
      <c r="Y452" s="419">
        <f t="shared" ref="Y452:Y453" si="3856">SUM(S452+U452+W452)</f>
        <v>10.6</v>
      </c>
      <c r="Z452" s="420">
        <f>SUM(T452+V452+X452)</f>
        <v>115.00999999999999</v>
      </c>
      <c r="AA452" s="418">
        <v>10.829000000000001</v>
      </c>
      <c r="AB452" s="421">
        <f>L452*AA452/1000</f>
        <v>117.49465000000001</v>
      </c>
      <c r="AC452" s="418">
        <v>9.3239999999999998</v>
      </c>
      <c r="AD452" s="420">
        <f t="shared" si="3702"/>
        <v>101.16539999999999</v>
      </c>
      <c r="AE452" s="418">
        <v>5.95</v>
      </c>
      <c r="AF452" s="421">
        <f>L452*AE452/1000</f>
        <v>64.557500000000005</v>
      </c>
      <c r="AG452" s="419">
        <f t="shared" si="3703"/>
        <v>26.102999999999998</v>
      </c>
      <c r="AH452" s="416">
        <f>SUM(AB452+AD452+AF452)</f>
        <v>283.21755000000002</v>
      </c>
      <c r="AI452" s="416">
        <f t="shared" si="3704"/>
        <v>36.702999999999996</v>
      </c>
      <c r="AJ452" s="420">
        <f t="shared" si="3705"/>
        <v>398.22755000000001</v>
      </c>
      <c r="AK452" s="418">
        <v>10.147</v>
      </c>
      <c r="AL452" s="420">
        <f t="shared" si="3706"/>
        <v>98.770898000000003</v>
      </c>
      <c r="AM452" s="422">
        <v>8.2970000000000006</v>
      </c>
      <c r="AN452" s="420">
        <f>N452*AM452/1000</f>
        <v>80.76299800000001</v>
      </c>
      <c r="AO452" s="418"/>
      <c r="AP452" s="421">
        <f t="shared" ref="AP452:AP457" si="3857">N452*AO452/1000</f>
        <v>0</v>
      </c>
      <c r="AQ452" s="419">
        <f t="shared" si="3707"/>
        <v>18.444000000000003</v>
      </c>
      <c r="AR452" s="416">
        <f>SUM(AL452+AN452+AP452)</f>
        <v>179.53389600000003</v>
      </c>
      <c r="AS452" s="416"/>
      <c r="AT452" s="420">
        <f>P452*AS452/1000</f>
        <v>0</v>
      </c>
      <c r="AU452" s="418"/>
      <c r="AV452" s="420">
        <f t="shared" si="3708"/>
        <v>0</v>
      </c>
      <c r="AW452" s="418"/>
      <c r="AX452" s="421">
        <f t="shared" si="3709"/>
        <v>0</v>
      </c>
      <c r="AY452" s="419">
        <f t="shared" si="3710"/>
        <v>0</v>
      </c>
      <c r="AZ452" s="416">
        <f>SUM(AT452+AV452+AX452)</f>
        <v>0</v>
      </c>
      <c r="BA452" s="416">
        <f t="shared" si="3711"/>
        <v>18.444000000000003</v>
      </c>
      <c r="BB452" s="416">
        <f t="shared" si="3712"/>
        <v>179.53389600000003</v>
      </c>
    </row>
    <row r="453" spans="1:54">
      <c r="B453" s="13"/>
      <c r="C453" s="13"/>
      <c r="D453" s="13" t="s">
        <v>1304</v>
      </c>
      <c r="E453" s="21" t="s">
        <v>1818</v>
      </c>
      <c r="F453" s="46" t="s">
        <v>1819</v>
      </c>
      <c r="G453" s="46" t="s">
        <v>1102</v>
      </c>
      <c r="H453" s="268" t="s">
        <v>366</v>
      </c>
      <c r="I453" s="55"/>
      <c r="J453" s="163"/>
      <c r="K453" s="55"/>
      <c r="L453" s="163"/>
      <c r="M453" s="55"/>
      <c r="N453" s="163">
        <v>11800</v>
      </c>
      <c r="O453" s="55"/>
      <c r="P453" s="163">
        <v>11800</v>
      </c>
      <c r="Q453" s="97">
        <f t="shared" ref="Q453" si="3858">SUM(AI453+BA453)</f>
        <v>31.463999999999999</v>
      </c>
      <c r="R453" s="342">
        <f t="shared" si="3697"/>
        <v>371.27519999999998</v>
      </c>
      <c r="S453" s="97"/>
      <c r="T453" s="97">
        <f t="shared" si="3849"/>
        <v>0</v>
      </c>
      <c r="U453" s="97"/>
      <c r="V453" s="97">
        <f t="shared" si="3698"/>
        <v>0</v>
      </c>
      <c r="W453" s="97"/>
      <c r="X453" s="97">
        <f t="shared" si="3699"/>
        <v>0</v>
      </c>
      <c r="Y453" s="97">
        <f t="shared" si="3856"/>
        <v>0</v>
      </c>
      <c r="Z453" s="97">
        <f t="shared" ref="Z453" si="3859">SUM(T453+V453+X453)</f>
        <v>0</v>
      </c>
      <c r="AA453" s="97"/>
      <c r="AB453" s="97">
        <f t="shared" ref="AB453" si="3860">L453*AA453/1000</f>
        <v>0</v>
      </c>
      <c r="AC453" s="97"/>
      <c r="AD453" s="97">
        <f t="shared" si="3702"/>
        <v>0</v>
      </c>
      <c r="AE453" s="97"/>
      <c r="AF453" s="97">
        <f t="shared" ref="AF453" si="3861">L453*AE453/1000</f>
        <v>0</v>
      </c>
      <c r="AG453" s="97">
        <f t="shared" si="3703"/>
        <v>0</v>
      </c>
      <c r="AH453" s="97">
        <f t="shared" ref="AH453" si="3862">SUM(AB453+AD453+AF453)</f>
        <v>0</v>
      </c>
      <c r="AI453" s="97">
        <f t="shared" si="3704"/>
        <v>0</v>
      </c>
      <c r="AJ453" s="97">
        <f t="shared" si="3705"/>
        <v>0</v>
      </c>
      <c r="AK453" s="97"/>
      <c r="AL453" s="97">
        <f t="shared" si="3706"/>
        <v>0</v>
      </c>
      <c r="AM453" s="97">
        <v>0.03</v>
      </c>
      <c r="AN453" s="97">
        <f t="shared" ref="AN453" si="3863">N453*AM453/1000</f>
        <v>0.35399999999999998</v>
      </c>
      <c r="AO453" s="97">
        <v>10.042</v>
      </c>
      <c r="AP453" s="97">
        <f t="shared" si="3857"/>
        <v>118.4956</v>
      </c>
      <c r="AQ453" s="97">
        <f t="shared" si="3707"/>
        <v>10.071999999999999</v>
      </c>
      <c r="AR453" s="97">
        <f t="shared" ref="AR453" si="3864">SUM(AL453+AN453+AP453)</f>
        <v>118.8496</v>
      </c>
      <c r="AS453" s="97">
        <v>7.5460000000000003</v>
      </c>
      <c r="AT453" s="97">
        <f t="shared" ref="AT453" si="3865">P453*AS453/1000</f>
        <v>89.0428</v>
      </c>
      <c r="AU453" s="97">
        <v>10.98</v>
      </c>
      <c r="AV453" s="97">
        <f t="shared" si="3708"/>
        <v>129.56399999999999</v>
      </c>
      <c r="AW453" s="97">
        <v>2.8660000000000001</v>
      </c>
      <c r="AX453" s="97">
        <f t="shared" si="3709"/>
        <v>33.818800000000003</v>
      </c>
      <c r="AY453" s="97">
        <f t="shared" si="3710"/>
        <v>21.391999999999999</v>
      </c>
      <c r="AZ453" s="97">
        <f t="shared" ref="AZ453" si="3866">SUM(AT453+AV453+AX453)</f>
        <v>252.4256</v>
      </c>
      <c r="BA453" s="97">
        <f t="shared" si="3711"/>
        <v>31.463999999999999</v>
      </c>
      <c r="BB453" s="97">
        <f t="shared" si="3712"/>
        <v>371.27519999999998</v>
      </c>
    </row>
    <row r="454" spans="1:54">
      <c r="A454" s="498">
        <v>298</v>
      </c>
      <c r="B454" s="13"/>
      <c r="C454" s="13"/>
      <c r="D454" s="13" t="s">
        <v>1304</v>
      </c>
      <c r="E454" s="301" t="s">
        <v>483</v>
      </c>
      <c r="F454" s="64" t="s">
        <v>484</v>
      </c>
      <c r="G454" s="64" t="s">
        <v>1107</v>
      </c>
      <c r="H454" s="273" t="s">
        <v>421</v>
      </c>
      <c r="I454" s="504"/>
      <c r="J454" s="505">
        <v>10450</v>
      </c>
      <c r="K454" s="504"/>
      <c r="L454" s="505">
        <v>10450</v>
      </c>
      <c r="M454" s="504"/>
      <c r="N454" s="505">
        <v>10450</v>
      </c>
      <c r="O454" s="506"/>
      <c r="P454" s="505">
        <v>10450</v>
      </c>
      <c r="Q454" s="97">
        <f t="shared" ref="Q454:Q457" si="3867">SUM(AI454+BA454)</f>
        <v>0.123</v>
      </c>
      <c r="R454" s="342">
        <f t="shared" si="3697"/>
        <v>1.28535</v>
      </c>
      <c r="S454" s="97">
        <v>0.03</v>
      </c>
      <c r="T454" s="97">
        <f t="shared" si="3849"/>
        <v>0.3135</v>
      </c>
      <c r="U454" s="97"/>
      <c r="V454" s="177">
        <f t="shared" si="3698"/>
        <v>0</v>
      </c>
      <c r="W454" s="207"/>
      <c r="X454" s="206">
        <f t="shared" si="3699"/>
        <v>0</v>
      </c>
      <c r="Y454" s="189">
        <f t="shared" ref="Y454:Y457" si="3868">SUM(S454+U454+W454)</f>
        <v>0.03</v>
      </c>
      <c r="Z454" s="177">
        <f>SUM(T454+V454+X454)</f>
        <v>0.3135</v>
      </c>
      <c r="AA454" s="207">
        <v>2.5000000000000001E-2</v>
      </c>
      <c r="AB454" s="206">
        <f t="shared" ref="AB454:AB457" si="3869">L454*AA454/1000</f>
        <v>0.26124999999999998</v>
      </c>
      <c r="AC454" s="207"/>
      <c r="AD454" s="177">
        <f>L454*AC454/1000</f>
        <v>0</v>
      </c>
      <c r="AE454" s="207"/>
      <c r="AF454" s="206">
        <f>L454*AE454/1000</f>
        <v>0</v>
      </c>
      <c r="AG454" s="189">
        <f t="shared" si="3703"/>
        <v>2.5000000000000001E-2</v>
      </c>
      <c r="AH454" s="97">
        <f>SUM(AB454+AD454+AF454)</f>
        <v>0.26124999999999998</v>
      </c>
      <c r="AI454" s="97">
        <f t="shared" si="3704"/>
        <v>5.5E-2</v>
      </c>
      <c r="AJ454" s="177">
        <f t="shared" si="3705"/>
        <v>0.57474999999999998</v>
      </c>
      <c r="AK454" s="207">
        <v>1.9E-2</v>
      </c>
      <c r="AL454" s="177">
        <f t="shared" si="3706"/>
        <v>0.19854999999999998</v>
      </c>
      <c r="AM454" s="245">
        <v>6.0000000000000001E-3</v>
      </c>
      <c r="AN454" s="177">
        <f>N454*AM454/1000</f>
        <v>6.2700000000000006E-2</v>
      </c>
      <c r="AO454" s="207">
        <v>0.01</v>
      </c>
      <c r="AP454" s="206">
        <f t="shared" si="3857"/>
        <v>0.1045</v>
      </c>
      <c r="AQ454" s="189">
        <f t="shared" ref="AQ454:AQ457" si="3870">SUM(AK454+AM454+AO454)</f>
        <v>3.5000000000000003E-2</v>
      </c>
      <c r="AR454" s="97">
        <f>SUM(AL454+AN454+AP454)</f>
        <v>0.36574999999999996</v>
      </c>
      <c r="AS454" s="97">
        <v>2.3E-2</v>
      </c>
      <c r="AT454" s="177">
        <f>P454*AS454/1000</f>
        <v>0.24035000000000001</v>
      </c>
      <c r="AU454" s="207">
        <v>5.0000000000000001E-3</v>
      </c>
      <c r="AV454" s="177">
        <f t="shared" si="3708"/>
        <v>5.2249999999999998E-2</v>
      </c>
      <c r="AW454" s="207">
        <v>5.0000000000000001E-3</v>
      </c>
      <c r="AX454" s="206">
        <f t="shared" si="3709"/>
        <v>5.2249999999999998E-2</v>
      </c>
      <c r="AY454" s="189">
        <f t="shared" si="3710"/>
        <v>3.3000000000000002E-2</v>
      </c>
      <c r="AZ454" s="97">
        <f>SUM(AT454+AV454+AX454)</f>
        <v>0.34485000000000005</v>
      </c>
      <c r="BA454" s="97">
        <f t="shared" si="3711"/>
        <v>6.8000000000000005E-2</v>
      </c>
      <c r="BB454" s="97">
        <f t="shared" si="3712"/>
        <v>0.71060000000000001</v>
      </c>
    </row>
    <row r="455" spans="1:54">
      <c r="A455" s="498">
        <v>287</v>
      </c>
      <c r="B455" s="13"/>
      <c r="C455" s="13"/>
      <c r="D455" s="13" t="s">
        <v>1304</v>
      </c>
      <c r="E455" s="21" t="s">
        <v>1464</v>
      </c>
      <c r="F455" s="46" t="s">
        <v>1466</v>
      </c>
      <c r="G455" s="46" t="s">
        <v>1105</v>
      </c>
      <c r="H455" s="268" t="s">
        <v>365</v>
      </c>
      <c r="I455" s="76"/>
      <c r="J455" s="168">
        <v>9588</v>
      </c>
      <c r="K455" s="76"/>
      <c r="L455" s="168">
        <v>9588</v>
      </c>
      <c r="M455" s="76"/>
      <c r="N455" s="168">
        <v>9588</v>
      </c>
      <c r="O455" s="154"/>
      <c r="P455" s="168">
        <v>9588</v>
      </c>
      <c r="Q455" s="97">
        <f t="shared" si="3867"/>
        <v>5.0819999999999999</v>
      </c>
      <c r="R455" s="342">
        <f t="shared" si="3697"/>
        <v>48.726216000000001</v>
      </c>
      <c r="S455" s="97">
        <v>1.008</v>
      </c>
      <c r="T455" s="97">
        <f t="shared" si="3849"/>
        <v>9.6647040000000004</v>
      </c>
      <c r="U455" s="97"/>
      <c r="V455" s="177">
        <f t="shared" si="3698"/>
        <v>0</v>
      </c>
      <c r="W455" s="207"/>
      <c r="X455" s="206">
        <f t="shared" si="3699"/>
        <v>0</v>
      </c>
      <c r="Y455" s="189">
        <f t="shared" si="3868"/>
        <v>1.008</v>
      </c>
      <c r="Z455" s="177">
        <f t="shared" ref="Z455:Z457" si="3871">SUM(T455+V455+X455)</f>
        <v>9.6647040000000004</v>
      </c>
      <c r="AA455" s="207">
        <v>1.008</v>
      </c>
      <c r="AB455" s="206">
        <f t="shared" si="3869"/>
        <v>9.6647040000000004</v>
      </c>
      <c r="AC455" s="207">
        <v>0.29399999999999998</v>
      </c>
      <c r="AD455" s="177">
        <f t="shared" ref="AD455:AD457" si="3872">L455*AC455/1000</f>
        <v>2.8188719999999998</v>
      </c>
      <c r="AE455" s="207">
        <v>0.29399999999999998</v>
      </c>
      <c r="AF455" s="206">
        <f t="shared" ref="AF455:AF457" si="3873">L455*AE455/1000</f>
        <v>2.8188719999999998</v>
      </c>
      <c r="AG455" s="189">
        <f t="shared" si="3703"/>
        <v>1.5960000000000001</v>
      </c>
      <c r="AH455" s="97">
        <f t="shared" ref="AH455:AH457" si="3874">SUM(AB455+AD455+AF455)</f>
        <v>15.302447999999998</v>
      </c>
      <c r="AI455" s="97">
        <f t="shared" si="3704"/>
        <v>2.6040000000000001</v>
      </c>
      <c r="AJ455" s="177">
        <f t="shared" si="3705"/>
        <v>24.967151999999999</v>
      </c>
      <c r="AK455" s="207">
        <v>0.63</v>
      </c>
      <c r="AL455" s="177">
        <f t="shared" si="3706"/>
        <v>6.0404399999999994</v>
      </c>
      <c r="AM455" s="245">
        <v>0.79800000000000004</v>
      </c>
      <c r="AN455" s="177">
        <f t="shared" ref="AN455:AN457" si="3875">N455*AM455/1000</f>
        <v>7.651224</v>
      </c>
      <c r="AO455" s="207">
        <v>0.54600000000000004</v>
      </c>
      <c r="AP455" s="206">
        <f t="shared" si="3857"/>
        <v>5.2350480000000008</v>
      </c>
      <c r="AQ455" s="189">
        <f t="shared" si="3870"/>
        <v>1.974</v>
      </c>
      <c r="AR455" s="97">
        <f t="shared" ref="AR455:AR457" si="3876">SUM(AL455+AN455+AP455)</f>
        <v>18.926712000000002</v>
      </c>
      <c r="AS455" s="97"/>
      <c r="AT455" s="177">
        <f t="shared" ref="AT455:AT457" si="3877">P455*AS455/1000</f>
        <v>0</v>
      </c>
      <c r="AU455" s="207"/>
      <c r="AV455" s="177">
        <f t="shared" si="3708"/>
        <v>0</v>
      </c>
      <c r="AW455" s="207">
        <v>0.504</v>
      </c>
      <c r="AX455" s="206">
        <f t="shared" si="3709"/>
        <v>4.8323520000000002</v>
      </c>
      <c r="AY455" s="189">
        <f t="shared" si="3710"/>
        <v>0.504</v>
      </c>
      <c r="AZ455" s="97">
        <f t="shared" ref="AZ455:AZ457" si="3878">SUM(AT455+AV455+AX455)</f>
        <v>4.8323520000000002</v>
      </c>
      <c r="BA455" s="97">
        <f t="shared" si="3711"/>
        <v>2.4779999999999998</v>
      </c>
      <c r="BB455" s="97">
        <f t="shared" si="3712"/>
        <v>23.759064000000002</v>
      </c>
    </row>
    <row r="456" spans="1:54">
      <c r="A456" s="498">
        <v>292</v>
      </c>
      <c r="B456" s="13"/>
      <c r="C456" s="13"/>
      <c r="D456" s="13" t="s">
        <v>771</v>
      </c>
      <c r="E456" s="21" t="s">
        <v>1501</v>
      </c>
      <c r="F456" s="46" t="s">
        <v>1502</v>
      </c>
      <c r="G456" s="46" t="s">
        <v>1105</v>
      </c>
      <c r="H456" s="268" t="s">
        <v>365</v>
      </c>
      <c r="I456" s="55"/>
      <c r="J456" s="163">
        <v>6550</v>
      </c>
      <c r="K456" s="55"/>
      <c r="L456" s="163">
        <v>6550</v>
      </c>
      <c r="M456" s="55"/>
      <c r="N456" s="163">
        <v>6550</v>
      </c>
      <c r="O456" s="143"/>
      <c r="P456" s="163">
        <v>6550</v>
      </c>
      <c r="Q456" s="97">
        <f t="shared" si="3867"/>
        <v>3.08</v>
      </c>
      <c r="R456" s="342">
        <f t="shared" si="3697"/>
        <v>20.173999999999999</v>
      </c>
      <c r="S456" s="97"/>
      <c r="T456" s="97">
        <f>J456*S456/1000</f>
        <v>0</v>
      </c>
      <c r="U456" s="131"/>
      <c r="V456" s="177">
        <f t="shared" si="3698"/>
        <v>0</v>
      </c>
      <c r="W456" s="207"/>
      <c r="X456" s="206">
        <f t="shared" si="3699"/>
        <v>0</v>
      </c>
      <c r="Y456" s="189">
        <f t="shared" si="3868"/>
        <v>0</v>
      </c>
      <c r="Z456" s="177">
        <f t="shared" si="3871"/>
        <v>0</v>
      </c>
      <c r="AA456" s="207">
        <v>0.35</v>
      </c>
      <c r="AB456" s="206">
        <f t="shared" si="3869"/>
        <v>2.2925</v>
      </c>
      <c r="AC456" s="207">
        <v>0.42</v>
      </c>
      <c r="AD456" s="177">
        <f t="shared" si="3872"/>
        <v>2.7509999999999999</v>
      </c>
      <c r="AE456" s="207">
        <v>0.35</v>
      </c>
      <c r="AF456" s="206">
        <f t="shared" si="3873"/>
        <v>2.2925</v>
      </c>
      <c r="AG456" s="189">
        <f t="shared" si="3703"/>
        <v>1.1200000000000001</v>
      </c>
      <c r="AH456" s="97">
        <f t="shared" si="3874"/>
        <v>7.3360000000000003</v>
      </c>
      <c r="AI456" s="97">
        <f t="shared" si="3704"/>
        <v>1.1200000000000001</v>
      </c>
      <c r="AJ456" s="177">
        <f t="shared" si="3705"/>
        <v>7.3360000000000003</v>
      </c>
      <c r="AK456" s="207">
        <v>0.42</v>
      </c>
      <c r="AL456" s="177">
        <f t="shared" si="3706"/>
        <v>2.7509999999999999</v>
      </c>
      <c r="AM456" s="245"/>
      <c r="AN456" s="177">
        <f t="shared" si="3875"/>
        <v>0</v>
      </c>
      <c r="AO456" s="207">
        <v>0.21</v>
      </c>
      <c r="AP456" s="206">
        <f t="shared" si="3857"/>
        <v>1.3754999999999999</v>
      </c>
      <c r="AQ456" s="189">
        <f t="shared" si="3870"/>
        <v>0.63</v>
      </c>
      <c r="AR456" s="97">
        <f t="shared" si="3876"/>
        <v>4.1265000000000001</v>
      </c>
      <c r="AS456" s="97">
        <v>0.56000000000000005</v>
      </c>
      <c r="AT456" s="177">
        <f t="shared" si="3877"/>
        <v>3.6680000000000006</v>
      </c>
      <c r="AU456" s="207">
        <v>0.42</v>
      </c>
      <c r="AV456" s="177">
        <f t="shared" si="3708"/>
        <v>2.7509999999999999</v>
      </c>
      <c r="AW456" s="207">
        <v>0.35</v>
      </c>
      <c r="AX456" s="206">
        <f t="shared" si="3709"/>
        <v>2.2925</v>
      </c>
      <c r="AY456" s="189">
        <f t="shared" si="3710"/>
        <v>1.33</v>
      </c>
      <c r="AZ456" s="97">
        <f t="shared" si="3878"/>
        <v>8.7115000000000009</v>
      </c>
      <c r="BA456" s="97">
        <f t="shared" si="3711"/>
        <v>1.96</v>
      </c>
      <c r="BB456" s="97">
        <f t="shared" si="3712"/>
        <v>12.838000000000001</v>
      </c>
    </row>
    <row r="457" spans="1:54">
      <c r="A457" s="498">
        <v>288</v>
      </c>
      <c r="B457" s="13"/>
      <c r="C457" s="13"/>
      <c r="D457" s="503" t="s">
        <v>1304</v>
      </c>
      <c r="E457" s="21" t="s">
        <v>1465</v>
      </c>
      <c r="F457" s="46" t="s">
        <v>1467</v>
      </c>
      <c r="G457" s="46" t="s">
        <v>1105</v>
      </c>
      <c r="H457" s="268" t="s">
        <v>365</v>
      </c>
      <c r="I457" s="55"/>
      <c r="J457" s="163">
        <v>12935</v>
      </c>
      <c r="K457" s="55"/>
      <c r="L457" s="163">
        <v>12935</v>
      </c>
      <c r="M457" s="55"/>
      <c r="N457" s="163">
        <v>12935</v>
      </c>
      <c r="O457" s="143"/>
      <c r="P457" s="163">
        <v>12935</v>
      </c>
      <c r="Q457" s="97">
        <f t="shared" si="3867"/>
        <v>96.674000000000007</v>
      </c>
      <c r="R457" s="342">
        <f t="shared" si="3697"/>
        <v>1250.4781899999998</v>
      </c>
      <c r="S457" s="97">
        <v>2.258</v>
      </c>
      <c r="T457" s="97">
        <f t="shared" si="3849"/>
        <v>29.207229999999999</v>
      </c>
      <c r="U457" s="97">
        <v>7.1449999999999996</v>
      </c>
      <c r="V457" s="177">
        <f t="shared" si="3698"/>
        <v>92.420574999999999</v>
      </c>
      <c r="W457" s="207">
        <v>6.29</v>
      </c>
      <c r="X457" s="206">
        <f t="shared" si="3699"/>
        <v>81.361149999999995</v>
      </c>
      <c r="Y457" s="189">
        <f t="shared" si="3868"/>
        <v>15.692999999999998</v>
      </c>
      <c r="Z457" s="177">
        <f t="shared" si="3871"/>
        <v>202.98895499999998</v>
      </c>
      <c r="AA457" s="207">
        <v>13.348000000000001</v>
      </c>
      <c r="AB457" s="206">
        <f t="shared" si="3869"/>
        <v>172.65638000000001</v>
      </c>
      <c r="AC457" s="207">
        <v>6.82</v>
      </c>
      <c r="AD457" s="177">
        <f t="shared" si="3872"/>
        <v>88.216700000000003</v>
      </c>
      <c r="AE457" s="207">
        <v>8.6910000000000007</v>
      </c>
      <c r="AF457" s="206">
        <f t="shared" si="3873"/>
        <v>112.418085</v>
      </c>
      <c r="AG457" s="189">
        <f t="shared" si="3703"/>
        <v>28.859000000000002</v>
      </c>
      <c r="AH457" s="97">
        <f t="shared" si="3874"/>
        <v>373.29116500000003</v>
      </c>
      <c r="AI457" s="97">
        <f t="shared" si="3704"/>
        <v>44.552</v>
      </c>
      <c r="AJ457" s="177">
        <f t="shared" si="3705"/>
        <v>576.28012000000001</v>
      </c>
      <c r="AK457" s="207">
        <v>15.276999999999999</v>
      </c>
      <c r="AL457" s="177">
        <f t="shared" si="3706"/>
        <v>197.60799499999999</v>
      </c>
      <c r="AM457" s="245">
        <v>10.430999999999999</v>
      </c>
      <c r="AN457" s="177">
        <f t="shared" si="3875"/>
        <v>134.92498499999999</v>
      </c>
      <c r="AO457" s="207">
        <v>6.0469999999999997</v>
      </c>
      <c r="AP457" s="206">
        <f t="shared" si="3857"/>
        <v>78.217944999999986</v>
      </c>
      <c r="AQ457" s="189">
        <f t="shared" si="3870"/>
        <v>31.754999999999999</v>
      </c>
      <c r="AR457" s="97">
        <f t="shared" si="3876"/>
        <v>410.75092499999994</v>
      </c>
      <c r="AS457" s="97">
        <v>2.4460000000000002</v>
      </c>
      <c r="AT457" s="177">
        <f t="shared" si="3877"/>
        <v>31.639010000000003</v>
      </c>
      <c r="AU457" s="207">
        <v>10.776</v>
      </c>
      <c r="AV457" s="177">
        <f t="shared" si="3708"/>
        <v>139.38756000000001</v>
      </c>
      <c r="AW457" s="207">
        <v>7.1449999999999996</v>
      </c>
      <c r="AX457" s="206">
        <f t="shared" si="3709"/>
        <v>92.420574999999999</v>
      </c>
      <c r="AY457" s="189">
        <f t="shared" si="3710"/>
        <v>20.366999999999997</v>
      </c>
      <c r="AZ457" s="97">
        <f t="shared" si="3878"/>
        <v>263.44714500000003</v>
      </c>
      <c r="BA457" s="97">
        <f t="shared" si="3711"/>
        <v>52.122</v>
      </c>
      <c r="BB457" s="97">
        <f t="shared" si="3712"/>
        <v>674.19806999999992</v>
      </c>
    </row>
    <row r="458" spans="1:54">
      <c r="A458" s="498">
        <v>299</v>
      </c>
      <c r="B458" s="15"/>
      <c r="C458" s="27" t="s">
        <v>135</v>
      </c>
      <c r="D458" s="289"/>
      <c r="E458" s="195"/>
      <c r="F458" s="98"/>
      <c r="G458" s="195"/>
      <c r="H458" s="219"/>
      <c r="I458" s="219"/>
      <c r="J458" s="219"/>
      <c r="K458" s="219"/>
      <c r="L458" s="219"/>
      <c r="M458" s="219"/>
      <c r="N458" s="219"/>
      <c r="O458" s="219"/>
      <c r="P458" s="219"/>
      <c r="Q458" s="126">
        <f>SUM(Q452:Q457)</f>
        <v>191.57</v>
      </c>
      <c r="R458" s="126">
        <f>SUM(R452:R457)</f>
        <v>2269.7004019999999</v>
      </c>
      <c r="S458" s="126">
        <f>SUM(S452:S457)</f>
        <v>3.4850000000000003</v>
      </c>
      <c r="T458" s="126">
        <f t="shared" ref="T458:BB458" si="3879">SUM(T452:T457)</f>
        <v>41.236083999999998</v>
      </c>
      <c r="U458" s="126">
        <f t="shared" si="3879"/>
        <v>10.048999999999999</v>
      </c>
      <c r="V458" s="126">
        <f t="shared" si="3879"/>
        <v>123.92897499999999</v>
      </c>
      <c r="W458" s="126">
        <f t="shared" si="3879"/>
        <v>13.797000000000001</v>
      </c>
      <c r="X458" s="126">
        <f t="shared" si="3879"/>
        <v>162.81209999999999</v>
      </c>
      <c r="Y458" s="126">
        <f t="shared" si="3879"/>
        <v>27.330999999999996</v>
      </c>
      <c r="Z458" s="126">
        <f t="shared" si="3879"/>
        <v>327.97715899999997</v>
      </c>
      <c r="AA458" s="126">
        <f t="shared" si="3879"/>
        <v>25.560000000000002</v>
      </c>
      <c r="AB458" s="126">
        <f t="shared" si="3879"/>
        <v>302.36948400000006</v>
      </c>
      <c r="AC458" s="126">
        <f t="shared" si="3879"/>
        <v>16.858000000000001</v>
      </c>
      <c r="AD458" s="126">
        <f t="shared" si="3879"/>
        <v>194.95197200000001</v>
      </c>
      <c r="AE458" s="126">
        <f t="shared" si="3879"/>
        <v>15.285</v>
      </c>
      <c r="AF458" s="126">
        <f t="shared" si="3879"/>
        <v>182.08695700000001</v>
      </c>
      <c r="AG458" s="126">
        <f t="shared" si="3879"/>
        <v>57.703000000000003</v>
      </c>
      <c r="AH458" s="126">
        <f t="shared" si="3879"/>
        <v>679.40841300000011</v>
      </c>
      <c r="AI458" s="126">
        <f t="shared" si="3879"/>
        <v>85.033999999999992</v>
      </c>
      <c r="AJ458" s="126">
        <f t="shared" si="3879"/>
        <v>1007.385572</v>
      </c>
      <c r="AK458" s="126">
        <f t="shared" si="3879"/>
        <v>26.493000000000002</v>
      </c>
      <c r="AL458" s="126">
        <f t="shared" si="3879"/>
        <v>305.36888299999998</v>
      </c>
      <c r="AM458" s="126">
        <f t="shared" si="3879"/>
        <v>19.561999999999998</v>
      </c>
      <c r="AN458" s="126">
        <f t="shared" si="3879"/>
        <v>223.75590700000001</v>
      </c>
      <c r="AO458" s="126">
        <f t="shared" si="3879"/>
        <v>16.855</v>
      </c>
      <c r="AP458" s="126">
        <f t="shared" si="3879"/>
        <v>203.42859299999998</v>
      </c>
      <c r="AQ458" s="126">
        <f t="shared" si="3879"/>
        <v>62.91</v>
      </c>
      <c r="AR458" s="126">
        <f t="shared" si="3879"/>
        <v>732.55338299999994</v>
      </c>
      <c r="AS458" s="126">
        <f t="shared" si="3879"/>
        <v>10.574999999999999</v>
      </c>
      <c r="AT458" s="126">
        <f t="shared" si="3879"/>
        <v>124.59016000000001</v>
      </c>
      <c r="AU458" s="126">
        <f t="shared" si="3879"/>
        <v>22.181000000000001</v>
      </c>
      <c r="AV458" s="126">
        <f t="shared" si="3879"/>
        <v>271.75481000000002</v>
      </c>
      <c r="AW458" s="126">
        <f t="shared" si="3879"/>
        <v>10.87</v>
      </c>
      <c r="AX458" s="126">
        <f t="shared" si="3879"/>
        <v>133.41647699999999</v>
      </c>
      <c r="AY458" s="126">
        <f t="shared" si="3879"/>
        <v>43.625999999999998</v>
      </c>
      <c r="AZ458" s="126">
        <f t="shared" si="3879"/>
        <v>529.76144700000009</v>
      </c>
      <c r="BA458" s="126">
        <f t="shared" si="3879"/>
        <v>106.536</v>
      </c>
      <c r="BB458" s="126">
        <f t="shared" si="3879"/>
        <v>1262.3148299999998</v>
      </c>
    </row>
    <row r="459" spans="1:54">
      <c r="A459" s="498">
        <v>300</v>
      </c>
      <c r="B459" s="59" t="s">
        <v>156</v>
      </c>
      <c r="C459" s="60"/>
      <c r="D459" s="60"/>
      <c r="E459" s="60"/>
      <c r="F459" s="60"/>
      <c r="G459" s="60"/>
      <c r="H459" s="282"/>
      <c r="I459" s="61"/>
      <c r="J459" s="104"/>
      <c r="K459" s="61"/>
      <c r="L459" s="61"/>
      <c r="M459" s="61"/>
      <c r="N459" s="61"/>
      <c r="O459" s="146"/>
      <c r="P459" s="104"/>
      <c r="Q459" s="127">
        <f t="shared" ref="Q459:BB459" si="3880">SUM(Q458,Q451,Q382,Q399)</f>
        <v>1668.7159999999999</v>
      </c>
      <c r="R459" s="127">
        <f t="shared" si="3880"/>
        <v>13204.422006825602</v>
      </c>
      <c r="S459" s="127">
        <f t="shared" si="3880"/>
        <v>145.14099999999999</v>
      </c>
      <c r="T459" s="127">
        <f t="shared" si="3880"/>
        <v>1113.2277125848002</v>
      </c>
      <c r="U459" s="127">
        <f t="shared" si="3880"/>
        <v>130.66600000000003</v>
      </c>
      <c r="V459" s="127">
        <f t="shared" si="3880"/>
        <v>1036.282198184</v>
      </c>
      <c r="W459" s="127">
        <f t="shared" si="3880"/>
        <v>182.69400000000002</v>
      </c>
      <c r="X459" s="127">
        <f t="shared" si="3880"/>
        <v>1408.269607208</v>
      </c>
      <c r="Y459" s="127">
        <f t="shared" si="3880"/>
        <v>458.50099999999998</v>
      </c>
      <c r="Z459" s="127">
        <f t="shared" si="3880"/>
        <v>3557.7795179768</v>
      </c>
      <c r="AA459" s="127">
        <f t="shared" si="3880"/>
        <v>146.85500000000002</v>
      </c>
      <c r="AB459" s="127">
        <f t="shared" si="3880"/>
        <v>1170.4921081304001</v>
      </c>
      <c r="AC459" s="127">
        <f t="shared" si="3880"/>
        <v>149.33699999999999</v>
      </c>
      <c r="AD459" s="127">
        <f t="shared" si="3880"/>
        <v>1166.0309590812003</v>
      </c>
      <c r="AE459" s="127">
        <f t="shared" si="3880"/>
        <v>149.446</v>
      </c>
      <c r="AF459" s="127">
        <f t="shared" si="3880"/>
        <v>1185.2990190655999</v>
      </c>
      <c r="AG459" s="127">
        <f t="shared" si="3880"/>
        <v>445.63800000000009</v>
      </c>
      <c r="AH459" s="127">
        <f t="shared" si="3880"/>
        <v>3521.8220862772</v>
      </c>
      <c r="AI459" s="127">
        <f t="shared" si="3880"/>
        <v>904.13900000000001</v>
      </c>
      <c r="AJ459" s="127">
        <f t="shared" si="3880"/>
        <v>7079.6016042539995</v>
      </c>
      <c r="AK459" s="127">
        <f t="shared" si="3880"/>
        <v>164.07499999999999</v>
      </c>
      <c r="AL459" s="127">
        <f t="shared" si="3880"/>
        <v>1313.1203027967999</v>
      </c>
      <c r="AM459" s="127">
        <f t="shared" si="3880"/>
        <v>97.987999999999985</v>
      </c>
      <c r="AN459" s="127">
        <f t="shared" si="3880"/>
        <v>824.49450459599996</v>
      </c>
      <c r="AO459" s="127">
        <f t="shared" si="3880"/>
        <v>136.06700000000001</v>
      </c>
      <c r="AP459" s="127">
        <f t="shared" si="3880"/>
        <v>1051.0339548739998</v>
      </c>
      <c r="AQ459" s="127">
        <f t="shared" si="3880"/>
        <v>398.13</v>
      </c>
      <c r="AR459" s="127">
        <f t="shared" si="3880"/>
        <v>3188.6487622667996</v>
      </c>
      <c r="AS459" s="127">
        <f t="shared" si="3880"/>
        <v>139.87199999999996</v>
      </c>
      <c r="AT459" s="127">
        <f t="shared" si="3880"/>
        <v>1061.567609292</v>
      </c>
      <c r="AU459" s="127">
        <f t="shared" si="3880"/>
        <v>118.78499999999998</v>
      </c>
      <c r="AV459" s="127">
        <f t="shared" si="3880"/>
        <v>1006.0737303732</v>
      </c>
      <c r="AW459" s="127">
        <f t="shared" si="3880"/>
        <v>107.79</v>
      </c>
      <c r="AX459" s="127">
        <f t="shared" si="3880"/>
        <v>868.53030063959989</v>
      </c>
      <c r="AY459" s="127">
        <f t="shared" si="3880"/>
        <v>366.44700000000006</v>
      </c>
      <c r="AZ459" s="127">
        <f t="shared" si="3880"/>
        <v>2936.1716403048003</v>
      </c>
      <c r="BA459" s="127">
        <f t="shared" si="3880"/>
        <v>764.577</v>
      </c>
      <c r="BB459" s="127">
        <f t="shared" si="3880"/>
        <v>6124.8204025716013</v>
      </c>
    </row>
    <row r="460" spans="1:54" hidden="1">
      <c r="A460" s="498">
        <v>301</v>
      </c>
      <c r="B460" s="13" t="s">
        <v>711</v>
      </c>
      <c r="C460" s="13" t="s">
        <v>33</v>
      </c>
      <c r="D460" s="13" t="s">
        <v>712</v>
      </c>
      <c r="E460" s="21" t="s">
        <v>713</v>
      </c>
      <c r="F460" s="255" t="s">
        <v>714</v>
      </c>
      <c r="G460" s="23"/>
      <c r="H460" s="268" t="s">
        <v>365</v>
      </c>
      <c r="I460" s="55"/>
      <c r="J460" s="102">
        <v>6900</v>
      </c>
      <c r="K460" s="55"/>
      <c r="L460" s="102">
        <v>6900</v>
      </c>
      <c r="M460" s="55"/>
      <c r="N460" s="164">
        <v>6900</v>
      </c>
      <c r="O460" s="143"/>
      <c r="P460" s="164">
        <v>6900</v>
      </c>
      <c r="Q460" s="97">
        <f>SUM(AI460+BA460)</f>
        <v>0</v>
      </c>
      <c r="R460" s="342">
        <f>SUM(AJ460+BB460)</f>
        <v>0</v>
      </c>
      <c r="S460" s="97"/>
      <c r="T460" s="97">
        <f>J460*S460/1000</f>
        <v>0</v>
      </c>
      <c r="U460" s="97"/>
      <c r="V460" s="177">
        <f>J460*U460/1000</f>
        <v>0</v>
      </c>
      <c r="W460" s="207"/>
      <c r="X460" s="206">
        <f>J460*W460/1000</f>
        <v>0</v>
      </c>
      <c r="Y460" s="189">
        <f>SUM(S460+U460+W460)</f>
        <v>0</v>
      </c>
      <c r="Z460" s="177">
        <f t="shared" ref="Z460" si="3881">SUM(T460+V460+X460)</f>
        <v>0</v>
      </c>
      <c r="AA460" s="207"/>
      <c r="AB460" s="206">
        <f>L460*AA460/1000</f>
        <v>0</v>
      </c>
      <c r="AC460" s="207"/>
      <c r="AD460" s="177">
        <f>L460*AC460/1000</f>
        <v>0</v>
      </c>
      <c r="AE460" s="207"/>
      <c r="AF460" s="221">
        <f t="shared" ref="AF460" si="3882">L460*AE460/1000</f>
        <v>0</v>
      </c>
      <c r="AG460" s="189">
        <f>SUM(AA460+AC460+AE460)</f>
        <v>0</v>
      </c>
      <c r="AH460" s="97">
        <f t="shared" ref="AH460" si="3883">SUM(AB460+AD460+AF460)</f>
        <v>0</v>
      </c>
      <c r="AI460" s="97">
        <f>SUM(Y460+AG460)</f>
        <v>0</v>
      </c>
      <c r="AJ460" s="177">
        <f>SUM(Z460,AH460)</f>
        <v>0</v>
      </c>
      <c r="AK460" s="207"/>
      <c r="AL460" s="177">
        <f>N460*AK460/1000</f>
        <v>0</v>
      </c>
      <c r="AM460" s="245"/>
      <c r="AN460" s="177">
        <f>N460*AM460/1000</f>
        <v>0</v>
      </c>
      <c r="AO460" s="207"/>
      <c r="AP460" s="206">
        <f>N460*AO460/1000</f>
        <v>0</v>
      </c>
      <c r="AQ460" s="189">
        <f>SUM(AK460+AM460+AO460)</f>
        <v>0</v>
      </c>
      <c r="AR460" s="97">
        <f t="shared" ref="AR460" si="3884">SUM(AL460+AN460+AP460)</f>
        <v>0</v>
      </c>
      <c r="AS460" s="97"/>
      <c r="AT460" s="177">
        <f t="shared" ref="AT460" si="3885">P460*AS460/1000</f>
        <v>0</v>
      </c>
      <c r="AU460" s="207"/>
      <c r="AV460" s="177">
        <f>P460*AU460/1000</f>
        <v>0</v>
      </c>
      <c r="AW460" s="207"/>
      <c r="AX460" s="206">
        <f>P460*AW460/1000</f>
        <v>0</v>
      </c>
      <c r="AY460" s="189">
        <f>SUM(AS460+AU460+AW460)</f>
        <v>0</v>
      </c>
      <c r="AZ460" s="97">
        <f t="shared" ref="AZ460" si="3886">SUM(AT460+AV460+AX460)</f>
        <v>0</v>
      </c>
      <c r="BA460" s="97">
        <f>SUM(AQ460+AY460)</f>
        <v>0</v>
      </c>
      <c r="BB460" s="97">
        <f>SUM(AR460,AZ460)</f>
        <v>0</v>
      </c>
    </row>
    <row r="461" spans="1:54" hidden="1">
      <c r="A461" s="498">
        <v>302</v>
      </c>
      <c r="B461" s="13"/>
      <c r="C461" s="13"/>
      <c r="D461" s="13"/>
      <c r="E461" s="93" t="s">
        <v>715</v>
      </c>
      <c r="F461" s="94"/>
      <c r="G461" s="94"/>
      <c r="H461" s="278" t="s">
        <v>365</v>
      </c>
      <c r="I461" s="79"/>
      <c r="J461" s="113">
        <v>6900</v>
      </c>
      <c r="K461" s="79"/>
      <c r="L461" s="113">
        <v>6900</v>
      </c>
      <c r="M461" s="79"/>
      <c r="N461" s="169">
        <v>6900</v>
      </c>
      <c r="O461" s="156"/>
      <c r="P461" s="169">
        <v>6900</v>
      </c>
      <c r="Q461" s="132">
        <f t="shared" ref="Q461" si="3887">SUM(AI461+BA461)</f>
        <v>0</v>
      </c>
      <c r="R461" s="351">
        <f t="shared" ref="R461" si="3888">SUM(AJ461+BB461)</f>
        <v>0</v>
      </c>
      <c r="S461" s="132"/>
      <c r="T461" s="132">
        <f>J461*S461/1000</f>
        <v>0</v>
      </c>
      <c r="U461" s="132"/>
      <c r="V461" s="186">
        <f>J461*U461/1000</f>
        <v>0</v>
      </c>
      <c r="W461" s="226"/>
      <c r="X461" s="227">
        <f>L461*W461/1000</f>
        <v>0</v>
      </c>
      <c r="Y461" s="199">
        <f t="shared" ref="Y461" si="3889">SUM(S461+U461+W461)</f>
        <v>0</v>
      </c>
      <c r="Z461" s="186">
        <f t="shared" ref="Z461" si="3890">SUM(T461+V461+X461)</f>
        <v>0</v>
      </c>
      <c r="AA461" s="226"/>
      <c r="AB461" s="227">
        <f>L461*AA461/1000</f>
        <v>0</v>
      </c>
      <c r="AC461" s="226"/>
      <c r="AD461" s="186">
        <f>L461*AC461/1000</f>
        <v>0</v>
      </c>
      <c r="AE461" s="226"/>
      <c r="AF461" s="227">
        <f>L461*AE461/1000</f>
        <v>0</v>
      </c>
      <c r="AG461" s="199">
        <f t="shared" ref="AG461" si="3891">SUM(AA461+AC461+AE461)</f>
        <v>0</v>
      </c>
      <c r="AH461" s="132">
        <f t="shared" ref="AH461" si="3892">SUM(AB461+AD461+AF461)</f>
        <v>0</v>
      </c>
      <c r="AI461" s="132">
        <f t="shared" ref="AI461" si="3893">SUM(Y461+AG461)</f>
        <v>0</v>
      </c>
      <c r="AJ461" s="186">
        <f>SUM(Z461,AH461)</f>
        <v>0</v>
      </c>
      <c r="AK461" s="226"/>
      <c r="AL461" s="186">
        <f>N461*AK461/1000</f>
        <v>0</v>
      </c>
      <c r="AM461" s="250"/>
      <c r="AN461" s="186">
        <f>N461*AM461/1000</f>
        <v>0</v>
      </c>
      <c r="AO461" s="226"/>
      <c r="AP461" s="227">
        <f t="shared" ref="AP461" si="3894">N461*AO461/1000</f>
        <v>0</v>
      </c>
      <c r="AQ461" s="199">
        <f t="shared" ref="AQ461" si="3895">SUM(AK461+AM461+AO461)</f>
        <v>0</v>
      </c>
      <c r="AR461" s="132">
        <f t="shared" ref="AR461" si="3896">SUM(AL461+AN461+AP461)</f>
        <v>0</v>
      </c>
      <c r="AS461" s="132"/>
      <c r="AT461" s="186">
        <f t="shared" ref="AT461" si="3897">P461*AS461/1000</f>
        <v>0</v>
      </c>
      <c r="AU461" s="226"/>
      <c r="AV461" s="186">
        <f>P461*AU461/1000</f>
        <v>0</v>
      </c>
      <c r="AW461" s="226"/>
      <c r="AX461" s="227">
        <f t="shared" ref="AX461" si="3898">P461*AW461/1000</f>
        <v>0</v>
      </c>
      <c r="AY461" s="199">
        <f t="shared" ref="AY461" si="3899">SUM(AS461+AU461+AW461)</f>
        <v>0</v>
      </c>
      <c r="AZ461" s="132">
        <f t="shared" ref="AZ461" si="3900">SUM(AT461+AV461+AX461)</f>
        <v>0</v>
      </c>
      <c r="BA461" s="132">
        <f t="shared" ref="BA461" si="3901">SUM(AQ461+AY461)</f>
        <v>0</v>
      </c>
      <c r="BB461" s="132">
        <f>SUM(AR461,AZ461)</f>
        <v>0</v>
      </c>
    </row>
    <row r="462" spans="1:54" hidden="1">
      <c r="A462" s="498">
        <v>303</v>
      </c>
      <c r="B462" s="59" t="s">
        <v>156</v>
      </c>
      <c r="C462" s="60"/>
      <c r="D462" s="60"/>
      <c r="E462" s="60"/>
      <c r="F462" s="60"/>
      <c r="G462" s="60"/>
      <c r="H462" s="282"/>
      <c r="I462" s="78"/>
      <c r="J462" s="104"/>
      <c r="K462" s="78"/>
      <c r="L462" s="61"/>
      <c r="M462" s="78"/>
      <c r="N462" s="61"/>
      <c r="O462" s="155"/>
      <c r="P462" s="104"/>
      <c r="Q462" s="127">
        <f>SUM(Q460:Q461)</f>
        <v>0</v>
      </c>
      <c r="R462" s="127">
        <f t="shared" ref="R462" si="3902">SUM(R460:R461)</f>
        <v>0</v>
      </c>
      <c r="S462" s="127">
        <f>SUM(S460:S461)</f>
        <v>0</v>
      </c>
      <c r="T462" s="127">
        <f t="shared" ref="T462:W462" si="3903">SUM(T460:T461)</f>
        <v>0</v>
      </c>
      <c r="U462" s="127">
        <f t="shared" si="3903"/>
        <v>0</v>
      </c>
      <c r="V462" s="127">
        <f t="shared" si="3903"/>
        <v>0</v>
      </c>
      <c r="W462" s="127">
        <f t="shared" si="3903"/>
        <v>0</v>
      </c>
      <c r="X462" s="127">
        <f>SUM(X460:X461)</f>
        <v>0</v>
      </c>
      <c r="Y462" s="127">
        <f t="shared" ref="Y462:BB462" si="3904">SUM(Y460:Y461)</f>
        <v>0</v>
      </c>
      <c r="Z462" s="127">
        <f t="shared" si="3904"/>
        <v>0</v>
      </c>
      <c r="AA462" s="127">
        <f>SUM(AA460:AA461)</f>
        <v>0</v>
      </c>
      <c r="AB462" s="127">
        <f t="shared" si="3904"/>
        <v>0</v>
      </c>
      <c r="AC462" s="127">
        <f t="shared" si="3904"/>
        <v>0</v>
      </c>
      <c r="AD462" s="127">
        <f t="shared" si="3904"/>
        <v>0</v>
      </c>
      <c r="AE462" s="127">
        <f t="shared" si="3904"/>
        <v>0</v>
      </c>
      <c r="AF462" s="127">
        <f t="shared" si="3904"/>
        <v>0</v>
      </c>
      <c r="AG462" s="127">
        <f t="shared" si="3904"/>
        <v>0</v>
      </c>
      <c r="AH462" s="127">
        <f t="shared" si="3904"/>
        <v>0</v>
      </c>
      <c r="AI462" s="127">
        <f t="shared" si="3904"/>
        <v>0</v>
      </c>
      <c r="AJ462" s="127">
        <f t="shared" si="3904"/>
        <v>0</v>
      </c>
      <c r="AK462" s="127">
        <f t="shared" si="3904"/>
        <v>0</v>
      </c>
      <c r="AL462" s="127">
        <f t="shared" si="3904"/>
        <v>0</v>
      </c>
      <c r="AM462" s="127">
        <f t="shared" si="3904"/>
        <v>0</v>
      </c>
      <c r="AN462" s="127">
        <f t="shared" si="3904"/>
        <v>0</v>
      </c>
      <c r="AO462" s="127">
        <f t="shared" si="3904"/>
        <v>0</v>
      </c>
      <c r="AP462" s="127">
        <f t="shared" si="3904"/>
        <v>0</v>
      </c>
      <c r="AQ462" s="127">
        <f t="shared" si="3904"/>
        <v>0</v>
      </c>
      <c r="AR462" s="127">
        <f t="shared" si="3904"/>
        <v>0</v>
      </c>
      <c r="AS462" s="127">
        <f t="shared" si="3904"/>
        <v>0</v>
      </c>
      <c r="AT462" s="127">
        <f t="shared" si="3904"/>
        <v>0</v>
      </c>
      <c r="AU462" s="127">
        <f t="shared" si="3904"/>
        <v>0</v>
      </c>
      <c r="AV462" s="127">
        <f t="shared" si="3904"/>
        <v>0</v>
      </c>
      <c r="AW462" s="127">
        <f t="shared" si="3904"/>
        <v>0</v>
      </c>
      <c r="AX462" s="127">
        <f t="shared" si="3904"/>
        <v>0</v>
      </c>
      <c r="AY462" s="127">
        <f t="shared" si="3904"/>
        <v>0</v>
      </c>
      <c r="AZ462" s="127">
        <f t="shared" si="3904"/>
        <v>0</v>
      </c>
      <c r="BA462" s="127">
        <f>SUM(BA460:BA461)</f>
        <v>0</v>
      </c>
      <c r="BB462" s="127">
        <f t="shared" si="3904"/>
        <v>0</v>
      </c>
    </row>
    <row r="463" spans="1:54">
      <c r="A463" s="498">
        <v>304</v>
      </c>
      <c r="B463" s="13" t="s">
        <v>567</v>
      </c>
      <c r="C463" s="308" t="s">
        <v>449</v>
      </c>
      <c r="D463" s="13" t="s">
        <v>450</v>
      </c>
      <c r="E463" s="31" t="s">
        <v>451</v>
      </c>
      <c r="F463" s="32" t="s">
        <v>452</v>
      </c>
      <c r="G463" s="32" t="s">
        <v>1105</v>
      </c>
      <c r="H463" s="274" t="s">
        <v>364</v>
      </c>
      <c r="I463" s="62">
        <v>5.68</v>
      </c>
      <c r="J463" s="105"/>
      <c r="K463" s="62">
        <v>5.68</v>
      </c>
      <c r="L463" s="164"/>
      <c r="M463" s="62">
        <v>5.68</v>
      </c>
      <c r="N463" s="164"/>
      <c r="O463" s="62">
        <v>5.68</v>
      </c>
      <c r="P463" s="105"/>
      <c r="Q463" s="122">
        <f t="shared" ref="Q463:Q486" si="3905">SUM(AI463+BA463)</f>
        <v>0</v>
      </c>
      <c r="R463" s="346">
        <f t="shared" ref="R463:R486" si="3906">SUM(AJ463+BB463)</f>
        <v>0</v>
      </c>
      <c r="S463" s="122"/>
      <c r="T463" s="122">
        <f t="shared" ref="T463:T484" si="3907">I463*S463*$T$2/1000</f>
        <v>0</v>
      </c>
      <c r="U463" s="122"/>
      <c r="V463" s="180">
        <f t="shared" ref="V463:V486" si="3908">I463*U463*$V$2/1000</f>
        <v>0</v>
      </c>
      <c r="W463" s="212"/>
      <c r="X463" s="213">
        <f t="shared" ref="X463:X486" si="3909">I463*W463*$X$2/1000</f>
        <v>0</v>
      </c>
      <c r="Y463" s="191">
        <f t="shared" ref="Y463:Y486" si="3910">SUM(S463+U463+W463)</f>
        <v>0</v>
      </c>
      <c r="Z463" s="180">
        <f t="shared" ref="Z463:Z486" si="3911">SUM(T463+V463+X463)</f>
        <v>0</v>
      </c>
      <c r="AA463" s="212"/>
      <c r="AB463" s="213">
        <f>K463*AA463*$AB$2/1000</f>
        <v>0</v>
      </c>
      <c r="AC463" s="212"/>
      <c r="AD463" s="180">
        <f t="shared" ref="AD463:AD486" si="3912">K463*AC463*$AD$2/1000</f>
        <v>0</v>
      </c>
      <c r="AE463" s="212"/>
      <c r="AF463" s="213">
        <f>K463*AE463*$AF$2/1000</f>
        <v>0</v>
      </c>
      <c r="AG463" s="191">
        <f t="shared" ref="AG463:AG486" si="3913">SUM(AA463+AC463+AE463)</f>
        <v>0</v>
      </c>
      <c r="AH463" s="122">
        <f t="shared" ref="AH463:AH486" si="3914">SUM(AB463+AD463+AF463)</f>
        <v>0</v>
      </c>
      <c r="AI463" s="122">
        <f t="shared" ref="AI463:AI486" si="3915">SUM(Y463+AG463)</f>
        <v>0</v>
      </c>
      <c r="AJ463" s="180">
        <f t="shared" ref="AJ463:AJ486" si="3916">SUM(Z463,AH463)</f>
        <v>0</v>
      </c>
      <c r="AK463" s="212"/>
      <c r="AL463" s="180">
        <f t="shared" ref="AL463:AL486" si="3917">M463*AK463*$AL$2/1000</f>
        <v>0</v>
      </c>
      <c r="AM463" s="248"/>
      <c r="AN463" s="180">
        <f t="shared" ref="AN463:AN486" si="3918">M463*AM463*$AN$2/1000</f>
        <v>0</v>
      </c>
      <c r="AO463" s="212"/>
      <c r="AP463" s="213">
        <f>M463*AO463*$AP$2/1000</f>
        <v>0</v>
      </c>
      <c r="AQ463" s="191">
        <f t="shared" ref="AQ463:AQ486" si="3919">SUM(AK463+AM463+AO463)</f>
        <v>0</v>
      </c>
      <c r="AR463" s="122">
        <f t="shared" ref="AR463:AR486" si="3920">SUM(AL463+AN463+AP463)</f>
        <v>0</v>
      </c>
      <c r="AS463" s="122"/>
      <c r="AT463" s="180">
        <f>O463*AS463*$AT$2/1000</f>
        <v>0</v>
      </c>
      <c r="AU463" s="212"/>
      <c r="AV463" s="180">
        <f>O463*AU463*$AV$2/1000</f>
        <v>0</v>
      </c>
      <c r="AW463" s="212"/>
      <c r="AX463" s="213">
        <f t="shared" ref="AX463:AX486" si="3921">O463*AW463*$AX$2/1000</f>
        <v>0</v>
      </c>
      <c r="AY463" s="191">
        <f t="shared" ref="AY463:AY486" si="3922">SUM(AS463+AU463+AW463)</f>
        <v>0</v>
      </c>
      <c r="AZ463" s="122">
        <f t="shared" ref="AZ463:AZ486" si="3923">SUM(AT463+AV463+AX463)</f>
        <v>0</v>
      </c>
      <c r="BA463" s="122">
        <f t="shared" ref="BA463:BA486" si="3924">SUM(AQ463+AY463)</f>
        <v>0</v>
      </c>
      <c r="BB463" s="122">
        <f t="shared" ref="BB463:BB486" si="3925">SUM(AR463,AZ463)</f>
        <v>0</v>
      </c>
    </row>
    <row r="464" spans="1:54">
      <c r="A464" s="498">
        <v>305</v>
      </c>
      <c r="B464" s="13"/>
      <c r="C464" s="20"/>
      <c r="D464" s="13"/>
      <c r="E464" s="21" t="s">
        <v>164</v>
      </c>
      <c r="F464" s="22" t="s">
        <v>165</v>
      </c>
      <c r="G464" s="22" t="s">
        <v>1105</v>
      </c>
      <c r="H464" s="268" t="s">
        <v>364</v>
      </c>
      <c r="I464" s="55">
        <v>9.15</v>
      </c>
      <c r="J464" s="102"/>
      <c r="K464" s="55">
        <v>9.15</v>
      </c>
      <c r="L464" s="163"/>
      <c r="M464" s="55">
        <v>9.15</v>
      </c>
      <c r="N464" s="163"/>
      <c r="O464" s="55">
        <v>9.15</v>
      </c>
      <c r="P464" s="102"/>
      <c r="Q464" s="97">
        <f t="shared" si="3905"/>
        <v>0</v>
      </c>
      <c r="R464" s="342">
        <f t="shared" si="3906"/>
        <v>0</v>
      </c>
      <c r="S464" s="97"/>
      <c r="T464" s="97">
        <f t="shared" si="3907"/>
        <v>0</v>
      </c>
      <c r="U464" s="97"/>
      <c r="V464" s="177">
        <f t="shared" si="3908"/>
        <v>0</v>
      </c>
      <c r="W464" s="207"/>
      <c r="X464" s="206">
        <f t="shared" si="3909"/>
        <v>0</v>
      </c>
      <c r="Y464" s="189">
        <f t="shared" si="3910"/>
        <v>0</v>
      </c>
      <c r="Z464" s="177">
        <f t="shared" si="3911"/>
        <v>0</v>
      </c>
      <c r="AA464" s="207"/>
      <c r="AB464" s="206">
        <f t="shared" ref="AB464:AB486" si="3926">K464*AA464*$AB$2/1000</f>
        <v>0</v>
      </c>
      <c r="AC464" s="207"/>
      <c r="AD464" s="177">
        <f t="shared" si="3912"/>
        <v>0</v>
      </c>
      <c r="AE464" s="207"/>
      <c r="AF464" s="206">
        <f t="shared" ref="AF464:AF486" si="3927">K464*AE464*$AF$2/1000</f>
        <v>0</v>
      </c>
      <c r="AG464" s="189">
        <f t="shared" si="3913"/>
        <v>0</v>
      </c>
      <c r="AH464" s="97">
        <f t="shared" si="3914"/>
        <v>0</v>
      </c>
      <c r="AI464" s="97">
        <f t="shared" si="3915"/>
        <v>0</v>
      </c>
      <c r="AJ464" s="177">
        <f t="shared" si="3916"/>
        <v>0</v>
      </c>
      <c r="AK464" s="207"/>
      <c r="AL464" s="177">
        <f t="shared" si="3917"/>
        <v>0</v>
      </c>
      <c r="AM464" s="245"/>
      <c r="AN464" s="177">
        <f t="shared" si="3918"/>
        <v>0</v>
      </c>
      <c r="AO464" s="207"/>
      <c r="AP464" s="206">
        <f t="shared" ref="AP464:AP486" si="3928">M464*AO464*$AP$2/1000</f>
        <v>0</v>
      </c>
      <c r="AQ464" s="189">
        <f t="shared" si="3919"/>
        <v>0</v>
      </c>
      <c r="AR464" s="97">
        <f t="shared" si="3920"/>
        <v>0</v>
      </c>
      <c r="AS464" s="97"/>
      <c r="AT464" s="177">
        <f t="shared" ref="AT464:AT486" si="3929">O464*AS464*$AT$2/1000</f>
        <v>0</v>
      </c>
      <c r="AU464" s="207"/>
      <c r="AV464" s="177">
        <f t="shared" ref="AV464:AV486" si="3930">O464*AU464*$AV$2/1000</f>
        <v>0</v>
      </c>
      <c r="AW464" s="207"/>
      <c r="AX464" s="206">
        <f t="shared" si="3921"/>
        <v>0</v>
      </c>
      <c r="AY464" s="189">
        <f t="shared" si="3922"/>
        <v>0</v>
      </c>
      <c r="AZ464" s="97">
        <f t="shared" si="3923"/>
        <v>0</v>
      </c>
      <c r="BA464" s="97">
        <f t="shared" si="3924"/>
        <v>0</v>
      </c>
      <c r="BB464" s="97">
        <f t="shared" si="3925"/>
        <v>0</v>
      </c>
    </row>
    <row r="465" spans="1:54">
      <c r="A465" s="498">
        <v>306</v>
      </c>
      <c r="B465" s="13"/>
      <c r="C465" s="20"/>
      <c r="D465" s="13"/>
      <c r="E465" s="21" t="s">
        <v>486</v>
      </c>
      <c r="F465" s="22" t="s">
        <v>485</v>
      </c>
      <c r="G465" s="22" t="s">
        <v>1105</v>
      </c>
      <c r="H465" s="268" t="s">
        <v>364</v>
      </c>
      <c r="I465" s="55">
        <v>9.4499999999999993</v>
      </c>
      <c r="J465" s="102"/>
      <c r="K465" s="55">
        <v>9.4499999999999993</v>
      </c>
      <c r="L465" s="163"/>
      <c r="M465" s="55">
        <v>9.4499999999999993</v>
      </c>
      <c r="N465" s="163"/>
      <c r="O465" s="55">
        <v>9.4499999999999993</v>
      </c>
      <c r="P465" s="102"/>
      <c r="Q465" s="97">
        <f>SUM(AI465+BA465)</f>
        <v>0.97199999999999998</v>
      </c>
      <c r="R465" s="342">
        <f>SUM(AJ465+BB465)</f>
        <v>12.529987847999999</v>
      </c>
      <c r="S465" s="97"/>
      <c r="T465" s="97">
        <f t="shared" ref="T465:T466" si="3931">I465*S465*$T$2/1000</f>
        <v>0</v>
      </c>
      <c r="U465" s="97"/>
      <c r="V465" s="177">
        <f t="shared" ref="V465:V466" si="3932">I465*U465*$V$2/1000</f>
        <v>0</v>
      </c>
      <c r="W465" s="207"/>
      <c r="X465" s="206">
        <f t="shared" ref="X465:X466" si="3933">I465*W465*$X$2/1000</f>
        <v>0</v>
      </c>
      <c r="Y465" s="189">
        <f t="shared" ref="Y465:Y466" si="3934">SUM(S465+U465+W465)</f>
        <v>0</v>
      </c>
      <c r="Z465" s="177">
        <f t="shared" ref="Z465:Z466" si="3935">SUM(T465+V465+X465)</f>
        <v>0</v>
      </c>
      <c r="AA465" s="207">
        <v>0.97199999999999998</v>
      </c>
      <c r="AB465" s="206">
        <f t="shared" ref="AB465:AB466" si="3936">K465*AA465*$AB$2/1000</f>
        <v>12.529987847999999</v>
      </c>
      <c r="AC465" s="207"/>
      <c r="AD465" s="177">
        <f t="shared" ref="AD465:AD466" si="3937">K465*AC465*$AD$2/1000</f>
        <v>0</v>
      </c>
      <c r="AE465" s="207"/>
      <c r="AF465" s="206">
        <f t="shared" si="3927"/>
        <v>0</v>
      </c>
      <c r="AG465" s="189">
        <f t="shared" ref="AG465:AG466" si="3938">SUM(AA465+AC465+AE465)</f>
        <v>0.97199999999999998</v>
      </c>
      <c r="AH465" s="97">
        <f t="shared" ref="AH465:AH466" si="3939">SUM(AB465+AD465+AF465)</f>
        <v>12.529987847999999</v>
      </c>
      <c r="AI465" s="97">
        <f t="shared" ref="AI465:AI466" si="3940">SUM(Y465+AG465)</f>
        <v>0.97199999999999998</v>
      </c>
      <c r="AJ465" s="177">
        <f t="shared" ref="AJ465:AJ466" si="3941">SUM(Z465,AH465)</f>
        <v>12.529987847999999</v>
      </c>
      <c r="AK465" s="207"/>
      <c r="AL465" s="177">
        <f t="shared" ref="AL465:AL466" si="3942">M465*AK465*$AL$2/1000</f>
        <v>0</v>
      </c>
      <c r="AM465" s="245"/>
      <c r="AN465" s="177">
        <f t="shared" ref="AN465" si="3943">M465*AM465*$AN$2/1000</f>
        <v>0</v>
      </c>
      <c r="AO465" s="207"/>
      <c r="AP465" s="206">
        <f t="shared" ref="AP465:AP466" si="3944">M465*AO465*$AP$2/1000</f>
        <v>0</v>
      </c>
      <c r="AQ465" s="189">
        <f t="shared" ref="AQ465:AQ466" si="3945">SUM(AK465+AM465+AO465)</f>
        <v>0</v>
      </c>
      <c r="AR465" s="97">
        <f t="shared" ref="AR465:AR466" si="3946">SUM(AL465+AN465+AP465)</f>
        <v>0</v>
      </c>
      <c r="AS465" s="97"/>
      <c r="AT465" s="177">
        <f t="shared" ref="AT465:AT466" si="3947">O465*AS465*$AT$2/1000</f>
        <v>0</v>
      </c>
      <c r="AU465" s="207"/>
      <c r="AV465" s="177">
        <f t="shared" ref="AV465:AV466" si="3948">O465*AU465*$AV$2/1000</f>
        <v>0</v>
      </c>
      <c r="AW465" s="207"/>
      <c r="AX465" s="206">
        <f t="shared" ref="AX465:AX466" si="3949">O465*AW465*$AX$2/1000</f>
        <v>0</v>
      </c>
      <c r="AY465" s="189">
        <f t="shared" ref="AY465:AY466" si="3950">SUM(AS465+AU465+AW465)</f>
        <v>0</v>
      </c>
      <c r="AZ465" s="97">
        <f t="shared" ref="AZ465:AZ466" si="3951">SUM(AT465+AV465+AX465)</f>
        <v>0</v>
      </c>
      <c r="BA465" s="97">
        <f t="shared" ref="BA465:BA466" si="3952">SUM(AQ465+AY465)</f>
        <v>0</v>
      </c>
      <c r="BB465" s="97">
        <f t="shared" ref="BB465:BB466" si="3953">SUM(AR465,AZ465)</f>
        <v>0</v>
      </c>
    </row>
    <row r="466" spans="1:54">
      <c r="A466" s="498">
        <v>307</v>
      </c>
      <c r="B466" s="13"/>
      <c r="C466" s="20"/>
      <c r="D466" s="13"/>
      <c r="E466" s="21" t="s">
        <v>799</v>
      </c>
      <c r="F466" s="22" t="s">
        <v>798</v>
      </c>
      <c r="G466" s="22" t="s">
        <v>1105</v>
      </c>
      <c r="H466" s="268" t="s">
        <v>364</v>
      </c>
      <c r="I466" s="55">
        <v>8.75</v>
      </c>
      <c r="J466" s="102"/>
      <c r="K466" s="55">
        <v>8.75</v>
      </c>
      <c r="L466" s="163"/>
      <c r="M466" s="55">
        <v>8.73</v>
      </c>
      <c r="N466" s="163"/>
      <c r="O466" s="55">
        <v>8.73</v>
      </c>
      <c r="P466" s="102"/>
      <c r="Q466" s="97">
        <f t="shared" ref="Q466" si="3954">SUM(AI466+BA466)</f>
        <v>16.464000000000002</v>
      </c>
      <c r="R466" s="342">
        <f t="shared" ref="R466" si="3955">SUM(AJ466+BB466)</f>
        <v>196.89565891920003</v>
      </c>
      <c r="S466" s="97"/>
      <c r="T466" s="97">
        <f t="shared" si="3931"/>
        <v>0</v>
      </c>
      <c r="U466" s="97">
        <v>0.86399999999999999</v>
      </c>
      <c r="V466" s="177">
        <f t="shared" si="3932"/>
        <v>10.057824</v>
      </c>
      <c r="W466" s="207"/>
      <c r="X466" s="206">
        <f t="shared" si="3933"/>
        <v>0</v>
      </c>
      <c r="Y466" s="189">
        <f t="shared" si="3934"/>
        <v>0.86399999999999999</v>
      </c>
      <c r="Z466" s="177">
        <f t="shared" si="3935"/>
        <v>10.057824</v>
      </c>
      <c r="AA466" s="207">
        <v>1.536</v>
      </c>
      <c r="AB466" s="206">
        <f t="shared" si="3936"/>
        <v>18.333772799999998</v>
      </c>
      <c r="AC466" s="207">
        <v>2.16</v>
      </c>
      <c r="AD466" s="177">
        <f t="shared" si="3937"/>
        <v>25.886007000000006</v>
      </c>
      <c r="AE466" s="207">
        <v>1.08</v>
      </c>
      <c r="AF466" s="206">
        <f t="shared" ref="AF466" si="3956">K466*AE466*$AF$2/1000</f>
        <v>13.029943500000002</v>
      </c>
      <c r="AG466" s="189">
        <f t="shared" si="3938"/>
        <v>4.7759999999999998</v>
      </c>
      <c r="AH466" s="97">
        <f t="shared" si="3939"/>
        <v>57.249723300000007</v>
      </c>
      <c r="AI466" s="97">
        <f t="shared" si="3940"/>
        <v>5.64</v>
      </c>
      <c r="AJ466" s="177">
        <f t="shared" si="3941"/>
        <v>67.30754730000001</v>
      </c>
      <c r="AK466" s="207">
        <v>1.08</v>
      </c>
      <c r="AL466" s="177">
        <f t="shared" si="3942"/>
        <v>13.040231472000002</v>
      </c>
      <c r="AM466" s="245">
        <v>2.3039999999999998</v>
      </c>
      <c r="AN466" s="177">
        <f>M466*AM466*$AN$2/1000</f>
        <v>27.377056511999999</v>
      </c>
      <c r="AO466" s="207">
        <v>2.7360000000000002</v>
      </c>
      <c r="AP466" s="206">
        <f t="shared" si="3944"/>
        <v>31.824508219200005</v>
      </c>
      <c r="AQ466" s="189">
        <f t="shared" si="3945"/>
        <v>6.12</v>
      </c>
      <c r="AR466" s="97">
        <f t="shared" si="3946"/>
        <v>72.24179620320001</v>
      </c>
      <c r="AS466" s="97">
        <v>1.1040000000000001</v>
      </c>
      <c r="AT466" s="177">
        <f t="shared" si="3947"/>
        <v>13.087331568000003</v>
      </c>
      <c r="AU466" s="207">
        <v>1.44</v>
      </c>
      <c r="AV466" s="177">
        <f t="shared" si="3948"/>
        <v>17.494961904</v>
      </c>
      <c r="AW466" s="207">
        <v>2.16</v>
      </c>
      <c r="AX466" s="206">
        <f t="shared" si="3949"/>
        <v>26.764021944000003</v>
      </c>
      <c r="AY466" s="189">
        <f t="shared" si="3950"/>
        <v>4.7040000000000006</v>
      </c>
      <c r="AZ466" s="97">
        <f t="shared" si="3951"/>
        <v>57.34631541600001</v>
      </c>
      <c r="BA466" s="97">
        <f t="shared" si="3952"/>
        <v>10.824000000000002</v>
      </c>
      <c r="BB466" s="97">
        <f t="shared" si="3953"/>
        <v>129.58811161920002</v>
      </c>
    </row>
    <row r="467" spans="1:54">
      <c r="A467" s="498">
        <v>308</v>
      </c>
      <c r="B467" s="13"/>
      <c r="C467" s="20"/>
      <c r="D467" s="13"/>
      <c r="E467" s="21" t="s">
        <v>166</v>
      </c>
      <c r="F467" s="22" t="s">
        <v>167</v>
      </c>
      <c r="G467" s="22" t="s">
        <v>1105</v>
      </c>
      <c r="H467" s="268" t="s">
        <v>364</v>
      </c>
      <c r="I467" s="55">
        <v>6.25</v>
      </c>
      <c r="J467" s="102"/>
      <c r="K467" s="55">
        <v>6.25</v>
      </c>
      <c r="L467" s="163"/>
      <c r="M467" s="55">
        <v>6.25</v>
      </c>
      <c r="N467" s="163"/>
      <c r="O467" s="55">
        <v>6.25</v>
      </c>
      <c r="P467" s="102"/>
      <c r="Q467" s="97">
        <f t="shared" si="3905"/>
        <v>0</v>
      </c>
      <c r="R467" s="342">
        <f t="shared" si="3906"/>
        <v>0</v>
      </c>
      <c r="S467" s="97"/>
      <c r="T467" s="97">
        <f t="shared" si="3907"/>
        <v>0</v>
      </c>
      <c r="U467" s="97"/>
      <c r="V467" s="177">
        <f t="shared" si="3908"/>
        <v>0</v>
      </c>
      <c r="W467" s="207"/>
      <c r="X467" s="206">
        <f t="shared" si="3909"/>
        <v>0</v>
      </c>
      <c r="Y467" s="189">
        <f t="shared" si="3910"/>
        <v>0</v>
      </c>
      <c r="Z467" s="177">
        <f t="shared" si="3911"/>
        <v>0</v>
      </c>
      <c r="AA467" s="207"/>
      <c r="AB467" s="206">
        <f t="shared" si="3926"/>
        <v>0</v>
      </c>
      <c r="AC467" s="207"/>
      <c r="AD467" s="177">
        <f t="shared" si="3912"/>
        <v>0</v>
      </c>
      <c r="AE467" s="207"/>
      <c r="AF467" s="206">
        <f t="shared" si="3927"/>
        <v>0</v>
      </c>
      <c r="AG467" s="189">
        <f t="shared" si="3913"/>
        <v>0</v>
      </c>
      <c r="AH467" s="97">
        <f t="shared" si="3914"/>
        <v>0</v>
      </c>
      <c r="AI467" s="97">
        <f t="shared" si="3915"/>
        <v>0</v>
      </c>
      <c r="AJ467" s="177">
        <f t="shared" si="3916"/>
        <v>0</v>
      </c>
      <c r="AK467" s="207"/>
      <c r="AL467" s="177">
        <f t="shared" si="3917"/>
        <v>0</v>
      </c>
      <c r="AM467" s="245"/>
      <c r="AN467" s="177">
        <f t="shared" si="3918"/>
        <v>0</v>
      </c>
      <c r="AO467" s="207"/>
      <c r="AP467" s="206">
        <f t="shared" si="3928"/>
        <v>0</v>
      </c>
      <c r="AQ467" s="189">
        <f t="shared" si="3919"/>
        <v>0</v>
      </c>
      <c r="AR467" s="97">
        <f t="shared" si="3920"/>
        <v>0</v>
      </c>
      <c r="AS467" s="97"/>
      <c r="AT467" s="177">
        <f t="shared" si="3929"/>
        <v>0</v>
      </c>
      <c r="AU467" s="207"/>
      <c r="AV467" s="177">
        <f t="shared" si="3930"/>
        <v>0</v>
      </c>
      <c r="AW467" s="207"/>
      <c r="AX467" s="206">
        <f t="shared" si="3921"/>
        <v>0</v>
      </c>
      <c r="AY467" s="189">
        <f t="shared" si="3922"/>
        <v>0</v>
      </c>
      <c r="AZ467" s="97">
        <f t="shared" si="3923"/>
        <v>0</v>
      </c>
      <c r="BA467" s="97">
        <f t="shared" si="3924"/>
        <v>0</v>
      </c>
      <c r="BB467" s="97">
        <f t="shared" si="3925"/>
        <v>0</v>
      </c>
    </row>
    <row r="468" spans="1:54">
      <c r="A468" s="498">
        <v>309</v>
      </c>
      <c r="B468" s="13"/>
      <c r="C468" s="20"/>
      <c r="D468" s="13"/>
      <c r="E468" s="21" t="s">
        <v>168</v>
      </c>
      <c r="F468" s="22" t="s">
        <v>169</v>
      </c>
      <c r="G468" s="22" t="s">
        <v>1105</v>
      </c>
      <c r="H468" s="268" t="s">
        <v>364</v>
      </c>
      <c r="I468" s="55">
        <v>8.07</v>
      </c>
      <c r="J468" s="102"/>
      <c r="K468" s="55">
        <v>8.07</v>
      </c>
      <c r="L468" s="163"/>
      <c r="M468" s="55">
        <v>8.07</v>
      </c>
      <c r="N468" s="163"/>
      <c r="O468" s="55">
        <v>8.07</v>
      </c>
      <c r="P468" s="102"/>
      <c r="Q468" s="97">
        <f t="shared" si="3905"/>
        <v>0</v>
      </c>
      <c r="R468" s="342">
        <f t="shared" si="3906"/>
        <v>0</v>
      </c>
      <c r="S468" s="97"/>
      <c r="T468" s="97">
        <f t="shared" si="3907"/>
        <v>0</v>
      </c>
      <c r="U468" s="97"/>
      <c r="V468" s="177">
        <f>I468*U468*$V$2/1000</f>
        <v>0</v>
      </c>
      <c r="W468" s="207"/>
      <c r="X468" s="206">
        <f t="shared" si="3909"/>
        <v>0</v>
      </c>
      <c r="Y468" s="189">
        <f t="shared" si="3910"/>
        <v>0</v>
      </c>
      <c r="Z468" s="177">
        <f t="shared" si="3911"/>
        <v>0</v>
      </c>
      <c r="AA468" s="207"/>
      <c r="AB468" s="206">
        <f t="shared" si="3926"/>
        <v>0</v>
      </c>
      <c r="AC468" s="207"/>
      <c r="AD468" s="177">
        <f t="shared" si="3912"/>
        <v>0</v>
      </c>
      <c r="AE468" s="207"/>
      <c r="AF468" s="206">
        <f t="shared" si="3927"/>
        <v>0</v>
      </c>
      <c r="AG468" s="189">
        <f t="shared" si="3913"/>
        <v>0</v>
      </c>
      <c r="AH468" s="97">
        <f t="shared" si="3914"/>
        <v>0</v>
      </c>
      <c r="AI468" s="97">
        <f t="shared" si="3915"/>
        <v>0</v>
      </c>
      <c r="AJ468" s="177">
        <f t="shared" si="3916"/>
        <v>0</v>
      </c>
      <c r="AK468" s="207"/>
      <c r="AL468" s="177">
        <f t="shared" si="3917"/>
        <v>0</v>
      </c>
      <c r="AM468" s="245"/>
      <c r="AN468" s="177">
        <f t="shared" si="3918"/>
        <v>0</v>
      </c>
      <c r="AO468" s="207"/>
      <c r="AP468" s="206">
        <f t="shared" si="3928"/>
        <v>0</v>
      </c>
      <c r="AQ468" s="189">
        <f t="shared" si="3919"/>
        <v>0</v>
      </c>
      <c r="AR468" s="97">
        <f t="shared" si="3920"/>
        <v>0</v>
      </c>
      <c r="AS468" s="97"/>
      <c r="AT468" s="177">
        <f t="shared" si="3929"/>
        <v>0</v>
      </c>
      <c r="AU468" s="207"/>
      <c r="AV468" s="177">
        <f>O468*AU468*$AV$2/1000</f>
        <v>0</v>
      </c>
      <c r="AW468" s="207"/>
      <c r="AX468" s="206">
        <f t="shared" si="3921"/>
        <v>0</v>
      </c>
      <c r="AY468" s="189">
        <f t="shared" si="3922"/>
        <v>0</v>
      </c>
      <c r="AZ468" s="97">
        <f t="shared" si="3923"/>
        <v>0</v>
      </c>
      <c r="BA468" s="97">
        <f t="shared" si="3924"/>
        <v>0</v>
      </c>
      <c r="BB468" s="97">
        <f t="shared" si="3925"/>
        <v>0</v>
      </c>
    </row>
    <row r="469" spans="1:54">
      <c r="A469" s="498">
        <v>310</v>
      </c>
      <c r="B469" s="13"/>
      <c r="C469" s="20"/>
      <c r="D469" s="13"/>
      <c r="E469" s="21" t="s">
        <v>170</v>
      </c>
      <c r="F469" s="22" t="s">
        <v>171</v>
      </c>
      <c r="G469" s="22" t="s">
        <v>1105</v>
      </c>
      <c r="H469" s="268" t="s">
        <v>364</v>
      </c>
      <c r="I469" s="55">
        <v>14.18</v>
      </c>
      <c r="J469" s="102"/>
      <c r="K469" s="55">
        <v>14.18</v>
      </c>
      <c r="L469" s="163"/>
      <c r="M469" s="55">
        <v>14.18</v>
      </c>
      <c r="N469" s="163"/>
      <c r="O469" s="55">
        <v>14.18</v>
      </c>
      <c r="P469" s="102"/>
      <c r="Q469" s="97">
        <f t="shared" si="3905"/>
        <v>0</v>
      </c>
      <c r="R469" s="342">
        <f t="shared" si="3906"/>
        <v>0</v>
      </c>
      <c r="S469" s="97"/>
      <c r="T469" s="97">
        <f t="shared" si="3907"/>
        <v>0</v>
      </c>
      <c r="U469" s="97"/>
      <c r="V469" s="177">
        <f t="shared" si="3908"/>
        <v>0</v>
      </c>
      <c r="W469" s="207"/>
      <c r="X469" s="206">
        <f t="shared" si="3909"/>
        <v>0</v>
      </c>
      <c r="Y469" s="189">
        <f t="shared" si="3910"/>
        <v>0</v>
      </c>
      <c r="Z469" s="177">
        <f t="shared" si="3911"/>
        <v>0</v>
      </c>
      <c r="AA469" s="207"/>
      <c r="AB469" s="206">
        <f t="shared" si="3926"/>
        <v>0</v>
      </c>
      <c r="AC469" s="207"/>
      <c r="AD469" s="177">
        <f t="shared" si="3912"/>
        <v>0</v>
      </c>
      <c r="AE469" s="207"/>
      <c r="AF469" s="206">
        <f t="shared" si="3927"/>
        <v>0</v>
      </c>
      <c r="AG469" s="189">
        <f t="shared" si="3913"/>
        <v>0</v>
      </c>
      <c r="AH469" s="97">
        <f t="shared" si="3914"/>
        <v>0</v>
      </c>
      <c r="AI469" s="97">
        <f t="shared" si="3915"/>
        <v>0</v>
      </c>
      <c r="AJ469" s="177">
        <f t="shared" si="3916"/>
        <v>0</v>
      </c>
      <c r="AK469" s="207"/>
      <c r="AL469" s="177">
        <f t="shared" si="3917"/>
        <v>0</v>
      </c>
      <c r="AM469" s="245"/>
      <c r="AN469" s="177">
        <f t="shared" si="3918"/>
        <v>0</v>
      </c>
      <c r="AO469" s="207"/>
      <c r="AP469" s="206">
        <f t="shared" si="3928"/>
        <v>0</v>
      </c>
      <c r="AQ469" s="189">
        <f t="shared" si="3919"/>
        <v>0</v>
      </c>
      <c r="AR469" s="97">
        <f t="shared" si="3920"/>
        <v>0</v>
      </c>
      <c r="AS469" s="97"/>
      <c r="AT469" s="177">
        <f t="shared" si="3929"/>
        <v>0</v>
      </c>
      <c r="AU469" s="207"/>
      <c r="AV469" s="177">
        <f t="shared" si="3930"/>
        <v>0</v>
      </c>
      <c r="AW469" s="207"/>
      <c r="AX469" s="206">
        <f t="shared" si="3921"/>
        <v>0</v>
      </c>
      <c r="AY469" s="189">
        <f t="shared" si="3922"/>
        <v>0</v>
      </c>
      <c r="AZ469" s="97">
        <f t="shared" si="3923"/>
        <v>0</v>
      </c>
      <c r="BA469" s="97">
        <f t="shared" si="3924"/>
        <v>0</v>
      </c>
      <c r="BB469" s="97">
        <f t="shared" si="3925"/>
        <v>0</v>
      </c>
    </row>
    <row r="470" spans="1:54">
      <c r="A470" s="498">
        <v>311</v>
      </c>
      <c r="B470" s="13"/>
      <c r="C470" s="20"/>
      <c r="D470" s="13"/>
      <c r="E470" s="21" t="s">
        <v>172</v>
      </c>
      <c r="F470" s="22" t="s">
        <v>173</v>
      </c>
      <c r="G470" s="22" t="s">
        <v>1105</v>
      </c>
      <c r="H470" s="268" t="s">
        <v>364</v>
      </c>
      <c r="I470" s="55">
        <v>23.32</v>
      </c>
      <c r="J470" s="102"/>
      <c r="K470" s="55">
        <v>23.32</v>
      </c>
      <c r="L470" s="163"/>
      <c r="M470" s="55">
        <v>23.32</v>
      </c>
      <c r="N470" s="163"/>
      <c r="O470" s="55">
        <v>23.32</v>
      </c>
      <c r="P470" s="102"/>
      <c r="Q470" s="97">
        <f t="shared" si="3905"/>
        <v>0</v>
      </c>
      <c r="R470" s="342">
        <f t="shared" si="3906"/>
        <v>0</v>
      </c>
      <c r="S470" s="97"/>
      <c r="T470" s="97">
        <f t="shared" si="3907"/>
        <v>0</v>
      </c>
      <c r="U470" s="97"/>
      <c r="V470" s="177">
        <f t="shared" si="3908"/>
        <v>0</v>
      </c>
      <c r="W470" s="207"/>
      <c r="X470" s="206">
        <f t="shared" si="3909"/>
        <v>0</v>
      </c>
      <c r="Y470" s="189">
        <f t="shared" si="3910"/>
        <v>0</v>
      </c>
      <c r="Z470" s="177">
        <f t="shared" si="3911"/>
        <v>0</v>
      </c>
      <c r="AA470" s="207"/>
      <c r="AB470" s="206">
        <f t="shared" si="3926"/>
        <v>0</v>
      </c>
      <c r="AC470" s="207"/>
      <c r="AD470" s="177">
        <f t="shared" si="3912"/>
        <v>0</v>
      </c>
      <c r="AE470" s="207"/>
      <c r="AF470" s="206">
        <f t="shared" si="3927"/>
        <v>0</v>
      </c>
      <c r="AG470" s="189">
        <f t="shared" si="3913"/>
        <v>0</v>
      </c>
      <c r="AH470" s="97">
        <f t="shared" si="3914"/>
        <v>0</v>
      </c>
      <c r="AI470" s="97">
        <f t="shared" si="3915"/>
        <v>0</v>
      </c>
      <c r="AJ470" s="177">
        <f t="shared" si="3916"/>
        <v>0</v>
      </c>
      <c r="AK470" s="207"/>
      <c r="AL470" s="177">
        <f t="shared" si="3917"/>
        <v>0</v>
      </c>
      <c r="AM470" s="245"/>
      <c r="AN470" s="177">
        <f t="shared" si="3918"/>
        <v>0</v>
      </c>
      <c r="AO470" s="207"/>
      <c r="AP470" s="206">
        <f t="shared" si="3928"/>
        <v>0</v>
      </c>
      <c r="AQ470" s="189">
        <f t="shared" si="3919"/>
        <v>0</v>
      </c>
      <c r="AR470" s="97">
        <f t="shared" si="3920"/>
        <v>0</v>
      </c>
      <c r="AS470" s="97"/>
      <c r="AT470" s="177">
        <f t="shared" si="3929"/>
        <v>0</v>
      </c>
      <c r="AU470" s="207"/>
      <c r="AV470" s="177">
        <f t="shared" si="3930"/>
        <v>0</v>
      </c>
      <c r="AW470" s="207"/>
      <c r="AX470" s="206">
        <f t="shared" si="3921"/>
        <v>0</v>
      </c>
      <c r="AY470" s="189">
        <f t="shared" si="3922"/>
        <v>0</v>
      </c>
      <c r="AZ470" s="97">
        <f t="shared" si="3923"/>
        <v>0</v>
      </c>
      <c r="BA470" s="97">
        <f t="shared" si="3924"/>
        <v>0</v>
      </c>
      <c r="BB470" s="97">
        <f t="shared" si="3925"/>
        <v>0</v>
      </c>
    </row>
    <row r="471" spans="1:54">
      <c r="A471" s="498">
        <v>312</v>
      </c>
      <c r="B471" s="13"/>
      <c r="C471" s="20"/>
      <c r="D471" s="13"/>
      <c r="E471" s="21" t="s">
        <v>174</v>
      </c>
      <c r="F471" s="22" t="s">
        <v>175</v>
      </c>
      <c r="G471" s="22" t="s">
        <v>1105</v>
      </c>
      <c r="H471" s="268" t="s">
        <v>364</v>
      </c>
      <c r="I471" s="55">
        <v>24.39</v>
      </c>
      <c r="J471" s="102"/>
      <c r="K471" s="55">
        <v>24.39</v>
      </c>
      <c r="L471" s="163"/>
      <c r="M471" s="55">
        <v>24.39</v>
      </c>
      <c r="N471" s="163"/>
      <c r="O471" s="55">
        <v>24.39</v>
      </c>
      <c r="P471" s="102"/>
      <c r="Q471" s="97">
        <f t="shared" si="3905"/>
        <v>0</v>
      </c>
      <c r="R471" s="342">
        <f t="shared" si="3906"/>
        <v>0</v>
      </c>
      <c r="S471" s="97"/>
      <c r="T471" s="97">
        <f t="shared" si="3907"/>
        <v>0</v>
      </c>
      <c r="U471" s="97"/>
      <c r="V471" s="177">
        <f t="shared" si="3908"/>
        <v>0</v>
      </c>
      <c r="W471" s="207"/>
      <c r="X471" s="206">
        <f t="shared" si="3909"/>
        <v>0</v>
      </c>
      <c r="Y471" s="189">
        <f t="shared" si="3910"/>
        <v>0</v>
      </c>
      <c r="Z471" s="177">
        <f t="shared" si="3911"/>
        <v>0</v>
      </c>
      <c r="AA471" s="207"/>
      <c r="AB471" s="206">
        <f t="shared" si="3926"/>
        <v>0</v>
      </c>
      <c r="AC471" s="207"/>
      <c r="AD471" s="177">
        <f t="shared" si="3912"/>
        <v>0</v>
      </c>
      <c r="AE471" s="207"/>
      <c r="AF471" s="206">
        <f t="shared" si="3927"/>
        <v>0</v>
      </c>
      <c r="AG471" s="189">
        <f t="shared" si="3913"/>
        <v>0</v>
      </c>
      <c r="AH471" s="97">
        <f t="shared" si="3914"/>
        <v>0</v>
      </c>
      <c r="AI471" s="97">
        <f t="shared" si="3915"/>
        <v>0</v>
      </c>
      <c r="AJ471" s="177">
        <f t="shared" si="3916"/>
        <v>0</v>
      </c>
      <c r="AK471" s="207"/>
      <c r="AL471" s="177">
        <f t="shared" si="3917"/>
        <v>0</v>
      </c>
      <c r="AM471" s="245"/>
      <c r="AN471" s="177">
        <f t="shared" si="3918"/>
        <v>0</v>
      </c>
      <c r="AO471" s="207"/>
      <c r="AP471" s="206">
        <f>M471*AO471*$AP$2/1000</f>
        <v>0</v>
      </c>
      <c r="AQ471" s="189">
        <f t="shared" si="3919"/>
        <v>0</v>
      </c>
      <c r="AR471" s="97">
        <f t="shared" si="3920"/>
        <v>0</v>
      </c>
      <c r="AS471" s="97"/>
      <c r="AT471" s="177">
        <f t="shared" si="3929"/>
        <v>0</v>
      </c>
      <c r="AU471" s="207"/>
      <c r="AV471" s="177">
        <f t="shared" si="3930"/>
        <v>0</v>
      </c>
      <c r="AW471" s="207"/>
      <c r="AX471" s="206">
        <f t="shared" si="3921"/>
        <v>0</v>
      </c>
      <c r="AY471" s="189">
        <f t="shared" si="3922"/>
        <v>0</v>
      </c>
      <c r="AZ471" s="97">
        <f t="shared" si="3923"/>
        <v>0</v>
      </c>
      <c r="BA471" s="97">
        <f t="shared" si="3924"/>
        <v>0</v>
      </c>
      <c r="BB471" s="97">
        <f t="shared" si="3925"/>
        <v>0</v>
      </c>
    </row>
    <row r="472" spans="1:54">
      <c r="A472" s="498">
        <v>313</v>
      </c>
      <c r="B472" s="13"/>
      <c r="C472" s="20"/>
      <c r="D472" s="13"/>
      <c r="E472" s="21" t="s">
        <v>1172</v>
      </c>
      <c r="F472" s="22" t="s">
        <v>969</v>
      </c>
      <c r="G472" s="22" t="s">
        <v>1102</v>
      </c>
      <c r="H472" s="268" t="s">
        <v>364</v>
      </c>
      <c r="I472" s="55">
        <v>26.9</v>
      </c>
      <c r="J472" s="102"/>
      <c r="K472" s="55">
        <v>26.9</v>
      </c>
      <c r="L472" s="163"/>
      <c r="M472" s="55">
        <v>26.5</v>
      </c>
      <c r="N472" s="163"/>
      <c r="O472" s="55">
        <v>26.5</v>
      </c>
      <c r="P472" s="102"/>
      <c r="Q472" s="97">
        <f t="shared" ref="Q472" si="3957">SUM(AI472+BA472)</f>
        <v>19.079999999999998</v>
      </c>
      <c r="R472" s="342">
        <f t="shared" ref="R472" si="3958">SUM(AJ472+BB472)</f>
        <v>697.25179857600006</v>
      </c>
      <c r="S472" s="97"/>
      <c r="T472" s="97">
        <f t="shared" ref="T472" si="3959">I472*S472*$T$2/1000</f>
        <v>0</v>
      </c>
      <c r="U472" s="97"/>
      <c r="V472" s="177">
        <f t="shared" ref="V472" si="3960">I472*U472*$V$2/1000</f>
        <v>0</v>
      </c>
      <c r="W472" s="207">
        <v>0.504</v>
      </c>
      <c r="X472" s="206">
        <f t="shared" ref="X472" si="3961">I472*W472*$X$2/1000</f>
        <v>18.039742560000001</v>
      </c>
      <c r="Y472" s="189">
        <f t="shared" ref="Y472" si="3962">SUM(S472+U472+W472)</f>
        <v>0.504</v>
      </c>
      <c r="Z472" s="177">
        <f t="shared" ref="Z472" si="3963">SUM(T472+V472+X472)</f>
        <v>18.039742560000001</v>
      </c>
      <c r="AA472" s="207">
        <v>1.8720000000000001</v>
      </c>
      <c r="AB472" s="206">
        <f t="shared" ref="AB472" si="3964">K472*AA472*$AB$2/1000</f>
        <v>68.692718016000001</v>
      </c>
      <c r="AC472" s="207">
        <v>3.8879999999999999</v>
      </c>
      <c r="AD472" s="177">
        <f t="shared" ref="AD472" si="3965">K472*AC472*$AD$2/1000</f>
        <v>143.24576673600001</v>
      </c>
      <c r="AE472" s="207">
        <v>2.5920000000000001</v>
      </c>
      <c r="AF472" s="206">
        <f t="shared" ref="AF472" si="3966">K472*AE472*$AF$2/1000</f>
        <v>96.138645984000007</v>
      </c>
      <c r="AG472" s="189">
        <f t="shared" ref="AG472" si="3967">SUM(AA472+AC472+AE472)</f>
        <v>8.3520000000000003</v>
      </c>
      <c r="AH472" s="97">
        <f t="shared" ref="AH472" si="3968">SUM(AB472+AD472+AF472)</f>
        <v>308.07713073600002</v>
      </c>
      <c r="AI472" s="97">
        <f t="shared" ref="AI472" si="3969">SUM(Y472+AG472)</f>
        <v>8.8559999999999999</v>
      </c>
      <c r="AJ472" s="177">
        <f t="shared" ref="AJ472" si="3970">SUM(Z472,AH472)</f>
        <v>326.11687329599999</v>
      </c>
      <c r="AK472" s="207">
        <v>2.88</v>
      </c>
      <c r="AL472" s="177">
        <f t="shared" ref="AL472" si="3971">M472*AK472*$AL$2/1000</f>
        <v>105.55666559999997</v>
      </c>
      <c r="AM472" s="245">
        <v>0.57599999999999996</v>
      </c>
      <c r="AN472" s="177">
        <f t="shared" ref="AN472" si="3972">M472*AM472*$AN$2/1000</f>
        <v>20.7758304</v>
      </c>
      <c r="AO472" s="207">
        <v>2.3039999999999998</v>
      </c>
      <c r="AP472" s="206">
        <f t="shared" ref="AP472" si="3973">M472*AO472*$AP$2/1000</f>
        <v>81.350403839999998</v>
      </c>
      <c r="AQ472" s="189">
        <f t="shared" ref="AQ472" si="3974">SUM(AK472+AM472+AO472)</f>
        <v>5.76</v>
      </c>
      <c r="AR472" s="97">
        <f t="shared" ref="AR472" si="3975">SUM(AL472+AN472+AP472)</f>
        <v>207.68289983999998</v>
      </c>
      <c r="AS472" s="97">
        <v>1.728</v>
      </c>
      <c r="AT472" s="177">
        <f t="shared" ref="AT472" si="3976">O472*AS472*$AT$2/1000</f>
        <v>62.180956800000004</v>
      </c>
      <c r="AU472" s="207">
        <v>2.2320000000000002</v>
      </c>
      <c r="AV472" s="177">
        <f t="shared" ref="AV472" si="3977">O472*AU472*$AV$2/1000</f>
        <v>82.314497160000016</v>
      </c>
      <c r="AW472" s="207">
        <v>0.504</v>
      </c>
      <c r="AX472" s="206">
        <f t="shared" ref="AX472" si="3978">O472*AW472*$AX$2/1000</f>
        <v>18.956571479999997</v>
      </c>
      <c r="AY472" s="189">
        <f t="shared" ref="AY472" si="3979">SUM(AS472+AU472+AW472)</f>
        <v>4.4640000000000004</v>
      </c>
      <c r="AZ472" s="97">
        <f t="shared" ref="AZ472" si="3980">SUM(AT472+AV472+AX472)</f>
        <v>163.45202544000003</v>
      </c>
      <c r="BA472" s="97">
        <f t="shared" ref="BA472" si="3981">SUM(AQ472+AY472)</f>
        <v>10.224</v>
      </c>
      <c r="BB472" s="97">
        <f t="shared" ref="BB472" si="3982">SUM(AR472,AZ472)</f>
        <v>371.13492528</v>
      </c>
    </row>
    <row r="473" spans="1:54">
      <c r="A473" s="498">
        <v>314</v>
      </c>
      <c r="B473" s="13"/>
      <c r="C473" s="20"/>
      <c r="D473" s="13"/>
      <c r="E473" s="21" t="s">
        <v>176</v>
      </c>
      <c r="F473" s="22" t="s">
        <v>177</v>
      </c>
      <c r="G473" s="22" t="s">
        <v>1106</v>
      </c>
      <c r="H473" s="268" t="s">
        <v>364</v>
      </c>
      <c r="I473" s="55">
        <v>8.7799999999999994</v>
      </c>
      <c r="J473" s="102"/>
      <c r="K473" s="55">
        <v>8.7799999999999994</v>
      </c>
      <c r="L473" s="163"/>
      <c r="M473" s="55">
        <v>8.7799999999999994</v>
      </c>
      <c r="N473" s="163"/>
      <c r="O473" s="55">
        <v>8.7799999999999994</v>
      </c>
      <c r="P473" s="102"/>
      <c r="Q473" s="97">
        <f t="shared" si="3905"/>
        <v>0</v>
      </c>
      <c r="R473" s="342">
        <f t="shared" si="3906"/>
        <v>0</v>
      </c>
      <c r="S473" s="97"/>
      <c r="T473" s="97">
        <f t="shared" si="3907"/>
        <v>0</v>
      </c>
      <c r="U473" s="97"/>
      <c r="V473" s="177">
        <f t="shared" si="3908"/>
        <v>0</v>
      </c>
      <c r="W473" s="207"/>
      <c r="X473" s="206">
        <f t="shared" si="3909"/>
        <v>0</v>
      </c>
      <c r="Y473" s="189">
        <f t="shared" si="3910"/>
        <v>0</v>
      </c>
      <c r="Z473" s="177">
        <f t="shared" si="3911"/>
        <v>0</v>
      </c>
      <c r="AA473" s="207"/>
      <c r="AB473" s="206">
        <f t="shared" si="3926"/>
        <v>0</v>
      </c>
      <c r="AC473" s="207"/>
      <c r="AD473" s="177">
        <f>K473*AC473*$AD$2/1000</f>
        <v>0</v>
      </c>
      <c r="AE473" s="207"/>
      <c r="AF473" s="206">
        <f t="shared" si="3927"/>
        <v>0</v>
      </c>
      <c r="AG473" s="189">
        <f t="shared" si="3913"/>
        <v>0</v>
      </c>
      <c r="AH473" s="97">
        <f t="shared" si="3914"/>
        <v>0</v>
      </c>
      <c r="AI473" s="97">
        <f t="shared" si="3915"/>
        <v>0</v>
      </c>
      <c r="AJ473" s="177">
        <f t="shared" si="3916"/>
        <v>0</v>
      </c>
      <c r="AK473" s="207"/>
      <c r="AL473" s="177">
        <f t="shared" si="3917"/>
        <v>0</v>
      </c>
      <c r="AM473" s="245"/>
      <c r="AN473" s="177">
        <f t="shared" si="3918"/>
        <v>0</v>
      </c>
      <c r="AO473" s="207"/>
      <c r="AP473" s="206">
        <f t="shared" si="3928"/>
        <v>0</v>
      </c>
      <c r="AQ473" s="189">
        <f t="shared" si="3919"/>
        <v>0</v>
      </c>
      <c r="AR473" s="97">
        <f t="shared" si="3920"/>
        <v>0</v>
      </c>
      <c r="AS473" s="97"/>
      <c r="AT473" s="177">
        <f t="shared" si="3929"/>
        <v>0</v>
      </c>
      <c r="AU473" s="207"/>
      <c r="AV473" s="177">
        <f t="shared" si="3930"/>
        <v>0</v>
      </c>
      <c r="AW473" s="207"/>
      <c r="AX473" s="206">
        <f t="shared" si="3921"/>
        <v>0</v>
      </c>
      <c r="AY473" s="189">
        <f t="shared" si="3922"/>
        <v>0</v>
      </c>
      <c r="AZ473" s="97">
        <f t="shared" si="3923"/>
        <v>0</v>
      </c>
      <c r="BA473" s="97">
        <f t="shared" si="3924"/>
        <v>0</v>
      </c>
      <c r="BB473" s="97">
        <f t="shared" si="3925"/>
        <v>0</v>
      </c>
    </row>
    <row r="474" spans="1:54">
      <c r="A474" s="498">
        <v>315</v>
      </c>
      <c r="B474" s="13"/>
      <c r="C474" s="20"/>
      <c r="D474" s="13"/>
      <c r="E474" s="21" t="s">
        <v>178</v>
      </c>
      <c r="F474" s="22" t="s">
        <v>179</v>
      </c>
      <c r="G474" s="22" t="s">
        <v>1106</v>
      </c>
      <c r="H474" s="268" t="s">
        <v>364</v>
      </c>
      <c r="I474" s="55">
        <v>10.1</v>
      </c>
      <c r="J474" s="102"/>
      <c r="K474" s="55">
        <v>10.1</v>
      </c>
      <c r="L474" s="163"/>
      <c r="M474" s="55">
        <v>10.1</v>
      </c>
      <c r="N474" s="163"/>
      <c r="O474" s="55">
        <v>10.1</v>
      </c>
      <c r="P474" s="102"/>
      <c r="Q474" s="97">
        <f t="shared" si="3905"/>
        <v>0.11899999999999999</v>
      </c>
      <c r="R474" s="342">
        <f t="shared" si="3906"/>
        <v>1.588779591</v>
      </c>
      <c r="S474" s="97">
        <v>0.11899999999999999</v>
      </c>
      <c r="T474" s="97">
        <f t="shared" si="3907"/>
        <v>1.588779591</v>
      </c>
      <c r="U474" s="97"/>
      <c r="V474" s="177">
        <f t="shared" si="3908"/>
        <v>0</v>
      </c>
      <c r="W474" s="207"/>
      <c r="X474" s="206">
        <f t="shared" si="3909"/>
        <v>0</v>
      </c>
      <c r="Y474" s="189">
        <f t="shared" si="3910"/>
        <v>0.11899999999999999</v>
      </c>
      <c r="Z474" s="177">
        <f t="shared" si="3911"/>
        <v>1.588779591</v>
      </c>
      <c r="AA474" s="207"/>
      <c r="AB474" s="206">
        <f t="shared" si="3926"/>
        <v>0</v>
      </c>
      <c r="AC474" s="207"/>
      <c r="AD474" s="177">
        <f>K474*AC474*$AD$2/1000</f>
        <v>0</v>
      </c>
      <c r="AE474" s="207"/>
      <c r="AF474" s="206">
        <f t="shared" si="3927"/>
        <v>0</v>
      </c>
      <c r="AG474" s="189">
        <f t="shared" si="3913"/>
        <v>0</v>
      </c>
      <c r="AH474" s="97">
        <f t="shared" si="3914"/>
        <v>0</v>
      </c>
      <c r="AI474" s="97">
        <f t="shared" si="3915"/>
        <v>0.11899999999999999</v>
      </c>
      <c r="AJ474" s="177">
        <f t="shared" si="3916"/>
        <v>1.588779591</v>
      </c>
      <c r="AK474" s="207"/>
      <c r="AL474" s="177">
        <f t="shared" si="3917"/>
        <v>0</v>
      </c>
      <c r="AM474" s="245"/>
      <c r="AN474" s="177">
        <f t="shared" si="3918"/>
        <v>0</v>
      </c>
      <c r="AO474" s="207"/>
      <c r="AP474" s="206">
        <f t="shared" si="3928"/>
        <v>0</v>
      </c>
      <c r="AQ474" s="189">
        <f t="shared" si="3919"/>
        <v>0</v>
      </c>
      <c r="AR474" s="97">
        <f t="shared" si="3920"/>
        <v>0</v>
      </c>
      <c r="AS474" s="97"/>
      <c r="AT474" s="177">
        <f t="shared" si="3929"/>
        <v>0</v>
      </c>
      <c r="AU474" s="207"/>
      <c r="AV474" s="177">
        <f t="shared" si="3930"/>
        <v>0</v>
      </c>
      <c r="AW474" s="207"/>
      <c r="AX474" s="206">
        <f t="shared" si="3921"/>
        <v>0</v>
      </c>
      <c r="AY474" s="189">
        <f t="shared" si="3922"/>
        <v>0</v>
      </c>
      <c r="AZ474" s="97">
        <f t="shared" si="3923"/>
        <v>0</v>
      </c>
      <c r="BA474" s="97">
        <f t="shared" si="3924"/>
        <v>0</v>
      </c>
      <c r="BB474" s="97">
        <f t="shared" si="3925"/>
        <v>0</v>
      </c>
    </row>
    <row r="475" spans="1:54">
      <c r="A475" s="498">
        <v>316</v>
      </c>
      <c r="B475" s="13"/>
      <c r="C475" s="20"/>
      <c r="D475" s="13"/>
      <c r="E475" s="21" t="s">
        <v>180</v>
      </c>
      <c r="F475" s="22" t="s">
        <v>181</v>
      </c>
      <c r="G475" s="22" t="s">
        <v>1106</v>
      </c>
      <c r="H475" s="268" t="s">
        <v>364</v>
      </c>
      <c r="I475" s="55">
        <v>8.86</v>
      </c>
      <c r="J475" s="102"/>
      <c r="K475" s="55">
        <v>8.86</v>
      </c>
      <c r="L475" s="163"/>
      <c r="M475" s="55">
        <v>8.86</v>
      </c>
      <c r="N475" s="163"/>
      <c r="O475" s="55">
        <v>8.86</v>
      </c>
      <c r="P475" s="102"/>
      <c r="Q475" s="97">
        <f t="shared" si="3905"/>
        <v>6.24</v>
      </c>
      <c r="R475" s="342">
        <f t="shared" si="3906"/>
        <v>75.128986655999995</v>
      </c>
      <c r="S475" s="97">
        <v>0.28999999999999998</v>
      </c>
      <c r="T475" s="97">
        <f t="shared" si="3907"/>
        <v>3.3964641659999999</v>
      </c>
      <c r="U475" s="97">
        <v>0.24</v>
      </c>
      <c r="V475" s="177">
        <f t="shared" si="3908"/>
        <v>2.8289625599999999</v>
      </c>
      <c r="W475" s="207">
        <v>0.36</v>
      </c>
      <c r="X475" s="206">
        <f t="shared" si="3909"/>
        <v>4.2440817599999994</v>
      </c>
      <c r="Y475" s="189">
        <f t="shared" si="3910"/>
        <v>0.89</v>
      </c>
      <c r="Z475" s="177">
        <f t="shared" si="3911"/>
        <v>10.469508485999999</v>
      </c>
      <c r="AA475" s="207">
        <v>0.96</v>
      </c>
      <c r="AB475" s="206">
        <f t="shared" si="3926"/>
        <v>11.602659071999998</v>
      </c>
      <c r="AC475" s="207">
        <v>1.2</v>
      </c>
      <c r="AD475" s="177">
        <f t="shared" si="3912"/>
        <v>14.561906160000001</v>
      </c>
      <c r="AE475" s="207">
        <v>0.48</v>
      </c>
      <c r="AF475" s="206">
        <f t="shared" si="3927"/>
        <v>5.8638882239999992</v>
      </c>
      <c r="AG475" s="189">
        <f t="shared" si="3913"/>
        <v>2.64</v>
      </c>
      <c r="AH475" s="97">
        <f t="shared" si="3914"/>
        <v>32.028453456000001</v>
      </c>
      <c r="AI475" s="97">
        <f t="shared" si="3915"/>
        <v>3.5300000000000002</v>
      </c>
      <c r="AJ475" s="177">
        <f t="shared" si="3916"/>
        <v>42.497961942000003</v>
      </c>
      <c r="AK475" s="207">
        <v>0.24</v>
      </c>
      <c r="AL475" s="177">
        <f t="shared" si="3917"/>
        <v>2.9409813119999995</v>
      </c>
      <c r="AM475" s="245">
        <v>0.9</v>
      </c>
      <c r="AN475" s="177">
        <f t="shared" si="3918"/>
        <v>10.853411399999999</v>
      </c>
      <c r="AO475" s="207">
        <v>0.72</v>
      </c>
      <c r="AP475" s="206">
        <f t="shared" si="3928"/>
        <v>8.4995822879999992</v>
      </c>
      <c r="AQ475" s="189">
        <f t="shared" si="3919"/>
        <v>1.86</v>
      </c>
      <c r="AR475" s="97">
        <f t="shared" si="3920"/>
        <v>22.293974999999996</v>
      </c>
      <c r="AS475" s="97">
        <v>0.48</v>
      </c>
      <c r="AT475" s="177">
        <f t="shared" si="3929"/>
        <v>5.7748771200000002</v>
      </c>
      <c r="AU475" s="207">
        <v>0.37</v>
      </c>
      <c r="AV475" s="177">
        <f t="shared" si="3930"/>
        <v>4.5621725939999997</v>
      </c>
      <c r="AW475" s="207"/>
      <c r="AX475" s="206">
        <f t="shared" si="3921"/>
        <v>0</v>
      </c>
      <c r="AY475" s="189">
        <f t="shared" si="3922"/>
        <v>0.85</v>
      </c>
      <c r="AZ475" s="97">
        <f t="shared" si="3923"/>
        <v>10.337049713999999</v>
      </c>
      <c r="BA475" s="97">
        <f t="shared" si="3924"/>
        <v>2.71</v>
      </c>
      <c r="BB475" s="97">
        <f t="shared" si="3925"/>
        <v>32.631024713999992</v>
      </c>
    </row>
    <row r="476" spans="1:54">
      <c r="A476" s="498">
        <v>317</v>
      </c>
      <c r="B476" s="13"/>
      <c r="C476" s="20"/>
      <c r="D476" s="13"/>
      <c r="E476" s="21" t="s">
        <v>182</v>
      </c>
      <c r="F476" s="22" t="s">
        <v>183</v>
      </c>
      <c r="G476" s="22" t="s">
        <v>1106</v>
      </c>
      <c r="H476" s="268" t="s">
        <v>364</v>
      </c>
      <c r="I476" s="55">
        <v>5.4</v>
      </c>
      <c r="J476" s="102"/>
      <c r="K476" s="55">
        <v>5.4</v>
      </c>
      <c r="L476" s="163"/>
      <c r="M476" s="55">
        <v>5.4</v>
      </c>
      <c r="N476" s="163"/>
      <c r="O476" s="55">
        <v>5.4</v>
      </c>
      <c r="P476" s="102"/>
      <c r="Q476" s="97">
        <f t="shared" si="3905"/>
        <v>6.96</v>
      </c>
      <c r="R476" s="342">
        <f t="shared" si="3906"/>
        <v>51.243015960000008</v>
      </c>
      <c r="S476" s="97"/>
      <c r="T476" s="97">
        <f t="shared" si="3907"/>
        <v>0</v>
      </c>
      <c r="U476" s="97">
        <v>0.56000000000000005</v>
      </c>
      <c r="V476" s="177">
        <f t="shared" si="3908"/>
        <v>4.0231296000000007</v>
      </c>
      <c r="W476" s="207">
        <v>0.78</v>
      </c>
      <c r="X476" s="206">
        <f t="shared" si="3909"/>
        <v>5.6044872000000003</v>
      </c>
      <c r="Y476" s="189">
        <f t="shared" si="3910"/>
        <v>1.34</v>
      </c>
      <c r="Z476" s="177">
        <f t="shared" si="3911"/>
        <v>9.627616800000002</v>
      </c>
      <c r="AA476" s="207">
        <v>0.72</v>
      </c>
      <c r="AB476" s="206">
        <f t="shared" si="3926"/>
        <v>5.30369856</v>
      </c>
      <c r="AC476" s="207">
        <v>0.48</v>
      </c>
      <c r="AD476" s="177">
        <f t="shared" si="3912"/>
        <v>3.5500809600000003</v>
      </c>
      <c r="AE476" s="207">
        <v>1.44</v>
      </c>
      <c r="AF476" s="206">
        <f t="shared" si="3927"/>
        <v>10.721782079999999</v>
      </c>
      <c r="AG476" s="189">
        <f t="shared" si="3913"/>
        <v>2.6399999999999997</v>
      </c>
      <c r="AH476" s="97">
        <f t="shared" si="3914"/>
        <v>19.5755616</v>
      </c>
      <c r="AI476" s="97">
        <f t="shared" si="3915"/>
        <v>3.9799999999999995</v>
      </c>
      <c r="AJ476" s="177">
        <f t="shared" si="3916"/>
        <v>29.203178400000002</v>
      </c>
      <c r="AK476" s="207">
        <v>0.84</v>
      </c>
      <c r="AL476" s="177">
        <f t="shared" si="3917"/>
        <v>6.2736508799999999</v>
      </c>
      <c r="AM476" s="245">
        <v>0.36</v>
      </c>
      <c r="AN476" s="177">
        <f t="shared" si="3918"/>
        <v>2.6459784000000002</v>
      </c>
      <c r="AO476" s="207">
        <v>0.96</v>
      </c>
      <c r="AP476" s="206">
        <f t="shared" si="3928"/>
        <v>6.9071097600000009</v>
      </c>
      <c r="AQ476" s="189">
        <f t="shared" si="3919"/>
        <v>2.16</v>
      </c>
      <c r="AR476" s="97">
        <f t="shared" si="3920"/>
        <v>15.826739040000001</v>
      </c>
      <c r="AS476" s="97"/>
      <c r="AT476" s="177">
        <f t="shared" si="3929"/>
        <v>0</v>
      </c>
      <c r="AU476" s="207">
        <v>0.48</v>
      </c>
      <c r="AV476" s="177">
        <f t="shared" si="3930"/>
        <v>3.6072086400000001</v>
      </c>
      <c r="AW476" s="207">
        <v>0.34</v>
      </c>
      <c r="AX476" s="206">
        <f t="shared" si="3921"/>
        <v>2.6058898800000003</v>
      </c>
      <c r="AY476" s="189">
        <f t="shared" si="3922"/>
        <v>0.82000000000000006</v>
      </c>
      <c r="AZ476" s="97">
        <f t="shared" si="3923"/>
        <v>6.2130985200000008</v>
      </c>
      <c r="BA476" s="97">
        <f t="shared" si="3924"/>
        <v>2.9800000000000004</v>
      </c>
      <c r="BB476" s="97">
        <f t="shared" si="3925"/>
        <v>22.039837560000002</v>
      </c>
    </row>
    <row r="477" spans="1:54">
      <c r="A477" s="498">
        <v>318</v>
      </c>
      <c r="B477" s="13"/>
      <c r="C477" s="20"/>
      <c r="D477" s="13"/>
      <c r="E477" s="21" t="s">
        <v>184</v>
      </c>
      <c r="F477" s="22" t="s">
        <v>185</v>
      </c>
      <c r="G477" s="22" t="s">
        <v>1106</v>
      </c>
      <c r="H477" s="268" t="s">
        <v>364</v>
      </c>
      <c r="I477" s="55">
        <v>9.0299999999999994</v>
      </c>
      <c r="J477" s="102"/>
      <c r="K477" s="55">
        <v>9.0299999999999994</v>
      </c>
      <c r="L477" s="163"/>
      <c r="M477" s="55">
        <v>9.0299999999999994</v>
      </c>
      <c r="N477" s="163"/>
      <c r="O477" s="55">
        <v>9.0299999999999994</v>
      </c>
      <c r="P477" s="102"/>
      <c r="Q477" s="97">
        <f t="shared" si="3905"/>
        <v>0.3</v>
      </c>
      <c r="R477" s="342">
        <f t="shared" si="3906"/>
        <v>3.6872198999999992</v>
      </c>
      <c r="S477" s="97"/>
      <c r="T477" s="97">
        <f t="shared" si="3907"/>
        <v>0</v>
      </c>
      <c r="U477" s="97"/>
      <c r="V477" s="177">
        <f t="shared" si="3908"/>
        <v>0</v>
      </c>
      <c r="W477" s="207"/>
      <c r="X477" s="206">
        <f t="shared" si="3909"/>
        <v>0</v>
      </c>
      <c r="Y477" s="189">
        <f t="shared" si="3910"/>
        <v>0</v>
      </c>
      <c r="Z477" s="177">
        <f t="shared" si="3911"/>
        <v>0</v>
      </c>
      <c r="AA477" s="207"/>
      <c r="AB477" s="206">
        <f t="shared" si="3926"/>
        <v>0</v>
      </c>
      <c r="AC477" s="207"/>
      <c r="AD477" s="177">
        <f t="shared" si="3912"/>
        <v>0</v>
      </c>
      <c r="AE477" s="207"/>
      <c r="AF477" s="206">
        <f t="shared" si="3927"/>
        <v>0</v>
      </c>
      <c r="AG477" s="189">
        <f t="shared" si="3913"/>
        <v>0</v>
      </c>
      <c r="AH477" s="97">
        <f t="shared" si="3914"/>
        <v>0</v>
      </c>
      <c r="AI477" s="97">
        <f t="shared" si="3915"/>
        <v>0</v>
      </c>
      <c r="AJ477" s="177">
        <f t="shared" si="3916"/>
        <v>0</v>
      </c>
      <c r="AK477" s="207"/>
      <c r="AL477" s="177">
        <f t="shared" si="3917"/>
        <v>0</v>
      </c>
      <c r="AM477" s="245">
        <v>0.3</v>
      </c>
      <c r="AN477" s="177">
        <f t="shared" si="3918"/>
        <v>3.6872198999999992</v>
      </c>
      <c r="AO477" s="207"/>
      <c r="AP477" s="206">
        <f t="shared" si="3928"/>
        <v>0</v>
      </c>
      <c r="AQ477" s="189">
        <f t="shared" si="3919"/>
        <v>0.3</v>
      </c>
      <c r="AR477" s="97">
        <f t="shared" si="3920"/>
        <v>3.6872198999999992</v>
      </c>
      <c r="AS477" s="97"/>
      <c r="AT477" s="177">
        <f t="shared" si="3929"/>
        <v>0</v>
      </c>
      <c r="AU477" s="207"/>
      <c r="AV477" s="177">
        <f t="shared" si="3930"/>
        <v>0</v>
      </c>
      <c r="AW477" s="207"/>
      <c r="AX477" s="206">
        <f t="shared" si="3921"/>
        <v>0</v>
      </c>
      <c r="AY477" s="189">
        <f t="shared" si="3922"/>
        <v>0</v>
      </c>
      <c r="AZ477" s="97">
        <f t="shared" si="3923"/>
        <v>0</v>
      </c>
      <c r="BA477" s="97">
        <f t="shared" si="3924"/>
        <v>0.3</v>
      </c>
      <c r="BB477" s="97">
        <f t="shared" si="3925"/>
        <v>3.6872198999999992</v>
      </c>
    </row>
    <row r="478" spans="1:54">
      <c r="A478" s="498">
        <v>319</v>
      </c>
      <c r="B478" s="13"/>
      <c r="C478" s="20"/>
      <c r="D478" s="13"/>
      <c r="E478" s="21" t="s">
        <v>938</v>
      </c>
      <c r="F478" s="461" t="s">
        <v>939</v>
      </c>
      <c r="G478" s="22" t="s">
        <v>1106</v>
      </c>
      <c r="H478" s="268" t="s">
        <v>364</v>
      </c>
      <c r="I478" s="55">
        <v>7.75</v>
      </c>
      <c r="J478" s="102"/>
      <c r="K478" s="55">
        <v>7.75</v>
      </c>
      <c r="L478" s="163"/>
      <c r="M478" s="55">
        <v>7.75</v>
      </c>
      <c r="N478" s="163"/>
      <c r="O478" s="55">
        <v>7.75</v>
      </c>
      <c r="P478" s="102"/>
      <c r="Q478" s="97">
        <f t="shared" ref="Q478" si="3983">SUM(AI478+BA478)</f>
        <v>0</v>
      </c>
      <c r="R478" s="342">
        <f t="shared" ref="R478" si="3984">SUM(AJ478+BB478)</f>
        <v>0</v>
      </c>
      <c r="S478" s="97"/>
      <c r="T478" s="97">
        <f t="shared" ref="T478" si="3985">I478*S478*$T$2/1000</f>
        <v>0</v>
      </c>
      <c r="U478" s="97"/>
      <c r="V478" s="177">
        <f t="shared" ref="V478" si="3986">I478*U478*$V$2/1000</f>
        <v>0</v>
      </c>
      <c r="W478" s="207"/>
      <c r="X478" s="206">
        <f t="shared" ref="X478" si="3987">I478*W478*$X$2/1000</f>
        <v>0</v>
      </c>
      <c r="Y478" s="189">
        <f t="shared" ref="Y478" si="3988">SUM(S478+U478+W478)</f>
        <v>0</v>
      </c>
      <c r="Z478" s="177">
        <f t="shared" ref="Z478" si="3989">SUM(T478+V478+X478)</f>
        <v>0</v>
      </c>
      <c r="AA478" s="207"/>
      <c r="AB478" s="206">
        <f t="shared" ref="AB478" si="3990">K478*AA478*$AB$2/1000</f>
        <v>0</v>
      </c>
      <c r="AC478" s="207"/>
      <c r="AD478" s="177">
        <f t="shared" ref="AD478" si="3991">K478*AC478*$AD$2/1000</f>
        <v>0</v>
      </c>
      <c r="AE478" s="207"/>
      <c r="AF478" s="206">
        <f t="shared" ref="AF478" si="3992">K478*AE478*$AF$2/1000</f>
        <v>0</v>
      </c>
      <c r="AG478" s="189">
        <f t="shared" ref="AG478" si="3993">SUM(AA478+AC478+AE478)</f>
        <v>0</v>
      </c>
      <c r="AH478" s="97">
        <f t="shared" ref="AH478" si="3994">SUM(AB478+AD478+AF478)</f>
        <v>0</v>
      </c>
      <c r="AI478" s="97">
        <f t="shared" ref="AI478" si="3995">SUM(Y478+AG478)</f>
        <v>0</v>
      </c>
      <c r="AJ478" s="177">
        <f t="shared" ref="AJ478" si="3996">SUM(Z478,AH478)</f>
        <v>0</v>
      </c>
      <c r="AK478" s="207"/>
      <c r="AL478" s="177">
        <f t="shared" ref="AL478" si="3997">M478*AK478*$AL$2/1000</f>
        <v>0</v>
      </c>
      <c r="AM478" s="245"/>
      <c r="AN478" s="177">
        <f t="shared" ref="AN478" si="3998">M478*AM478*$AN$2/1000</f>
        <v>0</v>
      </c>
      <c r="AO478" s="207"/>
      <c r="AP478" s="206">
        <f t="shared" ref="AP478" si="3999">M478*AO478*$AP$2/1000</f>
        <v>0</v>
      </c>
      <c r="AQ478" s="189">
        <f t="shared" ref="AQ478" si="4000">SUM(AK478+AM478+AO478)</f>
        <v>0</v>
      </c>
      <c r="AR478" s="97">
        <f t="shared" ref="AR478" si="4001">SUM(AL478+AN478+AP478)</f>
        <v>0</v>
      </c>
      <c r="AS478" s="97"/>
      <c r="AT478" s="177">
        <f t="shared" ref="AT478" si="4002">O478*AS478*$AT$2/1000</f>
        <v>0</v>
      </c>
      <c r="AU478" s="207"/>
      <c r="AV478" s="177">
        <f t="shared" ref="AV478" si="4003">O478*AU478*$AV$2/1000</f>
        <v>0</v>
      </c>
      <c r="AW478" s="207"/>
      <c r="AX478" s="206">
        <f t="shared" ref="AX478" si="4004">O478*AW478*$AX$2/1000</f>
        <v>0</v>
      </c>
      <c r="AY478" s="189">
        <f t="shared" ref="AY478" si="4005">SUM(AS478+AU478+AW478)</f>
        <v>0</v>
      </c>
      <c r="AZ478" s="97">
        <f t="shared" ref="AZ478" si="4006">SUM(AT478+AV478+AX478)</f>
        <v>0</v>
      </c>
      <c r="BA478" s="97">
        <f t="shared" ref="BA478" si="4007">SUM(AQ478+AY478)</f>
        <v>0</v>
      </c>
      <c r="BB478" s="97">
        <f t="shared" ref="BB478" si="4008">SUM(AR478,AZ478)</f>
        <v>0</v>
      </c>
    </row>
    <row r="479" spans="1:54" ht="11.25" customHeight="1">
      <c r="A479" s="498">
        <v>320</v>
      </c>
      <c r="B479" s="13"/>
      <c r="C479" s="20"/>
      <c r="D479" s="13"/>
      <c r="E479" s="21" t="s">
        <v>186</v>
      </c>
      <c r="F479" s="22" t="s">
        <v>187</v>
      </c>
      <c r="G479" s="22" t="s">
        <v>1109</v>
      </c>
      <c r="H479" s="268" t="s">
        <v>364</v>
      </c>
      <c r="I479" s="55">
        <v>21.27</v>
      </c>
      <c r="J479" s="102"/>
      <c r="K479" s="55">
        <v>21.27</v>
      </c>
      <c r="L479" s="163"/>
      <c r="M479" s="55">
        <v>21.27</v>
      </c>
      <c r="N479" s="163"/>
      <c r="O479" s="55">
        <v>21.27</v>
      </c>
      <c r="P479" s="102"/>
      <c r="Q479" s="97">
        <f t="shared" si="3905"/>
        <v>0.245</v>
      </c>
      <c r="R479" s="342">
        <f t="shared" si="3906"/>
        <v>6.8885670735</v>
      </c>
      <c r="S479" s="97">
        <v>0.245</v>
      </c>
      <c r="T479" s="97">
        <f t="shared" si="3907"/>
        <v>6.8885670735</v>
      </c>
      <c r="U479" s="97"/>
      <c r="V479" s="177">
        <f t="shared" si="3908"/>
        <v>0</v>
      </c>
      <c r="W479" s="207"/>
      <c r="X479" s="206">
        <f t="shared" si="3909"/>
        <v>0</v>
      </c>
      <c r="Y479" s="189">
        <f t="shared" si="3910"/>
        <v>0.245</v>
      </c>
      <c r="Z479" s="177">
        <f t="shared" si="3911"/>
        <v>6.8885670735</v>
      </c>
      <c r="AA479" s="207"/>
      <c r="AB479" s="206">
        <f t="shared" si="3926"/>
        <v>0</v>
      </c>
      <c r="AC479" s="207"/>
      <c r="AD479" s="177">
        <f t="shared" si="3912"/>
        <v>0</v>
      </c>
      <c r="AE479" s="207"/>
      <c r="AF479" s="206">
        <f t="shared" si="3927"/>
        <v>0</v>
      </c>
      <c r="AG479" s="189">
        <f t="shared" si="3913"/>
        <v>0</v>
      </c>
      <c r="AH479" s="97">
        <f t="shared" si="3914"/>
        <v>0</v>
      </c>
      <c r="AI479" s="97">
        <f t="shared" si="3915"/>
        <v>0.245</v>
      </c>
      <c r="AJ479" s="177">
        <f t="shared" si="3916"/>
        <v>6.8885670735</v>
      </c>
      <c r="AK479" s="207"/>
      <c r="AL479" s="177">
        <f t="shared" si="3917"/>
        <v>0</v>
      </c>
      <c r="AM479" s="245"/>
      <c r="AN479" s="177">
        <f t="shared" si="3918"/>
        <v>0</v>
      </c>
      <c r="AO479" s="207"/>
      <c r="AP479" s="206">
        <f t="shared" si="3928"/>
        <v>0</v>
      </c>
      <c r="AQ479" s="189">
        <f t="shared" si="3919"/>
        <v>0</v>
      </c>
      <c r="AR479" s="97">
        <f t="shared" si="3920"/>
        <v>0</v>
      </c>
      <c r="AS479" s="97"/>
      <c r="AT479" s="177">
        <f t="shared" si="3929"/>
        <v>0</v>
      </c>
      <c r="AU479" s="207"/>
      <c r="AV479" s="177">
        <f t="shared" si="3930"/>
        <v>0</v>
      </c>
      <c r="AW479" s="207"/>
      <c r="AX479" s="206">
        <f t="shared" si="3921"/>
        <v>0</v>
      </c>
      <c r="AY479" s="189">
        <f t="shared" si="3922"/>
        <v>0</v>
      </c>
      <c r="AZ479" s="97">
        <f t="shared" si="3923"/>
        <v>0</v>
      </c>
      <c r="BA479" s="97">
        <f t="shared" si="3924"/>
        <v>0</v>
      </c>
      <c r="BB479" s="97">
        <f t="shared" si="3925"/>
        <v>0</v>
      </c>
    </row>
    <row r="480" spans="1:54">
      <c r="A480" s="498">
        <v>321</v>
      </c>
      <c r="B480" s="13"/>
      <c r="C480" s="20"/>
      <c r="D480" s="13"/>
      <c r="E480" s="21" t="s">
        <v>188</v>
      </c>
      <c r="F480" s="22" t="s">
        <v>189</v>
      </c>
      <c r="G480" s="22" t="s">
        <v>1105</v>
      </c>
      <c r="H480" s="268" t="s">
        <v>364</v>
      </c>
      <c r="I480" s="55">
        <v>9.98</v>
      </c>
      <c r="J480" s="102"/>
      <c r="K480" s="55">
        <v>9.98</v>
      </c>
      <c r="L480" s="163"/>
      <c r="M480" s="55">
        <v>9.98</v>
      </c>
      <c r="N480" s="163"/>
      <c r="O480" s="55">
        <v>9.98</v>
      </c>
      <c r="P480" s="102"/>
      <c r="Q480" s="97">
        <f t="shared" si="3905"/>
        <v>0.11600000000000001</v>
      </c>
      <c r="R480" s="342">
        <f t="shared" si="3906"/>
        <v>1.5303256152000002</v>
      </c>
      <c r="S480" s="97">
        <v>0.11600000000000001</v>
      </c>
      <c r="T480" s="97">
        <f t="shared" si="3907"/>
        <v>1.5303256152000002</v>
      </c>
      <c r="U480" s="97"/>
      <c r="V480" s="177">
        <f t="shared" si="3908"/>
        <v>0</v>
      </c>
      <c r="W480" s="207"/>
      <c r="X480" s="206">
        <f t="shared" si="3909"/>
        <v>0</v>
      </c>
      <c r="Y480" s="189">
        <f t="shared" si="3910"/>
        <v>0.11600000000000001</v>
      </c>
      <c r="Z480" s="177">
        <f t="shared" si="3911"/>
        <v>1.5303256152000002</v>
      </c>
      <c r="AA480" s="207"/>
      <c r="AB480" s="206">
        <f t="shared" si="3926"/>
        <v>0</v>
      </c>
      <c r="AC480" s="207"/>
      <c r="AD480" s="177">
        <f t="shared" si="3912"/>
        <v>0</v>
      </c>
      <c r="AE480" s="207"/>
      <c r="AF480" s="206">
        <f t="shared" si="3927"/>
        <v>0</v>
      </c>
      <c r="AG480" s="189">
        <f t="shared" si="3913"/>
        <v>0</v>
      </c>
      <c r="AH480" s="97">
        <f t="shared" si="3914"/>
        <v>0</v>
      </c>
      <c r="AI480" s="97">
        <f t="shared" si="3915"/>
        <v>0.11600000000000001</v>
      </c>
      <c r="AJ480" s="177">
        <f t="shared" si="3916"/>
        <v>1.5303256152000002</v>
      </c>
      <c r="AK480" s="207"/>
      <c r="AL480" s="177">
        <f t="shared" si="3917"/>
        <v>0</v>
      </c>
      <c r="AM480" s="245"/>
      <c r="AN480" s="177">
        <f t="shared" si="3918"/>
        <v>0</v>
      </c>
      <c r="AO480" s="207"/>
      <c r="AP480" s="206">
        <f>M480*AO480*$AP$2/1000</f>
        <v>0</v>
      </c>
      <c r="AQ480" s="189">
        <f t="shared" si="3919"/>
        <v>0</v>
      </c>
      <c r="AR480" s="97">
        <f t="shared" si="3920"/>
        <v>0</v>
      </c>
      <c r="AS480" s="97"/>
      <c r="AT480" s="177">
        <f t="shared" si="3929"/>
        <v>0</v>
      </c>
      <c r="AU480" s="207"/>
      <c r="AV480" s="177">
        <f t="shared" si="3930"/>
        <v>0</v>
      </c>
      <c r="AW480" s="207"/>
      <c r="AX480" s="206">
        <f t="shared" si="3921"/>
        <v>0</v>
      </c>
      <c r="AY480" s="189">
        <f t="shared" si="3922"/>
        <v>0</v>
      </c>
      <c r="AZ480" s="97">
        <f t="shared" si="3923"/>
        <v>0</v>
      </c>
      <c r="BA480" s="97">
        <f t="shared" si="3924"/>
        <v>0</v>
      </c>
      <c r="BB480" s="97">
        <f t="shared" si="3925"/>
        <v>0</v>
      </c>
    </row>
    <row r="481" spans="1:54">
      <c r="A481" s="498">
        <v>322</v>
      </c>
      <c r="B481" s="13"/>
      <c r="C481" s="20"/>
      <c r="D481" s="13"/>
      <c r="E481" s="21" t="s">
        <v>190</v>
      </c>
      <c r="F481" s="22" t="s">
        <v>191</v>
      </c>
      <c r="G481" s="22" t="s">
        <v>1105</v>
      </c>
      <c r="H481" s="268" t="s">
        <v>364</v>
      </c>
      <c r="I481" s="55">
        <v>9.6300000000000008</v>
      </c>
      <c r="J481" s="102"/>
      <c r="K481" s="55">
        <v>9.6300000000000008</v>
      </c>
      <c r="L481" s="163"/>
      <c r="M481" s="55">
        <v>9.6300000000000008</v>
      </c>
      <c r="N481" s="163"/>
      <c r="O481" s="55">
        <v>9.6300000000000008</v>
      </c>
      <c r="P481" s="102"/>
      <c r="Q481" s="97">
        <f t="shared" si="3905"/>
        <v>0.38400000000000001</v>
      </c>
      <c r="R481" s="342">
        <f t="shared" si="3906"/>
        <v>5.0444066304000001</v>
      </c>
      <c r="S481" s="97"/>
      <c r="T481" s="97">
        <f t="shared" si="3907"/>
        <v>0</v>
      </c>
      <c r="U481" s="97"/>
      <c r="V481" s="177">
        <f t="shared" si="3908"/>
        <v>0</v>
      </c>
      <c r="W481" s="207"/>
      <c r="X481" s="206">
        <f t="shared" si="3909"/>
        <v>0</v>
      </c>
      <c r="Y481" s="189">
        <f t="shared" si="3910"/>
        <v>0</v>
      </c>
      <c r="Z481" s="177">
        <f t="shared" si="3911"/>
        <v>0</v>
      </c>
      <c r="AA481" s="207">
        <v>0.38400000000000001</v>
      </c>
      <c r="AB481" s="206">
        <f t="shared" si="3926"/>
        <v>5.0444066304000001</v>
      </c>
      <c r="AC481" s="207"/>
      <c r="AD481" s="177">
        <f t="shared" si="3912"/>
        <v>0</v>
      </c>
      <c r="AE481" s="207"/>
      <c r="AF481" s="206">
        <f t="shared" si="3927"/>
        <v>0</v>
      </c>
      <c r="AG481" s="189">
        <f t="shared" si="3913"/>
        <v>0.38400000000000001</v>
      </c>
      <c r="AH481" s="97">
        <f t="shared" si="3914"/>
        <v>5.0444066304000001</v>
      </c>
      <c r="AI481" s="97">
        <f t="shared" si="3915"/>
        <v>0.38400000000000001</v>
      </c>
      <c r="AJ481" s="177">
        <f t="shared" si="3916"/>
        <v>5.0444066304000001</v>
      </c>
      <c r="AK481" s="207"/>
      <c r="AL481" s="177">
        <f t="shared" si="3917"/>
        <v>0</v>
      </c>
      <c r="AM481" s="245"/>
      <c r="AN481" s="177">
        <f t="shared" si="3918"/>
        <v>0</v>
      </c>
      <c r="AO481" s="207"/>
      <c r="AP481" s="206">
        <f>M481*AO481*$AP$2/1000</f>
        <v>0</v>
      </c>
      <c r="AQ481" s="189">
        <f t="shared" si="3919"/>
        <v>0</v>
      </c>
      <c r="AR481" s="97">
        <f t="shared" si="3920"/>
        <v>0</v>
      </c>
      <c r="AS481" s="97"/>
      <c r="AT481" s="177">
        <f t="shared" si="3929"/>
        <v>0</v>
      </c>
      <c r="AU481" s="207"/>
      <c r="AV481" s="177">
        <f t="shared" si="3930"/>
        <v>0</v>
      </c>
      <c r="AW481" s="207"/>
      <c r="AX481" s="206">
        <f t="shared" si="3921"/>
        <v>0</v>
      </c>
      <c r="AY481" s="189">
        <f t="shared" si="3922"/>
        <v>0</v>
      </c>
      <c r="AZ481" s="97">
        <f t="shared" si="3923"/>
        <v>0</v>
      </c>
      <c r="BA481" s="97">
        <f t="shared" si="3924"/>
        <v>0</v>
      </c>
      <c r="BB481" s="97">
        <f t="shared" si="3925"/>
        <v>0</v>
      </c>
    </row>
    <row r="482" spans="1:54">
      <c r="A482" s="498">
        <v>323</v>
      </c>
      <c r="B482" s="13"/>
      <c r="C482" s="20"/>
      <c r="D482" s="13"/>
      <c r="E482" s="63" t="s">
        <v>192</v>
      </c>
      <c r="F482" s="64" t="s">
        <v>193</v>
      </c>
      <c r="G482" s="64" t="s">
        <v>1105</v>
      </c>
      <c r="H482" s="284" t="s">
        <v>364</v>
      </c>
      <c r="I482" s="55">
        <v>3.6</v>
      </c>
      <c r="J482" s="102"/>
      <c r="K482" s="55">
        <v>3.6</v>
      </c>
      <c r="L482" s="163"/>
      <c r="M482" s="55">
        <v>3.58</v>
      </c>
      <c r="N482" s="163"/>
      <c r="O482" s="55">
        <v>3.58</v>
      </c>
      <c r="P482" s="102"/>
      <c r="Q482" s="129">
        <f t="shared" si="3905"/>
        <v>17.892000000000003</v>
      </c>
      <c r="R482" s="350">
        <f t="shared" si="3906"/>
        <v>88.386972379200003</v>
      </c>
      <c r="S482" s="129"/>
      <c r="T482" s="129">
        <f t="shared" si="3907"/>
        <v>0</v>
      </c>
      <c r="U482" s="129">
        <v>1.08</v>
      </c>
      <c r="V482" s="184">
        <f t="shared" si="3908"/>
        <v>5.1725952000000008</v>
      </c>
      <c r="W482" s="222"/>
      <c r="X482" s="223">
        <f t="shared" si="3909"/>
        <v>0</v>
      </c>
      <c r="Y482" s="197">
        <f t="shared" si="3910"/>
        <v>1.08</v>
      </c>
      <c r="Z482" s="184">
        <f t="shared" si="3911"/>
        <v>5.1725952000000008</v>
      </c>
      <c r="AA482" s="222">
        <v>2.1240000000000001</v>
      </c>
      <c r="AB482" s="223">
        <f t="shared" si="3926"/>
        <v>10.430607168</v>
      </c>
      <c r="AC482" s="222">
        <v>2.16</v>
      </c>
      <c r="AD482" s="184">
        <f t="shared" si="3912"/>
        <v>10.650242880000002</v>
      </c>
      <c r="AE482" s="222">
        <v>2.16</v>
      </c>
      <c r="AF482" s="206">
        <f t="shared" si="3927"/>
        <v>10.721782080000001</v>
      </c>
      <c r="AG482" s="197">
        <f t="shared" si="3913"/>
        <v>6.4440000000000008</v>
      </c>
      <c r="AH482" s="129">
        <f t="shared" si="3914"/>
        <v>31.802632128000003</v>
      </c>
      <c r="AI482" s="129">
        <f t="shared" si="3915"/>
        <v>7.5240000000000009</v>
      </c>
      <c r="AJ482" s="184">
        <f t="shared" si="3916"/>
        <v>36.975227328000003</v>
      </c>
      <c r="AK482" s="222">
        <v>2.8079999999999998</v>
      </c>
      <c r="AL482" s="184">
        <f t="shared" si="3917"/>
        <v>13.9036053312</v>
      </c>
      <c r="AM482" s="253">
        <v>1.08</v>
      </c>
      <c r="AN482" s="184">
        <f>M482*AM482*$AN$2/1000</f>
        <v>5.2625570400000008</v>
      </c>
      <c r="AO482" s="222">
        <v>1.08</v>
      </c>
      <c r="AP482" s="223">
        <f t="shared" si="3928"/>
        <v>5.1515526960000004</v>
      </c>
      <c r="AQ482" s="197">
        <f t="shared" si="3919"/>
        <v>4.968</v>
      </c>
      <c r="AR482" s="129">
        <f t="shared" si="3920"/>
        <v>24.317715067200002</v>
      </c>
      <c r="AS482" s="129">
        <v>1.08</v>
      </c>
      <c r="AT482" s="184">
        <f t="shared" si="3929"/>
        <v>5.250184560000001</v>
      </c>
      <c r="AU482" s="222">
        <v>1.08</v>
      </c>
      <c r="AV482" s="184">
        <f t="shared" si="3930"/>
        <v>5.3807528880000008</v>
      </c>
      <c r="AW482" s="222">
        <v>3.24</v>
      </c>
      <c r="AX482" s="223">
        <f t="shared" si="3921"/>
        <v>16.463092536000001</v>
      </c>
      <c r="AY482" s="197">
        <f t="shared" si="3922"/>
        <v>5.4</v>
      </c>
      <c r="AZ482" s="129">
        <f t="shared" si="3923"/>
        <v>27.094029984000002</v>
      </c>
      <c r="BA482" s="129">
        <f t="shared" si="3924"/>
        <v>10.368</v>
      </c>
      <c r="BB482" s="129">
        <f t="shared" si="3925"/>
        <v>51.4117450512</v>
      </c>
    </row>
    <row r="483" spans="1:54">
      <c r="A483" s="498">
        <v>324</v>
      </c>
      <c r="B483" s="13"/>
      <c r="C483" s="20"/>
      <c r="D483" s="13"/>
      <c r="E483" s="63" t="s">
        <v>194</v>
      </c>
      <c r="F483" s="64" t="s">
        <v>195</v>
      </c>
      <c r="G483" s="64" t="s">
        <v>1105</v>
      </c>
      <c r="H483" s="284" t="s">
        <v>364</v>
      </c>
      <c r="I483" s="55">
        <v>20.100000000000001</v>
      </c>
      <c r="J483" s="102"/>
      <c r="K483" s="55">
        <v>20.100000000000001</v>
      </c>
      <c r="L483" s="163"/>
      <c r="M483" s="55">
        <v>20.100000000000001</v>
      </c>
      <c r="N483" s="163"/>
      <c r="O483" s="55">
        <v>20.100000000000001</v>
      </c>
      <c r="P483" s="102"/>
      <c r="Q483" s="129">
        <f t="shared" si="3905"/>
        <v>0</v>
      </c>
      <c r="R483" s="350">
        <f t="shared" si="3906"/>
        <v>0</v>
      </c>
      <c r="S483" s="129"/>
      <c r="T483" s="129">
        <f t="shared" si="3907"/>
        <v>0</v>
      </c>
      <c r="U483" s="129"/>
      <c r="V483" s="184">
        <f t="shared" si="3908"/>
        <v>0</v>
      </c>
      <c r="W483" s="222"/>
      <c r="X483" s="223">
        <f t="shared" si="3909"/>
        <v>0</v>
      </c>
      <c r="Y483" s="197">
        <f t="shared" si="3910"/>
        <v>0</v>
      </c>
      <c r="Z483" s="184">
        <f t="shared" si="3911"/>
        <v>0</v>
      </c>
      <c r="AA483" s="222"/>
      <c r="AB483" s="223">
        <f t="shared" si="3926"/>
        <v>0</v>
      </c>
      <c r="AC483" s="222"/>
      <c r="AD483" s="184">
        <f t="shared" si="3912"/>
        <v>0</v>
      </c>
      <c r="AE483" s="222"/>
      <c r="AF483" s="206">
        <f t="shared" si="3927"/>
        <v>0</v>
      </c>
      <c r="AG483" s="197">
        <f t="shared" si="3913"/>
        <v>0</v>
      </c>
      <c r="AH483" s="129">
        <f t="shared" si="3914"/>
        <v>0</v>
      </c>
      <c r="AI483" s="129">
        <f t="shared" si="3915"/>
        <v>0</v>
      </c>
      <c r="AJ483" s="184">
        <f t="shared" si="3916"/>
        <v>0</v>
      </c>
      <c r="AK483" s="222"/>
      <c r="AL483" s="184">
        <f t="shared" si="3917"/>
        <v>0</v>
      </c>
      <c r="AM483" s="253"/>
      <c r="AN483" s="184">
        <f t="shared" si="3918"/>
        <v>0</v>
      </c>
      <c r="AO483" s="222"/>
      <c r="AP483" s="223">
        <f t="shared" si="3928"/>
        <v>0</v>
      </c>
      <c r="AQ483" s="197">
        <f t="shared" si="3919"/>
        <v>0</v>
      </c>
      <c r="AR483" s="129">
        <f t="shared" si="3920"/>
        <v>0</v>
      </c>
      <c r="AS483" s="129"/>
      <c r="AT483" s="184">
        <f t="shared" si="3929"/>
        <v>0</v>
      </c>
      <c r="AU483" s="222"/>
      <c r="AV483" s="184">
        <f t="shared" si="3930"/>
        <v>0</v>
      </c>
      <c r="AW483" s="222"/>
      <c r="AX483" s="223">
        <f t="shared" si="3921"/>
        <v>0</v>
      </c>
      <c r="AY483" s="197">
        <f t="shared" si="3922"/>
        <v>0</v>
      </c>
      <c r="AZ483" s="129">
        <f t="shared" si="3923"/>
        <v>0</v>
      </c>
      <c r="BA483" s="129">
        <f t="shared" si="3924"/>
        <v>0</v>
      </c>
      <c r="BB483" s="129">
        <f t="shared" si="3925"/>
        <v>0</v>
      </c>
    </row>
    <row r="484" spans="1:54">
      <c r="A484" s="498">
        <v>325</v>
      </c>
      <c r="B484" s="13"/>
      <c r="C484" s="20"/>
      <c r="D484" s="13"/>
      <c r="E484" s="21" t="s">
        <v>876</v>
      </c>
      <c r="F484" s="423" t="s">
        <v>877</v>
      </c>
      <c r="G484" s="64" t="s">
        <v>1106</v>
      </c>
      <c r="H484" s="268" t="s">
        <v>364</v>
      </c>
      <c r="I484" s="55">
        <v>20</v>
      </c>
      <c r="J484" s="102"/>
      <c r="K484" s="55">
        <v>20</v>
      </c>
      <c r="L484" s="163"/>
      <c r="M484" s="55">
        <v>20</v>
      </c>
      <c r="N484" s="163"/>
      <c r="O484" s="55">
        <v>20</v>
      </c>
      <c r="P484" s="102"/>
      <c r="Q484" s="97">
        <f t="shared" si="3905"/>
        <v>0</v>
      </c>
      <c r="R484" s="342">
        <f t="shared" si="3906"/>
        <v>0</v>
      </c>
      <c r="S484" s="97"/>
      <c r="T484" s="97">
        <f t="shared" si="3907"/>
        <v>0</v>
      </c>
      <c r="U484" s="97"/>
      <c r="V484" s="177">
        <f t="shared" si="3908"/>
        <v>0</v>
      </c>
      <c r="W484" s="207"/>
      <c r="X484" s="206">
        <f t="shared" si="3909"/>
        <v>0</v>
      </c>
      <c r="Y484" s="189">
        <f t="shared" si="3910"/>
        <v>0</v>
      </c>
      <c r="Z484" s="177">
        <f t="shared" si="3911"/>
        <v>0</v>
      </c>
      <c r="AA484" s="207"/>
      <c r="AB484" s="206">
        <f t="shared" si="3926"/>
        <v>0</v>
      </c>
      <c r="AC484" s="207"/>
      <c r="AD484" s="177">
        <f t="shared" si="3912"/>
        <v>0</v>
      </c>
      <c r="AE484" s="207"/>
      <c r="AF484" s="206">
        <f t="shared" si="3927"/>
        <v>0</v>
      </c>
      <c r="AG484" s="189">
        <f t="shared" si="3913"/>
        <v>0</v>
      </c>
      <c r="AH484" s="97">
        <f t="shared" si="3914"/>
        <v>0</v>
      </c>
      <c r="AI484" s="97">
        <f t="shared" si="3915"/>
        <v>0</v>
      </c>
      <c r="AJ484" s="177">
        <f t="shared" si="3916"/>
        <v>0</v>
      </c>
      <c r="AK484" s="207"/>
      <c r="AL484" s="177">
        <f t="shared" si="3917"/>
        <v>0</v>
      </c>
      <c r="AM484" s="245"/>
      <c r="AN484" s="177">
        <f>M484*AM484*$AN$2/1000</f>
        <v>0</v>
      </c>
      <c r="AO484" s="207"/>
      <c r="AP484" s="206">
        <f>M484*AO484*$AP$2/1000</f>
        <v>0</v>
      </c>
      <c r="AQ484" s="189">
        <f t="shared" si="3919"/>
        <v>0</v>
      </c>
      <c r="AR484" s="97">
        <f t="shared" si="3920"/>
        <v>0</v>
      </c>
      <c r="AS484" s="97"/>
      <c r="AT484" s="177">
        <f t="shared" si="3929"/>
        <v>0</v>
      </c>
      <c r="AU484" s="207"/>
      <c r="AV484" s="177">
        <f t="shared" si="3930"/>
        <v>0</v>
      </c>
      <c r="AW484" s="207"/>
      <c r="AX484" s="206">
        <f t="shared" si="3921"/>
        <v>0</v>
      </c>
      <c r="AY484" s="189">
        <f t="shared" si="3922"/>
        <v>0</v>
      </c>
      <c r="AZ484" s="97">
        <f t="shared" si="3923"/>
        <v>0</v>
      </c>
      <c r="BA484" s="97">
        <f t="shared" si="3924"/>
        <v>0</v>
      </c>
      <c r="BB484" s="97">
        <f t="shared" si="3925"/>
        <v>0</v>
      </c>
    </row>
    <row r="485" spans="1:54">
      <c r="A485" s="498">
        <v>326</v>
      </c>
      <c r="B485" s="13"/>
      <c r="C485" s="20"/>
      <c r="D485" s="13"/>
      <c r="E485" s="21" t="s">
        <v>797</v>
      </c>
      <c r="F485" s="64" t="s">
        <v>796</v>
      </c>
      <c r="G485" s="64" t="s">
        <v>1105</v>
      </c>
      <c r="H485" s="268" t="s">
        <v>364</v>
      </c>
      <c r="I485" s="55">
        <v>26.29</v>
      </c>
      <c r="J485" s="102"/>
      <c r="K485" s="55">
        <v>26.29</v>
      </c>
      <c r="L485" s="163"/>
      <c r="M485" s="55">
        <v>25.49</v>
      </c>
      <c r="N485" s="163"/>
      <c r="O485" s="55">
        <v>25.49</v>
      </c>
      <c r="P485" s="102"/>
      <c r="Q485" s="97">
        <f t="shared" ref="Q485" si="4009">SUM(AI485+BA485)</f>
        <v>29.96</v>
      </c>
      <c r="R485" s="342">
        <f t="shared" ref="R485" si="4010">SUM(AJ485+BB485)</f>
        <v>1057.9458783591999</v>
      </c>
      <c r="S485" s="97">
        <v>0.752</v>
      </c>
      <c r="T485" s="97">
        <f t="shared" ref="T485" si="4011">I485*S485*$T$2/1000</f>
        <v>26.133871051200003</v>
      </c>
      <c r="U485" s="97">
        <v>2.3679999999999999</v>
      </c>
      <c r="V485" s="177">
        <f t="shared" ref="V485" si="4012">I485*U485*$V$2/1000</f>
        <v>82.823679487999996</v>
      </c>
      <c r="W485" s="207">
        <v>1.8720000000000001</v>
      </c>
      <c r="X485" s="206">
        <f t="shared" ref="X485" si="4013">I485*W485*$X$2/1000</f>
        <v>65.485319328000003</v>
      </c>
      <c r="Y485" s="189">
        <f t="shared" ref="Y485" si="4014">SUM(S485+U485+W485)</f>
        <v>4.992</v>
      </c>
      <c r="Z485" s="177">
        <f t="shared" ref="Z485" si="4015">SUM(T485+V485+X485)</f>
        <v>174.44286986719999</v>
      </c>
      <c r="AA485" s="207">
        <v>1.5840000000000001</v>
      </c>
      <c r="AB485" s="206">
        <f t="shared" ref="AB485" si="4016">K485*AA485*$AB$2/1000</f>
        <v>56.806540243199997</v>
      </c>
      <c r="AC485" s="207">
        <v>3.1280000000000001</v>
      </c>
      <c r="AD485" s="177">
        <f t="shared" ref="AD485" si="4017">K485*AC485*$AD$2/1000</f>
        <v>112.6316874056</v>
      </c>
      <c r="AE485" s="207">
        <v>4.4640000000000004</v>
      </c>
      <c r="AF485" s="206">
        <f t="shared" ref="AF485" si="4018">K485*AE485*$AF$2/1000</f>
        <v>161.81750328480001</v>
      </c>
      <c r="AG485" s="189">
        <f t="shared" ref="AG485" si="4019">SUM(AA485+AC485+AE485)</f>
        <v>9.1760000000000002</v>
      </c>
      <c r="AH485" s="97">
        <f t="shared" ref="AH485" si="4020">SUM(AB485+AD485+AF485)</f>
        <v>331.25573093360003</v>
      </c>
      <c r="AI485" s="97">
        <f t="shared" ref="AI485" si="4021">SUM(Y485+AG485)</f>
        <v>14.167999999999999</v>
      </c>
      <c r="AJ485" s="177">
        <f t="shared" ref="AJ485" si="4022">SUM(Z485,AH485)</f>
        <v>505.69860080080002</v>
      </c>
      <c r="AK485" s="207">
        <v>7.2</v>
      </c>
      <c r="AL485" s="177">
        <f t="shared" ref="AL485" si="4023">M485*AK485*$AL$2/1000</f>
        <v>253.83390623999998</v>
      </c>
      <c r="AM485" s="245">
        <v>2.5920000000000001</v>
      </c>
      <c r="AN485" s="177">
        <f>M485*AM485*$AN$2/1000</f>
        <v>89.927985887999995</v>
      </c>
      <c r="AO485" s="207">
        <v>2.16</v>
      </c>
      <c r="AP485" s="206">
        <f>M485*AO485*$AP$2/1000</f>
        <v>73.359261576000009</v>
      </c>
      <c r="AQ485" s="189">
        <f t="shared" ref="AQ485" si="4024">SUM(AK485+AM485+AO485)</f>
        <v>11.952</v>
      </c>
      <c r="AR485" s="97">
        <f t="shared" ref="AR485" si="4025">SUM(AL485+AN485+AP485)</f>
        <v>417.12115370399999</v>
      </c>
      <c r="AS485" s="97">
        <v>1.5840000000000001</v>
      </c>
      <c r="AT485" s="177">
        <f t="shared" ref="AT485" si="4026">O485*AS485*$AT$2/1000</f>
        <v>54.826787664000001</v>
      </c>
      <c r="AU485" s="207">
        <v>1.8720000000000001</v>
      </c>
      <c r="AV485" s="177">
        <f t="shared" ref="AV485" si="4027">O485*AU485*$AV$2/1000</f>
        <v>66.406707057600016</v>
      </c>
      <c r="AW485" s="207">
        <v>0.38400000000000001</v>
      </c>
      <c r="AX485" s="206">
        <f t="shared" ref="AX485" si="4028">O485*AW485*$AX$2/1000</f>
        <v>13.892629132799998</v>
      </c>
      <c r="AY485" s="189">
        <f t="shared" ref="AY485" si="4029">SUM(AS485+AU485+AW485)</f>
        <v>3.8400000000000003</v>
      </c>
      <c r="AZ485" s="97">
        <f t="shared" ref="AZ485" si="4030">SUM(AT485+AV485+AX485)</f>
        <v>135.12612385440002</v>
      </c>
      <c r="BA485" s="97">
        <f t="shared" ref="BA485" si="4031">SUM(AQ485+AY485)</f>
        <v>15.792</v>
      </c>
      <c r="BB485" s="97">
        <f t="shared" ref="BB485" si="4032">SUM(AR485,AZ485)</f>
        <v>552.24727755840001</v>
      </c>
    </row>
    <row r="486" spans="1:54">
      <c r="A486" s="498">
        <v>327</v>
      </c>
      <c r="B486" s="13"/>
      <c r="C486" s="20"/>
      <c r="D486" s="24"/>
      <c r="E486" s="51" t="s">
        <v>196</v>
      </c>
      <c r="F486" s="65" t="s">
        <v>197</v>
      </c>
      <c r="G486" s="65" t="s">
        <v>1105</v>
      </c>
      <c r="H486" s="275" t="s">
        <v>364</v>
      </c>
      <c r="I486" s="55">
        <v>9.75</v>
      </c>
      <c r="J486" s="102"/>
      <c r="K486" s="55">
        <v>9.75</v>
      </c>
      <c r="L486" s="163"/>
      <c r="M486" s="55">
        <v>9.75</v>
      </c>
      <c r="N486" s="163"/>
      <c r="O486" s="55">
        <v>9.75</v>
      </c>
      <c r="P486" s="102"/>
      <c r="Q486" s="95">
        <f t="shared" si="3905"/>
        <v>0</v>
      </c>
      <c r="R486" s="343">
        <f t="shared" si="3906"/>
        <v>0</v>
      </c>
      <c r="S486" s="95"/>
      <c r="T486" s="95">
        <f>I486*S486*$T$2/1000</f>
        <v>0</v>
      </c>
      <c r="U486" s="95"/>
      <c r="V486" s="181">
        <f t="shared" si="3908"/>
        <v>0</v>
      </c>
      <c r="W486" s="214"/>
      <c r="X486" s="215">
        <f t="shared" si="3909"/>
        <v>0</v>
      </c>
      <c r="Y486" s="193">
        <f t="shared" si="3910"/>
        <v>0</v>
      </c>
      <c r="Z486" s="181">
        <f t="shared" si="3911"/>
        <v>0</v>
      </c>
      <c r="AA486" s="214"/>
      <c r="AB486" s="215">
        <f t="shared" si="3926"/>
        <v>0</v>
      </c>
      <c r="AC486" s="214"/>
      <c r="AD486" s="181">
        <f t="shared" si="3912"/>
        <v>0</v>
      </c>
      <c r="AE486" s="214"/>
      <c r="AF486" s="206">
        <f t="shared" si="3927"/>
        <v>0</v>
      </c>
      <c r="AG486" s="193">
        <f t="shared" si="3913"/>
        <v>0</v>
      </c>
      <c r="AH486" s="95">
        <f t="shared" si="3914"/>
        <v>0</v>
      </c>
      <c r="AI486" s="95">
        <f t="shared" si="3915"/>
        <v>0</v>
      </c>
      <c r="AJ486" s="181">
        <f t="shared" si="3916"/>
        <v>0</v>
      </c>
      <c r="AK486" s="214"/>
      <c r="AL486" s="181">
        <f t="shared" si="3917"/>
        <v>0</v>
      </c>
      <c r="AM486" s="249"/>
      <c r="AN486" s="181">
        <f t="shared" si="3918"/>
        <v>0</v>
      </c>
      <c r="AO486" s="214"/>
      <c r="AP486" s="215">
        <f t="shared" si="3928"/>
        <v>0</v>
      </c>
      <c r="AQ486" s="193">
        <f t="shared" si="3919"/>
        <v>0</v>
      </c>
      <c r="AR486" s="95">
        <f t="shared" si="3920"/>
        <v>0</v>
      </c>
      <c r="AS486" s="95"/>
      <c r="AT486" s="181">
        <f t="shared" si="3929"/>
        <v>0</v>
      </c>
      <c r="AU486" s="214"/>
      <c r="AV486" s="181">
        <f t="shared" si="3930"/>
        <v>0</v>
      </c>
      <c r="AW486" s="214"/>
      <c r="AX486" s="215">
        <f t="shared" si="3921"/>
        <v>0</v>
      </c>
      <c r="AY486" s="193">
        <f t="shared" si="3922"/>
        <v>0</v>
      </c>
      <c r="AZ486" s="95">
        <f t="shared" si="3923"/>
        <v>0</v>
      </c>
      <c r="BA486" s="95">
        <f t="shared" si="3924"/>
        <v>0</v>
      </c>
      <c r="BB486" s="95">
        <f t="shared" si="3925"/>
        <v>0</v>
      </c>
    </row>
    <row r="487" spans="1:54">
      <c r="A487" s="498">
        <v>328</v>
      </c>
      <c r="B487" s="13"/>
      <c r="C487" s="27" t="s">
        <v>135</v>
      </c>
      <c r="D487" s="28"/>
      <c r="E487" s="28"/>
      <c r="F487" s="28"/>
      <c r="G487" s="28"/>
      <c r="H487" s="272"/>
      <c r="I487" s="66"/>
      <c r="J487" s="106"/>
      <c r="K487" s="66"/>
      <c r="L487" s="165"/>
      <c r="M487" s="66"/>
      <c r="N487" s="165"/>
      <c r="O487" s="149"/>
      <c r="P487" s="106"/>
      <c r="Q487" s="121">
        <f>SUM(Q463:Q486)</f>
        <v>98.731999999999999</v>
      </c>
      <c r="R487" s="121">
        <f t="shared" ref="R487:BB487" si="4033">SUM(R463:R486)</f>
        <v>2198.1215975077002</v>
      </c>
      <c r="S487" s="121">
        <f t="shared" si="4033"/>
        <v>1.5219999999999998</v>
      </c>
      <c r="T487" s="121">
        <f t="shared" si="4033"/>
        <v>39.538007496900008</v>
      </c>
      <c r="U487" s="121">
        <f t="shared" si="4033"/>
        <v>5.1120000000000001</v>
      </c>
      <c r="V487" s="121">
        <f t="shared" si="4033"/>
        <v>104.90619084799999</v>
      </c>
      <c r="W487" s="121">
        <f t="shared" si="4033"/>
        <v>3.516</v>
      </c>
      <c r="X487" s="121">
        <f t="shared" si="4033"/>
        <v>93.373630848000005</v>
      </c>
      <c r="Y487" s="121">
        <f t="shared" si="4033"/>
        <v>10.149999999999999</v>
      </c>
      <c r="Z487" s="121">
        <f t="shared" si="4033"/>
        <v>237.81782919289998</v>
      </c>
      <c r="AA487" s="121">
        <f>SUM(AA463:AA486)</f>
        <v>10.151999999999999</v>
      </c>
      <c r="AB487" s="121">
        <f t="shared" si="4033"/>
        <v>188.74439033760001</v>
      </c>
      <c r="AC487" s="121">
        <f t="shared" si="4033"/>
        <v>13.016</v>
      </c>
      <c r="AD487" s="121">
        <f t="shared" si="4033"/>
        <v>310.52569114160002</v>
      </c>
      <c r="AE487" s="121">
        <f>SUM(AE463:AE486)</f>
        <v>12.216000000000001</v>
      </c>
      <c r="AF487" s="121">
        <f>SUM(AF463:AF486)</f>
        <v>298.29354515279999</v>
      </c>
      <c r="AG487" s="121">
        <f>SUM(AG463:AG486)</f>
        <v>35.384</v>
      </c>
      <c r="AH487" s="121">
        <f t="shared" si="4033"/>
        <v>797.56362663200002</v>
      </c>
      <c r="AI487" s="121">
        <f>SUM(AI463:AI486)</f>
        <v>45.534000000000006</v>
      </c>
      <c r="AJ487" s="121">
        <f t="shared" si="4033"/>
        <v>1035.3814558249001</v>
      </c>
      <c r="AK487" s="121">
        <f t="shared" si="4033"/>
        <v>15.048</v>
      </c>
      <c r="AL487" s="121">
        <f t="shared" si="4033"/>
        <v>395.5490408352</v>
      </c>
      <c r="AM487" s="121">
        <f t="shared" si="4033"/>
        <v>8.1120000000000001</v>
      </c>
      <c r="AN487" s="121">
        <f t="shared" si="4033"/>
        <v>160.53003953999999</v>
      </c>
      <c r="AO487" s="121">
        <f t="shared" si="4033"/>
        <v>9.9600000000000009</v>
      </c>
      <c r="AP487" s="121">
        <f t="shared" si="4033"/>
        <v>207.09241837920001</v>
      </c>
      <c r="AQ487" s="121">
        <f t="shared" si="4033"/>
        <v>33.119999999999997</v>
      </c>
      <c r="AR487" s="121">
        <f t="shared" si="4033"/>
        <v>763.17149875440009</v>
      </c>
      <c r="AS487" s="121">
        <f t="shared" si="4033"/>
        <v>5.9759999999999991</v>
      </c>
      <c r="AT487" s="121">
        <f t="shared" si="4033"/>
        <v>141.120137712</v>
      </c>
      <c r="AU487" s="121">
        <f t="shared" si="4033"/>
        <v>7.4740000000000002</v>
      </c>
      <c r="AV487" s="121">
        <f t="shared" si="4033"/>
        <v>179.76630024360003</v>
      </c>
      <c r="AW487" s="121">
        <f t="shared" si="4033"/>
        <v>6.6280000000000001</v>
      </c>
      <c r="AX487" s="121">
        <f t="shared" si="4033"/>
        <v>78.682204972799994</v>
      </c>
      <c r="AY487" s="121">
        <f t="shared" si="4033"/>
        <v>20.077999999999999</v>
      </c>
      <c r="AZ487" s="121">
        <f t="shared" si="4033"/>
        <v>399.56864292840004</v>
      </c>
      <c r="BA487" s="121">
        <f t="shared" si="4033"/>
        <v>53.198000000000008</v>
      </c>
      <c r="BB487" s="121">
        <f t="shared" si="4033"/>
        <v>1162.7401416828</v>
      </c>
    </row>
    <row r="488" spans="1:54">
      <c r="A488" s="498">
        <v>329</v>
      </c>
      <c r="B488" s="13"/>
      <c r="C488" s="308" t="s">
        <v>427</v>
      </c>
      <c r="D488" s="53" t="s">
        <v>163</v>
      </c>
      <c r="E488" s="21" t="s">
        <v>198</v>
      </c>
      <c r="F488" s="22" t="s">
        <v>199</v>
      </c>
      <c r="G488" s="22" t="s">
        <v>1105</v>
      </c>
      <c r="H488" s="268" t="s">
        <v>364</v>
      </c>
      <c r="I488" s="55">
        <v>8.77</v>
      </c>
      <c r="J488" s="102"/>
      <c r="K488" s="55">
        <v>8.77</v>
      </c>
      <c r="L488" s="163"/>
      <c r="M488" s="55">
        <v>8.77</v>
      </c>
      <c r="N488" s="163"/>
      <c r="O488" s="55">
        <v>8.77</v>
      </c>
      <c r="P488" s="102"/>
      <c r="Q488" s="97">
        <f t="shared" ref="Q488:Q506" si="4034">SUM(AI488+BA488)</f>
        <v>0</v>
      </c>
      <c r="R488" s="342">
        <f t="shared" ref="R488:R506" si="4035">SUM(AJ488+BB488)</f>
        <v>0</v>
      </c>
      <c r="S488" s="97"/>
      <c r="T488" s="97">
        <f t="shared" ref="T488:T506" si="4036">I488*S488*$T$2/1000</f>
        <v>0</v>
      </c>
      <c r="U488" s="97"/>
      <c r="V488" s="177">
        <f t="shared" ref="V488:V506" si="4037">I488*U488*$V$2/1000</f>
        <v>0</v>
      </c>
      <c r="W488" s="207"/>
      <c r="X488" s="206">
        <f t="shared" ref="X488:X506" si="4038">I488*W488*$X$2/1000</f>
        <v>0</v>
      </c>
      <c r="Y488" s="189">
        <f t="shared" ref="Y488:Y506" si="4039">SUM(S488+U488+W488)</f>
        <v>0</v>
      </c>
      <c r="Z488" s="177">
        <f t="shared" ref="Z488:Z506" si="4040">SUM(T488+V488+X488)</f>
        <v>0</v>
      </c>
      <c r="AA488" s="207"/>
      <c r="AB488" s="206">
        <f t="shared" ref="AB488:AB506" si="4041">K488*AA488*$AB$2/1000</f>
        <v>0</v>
      </c>
      <c r="AC488" s="207"/>
      <c r="AD488" s="177">
        <f t="shared" ref="AD488:AD506" si="4042">K488*AC488*$AD$2/1000</f>
        <v>0</v>
      </c>
      <c r="AE488" s="207"/>
      <c r="AF488" s="206">
        <f>K488*AE488*$AF$2/1000</f>
        <v>0</v>
      </c>
      <c r="AG488" s="189">
        <f t="shared" ref="AG488:AG506" si="4043">SUM(AA488+AC488+AE488)</f>
        <v>0</v>
      </c>
      <c r="AH488" s="97">
        <f t="shared" ref="AH488:AH506" si="4044">SUM(AB488+AD488+AF488)</f>
        <v>0</v>
      </c>
      <c r="AI488" s="97">
        <f t="shared" ref="AI488:AI506" si="4045">SUM(Y488+AG488)</f>
        <v>0</v>
      </c>
      <c r="AJ488" s="177">
        <f t="shared" ref="AJ488:AJ506" si="4046">SUM(Z488,AH488)</f>
        <v>0</v>
      </c>
      <c r="AK488" s="207"/>
      <c r="AL488" s="177">
        <f t="shared" ref="AL488:AL506" si="4047">M488*AK488*$AL$2/1000</f>
        <v>0</v>
      </c>
      <c r="AM488" s="245"/>
      <c r="AN488" s="177">
        <f t="shared" ref="AN488:AN506" si="4048">M488*AM488*$AN$2/1000</f>
        <v>0</v>
      </c>
      <c r="AO488" s="207"/>
      <c r="AP488" s="206">
        <f>M488*AO488*$AP$2/1000</f>
        <v>0</v>
      </c>
      <c r="AQ488" s="189">
        <f t="shared" ref="AQ488:AQ506" si="4049">SUM(AK488+AM488+AO488)</f>
        <v>0</v>
      </c>
      <c r="AR488" s="97">
        <f t="shared" ref="AR488:AR506" si="4050">SUM(AL488+AN488+AP488)</f>
        <v>0</v>
      </c>
      <c r="AS488" s="97"/>
      <c r="AT488" s="177">
        <f t="shared" ref="AT488:AT506" si="4051">O488*AS488*$AT$2/1000</f>
        <v>0</v>
      </c>
      <c r="AU488" s="207"/>
      <c r="AV488" s="177">
        <f t="shared" ref="AV488:AV506" si="4052">O488*AU488*$AV$2/1000</f>
        <v>0</v>
      </c>
      <c r="AW488" s="207"/>
      <c r="AX488" s="206">
        <f t="shared" ref="AX488:AX506" si="4053">O488*AW488*$AX$2/1000</f>
        <v>0</v>
      </c>
      <c r="AY488" s="189">
        <f t="shared" ref="AY488:AY506" si="4054">SUM(AS488+AU488+AW488)</f>
        <v>0</v>
      </c>
      <c r="AZ488" s="97">
        <f t="shared" ref="AZ488:AZ506" si="4055">SUM(AT488+AV488+AX488)</f>
        <v>0</v>
      </c>
      <c r="BA488" s="97">
        <f t="shared" ref="BA488:BA506" si="4056">SUM(AQ488+AY488)</f>
        <v>0</v>
      </c>
      <c r="BB488" s="97">
        <f t="shared" ref="BB488:BB506" si="4057">SUM(AR488,AZ488)</f>
        <v>0</v>
      </c>
    </row>
    <row r="489" spans="1:54">
      <c r="A489" s="498">
        <v>330</v>
      </c>
      <c r="B489" s="13"/>
      <c r="C489" s="20"/>
      <c r="D489" s="13"/>
      <c r="E489" s="63" t="s">
        <v>200</v>
      </c>
      <c r="F489" s="64" t="s">
        <v>201</v>
      </c>
      <c r="G489" s="64" t="s">
        <v>1105</v>
      </c>
      <c r="H489" s="284" t="s">
        <v>364</v>
      </c>
      <c r="I489" s="67">
        <v>9.67</v>
      </c>
      <c r="J489" s="107"/>
      <c r="K489" s="67">
        <v>9.67</v>
      </c>
      <c r="L489" s="166"/>
      <c r="M489" s="67">
        <v>9.24</v>
      </c>
      <c r="N489" s="166"/>
      <c r="O489" s="67">
        <v>9.24</v>
      </c>
      <c r="P489" s="107"/>
      <c r="Q489" s="129">
        <f t="shared" si="4034"/>
        <v>23.200000000000003</v>
      </c>
      <c r="R489" s="350">
        <f t="shared" si="4035"/>
        <v>299.382628608</v>
      </c>
      <c r="S489" s="129">
        <v>1.1200000000000001</v>
      </c>
      <c r="T489" s="129">
        <f t="shared" si="4036"/>
        <v>14.316597456000004</v>
      </c>
      <c r="U489" s="129">
        <v>1.68</v>
      </c>
      <c r="V489" s="184">
        <f t="shared" si="4037"/>
        <v>21.613146240000003</v>
      </c>
      <c r="W489" s="222">
        <v>1.1200000000000001</v>
      </c>
      <c r="X489" s="223">
        <f t="shared" si="4038"/>
        <v>14.410930239999999</v>
      </c>
      <c r="Y489" s="197">
        <f t="shared" si="4039"/>
        <v>3.92</v>
      </c>
      <c r="Z489" s="184">
        <f t="shared" si="4040"/>
        <v>50.340673936000002</v>
      </c>
      <c r="AA489" s="222">
        <v>1.1200000000000001</v>
      </c>
      <c r="AB489" s="223">
        <f t="shared" si="4041"/>
        <v>14.773965248</v>
      </c>
      <c r="AC489" s="222">
        <v>3.36</v>
      </c>
      <c r="AD489" s="184">
        <f t="shared" si="4042"/>
        <v>44.500922256000003</v>
      </c>
      <c r="AE489" s="222">
        <v>2.2400000000000002</v>
      </c>
      <c r="AF489" s="206">
        <f t="shared" ref="AF489:AF506" si="4058">K489*AE489*$AF$2/1000</f>
        <v>29.866560864</v>
      </c>
      <c r="AG489" s="197">
        <f t="shared" si="4043"/>
        <v>6.7200000000000006</v>
      </c>
      <c r="AH489" s="129">
        <f t="shared" si="4044"/>
        <v>89.141448367999999</v>
      </c>
      <c r="AI489" s="129">
        <f t="shared" si="4045"/>
        <v>10.64</v>
      </c>
      <c r="AJ489" s="184">
        <f t="shared" si="4046"/>
        <v>139.482122304</v>
      </c>
      <c r="AK489" s="222">
        <v>2.2400000000000002</v>
      </c>
      <c r="AL489" s="184">
        <f t="shared" si="4047"/>
        <v>28.626436607999999</v>
      </c>
      <c r="AM489" s="253">
        <v>1.52</v>
      </c>
      <c r="AN489" s="184">
        <f t="shared" si="4048"/>
        <v>19.116377280000002</v>
      </c>
      <c r="AO489" s="222">
        <v>0.96</v>
      </c>
      <c r="AP489" s="223">
        <f>M489*AO489*$AP$2/1000</f>
        <v>11.818832256000002</v>
      </c>
      <c r="AQ489" s="197">
        <f t="shared" si="4049"/>
        <v>4.7200000000000006</v>
      </c>
      <c r="AR489" s="129">
        <f t="shared" si="4050"/>
        <v>59.561646144000001</v>
      </c>
      <c r="AS489" s="129">
        <v>3.36</v>
      </c>
      <c r="AT489" s="184">
        <f t="shared" si="4051"/>
        <v>42.157906560000001</v>
      </c>
      <c r="AU489" s="222">
        <v>2.2400000000000002</v>
      </c>
      <c r="AV489" s="184">
        <f t="shared" si="4052"/>
        <v>28.804228992000002</v>
      </c>
      <c r="AW489" s="222">
        <v>2.2400000000000002</v>
      </c>
      <c r="AX489" s="223">
        <f t="shared" si="4053"/>
        <v>29.376724608</v>
      </c>
      <c r="AY489" s="197">
        <f t="shared" si="4054"/>
        <v>7.84</v>
      </c>
      <c r="AZ489" s="129">
        <f t="shared" si="4055"/>
        <v>100.33886016000001</v>
      </c>
      <c r="BA489" s="129">
        <f t="shared" si="4056"/>
        <v>12.56</v>
      </c>
      <c r="BB489" s="129">
        <f t="shared" si="4057"/>
        <v>159.900506304</v>
      </c>
    </row>
    <row r="490" spans="1:54">
      <c r="A490" s="498">
        <v>331</v>
      </c>
      <c r="B490" s="13"/>
      <c r="C490" s="20"/>
      <c r="D490" s="13"/>
      <c r="E490" s="63" t="s">
        <v>202</v>
      </c>
      <c r="F490" s="64" t="s">
        <v>203</v>
      </c>
      <c r="G490" s="64" t="s">
        <v>1105</v>
      </c>
      <c r="H490" s="284" t="s">
        <v>364</v>
      </c>
      <c r="I490" s="67">
        <v>12</v>
      </c>
      <c r="J490" s="107"/>
      <c r="K490" s="67">
        <v>12</v>
      </c>
      <c r="L490" s="166"/>
      <c r="M490" s="67">
        <v>12</v>
      </c>
      <c r="N490" s="166"/>
      <c r="O490" s="67">
        <v>12</v>
      </c>
      <c r="P490" s="107"/>
      <c r="Q490" s="129">
        <f t="shared" si="4034"/>
        <v>0</v>
      </c>
      <c r="R490" s="350">
        <f t="shared" si="4035"/>
        <v>0</v>
      </c>
      <c r="S490" s="129"/>
      <c r="T490" s="129">
        <f t="shared" si="4036"/>
        <v>0</v>
      </c>
      <c r="U490" s="129"/>
      <c r="V490" s="184">
        <f t="shared" si="4037"/>
        <v>0</v>
      </c>
      <c r="W490" s="222"/>
      <c r="X490" s="223">
        <f t="shared" si="4038"/>
        <v>0</v>
      </c>
      <c r="Y490" s="197">
        <f t="shared" si="4039"/>
        <v>0</v>
      </c>
      <c r="Z490" s="184">
        <f t="shared" si="4040"/>
        <v>0</v>
      </c>
      <c r="AA490" s="222"/>
      <c r="AB490" s="223">
        <f t="shared" si="4041"/>
        <v>0</v>
      </c>
      <c r="AC490" s="222"/>
      <c r="AD490" s="184">
        <f t="shared" si="4042"/>
        <v>0</v>
      </c>
      <c r="AE490" s="222"/>
      <c r="AF490" s="206">
        <f t="shared" si="4058"/>
        <v>0</v>
      </c>
      <c r="AG490" s="197">
        <f t="shared" si="4043"/>
        <v>0</v>
      </c>
      <c r="AH490" s="129">
        <f t="shared" si="4044"/>
        <v>0</v>
      </c>
      <c r="AI490" s="129">
        <f t="shared" si="4045"/>
        <v>0</v>
      </c>
      <c r="AJ490" s="184">
        <f t="shared" si="4046"/>
        <v>0</v>
      </c>
      <c r="AK490" s="222"/>
      <c r="AL490" s="184">
        <f t="shared" si="4047"/>
        <v>0</v>
      </c>
      <c r="AM490" s="253"/>
      <c r="AN490" s="184">
        <f t="shared" si="4048"/>
        <v>0</v>
      </c>
      <c r="AO490" s="222"/>
      <c r="AP490" s="223">
        <f t="shared" ref="AP490:AP505" si="4059">M490*AO490*$AP$2/1000</f>
        <v>0</v>
      </c>
      <c r="AQ490" s="197">
        <f t="shared" si="4049"/>
        <v>0</v>
      </c>
      <c r="AR490" s="129">
        <f t="shared" si="4050"/>
        <v>0</v>
      </c>
      <c r="AS490" s="129"/>
      <c r="AT490" s="184">
        <f t="shared" si="4051"/>
        <v>0</v>
      </c>
      <c r="AU490" s="222"/>
      <c r="AV490" s="184">
        <f t="shared" si="4052"/>
        <v>0</v>
      </c>
      <c r="AW490" s="222"/>
      <c r="AX490" s="223">
        <f t="shared" si="4053"/>
        <v>0</v>
      </c>
      <c r="AY490" s="197">
        <f t="shared" si="4054"/>
        <v>0</v>
      </c>
      <c r="AZ490" s="129">
        <f t="shared" si="4055"/>
        <v>0</v>
      </c>
      <c r="BA490" s="129">
        <f t="shared" si="4056"/>
        <v>0</v>
      </c>
      <c r="BB490" s="129">
        <f t="shared" si="4057"/>
        <v>0</v>
      </c>
    </row>
    <row r="491" spans="1:54">
      <c r="A491" s="498">
        <v>332</v>
      </c>
      <c r="B491" s="13"/>
      <c r="C491" s="20"/>
      <c r="D491" s="13"/>
      <c r="E491" s="63" t="s">
        <v>204</v>
      </c>
      <c r="F491" s="64" t="s">
        <v>205</v>
      </c>
      <c r="G491" s="64" t="s">
        <v>1105</v>
      </c>
      <c r="H491" s="284" t="s">
        <v>364</v>
      </c>
      <c r="I491" s="67">
        <v>12.91</v>
      </c>
      <c r="J491" s="107"/>
      <c r="K491" s="67">
        <v>12.91</v>
      </c>
      <c r="L491" s="166"/>
      <c r="M491" s="67">
        <v>12.91</v>
      </c>
      <c r="N491" s="166"/>
      <c r="O491" s="67">
        <v>12.91</v>
      </c>
      <c r="P491" s="107"/>
      <c r="Q491" s="129">
        <f t="shared" si="4034"/>
        <v>5.4</v>
      </c>
      <c r="R491" s="350">
        <f t="shared" si="4035"/>
        <v>94.610325648000014</v>
      </c>
      <c r="S491" s="129"/>
      <c r="T491" s="129">
        <f t="shared" si="4036"/>
        <v>0</v>
      </c>
      <c r="U491" s="129"/>
      <c r="V491" s="184">
        <f t="shared" si="4037"/>
        <v>0</v>
      </c>
      <c r="W491" s="222">
        <v>0.56000000000000005</v>
      </c>
      <c r="X491" s="223">
        <f t="shared" si="4038"/>
        <v>9.6197057600000004</v>
      </c>
      <c r="Y491" s="197">
        <f t="shared" si="4039"/>
        <v>0.56000000000000005</v>
      </c>
      <c r="Z491" s="184">
        <f t="shared" si="4040"/>
        <v>9.6197057600000004</v>
      </c>
      <c r="AA491" s="222">
        <v>0.28000000000000003</v>
      </c>
      <c r="AB491" s="223">
        <f t="shared" si="4041"/>
        <v>4.9310209760000001</v>
      </c>
      <c r="AC491" s="222"/>
      <c r="AD491" s="184">
        <f t="shared" si="4042"/>
        <v>0</v>
      </c>
      <c r="AE491" s="222"/>
      <c r="AF491" s="206">
        <f t="shared" si="4058"/>
        <v>0</v>
      </c>
      <c r="AG491" s="197">
        <f t="shared" si="4043"/>
        <v>0.28000000000000003</v>
      </c>
      <c r="AH491" s="129">
        <f t="shared" si="4044"/>
        <v>4.9310209760000001</v>
      </c>
      <c r="AI491" s="129">
        <f t="shared" si="4045"/>
        <v>0.84000000000000008</v>
      </c>
      <c r="AJ491" s="184">
        <f t="shared" si="4046"/>
        <v>14.550726736000001</v>
      </c>
      <c r="AK491" s="222"/>
      <c r="AL491" s="184">
        <f t="shared" si="4047"/>
        <v>0</v>
      </c>
      <c r="AM491" s="253">
        <v>1.6</v>
      </c>
      <c r="AN491" s="184">
        <f t="shared" si="4048"/>
        <v>28.1148816</v>
      </c>
      <c r="AO491" s="222">
        <v>1.52</v>
      </c>
      <c r="AP491" s="223">
        <f>M491*AO491*$AP$2/1000</f>
        <v>26.145755448000003</v>
      </c>
      <c r="AQ491" s="197">
        <f t="shared" si="4049"/>
        <v>3.12</v>
      </c>
      <c r="AR491" s="129">
        <f t="shared" si="4050"/>
        <v>54.260637048000007</v>
      </c>
      <c r="AS491" s="129">
        <v>0.56000000000000005</v>
      </c>
      <c r="AT491" s="184">
        <f t="shared" si="4051"/>
        <v>9.8170738400000008</v>
      </c>
      <c r="AU491" s="222">
        <v>0.4</v>
      </c>
      <c r="AV491" s="184">
        <f t="shared" si="4052"/>
        <v>7.1865838800000015</v>
      </c>
      <c r="AW491" s="222">
        <v>0.48</v>
      </c>
      <c r="AX491" s="223">
        <f t="shared" si="4053"/>
        <v>8.7953041439999993</v>
      </c>
      <c r="AY491" s="197">
        <f t="shared" si="4054"/>
        <v>1.44</v>
      </c>
      <c r="AZ491" s="129">
        <f t="shared" si="4055"/>
        <v>25.798961864000002</v>
      </c>
      <c r="BA491" s="129">
        <f t="shared" si="4056"/>
        <v>4.5600000000000005</v>
      </c>
      <c r="BB491" s="129">
        <f t="shared" si="4057"/>
        <v>80.059598912000013</v>
      </c>
    </row>
    <row r="492" spans="1:54">
      <c r="A492" s="498">
        <v>333</v>
      </c>
      <c r="B492" s="13"/>
      <c r="C492" s="20"/>
      <c r="D492" s="13"/>
      <c r="E492" s="63" t="s">
        <v>345</v>
      </c>
      <c r="F492" s="64" t="s">
        <v>346</v>
      </c>
      <c r="G492" s="64" t="s">
        <v>1105</v>
      </c>
      <c r="H492" s="268" t="s">
        <v>364</v>
      </c>
      <c r="I492" s="67">
        <v>12.4</v>
      </c>
      <c r="J492" s="107"/>
      <c r="K492" s="67">
        <v>12.4</v>
      </c>
      <c r="L492" s="166"/>
      <c r="M492" s="67">
        <v>12.4</v>
      </c>
      <c r="N492" s="166"/>
      <c r="O492" s="67">
        <v>12.4</v>
      </c>
      <c r="P492" s="107"/>
      <c r="Q492" s="97">
        <f t="shared" si="4034"/>
        <v>0</v>
      </c>
      <c r="R492" s="342">
        <f t="shared" si="4035"/>
        <v>0</v>
      </c>
      <c r="S492" s="97"/>
      <c r="T492" s="97">
        <f t="shared" si="4036"/>
        <v>0</v>
      </c>
      <c r="U492" s="97"/>
      <c r="V492" s="177">
        <f t="shared" si="4037"/>
        <v>0</v>
      </c>
      <c r="W492" s="207"/>
      <c r="X492" s="206">
        <f t="shared" si="4038"/>
        <v>0</v>
      </c>
      <c r="Y492" s="189">
        <f t="shared" si="4039"/>
        <v>0</v>
      </c>
      <c r="Z492" s="177">
        <f t="shared" si="4040"/>
        <v>0</v>
      </c>
      <c r="AA492" s="207"/>
      <c r="AB492" s="206">
        <f t="shared" si="4041"/>
        <v>0</v>
      </c>
      <c r="AC492" s="207"/>
      <c r="AD492" s="177">
        <f t="shared" si="4042"/>
        <v>0</v>
      </c>
      <c r="AE492" s="207"/>
      <c r="AF492" s="206">
        <f t="shared" si="4058"/>
        <v>0</v>
      </c>
      <c r="AG492" s="189">
        <f t="shared" si="4043"/>
        <v>0</v>
      </c>
      <c r="AH492" s="97">
        <f t="shared" si="4044"/>
        <v>0</v>
      </c>
      <c r="AI492" s="97">
        <f t="shared" si="4045"/>
        <v>0</v>
      </c>
      <c r="AJ492" s="177">
        <f t="shared" si="4046"/>
        <v>0</v>
      </c>
      <c r="AK492" s="207"/>
      <c r="AL492" s="177">
        <f t="shared" si="4047"/>
        <v>0</v>
      </c>
      <c r="AM492" s="245"/>
      <c r="AN492" s="177">
        <f>M492*AM492*$AN$2/1000</f>
        <v>0</v>
      </c>
      <c r="AO492" s="207"/>
      <c r="AP492" s="206">
        <f t="shared" si="4059"/>
        <v>0</v>
      </c>
      <c r="AQ492" s="189">
        <f t="shared" si="4049"/>
        <v>0</v>
      </c>
      <c r="AR492" s="97">
        <f t="shared" si="4050"/>
        <v>0</v>
      </c>
      <c r="AS492" s="97"/>
      <c r="AT492" s="177">
        <f>O492*AS492*$AT$2/1000</f>
        <v>0</v>
      </c>
      <c r="AU492" s="207"/>
      <c r="AV492" s="177">
        <f t="shared" si="4052"/>
        <v>0</v>
      </c>
      <c r="AW492" s="207"/>
      <c r="AX492" s="206">
        <f t="shared" si="4053"/>
        <v>0</v>
      </c>
      <c r="AY492" s="189">
        <f t="shared" si="4054"/>
        <v>0</v>
      </c>
      <c r="AZ492" s="97">
        <f t="shared" si="4055"/>
        <v>0</v>
      </c>
      <c r="BA492" s="97">
        <f t="shared" si="4056"/>
        <v>0</v>
      </c>
      <c r="BB492" s="97">
        <f t="shared" si="4057"/>
        <v>0</v>
      </c>
    </row>
    <row r="493" spans="1:54">
      <c r="A493" s="498">
        <v>334</v>
      </c>
      <c r="B493" s="13"/>
      <c r="C493" s="20"/>
      <c r="D493" s="13"/>
      <c r="E493" s="63" t="s">
        <v>347</v>
      </c>
      <c r="F493" s="64" t="s">
        <v>348</v>
      </c>
      <c r="G493" s="64" t="s">
        <v>1105</v>
      </c>
      <c r="H493" s="268" t="s">
        <v>364</v>
      </c>
      <c r="I493" s="67">
        <v>11.65</v>
      </c>
      <c r="J493" s="107"/>
      <c r="K493" s="67">
        <v>11.65</v>
      </c>
      <c r="L493" s="166"/>
      <c r="M493" s="67">
        <v>11.48</v>
      </c>
      <c r="N493" s="166"/>
      <c r="O493" s="67">
        <v>11.48</v>
      </c>
      <c r="P493" s="107"/>
      <c r="Q493" s="97">
        <f t="shared" si="4034"/>
        <v>8.2800000000000011</v>
      </c>
      <c r="R493" s="342">
        <f t="shared" si="4035"/>
        <v>130.70001775599999</v>
      </c>
      <c r="S493" s="97">
        <v>0.36</v>
      </c>
      <c r="T493" s="97">
        <f t="shared" si="4036"/>
        <v>5.54400666</v>
      </c>
      <c r="U493" s="97">
        <v>0.72</v>
      </c>
      <c r="V493" s="177">
        <f t="shared" si="4037"/>
        <v>11.159395200000001</v>
      </c>
      <c r="W493" s="207">
        <v>0.72</v>
      </c>
      <c r="X493" s="206">
        <f t="shared" si="4038"/>
        <v>11.161072799999999</v>
      </c>
      <c r="Y493" s="189">
        <f t="shared" si="4039"/>
        <v>1.8</v>
      </c>
      <c r="Z493" s="177">
        <f t="shared" si="4040"/>
        <v>27.864474659999999</v>
      </c>
      <c r="AA493" s="207">
        <v>0.8</v>
      </c>
      <c r="AB493" s="206">
        <f t="shared" si="4041"/>
        <v>12.713598399999999</v>
      </c>
      <c r="AC493" s="207">
        <v>1.1200000000000001</v>
      </c>
      <c r="AD493" s="177">
        <f t="shared" si="4042"/>
        <v>17.870932240000005</v>
      </c>
      <c r="AE493" s="207">
        <v>0.56000000000000005</v>
      </c>
      <c r="AF493" s="206">
        <f t="shared" si="4058"/>
        <v>8.9954869200000012</v>
      </c>
      <c r="AG493" s="189">
        <f t="shared" si="4043"/>
        <v>2.4800000000000004</v>
      </c>
      <c r="AH493" s="97">
        <f t="shared" si="4044"/>
        <v>39.580017560000002</v>
      </c>
      <c r="AI493" s="97">
        <f t="shared" si="4045"/>
        <v>4.28</v>
      </c>
      <c r="AJ493" s="177">
        <f t="shared" si="4046"/>
        <v>67.444492220000001</v>
      </c>
      <c r="AK493" s="207">
        <v>1.1200000000000001</v>
      </c>
      <c r="AL493" s="177">
        <f t="shared" si="4047"/>
        <v>17.783089407999999</v>
      </c>
      <c r="AM493" s="245">
        <v>0.96</v>
      </c>
      <c r="AN493" s="177">
        <f t="shared" si="4048"/>
        <v>15.000410879999997</v>
      </c>
      <c r="AO493" s="207">
        <v>0.24</v>
      </c>
      <c r="AP493" s="206">
        <f t="shared" si="4059"/>
        <v>3.6710009279999998</v>
      </c>
      <c r="AQ493" s="189">
        <f t="shared" si="4049"/>
        <v>2.3200000000000003</v>
      </c>
      <c r="AR493" s="97">
        <f t="shared" si="4050"/>
        <v>36.454501215999997</v>
      </c>
      <c r="AS493" s="97">
        <v>0.56000000000000005</v>
      </c>
      <c r="AT493" s="177">
        <f>O493*AS493*$AT$2/1000</f>
        <v>8.7296675200000013</v>
      </c>
      <c r="AU493" s="207">
        <v>0.56000000000000005</v>
      </c>
      <c r="AV493" s="177">
        <f t="shared" si="4052"/>
        <v>8.9467680960000013</v>
      </c>
      <c r="AW493" s="207">
        <v>0.56000000000000005</v>
      </c>
      <c r="AX493" s="206">
        <f t="shared" si="4053"/>
        <v>9.1245887040000007</v>
      </c>
      <c r="AY493" s="189">
        <f t="shared" si="4054"/>
        <v>1.6800000000000002</v>
      </c>
      <c r="AZ493" s="97">
        <f t="shared" si="4055"/>
        <v>26.801024320000003</v>
      </c>
      <c r="BA493" s="97">
        <f t="shared" si="4056"/>
        <v>4</v>
      </c>
      <c r="BB493" s="97">
        <f t="shared" si="4057"/>
        <v>63.255525536</v>
      </c>
    </row>
    <row r="494" spans="1:54">
      <c r="A494" s="498">
        <v>335</v>
      </c>
      <c r="B494" s="13"/>
      <c r="C494" s="20"/>
      <c r="D494" s="13"/>
      <c r="E494" s="63" t="s">
        <v>669</v>
      </c>
      <c r="F494" s="64" t="s">
        <v>670</v>
      </c>
      <c r="G494" s="64" t="s">
        <v>1105</v>
      </c>
      <c r="H494" s="284" t="s">
        <v>364</v>
      </c>
      <c r="I494" s="67">
        <v>5.85</v>
      </c>
      <c r="J494" s="107"/>
      <c r="K494" s="67">
        <v>5.85</v>
      </c>
      <c r="L494" s="166"/>
      <c r="M494" s="67">
        <v>5.85</v>
      </c>
      <c r="N494" s="166"/>
      <c r="O494" s="67">
        <v>5.85</v>
      </c>
      <c r="P494" s="107"/>
      <c r="Q494" s="129">
        <f t="shared" si="4034"/>
        <v>0</v>
      </c>
      <c r="R494" s="350">
        <f t="shared" si="4035"/>
        <v>0</v>
      </c>
      <c r="S494" s="129"/>
      <c r="T494" s="129">
        <f t="shared" si="4036"/>
        <v>0</v>
      </c>
      <c r="U494" s="129"/>
      <c r="V494" s="184">
        <f t="shared" si="4037"/>
        <v>0</v>
      </c>
      <c r="W494" s="222"/>
      <c r="X494" s="223">
        <f t="shared" si="4038"/>
        <v>0</v>
      </c>
      <c r="Y494" s="197">
        <f t="shared" si="4039"/>
        <v>0</v>
      </c>
      <c r="Z494" s="184">
        <f t="shared" si="4040"/>
        <v>0</v>
      </c>
      <c r="AA494" s="222"/>
      <c r="AB494" s="223">
        <f t="shared" si="4041"/>
        <v>0</v>
      </c>
      <c r="AC494" s="222"/>
      <c r="AD494" s="184">
        <f t="shared" si="4042"/>
        <v>0</v>
      </c>
      <c r="AE494" s="222"/>
      <c r="AF494" s="206">
        <f>K494*AE494*$AF$2/1000</f>
        <v>0</v>
      </c>
      <c r="AG494" s="197">
        <f t="shared" si="4043"/>
        <v>0</v>
      </c>
      <c r="AH494" s="129">
        <f t="shared" si="4044"/>
        <v>0</v>
      </c>
      <c r="AI494" s="129">
        <f t="shared" si="4045"/>
        <v>0</v>
      </c>
      <c r="AJ494" s="184">
        <f t="shared" si="4046"/>
        <v>0</v>
      </c>
      <c r="AK494" s="222"/>
      <c r="AL494" s="184">
        <f t="shared" si="4047"/>
        <v>0</v>
      </c>
      <c r="AM494" s="253"/>
      <c r="AN494" s="184">
        <f t="shared" si="4048"/>
        <v>0</v>
      </c>
      <c r="AO494" s="222"/>
      <c r="AP494" s="223">
        <f t="shared" si="4059"/>
        <v>0</v>
      </c>
      <c r="AQ494" s="197">
        <f t="shared" si="4049"/>
        <v>0</v>
      </c>
      <c r="AR494" s="129">
        <f t="shared" si="4050"/>
        <v>0</v>
      </c>
      <c r="AS494" s="129"/>
      <c r="AT494" s="184">
        <f t="shared" ref="AT494" si="4060">O494*AS494*$AT$2/1000</f>
        <v>0</v>
      </c>
      <c r="AU494" s="222"/>
      <c r="AV494" s="184">
        <f t="shared" si="4052"/>
        <v>0</v>
      </c>
      <c r="AW494" s="222"/>
      <c r="AX494" s="223">
        <f t="shared" si="4053"/>
        <v>0</v>
      </c>
      <c r="AY494" s="197">
        <f t="shared" si="4054"/>
        <v>0</v>
      </c>
      <c r="AZ494" s="129">
        <f t="shared" si="4055"/>
        <v>0</v>
      </c>
      <c r="BA494" s="129">
        <f t="shared" si="4056"/>
        <v>0</v>
      </c>
      <c r="BB494" s="129">
        <f t="shared" si="4057"/>
        <v>0</v>
      </c>
    </row>
    <row r="495" spans="1:54">
      <c r="A495" s="498">
        <v>336</v>
      </c>
      <c r="B495" s="13"/>
      <c r="C495" s="20"/>
      <c r="D495" s="13"/>
      <c r="E495" s="63" t="s">
        <v>671</v>
      </c>
      <c r="F495" s="64" t="s">
        <v>672</v>
      </c>
      <c r="G495" s="64" t="s">
        <v>1105</v>
      </c>
      <c r="H495" s="284" t="s">
        <v>364</v>
      </c>
      <c r="I495" s="67">
        <v>5.97</v>
      </c>
      <c r="J495" s="107"/>
      <c r="K495" s="67">
        <v>5.97</v>
      </c>
      <c r="L495" s="166"/>
      <c r="M495" s="67">
        <v>5.91</v>
      </c>
      <c r="N495" s="166"/>
      <c r="O495" s="67">
        <v>5.91</v>
      </c>
      <c r="P495" s="107"/>
      <c r="Q495" s="129">
        <f t="shared" ref="Q495:Q498" si="4061">SUM(AI495+BA495)</f>
        <v>19.5</v>
      </c>
      <c r="R495" s="350">
        <f t="shared" ref="R495:R498" si="4062">SUM(AJ495+BB495)</f>
        <v>158.39844125400001</v>
      </c>
      <c r="S495" s="129">
        <v>0.72</v>
      </c>
      <c r="T495" s="129">
        <f t="shared" ref="T495:T498" si="4063">I495*S495*$T$2/1000</f>
        <v>5.682011976000001</v>
      </c>
      <c r="U495" s="129">
        <v>1.68</v>
      </c>
      <c r="V495" s="184">
        <f>I495*U495*$V$2/1000</f>
        <v>13.343379839999999</v>
      </c>
      <c r="W495" s="222">
        <v>0.72</v>
      </c>
      <c r="X495" s="223">
        <f>I495*W495*$X$2/1000</f>
        <v>5.71945104</v>
      </c>
      <c r="Y495" s="197">
        <f t="shared" ref="Y495:Y498" si="4064">SUM(S495+U495+W495)</f>
        <v>3.12</v>
      </c>
      <c r="Z495" s="184">
        <f t="shared" ref="Z495:Z498" si="4065">SUM(T495+V495+X495)</f>
        <v>24.744842855999998</v>
      </c>
      <c r="AA495" s="222">
        <v>2.16</v>
      </c>
      <c r="AB495" s="223">
        <f t="shared" ref="AB495:AB498" si="4066">K495*AA495*$AB$2/1000</f>
        <v>17.590600224000003</v>
      </c>
      <c r="AC495" s="222">
        <v>4.32</v>
      </c>
      <c r="AD495" s="184">
        <f t="shared" ref="AD495:AD498" si="4067">K495*AC495*$AD$2/1000</f>
        <v>35.323305552000008</v>
      </c>
      <c r="AE495" s="222">
        <v>1.44</v>
      </c>
      <c r="AF495" s="206">
        <f t="shared" ref="AF495:AF497" si="4068">K495*AE495*$AF$2/1000</f>
        <v>11.853525743999999</v>
      </c>
      <c r="AG495" s="197">
        <f t="shared" ref="AG495:AG498" si="4069">SUM(AA495+AC495+AE495)</f>
        <v>7.92</v>
      </c>
      <c r="AH495" s="129">
        <f t="shared" ref="AH495:AH498" si="4070">SUM(AB495+AD495+AF495)</f>
        <v>64.767431520000002</v>
      </c>
      <c r="AI495" s="129">
        <f t="shared" ref="AI495:AI498" si="4071">SUM(Y495+AG495)</f>
        <v>11.04</v>
      </c>
      <c r="AJ495" s="184">
        <f t="shared" ref="AJ495:AJ498" si="4072">SUM(Z495,AH495)</f>
        <v>89.512274375999993</v>
      </c>
      <c r="AK495" s="222">
        <v>1.44</v>
      </c>
      <c r="AL495" s="184">
        <f t="shared" ref="AL495:AL498" si="4073">M495*AK495*$AL$2/1000</f>
        <v>11.770564031999999</v>
      </c>
      <c r="AM495" s="253">
        <v>2.16</v>
      </c>
      <c r="AN495" s="184">
        <f t="shared" ref="AN495:AN498" si="4074">M495*AM495*$AN$2/1000</f>
        <v>17.375258160000001</v>
      </c>
      <c r="AO495" s="222">
        <v>1.26</v>
      </c>
      <c r="AP495" s="223">
        <f t="shared" ref="AP495:AP498" si="4075">M495*AO495*$AP$2/1000</f>
        <v>9.921775374000001</v>
      </c>
      <c r="AQ495" s="197">
        <f t="shared" ref="AQ495:AQ498" si="4076">SUM(AK495+AM495+AO495)</f>
        <v>4.8600000000000003</v>
      </c>
      <c r="AR495" s="129">
        <f t="shared" ref="AR495:AR498" si="4077">SUM(AL495+AN495+AP495)</f>
        <v>39.067597566000003</v>
      </c>
      <c r="AS495" s="129">
        <v>0.72</v>
      </c>
      <c r="AT495" s="184">
        <f t="shared" ref="AT495:AT498" si="4078">O495*AS495*$AT$2/1000</f>
        <v>5.7781360800000012</v>
      </c>
      <c r="AU495" s="222">
        <v>0.72</v>
      </c>
      <c r="AV495" s="184">
        <f t="shared" ref="AV495:AV498" si="4079">O495*AU495*$AV$2/1000</f>
        <v>5.9218341840000015</v>
      </c>
      <c r="AW495" s="222">
        <v>2.16</v>
      </c>
      <c r="AX495" s="223">
        <f t="shared" ref="AX495:AX498" si="4080">O495*AW495*$AX$2/1000</f>
        <v>18.118599048</v>
      </c>
      <c r="AY495" s="197">
        <f t="shared" ref="AY495:AY498" si="4081">SUM(AS495+AU495+AW495)</f>
        <v>3.6</v>
      </c>
      <c r="AZ495" s="129">
        <f t="shared" ref="AZ495:AZ498" si="4082">SUM(AT495+AV495+AX495)</f>
        <v>29.818569312000001</v>
      </c>
      <c r="BA495" s="129">
        <f t="shared" ref="BA495:BA498" si="4083">SUM(AQ495+AY495)</f>
        <v>8.4600000000000009</v>
      </c>
      <c r="BB495" s="129">
        <f t="shared" ref="BB495:BB498" si="4084">SUM(AR495,AZ495)</f>
        <v>68.886166878000012</v>
      </c>
    </row>
    <row r="496" spans="1:54">
      <c r="A496" s="498">
        <v>337</v>
      </c>
      <c r="B496" s="13"/>
      <c r="C496" s="13"/>
      <c r="D496" s="13"/>
      <c r="E496" s="21" t="s">
        <v>1506</v>
      </c>
      <c r="F496" s="461" t="s">
        <v>1507</v>
      </c>
      <c r="G496" s="22"/>
      <c r="H496" s="284" t="s">
        <v>364</v>
      </c>
      <c r="I496" s="55">
        <v>5.97</v>
      </c>
      <c r="J496" s="102"/>
      <c r="K496" s="55">
        <v>5.97</v>
      </c>
      <c r="L496" s="163"/>
      <c r="M496" s="55">
        <v>5.91</v>
      </c>
      <c r="N496" s="163"/>
      <c r="O496" s="55">
        <v>5.91</v>
      </c>
      <c r="P496" s="102"/>
      <c r="Q496" s="97">
        <f t="shared" ref="Q496" si="4085">SUM(AI496+BA496)</f>
        <v>2.0299999999999998</v>
      </c>
      <c r="R496" s="342">
        <f t="shared" ref="R496" si="4086">SUM(AJ496+BB496)</f>
        <v>16.495058295</v>
      </c>
      <c r="S496" s="97"/>
      <c r="T496" s="97">
        <f>I496*S496*$T$2/1000</f>
        <v>0</v>
      </c>
      <c r="U496" s="97"/>
      <c r="V496" s="177">
        <f>I496*U496*$V$2/1000</f>
        <v>0</v>
      </c>
      <c r="W496" s="207"/>
      <c r="X496" s="206">
        <f>I496*W496*$X$2/1000</f>
        <v>0</v>
      </c>
      <c r="Y496" s="189">
        <f t="shared" si="4064"/>
        <v>0</v>
      </c>
      <c r="Z496" s="177">
        <f t="shared" si="4065"/>
        <v>0</v>
      </c>
      <c r="AA496" s="207"/>
      <c r="AB496" s="206">
        <f>K496*AA496*$AB$2/1000</f>
        <v>0</v>
      </c>
      <c r="AC496" s="207">
        <v>0.36</v>
      </c>
      <c r="AD496" s="177">
        <f>K496*AC496*$AD$2/1000</f>
        <v>2.9436087960000004</v>
      </c>
      <c r="AE496" s="207">
        <v>0.14000000000000001</v>
      </c>
      <c r="AF496" s="206">
        <f t="shared" ref="AF496" si="4087">K496*AE496*$AF$2/1000</f>
        <v>1.1524261140000001</v>
      </c>
      <c r="AG496" s="189">
        <f>SUM(AA496+AC496+AE496)</f>
        <v>0.5</v>
      </c>
      <c r="AH496" s="97">
        <f>SUM(AB496+AD496+AF496)</f>
        <v>4.0960349100000002</v>
      </c>
      <c r="AI496" s="97">
        <f t="shared" ref="AI496" si="4088">SUM(Y496+AG496)</f>
        <v>0.5</v>
      </c>
      <c r="AJ496" s="177">
        <f t="shared" ref="AJ496" si="4089">SUM(Z496,AH496)</f>
        <v>4.0960349100000002</v>
      </c>
      <c r="AK496" s="207">
        <v>0.24</v>
      </c>
      <c r="AL496" s="177">
        <f t="shared" ref="AL496" si="4090">M496*AK496*$AL$2/1000</f>
        <v>1.9617606719999996</v>
      </c>
      <c r="AM496" s="245"/>
      <c r="AN496" s="177">
        <f t="shared" ref="AN496" si="4091">M496*AM496*$AN$2/1000</f>
        <v>0</v>
      </c>
      <c r="AO496" s="207">
        <v>0.42</v>
      </c>
      <c r="AP496" s="206">
        <f t="shared" ref="AP496" si="4092">M496*AO496*$AP$2/1000</f>
        <v>3.3072584580000006</v>
      </c>
      <c r="AQ496" s="189">
        <f>SUM(AK496+AM496+AO496)</f>
        <v>0.65999999999999992</v>
      </c>
      <c r="AR496" s="97">
        <f>SUM(AL496+AN496+AP496)</f>
        <v>5.2690191300000002</v>
      </c>
      <c r="AS496" s="97">
        <v>0.3</v>
      </c>
      <c r="AT496" s="177">
        <f t="shared" ref="AT496" si="4093">O496*AS496*$AT$2/1000</f>
        <v>2.4075567000000002</v>
      </c>
      <c r="AU496" s="207">
        <v>0.36</v>
      </c>
      <c r="AV496" s="177">
        <f t="shared" ref="AV496" si="4094">O496*AU496*$AV$2/1000</f>
        <v>2.9609170920000007</v>
      </c>
      <c r="AW496" s="207">
        <v>0.21</v>
      </c>
      <c r="AX496" s="206">
        <f t="shared" ref="AX496" si="4095">O496*AW496*$AX$2/1000</f>
        <v>1.7615304630000002</v>
      </c>
      <c r="AY496" s="189">
        <f>SUM(AS496+AU496+AW496)</f>
        <v>0.86999999999999988</v>
      </c>
      <c r="AZ496" s="97">
        <f>SUM(AT496+AV496+AX496)</f>
        <v>7.1300042550000011</v>
      </c>
      <c r="BA496" s="97">
        <f t="shared" ref="BA496" si="4096">SUM(AQ496+AY496)</f>
        <v>1.5299999999999998</v>
      </c>
      <c r="BB496" s="97">
        <f t="shared" ref="BB496" si="4097">SUM(AR496,AZ496)</f>
        <v>12.399023385000001</v>
      </c>
    </row>
    <row r="497" spans="1:54">
      <c r="A497" s="498">
        <v>337</v>
      </c>
      <c r="B497" s="13"/>
      <c r="C497" s="13"/>
      <c r="D497" s="13"/>
      <c r="E497" s="21" t="s">
        <v>1422</v>
      </c>
      <c r="F497" s="551" t="s">
        <v>1423</v>
      </c>
      <c r="G497" s="22"/>
      <c r="H497" s="284" t="s">
        <v>364</v>
      </c>
      <c r="I497" s="55">
        <v>5.97</v>
      </c>
      <c r="J497" s="102"/>
      <c r="K497" s="55">
        <v>5.97</v>
      </c>
      <c r="L497" s="163"/>
      <c r="M497" s="55">
        <v>5.97</v>
      </c>
      <c r="N497" s="163"/>
      <c r="O497" s="55">
        <v>5.97</v>
      </c>
      <c r="P497" s="102"/>
      <c r="Q497" s="97">
        <f t="shared" si="4061"/>
        <v>0</v>
      </c>
      <c r="R497" s="342">
        <f t="shared" si="4062"/>
        <v>0</v>
      </c>
      <c r="S497" s="97"/>
      <c r="T497" s="97">
        <f>I497*S497*$T$2/1000</f>
        <v>0</v>
      </c>
      <c r="U497" s="97"/>
      <c r="V497" s="177">
        <f>I497*U497*$V$2/1000</f>
        <v>0</v>
      </c>
      <c r="W497" s="207"/>
      <c r="X497" s="206">
        <f>I497*W497*$X$2/1000</f>
        <v>0</v>
      </c>
      <c r="Y497" s="189">
        <f t="shared" ref="Y497" si="4098">SUM(S497+U497+W497)</f>
        <v>0</v>
      </c>
      <c r="Z497" s="177">
        <f t="shared" ref="Z497" si="4099">SUM(T497+V497+X497)</f>
        <v>0</v>
      </c>
      <c r="AA497" s="207"/>
      <c r="AB497" s="206">
        <f>K497*AA497*$AB$2/1000</f>
        <v>0</v>
      </c>
      <c r="AC497" s="207"/>
      <c r="AD497" s="177">
        <f>K497*AC497*$AD$2/1000</f>
        <v>0</v>
      </c>
      <c r="AE497" s="207"/>
      <c r="AF497" s="206">
        <f t="shared" si="4068"/>
        <v>0</v>
      </c>
      <c r="AG497" s="189">
        <f>SUM(AA497+AC497+AE497)</f>
        <v>0</v>
      </c>
      <c r="AH497" s="97">
        <f>SUM(AB497+AD497+AF497)</f>
        <v>0</v>
      </c>
      <c r="AI497" s="97">
        <f t="shared" si="4071"/>
        <v>0</v>
      </c>
      <c r="AJ497" s="177">
        <f t="shared" si="4072"/>
        <v>0</v>
      </c>
      <c r="AK497" s="207"/>
      <c r="AL497" s="177">
        <f t="shared" si="4073"/>
        <v>0</v>
      </c>
      <c r="AM497" s="245"/>
      <c r="AN497" s="177">
        <f t="shared" si="4074"/>
        <v>0</v>
      </c>
      <c r="AO497" s="207"/>
      <c r="AP497" s="206">
        <f t="shared" si="4075"/>
        <v>0</v>
      </c>
      <c r="AQ497" s="189">
        <f>SUM(AK497+AM497+AO497)</f>
        <v>0</v>
      </c>
      <c r="AR497" s="97">
        <f>SUM(AL497+AN497+AP497)</f>
        <v>0</v>
      </c>
      <c r="AS497" s="97"/>
      <c r="AT497" s="177">
        <f t="shared" si="4078"/>
        <v>0</v>
      </c>
      <c r="AU497" s="207"/>
      <c r="AV497" s="177">
        <f t="shared" si="4079"/>
        <v>0</v>
      </c>
      <c r="AW497" s="207"/>
      <c r="AX497" s="206">
        <f t="shared" si="4080"/>
        <v>0</v>
      </c>
      <c r="AY497" s="189">
        <f>SUM(AS497+AU497+AW497)</f>
        <v>0</v>
      </c>
      <c r="AZ497" s="97">
        <f>SUM(AT497+AV497+AX497)</f>
        <v>0</v>
      </c>
      <c r="BA497" s="97">
        <f t="shared" si="4083"/>
        <v>0</v>
      </c>
      <c r="BB497" s="97">
        <f t="shared" si="4084"/>
        <v>0</v>
      </c>
    </row>
    <row r="498" spans="1:54">
      <c r="A498" s="498">
        <v>338</v>
      </c>
      <c r="B498" s="13"/>
      <c r="C498" s="20"/>
      <c r="D498" s="13"/>
      <c r="E498" s="63" t="s">
        <v>1056</v>
      </c>
      <c r="F498" s="64" t="s">
        <v>1057</v>
      </c>
      <c r="G498" s="64" t="s">
        <v>1102</v>
      </c>
      <c r="H498" s="284" t="s">
        <v>364</v>
      </c>
      <c r="I498" s="67">
        <v>6.55</v>
      </c>
      <c r="J498" s="107"/>
      <c r="K498" s="67">
        <v>6.55</v>
      </c>
      <c r="L498" s="166"/>
      <c r="M498" s="67">
        <v>6.55</v>
      </c>
      <c r="N498" s="166"/>
      <c r="O498" s="67">
        <v>6.55</v>
      </c>
      <c r="P498" s="107"/>
      <c r="Q498" s="129">
        <f t="shared" si="4061"/>
        <v>1.08</v>
      </c>
      <c r="R498" s="350">
        <f t="shared" si="4062"/>
        <v>9.5739122999999982</v>
      </c>
      <c r="S498" s="129"/>
      <c r="T498" s="129">
        <f t="shared" si="4063"/>
        <v>0</v>
      </c>
      <c r="U498" s="129">
        <v>0.24</v>
      </c>
      <c r="V498" s="184">
        <f t="shared" ref="V498" si="4100">I498*U498*$V$2/1000</f>
        <v>2.0913887999999998</v>
      </c>
      <c r="W498" s="222">
        <v>0.12</v>
      </c>
      <c r="X498" s="223">
        <f t="shared" ref="X498" si="4101">I498*W498*$X$2/1000</f>
        <v>1.0458515999999998</v>
      </c>
      <c r="Y498" s="197">
        <f t="shared" si="4064"/>
        <v>0.36</v>
      </c>
      <c r="Z498" s="184">
        <f t="shared" si="4065"/>
        <v>3.1372403999999996</v>
      </c>
      <c r="AA498" s="222"/>
      <c r="AB498" s="223">
        <f t="shared" si="4066"/>
        <v>0</v>
      </c>
      <c r="AC498" s="222">
        <v>0.15</v>
      </c>
      <c r="AD498" s="184">
        <f t="shared" si="4067"/>
        <v>1.3456614750000002</v>
      </c>
      <c r="AE498" s="222">
        <v>0.18</v>
      </c>
      <c r="AF498" s="206">
        <f>K498*AE498*$AF$2/1000</f>
        <v>1.6256405699999996</v>
      </c>
      <c r="AG498" s="197">
        <f t="shared" si="4069"/>
        <v>0.32999999999999996</v>
      </c>
      <c r="AH498" s="129">
        <f t="shared" si="4070"/>
        <v>2.9713020449999998</v>
      </c>
      <c r="AI498" s="129">
        <f t="shared" si="4071"/>
        <v>0.69</v>
      </c>
      <c r="AJ498" s="184">
        <f t="shared" si="4072"/>
        <v>6.1085424449999994</v>
      </c>
      <c r="AK498" s="222">
        <v>0.12</v>
      </c>
      <c r="AL498" s="184">
        <f t="shared" si="4073"/>
        <v>1.0871008799999997</v>
      </c>
      <c r="AM498" s="253">
        <v>0.09</v>
      </c>
      <c r="AN498" s="184">
        <f t="shared" si="4074"/>
        <v>0.80236844999999979</v>
      </c>
      <c r="AO498" s="222">
        <v>0.15</v>
      </c>
      <c r="AP498" s="223">
        <f t="shared" si="4075"/>
        <v>1.309073175</v>
      </c>
      <c r="AQ498" s="197">
        <f t="shared" si="4076"/>
        <v>0.36</v>
      </c>
      <c r="AR498" s="129">
        <f t="shared" si="4077"/>
        <v>3.1985425049999994</v>
      </c>
      <c r="AS498" s="129">
        <v>0.03</v>
      </c>
      <c r="AT498" s="184">
        <f t="shared" si="4078"/>
        <v>0.26682734999999996</v>
      </c>
      <c r="AU498" s="222"/>
      <c r="AV498" s="184">
        <f t="shared" si="4079"/>
        <v>0</v>
      </c>
      <c r="AW498" s="222"/>
      <c r="AX498" s="223">
        <f t="shared" si="4080"/>
        <v>0</v>
      </c>
      <c r="AY498" s="197">
        <f t="shared" si="4081"/>
        <v>0.03</v>
      </c>
      <c r="AZ498" s="129">
        <f t="shared" si="4082"/>
        <v>0.26682734999999996</v>
      </c>
      <c r="BA498" s="129">
        <f t="shared" si="4083"/>
        <v>0.39</v>
      </c>
      <c r="BB498" s="129">
        <f t="shared" si="4084"/>
        <v>3.4653698549999992</v>
      </c>
    </row>
    <row r="499" spans="1:54">
      <c r="A499" s="498">
        <v>339</v>
      </c>
      <c r="B499" s="13"/>
      <c r="C499" s="20"/>
      <c r="D499" s="13"/>
      <c r="E499" s="63" t="s">
        <v>1058</v>
      </c>
      <c r="F499" s="64" t="s">
        <v>1059</v>
      </c>
      <c r="G499" s="64" t="s">
        <v>1108</v>
      </c>
      <c r="H499" s="284" t="s">
        <v>364</v>
      </c>
      <c r="I499" s="67">
        <v>6.08</v>
      </c>
      <c r="J499" s="107"/>
      <c r="K499" s="67">
        <v>6.08</v>
      </c>
      <c r="L499" s="166"/>
      <c r="M499" s="67">
        <v>6.05</v>
      </c>
      <c r="N499" s="166"/>
      <c r="O499" s="67">
        <v>6.05</v>
      </c>
      <c r="P499" s="107"/>
      <c r="Q499" s="129">
        <f t="shared" ref="Q499:Q502" si="4102">SUM(AI499+BA499)</f>
        <v>102.96000000000001</v>
      </c>
      <c r="R499" s="350">
        <f t="shared" ref="R499:R502" si="4103">SUM(AJ499+BB499)</f>
        <v>852.35905970399995</v>
      </c>
      <c r="S499" s="129">
        <v>8.0399999999999991</v>
      </c>
      <c r="T499" s="129">
        <f t="shared" ref="T499:T502" si="4104">I499*S499*$T$2/1000</f>
        <v>64.618213248000004</v>
      </c>
      <c r="U499" s="129">
        <v>10.8</v>
      </c>
      <c r="V499" s="184">
        <f>I499*U499*$V$2/1000</f>
        <v>87.35938560000001</v>
      </c>
      <c r="W499" s="222">
        <v>13.5</v>
      </c>
      <c r="X499" s="223">
        <f>I499*W499*$X$2/1000</f>
        <v>109.21564799999999</v>
      </c>
      <c r="Y499" s="197">
        <f t="shared" ref="Y499:Y502" si="4105">SUM(S499+U499+W499)</f>
        <v>32.340000000000003</v>
      </c>
      <c r="Z499" s="184">
        <f t="shared" ref="Z499:Z502" si="4106">SUM(T499+V499+X499)</f>
        <v>261.193246848</v>
      </c>
      <c r="AA499" s="222">
        <v>7.11</v>
      </c>
      <c r="AB499" s="223">
        <f t="shared" ref="AB499:AB502" si="4107">K499*AA499*$AB$2/1000</f>
        <v>58.969270655999992</v>
      </c>
      <c r="AC499" s="222">
        <v>17.100000000000001</v>
      </c>
      <c r="AD499" s="184">
        <f t="shared" ref="AD499:AD502" si="4108">K499*AC499*$AD$2/1000</f>
        <v>142.39769184000002</v>
      </c>
      <c r="AE499" s="222">
        <v>13.5</v>
      </c>
      <c r="AF499" s="206">
        <f t="shared" ref="AF499:AF502" si="4109">K499*AE499*$AF$2/1000</f>
        <v>113.17436639999998</v>
      </c>
      <c r="AG499" s="197">
        <f t="shared" ref="AG499:AG502" si="4110">SUM(AA499+AC499+AE499)</f>
        <v>37.71</v>
      </c>
      <c r="AH499" s="129">
        <f t="shared" ref="AH499:AH502" si="4111">SUM(AB499+AD499+AF499)</f>
        <v>314.54132889599998</v>
      </c>
      <c r="AI499" s="129">
        <f t="shared" ref="AI499:AI502" si="4112">SUM(Y499+AG499)</f>
        <v>70.050000000000011</v>
      </c>
      <c r="AJ499" s="184">
        <f t="shared" ref="AJ499:AJ502" si="4113">SUM(Z499,AH499)</f>
        <v>575.73457574400004</v>
      </c>
      <c r="AK499" s="222">
        <v>7.2</v>
      </c>
      <c r="AL499" s="184">
        <f t="shared" ref="AL499:AL502" si="4114">M499*AK499*$AL$2/1000</f>
        <v>60.246964800000001</v>
      </c>
      <c r="AM499" s="253">
        <v>4.5</v>
      </c>
      <c r="AN499" s="184">
        <f t="shared" ref="AN499:AN502" si="4115">M499*AM499*$AN$2/1000</f>
        <v>37.055947499999995</v>
      </c>
      <c r="AO499" s="222">
        <v>2.7</v>
      </c>
      <c r="AP499" s="223">
        <f t="shared" ref="AP499:AP502" si="4116">M499*AO499*$AP$2/1000</f>
        <v>21.764590650000002</v>
      </c>
      <c r="AQ499" s="197">
        <f t="shared" ref="AQ499:AQ502" si="4117">SUM(AK499+AM499+AO499)</f>
        <v>14.399999999999999</v>
      </c>
      <c r="AR499" s="129">
        <f t="shared" ref="AR499:AR502" si="4118">SUM(AL499+AN499+AP499)</f>
        <v>119.06750295000001</v>
      </c>
      <c r="AS499" s="129">
        <v>1.95</v>
      </c>
      <c r="AT499" s="184">
        <f t="shared" ref="AT499:AT502" si="4119">O499*AS499*$AT$2/1000</f>
        <v>16.01982525</v>
      </c>
      <c r="AU499" s="222">
        <v>3.96</v>
      </c>
      <c r="AV499" s="184">
        <f t="shared" ref="AV499:AV502" si="4120">O499*AU499*$AV$2/1000</f>
        <v>33.341629859999998</v>
      </c>
      <c r="AW499" s="222">
        <v>12.6</v>
      </c>
      <c r="AX499" s="223">
        <f t="shared" ref="AX499:AX502" si="4121">O499*AW499*$AX$2/1000</f>
        <v>108.19552589999998</v>
      </c>
      <c r="AY499" s="197">
        <f t="shared" ref="AY499:AY502" si="4122">SUM(AS499+AU499+AW499)</f>
        <v>18.509999999999998</v>
      </c>
      <c r="AZ499" s="129">
        <f t="shared" ref="AZ499:AZ502" si="4123">SUM(AT499+AV499+AX499)</f>
        <v>157.55698100999996</v>
      </c>
      <c r="BA499" s="129">
        <f t="shared" ref="BA499:BA502" si="4124">SUM(AQ499+AY499)</f>
        <v>32.909999999999997</v>
      </c>
      <c r="BB499" s="129">
        <f t="shared" ref="BB499:BB502" si="4125">SUM(AR499,AZ499)</f>
        <v>276.62448395999996</v>
      </c>
    </row>
    <row r="500" spans="1:54">
      <c r="A500" s="498">
        <v>340</v>
      </c>
      <c r="B500" s="13"/>
      <c r="C500" s="20"/>
      <c r="D500" s="13"/>
      <c r="E500" s="63" t="s">
        <v>1291</v>
      </c>
      <c r="F500" s="550" t="s">
        <v>1295</v>
      </c>
      <c r="G500" s="64" t="s">
        <v>1108</v>
      </c>
      <c r="H500" s="284" t="s">
        <v>364</v>
      </c>
      <c r="I500" s="67">
        <v>21.9</v>
      </c>
      <c r="J500" s="107"/>
      <c r="K500" s="67">
        <v>21.9</v>
      </c>
      <c r="L500" s="166"/>
      <c r="M500" s="67">
        <v>21.9</v>
      </c>
      <c r="N500" s="166"/>
      <c r="O500" s="67">
        <v>21.9</v>
      </c>
      <c r="P500" s="107"/>
      <c r="Q500" s="129">
        <f t="shared" si="4102"/>
        <v>0</v>
      </c>
      <c r="R500" s="350">
        <f t="shared" si="4103"/>
        <v>0</v>
      </c>
      <c r="S500" s="129"/>
      <c r="T500" s="129">
        <f t="shared" si="4104"/>
        <v>0</v>
      </c>
      <c r="U500" s="129"/>
      <c r="V500" s="184">
        <f t="shared" ref="V500" si="4126">I500*U500*$V$2/1000</f>
        <v>0</v>
      </c>
      <c r="W500" s="222"/>
      <c r="X500" s="223">
        <f t="shared" ref="X500" si="4127">I500*W500*$X$2/1000</f>
        <v>0</v>
      </c>
      <c r="Y500" s="197">
        <f t="shared" si="4105"/>
        <v>0</v>
      </c>
      <c r="Z500" s="184">
        <f t="shared" si="4106"/>
        <v>0</v>
      </c>
      <c r="AA500" s="222"/>
      <c r="AB500" s="223">
        <f t="shared" si="4107"/>
        <v>0</v>
      </c>
      <c r="AC500" s="222"/>
      <c r="AD500" s="184">
        <f t="shared" si="4108"/>
        <v>0</v>
      </c>
      <c r="AE500" s="222"/>
      <c r="AF500" s="206">
        <f t="shared" si="4109"/>
        <v>0</v>
      </c>
      <c r="AG500" s="197">
        <f t="shared" si="4110"/>
        <v>0</v>
      </c>
      <c r="AH500" s="129">
        <f t="shared" si="4111"/>
        <v>0</v>
      </c>
      <c r="AI500" s="129">
        <f t="shared" si="4112"/>
        <v>0</v>
      </c>
      <c r="AJ500" s="184">
        <f t="shared" si="4113"/>
        <v>0</v>
      </c>
      <c r="AK500" s="222"/>
      <c r="AL500" s="184">
        <f t="shared" si="4114"/>
        <v>0</v>
      </c>
      <c r="AM500" s="253"/>
      <c r="AN500" s="184">
        <f t="shared" si="4115"/>
        <v>0</v>
      </c>
      <c r="AO500" s="222"/>
      <c r="AP500" s="223">
        <f t="shared" si="4116"/>
        <v>0</v>
      </c>
      <c r="AQ500" s="197">
        <f t="shared" si="4117"/>
        <v>0</v>
      </c>
      <c r="AR500" s="129">
        <f t="shared" si="4118"/>
        <v>0</v>
      </c>
      <c r="AS500" s="129"/>
      <c r="AT500" s="184">
        <f t="shared" si="4119"/>
        <v>0</v>
      </c>
      <c r="AU500" s="222"/>
      <c r="AV500" s="184">
        <f t="shared" si="4120"/>
        <v>0</v>
      </c>
      <c r="AW500" s="222"/>
      <c r="AX500" s="223">
        <f t="shared" si="4121"/>
        <v>0</v>
      </c>
      <c r="AY500" s="197">
        <f t="shared" si="4122"/>
        <v>0</v>
      </c>
      <c r="AZ500" s="129">
        <f t="shared" si="4123"/>
        <v>0</v>
      </c>
      <c r="BA500" s="129">
        <f t="shared" si="4124"/>
        <v>0</v>
      </c>
      <c r="BB500" s="129">
        <f t="shared" si="4125"/>
        <v>0</v>
      </c>
    </row>
    <row r="501" spans="1:54">
      <c r="A501" s="498">
        <v>340</v>
      </c>
      <c r="B501" s="13"/>
      <c r="C501" s="20"/>
      <c r="D501" s="13"/>
      <c r="E501" s="63" t="s">
        <v>1292</v>
      </c>
      <c r="F501" s="550" t="s">
        <v>1296</v>
      </c>
      <c r="G501" s="64" t="s">
        <v>1108</v>
      </c>
      <c r="H501" s="284" t="s">
        <v>364</v>
      </c>
      <c r="I501" s="67">
        <v>20.04</v>
      </c>
      <c r="J501" s="107"/>
      <c r="K501" s="67">
        <v>20.04</v>
      </c>
      <c r="L501" s="166"/>
      <c r="M501" s="67">
        <v>19.940000000000001</v>
      </c>
      <c r="N501" s="166"/>
      <c r="O501" s="67">
        <v>19.940000000000001</v>
      </c>
      <c r="P501" s="107"/>
      <c r="Q501" s="129">
        <f t="shared" ref="Q501" si="4128">SUM(AI501+BA501)</f>
        <v>11.972999999999999</v>
      </c>
      <c r="R501" s="350">
        <f t="shared" ref="R501" si="4129">SUM(AJ501+BB501)</f>
        <v>325.12792488939999</v>
      </c>
      <c r="S501" s="129"/>
      <c r="T501" s="129">
        <f t="shared" ref="T501" si="4130">I501*S501*$T$2/1000</f>
        <v>0</v>
      </c>
      <c r="U501" s="129"/>
      <c r="V501" s="184">
        <f t="shared" ref="V501" si="4131">I501*U501*$V$2/1000</f>
        <v>0</v>
      </c>
      <c r="W501" s="222">
        <v>0.76800000000000002</v>
      </c>
      <c r="X501" s="223">
        <f t="shared" ref="X501" si="4132">I501*W501*$X$2/1000</f>
        <v>20.478892032000001</v>
      </c>
      <c r="Y501" s="197">
        <f t="shared" ref="Y501" si="4133">SUM(S501+U501+W501)</f>
        <v>0.76800000000000002</v>
      </c>
      <c r="Z501" s="184">
        <f t="shared" ref="Z501" si="4134">SUM(T501+V501+X501)</f>
        <v>20.478892032000001</v>
      </c>
      <c r="AA501" s="222">
        <v>0.76800000000000002</v>
      </c>
      <c r="AB501" s="223">
        <f t="shared" ref="AB501" si="4135">K501*AA501*$AB$2/1000</f>
        <v>20.994788966399998</v>
      </c>
      <c r="AC501" s="222">
        <v>1.536</v>
      </c>
      <c r="AD501" s="184">
        <f t="shared" ref="AD501" si="4136">K501*AC501*$AD$2/1000</f>
        <v>42.159183667200004</v>
      </c>
      <c r="AE501" s="222"/>
      <c r="AF501" s="206">
        <f t="shared" ref="AF501" si="4137">K501*AE501*$AF$2/1000</f>
        <v>0</v>
      </c>
      <c r="AG501" s="197">
        <f t="shared" ref="AG501" si="4138">SUM(AA501+AC501+AE501)</f>
        <v>2.3040000000000003</v>
      </c>
      <c r="AH501" s="129">
        <f t="shared" ref="AH501" si="4139">SUM(AB501+AD501+AF501)</f>
        <v>63.153972633600006</v>
      </c>
      <c r="AI501" s="129">
        <f t="shared" ref="AI501" si="4140">SUM(Y501+AG501)</f>
        <v>3.0720000000000001</v>
      </c>
      <c r="AJ501" s="184">
        <f t="shared" ref="AJ501" si="4141">SUM(Z501,AH501)</f>
        <v>83.63286466560001</v>
      </c>
      <c r="AK501" s="222">
        <v>1.536</v>
      </c>
      <c r="AL501" s="184">
        <f t="shared" ref="AL501" si="4142">M501*AK501*$AL$2/1000</f>
        <v>42.360752947200005</v>
      </c>
      <c r="AM501" s="253">
        <v>0.76800000000000002</v>
      </c>
      <c r="AN501" s="184">
        <f t="shared" ref="AN501" si="4143">M501*AM501*$AN$2/1000</f>
        <v>20.843776512000002</v>
      </c>
      <c r="AO501" s="222">
        <v>3.0129999999999999</v>
      </c>
      <c r="AP501" s="223">
        <f t="shared" ref="AP501" si="4144">M501*AO501*$AP$2/1000</f>
        <v>80.048951935800005</v>
      </c>
      <c r="AQ501" s="197">
        <f t="shared" ref="AQ501" si="4145">SUM(AK501+AM501+AO501)</f>
        <v>5.3170000000000002</v>
      </c>
      <c r="AR501" s="129">
        <f t="shared" ref="AR501" si="4146">SUM(AL501+AN501+AP501)</f>
        <v>143.25348139499999</v>
      </c>
      <c r="AS501" s="129">
        <v>2.4319999999999999</v>
      </c>
      <c r="AT501" s="184">
        <f t="shared" ref="AT501" si="4147">O501*AS501*$AT$2/1000</f>
        <v>65.850111232000003</v>
      </c>
      <c r="AU501" s="222">
        <v>0.38400000000000001</v>
      </c>
      <c r="AV501" s="184">
        <f t="shared" ref="AV501" si="4148">O501*AU501*$AV$2/1000</f>
        <v>10.655961523200002</v>
      </c>
      <c r="AW501" s="222">
        <v>0.76800000000000002</v>
      </c>
      <c r="AX501" s="223">
        <f t="shared" ref="AX501" si="4149">O501*AW501*$AX$2/1000</f>
        <v>21.7355060736</v>
      </c>
      <c r="AY501" s="197">
        <f t="shared" ref="AY501" si="4150">SUM(AS501+AU501+AW501)</f>
        <v>3.5839999999999996</v>
      </c>
      <c r="AZ501" s="129">
        <f t="shared" ref="AZ501" si="4151">SUM(AT501+AV501+AX501)</f>
        <v>98.241578828800016</v>
      </c>
      <c r="BA501" s="129">
        <f t="shared" ref="BA501" si="4152">SUM(AQ501+AY501)</f>
        <v>8.9009999999999998</v>
      </c>
      <c r="BB501" s="129">
        <f t="shared" ref="BB501" si="4153">SUM(AR501,AZ501)</f>
        <v>241.49506022380001</v>
      </c>
    </row>
    <row r="502" spans="1:54">
      <c r="A502" s="498">
        <v>340</v>
      </c>
      <c r="B502" s="13"/>
      <c r="C502" s="20"/>
      <c r="D502" s="13"/>
      <c r="E502" s="63" t="s">
        <v>1293</v>
      </c>
      <c r="F502" s="550" t="s">
        <v>1297</v>
      </c>
      <c r="G502" s="64" t="s">
        <v>1108</v>
      </c>
      <c r="H502" s="284" t="s">
        <v>364</v>
      </c>
      <c r="I502" s="67">
        <v>24.45</v>
      </c>
      <c r="J502" s="107"/>
      <c r="K502" s="67">
        <v>24.45</v>
      </c>
      <c r="L502" s="166"/>
      <c r="M502" s="67">
        <v>24.33</v>
      </c>
      <c r="N502" s="166"/>
      <c r="O502" s="67">
        <v>24.33</v>
      </c>
      <c r="P502" s="107"/>
      <c r="Q502" s="129">
        <f t="shared" si="4102"/>
        <v>10.152000000000001</v>
      </c>
      <c r="R502" s="350">
        <f t="shared" si="4103"/>
        <v>337.76812655999998</v>
      </c>
      <c r="S502" s="129"/>
      <c r="T502" s="129">
        <f t="shared" si="4104"/>
        <v>0</v>
      </c>
      <c r="U502" s="129">
        <v>0.84</v>
      </c>
      <c r="V502" s="184">
        <f t="shared" ref="V502" si="4154">I502*U502*$V$2/1000</f>
        <v>27.323755200000004</v>
      </c>
      <c r="W502" s="222">
        <v>0.38400000000000001</v>
      </c>
      <c r="X502" s="223">
        <f t="shared" ref="X502" si="4155">I502*W502*$X$2/1000</f>
        <v>12.49273728</v>
      </c>
      <c r="Y502" s="197">
        <f t="shared" si="4105"/>
        <v>1.224</v>
      </c>
      <c r="Z502" s="184">
        <f t="shared" si="4106"/>
        <v>39.816492480000008</v>
      </c>
      <c r="AA502" s="222">
        <v>1.1519999999999999</v>
      </c>
      <c r="AB502" s="223">
        <f t="shared" si="4107"/>
        <v>38.422349567999987</v>
      </c>
      <c r="AC502" s="222">
        <v>0.38400000000000001</v>
      </c>
      <c r="AD502" s="184">
        <f t="shared" si="4108"/>
        <v>12.859182144</v>
      </c>
      <c r="AE502" s="222">
        <v>0.76800000000000002</v>
      </c>
      <c r="AF502" s="206">
        <f t="shared" si="4109"/>
        <v>25.891118207999998</v>
      </c>
      <c r="AG502" s="197">
        <f t="shared" si="4110"/>
        <v>2.3040000000000003</v>
      </c>
      <c r="AH502" s="129">
        <f t="shared" si="4111"/>
        <v>77.172649919999984</v>
      </c>
      <c r="AI502" s="129">
        <f t="shared" si="4112"/>
        <v>3.5280000000000005</v>
      </c>
      <c r="AJ502" s="184">
        <f t="shared" si="4113"/>
        <v>116.98914239999999</v>
      </c>
      <c r="AK502" s="222">
        <v>0.76800000000000002</v>
      </c>
      <c r="AL502" s="184">
        <f t="shared" si="4114"/>
        <v>25.843458355199996</v>
      </c>
      <c r="AM502" s="253">
        <v>0.86399999999999999</v>
      </c>
      <c r="AN502" s="184">
        <f t="shared" si="4115"/>
        <v>28.611846432</v>
      </c>
      <c r="AO502" s="222">
        <v>1.536</v>
      </c>
      <c r="AP502" s="223">
        <f t="shared" si="4116"/>
        <v>49.792586803200003</v>
      </c>
      <c r="AQ502" s="197">
        <f t="shared" si="4117"/>
        <v>3.1680000000000001</v>
      </c>
      <c r="AR502" s="129">
        <f t="shared" si="4118"/>
        <v>104.2478915904</v>
      </c>
      <c r="AS502" s="129">
        <v>1.536</v>
      </c>
      <c r="AT502" s="184">
        <f t="shared" si="4119"/>
        <v>50.745917952000006</v>
      </c>
      <c r="AU502" s="222">
        <v>0.76800000000000002</v>
      </c>
      <c r="AV502" s="184">
        <f t="shared" si="4120"/>
        <v>26.003966284800001</v>
      </c>
      <c r="AW502" s="222">
        <v>1.1519999999999999</v>
      </c>
      <c r="AX502" s="223">
        <f t="shared" si="4121"/>
        <v>39.781208332799991</v>
      </c>
      <c r="AY502" s="197">
        <f t="shared" si="4122"/>
        <v>3.4560000000000004</v>
      </c>
      <c r="AZ502" s="129">
        <f t="shared" si="4123"/>
        <v>116.53109256959999</v>
      </c>
      <c r="BA502" s="129">
        <f t="shared" si="4124"/>
        <v>6.6240000000000006</v>
      </c>
      <c r="BB502" s="129">
        <f t="shared" si="4125"/>
        <v>220.77898415999999</v>
      </c>
    </row>
    <row r="503" spans="1:54">
      <c r="A503" s="498">
        <v>340</v>
      </c>
      <c r="B503" s="13"/>
      <c r="C503" s="20"/>
      <c r="D503" s="13"/>
      <c r="E503" s="63" t="s">
        <v>1294</v>
      </c>
      <c r="F503" s="550" t="s">
        <v>1298</v>
      </c>
      <c r="G503" s="64" t="s">
        <v>1108</v>
      </c>
      <c r="H503" s="284" t="s">
        <v>364</v>
      </c>
      <c r="I503" s="67">
        <v>21.75</v>
      </c>
      <c r="J503" s="107"/>
      <c r="K503" s="67">
        <v>21.75</v>
      </c>
      <c r="L503" s="166"/>
      <c r="M503" s="67">
        <v>21.64</v>
      </c>
      <c r="N503" s="166"/>
      <c r="O503" s="67">
        <v>21.64</v>
      </c>
      <c r="P503" s="107"/>
      <c r="Q503" s="129">
        <f t="shared" si="4034"/>
        <v>30.925999999999998</v>
      </c>
      <c r="R503" s="350">
        <f t="shared" si="4035"/>
        <v>911.61596067519997</v>
      </c>
      <c r="S503" s="129">
        <v>1.1519999999999999</v>
      </c>
      <c r="T503" s="129">
        <f t="shared" si="4036"/>
        <v>33.121275840000003</v>
      </c>
      <c r="U503" s="129">
        <v>2.4300000000000002</v>
      </c>
      <c r="V503" s="184">
        <f t="shared" si="4037"/>
        <v>70.314966000000013</v>
      </c>
      <c r="W503" s="222">
        <v>2.3039999999999998</v>
      </c>
      <c r="X503" s="223">
        <f t="shared" si="4038"/>
        <v>66.679027199999979</v>
      </c>
      <c r="Y503" s="197">
        <f t="shared" si="4039"/>
        <v>5.8859999999999992</v>
      </c>
      <c r="Z503" s="184">
        <f t="shared" si="4040"/>
        <v>170.11526903999999</v>
      </c>
      <c r="AA503" s="222">
        <v>3.0720000000000001</v>
      </c>
      <c r="AB503" s="223">
        <f t="shared" si="4041"/>
        <v>91.145041919999997</v>
      </c>
      <c r="AC503" s="222">
        <v>4.2240000000000002</v>
      </c>
      <c r="AD503" s="184">
        <f t="shared" si="4042"/>
        <v>125.83064736</v>
      </c>
      <c r="AE503" s="222">
        <v>2.6880000000000002</v>
      </c>
      <c r="AF503" s="206">
        <f t="shared" si="4058"/>
        <v>80.611917120000001</v>
      </c>
      <c r="AG503" s="197">
        <f t="shared" si="4043"/>
        <v>9.984</v>
      </c>
      <c r="AH503" s="129">
        <f t="shared" si="4044"/>
        <v>297.58760639999997</v>
      </c>
      <c r="AI503" s="129">
        <f t="shared" si="4045"/>
        <v>15.87</v>
      </c>
      <c r="AJ503" s="184">
        <f t="shared" si="4046"/>
        <v>467.70287543999996</v>
      </c>
      <c r="AK503" s="222">
        <v>4.3040000000000003</v>
      </c>
      <c r="AL503" s="184">
        <f t="shared" si="4047"/>
        <v>128.8180795648</v>
      </c>
      <c r="AM503" s="253">
        <v>3.456</v>
      </c>
      <c r="AN503" s="184">
        <f t="shared" si="4048"/>
        <v>101.793729024</v>
      </c>
      <c r="AO503" s="222">
        <v>3.456</v>
      </c>
      <c r="AP503" s="223">
        <f t="shared" si="4059"/>
        <v>99.646570137600008</v>
      </c>
      <c r="AQ503" s="197">
        <f t="shared" si="4049"/>
        <v>11.215999999999999</v>
      </c>
      <c r="AR503" s="129">
        <f t="shared" si="4050"/>
        <v>330.2583787264</v>
      </c>
      <c r="AS503" s="129">
        <v>2.88</v>
      </c>
      <c r="AT503" s="184">
        <f t="shared" si="4051"/>
        <v>84.628673280000001</v>
      </c>
      <c r="AU503" s="222">
        <v>0.76800000000000002</v>
      </c>
      <c r="AV503" s="184">
        <f t="shared" si="4052"/>
        <v>23.128887398400003</v>
      </c>
      <c r="AW503" s="222">
        <v>0.192</v>
      </c>
      <c r="AX503" s="223">
        <f t="shared" si="4053"/>
        <v>5.8971458303999995</v>
      </c>
      <c r="AY503" s="197">
        <f t="shared" si="4054"/>
        <v>3.84</v>
      </c>
      <c r="AZ503" s="129">
        <f t="shared" si="4055"/>
        <v>113.65470650880002</v>
      </c>
      <c r="BA503" s="129">
        <f t="shared" si="4056"/>
        <v>15.055999999999999</v>
      </c>
      <c r="BB503" s="129">
        <f t="shared" si="4057"/>
        <v>443.91308523520001</v>
      </c>
    </row>
    <row r="504" spans="1:54">
      <c r="A504" s="498">
        <v>341</v>
      </c>
      <c r="B504" s="13"/>
      <c r="C504" s="20"/>
      <c r="D504" s="13"/>
      <c r="E504" s="63" t="s">
        <v>206</v>
      </c>
      <c r="F504" s="64" t="s">
        <v>207</v>
      </c>
      <c r="G504" s="64" t="s">
        <v>1105</v>
      </c>
      <c r="H504" s="284" t="s">
        <v>364</v>
      </c>
      <c r="I504" s="67">
        <v>16.48</v>
      </c>
      <c r="J504" s="107"/>
      <c r="K504" s="67">
        <v>16.48</v>
      </c>
      <c r="L504" s="166"/>
      <c r="M504" s="67">
        <v>16.48</v>
      </c>
      <c r="N504" s="166"/>
      <c r="O504" s="67">
        <v>16.48</v>
      </c>
      <c r="P504" s="107"/>
      <c r="Q504" s="129">
        <f t="shared" si="4034"/>
        <v>0</v>
      </c>
      <c r="R504" s="350">
        <f t="shared" si="4035"/>
        <v>0</v>
      </c>
      <c r="S504" s="129"/>
      <c r="T504" s="129">
        <f t="shared" si="4036"/>
        <v>0</v>
      </c>
      <c r="U504" s="129"/>
      <c r="V504" s="184">
        <f t="shared" si="4037"/>
        <v>0</v>
      </c>
      <c r="W504" s="222"/>
      <c r="X504" s="223">
        <f t="shared" si="4038"/>
        <v>0</v>
      </c>
      <c r="Y504" s="197">
        <f t="shared" si="4039"/>
        <v>0</v>
      </c>
      <c r="Z504" s="184">
        <f t="shared" si="4040"/>
        <v>0</v>
      </c>
      <c r="AA504" s="222"/>
      <c r="AB504" s="223">
        <f t="shared" si="4041"/>
        <v>0</v>
      </c>
      <c r="AC504" s="222"/>
      <c r="AD504" s="184">
        <f t="shared" si="4042"/>
        <v>0</v>
      </c>
      <c r="AE504" s="222"/>
      <c r="AF504" s="206">
        <f t="shared" si="4058"/>
        <v>0</v>
      </c>
      <c r="AG504" s="197">
        <f t="shared" si="4043"/>
        <v>0</v>
      </c>
      <c r="AH504" s="129">
        <f t="shared" si="4044"/>
        <v>0</v>
      </c>
      <c r="AI504" s="129">
        <f t="shared" si="4045"/>
        <v>0</v>
      </c>
      <c r="AJ504" s="184">
        <f t="shared" si="4046"/>
        <v>0</v>
      </c>
      <c r="AK504" s="222"/>
      <c r="AL504" s="184">
        <f t="shared" si="4047"/>
        <v>0</v>
      </c>
      <c r="AM504" s="253"/>
      <c r="AN504" s="184">
        <f t="shared" si="4048"/>
        <v>0</v>
      </c>
      <c r="AO504" s="222"/>
      <c r="AP504" s="223">
        <f>M504*AO504*$AP$2/1000</f>
        <v>0</v>
      </c>
      <c r="AQ504" s="197">
        <f t="shared" si="4049"/>
        <v>0</v>
      </c>
      <c r="AR504" s="129">
        <f t="shared" si="4050"/>
        <v>0</v>
      </c>
      <c r="AS504" s="129"/>
      <c r="AT504" s="184">
        <f t="shared" si="4051"/>
        <v>0</v>
      </c>
      <c r="AU504" s="222"/>
      <c r="AV504" s="184">
        <f t="shared" si="4052"/>
        <v>0</v>
      </c>
      <c r="AW504" s="222"/>
      <c r="AX504" s="223">
        <f t="shared" si="4053"/>
        <v>0</v>
      </c>
      <c r="AY504" s="197">
        <f t="shared" si="4054"/>
        <v>0</v>
      </c>
      <c r="AZ504" s="129">
        <f t="shared" si="4055"/>
        <v>0</v>
      </c>
      <c r="BA504" s="129">
        <f t="shared" si="4056"/>
        <v>0</v>
      </c>
      <c r="BB504" s="129">
        <f t="shared" si="4057"/>
        <v>0</v>
      </c>
    </row>
    <row r="505" spans="1:54">
      <c r="A505" s="498">
        <v>342</v>
      </c>
      <c r="B505" s="13"/>
      <c r="C505" s="20"/>
      <c r="D505" s="13"/>
      <c r="E505" s="21" t="s">
        <v>208</v>
      </c>
      <c r="F505" s="22" t="s">
        <v>209</v>
      </c>
      <c r="G505" s="22" t="s">
        <v>1105</v>
      </c>
      <c r="H505" s="268" t="s">
        <v>364</v>
      </c>
      <c r="I505" s="55">
        <v>21.47</v>
      </c>
      <c r="J505" s="102"/>
      <c r="K505" s="55">
        <v>21.47</v>
      </c>
      <c r="L505" s="163"/>
      <c r="M505" s="55">
        <v>21.47</v>
      </c>
      <c r="N505" s="163"/>
      <c r="O505" s="55">
        <v>21.47</v>
      </c>
      <c r="P505" s="102"/>
      <c r="Q505" s="97">
        <f t="shared" si="4034"/>
        <v>0</v>
      </c>
      <c r="R505" s="342">
        <f t="shared" si="4035"/>
        <v>0</v>
      </c>
      <c r="S505" s="97"/>
      <c r="T505" s="97">
        <f t="shared" si="4036"/>
        <v>0</v>
      </c>
      <c r="U505" s="97"/>
      <c r="V505" s="177">
        <f t="shared" si="4037"/>
        <v>0</v>
      </c>
      <c r="W505" s="207"/>
      <c r="X505" s="206">
        <f t="shared" si="4038"/>
        <v>0</v>
      </c>
      <c r="Y505" s="189">
        <f t="shared" si="4039"/>
        <v>0</v>
      </c>
      <c r="Z505" s="177">
        <f t="shared" si="4040"/>
        <v>0</v>
      </c>
      <c r="AA505" s="207"/>
      <c r="AB505" s="206">
        <f t="shared" si="4041"/>
        <v>0</v>
      </c>
      <c r="AC505" s="207"/>
      <c r="AD505" s="177">
        <f t="shared" si="4042"/>
        <v>0</v>
      </c>
      <c r="AE505" s="207"/>
      <c r="AF505" s="206">
        <f t="shared" si="4058"/>
        <v>0</v>
      </c>
      <c r="AG505" s="189">
        <f t="shared" si="4043"/>
        <v>0</v>
      </c>
      <c r="AH505" s="97">
        <f t="shared" si="4044"/>
        <v>0</v>
      </c>
      <c r="AI505" s="97">
        <f t="shared" si="4045"/>
        <v>0</v>
      </c>
      <c r="AJ505" s="177">
        <f t="shared" si="4046"/>
        <v>0</v>
      </c>
      <c r="AK505" s="207"/>
      <c r="AL505" s="177">
        <f t="shared" si="4047"/>
        <v>0</v>
      </c>
      <c r="AM505" s="245"/>
      <c r="AN505" s="177">
        <f t="shared" si="4048"/>
        <v>0</v>
      </c>
      <c r="AO505" s="207"/>
      <c r="AP505" s="206">
        <f t="shared" si="4059"/>
        <v>0</v>
      </c>
      <c r="AQ505" s="189">
        <f t="shared" si="4049"/>
        <v>0</v>
      </c>
      <c r="AR505" s="97">
        <f t="shared" si="4050"/>
        <v>0</v>
      </c>
      <c r="AS505" s="97"/>
      <c r="AT505" s="177">
        <f t="shared" si="4051"/>
        <v>0</v>
      </c>
      <c r="AU505" s="207"/>
      <c r="AV505" s="177">
        <f t="shared" si="4052"/>
        <v>0</v>
      </c>
      <c r="AW505" s="207"/>
      <c r="AX505" s="206">
        <f t="shared" si="4053"/>
        <v>0</v>
      </c>
      <c r="AY505" s="189">
        <f t="shared" si="4054"/>
        <v>0</v>
      </c>
      <c r="AZ505" s="97">
        <f t="shared" si="4055"/>
        <v>0</v>
      </c>
      <c r="BA505" s="97">
        <f t="shared" si="4056"/>
        <v>0</v>
      </c>
      <c r="BB505" s="97">
        <f t="shared" si="4057"/>
        <v>0</v>
      </c>
    </row>
    <row r="506" spans="1:54">
      <c r="A506" s="498">
        <v>343</v>
      </c>
      <c r="B506" s="13"/>
      <c r="C506" s="20"/>
      <c r="D506" s="24"/>
      <c r="E506" s="51" t="s">
        <v>210</v>
      </c>
      <c r="F506" s="37" t="s">
        <v>211</v>
      </c>
      <c r="G506" s="37" t="s">
        <v>1105</v>
      </c>
      <c r="H506" s="275" t="s">
        <v>364</v>
      </c>
      <c r="I506" s="58">
        <v>18.36</v>
      </c>
      <c r="J506" s="108"/>
      <c r="K506" s="58">
        <v>18.36</v>
      </c>
      <c r="L506" s="167"/>
      <c r="M506" s="58">
        <v>18.36</v>
      </c>
      <c r="N506" s="167"/>
      <c r="O506" s="58">
        <v>18.36</v>
      </c>
      <c r="P506" s="108"/>
      <c r="Q506" s="95">
        <f t="shared" si="4034"/>
        <v>0</v>
      </c>
      <c r="R506" s="343">
        <f t="shared" si="4035"/>
        <v>0</v>
      </c>
      <c r="S506" s="95"/>
      <c r="T506" s="95">
        <f t="shared" si="4036"/>
        <v>0</v>
      </c>
      <c r="U506" s="95"/>
      <c r="V506" s="181">
        <f t="shared" si="4037"/>
        <v>0</v>
      </c>
      <c r="W506" s="214"/>
      <c r="X506" s="215">
        <f t="shared" si="4038"/>
        <v>0</v>
      </c>
      <c r="Y506" s="193">
        <f t="shared" si="4039"/>
        <v>0</v>
      </c>
      <c r="Z506" s="181">
        <f t="shared" si="4040"/>
        <v>0</v>
      </c>
      <c r="AA506" s="214"/>
      <c r="AB506" s="215">
        <f t="shared" si="4041"/>
        <v>0</v>
      </c>
      <c r="AC506" s="214"/>
      <c r="AD506" s="181">
        <f t="shared" si="4042"/>
        <v>0</v>
      </c>
      <c r="AE506" s="214"/>
      <c r="AF506" s="223">
        <f t="shared" si="4058"/>
        <v>0</v>
      </c>
      <c r="AG506" s="193">
        <f t="shared" si="4043"/>
        <v>0</v>
      </c>
      <c r="AH506" s="95">
        <f t="shared" si="4044"/>
        <v>0</v>
      </c>
      <c r="AI506" s="95">
        <f t="shared" si="4045"/>
        <v>0</v>
      </c>
      <c r="AJ506" s="181">
        <f t="shared" si="4046"/>
        <v>0</v>
      </c>
      <c r="AK506" s="214"/>
      <c r="AL506" s="181">
        <f t="shared" si="4047"/>
        <v>0</v>
      </c>
      <c r="AM506" s="249"/>
      <c r="AN506" s="181">
        <f t="shared" si="4048"/>
        <v>0</v>
      </c>
      <c r="AO506" s="214"/>
      <c r="AP506" s="215">
        <f>M506*AO506*$AP$2/1000</f>
        <v>0</v>
      </c>
      <c r="AQ506" s="193">
        <f t="shared" si="4049"/>
        <v>0</v>
      </c>
      <c r="AR506" s="95">
        <f t="shared" si="4050"/>
        <v>0</v>
      </c>
      <c r="AS506" s="95"/>
      <c r="AT506" s="181">
        <f t="shared" si="4051"/>
        <v>0</v>
      </c>
      <c r="AU506" s="214"/>
      <c r="AV506" s="181">
        <f t="shared" si="4052"/>
        <v>0</v>
      </c>
      <c r="AW506" s="214"/>
      <c r="AX506" s="215">
        <f t="shared" si="4053"/>
        <v>0</v>
      </c>
      <c r="AY506" s="193">
        <f t="shared" si="4054"/>
        <v>0</v>
      </c>
      <c r="AZ506" s="95">
        <f t="shared" si="4055"/>
        <v>0</v>
      </c>
      <c r="BA506" s="95">
        <f t="shared" si="4056"/>
        <v>0</v>
      </c>
      <c r="BB506" s="95">
        <f t="shared" si="4057"/>
        <v>0</v>
      </c>
    </row>
    <row r="507" spans="1:54">
      <c r="A507" s="498">
        <v>344</v>
      </c>
      <c r="B507" s="15"/>
      <c r="C507" s="27" t="s">
        <v>135</v>
      </c>
      <c r="D507" s="28"/>
      <c r="E507" s="28"/>
      <c r="F507" s="28"/>
      <c r="G507" s="28"/>
      <c r="H507" s="272"/>
      <c r="I507" s="30"/>
      <c r="J507" s="100"/>
      <c r="K507" s="30"/>
      <c r="L507" s="161"/>
      <c r="M507" s="30"/>
      <c r="N507" s="161"/>
      <c r="O507" s="140"/>
      <c r="P507" s="100"/>
      <c r="Q507" s="121">
        <f t="shared" ref="Q507:BB507" si="4156">SUM(Q488:Q506)</f>
        <v>215.50099999999998</v>
      </c>
      <c r="R507" s="121">
        <f t="shared" si="4156"/>
        <v>3136.0314556896001</v>
      </c>
      <c r="S507" s="121">
        <f t="shared" si="4156"/>
        <v>11.391999999999998</v>
      </c>
      <c r="T507" s="121">
        <f t="shared" si="4156"/>
        <v>123.28210518</v>
      </c>
      <c r="U507" s="121">
        <f t="shared" si="4156"/>
        <v>18.39</v>
      </c>
      <c r="V507" s="121">
        <f t="shared" si="4156"/>
        <v>233.20541688000003</v>
      </c>
      <c r="W507" s="121">
        <f>SUM(W488:W506)</f>
        <v>20.196000000000002</v>
      </c>
      <c r="X507" s="121">
        <f t="shared" si="4156"/>
        <v>250.82331595199997</v>
      </c>
      <c r="Y507" s="121">
        <f t="shared" si="4156"/>
        <v>49.977999999999994</v>
      </c>
      <c r="Z507" s="121">
        <f t="shared" si="4156"/>
        <v>607.31083801199998</v>
      </c>
      <c r="AA507" s="121">
        <f>SUM(AA488:AA506)</f>
        <v>16.462</v>
      </c>
      <c r="AB507" s="121">
        <f t="shared" si="4156"/>
        <v>259.5406359584</v>
      </c>
      <c r="AC507" s="121">
        <f t="shared" si="4156"/>
        <v>32.554000000000002</v>
      </c>
      <c r="AD507" s="121">
        <f t="shared" si="4156"/>
        <v>425.23113533020006</v>
      </c>
      <c r="AE507" s="121">
        <f>SUM(AE488:AE506)</f>
        <v>21.515999999999998</v>
      </c>
      <c r="AF507" s="126">
        <f>SUM(AF488:AF506)</f>
        <v>273.17104193999995</v>
      </c>
      <c r="AG507" s="121">
        <f t="shared" si="4156"/>
        <v>70.531999999999996</v>
      </c>
      <c r="AH507" s="121">
        <f t="shared" si="4156"/>
        <v>957.94281322860002</v>
      </c>
      <c r="AI507" s="121">
        <f t="shared" si="4156"/>
        <v>120.51000000000003</v>
      </c>
      <c r="AJ507" s="121">
        <f t="shared" si="4156"/>
        <v>1565.2536512406</v>
      </c>
      <c r="AK507" s="121">
        <f t="shared" si="4156"/>
        <v>18.968000000000004</v>
      </c>
      <c r="AL507" s="121">
        <f t="shared" si="4156"/>
        <v>318.49820726719997</v>
      </c>
      <c r="AM507" s="121">
        <f t="shared" si="4156"/>
        <v>15.918000000000001</v>
      </c>
      <c r="AN507" s="121">
        <f t="shared" si="4156"/>
        <v>268.71459583799998</v>
      </c>
      <c r="AO507" s="121">
        <f t="shared" si="4156"/>
        <v>15.254999999999999</v>
      </c>
      <c r="AP507" s="121">
        <f t="shared" si="4156"/>
        <v>307.42639516560007</v>
      </c>
      <c r="AQ507" s="121">
        <f t="shared" si="4156"/>
        <v>50.140999999999998</v>
      </c>
      <c r="AR507" s="121">
        <f t="shared" si="4156"/>
        <v>894.63919827080008</v>
      </c>
      <c r="AS507" s="121">
        <f t="shared" si="4156"/>
        <v>14.327999999999999</v>
      </c>
      <c r="AT507" s="121">
        <f t="shared" si="4156"/>
        <v>286.40169576400001</v>
      </c>
      <c r="AU507" s="121">
        <f t="shared" si="4156"/>
        <v>10.160000000000002</v>
      </c>
      <c r="AV507" s="121">
        <f t="shared" si="4156"/>
        <v>146.95077731040001</v>
      </c>
      <c r="AW507" s="121">
        <f t="shared" si="4156"/>
        <v>20.362000000000002</v>
      </c>
      <c r="AX507" s="121">
        <f t="shared" si="4156"/>
        <v>242.78613310379998</v>
      </c>
      <c r="AY507" s="121">
        <f t="shared" si="4156"/>
        <v>44.850000000000009</v>
      </c>
      <c r="AZ507" s="121">
        <f t="shared" si="4156"/>
        <v>676.13860617820001</v>
      </c>
      <c r="BA507" s="121">
        <f t="shared" si="4156"/>
        <v>94.990999999999985</v>
      </c>
      <c r="BB507" s="121">
        <f t="shared" si="4156"/>
        <v>1570.7778044490001</v>
      </c>
    </row>
    <row r="508" spans="1:54">
      <c r="A508" s="498">
        <v>345</v>
      </c>
      <c r="B508" s="14"/>
      <c r="C508" s="447" t="s">
        <v>940</v>
      </c>
      <c r="D508" s="53" t="s">
        <v>613</v>
      </c>
      <c r="E508" s="369" t="s">
        <v>941</v>
      </c>
      <c r="F508" s="468" t="s">
        <v>943</v>
      </c>
      <c r="G508" s="314" t="s">
        <v>1105</v>
      </c>
      <c r="H508" s="274" t="s">
        <v>364</v>
      </c>
      <c r="I508" s="55">
        <v>9.06</v>
      </c>
      <c r="J508" s="102"/>
      <c r="K508" s="55">
        <v>9.06</v>
      </c>
      <c r="L508" s="163"/>
      <c r="M508" s="55">
        <v>9.06</v>
      </c>
      <c r="N508" s="163"/>
      <c r="O508" s="55">
        <v>9.06</v>
      </c>
      <c r="P508" s="102"/>
      <c r="Q508" s="122">
        <f>SUM(AI508+BA508)</f>
        <v>0</v>
      </c>
      <c r="R508" s="346">
        <f>SUM(AJ508+BB508)</f>
        <v>0</v>
      </c>
      <c r="S508" s="97"/>
      <c r="T508" s="122">
        <f>I508*S508*$T$2/1000</f>
        <v>0</v>
      </c>
      <c r="U508" s="97"/>
      <c r="V508" s="213">
        <f t="shared" ref="V508:V509" si="4157">I508*U508*$V$2/1000</f>
        <v>0</v>
      </c>
      <c r="W508" s="207"/>
      <c r="X508" s="206">
        <f>I508*W508*$X$2/1000</f>
        <v>0</v>
      </c>
      <c r="Y508" s="212">
        <f>SUM(S508+U508+W508)</f>
        <v>0</v>
      </c>
      <c r="Z508" s="213">
        <f>SUM(T508+V508+X508)</f>
        <v>0</v>
      </c>
      <c r="AA508" s="207"/>
      <c r="AB508" s="213">
        <f>K508*AA508*$AB$2/1000</f>
        <v>0</v>
      </c>
      <c r="AC508" s="207"/>
      <c r="AD508" s="213">
        <f>K508*AC508*$AD$2/1000</f>
        <v>0</v>
      </c>
      <c r="AE508" s="207"/>
      <c r="AF508" s="213">
        <f>K508*AE508*$AF$2/1000</f>
        <v>0</v>
      </c>
      <c r="AG508" s="189">
        <f>SUM(AA508+AC508+AE508)</f>
        <v>0</v>
      </c>
      <c r="AH508" s="96">
        <f>SUM(AB508+AD508+AF508)</f>
        <v>0</v>
      </c>
      <c r="AI508" s="441">
        <f>SUM(Y508+AG508)</f>
        <v>0</v>
      </c>
      <c r="AJ508" s="442">
        <f>SUM(Z508,AH508)</f>
        <v>0</v>
      </c>
      <c r="AK508" s="207"/>
      <c r="AL508" s="446">
        <f>M508*AK508*$AL$2/1000</f>
        <v>0</v>
      </c>
      <c r="AM508" s="245"/>
      <c r="AN508" s="181">
        <f>M508*AM508*$AN$2/1000</f>
        <v>0</v>
      </c>
      <c r="AO508" s="207"/>
      <c r="AP508" s="215">
        <f>M508*AO508*$AP$2/1000</f>
        <v>0</v>
      </c>
      <c r="AQ508" s="193">
        <f>SUM(AK508+AM508+AO508)</f>
        <v>0</v>
      </c>
      <c r="AR508" s="95">
        <f>SUM(AL508+AN508+AP508)</f>
        <v>0</v>
      </c>
      <c r="AS508" s="97"/>
      <c r="AT508" s="181">
        <f>O508*AS508*$AT$2/1000</f>
        <v>0</v>
      </c>
      <c r="AU508" s="207"/>
      <c r="AV508" s="181">
        <f>O508*AU508*$AV$2/1000</f>
        <v>0</v>
      </c>
      <c r="AW508" s="207"/>
      <c r="AX508" s="215">
        <f>O508*AW508*$AX$2/1000</f>
        <v>0</v>
      </c>
      <c r="AY508" s="193">
        <f t="shared" ref="AY508:AY509" si="4158">SUM(AS508+AU508+AW508)</f>
        <v>0</v>
      </c>
      <c r="AZ508" s="98">
        <f t="shared" ref="AZ508:AZ509" si="4159">SUM(AT508+AV508+AX508)</f>
        <v>0</v>
      </c>
      <c r="BA508" s="98">
        <f>SUM(AQ508+AY508)</f>
        <v>0</v>
      </c>
      <c r="BB508" s="98">
        <f>SUM(AR508,AZ508)</f>
        <v>0</v>
      </c>
    </row>
    <row r="509" spans="1:54">
      <c r="A509" s="498">
        <v>346</v>
      </c>
      <c r="B509" s="14"/>
      <c r="C509" s="14"/>
      <c r="D509" s="13"/>
      <c r="E509" s="448" t="s">
        <v>942</v>
      </c>
      <c r="F509" s="467" t="s">
        <v>944</v>
      </c>
      <c r="G509" s="65" t="s">
        <v>1105</v>
      </c>
      <c r="H509" s="268" t="s">
        <v>364</v>
      </c>
      <c r="I509" s="55">
        <v>8.7799999999999994</v>
      </c>
      <c r="J509" s="102"/>
      <c r="K509" s="55">
        <v>8.7799999999999994</v>
      </c>
      <c r="L509" s="163"/>
      <c r="M509" s="55">
        <v>8.7799999999999994</v>
      </c>
      <c r="N509" s="163"/>
      <c r="O509" s="55">
        <v>8.7799999999999994</v>
      </c>
      <c r="P509" s="102"/>
      <c r="Q509" s="97">
        <f>SUM(AI509+BA509)</f>
        <v>0</v>
      </c>
      <c r="R509" s="342">
        <f t="shared" ref="R509" si="4160">SUM(AJ509+BB509)</f>
        <v>0</v>
      </c>
      <c r="S509" s="97"/>
      <c r="T509" s="97">
        <f t="shared" ref="T509" si="4161">I509*S509*$T$2/1000</f>
        <v>0</v>
      </c>
      <c r="U509" s="97"/>
      <c r="V509" s="206">
        <f t="shared" si="4157"/>
        <v>0</v>
      </c>
      <c r="W509" s="207"/>
      <c r="X509" s="206">
        <f t="shared" ref="X509" si="4162">I509*W509*$X$2/1000</f>
        <v>0</v>
      </c>
      <c r="Y509" s="189">
        <f>SUM(S509+U509+W509)</f>
        <v>0</v>
      </c>
      <c r="Z509" s="206">
        <f t="shared" ref="Z509" si="4163">SUM(T509+V509+X509)</f>
        <v>0</v>
      </c>
      <c r="AA509" s="207"/>
      <c r="AB509" s="206">
        <f>K509*AA509*$AB$2/1000</f>
        <v>0</v>
      </c>
      <c r="AC509" s="207"/>
      <c r="AD509" s="206">
        <f>K509*AC509*$AD$2/1000</f>
        <v>0</v>
      </c>
      <c r="AE509" s="207"/>
      <c r="AF509" s="206">
        <f>K509*AE509*$AF$2/1000</f>
        <v>0</v>
      </c>
      <c r="AG509" s="189">
        <f>SUM(AA509+AC509+AE509)</f>
        <v>0</v>
      </c>
      <c r="AH509" s="96">
        <f t="shared" ref="AH509" si="4164">SUM(AB509+AD509+AF509)</f>
        <v>0</v>
      </c>
      <c r="AI509" s="443">
        <f t="shared" ref="AI509" si="4165">SUM(Y509+AG509)</f>
        <v>0</v>
      </c>
      <c r="AJ509" s="444">
        <f t="shared" ref="AJ509" si="4166">SUM(Z509,AH509)</f>
        <v>0</v>
      </c>
      <c r="AK509" s="207"/>
      <c r="AL509" s="445">
        <f t="shared" ref="AL509" si="4167">M509*AK509*$AL$2/1000</f>
        <v>0</v>
      </c>
      <c r="AM509" s="245"/>
      <c r="AN509" s="181">
        <f t="shared" ref="AN509" si="4168">M509*AM509*$AN$2/1000</f>
        <v>0</v>
      </c>
      <c r="AO509" s="207"/>
      <c r="AP509" s="215">
        <f t="shared" ref="AP509" si="4169">M509*AO509*$AP$2/1000</f>
        <v>0</v>
      </c>
      <c r="AQ509" s="193">
        <f>SUM(AK509+AM509+AO509)</f>
        <v>0</v>
      </c>
      <c r="AR509" s="95">
        <f>SUM(AL509+AN509+AP509)</f>
        <v>0</v>
      </c>
      <c r="AS509" s="97"/>
      <c r="AT509" s="181">
        <f t="shared" ref="AT509" si="4170">O509*AS509*$AT$2/1000</f>
        <v>0</v>
      </c>
      <c r="AU509" s="207"/>
      <c r="AV509" s="181">
        <f>O509*AU509*$AV$2/1000</f>
        <v>0</v>
      </c>
      <c r="AW509" s="207"/>
      <c r="AX509" s="215">
        <f>O509*AW509*$AX$2/1000</f>
        <v>0</v>
      </c>
      <c r="AY509" s="193">
        <f t="shared" si="4158"/>
        <v>0</v>
      </c>
      <c r="AZ509" s="98">
        <f t="shared" si="4159"/>
        <v>0</v>
      </c>
      <c r="BA509" s="98">
        <f>SUM(AQ509+AY509)</f>
        <v>0</v>
      </c>
      <c r="BB509" s="98">
        <f t="shared" ref="BB509" si="4171">SUM(AR509,AZ509)</f>
        <v>0</v>
      </c>
    </row>
    <row r="510" spans="1:54">
      <c r="A510" s="498">
        <v>347</v>
      </c>
      <c r="B510" s="26"/>
      <c r="C510" s="27" t="s">
        <v>135</v>
      </c>
      <c r="D510" s="28"/>
      <c r="E510" s="28"/>
      <c r="F510" s="28"/>
      <c r="G510" s="28"/>
      <c r="H510" s="272"/>
      <c r="I510" s="29"/>
      <c r="J510" s="103"/>
      <c r="K510" s="29"/>
      <c r="L510" s="29"/>
      <c r="M510" s="29"/>
      <c r="N510" s="29"/>
      <c r="O510" s="139"/>
      <c r="P510" s="103"/>
      <c r="Q510" s="121">
        <f t="shared" ref="Q510:BB510" si="4172">SUM(Q508:Q509)</f>
        <v>0</v>
      </c>
      <c r="R510" s="121">
        <f t="shared" si="4172"/>
        <v>0</v>
      </c>
      <c r="S510" s="121">
        <f t="shared" si="4172"/>
        <v>0</v>
      </c>
      <c r="T510" s="121">
        <f t="shared" si="4172"/>
        <v>0</v>
      </c>
      <c r="U510" s="121">
        <f t="shared" si="4172"/>
        <v>0</v>
      </c>
      <c r="V510" s="121">
        <f t="shared" si="4172"/>
        <v>0</v>
      </c>
      <c r="W510" s="121">
        <f t="shared" si="4172"/>
        <v>0</v>
      </c>
      <c r="X510" s="121">
        <f t="shared" si="4172"/>
        <v>0</v>
      </c>
      <c r="Y510" s="121">
        <f t="shared" si="4172"/>
        <v>0</v>
      </c>
      <c r="Z510" s="121">
        <f t="shared" si="4172"/>
        <v>0</v>
      </c>
      <c r="AA510" s="121">
        <f t="shared" si="4172"/>
        <v>0</v>
      </c>
      <c r="AB510" s="121">
        <f t="shared" si="4172"/>
        <v>0</v>
      </c>
      <c r="AC510" s="121">
        <f t="shared" si="4172"/>
        <v>0</v>
      </c>
      <c r="AD510" s="121">
        <f t="shared" si="4172"/>
        <v>0</v>
      </c>
      <c r="AE510" s="121">
        <f>SUM(AE508:AE509)</f>
        <v>0</v>
      </c>
      <c r="AF510" s="121">
        <f>SUM(AF508:AF509)</f>
        <v>0</v>
      </c>
      <c r="AG510" s="121">
        <f t="shared" si="4172"/>
        <v>0</v>
      </c>
      <c r="AH510" s="121">
        <f t="shared" si="4172"/>
        <v>0</v>
      </c>
      <c r="AI510" s="121">
        <f t="shared" si="4172"/>
        <v>0</v>
      </c>
      <c r="AJ510" s="121">
        <f t="shared" si="4172"/>
        <v>0</v>
      </c>
      <c r="AK510" s="121">
        <f t="shared" si="4172"/>
        <v>0</v>
      </c>
      <c r="AL510" s="121">
        <f t="shared" si="4172"/>
        <v>0</v>
      </c>
      <c r="AM510" s="121">
        <f t="shared" si="4172"/>
        <v>0</v>
      </c>
      <c r="AN510" s="121">
        <f t="shared" si="4172"/>
        <v>0</v>
      </c>
      <c r="AO510" s="121">
        <f t="shared" si="4172"/>
        <v>0</v>
      </c>
      <c r="AP510" s="121">
        <f t="shared" si="4172"/>
        <v>0</v>
      </c>
      <c r="AQ510" s="121">
        <f t="shared" si="4172"/>
        <v>0</v>
      </c>
      <c r="AR510" s="121">
        <f t="shared" si="4172"/>
        <v>0</v>
      </c>
      <c r="AS510" s="121">
        <f t="shared" si="4172"/>
        <v>0</v>
      </c>
      <c r="AT510" s="121">
        <f t="shared" si="4172"/>
        <v>0</v>
      </c>
      <c r="AU510" s="121">
        <f t="shared" si="4172"/>
        <v>0</v>
      </c>
      <c r="AV510" s="121">
        <f t="shared" si="4172"/>
        <v>0</v>
      </c>
      <c r="AW510" s="121">
        <f t="shared" si="4172"/>
        <v>0</v>
      </c>
      <c r="AX510" s="121">
        <f t="shared" si="4172"/>
        <v>0</v>
      </c>
      <c r="AY510" s="121">
        <f t="shared" si="4172"/>
        <v>0</v>
      </c>
      <c r="AZ510" s="121">
        <f t="shared" si="4172"/>
        <v>0</v>
      </c>
      <c r="BA510" s="121">
        <f t="shared" si="4172"/>
        <v>0</v>
      </c>
      <c r="BB510" s="121">
        <f t="shared" si="4172"/>
        <v>0</v>
      </c>
    </row>
    <row r="511" spans="1:54">
      <c r="A511" s="498">
        <v>349</v>
      </c>
      <c r="B511" s="14"/>
      <c r="C511" s="368" t="s">
        <v>612</v>
      </c>
      <c r="D511" s="53" t="s">
        <v>523</v>
      </c>
      <c r="E511" s="369" t="s">
        <v>614</v>
      </c>
      <c r="F511" s="22" t="s">
        <v>1060</v>
      </c>
      <c r="G511" s="22" t="s">
        <v>1105</v>
      </c>
      <c r="H511" s="268" t="s">
        <v>364</v>
      </c>
      <c r="I511" s="55">
        <v>9.75</v>
      </c>
      <c r="J511" s="102"/>
      <c r="K511" s="55">
        <v>9.75</v>
      </c>
      <c r="L511" s="163"/>
      <c r="M511" s="55">
        <v>9.75</v>
      </c>
      <c r="N511" s="163"/>
      <c r="O511" s="55">
        <v>9.75</v>
      </c>
      <c r="P511" s="102"/>
      <c r="Q511" s="97">
        <f>SUM(AI511+BA511)</f>
        <v>0</v>
      </c>
      <c r="R511" s="342">
        <f t="shared" ref="R511" si="4173">SUM(AJ511+BB511)</f>
        <v>0</v>
      </c>
      <c r="S511" s="97"/>
      <c r="T511" s="97">
        <f t="shared" ref="T511:T513" si="4174">I511*S511*$T$2/1000</f>
        <v>0</v>
      </c>
      <c r="U511" s="97"/>
      <c r="V511" s="206">
        <f t="shared" ref="V511:V513" si="4175">I511*U511*$V$2/1000</f>
        <v>0</v>
      </c>
      <c r="W511" s="207"/>
      <c r="X511" s="206">
        <f t="shared" ref="X511" si="4176">I511*W511*$X$2/1000</f>
        <v>0</v>
      </c>
      <c r="Y511" s="200">
        <f>SUM(S511+U511+W511)</f>
        <v>0</v>
      </c>
      <c r="Z511" s="206">
        <f t="shared" ref="Z511" si="4177">SUM(T511+V511+X511)</f>
        <v>0</v>
      </c>
      <c r="AA511" s="207"/>
      <c r="AB511" s="206">
        <f t="shared" ref="AB511:AB513" si="4178">K511*AA511*$AB$2/1000</f>
        <v>0</v>
      </c>
      <c r="AC511" s="207"/>
      <c r="AD511" s="206">
        <f t="shared" ref="AD511:AD513" si="4179">K511*AC511*$AD$2/1000</f>
        <v>0</v>
      </c>
      <c r="AE511" s="207"/>
      <c r="AF511" s="206">
        <f>K511*AE511*$AF$2/1000</f>
        <v>0</v>
      </c>
      <c r="AG511" s="189">
        <f>SUM(AA511+AC511+AE511)</f>
        <v>0</v>
      </c>
      <c r="AH511" s="96">
        <f t="shared" ref="AH511:AH513" si="4180">SUM(AB511+AD511+AF511)</f>
        <v>0</v>
      </c>
      <c r="AI511" s="443">
        <f t="shared" ref="AI511:AI513" si="4181">SUM(Y511+AG511)</f>
        <v>0</v>
      </c>
      <c r="AJ511" s="444">
        <f t="shared" ref="AJ511:AJ513" si="4182">SUM(Z511,AH511)</f>
        <v>0</v>
      </c>
      <c r="AK511" s="207"/>
      <c r="AL511" s="445">
        <f t="shared" ref="AL511" si="4183">M511*AK511*$AL$2/1000</f>
        <v>0</v>
      </c>
      <c r="AM511" s="245"/>
      <c r="AN511" s="181">
        <f t="shared" ref="AN511:AN513" si="4184">M511*AM511*$AN$2/1000</f>
        <v>0</v>
      </c>
      <c r="AO511" s="207"/>
      <c r="AP511" s="215">
        <f t="shared" ref="AP511" si="4185">M511*AO511*$AP$2/1000</f>
        <v>0</v>
      </c>
      <c r="AQ511" s="193">
        <f>SUM(AK511+AM511+AO511)</f>
        <v>0</v>
      </c>
      <c r="AR511" s="95">
        <f>SUM(AL511+AN511+AP511)</f>
        <v>0</v>
      </c>
      <c r="AS511" s="97"/>
      <c r="AT511" s="181">
        <f t="shared" ref="AT511:AT513" si="4186">O511*AS511*$AT$2/1000</f>
        <v>0</v>
      </c>
      <c r="AU511" s="207"/>
      <c r="AV511" s="181">
        <f>O511*AU511*$AV$2/1000</f>
        <v>0</v>
      </c>
      <c r="AW511" s="207"/>
      <c r="AX511" s="215">
        <f>O511*AW511*$AX$2/1000</f>
        <v>0</v>
      </c>
      <c r="AY511" s="193">
        <f t="shared" ref="AY511:AY513" si="4187">SUM(AS511+AU511+AW511)</f>
        <v>0</v>
      </c>
      <c r="AZ511" s="98">
        <f t="shared" ref="AZ511:AZ513" si="4188">SUM(AT511+AV511+AX511)</f>
        <v>0</v>
      </c>
      <c r="BA511" s="98">
        <f>SUM(AQ511+AY511)</f>
        <v>0</v>
      </c>
      <c r="BB511" s="98">
        <f t="shared" ref="BB511:BB513" si="4189">SUM(AR511,AZ511)</f>
        <v>0</v>
      </c>
    </row>
    <row r="512" spans="1:54">
      <c r="A512" s="498">
        <v>351</v>
      </c>
      <c r="B512" s="14"/>
      <c r="C512" s="14"/>
      <c r="D512" s="13"/>
      <c r="E512" s="369" t="s">
        <v>1061</v>
      </c>
      <c r="F512" s="22" t="s">
        <v>1062</v>
      </c>
      <c r="G512" s="22" t="s">
        <v>1105</v>
      </c>
      <c r="H512" s="268" t="s">
        <v>364</v>
      </c>
      <c r="I512" s="55">
        <v>9.65</v>
      </c>
      <c r="J512" s="102"/>
      <c r="K512" s="55">
        <v>9.65</v>
      </c>
      <c r="L512" s="163"/>
      <c r="M512" s="55">
        <v>9.65</v>
      </c>
      <c r="N512" s="163"/>
      <c r="O512" s="55">
        <v>9.65</v>
      </c>
      <c r="P512" s="102"/>
      <c r="Q512" s="97">
        <f>SUM(AI512+BA512)</f>
        <v>0</v>
      </c>
      <c r="R512" s="342">
        <f t="shared" ref="R512" si="4190">SUM(AJ512+BB512)</f>
        <v>0</v>
      </c>
      <c r="S512" s="97"/>
      <c r="T512" s="97">
        <f t="shared" ref="T512" si="4191">I512*S512*$T$2/1000</f>
        <v>0</v>
      </c>
      <c r="U512" s="97"/>
      <c r="V512" s="206">
        <f t="shared" ref="V512" si="4192">I512*U512*$V$2/1000</f>
        <v>0</v>
      </c>
      <c r="W512" s="207"/>
      <c r="X512" s="206">
        <f t="shared" ref="X512" si="4193">I512*W512*$X$2/1000</f>
        <v>0</v>
      </c>
      <c r="Y512" s="200">
        <f>SUM(S512+U512+W512)</f>
        <v>0</v>
      </c>
      <c r="Z512" s="206">
        <f t="shared" ref="Z512" si="4194">SUM(T512+V512+X512)</f>
        <v>0</v>
      </c>
      <c r="AA512" s="207"/>
      <c r="AB512" s="206">
        <f t="shared" si="4178"/>
        <v>0</v>
      </c>
      <c r="AC512" s="207"/>
      <c r="AD512" s="206">
        <f t="shared" si="4179"/>
        <v>0</v>
      </c>
      <c r="AE512" s="207"/>
      <c r="AF512" s="206">
        <f>K512*AE512*$AF$2/1000</f>
        <v>0</v>
      </c>
      <c r="AG512" s="189">
        <f>SUM(AA512+AC512+AE512)</f>
        <v>0</v>
      </c>
      <c r="AH512" s="96">
        <f t="shared" ref="AH512" si="4195">SUM(AB512+AD512+AF512)</f>
        <v>0</v>
      </c>
      <c r="AI512" s="443">
        <f t="shared" ref="AI512" si="4196">SUM(Y512+AG512)</f>
        <v>0</v>
      </c>
      <c r="AJ512" s="444">
        <f t="shared" ref="AJ512" si="4197">SUM(Z512,AH512)</f>
        <v>0</v>
      </c>
      <c r="AK512" s="207"/>
      <c r="AL512" s="445">
        <f t="shared" ref="AL512" si="4198">M512*AK512*$AL$2/1000</f>
        <v>0</v>
      </c>
      <c r="AM512" s="245"/>
      <c r="AN512" s="181">
        <f t="shared" ref="AN512" si="4199">M512*AM512*$AN$2/1000</f>
        <v>0</v>
      </c>
      <c r="AO512" s="207"/>
      <c r="AP512" s="215">
        <f t="shared" ref="AP512" si="4200">M512*AO512*$AP$2/1000</f>
        <v>0</v>
      </c>
      <c r="AQ512" s="193">
        <f>SUM(AK512+AM512+AO512)</f>
        <v>0</v>
      </c>
      <c r="AR512" s="95">
        <f>SUM(AL512+AN512+AP512)</f>
        <v>0</v>
      </c>
      <c r="AS512" s="97"/>
      <c r="AT512" s="181">
        <f t="shared" ref="AT512" si="4201">O512*AS512*$AT$2/1000</f>
        <v>0</v>
      </c>
      <c r="AU512" s="207"/>
      <c r="AV512" s="181">
        <f>O512*AU512*$AV$2/1000</f>
        <v>0</v>
      </c>
      <c r="AW512" s="207"/>
      <c r="AX512" s="215">
        <f>O512*AW512*$AX$2/1000</f>
        <v>0</v>
      </c>
      <c r="AY512" s="193">
        <f t="shared" ref="AY512" si="4202">SUM(AS512+AU512+AW512)</f>
        <v>0</v>
      </c>
      <c r="AZ512" s="98">
        <f t="shared" ref="AZ512" si="4203">SUM(AT512+AV512+AX512)</f>
        <v>0</v>
      </c>
      <c r="BA512" s="98">
        <f>SUM(AQ512+AY512)</f>
        <v>0</v>
      </c>
      <c r="BB512" s="98">
        <f t="shared" ref="BB512" si="4204">SUM(AR512,AZ512)</f>
        <v>0</v>
      </c>
    </row>
    <row r="513" spans="1:54">
      <c r="A513" s="498">
        <v>353</v>
      </c>
      <c r="B513" s="14"/>
      <c r="C513" s="41"/>
      <c r="D513" s="24"/>
      <c r="E513" s="51" t="s">
        <v>702</v>
      </c>
      <c r="F513" s="37" t="s">
        <v>703</v>
      </c>
      <c r="G513" s="84" t="s">
        <v>1105</v>
      </c>
      <c r="H513" s="285" t="s">
        <v>364</v>
      </c>
      <c r="I513" s="58">
        <v>10.62</v>
      </c>
      <c r="J513" s="108"/>
      <c r="K513" s="58">
        <v>10.62</v>
      </c>
      <c r="L513" s="167"/>
      <c r="M513" s="58">
        <v>10.62</v>
      </c>
      <c r="N513" s="167"/>
      <c r="O513" s="58">
        <v>10.62</v>
      </c>
      <c r="P513" s="108"/>
      <c r="Q513" s="134">
        <f t="shared" ref="Q513" si="4205">SUM(AI513+BA513)</f>
        <v>0</v>
      </c>
      <c r="R513" s="347">
        <f>SUM(AJ513+BB513)</f>
        <v>0</v>
      </c>
      <c r="S513" s="95"/>
      <c r="T513" s="134">
        <f t="shared" si="4174"/>
        <v>0</v>
      </c>
      <c r="U513" s="95"/>
      <c r="V513" s="187">
        <f t="shared" si="4175"/>
        <v>0</v>
      </c>
      <c r="W513" s="214"/>
      <c r="X513" s="223">
        <f>I513*W513*$X$2/1000</f>
        <v>0</v>
      </c>
      <c r="Y513" s="195">
        <f t="shared" ref="Y513" si="4206">SUM(S513+U513+W513)</f>
        <v>0</v>
      </c>
      <c r="Z513" s="187">
        <f>SUM(T513+V513+X513)</f>
        <v>0</v>
      </c>
      <c r="AA513" s="214"/>
      <c r="AB513" s="374">
        <f t="shared" si="4178"/>
        <v>0</v>
      </c>
      <c r="AC513" s="214"/>
      <c r="AD513" s="187">
        <f t="shared" si="4179"/>
        <v>0</v>
      </c>
      <c r="AE513" s="214"/>
      <c r="AF513" s="374">
        <f>K513*AE513*$AF$2/1000</f>
        <v>0</v>
      </c>
      <c r="AG513" s="189">
        <f>SUM(AA513+AC513+AE513)</f>
        <v>0</v>
      </c>
      <c r="AH513" s="96">
        <f t="shared" si="4180"/>
        <v>0</v>
      </c>
      <c r="AI513" s="134">
        <f t="shared" si="4181"/>
        <v>0</v>
      </c>
      <c r="AJ513" s="187">
        <f t="shared" si="4182"/>
        <v>0</v>
      </c>
      <c r="AK513" s="214"/>
      <c r="AL513" s="187">
        <f>M513*AK513*$AL$2/1000</f>
        <v>0</v>
      </c>
      <c r="AM513" s="249"/>
      <c r="AN513" s="181">
        <f t="shared" si="4184"/>
        <v>0</v>
      </c>
      <c r="AO513" s="214"/>
      <c r="AP513" s="215">
        <f>M513*AO513*$AP$2/1000</f>
        <v>0</v>
      </c>
      <c r="AQ513" s="193">
        <f t="shared" ref="AQ513" si="4207">SUM(AK513+AM513+AO513)</f>
        <v>0</v>
      </c>
      <c r="AR513" s="95">
        <f>SUM(AL513+AN513+AP513)</f>
        <v>0</v>
      </c>
      <c r="AS513" s="95"/>
      <c r="AT513" s="181">
        <f t="shared" si="4186"/>
        <v>0</v>
      </c>
      <c r="AU513" s="214"/>
      <c r="AV513" s="181">
        <f t="shared" ref="AV513" si="4208">O513*AU513*$AV$2/1000</f>
        <v>0</v>
      </c>
      <c r="AW513" s="214"/>
      <c r="AX513" s="215">
        <f>O513*AW513*$AX$2/1000</f>
        <v>0</v>
      </c>
      <c r="AY513" s="193">
        <f t="shared" si="4187"/>
        <v>0</v>
      </c>
      <c r="AZ513" s="98">
        <f t="shared" si="4188"/>
        <v>0</v>
      </c>
      <c r="BA513" s="98">
        <f t="shared" ref="BA513" si="4209">SUM(AQ513+AY513)</f>
        <v>0</v>
      </c>
      <c r="BB513" s="98">
        <f t="shared" si="4189"/>
        <v>0</v>
      </c>
    </row>
    <row r="514" spans="1:54">
      <c r="A514" s="498">
        <v>354</v>
      </c>
      <c r="B514" s="26"/>
      <c r="C514" s="27" t="s">
        <v>135</v>
      </c>
      <c r="D514" s="28"/>
      <c r="E514" s="28"/>
      <c r="F514" s="28"/>
      <c r="G514" s="28"/>
      <c r="H514" s="272"/>
      <c r="I514" s="29"/>
      <c r="J514" s="103"/>
      <c r="K514" s="29"/>
      <c r="L514" s="29"/>
      <c r="M514" s="29"/>
      <c r="N514" s="29"/>
      <c r="O514" s="139"/>
      <c r="P514" s="103"/>
      <c r="Q514" s="121">
        <f t="shared" ref="Q514:BB514" si="4210">SUM(Q511:Q513)</f>
        <v>0</v>
      </c>
      <c r="R514" s="121">
        <f t="shared" si="4210"/>
        <v>0</v>
      </c>
      <c r="S514" s="121">
        <f t="shared" si="4210"/>
        <v>0</v>
      </c>
      <c r="T514" s="121">
        <f t="shared" si="4210"/>
        <v>0</v>
      </c>
      <c r="U514" s="121">
        <f t="shared" si="4210"/>
        <v>0</v>
      </c>
      <c r="V514" s="121">
        <f t="shared" si="4210"/>
        <v>0</v>
      </c>
      <c r="W514" s="121">
        <f t="shared" si="4210"/>
        <v>0</v>
      </c>
      <c r="X514" s="126">
        <f t="shared" si="4210"/>
        <v>0</v>
      </c>
      <c r="Y514" s="121">
        <f t="shared" si="4210"/>
        <v>0</v>
      </c>
      <c r="Z514" s="121">
        <f t="shared" si="4210"/>
        <v>0</v>
      </c>
      <c r="AA514" s="121">
        <f t="shared" si="4210"/>
        <v>0</v>
      </c>
      <c r="AB514" s="121">
        <f t="shared" si="4210"/>
        <v>0</v>
      </c>
      <c r="AC514" s="121">
        <f t="shared" si="4210"/>
        <v>0</v>
      </c>
      <c r="AD514" s="121">
        <f t="shared" si="4210"/>
        <v>0</v>
      </c>
      <c r="AE514" s="121">
        <f t="shared" si="4210"/>
        <v>0</v>
      </c>
      <c r="AF514" s="121">
        <f t="shared" si="4210"/>
        <v>0</v>
      </c>
      <c r="AG514" s="121">
        <f t="shared" si="4210"/>
        <v>0</v>
      </c>
      <c r="AH514" s="121">
        <f t="shared" si="4210"/>
        <v>0</v>
      </c>
      <c r="AI514" s="121">
        <f t="shared" si="4210"/>
        <v>0</v>
      </c>
      <c r="AJ514" s="121">
        <f t="shared" si="4210"/>
        <v>0</v>
      </c>
      <c r="AK514" s="121">
        <f t="shared" si="4210"/>
        <v>0</v>
      </c>
      <c r="AL514" s="121">
        <f t="shared" si="4210"/>
        <v>0</v>
      </c>
      <c r="AM514" s="121">
        <f t="shared" si="4210"/>
        <v>0</v>
      </c>
      <c r="AN514" s="121">
        <f t="shared" si="4210"/>
        <v>0</v>
      </c>
      <c r="AO514" s="121">
        <f t="shared" si="4210"/>
        <v>0</v>
      </c>
      <c r="AP514" s="121">
        <f t="shared" si="4210"/>
        <v>0</v>
      </c>
      <c r="AQ514" s="121">
        <f t="shared" si="4210"/>
        <v>0</v>
      </c>
      <c r="AR514" s="121">
        <f t="shared" si="4210"/>
        <v>0</v>
      </c>
      <c r="AS514" s="121">
        <f t="shared" si="4210"/>
        <v>0</v>
      </c>
      <c r="AT514" s="121">
        <f t="shared" si="4210"/>
        <v>0</v>
      </c>
      <c r="AU514" s="121">
        <f t="shared" si="4210"/>
        <v>0</v>
      </c>
      <c r="AV514" s="121">
        <f t="shared" si="4210"/>
        <v>0</v>
      </c>
      <c r="AW514" s="121">
        <f t="shared" si="4210"/>
        <v>0</v>
      </c>
      <c r="AX514" s="121">
        <f t="shared" si="4210"/>
        <v>0</v>
      </c>
      <c r="AY514" s="121">
        <f t="shared" si="4210"/>
        <v>0</v>
      </c>
      <c r="AZ514" s="121">
        <f t="shared" si="4210"/>
        <v>0</v>
      </c>
      <c r="BA514" s="121">
        <f t="shared" si="4210"/>
        <v>0</v>
      </c>
      <c r="BB514" s="121">
        <f t="shared" si="4210"/>
        <v>0</v>
      </c>
    </row>
    <row r="515" spans="1:54">
      <c r="A515" s="498">
        <v>355</v>
      </c>
      <c r="B515" s="59" t="s">
        <v>156</v>
      </c>
      <c r="C515" s="60"/>
      <c r="D515" s="60"/>
      <c r="E515" s="60"/>
      <c r="F515" s="60"/>
      <c r="G515" s="60"/>
      <c r="H515" s="282"/>
      <c r="I515" s="68"/>
      <c r="J515" s="109"/>
      <c r="K515" s="68"/>
      <c r="L515" s="68"/>
      <c r="M515" s="68"/>
      <c r="N515" s="68"/>
      <c r="O515" s="150"/>
      <c r="P515" s="109"/>
      <c r="Q515" s="127">
        <f t="shared" ref="Q515:BB515" si="4211">Q487+Q507+Q510+Q514</f>
        <v>314.23299999999995</v>
      </c>
      <c r="R515" s="127">
        <f t="shared" si="4211"/>
        <v>5334.1530531973003</v>
      </c>
      <c r="S515" s="127">
        <f t="shared" si="4211"/>
        <v>12.913999999999998</v>
      </c>
      <c r="T515" s="127">
        <f t="shared" si="4211"/>
        <v>162.82011267690001</v>
      </c>
      <c r="U515" s="127">
        <f t="shared" si="4211"/>
        <v>23.502000000000002</v>
      </c>
      <c r="V515" s="127">
        <f t="shared" si="4211"/>
        <v>338.11160772800002</v>
      </c>
      <c r="W515" s="127">
        <f t="shared" si="4211"/>
        <v>23.712000000000003</v>
      </c>
      <c r="X515" s="127">
        <f t="shared" si="4211"/>
        <v>344.19694679999998</v>
      </c>
      <c r="Y515" s="127">
        <f t="shared" si="4211"/>
        <v>60.127999999999993</v>
      </c>
      <c r="Z515" s="127">
        <f t="shared" si="4211"/>
        <v>845.12866720490001</v>
      </c>
      <c r="AA515" s="127">
        <f t="shared" si="4211"/>
        <v>26.613999999999997</v>
      </c>
      <c r="AB515" s="127">
        <f t="shared" si="4211"/>
        <v>448.28502629600001</v>
      </c>
      <c r="AC515" s="127">
        <f t="shared" si="4211"/>
        <v>45.57</v>
      </c>
      <c r="AD515" s="127">
        <f t="shared" si="4211"/>
        <v>735.75682647180008</v>
      </c>
      <c r="AE515" s="127">
        <f t="shared" si="4211"/>
        <v>33.731999999999999</v>
      </c>
      <c r="AF515" s="127">
        <f t="shared" si="4211"/>
        <v>571.4645870928</v>
      </c>
      <c r="AG515" s="127">
        <f t="shared" si="4211"/>
        <v>105.916</v>
      </c>
      <c r="AH515" s="127">
        <f t="shared" si="4211"/>
        <v>1755.5064398606</v>
      </c>
      <c r="AI515" s="127">
        <f t="shared" si="4211"/>
        <v>166.04400000000004</v>
      </c>
      <c r="AJ515" s="127">
        <f t="shared" si="4211"/>
        <v>2600.6351070655001</v>
      </c>
      <c r="AK515" s="127">
        <f t="shared" si="4211"/>
        <v>34.016000000000005</v>
      </c>
      <c r="AL515" s="127">
        <f t="shared" si="4211"/>
        <v>714.04724810239998</v>
      </c>
      <c r="AM515" s="127">
        <f t="shared" si="4211"/>
        <v>24.03</v>
      </c>
      <c r="AN515" s="127">
        <f t="shared" si="4211"/>
        <v>429.244635378</v>
      </c>
      <c r="AO515" s="127">
        <f t="shared" si="4211"/>
        <v>25.215</v>
      </c>
      <c r="AP515" s="127">
        <f t="shared" si="4211"/>
        <v>514.51881354480008</v>
      </c>
      <c r="AQ515" s="127">
        <f t="shared" si="4211"/>
        <v>83.260999999999996</v>
      </c>
      <c r="AR515" s="127">
        <f t="shared" si="4211"/>
        <v>1657.8106970252002</v>
      </c>
      <c r="AS515" s="127">
        <f t="shared" si="4211"/>
        <v>20.303999999999998</v>
      </c>
      <c r="AT515" s="127">
        <f t="shared" si="4211"/>
        <v>427.52183347599998</v>
      </c>
      <c r="AU515" s="127">
        <f t="shared" si="4211"/>
        <v>17.634</v>
      </c>
      <c r="AV515" s="127">
        <f t="shared" si="4211"/>
        <v>326.71707755400007</v>
      </c>
      <c r="AW515" s="127">
        <f t="shared" si="4211"/>
        <v>26.990000000000002</v>
      </c>
      <c r="AX515" s="127">
        <f t="shared" si="4211"/>
        <v>321.46833807659999</v>
      </c>
      <c r="AY515" s="127">
        <f t="shared" si="4211"/>
        <v>64.928000000000011</v>
      </c>
      <c r="AZ515" s="127">
        <f t="shared" si="4211"/>
        <v>1075.7072491066001</v>
      </c>
      <c r="BA515" s="127">
        <f t="shared" si="4211"/>
        <v>148.18899999999999</v>
      </c>
      <c r="BB515" s="127">
        <f t="shared" si="4211"/>
        <v>2733.5179461318003</v>
      </c>
    </row>
    <row r="516" spans="1:54" hidden="1">
      <c r="A516" s="498">
        <v>356</v>
      </c>
      <c r="B516" s="13" t="s">
        <v>878</v>
      </c>
      <c r="C516" s="53" t="s">
        <v>33</v>
      </c>
      <c r="D516" s="53" t="s">
        <v>879</v>
      </c>
      <c r="E516" s="31" t="s">
        <v>880</v>
      </c>
      <c r="F516" s="314" t="s">
        <v>881</v>
      </c>
      <c r="G516" s="314" t="s">
        <v>1105</v>
      </c>
      <c r="H516" s="274" t="s">
        <v>365</v>
      </c>
      <c r="I516" s="62">
        <v>11.85</v>
      </c>
      <c r="J516" s="105"/>
      <c r="K516" s="62"/>
      <c r="L516" s="164"/>
      <c r="M516" s="62"/>
      <c r="N516" s="164"/>
      <c r="O516" s="62"/>
      <c r="P516" s="105"/>
      <c r="Q516" s="122">
        <f t="shared" ref="Q516" si="4212">SUM(AI516+BA516)</f>
        <v>0</v>
      </c>
      <c r="R516" s="346">
        <f t="shared" ref="R516" si="4213">SUM(AJ516+BB516)</f>
        <v>0</v>
      </c>
      <c r="S516" s="122"/>
      <c r="T516" s="122">
        <f>I516*S516*$T$2/1000</f>
        <v>0</v>
      </c>
      <c r="U516" s="122"/>
      <c r="V516" s="180">
        <f>I516*U516*$V$2/1000</f>
        <v>0</v>
      </c>
      <c r="W516" s="212"/>
      <c r="X516" s="213">
        <f>I516*W516*$X$2/1000</f>
        <v>0</v>
      </c>
      <c r="Y516" s="191">
        <f t="shared" ref="Y516" si="4214">SUM(S516+U516+W516)</f>
        <v>0</v>
      </c>
      <c r="Z516" s="180">
        <f t="shared" ref="Z516" si="4215">SUM(T516+V516+X516)</f>
        <v>0</v>
      </c>
      <c r="AA516" s="212"/>
      <c r="AB516" s="213">
        <f>K516*AA516*$AB$2/1000</f>
        <v>0</v>
      </c>
      <c r="AC516" s="212"/>
      <c r="AD516" s="180">
        <f>K516*AC516*$AD$2/1000</f>
        <v>0</v>
      </c>
      <c r="AE516" s="212"/>
      <c r="AF516" s="213">
        <f>K516*AE516*$AF$2/1000</f>
        <v>0</v>
      </c>
      <c r="AG516" s="191">
        <f t="shared" ref="AG516" si="4216">SUM(AA516+AC516+AE516)</f>
        <v>0</v>
      </c>
      <c r="AH516" s="122">
        <f t="shared" ref="AH516" si="4217">SUM(AB516+AD516+AF516)</f>
        <v>0</v>
      </c>
      <c r="AI516" s="122">
        <f t="shared" ref="AI516" si="4218">SUM(Y516+AG516)</f>
        <v>0</v>
      </c>
      <c r="AJ516" s="180">
        <f>SUM(Z516,AH516)</f>
        <v>0</v>
      </c>
      <c r="AK516" s="212"/>
      <c r="AL516" s="180">
        <f t="shared" ref="AL516" si="4219">M516*AK516*$AL$2/1000</f>
        <v>0</v>
      </c>
      <c r="AM516" s="248"/>
      <c r="AN516" s="180">
        <f t="shared" ref="AN516" si="4220">M516*AM516*$AN$2/1000</f>
        <v>0</v>
      </c>
      <c r="AO516" s="212"/>
      <c r="AP516" s="213">
        <f t="shared" ref="AP516" si="4221">M516*AO516*$AP$2/1000</f>
        <v>0</v>
      </c>
      <c r="AQ516" s="191">
        <f>SUM(AK516+AM516+AO516)</f>
        <v>0</v>
      </c>
      <c r="AR516" s="122">
        <f t="shared" ref="AR516" si="4222">SUM(AL516+AN516+AP516)</f>
        <v>0</v>
      </c>
      <c r="AS516" s="122"/>
      <c r="AT516" s="180">
        <f t="shared" ref="AT516" si="4223">O516*AS516*$AT$2/1000</f>
        <v>0</v>
      </c>
      <c r="AU516" s="212"/>
      <c r="AV516" s="180">
        <f>O516*AU516*$AV$2/1000</f>
        <v>0</v>
      </c>
      <c r="AW516" s="212"/>
      <c r="AX516" s="213">
        <f>O516*AW516*$AX$2/1000</f>
        <v>0</v>
      </c>
      <c r="AY516" s="191">
        <f t="shared" ref="AY516" si="4224">SUM(AS516+AU516+AW516)</f>
        <v>0</v>
      </c>
      <c r="AZ516" s="122">
        <f t="shared" ref="AZ516" si="4225">SUM(AT516+AV516+AX516)</f>
        <v>0</v>
      </c>
      <c r="BA516" s="122">
        <f t="shared" ref="BA516" si="4226">SUM(AQ516+AY516)</f>
        <v>0</v>
      </c>
      <c r="BB516" s="122">
        <f>SUM(AR516,AZ516)</f>
        <v>0</v>
      </c>
    </row>
    <row r="517" spans="1:54" hidden="1">
      <c r="A517" s="498">
        <v>357</v>
      </c>
      <c r="B517" s="13"/>
      <c r="C517" s="13"/>
      <c r="D517" s="13"/>
      <c r="E517" s="21" t="s">
        <v>909</v>
      </c>
      <c r="F517" s="46" t="s">
        <v>910</v>
      </c>
      <c r="G517" s="430" t="s">
        <v>1105</v>
      </c>
      <c r="H517" s="287" t="s">
        <v>365</v>
      </c>
      <c r="I517" s="76">
        <v>11.85</v>
      </c>
      <c r="J517" s="112"/>
      <c r="K517" s="76"/>
      <c r="L517" s="168"/>
      <c r="M517" s="76"/>
      <c r="N517" s="168"/>
      <c r="O517" s="76"/>
      <c r="P517" s="112"/>
      <c r="Q517" s="131">
        <f t="shared" ref="Q517" si="4227">SUM(AI517+BA517)</f>
        <v>0</v>
      </c>
      <c r="R517" s="352">
        <f t="shared" ref="R517" si="4228">SUM(AJ517+BB517)</f>
        <v>0</v>
      </c>
      <c r="S517" s="131"/>
      <c r="T517" s="131">
        <f>I517*S517*$T$2/1000</f>
        <v>0</v>
      </c>
      <c r="U517" s="131"/>
      <c r="V517" s="185">
        <f>I517*U517*$V$2/1000</f>
        <v>0</v>
      </c>
      <c r="W517" s="224"/>
      <c r="X517" s="225">
        <f>I517*W517*$X$2/1000</f>
        <v>0</v>
      </c>
      <c r="Y517" s="198">
        <f t="shared" ref="Y517" si="4229">SUM(S517+U517+W517)</f>
        <v>0</v>
      </c>
      <c r="Z517" s="185">
        <f t="shared" ref="Z517" si="4230">SUM(T517+V517+X517)</f>
        <v>0</v>
      </c>
      <c r="AA517" s="224"/>
      <c r="AB517" s="225">
        <f>K517*AA517*$AB$2/1000</f>
        <v>0</v>
      </c>
      <c r="AC517" s="224"/>
      <c r="AD517" s="185">
        <f>K517*AC517*$AD$2/1000</f>
        <v>0</v>
      </c>
      <c r="AE517" s="224"/>
      <c r="AF517" s="225">
        <f>K517*AE517*$AF$2/1000</f>
        <v>0</v>
      </c>
      <c r="AG517" s="198">
        <f t="shared" ref="AG517" si="4231">SUM(AA517+AC517+AE517)</f>
        <v>0</v>
      </c>
      <c r="AH517" s="131">
        <f t="shared" ref="AH517" si="4232">SUM(AB517+AD517+AF517)</f>
        <v>0</v>
      </c>
      <c r="AI517" s="131">
        <f t="shared" ref="AI517" si="4233">SUM(Y517+AG517)</f>
        <v>0</v>
      </c>
      <c r="AJ517" s="185">
        <f>SUM(Z517,AH517)</f>
        <v>0</v>
      </c>
      <c r="AK517" s="224"/>
      <c r="AL517" s="185">
        <f t="shared" ref="AL517" si="4234">M517*AK517*$AL$2/1000</f>
        <v>0</v>
      </c>
      <c r="AM517" s="254"/>
      <c r="AN517" s="185">
        <f t="shared" ref="AN517" si="4235">M517*AM517*$AN$2/1000</f>
        <v>0</v>
      </c>
      <c r="AO517" s="224"/>
      <c r="AP517" s="225">
        <f t="shared" ref="AP517" si="4236">M517*AO517*$AP$2/1000</f>
        <v>0</v>
      </c>
      <c r="AQ517" s="198">
        <f>SUM(AK517+AM517+AO517)</f>
        <v>0</v>
      </c>
      <c r="AR517" s="131">
        <f t="shared" ref="AR517" si="4237">SUM(AL517+AN517+AP517)</f>
        <v>0</v>
      </c>
      <c r="AS517" s="131"/>
      <c r="AT517" s="185">
        <f t="shared" ref="AT517" si="4238">O517*AS517*$AT$2/1000</f>
        <v>0</v>
      </c>
      <c r="AU517" s="224"/>
      <c r="AV517" s="185">
        <f>O517*AU517*$AV$2/1000</f>
        <v>0</v>
      </c>
      <c r="AW517" s="224"/>
      <c r="AX517" s="225">
        <f>O517*AW517*$AX$2/1000</f>
        <v>0</v>
      </c>
      <c r="AY517" s="198">
        <f t="shared" ref="AY517" si="4239">SUM(AS517+AU517+AW517)</f>
        <v>0</v>
      </c>
      <c r="AZ517" s="131">
        <f t="shared" ref="AZ517" si="4240">SUM(AT517+AV517+AX517)</f>
        <v>0</v>
      </c>
      <c r="BA517" s="131">
        <f t="shared" ref="BA517" si="4241">SUM(AQ517+AY517)</f>
        <v>0</v>
      </c>
      <c r="BB517" s="131">
        <f>SUM(AR517,AZ517)</f>
        <v>0</v>
      </c>
    </row>
    <row r="518" spans="1:54" hidden="1">
      <c r="A518" s="498">
        <v>358</v>
      </c>
      <c r="B518" s="13"/>
      <c r="C518" s="13"/>
      <c r="D518" s="13"/>
      <c r="E518" s="24" t="s">
        <v>1063</v>
      </c>
      <c r="F518" s="371" t="s">
        <v>1064</v>
      </c>
      <c r="G518" s="371" t="s">
        <v>1103</v>
      </c>
      <c r="H518" s="285" t="s">
        <v>365</v>
      </c>
      <c r="I518" s="80">
        <v>9.9700000000000006</v>
      </c>
      <c r="J518" s="116"/>
      <c r="K518" s="80"/>
      <c r="L518" s="172"/>
      <c r="M518" s="80"/>
      <c r="N518" s="172"/>
      <c r="O518" s="80"/>
      <c r="P518" s="116"/>
      <c r="Q518" s="134">
        <f t="shared" ref="Q518" si="4242">SUM(AI518+BA518)</f>
        <v>0</v>
      </c>
      <c r="R518" s="347">
        <f t="shared" ref="R518" si="4243">SUM(AJ518+BB518)</f>
        <v>0</v>
      </c>
      <c r="S518" s="134"/>
      <c r="T518" s="134">
        <f>I518*S518*$T$2/1000</f>
        <v>0</v>
      </c>
      <c r="U518" s="134"/>
      <c r="V518" s="187">
        <f>I518*U518*$V$2/1000</f>
        <v>0</v>
      </c>
      <c r="W518" s="373"/>
      <c r="X518" s="374">
        <f>I518*W518*$X$2/1000</f>
        <v>0</v>
      </c>
      <c r="Y518" s="200">
        <f t="shared" ref="Y518" si="4244">SUM(S518+U518+W518)</f>
        <v>0</v>
      </c>
      <c r="Z518" s="187">
        <f t="shared" ref="Z518" si="4245">SUM(T518+V518+X518)</f>
        <v>0</v>
      </c>
      <c r="AA518" s="373"/>
      <c r="AB518" s="374">
        <f>K518*AA518*$AB$2/1000</f>
        <v>0</v>
      </c>
      <c r="AC518" s="373"/>
      <c r="AD518" s="187">
        <f>K518*AC518*$AD$2/1000</f>
        <v>0</v>
      </c>
      <c r="AE518" s="373"/>
      <c r="AF518" s="374">
        <f>K518*AE518*$AF$2/1000</f>
        <v>0</v>
      </c>
      <c r="AG518" s="200">
        <f t="shared" ref="AG518" si="4246">SUM(AA518+AC518+AE518)</f>
        <v>0</v>
      </c>
      <c r="AH518" s="134">
        <f t="shared" ref="AH518" si="4247">SUM(AB518+AD518+AF518)</f>
        <v>0</v>
      </c>
      <c r="AI518" s="134">
        <f t="shared" ref="AI518" si="4248">SUM(Y518+AG518)</f>
        <v>0</v>
      </c>
      <c r="AJ518" s="187">
        <f>SUM(Z518,AH518)</f>
        <v>0</v>
      </c>
      <c r="AK518" s="373"/>
      <c r="AL518" s="187">
        <f t="shared" ref="AL518" si="4249">M518*AK518*$AL$2/1000</f>
        <v>0</v>
      </c>
      <c r="AM518" s="375"/>
      <c r="AN518" s="187">
        <f t="shared" ref="AN518" si="4250">M518*AM518*$AN$2/1000</f>
        <v>0</v>
      </c>
      <c r="AO518" s="373"/>
      <c r="AP518" s="374">
        <f t="shared" ref="AP518" si="4251">M518*AO518*$AP$2/1000</f>
        <v>0</v>
      </c>
      <c r="AQ518" s="200">
        <f>SUM(AK518+AM518+AO518)</f>
        <v>0</v>
      </c>
      <c r="AR518" s="134">
        <f t="shared" ref="AR518" si="4252">SUM(AL518+AN518+AP518)</f>
        <v>0</v>
      </c>
      <c r="AS518" s="134"/>
      <c r="AT518" s="187">
        <f t="shared" ref="AT518" si="4253">O518*AS518*$AT$2/1000</f>
        <v>0</v>
      </c>
      <c r="AU518" s="373"/>
      <c r="AV518" s="187">
        <f>O518*AU518*$AV$2/1000</f>
        <v>0</v>
      </c>
      <c r="AW518" s="373"/>
      <c r="AX518" s="374">
        <f>O518*AW518*$AX$2/1000</f>
        <v>0</v>
      </c>
      <c r="AY518" s="200">
        <f t="shared" ref="AY518" si="4254">SUM(AS518+AU518+AW518)</f>
        <v>0</v>
      </c>
      <c r="AZ518" s="134">
        <f t="shared" ref="AZ518" si="4255">SUM(AT518+AV518+AX518)</f>
        <v>0</v>
      </c>
      <c r="BA518" s="134">
        <f t="shared" ref="BA518" si="4256">SUM(AQ518+AY518)</f>
        <v>0</v>
      </c>
      <c r="BB518" s="134">
        <f>SUM(AR518,AZ518)</f>
        <v>0</v>
      </c>
    </row>
    <row r="519" spans="1:54" hidden="1">
      <c r="A519" s="498">
        <v>359</v>
      </c>
      <c r="B519" s="59" t="s">
        <v>156</v>
      </c>
      <c r="C519" s="60"/>
      <c r="D519" s="60"/>
      <c r="E519" s="60"/>
      <c r="F519" s="60"/>
      <c r="G519" s="60"/>
      <c r="H519" s="282"/>
      <c r="I519" s="78"/>
      <c r="J519" s="104"/>
      <c r="K519" s="78"/>
      <c r="L519" s="61"/>
      <c r="M519" s="78"/>
      <c r="N519" s="61"/>
      <c r="O519" s="155"/>
      <c r="P519" s="104"/>
      <c r="Q519" s="127">
        <f>SUM(Q516:Q518)</f>
        <v>0</v>
      </c>
      <c r="R519" s="127">
        <f>SUM(R516:R518)</f>
        <v>0</v>
      </c>
      <c r="S519" s="127">
        <f>SUM(S516:S518)</f>
        <v>0</v>
      </c>
      <c r="T519" s="127">
        <f>SUM(T516:T518)</f>
        <v>0</v>
      </c>
      <c r="U519" s="127">
        <f t="shared" ref="U519:Y519" si="4257">SUM(U516:U518)</f>
        <v>0</v>
      </c>
      <c r="V519" s="127">
        <f t="shared" si="4257"/>
        <v>0</v>
      </c>
      <c r="W519" s="127">
        <f t="shared" si="4257"/>
        <v>0</v>
      </c>
      <c r="X519" s="127">
        <f t="shared" si="4257"/>
        <v>0</v>
      </c>
      <c r="Y519" s="127">
        <f t="shared" si="4257"/>
        <v>0</v>
      </c>
      <c r="Z519" s="127">
        <f>SUM(Z516:Z518)</f>
        <v>0</v>
      </c>
      <c r="AA519" s="127">
        <f>SUM(AA516:AA518)</f>
        <v>0</v>
      </c>
      <c r="AB519" s="127">
        <f t="shared" ref="AB519:AF519" si="4258">SUM(AB516:AB518)</f>
        <v>0</v>
      </c>
      <c r="AC519" s="127">
        <f t="shared" si="4258"/>
        <v>0</v>
      </c>
      <c r="AD519" s="127">
        <f t="shared" si="4258"/>
        <v>0</v>
      </c>
      <c r="AE519" s="127">
        <f t="shared" si="4258"/>
        <v>0</v>
      </c>
      <c r="AF519" s="127">
        <f t="shared" si="4258"/>
        <v>0</v>
      </c>
      <c r="AG519" s="127">
        <f>SUM(AG516:AG518)</f>
        <v>0</v>
      </c>
      <c r="AH519" s="127">
        <f>SUM(AH516:AH518)</f>
        <v>0</v>
      </c>
      <c r="AI519" s="127">
        <f>SUM(AI516:AI518)</f>
        <v>0</v>
      </c>
      <c r="AJ519" s="127">
        <f>SUM(AJ516:AJ518)</f>
        <v>0</v>
      </c>
      <c r="AK519" s="127">
        <f>SUM(AK516:AK518)</f>
        <v>0</v>
      </c>
      <c r="AL519" s="127">
        <f t="shared" ref="AL519:AQ519" si="4259">SUM(AL516:AL518)</f>
        <v>0</v>
      </c>
      <c r="AM519" s="127">
        <f t="shared" si="4259"/>
        <v>0</v>
      </c>
      <c r="AN519" s="127">
        <f t="shared" si="4259"/>
        <v>0</v>
      </c>
      <c r="AO519" s="127">
        <f t="shared" si="4259"/>
        <v>0</v>
      </c>
      <c r="AP519" s="127">
        <f t="shared" si="4259"/>
        <v>0</v>
      </c>
      <c r="AQ519" s="127">
        <f t="shared" si="4259"/>
        <v>0</v>
      </c>
      <c r="AR519" s="127">
        <f>SUM(AR516:AR518)</f>
        <v>0</v>
      </c>
      <c r="AS519" s="127">
        <f>SUM(AS516:AS518)</f>
        <v>0</v>
      </c>
      <c r="AT519" s="127">
        <f>SUM(AT516:AT518)</f>
        <v>0</v>
      </c>
      <c r="AU519" s="127">
        <f>SUM(AU516:AU518)</f>
        <v>0</v>
      </c>
      <c r="AV519" s="127">
        <f>SUM(AV516:AV518)</f>
        <v>0</v>
      </c>
      <c r="AW519" s="127">
        <f t="shared" ref="AW519:AZ519" si="4260">SUM(AW516:AW518)</f>
        <v>0</v>
      </c>
      <c r="AX519" s="127">
        <f t="shared" si="4260"/>
        <v>0</v>
      </c>
      <c r="AY519" s="127">
        <f>SUM(AY516:AY518)</f>
        <v>0</v>
      </c>
      <c r="AZ519" s="127">
        <f t="shared" si="4260"/>
        <v>0</v>
      </c>
      <c r="BA519" s="127">
        <f>SUM(BA516:BA518)</f>
        <v>0</v>
      </c>
      <c r="BB519" s="127">
        <f>SUM(BB516:BB518)</f>
        <v>0</v>
      </c>
    </row>
    <row r="520" spans="1:54" hidden="1">
      <c r="A520" s="498">
        <v>360</v>
      </c>
      <c r="B520" s="14" t="s">
        <v>212</v>
      </c>
      <c r="C520" s="14" t="s">
        <v>213</v>
      </c>
      <c r="D520" s="14" t="s">
        <v>52</v>
      </c>
      <c r="E520" s="49" t="s">
        <v>77</v>
      </c>
      <c r="F520" s="50" t="s">
        <v>53</v>
      </c>
      <c r="G520" s="50" t="s">
        <v>1105</v>
      </c>
      <c r="H520" s="279" t="s">
        <v>364</v>
      </c>
      <c r="I520" s="62">
        <v>7</v>
      </c>
      <c r="J520" s="105"/>
      <c r="K520" s="62">
        <v>7</v>
      </c>
      <c r="L520" s="164"/>
      <c r="M520" s="62"/>
      <c r="N520" s="164"/>
      <c r="O520" s="147"/>
      <c r="P520" s="105"/>
      <c r="Q520" s="125">
        <f t="shared" ref="Q520:Q524" si="4261">SUM(AI520+BA520)</f>
        <v>0</v>
      </c>
      <c r="R520" s="339">
        <f t="shared" ref="R520:R524" si="4262">SUM(AJ520+BB520)</f>
        <v>0</v>
      </c>
      <c r="S520" s="125"/>
      <c r="T520" s="125">
        <f>I520*S520*$T$2/1000</f>
        <v>0</v>
      </c>
      <c r="U520" s="125"/>
      <c r="V520" s="182">
        <f>I520*U520*$V$2/1000</f>
        <v>0</v>
      </c>
      <c r="W520" s="217"/>
      <c r="X520" s="218">
        <f>I520*W520*$X$2/1000</f>
        <v>0</v>
      </c>
      <c r="Y520" s="194">
        <f t="shared" ref="Y520:Y524" si="4263">SUM(S520+U520+W520)</f>
        <v>0</v>
      </c>
      <c r="Z520" s="182">
        <f t="shared" ref="Z520:Z524" si="4264">SUM(T520+V520+X520)</f>
        <v>0</v>
      </c>
      <c r="AA520" s="217"/>
      <c r="AB520" s="218">
        <f>K520*AA520*$AB$2/1000</f>
        <v>0</v>
      </c>
      <c r="AC520" s="217"/>
      <c r="AD520" s="182">
        <f>K520*AC520*$AD$2/1000</f>
        <v>0</v>
      </c>
      <c r="AE520" s="217"/>
      <c r="AF520" s="218">
        <f>K520*AE520*$AF$2/1000</f>
        <v>0</v>
      </c>
      <c r="AG520" s="194">
        <f t="shared" ref="AG520:AG524" si="4265">SUM(AA520+AC520+AE520)</f>
        <v>0</v>
      </c>
      <c r="AH520" s="125">
        <f t="shared" ref="AH520:AH524" si="4266">SUM(AB520+AD520+AF520)</f>
        <v>0</v>
      </c>
      <c r="AI520" s="125">
        <f t="shared" ref="AI520:AI524" si="4267">SUM(Y520+AG520)</f>
        <v>0</v>
      </c>
      <c r="AJ520" s="182">
        <f t="shared" ref="AJ520:AJ524" si="4268">SUM(Z520,AH520)</f>
        <v>0</v>
      </c>
      <c r="AK520" s="217"/>
      <c r="AL520" s="182">
        <f t="shared" ref="AL520:AL524" si="4269">M520*AK520*$AL$2/1000</f>
        <v>0</v>
      </c>
      <c r="AM520" s="251"/>
      <c r="AN520" s="182">
        <f t="shared" ref="AN520:AN524" si="4270">M520*AM520*$AN$2/1000</f>
        <v>0</v>
      </c>
      <c r="AO520" s="217"/>
      <c r="AP520" s="218">
        <f t="shared" ref="AP520:AP524" si="4271">M520*AO520*$AP$2/1000</f>
        <v>0</v>
      </c>
      <c r="AQ520" s="194">
        <f t="shared" ref="AQ520:AQ524" si="4272">SUM(AK520+AM520+AO520)</f>
        <v>0</v>
      </c>
      <c r="AR520" s="125">
        <f t="shared" ref="AR520:AR524" si="4273">SUM(AL520+AN520+AP520)</f>
        <v>0</v>
      </c>
      <c r="AS520" s="125"/>
      <c r="AT520" s="182">
        <f t="shared" ref="AT520:AT524" si="4274">O520*AS520*$AT$2/1000</f>
        <v>0</v>
      </c>
      <c r="AU520" s="217"/>
      <c r="AV520" s="182">
        <f t="shared" ref="AV520:AV524" si="4275">O520*AU520*$AV$2/1000</f>
        <v>0</v>
      </c>
      <c r="AW520" s="217"/>
      <c r="AX520" s="218">
        <f t="shared" ref="AX520:AX524" si="4276">O520*AW520*$AX$2/1000</f>
        <v>0</v>
      </c>
      <c r="AY520" s="194">
        <f t="shared" ref="AY520:AY524" si="4277">SUM(AS520+AU520+AW520)</f>
        <v>0</v>
      </c>
      <c r="AZ520" s="125">
        <f t="shared" ref="AZ520:AZ524" si="4278">SUM(AT520+AV520+AX520)</f>
        <v>0</v>
      </c>
      <c r="BA520" s="125">
        <f t="shared" ref="BA520:BA524" si="4279">SUM(AQ520+AY520)</f>
        <v>0</v>
      </c>
      <c r="BB520" s="125">
        <f t="shared" ref="BB520:BB524" si="4280">SUM(AR520,AZ520)</f>
        <v>0</v>
      </c>
    </row>
    <row r="521" spans="1:54" hidden="1">
      <c r="A521" s="498">
        <v>361</v>
      </c>
      <c r="B521" s="14"/>
      <c r="C521" s="14"/>
      <c r="D521" s="14"/>
      <c r="E521" s="16" t="s">
        <v>78</v>
      </c>
      <c r="F521" s="17" t="s">
        <v>54</v>
      </c>
      <c r="G521" s="17" t="s">
        <v>1105</v>
      </c>
      <c r="H521" s="267" t="s">
        <v>364</v>
      </c>
      <c r="I521" s="55">
        <v>7.04</v>
      </c>
      <c r="J521" s="102"/>
      <c r="K521" s="55">
        <v>7.04</v>
      </c>
      <c r="L521" s="163"/>
      <c r="M521" s="55"/>
      <c r="N521" s="163"/>
      <c r="O521" s="143"/>
      <c r="P521" s="102"/>
      <c r="Q521" s="96">
        <f t="shared" si="4261"/>
        <v>0</v>
      </c>
      <c r="R521" s="340">
        <f t="shared" si="4262"/>
        <v>0</v>
      </c>
      <c r="S521" s="96"/>
      <c r="T521" s="96">
        <f>I521*S521*$T$2/1000</f>
        <v>0</v>
      </c>
      <c r="U521" s="96"/>
      <c r="V521" s="176">
        <f>I521*U521*$V$2/1000</f>
        <v>0</v>
      </c>
      <c r="W521" s="204"/>
      <c r="X521" s="205">
        <f>I521*W521*$X$2/1000</f>
        <v>0</v>
      </c>
      <c r="Y521" s="192">
        <f t="shared" si="4263"/>
        <v>0</v>
      </c>
      <c r="Z521" s="176">
        <f t="shared" si="4264"/>
        <v>0</v>
      </c>
      <c r="AA521" s="204"/>
      <c r="AB521" s="205">
        <f>K521*AA521*$AB$2/1000</f>
        <v>0</v>
      </c>
      <c r="AC521" s="204"/>
      <c r="AD521" s="176">
        <f>K521*AC521*$AD$2/1000</f>
        <v>0</v>
      </c>
      <c r="AE521" s="204"/>
      <c r="AF521" s="205">
        <f t="shared" ref="AF521:AF524" si="4281">K521*AE521*$AF$2/1000</f>
        <v>0</v>
      </c>
      <c r="AG521" s="192">
        <f t="shared" si="4265"/>
        <v>0</v>
      </c>
      <c r="AH521" s="96">
        <f t="shared" si="4266"/>
        <v>0</v>
      </c>
      <c r="AI521" s="96">
        <f t="shared" si="4267"/>
        <v>0</v>
      </c>
      <c r="AJ521" s="176">
        <f t="shared" si="4268"/>
        <v>0</v>
      </c>
      <c r="AK521" s="204"/>
      <c r="AL521" s="176">
        <f t="shared" si="4269"/>
        <v>0</v>
      </c>
      <c r="AM521" s="244"/>
      <c r="AN521" s="176">
        <f t="shared" si="4270"/>
        <v>0</v>
      </c>
      <c r="AO521" s="204"/>
      <c r="AP521" s="205">
        <f t="shared" si="4271"/>
        <v>0</v>
      </c>
      <c r="AQ521" s="192">
        <f t="shared" si="4272"/>
        <v>0</v>
      </c>
      <c r="AR521" s="96">
        <f t="shared" si="4273"/>
        <v>0</v>
      </c>
      <c r="AS521" s="96"/>
      <c r="AT521" s="176">
        <f t="shared" si="4274"/>
        <v>0</v>
      </c>
      <c r="AU521" s="204"/>
      <c r="AV521" s="176">
        <f t="shared" si="4275"/>
        <v>0</v>
      </c>
      <c r="AW521" s="204"/>
      <c r="AX521" s="205">
        <f t="shared" si="4276"/>
        <v>0</v>
      </c>
      <c r="AY521" s="192">
        <f t="shared" si="4277"/>
        <v>0</v>
      </c>
      <c r="AZ521" s="96">
        <f t="shared" si="4278"/>
        <v>0</v>
      </c>
      <c r="BA521" s="96">
        <f t="shared" si="4279"/>
        <v>0</v>
      </c>
      <c r="BB521" s="96">
        <f t="shared" si="4280"/>
        <v>0</v>
      </c>
    </row>
    <row r="522" spans="1:54" hidden="1">
      <c r="A522" s="498">
        <v>362</v>
      </c>
      <c r="B522" s="14"/>
      <c r="C522" s="14"/>
      <c r="D522" s="14"/>
      <c r="E522" s="16" t="s">
        <v>55</v>
      </c>
      <c r="F522" s="17" t="s">
        <v>56</v>
      </c>
      <c r="G522" s="17" t="s">
        <v>1105</v>
      </c>
      <c r="H522" s="267" t="s">
        <v>364</v>
      </c>
      <c r="I522" s="55">
        <v>7.5</v>
      </c>
      <c r="J522" s="102"/>
      <c r="K522" s="55">
        <v>7.5</v>
      </c>
      <c r="L522" s="163"/>
      <c r="M522" s="55"/>
      <c r="N522" s="163"/>
      <c r="O522" s="143"/>
      <c r="P522" s="102"/>
      <c r="Q522" s="96">
        <f t="shared" si="4261"/>
        <v>0</v>
      </c>
      <c r="R522" s="340">
        <f t="shared" si="4262"/>
        <v>0</v>
      </c>
      <c r="S522" s="96"/>
      <c r="T522" s="96">
        <f>I522*S522*$T$2/1000</f>
        <v>0</v>
      </c>
      <c r="U522" s="96"/>
      <c r="V522" s="176">
        <f>I522*U522*$V$2/1000</f>
        <v>0</v>
      </c>
      <c r="W522" s="204"/>
      <c r="X522" s="205">
        <f>I522*W522*$X$2/1000</f>
        <v>0</v>
      </c>
      <c r="Y522" s="192">
        <f t="shared" si="4263"/>
        <v>0</v>
      </c>
      <c r="Z522" s="176">
        <f t="shared" si="4264"/>
        <v>0</v>
      </c>
      <c r="AA522" s="204"/>
      <c r="AB522" s="205">
        <f>K522*AA522*$AB$2/1000</f>
        <v>0</v>
      </c>
      <c r="AC522" s="204"/>
      <c r="AD522" s="176">
        <f>K522*AC522*$AD$2/1000</f>
        <v>0</v>
      </c>
      <c r="AE522" s="204"/>
      <c r="AF522" s="205">
        <f t="shared" si="4281"/>
        <v>0</v>
      </c>
      <c r="AG522" s="192">
        <f t="shared" si="4265"/>
        <v>0</v>
      </c>
      <c r="AH522" s="96">
        <f t="shared" si="4266"/>
        <v>0</v>
      </c>
      <c r="AI522" s="96">
        <f t="shared" si="4267"/>
        <v>0</v>
      </c>
      <c r="AJ522" s="176">
        <f t="shared" si="4268"/>
        <v>0</v>
      </c>
      <c r="AK522" s="204"/>
      <c r="AL522" s="176">
        <f t="shared" si="4269"/>
        <v>0</v>
      </c>
      <c r="AM522" s="244"/>
      <c r="AN522" s="176">
        <f t="shared" si="4270"/>
        <v>0</v>
      </c>
      <c r="AO522" s="204"/>
      <c r="AP522" s="205">
        <f>M522*AO522*$AP$2/1000</f>
        <v>0</v>
      </c>
      <c r="AQ522" s="192">
        <f t="shared" si="4272"/>
        <v>0</v>
      </c>
      <c r="AR522" s="96">
        <f t="shared" si="4273"/>
        <v>0</v>
      </c>
      <c r="AS522" s="96"/>
      <c r="AT522" s="176">
        <f t="shared" si="4274"/>
        <v>0</v>
      </c>
      <c r="AU522" s="204"/>
      <c r="AV522" s="176">
        <f t="shared" si="4275"/>
        <v>0</v>
      </c>
      <c r="AW522" s="204"/>
      <c r="AX522" s="205">
        <f t="shared" si="4276"/>
        <v>0</v>
      </c>
      <c r="AY522" s="192">
        <f t="shared" si="4277"/>
        <v>0</v>
      </c>
      <c r="AZ522" s="96">
        <f t="shared" si="4278"/>
        <v>0</v>
      </c>
      <c r="BA522" s="96">
        <f t="shared" si="4279"/>
        <v>0</v>
      </c>
      <c r="BB522" s="96">
        <f t="shared" si="4280"/>
        <v>0</v>
      </c>
    </row>
    <row r="523" spans="1:54" hidden="1">
      <c r="A523" s="498">
        <v>363</v>
      </c>
      <c r="B523" s="14"/>
      <c r="C523" s="14"/>
      <c r="D523" s="14"/>
      <c r="E523" s="16" t="s">
        <v>57</v>
      </c>
      <c r="F523" s="17" t="s">
        <v>214</v>
      </c>
      <c r="G523" s="17" t="s">
        <v>1105</v>
      </c>
      <c r="H523" s="267" t="s">
        <v>364</v>
      </c>
      <c r="I523" s="55">
        <v>7</v>
      </c>
      <c r="J523" s="102"/>
      <c r="K523" s="55">
        <v>7</v>
      </c>
      <c r="L523" s="163"/>
      <c r="M523" s="55"/>
      <c r="N523" s="163"/>
      <c r="O523" s="143"/>
      <c r="P523" s="102"/>
      <c r="Q523" s="96">
        <f t="shared" si="4261"/>
        <v>0</v>
      </c>
      <c r="R523" s="340">
        <f t="shared" si="4262"/>
        <v>0</v>
      </c>
      <c r="S523" s="96"/>
      <c r="T523" s="96">
        <f>I523*S523*$T$2/1000</f>
        <v>0</v>
      </c>
      <c r="U523" s="96"/>
      <c r="V523" s="176">
        <f>I523*U523*$V$2/1000</f>
        <v>0</v>
      </c>
      <c r="W523" s="204"/>
      <c r="X523" s="205">
        <f>I523*W523*$X$2/1000</f>
        <v>0</v>
      </c>
      <c r="Y523" s="192">
        <f t="shared" si="4263"/>
        <v>0</v>
      </c>
      <c r="Z523" s="176">
        <f t="shared" si="4264"/>
        <v>0</v>
      </c>
      <c r="AA523" s="204"/>
      <c r="AB523" s="205">
        <f>K523*AA523*$AB$2/1000</f>
        <v>0</v>
      </c>
      <c r="AC523" s="204"/>
      <c r="AD523" s="176">
        <f>K523*AC523*$AD$2/1000</f>
        <v>0</v>
      </c>
      <c r="AE523" s="204"/>
      <c r="AF523" s="205">
        <f t="shared" si="4281"/>
        <v>0</v>
      </c>
      <c r="AG523" s="192">
        <f t="shared" si="4265"/>
        <v>0</v>
      </c>
      <c r="AH523" s="96">
        <f t="shared" si="4266"/>
        <v>0</v>
      </c>
      <c r="AI523" s="96">
        <f t="shared" si="4267"/>
        <v>0</v>
      </c>
      <c r="AJ523" s="176">
        <f t="shared" si="4268"/>
        <v>0</v>
      </c>
      <c r="AK523" s="204"/>
      <c r="AL523" s="176">
        <f t="shared" si="4269"/>
        <v>0</v>
      </c>
      <c r="AM523" s="244"/>
      <c r="AN523" s="176">
        <f t="shared" si="4270"/>
        <v>0</v>
      </c>
      <c r="AO523" s="204"/>
      <c r="AP523" s="205">
        <f t="shared" si="4271"/>
        <v>0</v>
      </c>
      <c r="AQ523" s="192">
        <f t="shared" si="4272"/>
        <v>0</v>
      </c>
      <c r="AR523" s="96">
        <f t="shared" si="4273"/>
        <v>0</v>
      </c>
      <c r="AS523" s="96"/>
      <c r="AT523" s="176">
        <f t="shared" si="4274"/>
        <v>0</v>
      </c>
      <c r="AU523" s="204"/>
      <c r="AV523" s="176">
        <f t="shared" si="4275"/>
        <v>0</v>
      </c>
      <c r="AW523" s="204"/>
      <c r="AX523" s="205">
        <f t="shared" si="4276"/>
        <v>0</v>
      </c>
      <c r="AY523" s="192">
        <f t="shared" si="4277"/>
        <v>0</v>
      </c>
      <c r="AZ523" s="96">
        <f t="shared" si="4278"/>
        <v>0</v>
      </c>
      <c r="BA523" s="96">
        <f t="shared" si="4279"/>
        <v>0</v>
      </c>
      <c r="BB523" s="96">
        <f t="shared" si="4280"/>
        <v>0</v>
      </c>
    </row>
    <row r="524" spans="1:54" hidden="1">
      <c r="A524" s="498">
        <v>364</v>
      </c>
      <c r="B524" s="14"/>
      <c r="C524" s="20"/>
      <c r="D524" s="69"/>
      <c r="E524" s="70" t="s">
        <v>269</v>
      </c>
      <c r="F524" s="25" t="s">
        <v>270</v>
      </c>
      <c r="G524" s="25" t="s">
        <v>1105</v>
      </c>
      <c r="H524" s="270" t="s">
        <v>364</v>
      </c>
      <c r="I524" s="58">
        <v>7</v>
      </c>
      <c r="J524" s="108"/>
      <c r="K524" s="58">
        <v>7</v>
      </c>
      <c r="L524" s="167"/>
      <c r="M524" s="58"/>
      <c r="N524" s="167"/>
      <c r="O524" s="145"/>
      <c r="P524" s="108"/>
      <c r="Q524" s="120">
        <f t="shared" si="4261"/>
        <v>0</v>
      </c>
      <c r="R524" s="344">
        <f t="shared" si="4262"/>
        <v>0</v>
      </c>
      <c r="S524" s="120"/>
      <c r="T524" s="120">
        <f>I524*S524*$T$2/1000</f>
        <v>0</v>
      </c>
      <c r="U524" s="120"/>
      <c r="V524" s="179">
        <f>I524*U524*$V$2/1000</f>
        <v>0</v>
      </c>
      <c r="W524" s="210"/>
      <c r="X524" s="211">
        <f>I524*W524*$X$2/1000</f>
        <v>0</v>
      </c>
      <c r="Y524" s="190">
        <f t="shared" si="4263"/>
        <v>0</v>
      </c>
      <c r="Z524" s="179">
        <f t="shared" si="4264"/>
        <v>0</v>
      </c>
      <c r="AA524" s="210"/>
      <c r="AB524" s="211">
        <f>K524*AA524*$AB$2/1000</f>
        <v>0</v>
      </c>
      <c r="AC524" s="210"/>
      <c r="AD524" s="179">
        <f>K524*AC524*$AD$2/1000</f>
        <v>0</v>
      </c>
      <c r="AE524" s="210"/>
      <c r="AF524" s="435">
        <f t="shared" si="4281"/>
        <v>0</v>
      </c>
      <c r="AG524" s="190">
        <f t="shared" si="4265"/>
        <v>0</v>
      </c>
      <c r="AH524" s="120">
        <f t="shared" si="4266"/>
        <v>0</v>
      </c>
      <c r="AI524" s="120">
        <f t="shared" si="4267"/>
        <v>0</v>
      </c>
      <c r="AJ524" s="179">
        <f t="shared" si="4268"/>
        <v>0</v>
      </c>
      <c r="AK524" s="210"/>
      <c r="AL524" s="179">
        <f t="shared" si="4269"/>
        <v>0</v>
      </c>
      <c r="AM524" s="247"/>
      <c r="AN524" s="179">
        <f t="shared" si="4270"/>
        <v>0</v>
      </c>
      <c r="AO524" s="210"/>
      <c r="AP524" s="211">
        <f t="shared" si="4271"/>
        <v>0</v>
      </c>
      <c r="AQ524" s="190">
        <f t="shared" si="4272"/>
        <v>0</v>
      </c>
      <c r="AR524" s="120">
        <f t="shared" si="4273"/>
        <v>0</v>
      </c>
      <c r="AS524" s="120"/>
      <c r="AT524" s="179">
        <f t="shared" si="4274"/>
        <v>0</v>
      </c>
      <c r="AU524" s="210"/>
      <c r="AV524" s="179">
        <f t="shared" si="4275"/>
        <v>0</v>
      </c>
      <c r="AW524" s="210"/>
      <c r="AX524" s="211">
        <f t="shared" si="4276"/>
        <v>0</v>
      </c>
      <c r="AY524" s="190">
        <f t="shared" si="4277"/>
        <v>0</v>
      </c>
      <c r="AZ524" s="120">
        <f t="shared" si="4278"/>
        <v>0</v>
      </c>
      <c r="BA524" s="120">
        <f t="shared" si="4279"/>
        <v>0</v>
      </c>
      <c r="BB524" s="120">
        <f t="shared" si="4280"/>
        <v>0</v>
      </c>
    </row>
    <row r="525" spans="1:54" hidden="1">
      <c r="A525" s="498">
        <v>365</v>
      </c>
      <c r="B525" s="42"/>
      <c r="C525" s="71" t="s">
        <v>135</v>
      </c>
      <c r="D525" s="72"/>
      <c r="E525" s="72"/>
      <c r="F525" s="72"/>
      <c r="G525" s="72"/>
      <c r="H525" s="286"/>
      <c r="I525" s="73"/>
      <c r="J525" s="110"/>
      <c r="K525" s="73"/>
      <c r="L525" s="77"/>
      <c r="M525" s="73"/>
      <c r="N525" s="77"/>
      <c r="O525" s="151"/>
      <c r="P525" s="110"/>
      <c r="Q525" s="130">
        <f>SUM(Q520:Q524)</f>
        <v>0</v>
      </c>
      <c r="R525" s="130">
        <f t="shared" ref="R525:BB525" si="4282">SUM(R520:R524)</f>
        <v>0</v>
      </c>
      <c r="S525" s="130">
        <f t="shared" si="4282"/>
        <v>0</v>
      </c>
      <c r="T525" s="130">
        <f t="shared" si="4282"/>
        <v>0</v>
      </c>
      <c r="U525" s="130">
        <f t="shared" si="4282"/>
        <v>0</v>
      </c>
      <c r="V525" s="130">
        <f t="shared" si="4282"/>
        <v>0</v>
      </c>
      <c r="W525" s="130">
        <f t="shared" si="4282"/>
        <v>0</v>
      </c>
      <c r="X525" s="130">
        <f t="shared" si="4282"/>
        <v>0</v>
      </c>
      <c r="Y525" s="130">
        <f t="shared" si="4282"/>
        <v>0</v>
      </c>
      <c r="Z525" s="130">
        <f t="shared" si="4282"/>
        <v>0</v>
      </c>
      <c r="AA525" s="130">
        <f>SUM(AA520:AA524)</f>
        <v>0</v>
      </c>
      <c r="AB525" s="130">
        <f t="shared" si="4282"/>
        <v>0</v>
      </c>
      <c r="AC525" s="130">
        <f t="shared" si="4282"/>
        <v>0</v>
      </c>
      <c r="AD525" s="130">
        <f t="shared" si="4282"/>
        <v>0</v>
      </c>
      <c r="AE525" s="130">
        <f t="shared" si="4282"/>
        <v>0</v>
      </c>
      <c r="AF525" s="124">
        <f t="shared" si="4282"/>
        <v>0</v>
      </c>
      <c r="AG525" s="130">
        <f t="shared" si="4282"/>
        <v>0</v>
      </c>
      <c r="AH525" s="130">
        <f t="shared" si="4282"/>
        <v>0</v>
      </c>
      <c r="AI525" s="130">
        <f t="shared" si="4282"/>
        <v>0</v>
      </c>
      <c r="AJ525" s="130">
        <f t="shared" si="4282"/>
        <v>0</v>
      </c>
      <c r="AK525" s="130">
        <f t="shared" si="4282"/>
        <v>0</v>
      </c>
      <c r="AL525" s="130">
        <f t="shared" si="4282"/>
        <v>0</v>
      </c>
      <c r="AM525" s="130">
        <f t="shared" si="4282"/>
        <v>0</v>
      </c>
      <c r="AN525" s="130">
        <f t="shared" si="4282"/>
        <v>0</v>
      </c>
      <c r="AO525" s="130">
        <f t="shared" si="4282"/>
        <v>0</v>
      </c>
      <c r="AP525" s="130">
        <f t="shared" si="4282"/>
        <v>0</v>
      </c>
      <c r="AQ525" s="130">
        <f t="shared" si="4282"/>
        <v>0</v>
      </c>
      <c r="AR525" s="130">
        <f t="shared" si="4282"/>
        <v>0</v>
      </c>
      <c r="AS525" s="130">
        <f t="shared" si="4282"/>
        <v>0</v>
      </c>
      <c r="AT525" s="130">
        <f t="shared" si="4282"/>
        <v>0</v>
      </c>
      <c r="AU525" s="130">
        <f t="shared" si="4282"/>
        <v>0</v>
      </c>
      <c r="AV525" s="130">
        <f t="shared" si="4282"/>
        <v>0</v>
      </c>
      <c r="AW525" s="130">
        <f t="shared" si="4282"/>
        <v>0</v>
      </c>
      <c r="AX525" s="130">
        <f t="shared" si="4282"/>
        <v>0</v>
      </c>
      <c r="AY525" s="130">
        <f t="shared" si="4282"/>
        <v>0</v>
      </c>
      <c r="AZ525" s="130">
        <f t="shared" si="4282"/>
        <v>0</v>
      </c>
      <c r="BA525" s="130">
        <f t="shared" si="4282"/>
        <v>0</v>
      </c>
      <c r="BB525" s="130">
        <f t="shared" si="4282"/>
        <v>0</v>
      </c>
    </row>
    <row r="526" spans="1:54">
      <c r="A526" s="498">
        <v>366</v>
      </c>
      <c r="B526" s="13" t="s">
        <v>1155</v>
      </c>
      <c r="C526" s="53" t="s">
        <v>216</v>
      </c>
      <c r="D526" s="53" t="s">
        <v>48</v>
      </c>
      <c r="E526" s="19" t="s">
        <v>271</v>
      </c>
      <c r="F526" s="22">
        <v>337</v>
      </c>
      <c r="G526" s="22" t="s">
        <v>1105</v>
      </c>
      <c r="H526" s="268" t="s">
        <v>365</v>
      </c>
      <c r="I526" s="55">
        <v>2.66</v>
      </c>
      <c r="J526" s="102"/>
      <c r="K526" s="55">
        <v>2.66</v>
      </c>
      <c r="L526" s="102"/>
      <c r="M526" s="55">
        <v>2.66</v>
      </c>
      <c r="N526" s="163"/>
      <c r="O526" s="55">
        <v>2.66</v>
      </c>
      <c r="P526" s="102"/>
      <c r="Q526" s="97">
        <f t="shared" ref="Q526:Q536" si="4283">SUM(AI526+BA526)</f>
        <v>11.264999999999999</v>
      </c>
      <c r="R526" s="342">
        <f t="shared" ref="R526:R536" si="4284">SUM(AJ526+BB526)</f>
        <v>40.711576187800006</v>
      </c>
      <c r="S526" s="97"/>
      <c r="T526" s="97">
        <f t="shared" ref="T526:T535" si="4285">I526*S526*$T$2/1000</f>
        <v>0</v>
      </c>
      <c r="U526" s="97">
        <v>1.62</v>
      </c>
      <c r="V526" s="177">
        <f t="shared" ref="V526:V535" si="4286">I526*U526*$V$2/1000</f>
        <v>5.7329596800000004</v>
      </c>
      <c r="W526" s="207"/>
      <c r="X526" s="206">
        <f t="shared" ref="X526:X535" si="4287">I526*W526*$X$2/1000</f>
        <v>0</v>
      </c>
      <c r="Y526" s="189">
        <f t="shared" ref="Y526:Y535" si="4288">SUM(S526+U526+W526)</f>
        <v>1.62</v>
      </c>
      <c r="Z526" s="177">
        <f t="shared" ref="Z526:Z536" si="4289">SUM(T526+V526+X526)</f>
        <v>5.7329596800000004</v>
      </c>
      <c r="AA526" s="207">
        <v>1.92</v>
      </c>
      <c r="AB526" s="206">
        <f t="shared" ref="AB526:AB535" si="4290">K526*AA526*$AB$2/1000</f>
        <v>6.9668336639999993</v>
      </c>
      <c r="AC526" s="207">
        <v>4.6269999999999998</v>
      </c>
      <c r="AD526" s="177">
        <f t="shared" ref="AD526:AD535" si="4291">K526*AC526*$AD$2/1000</f>
        <v>16.857159506600002</v>
      </c>
      <c r="AE526" s="207">
        <v>0.8</v>
      </c>
      <c r="AF526" s="206">
        <f>K526*AE526*$AF$2/1000</f>
        <v>2.9341502400000001</v>
      </c>
      <c r="AG526" s="189">
        <f t="shared" ref="AG526:AG535" si="4292">SUM(AA526+AC526+AE526)</f>
        <v>7.3469999999999995</v>
      </c>
      <c r="AH526" s="97">
        <f t="shared" ref="AH526:AH536" si="4293">SUM(AB526+AD526+AF526)</f>
        <v>26.758143410600002</v>
      </c>
      <c r="AI526" s="97">
        <f t="shared" ref="AI526:AI536" si="4294">SUM(Y526+AG526)</f>
        <v>8.9669999999999987</v>
      </c>
      <c r="AJ526" s="177">
        <f t="shared" ref="AJ526:AJ536" si="4295">SUM(Z526,AH526)</f>
        <v>32.491103090600006</v>
      </c>
      <c r="AK526" s="207"/>
      <c r="AL526" s="177">
        <f t="shared" ref="AL526:AL535" si="4296">M526*AK526*$AL$2/1000</f>
        <v>0</v>
      </c>
      <c r="AM526" s="245"/>
      <c r="AN526" s="177">
        <f t="shared" ref="AN526:AN535" si="4297">M526*AM526*$AN$2/1000</f>
        <v>0</v>
      </c>
      <c r="AO526" s="207">
        <v>1.1779999999999999</v>
      </c>
      <c r="AP526" s="206">
        <f t="shared" ref="AP526:AP533" si="4298">M526*AO526*$AP$2/1000</f>
        <v>4.1750174172000003</v>
      </c>
      <c r="AQ526" s="189">
        <f t="shared" ref="AQ526:AQ535" si="4299">SUM(AK526+AM526+AO526)</f>
        <v>1.1779999999999999</v>
      </c>
      <c r="AR526" s="97">
        <f t="shared" ref="AR526:AR536" si="4300">SUM(AL526+AN526+AP526)</f>
        <v>4.1750174172000003</v>
      </c>
      <c r="AS526" s="97">
        <v>1.1200000000000001</v>
      </c>
      <c r="AT526" s="177">
        <f t="shared" ref="AT526:AT535" si="4301">O526*AS526*$AT$2/1000</f>
        <v>4.0454556800000008</v>
      </c>
      <c r="AU526" s="299"/>
      <c r="AV526" s="177">
        <f t="shared" ref="AV526:AV535" si="4302">O526*AU526*$AV$2/1000</f>
        <v>0</v>
      </c>
      <c r="AW526" s="299"/>
      <c r="AX526" s="206">
        <f t="shared" ref="AX526:AX535" si="4303">O526*AW526*$AX$2/1000</f>
        <v>0</v>
      </c>
      <c r="AY526" s="189">
        <f t="shared" ref="AY526:AY535" si="4304">SUM(AS526+AU526+AW526)</f>
        <v>1.1200000000000001</v>
      </c>
      <c r="AZ526" s="97">
        <f t="shared" ref="AZ526:AZ536" si="4305">SUM(AT526+AV526+AX526)</f>
        <v>4.0454556800000008</v>
      </c>
      <c r="BA526" s="97">
        <f t="shared" ref="BA526:BA536" si="4306">SUM(AQ526+AY526)</f>
        <v>2.298</v>
      </c>
      <c r="BB526" s="97">
        <f t="shared" ref="BB526:BB536" si="4307">SUM(AR526,AZ526)</f>
        <v>8.2204730972000011</v>
      </c>
    </row>
    <row r="527" spans="1:54">
      <c r="A527" s="498">
        <v>367</v>
      </c>
      <c r="B527" s="13"/>
      <c r="C527" s="23"/>
      <c r="D527" s="13"/>
      <c r="E527" s="19" t="s">
        <v>272</v>
      </c>
      <c r="F527" s="22" t="s">
        <v>487</v>
      </c>
      <c r="G527" s="22" t="s">
        <v>1105</v>
      </c>
      <c r="H527" s="268" t="s">
        <v>365</v>
      </c>
      <c r="I527" s="234">
        <v>10.91</v>
      </c>
      <c r="J527" s="102"/>
      <c r="K527" s="234">
        <v>10.91</v>
      </c>
      <c r="L527" s="102"/>
      <c r="M527" s="234">
        <v>10.91</v>
      </c>
      <c r="N527" s="163"/>
      <c r="O527" s="234">
        <v>10.91</v>
      </c>
      <c r="P527" s="102"/>
      <c r="Q527" s="97">
        <f t="shared" si="4283"/>
        <v>0</v>
      </c>
      <c r="R527" s="342">
        <f t="shared" si="4284"/>
        <v>0</v>
      </c>
      <c r="S527" s="97"/>
      <c r="T527" s="97">
        <f t="shared" si="4285"/>
        <v>0</v>
      </c>
      <c r="U527" s="97"/>
      <c r="V527" s="177">
        <f t="shared" si="4286"/>
        <v>0</v>
      </c>
      <c r="W527" s="207"/>
      <c r="X527" s="206">
        <f t="shared" si="4287"/>
        <v>0</v>
      </c>
      <c r="Y527" s="189">
        <f t="shared" si="4288"/>
        <v>0</v>
      </c>
      <c r="Z527" s="177">
        <f t="shared" si="4289"/>
        <v>0</v>
      </c>
      <c r="AA527" s="207"/>
      <c r="AB527" s="206">
        <f t="shared" si="4290"/>
        <v>0</v>
      </c>
      <c r="AC527" s="207"/>
      <c r="AD527" s="177">
        <f t="shared" si="4291"/>
        <v>0</v>
      </c>
      <c r="AE527" s="207"/>
      <c r="AF527" s="206">
        <f t="shared" ref="AF527:AF535" si="4308">K527*AE527*$AF$2/1000</f>
        <v>0</v>
      </c>
      <c r="AG527" s="189">
        <f t="shared" si="4292"/>
        <v>0</v>
      </c>
      <c r="AH527" s="97">
        <f t="shared" si="4293"/>
        <v>0</v>
      </c>
      <c r="AI527" s="97">
        <f t="shared" si="4294"/>
        <v>0</v>
      </c>
      <c r="AJ527" s="177">
        <f t="shared" si="4295"/>
        <v>0</v>
      </c>
      <c r="AK527" s="207"/>
      <c r="AL527" s="177">
        <f t="shared" si="4296"/>
        <v>0</v>
      </c>
      <c r="AM527" s="245"/>
      <c r="AN527" s="177">
        <f t="shared" si="4297"/>
        <v>0</v>
      </c>
      <c r="AO527" s="207"/>
      <c r="AP527" s="206">
        <f t="shared" si="4298"/>
        <v>0</v>
      </c>
      <c r="AQ527" s="189">
        <f t="shared" si="4299"/>
        <v>0</v>
      </c>
      <c r="AR527" s="97">
        <f t="shared" si="4300"/>
        <v>0</v>
      </c>
      <c r="AS527" s="97"/>
      <c r="AT527" s="177">
        <f t="shared" si="4301"/>
        <v>0</v>
      </c>
      <c r="AU527" s="299"/>
      <c r="AV527" s="177">
        <f t="shared" si="4302"/>
        <v>0</v>
      </c>
      <c r="AW527" s="299"/>
      <c r="AX527" s="206">
        <f>O527*AW527*$AX$2/1000</f>
        <v>0</v>
      </c>
      <c r="AY527" s="189">
        <f t="shared" si="4304"/>
        <v>0</v>
      </c>
      <c r="AZ527" s="97">
        <f t="shared" si="4305"/>
        <v>0</v>
      </c>
      <c r="BA527" s="97">
        <f t="shared" si="4306"/>
        <v>0</v>
      </c>
      <c r="BB527" s="97">
        <f t="shared" si="4307"/>
        <v>0</v>
      </c>
    </row>
    <row r="528" spans="1:54">
      <c r="A528" s="498">
        <v>368</v>
      </c>
      <c r="B528" s="13"/>
      <c r="C528" s="23"/>
      <c r="D528" s="13"/>
      <c r="E528" s="19" t="s">
        <v>273</v>
      </c>
      <c r="F528" s="22" t="s">
        <v>274</v>
      </c>
      <c r="G528" s="22" t="s">
        <v>1105</v>
      </c>
      <c r="H528" s="268" t="s">
        <v>365</v>
      </c>
      <c r="I528" s="234">
        <v>17.27</v>
      </c>
      <c r="J528" s="102"/>
      <c r="K528" s="234">
        <v>17.27</v>
      </c>
      <c r="L528" s="102"/>
      <c r="M528" s="234">
        <v>17.27</v>
      </c>
      <c r="N528" s="163"/>
      <c r="O528" s="234">
        <v>17.27</v>
      </c>
      <c r="P528" s="102"/>
      <c r="Q528" s="97">
        <f t="shared" si="4283"/>
        <v>0</v>
      </c>
      <c r="R528" s="342">
        <f t="shared" si="4284"/>
        <v>0</v>
      </c>
      <c r="S528" s="97"/>
      <c r="T528" s="97">
        <f t="shared" si="4285"/>
        <v>0</v>
      </c>
      <c r="U528" s="97"/>
      <c r="V528" s="177">
        <f t="shared" si="4286"/>
        <v>0</v>
      </c>
      <c r="W528" s="207"/>
      <c r="X528" s="206">
        <f t="shared" si="4287"/>
        <v>0</v>
      </c>
      <c r="Y528" s="189">
        <f t="shared" si="4288"/>
        <v>0</v>
      </c>
      <c r="Z528" s="177">
        <f t="shared" si="4289"/>
        <v>0</v>
      </c>
      <c r="AA528" s="207"/>
      <c r="AB528" s="206">
        <f t="shared" si="4290"/>
        <v>0</v>
      </c>
      <c r="AC528" s="207"/>
      <c r="AD528" s="177">
        <f t="shared" si="4291"/>
        <v>0</v>
      </c>
      <c r="AE528" s="207"/>
      <c r="AF528" s="206">
        <f t="shared" si="4308"/>
        <v>0</v>
      </c>
      <c r="AG528" s="189">
        <f t="shared" si="4292"/>
        <v>0</v>
      </c>
      <c r="AH528" s="97">
        <f t="shared" si="4293"/>
        <v>0</v>
      </c>
      <c r="AI528" s="97">
        <f t="shared" si="4294"/>
        <v>0</v>
      </c>
      <c r="AJ528" s="177">
        <f t="shared" si="4295"/>
        <v>0</v>
      </c>
      <c r="AK528" s="207"/>
      <c r="AL528" s="177">
        <f t="shared" si="4296"/>
        <v>0</v>
      </c>
      <c r="AM528" s="245"/>
      <c r="AN528" s="177">
        <f t="shared" si="4297"/>
        <v>0</v>
      </c>
      <c r="AO528" s="207"/>
      <c r="AP528" s="206">
        <f t="shared" si="4298"/>
        <v>0</v>
      </c>
      <c r="AQ528" s="189">
        <f t="shared" si="4299"/>
        <v>0</v>
      </c>
      <c r="AR528" s="97">
        <f t="shared" si="4300"/>
        <v>0</v>
      </c>
      <c r="AS528" s="97"/>
      <c r="AT528" s="177">
        <f t="shared" si="4301"/>
        <v>0</v>
      </c>
      <c r="AU528" s="299"/>
      <c r="AV528" s="177">
        <f t="shared" si="4302"/>
        <v>0</v>
      </c>
      <c r="AW528" s="299"/>
      <c r="AX528" s="206">
        <f t="shared" si="4303"/>
        <v>0</v>
      </c>
      <c r="AY528" s="189">
        <f t="shared" si="4304"/>
        <v>0</v>
      </c>
      <c r="AZ528" s="97">
        <f t="shared" si="4305"/>
        <v>0</v>
      </c>
      <c r="BA528" s="97">
        <f t="shared" si="4306"/>
        <v>0</v>
      </c>
      <c r="BB528" s="97">
        <f t="shared" si="4307"/>
        <v>0</v>
      </c>
    </row>
    <row r="529" spans="1:54">
      <c r="A529" s="498">
        <v>369</v>
      </c>
      <c r="B529" s="13"/>
      <c r="C529" s="23"/>
      <c r="D529" s="13"/>
      <c r="E529" s="19" t="s">
        <v>79</v>
      </c>
      <c r="F529" s="22" t="s">
        <v>275</v>
      </c>
      <c r="G529" s="22" t="s">
        <v>1105</v>
      </c>
      <c r="H529" s="268" t="s">
        <v>365</v>
      </c>
      <c r="I529" s="234">
        <v>17.91</v>
      </c>
      <c r="J529" s="102"/>
      <c r="K529" s="234">
        <v>17.91</v>
      </c>
      <c r="L529" s="102"/>
      <c r="M529" s="234">
        <v>17.91</v>
      </c>
      <c r="N529" s="163"/>
      <c r="O529" s="234">
        <v>17.91</v>
      </c>
      <c r="P529" s="102"/>
      <c r="Q529" s="97">
        <f t="shared" si="4283"/>
        <v>0</v>
      </c>
      <c r="R529" s="342">
        <f t="shared" si="4284"/>
        <v>0</v>
      </c>
      <c r="S529" s="97"/>
      <c r="T529" s="97">
        <f t="shared" si="4285"/>
        <v>0</v>
      </c>
      <c r="U529" s="97"/>
      <c r="V529" s="177">
        <f t="shared" si="4286"/>
        <v>0</v>
      </c>
      <c r="W529" s="207"/>
      <c r="X529" s="206">
        <f t="shared" si="4287"/>
        <v>0</v>
      </c>
      <c r="Y529" s="189">
        <f t="shared" si="4288"/>
        <v>0</v>
      </c>
      <c r="Z529" s="177">
        <f t="shared" si="4289"/>
        <v>0</v>
      </c>
      <c r="AA529" s="207"/>
      <c r="AB529" s="206">
        <f t="shared" si="4290"/>
        <v>0</v>
      </c>
      <c r="AC529" s="207"/>
      <c r="AD529" s="177">
        <f t="shared" si="4291"/>
        <v>0</v>
      </c>
      <c r="AE529" s="207"/>
      <c r="AF529" s="206">
        <f t="shared" si="4308"/>
        <v>0</v>
      </c>
      <c r="AG529" s="189">
        <f t="shared" si="4292"/>
        <v>0</v>
      </c>
      <c r="AH529" s="97">
        <f t="shared" si="4293"/>
        <v>0</v>
      </c>
      <c r="AI529" s="97">
        <f t="shared" si="4294"/>
        <v>0</v>
      </c>
      <c r="AJ529" s="177">
        <f t="shared" si="4295"/>
        <v>0</v>
      </c>
      <c r="AK529" s="207"/>
      <c r="AL529" s="177">
        <f t="shared" si="4296"/>
        <v>0</v>
      </c>
      <c r="AM529" s="245"/>
      <c r="AN529" s="177">
        <f t="shared" si="4297"/>
        <v>0</v>
      </c>
      <c r="AO529" s="207"/>
      <c r="AP529" s="206">
        <f t="shared" si="4298"/>
        <v>0</v>
      </c>
      <c r="AQ529" s="189">
        <f t="shared" si="4299"/>
        <v>0</v>
      </c>
      <c r="AR529" s="97">
        <f t="shared" si="4300"/>
        <v>0</v>
      </c>
      <c r="AS529" s="97"/>
      <c r="AT529" s="177">
        <f t="shared" si="4301"/>
        <v>0</v>
      </c>
      <c r="AU529" s="299"/>
      <c r="AV529" s="177">
        <f t="shared" si="4302"/>
        <v>0</v>
      </c>
      <c r="AW529" s="299"/>
      <c r="AX529" s="206">
        <f t="shared" si="4303"/>
        <v>0</v>
      </c>
      <c r="AY529" s="189">
        <f t="shared" si="4304"/>
        <v>0</v>
      </c>
      <c r="AZ529" s="97">
        <f t="shared" si="4305"/>
        <v>0</v>
      </c>
      <c r="BA529" s="97">
        <f t="shared" si="4306"/>
        <v>0</v>
      </c>
      <c r="BB529" s="97">
        <f t="shared" si="4307"/>
        <v>0</v>
      </c>
    </row>
    <row r="530" spans="1:54">
      <c r="A530" s="498">
        <v>370</v>
      </c>
      <c r="B530" s="13"/>
      <c r="C530" s="23"/>
      <c r="D530" s="13"/>
      <c r="E530" s="19" t="s">
        <v>1581</v>
      </c>
      <c r="F530" s="22" t="s">
        <v>1582</v>
      </c>
      <c r="G530" s="22" t="s">
        <v>1105</v>
      </c>
      <c r="H530" s="268" t="s">
        <v>365</v>
      </c>
      <c r="I530" s="234">
        <v>25.25</v>
      </c>
      <c r="J530" s="102"/>
      <c r="K530" s="234">
        <v>25.25</v>
      </c>
      <c r="L530" s="102"/>
      <c r="M530" s="234">
        <v>25.25</v>
      </c>
      <c r="N530" s="163"/>
      <c r="O530" s="234">
        <v>25.25</v>
      </c>
      <c r="P530" s="102"/>
      <c r="Q530" s="97">
        <f t="shared" si="4283"/>
        <v>9.863999999999999</v>
      </c>
      <c r="R530" s="342">
        <f t="shared" si="4284"/>
        <v>338.09424173999997</v>
      </c>
      <c r="S530" s="97">
        <v>1.98</v>
      </c>
      <c r="T530" s="97">
        <f t="shared" si="4285"/>
        <v>66.087890549999997</v>
      </c>
      <c r="U530" s="97"/>
      <c r="V530" s="177">
        <f t="shared" si="4286"/>
        <v>0</v>
      </c>
      <c r="W530" s="207"/>
      <c r="X530" s="206">
        <f t="shared" si="4287"/>
        <v>0</v>
      </c>
      <c r="Y530" s="189">
        <f t="shared" ref="Y530:Y532" si="4309">SUM(S530+U530+W530)</f>
        <v>1.98</v>
      </c>
      <c r="Z530" s="177">
        <f t="shared" ref="Z530:Z532" si="4310">SUM(T530+V530+X530)</f>
        <v>66.087890549999997</v>
      </c>
      <c r="AA530" s="207">
        <v>0.97199999999999998</v>
      </c>
      <c r="AB530" s="206">
        <f t="shared" si="4290"/>
        <v>33.479597159999997</v>
      </c>
      <c r="AC530" s="207">
        <v>1.008</v>
      </c>
      <c r="AD530" s="177">
        <f t="shared" si="4291"/>
        <v>34.85982276</v>
      </c>
      <c r="AE530" s="207">
        <v>1.044</v>
      </c>
      <c r="AF530" s="206">
        <f t="shared" si="4308"/>
        <v>36.347337629999998</v>
      </c>
      <c r="AG530" s="189">
        <f>SUM(AA530+AC530+AE530)</f>
        <v>3.024</v>
      </c>
      <c r="AH530" s="97">
        <f t="shared" ref="AH530:AH532" si="4311">SUM(AB530+AD530+AF530)</f>
        <v>104.68675755</v>
      </c>
      <c r="AI530" s="97">
        <f t="shared" ref="AI530:AI532" si="4312">SUM(Y530+AG530)</f>
        <v>5.0039999999999996</v>
      </c>
      <c r="AJ530" s="177">
        <f t="shared" ref="AJ530:AJ532" si="4313">SUM(Z530,AH530)</f>
        <v>170.77464809999998</v>
      </c>
      <c r="AK530" s="207">
        <v>1.476</v>
      </c>
      <c r="AL530" s="177">
        <f t="shared" ref="AL530:AL532" si="4314">M530*AK530*$AL$2/1000</f>
        <v>51.546008519999994</v>
      </c>
      <c r="AM530" s="245"/>
      <c r="AN530" s="177">
        <f t="shared" ref="AN530:AN532" si="4315">M530*AM530*$AN$2/1000</f>
        <v>0</v>
      </c>
      <c r="AO530" s="207">
        <v>1.728</v>
      </c>
      <c r="AP530" s="206">
        <f>M530*AO530*$AP$2/1000</f>
        <v>58.134840480000001</v>
      </c>
      <c r="AQ530" s="189">
        <f t="shared" ref="AQ530:AQ532" si="4316">SUM(AK530+AM530+AO530)</f>
        <v>3.2039999999999997</v>
      </c>
      <c r="AR530" s="97">
        <f t="shared" ref="AR530:AR532" si="4317">SUM(AL530+AN530+AP530)</f>
        <v>109.68084899999999</v>
      </c>
      <c r="AS530" s="97">
        <v>0.64800000000000002</v>
      </c>
      <c r="AT530" s="177">
        <f t="shared" ref="AT530:AT532" si="4318">O530*AS530*$AT$2/1000</f>
        <v>22.217959800000003</v>
      </c>
      <c r="AU530" s="299">
        <v>1.008</v>
      </c>
      <c r="AV530" s="177">
        <f t="shared" ref="AV530:AV532" si="4319">O530*AU530*$AV$2/1000</f>
        <v>35.42078484000001</v>
      </c>
      <c r="AW530" s="299"/>
      <c r="AX530" s="206">
        <f t="shared" ref="AX530:AX532" si="4320">O530*AW530*$AX$2/1000</f>
        <v>0</v>
      </c>
      <c r="AY530" s="189">
        <f t="shared" ref="AY530:AY532" si="4321">SUM(AS530+AU530+AW530)</f>
        <v>1.6560000000000001</v>
      </c>
      <c r="AZ530" s="97">
        <f t="shared" ref="AZ530:AZ532" si="4322">SUM(AT530+AV530+AX530)</f>
        <v>57.638744640000013</v>
      </c>
      <c r="BA530" s="97">
        <f t="shared" ref="BA530:BA532" si="4323">SUM(AQ530+AY530)</f>
        <v>4.8599999999999994</v>
      </c>
      <c r="BB530" s="97">
        <f t="shared" ref="BB530:BB532" si="4324">SUM(AR530,AZ530)</f>
        <v>167.31959363999999</v>
      </c>
    </row>
    <row r="531" spans="1:54">
      <c r="A531" s="498">
        <v>371</v>
      </c>
      <c r="B531" s="14"/>
      <c r="C531" s="14"/>
      <c r="D531" s="14"/>
      <c r="E531" s="16" t="s">
        <v>568</v>
      </c>
      <c r="F531" s="17" t="s">
        <v>849</v>
      </c>
      <c r="G531" s="17" t="s">
        <v>1105</v>
      </c>
      <c r="H531" s="268" t="s">
        <v>365</v>
      </c>
      <c r="I531" s="234">
        <v>20.8</v>
      </c>
      <c r="J531" s="102"/>
      <c r="K531" s="234">
        <v>20.8</v>
      </c>
      <c r="L531" s="102"/>
      <c r="M531" s="234">
        <v>20.8</v>
      </c>
      <c r="N531" s="163"/>
      <c r="O531" s="234">
        <v>20.8</v>
      </c>
      <c r="P531" s="102"/>
      <c r="Q531" s="96">
        <f t="shared" si="4283"/>
        <v>0.58499999999999996</v>
      </c>
      <c r="R531" s="340">
        <f t="shared" si="4284"/>
        <v>16.489951920000003</v>
      </c>
      <c r="S531" s="96"/>
      <c r="T531" s="96">
        <f>I531*S531*$T$2/1000</f>
        <v>0</v>
      </c>
      <c r="U531" s="96"/>
      <c r="V531" s="176">
        <f>I531*U531*$V$2/1000</f>
        <v>0</v>
      </c>
      <c r="W531" s="204"/>
      <c r="X531" s="205">
        <f>I531*W531*$X$2/1000</f>
        <v>0</v>
      </c>
      <c r="Y531" s="192">
        <f t="shared" si="4309"/>
        <v>0</v>
      </c>
      <c r="Z531" s="176">
        <f t="shared" si="4310"/>
        <v>0</v>
      </c>
      <c r="AA531" s="204"/>
      <c r="AB531" s="205">
        <f>K531*AA531*$AB$2/1000</f>
        <v>0</v>
      </c>
      <c r="AC531" s="204"/>
      <c r="AD531" s="176">
        <f>K531*AC531*$AD$2/1000</f>
        <v>0</v>
      </c>
      <c r="AE531" s="204"/>
      <c r="AF531" s="424">
        <f t="shared" si="4308"/>
        <v>0</v>
      </c>
      <c r="AG531" s="192">
        <f t="shared" ref="AG531:AG532" si="4325">SUM(AA531+AC531+AE531)</f>
        <v>0</v>
      </c>
      <c r="AH531" s="96">
        <f t="shared" si="4311"/>
        <v>0</v>
      </c>
      <c r="AI531" s="96">
        <f t="shared" si="4312"/>
        <v>0</v>
      </c>
      <c r="AJ531" s="176">
        <f t="shared" si="4313"/>
        <v>0</v>
      </c>
      <c r="AK531" s="204"/>
      <c r="AL531" s="176">
        <f t="shared" si="4314"/>
        <v>0</v>
      </c>
      <c r="AM531" s="244"/>
      <c r="AN531" s="176">
        <f t="shared" si="4315"/>
        <v>0</v>
      </c>
      <c r="AO531" s="204">
        <v>0.36</v>
      </c>
      <c r="AP531" s="205">
        <f>M531*AO531*$AP$2/1000</f>
        <v>9.9769363200000001</v>
      </c>
      <c r="AQ531" s="192">
        <f t="shared" si="4316"/>
        <v>0.36</v>
      </c>
      <c r="AR531" s="96">
        <f t="shared" si="4317"/>
        <v>9.9769363200000001</v>
      </c>
      <c r="AS531" s="96"/>
      <c r="AT531" s="176">
        <f t="shared" si="4318"/>
        <v>0</v>
      </c>
      <c r="AU531" s="204">
        <v>0.22500000000000001</v>
      </c>
      <c r="AV531" s="176">
        <f t="shared" si="4319"/>
        <v>6.5130156000000019</v>
      </c>
      <c r="AW531" s="204"/>
      <c r="AX531" s="205">
        <f t="shared" si="4320"/>
        <v>0</v>
      </c>
      <c r="AY531" s="192">
        <f t="shared" si="4321"/>
        <v>0.22500000000000001</v>
      </c>
      <c r="AZ531" s="96">
        <f t="shared" si="4322"/>
        <v>6.5130156000000019</v>
      </c>
      <c r="BA531" s="96">
        <f t="shared" si="4323"/>
        <v>0.58499999999999996</v>
      </c>
      <c r="BB531" s="96">
        <f t="shared" si="4324"/>
        <v>16.489951920000003</v>
      </c>
    </row>
    <row r="532" spans="1:54">
      <c r="A532" s="498">
        <v>372</v>
      </c>
      <c r="B532" s="13"/>
      <c r="C532" s="23"/>
      <c r="D532" s="88"/>
      <c r="E532" s="19" t="s">
        <v>949</v>
      </c>
      <c r="F532" s="22" t="s">
        <v>1350</v>
      </c>
      <c r="G532" s="22" t="s">
        <v>1105</v>
      </c>
      <c r="H532" s="268" t="s">
        <v>365</v>
      </c>
      <c r="I532" s="55">
        <v>25.9</v>
      </c>
      <c r="J532" s="102"/>
      <c r="K532" s="55">
        <v>25.9</v>
      </c>
      <c r="L532" s="102"/>
      <c r="M532" s="55">
        <v>25.9</v>
      </c>
      <c r="N532" s="163"/>
      <c r="O532" s="55">
        <v>25.9</v>
      </c>
      <c r="P532" s="102"/>
      <c r="Q532" s="97">
        <f t="shared" ref="Q532" si="4326">SUM(AI532+BA532)</f>
        <v>18.196999999999999</v>
      </c>
      <c r="R532" s="342">
        <f t="shared" ref="R532" si="4327">SUM(AJ532+BB532)</f>
        <v>640.31997868999997</v>
      </c>
      <c r="S532" s="97">
        <v>1.044</v>
      </c>
      <c r="T532" s="97">
        <f t="shared" ref="T532" si="4328">I532*S532*$T$2/1000</f>
        <v>35.743376844000004</v>
      </c>
      <c r="U532" s="97">
        <v>1.944</v>
      </c>
      <c r="V532" s="177">
        <f t="shared" ref="V532" si="4329">I532*U532*$V$2/1000</f>
        <v>66.985107839999998</v>
      </c>
      <c r="W532" s="207">
        <v>1.9430000000000001</v>
      </c>
      <c r="X532" s="206">
        <f t="shared" ref="X532" si="4330">I532*W532*$X$2/1000</f>
        <v>66.960715219999997</v>
      </c>
      <c r="Y532" s="189">
        <f t="shared" si="4309"/>
        <v>4.931</v>
      </c>
      <c r="Z532" s="177">
        <f t="shared" si="4310"/>
        <v>169.68919990399999</v>
      </c>
      <c r="AA532" s="207">
        <v>2.3580000000000001</v>
      </c>
      <c r="AB532" s="206">
        <f t="shared" ref="AB532" si="4331">K532*AA532*$AB$2/1000</f>
        <v>83.309809463999997</v>
      </c>
      <c r="AC532" s="207">
        <v>2.79</v>
      </c>
      <c r="AD532" s="177">
        <f t="shared" ref="AD532" si="4332">K532*AC532*$AD$2/1000</f>
        <v>98.970833429999999</v>
      </c>
      <c r="AE532" s="207">
        <v>1.944</v>
      </c>
      <c r="AF532" s="206">
        <f t="shared" ref="AF532" si="4333">K532*AE532*$AF$2/1000</f>
        <v>69.423538967999988</v>
      </c>
      <c r="AG532" s="189">
        <f t="shared" si="4325"/>
        <v>7.0919999999999996</v>
      </c>
      <c r="AH532" s="97">
        <f t="shared" si="4311"/>
        <v>251.70418186199998</v>
      </c>
      <c r="AI532" s="97">
        <f t="shared" si="4312"/>
        <v>12.023</v>
      </c>
      <c r="AJ532" s="177">
        <f t="shared" si="4313"/>
        <v>421.39338176599995</v>
      </c>
      <c r="AK532" s="207">
        <v>0.64800000000000002</v>
      </c>
      <c r="AL532" s="177">
        <f t="shared" si="4314"/>
        <v>23.212508256</v>
      </c>
      <c r="AM532" s="245">
        <v>1.944</v>
      </c>
      <c r="AN532" s="177">
        <f t="shared" si="4315"/>
        <v>68.530840559999987</v>
      </c>
      <c r="AO532" s="207">
        <v>1.296</v>
      </c>
      <c r="AP532" s="206">
        <f t="shared" ref="AP532" si="4334">M532*AO532*$AP$2/1000</f>
        <v>44.723535696000006</v>
      </c>
      <c r="AQ532" s="189">
        <f t="shared" si="4316"/>
        <v>3.8879999999999999</v>
      </c>
      <c r="AR532" s="97">
        <f t="shared" si="4317"/>
        <v>136.46688451199998</v>
      </c>
      <c r="AS532" s="97">
        <v>0.99</v>
      </c>
      <c r="AT532" s="177">
        <f t="shared" si="4318"/>
        <v>34.817913900000001</v>
      </c>
      <c r="AU532" s="299"/>
      <c r="AV532" s="177">
        <f t="shared" si="4319"/>
        <v>0</v>
      </c>
      <c r="AW532" s="299">
        <v>1.296</v>
      </c>
      <c r="AX532" s="206">
        <f t="shared" si="4320"/>
        <v>47.641798512000001</v>
      </c>
      <c r="AY532" s="189">
        <f t="shared" si="4321"/>
        <v>2.286</v>
      </c>
      <c r="AZ532" s="97">
        <f t="shared" si="4322"/>
        <v>82.459712412000002</v>
      </c>
      <c r="BA532" s="97">
        <f t="shared" si="4323"/>
        <v>6.1739999999999995</v>
      </c>
      <c r="BB532" s="97">
        <f t="shared" si="4324"/>
        <v>218.92659692399997</v>
      </c>
    </row>
    <row r="533" spans="1:54">
      <c r="A533" s="498">
        <v>373</v>
      </c>
      <c r="B533" s="13"/>
      <c r="C533" s="23"/>
      <c r="D533" s="13"/>
      <c r="E533" s="19" t="s">
        <v>49</v>
      </c>
      <c r="F533" s="22">
        <v>1004</v>
      </c>
      <c r="G533" s="22" t="s">
        <v>1105</v>
      </c>
      <c r="H533" s="268" t="s">
        <v>365</v>
      </c>
      <c r="I533" s="55">
        <v>16</v>
      </c>
      <c r="J533" s="102"/>
      <c r="K533" s="55">
        <v>16</v>
      </c>
      <c r="L533" s="102"/>
      <c r="M533" s="55">
        <v>16</v>
      </c>
      <c r="N533" s="163"/>
      <c r="O533" s="55">
        <v>16</v>
      </c>
      <c r="P533" s="102"/>
      <c r="Q533" s="97">
        <f t="shared" si="4283"/>
        <v>0.12</v>
      </c>
      <c r="R533" s="342">
        <f t="shared" si="4284"/>
        <v>2.7251135999999998</v>
      </c>
      <c r="S533" s="97"/>
      <c r="T533" s="97">
        <f t="shared" si="4285"/>
        <v>0</v>
      </c>
      <c r="U533" s="97"/>
      <c r="V533" s="177">
        <f t="shared" si="4286"/>
        <v>0</v>
      </c>
      <c r="W533" s="207"/>
      <c r="X533" s="206">
        <f t="shared" si="4287"/>
        <v>0</v>
      </c>
      <c r="Y533" s="189">
        <f t="shared" si="4288"/>
        <v>0</v>
      </c>
      <c r="Z533" s="177">
        <f t="shared" si="4289"/>
        <v>0</v>
      </c>
      <c r="AA533" s="207"/>
      <c r="AB533" s="206">
        <f t="shared" si="4290"/>
        <v>0</v>
      </c>
      <c r="AC533" s="207"/>
      <c r="AD533" s="177">
        <f t="shared" si="4291"/>
        <v>0</v>
      </c>
      <c r="AE533" s="207"/>
      <c r="AF533" s="206">
        <f t="shared" si="4308"/>
        <v>0</v>
      </c>
      <c r="AG533" s="189">
        <f t="shared" si="4292"/>
        <v>0</v>
      </c>
      <c r="AH533" s="97">
        <f t="shared" si="4293"/>
        <v>0</v>
      </c>
      <c r="AI533" s="97">
        <f t="shared" si="4294"/>
        <v>0</v>
      </c>
      <c r="AJ533" s="177">
        <f t="shared" si="4295"/>
        <v>0</v>
      </c>
      <c r="AK533" s="207"/>
      <c r="AL533" s="177">
        <f t="shared" si="4296"/>
        <v>0</v>
      </c>
      <c r="AM533" s="245"/>
      <c r="AN533" s="177">
        <f t="shared" si="4297"/>
        <v>0</v>
      </c>
      <c r="AO533" s="207"/>
      <c r="AP533" s="206">
        <f t="shared" si="4298"/>
        <v>0</v>
      </c>
      <c r="AQ533" s="189">
        <f t="shared" si="4299"/>
        <v>0</v>
      </c>
      <c r="AR533" s="97">
        <f t="shared" si="4300"/>
        <v>0</v>
      </c>
      <c r="AS533" s="97"/>
      <c r="AT533" s="177">
        <f>O533*AS533*$AT$2/1000</f>
        <v>0</v>
      </c>
      <c r="AU533" s="299"/>
      <c r="AV533" s="177">
        <f t="shared" si="4302"/>
        <v>0</v>
      </c>
      <c r="AW533" s="299">
        <v>0.12</v>
      </c>
      <c r="AX533" s="206">
        <f t="shared" si="4303"/>
        <v>2.7251135999999998</v>
      </c>
      <c r="AY533" s="189">
        <f t="shared" si="4304"/>
        <v>0.12</v>
      </c>
      <c r="AZ533" s="97">
        <f t="shared" si="4305"/>
        <v>2.7251135999999998</v>
      </c>
      <c r="BA533" s="97">
        <f t="shared" si="4306"/>
        <v>0.12</v>
      </c>
      <c r="BB533" s="97">
        <f t="shared" si="4307"/>
        <v>2.7251135999999998</v>
      </c>
    </row>
    <row r="534" spans="1:54">
      <c r="A534" s="498">
        <v>374</v>
      </c>
      <c r="B534" s="13"/>
      <c r="C534" s="23"/>
      <c r="D534" s="13"/>
      <c r="E534" s="21" t="s">
        <v>276</v>
      </c>
      <c r="F534" s="22">
        <v>1005</v>
      </c>
      <c r="G534" s="22" t="s">
        <v>1105</v>
      </c>
      <c r="H534" s="268" t="s">
        <v>365</v>
      </c>
      <c r="I534" s="55">
        <v>17.100000000000001</v>
      </c>
      <c r="J534" s="102"/>
      <c r="K534" s="55">
        <v>17.100000000000001</v>
      </c>
      <c r="L534" s="102"/>
      <c r="M534" s="55">
        <v>17.100000000000001</v>
      </c>
      <c r="N534" s="163"/>
      <c r="O534" s="55">
        <v>17.100000000000001</v>
      </c>
      <c r="P534" s="102"/>
      <c r="Q534" s="97">
        <f t="shared" ref="Q534" si="4335">SUM(AI534+BA534)</f>
        <v>2.988</v>
      </c>
      <c r="R534" s="342">
        <f t="shared" ref="R534" si="4336">SUM(AJ534+BB534)</f>
        <v>69.344807148000015</v>
      </c>
      <c r="S534" s="97"/>
      <c r="T534" s="97">
        <f t="shared" ref="T534" si="4337">I534*S534*$T$2/1000</f>
        <v>0</v>
      </c>
      <c r="U534" s="97"/>
      <c r="V534" s="177">
        <f t="shared" ref="V534" si="4338">I534*U534*$V$2/1000</f>
        <v>0</v>
      </c>
      <c r="W534" s="207">
        <v>0.998</v>
      </c>
      <c r="X534" s="206">
        <f t="shared" ref="X534" si="4339">I534*W534*$X$2/1000</f>
        <v>22.707753480000004</v>
      </c>
      <c r="Y534" s="189">
        <f t="shared" ref="Y534" si="4340">SUM(S534+U534+W534)</f>
        <v>0.998</v>
      </c>
      <c r="Z534" s="177">
        <f t="shared" ref="Z534" si="4341">SUM(T534+V534+X534)</f>
        <v>22.707753480000004</v>
      </c>
      <c r="AA534" s="207"/>
      <c r="AB534" s="206">
        <f t="shared" ref="AB534" si="4342">K534*AA534*$AB$2/1000</f>
        <v>0</v>
      </c>
      <c r="AC534" s="207">
        <v>1.002</v>
      </c>
      <c r="AD534" s="177">
        <f t="shared" ref="AD534" si="4343">K534*AC534*$AD$2/1000</f>
        <v>23.467514346000002</v>
      </c>
      <c r="AE534" s="207">
        <v>0.57399999999999995</v>
      </c>
      <c r="AF534" s="206">
        <f t="shared" ref="AF534" si="4344">K534*AE534*$AF$2/1000</f>
        <v>13.533767981999999</v>
      </c>
      <c r="AG534" s="189">
        <f t="shared" ref="AG534" si="4345">SUM(AA534+AC534+AE534)</f>
        <v>1.5760000000000001</v>
      </c>
      <c r="AH534" s="97">
        <f t="shared" ref="AH534" si="4346">SUM(AB534+AD534+AF534)</f>
        <v>37.001282328000002</v>
      </c>
      <c r="AI534" s="97">
        <f t="shared" ref="AI534" si="4347">SUM(Y534+AG534)</f>
        <v>2.5739999999999998</v>
      </c>
      <c r="AJ534" s="177">
        <f t="shared" ref="AJ534" si="4348">SUM(Z534,AH534)</f>
        <v>59.70903580800001</v>
      </c>
      <c r="AK534" s="207"/>
      <c r="AL534" s="177">
        <f t="shared" ref="AL534" si="4349">M534*AK534*$AL$2/1000</f>
        <v>0</v>
      </c>
      <c r="AM534" s="245">
        <v>0.41399999999999998</v>
      </c>
      <c r="AN534" s="177">
        <f t="shared" ref="AN534" si="4350">M534*AM534*$AN$2/1000</f>
        <v>9.6357713399999998</v>
      </c>
      <c r="AO534" s="207"/>
      <c r="AP534" s="206">
        <f>M534*AO534*$AP$2/1000</f>
        <v>0</v>
      </c>
      <c r="AQ534" s="189">
        <f t="shared" ref="AQ534" si="4351">SUM(AK534+AM534+AO534)</f>
        <v>0.41399999999999998</v>
      </c>
      <c r="AR534" s="97">
        <f t="shared" ref="AR534" si="4352">SUM(AL534+AN534+AP534)</f>
        <v>9.6357713399999998</v>
      </c>
      <c r="AS534" s="97"/>
      <c r="AT534" s="177">
        <f t="shared" ref="AT534" si="4353">O534*AS534*$AT$2/1000</f>
        <v>0</v>
      </c>
      <c r="AU534" s="299"/>
      <c r="AV534" s="177">
        <f t="shared" ref="AV534" si="4354">O534*AU534*$AV$2/1000</f>
        <v>0</v>
      </c>
      <c r="AW534" s="299"/>
      <c r="AX534" s="206">
        <f t="shared" ref="AX534" si="4355">O534*AW534*$AX$2/1000</f>
        <v>0</v>
      </c>
      <c r="AY534" s="189">
        <f t="shared" ref="AY534" si="4356">SUM(AS534+AU534+AW534)</f>
        <v>0</v>
      </c>
      <c r="AZ534" s="97">
        <f t="shared" ref="AZ534" si="4357">SUM(AT534+AV534+AX534)</f>
        <v>0</v>
      </c>
      <c r="BA534" s="97">
        <f t="shared" ref="BA534" si="4358">SUM(AQ534+AY534)</f>
        <v>0.41399999999999998</v>
      </c>
      <c r="BB534" s="97">
        <f t="shared" ref="BB534" si="4359">SUM(AR534,AZ534)</f>
        <v>9.6357713399999998</v>
      </c>
    </row>
    <row r="535" spans="1:54">
      <c r="A535" s="498">
        <v>375</v>
      </c>
      <c r="B535" s="13"/>
      <c r="C535" s="23"/>
      <c r="D535" s="13"/>
      <c r="E535" s="13" t="s">
        <v>1087</v>
      </c>
      <c r="F535" s="236" t="s">
        <v>1088</v>
      </c>
      <c r="G535" s="425" t="s">
        <v>1102</v>
      </c>
      <c r="H535" s="269" t="s">
        <v>365</v>
      </c>
      <c r="I535" s="74">
        <v>14</v>
      </c>
      <c r="J535" s="115"/>
      <c r="K535" s="74">
        <v>14</v>
      </c>
      <c r="L535" s="115"/>
      <c r="M535" s="74">
        <v>14</v>
      </c>
      <c r="N535" s="171"/>
      <c r="O535" s="74">
        <v>14</v>
      </c>
      <c r="P535" s="115"/>
      <c r="Q535" s="119">
        <f t="shared" si="4283"/>
        <v>4.2239999999999993</v>
      </c>
      <c r="R535" s="349">
        <f t="shared" si="4284"/>
        <v>81.131394959999994</v>
      </c>
      <c r="S535" s="119"/>
      <c r="T535" s="119">
        <f t="shared" si="4285"/>
        <v>0</v>
      </c>
      <c r="U535" s="119"/>
      <c r="V535" s="178">
        <f t="shared" si="4286"/>
        <v>0</v>
      </c>
      <c r="W535" s="208"/>
      <c r="X535" s="209">
        <f t="shared" si="4287"/>
        <v>0</v>
      </c>
      <c r="Y535" s="262">
        <f t="shared" si="4288"/>
        <v>0</v>
      </c>
      <c r="Z535" s="178">
        <f t="shared" si="4289"/>
        <v>0</v>
      </c>
      <c r="AA535" s="208"/>
      <c r="AB535" s="209">
        <f t="shared" si="4290"/>
        <v>0</v>
      </c>
      <c r="AC535" s="208"/>
      <c r="AD535" s="178">
        <f t="shared" si="4291"/>
        <v>0</v>
      </c>
      <c r="AE535" s="208">
        <v>0.22</v>
      </c>
      <c r="AF535" s="209">
        <f t="shared" si="4308"/>
        <v>4.2467964</v>
      </c>
      <c r="AG535" s="262">
        <f t="shared" si="4292"/>
        <v>0.22</v>
      </c>
      <c r="AH535" s="119">
        <f t="shared" si="4293"/>
        <v>4.2467964</v>
      </c>
      <c r="AI535" s="119">
        <f t="shared" si="4294"/>
        <v>0.22</v>
      </c>
      <c r="AJ535" s="178">
        <f t="shared" si="4295"/>
        <v>4.2467964</v>
      </c>
      <c r="AK535" s="208"/>
      <c r="AL535" s="178">
        <f t="shared" si="4296"/>
        <v>0</v>
      </c>
      <c r="AM535" s="246">
        <v>0.79200000000000004</v>
      </c>
      <c r="AN535" s="178">
        <f t="shared" si="4297"/>
        <v>15.0918768</v>
      </c>
      <c r="AO535" s="208">
        <v>0.55000000000000004</v>
      </c>
      <c r="AP535" s="209">
        <f>M535*AO535*$AP$2/1000</f>
        <v>10.259403000000002</v>
      </c>
      <c r="AQ535" s="262">
        <f t="shared" si="4299"/>
        <v>1.3420000000000001</v>
      </c>
      <c r="AR535" s="119">
        <f t="shared" si="4300"/>
        <v>25.3512798</v>
      </c>
      <c r="AS535" s="119">
        <v>1.5840000000000001</v>
      </c>
      <c r="AT535" s="178">
        <f t="shared" si="4301"/>
        <v>30.112790400000005</v>
      </c>
      <c r="AU535" s="469"/>
      <c r="AV535" s="178">
        <f t="shared" si="4302"/>
        <v>0</v>
      </c>
      <c r="AW535" s="469">
        <v>1.0780000000000001</v>
      </c>
      <c r="AX535" s="209">
        <f t="shared" si="4303"/>
        <v>21.420528359999999</v>
      </c>
      <c r="AY535" s="262">
        <f t="shared" si="4304"/>
        <v>2.6619999999999999</v>
      </c>
      <c r="AZ535" s="119">
        <f t="shared" si="4305"/>
        <v>51.53331876</v>
      </c>
      <c r="BA535" s="119">
        <f t="shared" si="4306"/>
        <v>4.0039999999999996</v>
      </c>
      <c r="BB535" s="119">
        <f t="shared" si="4307"/>
        <v>76.884598560000001</v>
      </c>
    </row>
    <row r="536" spans="1:54">
      <c r="A536" s="498">
        <v>380</v>
      </c>
      <c r="B536" s="13"/>
      <c r="C536" s="13"/>
      <c r="D536" s="24"/>
      <c r="E536" s="51" t="s">
        <v>1527</v>
      </c>
      <c r="F536" s="46"/>
      <c r="G536" s="46" t="s">
        <v>1105</v>
      </c>
      <c r="H536" s="268" t="s">
        <v>365</v>
      </c>
      <c r="I536" s="55"/>
      <c r="J536" s="163">
        <v>62695</v>
      </c>
      <c r="K536" s="55"/>
      <c r="L536" s="163">
        <v>62695</v>
      </c>
      <c r="M536" s="55"/>
      <c r="N536" s="163">
        <v>62695</v>
      </c>
      <c r="O536" s="55"/>
      <c r="P536" s="163">
        <v>62695</v>
      </c>
      <c r="Q536" s="97">
        <f t="shared" si="4283"/>
        <v>0</v>
      </c>
      <c r="R536" s="342">
        <f t="shared" si="4284"/>
        <v>0</v>
      </c>
      <c r="S536" s="97"/>
      <c r="T536" s="97">
        <f t="shared" ref="T536" si="4360">J536*S536/1000</f>
        <v>0</v>
      </c>
      <c r="U536" s="97"/>
      <c r="V536" s="97">
        <f t="shared" ref="V536" si="4361">J536*U536/1000</f>
        <v>0</v>
      </c>
      <c r="W536" s="97"/>
      <c r="X536" s="97">
        <f t="shared" ref="X536" si="4362">J536*W536/1000</f>
        <v>0</v>
      </c>
      <c r="Y536" s="97">
        <f t="shared" ref="Y536" si="4363">SUM(S536+U536+W536)</f>
        <v>0</v>
      </c>
      <c r="Z536" s="97">
        <f t="shared" si="4289"/>
        <v>0</v>
      </c>
      <c r="AA536" s="97"/>
      <c r="AB536" s="97">
        <f t="shared" ref="AB536" si="4364">L536*AA536/1000</f>
        <v>0</v>
      </c>
      <c r="AC536" s="97"/>
      <c r="AD536" s="97">
        <f t="shared" ref="AD536" si="4365">L536*AC536/1000</f>
        <v>0</v>
      </c>
      <c r="AE536" s="97"/>
      <c r="AF536" s="97">
        <f>L536*AE536/1000</f>
        <v>0</v>
      </c>
      <c r="AG536" s="97">
        <f t="shared" ref="AG536" si="4366">SUM(AA536+AC536+AE536)</f>
        <v>0</v>
      </c>
      <c r="AH536" s="97">
        <f t="shared" si="4293"/>
        <v>0</v>
      </c>
      <c r="AI536" s="97">
        <f t="shared" si="4294"/>
        <v>0</v>
      </c>
      <c r="AJ536" s="97">
        <f t="shared" si="4295"/>
        <v>0</v>
      </c>
      <c r="AK536" s="97"/>
      <c r="AL536" s="97">
        <f t="shared" ref="AL536" si="4367">N536*AK536/1000</f>
        <v>0</v>
      </c>
      <c r="AM536" s="97"/>
      <c r="AN536" s="97">
        <f t="shared" ref="AN536" si="4368">N536*AM536/1000</f>
        <v>0</v>
      </c>
      <c r="AO536" s="97"/>
      <c r="AP536" s="97">
        <f t="shared" ref="AP536" si="4369">N536*AO536/1000</f>
        <v>0</v>
      </c>
      <c r="AQ536" s="97">
        <f t="shared" ref="AQ536" si="4370">SUM(AK536+AM536+AO536)</f>
        <v>0</v>
      </c>
      <c r="AR536" s="97">
        <f t="shared" si="4300"/>
        <v>0</v>
      </c>
      <c r="AS536" s="97"/>
      <c r="AT536" s="97">
        <f>P536*AS536/1000</f>
        <v>0</v>
      </c>
      <c r="AU536" s="97"/>
      <c r="AV536" s="97">
        <f t="shared" ref="AV536" si="4371">P536*AU536/1000</f>
        <v>0</v>
      </c>
      <c r="AW536" s="97"/>
      <c r="AX536" s="97">
        <f t="shared" ref="AX536" si="4372">P536*AW536/1000</f>
        <v>0</v>
      </c>
      <c r="AY536" s="97">
        <f t="shared" ref="AY536" si="4373">SUM(AS536+AU536+AW536)</f>
        <v>0</v>
      </c>
      <c r="AZ536" s="97">
        <f t="shared" si="4305"/>
        <v>0</v>
      </c>
      <c r="BA536" s="97">
        <f t="shared" si="4306"/>
        <v>0</v>
      </c>
      <c r="BB536" s="97">
        <f t="shared" si="4307"/>
        <v>0</v>
      </c>
    </row>
    <row r="537" spans="1:54">
      <c r="A537" s="498">
        <v>376</v>
      </c>
      <c r="B537" s="26"/>
      <c r="C537" s="27" t="s">
        <v>135</v>
      </c>
      <c r="D537" s="28"/>
      <c r="E537" s="28"/>
      <c r="F537" s="89"/>
      <c r="G537" s="89"/>
      <c r="H537" s="280"/>
      <c r="I537" s="75"/>
      <c r="J537" s="111"/>
      <c r="K537" s="75"/>
      <c r="L537" s="66"/>
      <c r="M537" s="75"/>
      <c r="N537" s="66"/>
      <c r="O537" s="153"/>
      <c r="P537" s="111"/>
      <c r="Q537" s="126">
        <f>SUM(Q526:Q536)</f>
        <v>47.242999999999995</v>
      </c>
      <c r="R537" s="126">
        <f>SUM(R526:R536)</f>
        <v>1188.8170642457999</v>
      </c>
      <c r="S537" s="126">
        <f>SUM(S526:S536)</f>
        <v>3.024</v>
      </c>
      <c r="T537" s="126">
        <f t="shared" ref="T537:BA537" si="4374">SUM(T526:T536)</f>
        <v>101.83126739400001</v>
      </c>
      <c r="U537" s="126">
        <f t="shared" si="4374"/>
        <v>3.5640000000000001</v>
      </c>
      <c r="V537" s="126">
        <f t="shared" si="4374"/>
        <v>72.718067520000005</v>
      </c>
      <c r="W537" s="126">
        <f t="shared" si="4374"/>
        <v>2.9409999999999998</v>
      </c>
      <c r="X537" s="126">
        <f t="shared" si="4374"/>
        <v>89.668468700000005</v>
      </c>
      <c r="Y537" s="126">
        <f t="shared" si="4374"/>
        <v>9.5289999999999999</v>
      </c>
      <c r="Z537" s="126">
        <f t="shared" si="4374"/>
        <v>264.21780361399999</v>
      </c>
      <c r="AA537" s="126">
        <f t="shared" si="4374"/>
        <v>5.25</v>
      </c>
      <c r="AB537" s="126">
        <f t="shared" si="4374"/>
        <v>123.75624028799999</v>
      </c>
      <c r="AC537" s="126">
        <f t="shared" si="4374"/>
        <v>9.4270000000000014</v>
      </c>
      <c r="AD537" s="126">
        <f t="shared" si="4374"/>
        <v>174.15533004260001</v>
      </c>
      <c r="AE537" s="126">
        <f t="shared" si="4374"/>
        <v>4.5819999999999999</v>
      </c>
      <c r="AF537" s="126">
        <f t="shared" si="4374"/>
        <v>126.48559121999998</v>
      </c>
      <c r="AG537" s="126">
        <f t="shared" si="4374"/>
        <v>19.258999999999997</v>
      </c>
      <c r="AH537" s="126">
        <f t="shared" si="4374"/>
        <v>424.3971615506</v>
      </c>
      <c r="AI537" s="126">
        <f t="shared" si="4374"/>
        <v>28.787999999999997</v>
      </c>
      <c r="AJ537" s="126">
        <f t="shared" si="4374"/>
        <v>688.61496516459988</v>
      </c>
      <c r="AK537" s="126">
        <f t="shared" si="4374"/>
        <v>2.1240000000000001</v>
      </c>
      <c r="AL537" s="126">
        <f t="shared" si="4374"/>
        <v>74.758516775999993</v>
      </c>
      <c r="AM537" s="126">
        <f t="shared" si="4374"/>
        <v>3.1500000000000004</v>
      </c>
      <c r="AN537" s="126">
        <f t="shared" si="4374"/>
        <v>93.258488699999987</v>
      </c>
      <c r="AO537" s="126">
        <f t="shared" si="4374"/>
        <v>5.1119999999999992</v>
      </c>
      <c r="AP537" s="126">
        <f t="shared" si="4374"/>
        <v>127.2697329132</v>
      </c>
      <c r="AQ537" s="126">
        <f t="shared" si="4374"/>
        <v>10.385999999999999</v>
      </c>
      <c r="AR537" s="126">
        <f t="shared" si="4374"/>
        <v>295.28673838919997</v>
      </c>
      <c r="AS537" s="126">
        <f t="shared" si="4374"/>
        <v>4.3420000000000005</v>
      </c>
      <c r="AT537" s="126">
        <f t="shared" si="4374"/>
        <v>91.194119780000008</v>
      </c>
      <c r="AU537" s="126">
        <f t="shared" si="4374"/>
        <v>1.2330000000000001</v>
      </c>
      <c r="AV537" s="126">
        <f t="shared" si="4374"/>
        <v>41.933800440000013</v>
      </c>
      <c r="AW537" s="126">
        <f t="shared" si="4374"/>
        <v>2.4939999999999998</v>
      </c>
      <c r="AX537" s="126">
        <f t="shared" si="4374"/>
        <v>71.787440472</v>
      </c>
      <c r="AY537" s="126">
        <f t="shared" si="4374"/>
        <v>8.0690000000000008</v>
      </c>
      <c r="AZ537" s="126">
        <f t="shared" si="4374"/>
        <v>204.91536069199998</v>
      </c>
      <c r="BA537" s="126">
        <f t="shared" si="4374"/>
        <v>18.454999999999998</v>
      </c>
      <c r="BB537" s="126">
        <f>SUM(BB526:BB536)</f>
        <v>500.2020990812</v>
      </c>
    </row>
    <row r="538" spans="1:54" hidden="1">
      <c r="A538" s="498">
        <v>377</v>
      </c>
      <c r="B538" s="13"/>
      <c r="C538" s="13" t="s">
        <v>136</v>
      </c>
      <c r="D538" s="83" t="s">
        <v>48</v>
      </c>
      <c r="E538" s="83" t="s">
        <v>277</v>
      </c>
      <c r="F538" s="22" t="s">
        <v>50</v>
      </c>
      <c r="G538" s="22" t="s">
        <v>1105</v>
      </c>
      <c r="H538" s="268" t="s">
        <v>367</v>
      </c>
      <c r="I538" s="55">
        <v>4.3</v>
      </c>
      <c r="J538" s="102"/>
      <c r="K538" s="55">
        <v>4.3</v>
      </c>
      <c r="L538" s="163"/>
      <c r="M538" s="55"/>
      <c r="N538" s="163"/>
      <c r="O538" s="143"/>
      <c r="P538" s="102"/>
      <c r="Q538" s="97">
        <f t="shared" ref="Q538" si="4375">SUM(AI538+BA538)</f>
        <v>0</v>
      </c>
      <c r="R538" s="342">
        <f t="shared" ref="R538" si="4376">SUM(AJ538+BB538)</f>
        <v>0</v>
      </c>
      <c r="S538" s="97"/>
      <c r="T538" s="97">
        <f>I538*S538*$T$2/1000</f>
        <v>0</v>
      </c>
      <c r="U538" s="97"/>
      <c r="V538" s="177">
        <f>I538*U538*$V$2/1000</f>
        <v>0</v>
      </c>
      <c r="W538" s="207"/>
      <c r="X538" s="206">
        <f>I538*W538*$X$2/1000</f>
        <v>0</v>
      </c>
      <c r="Y538" s="189">
        <f t="shared" ref="Y538" si="4377">SUM(S538+U538+W538)</f>
        <v>0</v>
      </c>
      <c r="Z538" s="177">
        <f t="shared" ref="Z538" si="4378">SUM(T538+V538+X538)</f>
        <v>0</v>
      </c>
      <c r="AA538" s="207"/>
      <c r="AB538" s="206">
        <f>K538*AA538*$AB$2/1000</f>
        <v>0</v>
      </c>
      <c r="AC538" s="207"/>
      <c r="AD538" s="177">
        <f>K538*AC538*$AD$2/1000</f>
        <v>0</v>
      </c>
      <c r="AE538" s="207"/>
      <c r="AF538" s="206">
        <f>K538*AE538*$AF$2/1000</f>
        <v>0</v>
      </c>
      <c r="AG538" s="189">
        <f t="shared" ref="AG538" si="4379">SUM(AA538+AC538+AE538)</f>
        <v>0</v>
      </c>
      <c r="AH538" s="97">
        <f t="shared" ref="AH538" si="4380">SUM(AB538+AD538+AF538)</f>
        <v>0</v>
      </c>
      <c r="AI538" s="97">
        <f>SUM(Y538+AG538)</f>
        <v>0</v>
      </c>
      <c r="AJ538" s="177">
        <f>SUM(Z538,AH538)</f>
        <v>0</v>
      </c>
      <c r="AK538" s="207"/>
      <c r="AL538" s="177">
        <f>M538*AK538*$AL$2/1000</f>
        <v>0</v>
      </c>
      <c r="AM538" s="245"/>
      <c r="AN538" s="177">
        <f t="shared" ref="AN538" si="4381">M538*AM538*$AN$2/1000</f>
        <v>0</v>
      </c>
      <c r="AO538" s="207"/>
      <c r="AP538" s="206">
        <f>M538*AO538*$AP$2/1000</f>
        <v>0</v>
      </c>
      <c r="AQ538" s="189">
        <f t="shared" ref="AQ538" si="4382">SUM(AK538+AM538+AO538)</f>
        <v>0</v>
      </c>
      <c r="AR538" s="97">
        <f t="shared" ref="AR538" si="4383">SUM(AL538+AN538+AP538)</f>
        <v>0</v>
      </c>
      <c r="AS538" s="294"/>
      <c r="AT538" s="177">
        <f>O538*AS538*$AT$2/1000</f>
        <v>0</v>
      </c>
      <c r="AU538" s="207"/>
      <c r="AV538" s="177">
        <f>O538*AU538*$AV$2/1000</f>
        <v>0</v>
      </c>
      <c r="AW538" s="207"/>
      <c r="AX538" s="206">
        <f>O538*AW538*$AX$2/1000</f>
        <v>0</v>
      </c>
      <c r="AY538" s="189">
        <f t="shared" ref="AY538" si="4384">SUM(AS538+AU538+AW538)</f>
        <v>0</v>
      </c>
      <c r="AZ538" s="97">
        <f t="shared" ref="AZ538" si="4385">SUM(AT538+AV538+AX538)</f>
        <v>0</v>
      </c>
      <c r="BA538" s="97">
        <f>SUM(AQ538+AY538)</f>
        <v>0</v>
      </c>
      <c r="BB538" s="97">
        <f>SUM(AR538,AZ538)</f>
        <v>0</v>
      </c>
    </row>
    <row r="539" spans="1:54" hidden="1">
      <c r="A539" s="498">
        <v>378</v>
      </c>
      <c r="B539" s="26"/>
      <c r="C539" s="27" t="s">
        <v>135</v>
      </c>
      <c r="D539" s="28"/>
      <c r="E539" s="28"/>
      <c r="F539" s="89"/>
      <c r="G539" s="89"/>
      <c r="H539" s="280"/>
      <c r="I539" s="75"/>
      <c r="J539" s="101"/>
      <c r="K539" s="75"/>
      <c r="L539" s="30"/>
      <c r="M539" s="75"/>
      <c r="N539" s="30"/>
      <c r="O539" s="153"/>
      <c r="P539" s="101"/>
      <c r="Q539" s="126">
        <f t="shared" ref="Q539:BB539" si="4386">SUM(Q538)</f>
        <v>0</v>
      </c>
      <c r="R539" s="126">
        <f t="shared" si="4386"/>
        <v>0</v>
      </c>
      <c r="S539" s="126">
        <f t="shared" si="4386"/>
        <v>0</v>
      </c>
      <c r="T539" s="126">
        <f t="shared" si="4386"/>
        <v>0</v>
      </c>
      <c r="U539" s="126">
        <f t="shared" si="4386"/>
        <v>0</v>
      </c>
      <c r="V539" s="126">
        <f t="shared" si="4386"/>
        <v>0</v>
      </c>
      <c r="W539" s="126">
        <f t="shared" si="4386"/>
        <v>0</v>
      </c>
      <c r="X539" s="126">
        <f t="shared" si="4386"/>
        <v>0</v>
      </c>
      <c r="Y539" s="126">
        <f t="shared" si="4386"/>
        <v>0</v>
      </c>
      <c r="Z539" s="126">
        <f t="shared" si="4386"/>
        <v>0</v>
      </c>
      <c r="AA539" s="126">
        <f>SUM(AA538)</f>
        <v>0</v>
      </c>
      <c r="AB539" s="126">
        <f t="shared" si="4386"/>
        <v>0</v>
      </c>
      <c r="AC539" s="126">
        <f t="shared" si="4386"/>
        <v>0</v>
      </c>
      <c r="AD539" s="126">
        <f t="shared" si="4386"/>
        <v>0</v>
      </c>
      <c r="AE539" s="126">
        <f t="shared" si="4386"/>
        <v>0</v>
      </c>
      <c r="AF539" s="126">
        <f t="shared" si="4386"/>
        <v>0</v>
      </c>
      <c r="AG539" s="126">
        <f t="shared" si="4386"/>
        <v>0</v>
      </c>
      <c r="AH539" s="126">
        <f t="shared" si="4386"/>
        <v>0</v>
      </c>
      <c r="AI539" s="126">
        <f t="shared" si="4386"/>
        <v>0</v>
      </c>
      <c r="AJ539" s="126">
        <f t="shared" si="4386"/>
        <v>0</v>
      </c>
      <c r="AK539" s="126">
        <f t="shared" si="4386"/>
        <v>0</v>
      </c>
      <c r="AL539" s="126">
        <f t="shared" si="4386"/>
        <v>0</v>
      </c>
      <c r="AM539" s="126">
        <f t="shared" si="4386"/>
        <v>0</v>
      </c>
      <c r="AN539" s="126">
        <f t="shared" si="4386"/>
        <v>0</v>
      </c>
      <c r="AO539" s="126">
        <f t="shared" si="4386"/>
        <v>0</v>
      </c>
      <c r="AP539" s="126">
        <f t="shared" si="4386"/>
        <v>0</v>
      </c>
      <c r="AQ539" s="126">
        <f t="shared" si="4386"/>
        <v>0</v>
      </c>
      <c r="AR539" s="126">
        <f t="shared" si="4386"/>
        <v>0</v>
      </c>
      <c r="AS539" s="126">
        <f t="shared" si="4386"/>
        <v>0</v>
      </c>
      <c r="AT539" s="126">
        <f t="shared" si="4386"/>
        <v>0</v>
      </c>
      <c r="AU539" s="126">
        <f t="shared" si="4386"/>
        <v>0</v>
      </c>
      <c r="AV539" s="126">
        <f t="shared" si="4386"/>
        <v>0</v>
      </c>
      <c r="AW539" s="126">
        <f t="shared" si="4386"/>
        <v>0</v>
      </c>
      <c r="AX539" s="126">
        <f t="shared" si="4386"/>
        <v>0</v>
      </c>
      <c r="AY539" s="126">
        <f t="shared" si="4386"/>
        <v>0</v>
      </c>
      <c r="AZ539" s="126">
        <f t="shared" si="4386"/>
        <v>0</v>
      </c>
      <c r="BA539" s="126">
        <f t="shared" si="4386"/>
        <v>0</v>
      </c>
      <c r="BB539" s="126">
        <f t="shared" si="4386"/>
        <v>0</v>
      </c>
    </row>
    <row r="540" spans="1:54">
      <c r="A540" s="498">
        <v>379</v>
      </c>
      <c r="B540" s="59" t="s">
        <v>156</v>
      </c>
      <c r="C540" s="60"/>
      <c r="D540" s="60"/>
      <c r="E540" s="60"/>
      <c r="F540" s="60"/>
      <c r="G540" s="60"/>
      <c r="H540" s="282"/>
      <c r="I540" s="78"/>
      <c r="J540" s="104"/>
      <c r="K540" s="78"/>
      <c r="L540" s="61"/>
      <c r="M540" s="78"/>
      <c r="N540" s="61"/>
      <c r="O540" s="155"/>
      <c r="P540" s="104"/>
      <c r="Q540" s="127">
        <f t="shared" ref="Q540:BB540" si="4387">SUM(Q539,Q537,Q525)</f>
        <v>47.242999999999995</v>
      </c>
      <c r="R540" s="127">
        <f t="shared" si="4387"/>
        <v>1188.8170642457999</v>
      </c>
      <c r="S540" s="127">
        <f t="shared" si="4387"/>
        <v>3.024</v>
      </c>
      <c r="T540" s="127">
        <f t="shared" si="4387"/>
        <v>101.83126739400001</v>
      </c>
      <c r="U540" s="127">
        <f t="shared" si="4387"/>
        <v>3.5640000000000001</v>
      </c>
      <c r="V540" s="127">
        <f t="shared" si="4387"/>
        <v>72.718067520000005</v>
      </c>
      <c r="W540" s="127">
        <f t="shared" si="4387"/>
        <v>2.9409999999999998</v>
      </c>
      <c r="X540" s="127">
        <f t="shared" si="4387"/>
        <v>89.668468700000005</v>
      </c>
      <c r="Y540" s="127">
        <f t="shared" si="4387"/>
        <v>9.5289999999999999</v>
      </c>
      <c r="Z540" s="127">
        <f t="shared" si="4387"/>
        <v>264.21780361399999</v>
      </c>
      <c r="AA540" s="127">
        <f t="shared" si="4387"/>
        <v>5.25</v>
      </c>
      <c r="AB540" s="127">
        <f t="shared" si="4387"/>
        <v>123.75624028799999</v>
      </c>
      <c r="AC540" s="127">
        <f t="shared" si="4387"/>
        <v>9.4270000000000014</v>
      </c>
      <c r="AD540" s="127">
        <f t="shared" si="4387"/>
        <v>174.15533004260001</v>
      </c>
      <c r="AE540" s="127">
        <f t="shared" si="4387"/>
        <v>4.5819999999999999</v>
      </c>
      <c r="AF540" s="127">
        <f t="shared" si="4387"/>
        <v>126.48559121999998</v>
      </c>
      <c r="AG540" s="127">
        <f t="shared" si="4387"/>
        <v>19.258999999999997</v>
      </c>
      <c r="AH540" s="127">
        <f t="shared" si="4387"/>
        <v>424.3971615506</v>
      </c>
      <c r="AI540" s="127">
        <f t="shared" si="4387"/>
        <v>28.787999999999997</v>
      </c>
      <c r="AJ540" s="127">
        <f t="shared" si="4387"/>
        <v>688.61496516459988</v>
      </c>
      <c r="AK540" s="127">
        <f t="shared" si="4387"/>
        <v>2.1240000000000001</v>
      </c>
      <c r="AL540" s="127">
        <f t="shared" si="4387"/>
        <v>74.758516775999993</v>
      </c>
      <c r="AM540" s="127">
        <f t="shared" si="4387"/>
        <v>3.1500000000000004</v>
      </c>
      <c r="AN540" s="127">
        <f t="shared" si="4387"/>
        <v>93.258488699999987</v>
      </c>
      <c r="AO540" s="127">
        <f t="shared" si="4387"/>
        <v>5.1119999999999992</v>
      </c>
      <c r="AP540" s="127">
        <f t="shared" si="4387"/>
        <v>127.2697329132</v>
      </c>
      <c r="AQ540" s="127">
        <f t="shared" si="4387"/>
        <v>10.385999999999999</v>
      </c>
      <c r="AR540" s="127">
        <f t="shared" si="4387"/>
        <v>295.28673838919997</v>
      </c>
      <c r="AS540" s="127">
        <f t="shared" si="4387"/>
        <v>4.3420000000000005</v>
      </c>
      <c r="AT540" s="127">
        <f t="shared" si="4387"/>
        <v>91.194119780000008</v>
      </c>
      <c r="AU540" s="127">
        <f t="shared" si="4387"/>
        <v>1.2330000000000001</v>
      </c>
      <c r="AV540" s="127">
        <f t="shared" si="4387"/>
        <v>41.933800440000013</v>
      </c>
      <c r="AW540" s="127">
        <f t="shared" si="4387"/>
        <v>2.4939999999999998</v>
      </c>
      <c r="AX540" s="127">
        <f t="shared" si="4387"/>
        <v>71.787440472</v>
      </c>
      <c r="AY540" s="127">
        <f t="shared" si="4387"/>
        <v>8.0690000000000008</v>
      </c>
      <c r="AZ540" s="127">
        <f t="shared" si="4387"/>
        <v>204.91536069199998</v>
      </c>
      <c r="BA540" s="127">
        <f t="shared" si="4387"/>
        <v>18.454999999999998</v>
      </c>
      <c r="BB540" s="127">
        <f t="shared" si="4387"/>
        <v>500.2020990812</v>
      </c>
    </row>
    <row r="541" spans="1:54">
      <c r="A541" s="498">
        <v>380</v>
      </c>
      <c r="B541" s="13" t="s">
        <v>215</v>
      </c>
      <c r="C541" s="53" t="s">
        <v>216</v>
      </c>
      <c r="D541" s="13" t="s">
        <v>58</v>
      </c>
      <c r="E541" s="31" t="s">
        <v>217</v>
      </c>
      <c r="F541" s="314"/>
      <c r="G541" s="314" t="s">
        <v>1105</v>
      </c>
      <c r="H541" s="274" t="s">
        <v>365</v>
      </c>
      <c r="I541" s="62"/>
      <c r="J541" s="164">
        <v>4008</v>
      </c>
      <c r="K541" s="62"/>
      <c r="L541" s="164">
        <v>4008</v>
      </c>
      <c r="M541" s="62"/>
      <c r="N541" s="164">
        <v>4008</v>
      </c>
      <c r="O541" s="62"/>
      <c r="P541" s="164">
        <v>4008</v>
      </c>
      <c r="Q541" s="122">
        <f t="shared" ref="Q541:Q766" si="4388">SUM(AI541+BA541)</f>
        <v>0</v>
      </c>
      <c r="R541" s="346">
        <f t="shared" ref="R541:R766" si="4389">SUM(AJ541+BB541)</f>
        <v>0</v>
      </c>
      <c r="S541" s="122"/>
      <c r="T541" s="122">
        <f t="shared" ref="T541:T663" si="4390">J541*S541/1000</f>
        <v>0</v>
      </c>
      <c r="U541" s="122"/>
      <c r="V541" s="122">
        <f t="shared" ref="V541:V663" si="4391">J541*U541/1000</f>
        <v>0</v>
      </c>
      <c r="W541" s="122"/>
      <c r="X541" s="122">
        <f t="shared" ref="X541:X663" si="4392">J541*W541/1000</f>
        <v>0</v>
      </c>
      <c r="Y541" s="122">
        <f t="shared" ref="Y541:Y671" si="4393">SUM(S541+U541+W541)</f>
        <v>0</v>
      </c>
      <c r="Z541" s="122">
        <f t="shared" ref="Z541:Z766" si="4394">SUM(T541+V541+X541)</f>
        <v>0</v>
      </c>
      <c r="AA541" s="122"/>
      <c r="AB541" s="122">
        <f t="shared" ref="AB541:AB663" si="4395">L541*AA541/1000</f>
        <v>0</v>
      </c>
      <c r="AC541" s="122"/>
      <c r="AD541" s="122">
        <f t="shared" ref="AD541:AD663" si="4396">L541*AC541/1000</f>
        <v>0</v>
      </c>
      <c r="AE541" s="122"/>
      <c r="AF541" s="122">
        <f>L541*AE541/1000</f>
        <v>0</v>
      </c>
      <c r="AG541" s="122">
        <f t="shared" ref="AG541:AG700" si="4397">SUM(AA541+AC541+AE541)</f>
        <v>0</v>
      </c>
      <c r="AH541" s="122">
        <f t="shared" ref="AH541:AH766" si="4398">SUM(AB541+AD541+AF541)</f>
        <v>0</v>
      </c>
      <c r="AI541" s="122">
        <f t="shared" ref="AI541:AI766" si="4399">SUM(Y541+AG541)</f>
        <v>0</v>
      </c>
      <c r="AJ541" s="122">
        <f t="shared" ref="AJ541:AJ766" si="4400">SUM(Z541,AH541)</f>
        <v>0</v>
      </c>
      <c r="AK541" s="122"/>
      <c r="AL541" s="122">
        <f t="shared" ref="AL541:AL663" si="4401">N541*AK541/1000</f>
        <v>0</v>
      </c>
      <c r="AM541" s="122"/>
      <c r="AN541" s="122">
        <f t="shared" ref="AN541:AN663" si="4402">N541*AM541/1000</f>
        <v>0</v>
      </c>
      <c r="AO541" s="122"/>
      <c r="AP541" s="122">
        <f t="shared" ref="AP541:AP659" si="4403">N541*AO541/1000</f>
        <v>0</v>
      </c>
      <c r="AQ541" s="122">
        <f t="shared" ref="AQ541:AQ671" si="4404">SUM(AK541+AM541+AO541)</f>
        <v>0</v>
      </c>
      <c r="AR541" s="122">
        <f t="shared" ref="AR541:AR766" si="4405">SUM(AL541+AN541+AP541)</f>
        <v>0</v>
      </c>
      <c r="AS541" s="122"/>
      <c r="AT541" s="122">
        <f>P541*AS541/1000</f>
        <v>0</v>
      </c>
      <c r="AU541" s="122"/>
      <c r="AV541" s="122">
        <f t="shared" ref="AV541:AV663" si="4406">P541*AU541/1000</f>
        <v>0</v>
      </c>
      <c r="AW541" s="122"/>
      <c r="AX541" s="122">
        <f t="shared" ref="AX541:AX663" si="4407">P541*AW541/1000</f>
        <v>0</v>
      </c>
      <c r="AY541" s="122">
        <f t="shared" ref="AY541:AY671" si="4408">SUM(AS541+AU541+AW541)</f>
        <v>0</v>
      </c>
      <c r="AZ541" s="122">
        <f t="shared" ref="AZ541:AZ766" si="4409">SUM(AT541+AV541+AX541)</f>
        <v>0</v>
      </c>
      <c r="BA541" s="122">
        <f t="shared" ref="BA541:BA766" si="4410">SUM(AQ541+AY541)</f>
        <v>0</v>
      </c>
      <c r="BB541" s="122">
        <f t="shared" ref="BB541:BB766" si="4411">SUM(AR541,AZ541)</f>
        <v>0</v>
      </c>
    </row>
    <row r="542" spans="1:54">
      <c r="A542" s="498">
        <v>381</v>
      </c>
      <c r="B542" s="13"/>
      <c r="C542" s="438"/>
      <c r="D542" s="13"/>
      <c r="E542" s="21" t="s">
        <v>722</v>
      </c>
      <c r="F542" s="46"/>
      <c r="G542" s="46" t="s">
        <v>1105</v>
      </c>
      <c r="H542" s="268" t="s">
        <v>365</v>
      </c>
      <c r="I542" s="55"/>
      <c r="J542" s="163">
        <v>4171</v>
      </c>
      <c r="K542" s="55"/>
      <c r="L542" s="163">
        <v>4171</v>
      </c>
      <c r="M542" s="55"/>
      <c r="N542" s="163">
        <v>4171</v>
      </c>
      <c r="O542" s="55"/>
      <c r="P542" s="163">
        <v>4171</v>
      </c>
      <c r="Q542" s="97">
        <f t="shared" si="4388"/>
        <v>0</v>
      </c>
      <c r="R542" s="342">
        <f t="shared" si="4389"/>
        <v>0</v>
      </c>
      <c r="S542" s="97"/>
      <c r="T542" s="97">
        <f t="shared" si="4390"/>
        <v>0</v>
      </c>
      <c r="U542" s="97"/>
      <c r="V542" s="97">
        <f t="shared" si="4391"/>
        <v>0</v>
      </c>
      <c r="W542" s="97"/>
      <c r="X542" s="97">
        <f t="shared" si="4392"/>
        <v>0</v>
      </c>
      <c r="Y542" s="97">
        <f t="shared" si="4393"/>
        <v>0</v>
      </c>
      <c r="Z542" s="97">
        <f t="shared" si="4394"/>
        <v>0</v>
      </c>
      <c r="AA542" s="97"/>
      <c r="AB542" s="97">
        <f t="shared" si="4395"/>
        <v>0</v>
      </c>
      <c r="AC542" s="97"/>
      <c r="AD542" s="97">
        <f t="shared" si="4396"/>
        <v>0</v>
      </c>
      <c r="AE542" s="97"/>
      <c r="AF542" s="97">
        <f t="shared" ref="AF542:AF663" si="4412">L542*AE542/1000</f>
        <v>0</v>
      </c>
      <c r="AG542" s="97">
        <f t="shared" si="4397"/>
        <v>0</v>
      </c>
      <c r="AH542" s="97">
        <f t="shared" si="4398"/>
        <v>0</v>
      </c>
      <c r="AI542" s="97">
        <f t="shared" si="4399"/>
        <v>0</v>
      </c>
      <c r="AJ542" s="97">
        <f t="shared" si="4400"/>
        <v>0</v>
      </c>
      <c r="AK542" s="97"/>
      <c r="AL542" s="97">
        <f t="shared" si="4401"/>
        <v>0</v>
      </c>
      <c r="AM542" s="97"/>
      <c r="AN542" s="97">
        <f t="shared" si="4402"/>
        <v>0</v>
      </c>
      <c r="AO542" s="97"/>
      <c r="AP542" s="97">
        <f t="shared" si="4403"/>
        <v>0</v>
      </c>
      <c r="AQ542" s="97">
        <f t="shared" si="4404"/>
        <v>0</v>
      </c>
      <c r="AR542" s="97">
        <f t="shared" si="4405"/>
        <v>0</v>
      </c>
      <c r="AS542" s="97"/>
      <c r="AT542" s="97">
        <f t="shared" ref="AT542:AT663" si="4413">P542*AS542/1000</f>
        <v>0</v>
      </c>
      <c r="AU542" s="97"/>
      <c r="AV542" s="97">
        <f t="shared" si="4406"/>
        <v>0</v>
      </c>
      <c r="AW542" s="97"/>
      <c r="AX542" s="97">
        <f t="shared" si="4407"/>
        <v>0</v>
      </c>
      <c r="AY542" s="97">
        <f t="shared" si="4408"/>
        <v>0</v>
      </c>
      <c r="AZ542" s="97">
        <f t="shared" si="4409"/>
        <v>0</v>
      </c>
      <c r="BA542" s="97">
        <f t="shared" si="4410"/>
        <v>0</v>
      </c>
      <c r="BB542" s="97">
        <f t="shared" si="4411"/>
        <v>0</v>
      </c>
    </row>
    <row r="543" spans="1:54">
      <c r="A543" s="498">
        <v>382</v>
      </c>
      <c r="B543" s="13"/>
      <c r="C543" s="438"/>
      <c r="D543" s="13"/>
      <c r="E543" s="21" t="s">
        <v>723</v>
      </c>
      <c r="F543" s="46"/>
      <c r="G543" s="46" t="s">
        <v>1105</v>
      </c>
      <c r="H543" s="268" t="s">
        <v>365</v>
      </c>
      <c r="I543" s="55"/>
      <c r="J543" s="163">
        <v>6602</v>
      </c>
      <c r="K543" s="55"/>
      <c r="L543" s="163">
        <v>6602</v>
      </c>
      <c r="M543" s="55"/>
      <c r="N543" s="163">
        <v>6602</v>
      </c>
      <c r="O543" s="55"/>
      <c r="P543" s="163">
        <v>7571</v>
      </c>
      <c r="Q543" s="97">
        <f>SUM(AI543+BA543)</f>
        <v>69.051000000000002</v>
      </c>
      <c r="R543" s="342">
        <f>SUM(AJ543+BB543)</f>
        <v>469.87675200000007</v>
      </c>
      <c r="S543" s="97">
        <v>2.8559999999999999</v>
      </c>
      <c r="T543" s="97">
        <f t="shared" ref="T543" si="4414">J543*S543/1000</f>
        <v>18.855311999999998</v>
      </c>
      <c r="U543" s="97">
        <v>6.57</v>
      </c>
      <c r="V543" s="97">
        <f t="shared" ref="V543" si="4415">J543*U543/1000</f>
        <v>43.375140000000002</v>
      </c>
      <c r="W543" s="97">
        <v>8.0399999999999991</v>
      </c>
      <c r="X543" s="97">
        <f t="shared" ref="X543" si="4416">J543*W543/1000</f>
        <v>53.080079999999995</v>
      </c>
      <c r="Y543" s="97">
        <f t="shared" ref="Y543" si="4417">SUM(S543+U543+W543)</f>
        <v>17.466000000000001</v>
      </c>
      <c r="Z543" s="97">
        <f t="shared" ref="Z543" si="4418">SUM(T543+V543+X543)</f>
        <v>115.31053199999999</v>
      </c>
      <c r="AA543" s="97">
        <v>8.2919999999999998</v>
      </c>
      <c r="AB543" s="97">
        <f t="shared" ref="AB543" si="4419">L543*AA543/1000</f>
        <v>54.743783999999998</v>
      </c>
      <c r="AC543" s="97">
        <v>5.1609999999999996</v>
      </c>
      <c r="AD543" s="97">
        <f t="shared" ref="AD543" si="4420">L543*AC543/1000</f>
        <v>34.072921999999998</v>
      </c>
      <c r="AE543" s="97">
        <v>8.5399999999999991</v>
      </c>
      <c r="AF543" s="97">
        <f t="shared" ref="AF543" si="4421">L543*AE543/1000</f>
        <v>56.381079999999997</v>
      </c>
      <c r="AG543" s="97">
        <f t="shared" ref="AG543" si="4422">SUM(AA543+AC543+AE543)</f>
        <v>21.992999999999999</v>
      </c>
      <c r="AH543" s="97">
        <f t="shared" ref="AH543" si="4423">SUM(AB543+AD543+AF543)</f>
        <v>145.19778600000001</v>
      </c>
      <c r="AI543" s="97">
        <f t="shared" ref="AI543" si="4424">SUM(Y543+AG543)</f>
        <v>39.459000000000003</v>
      </c>
      <c r="AJ543" s="97">
        <f t="shared" ref="AJ543" si="4425">SUM(Z543,AH543)</f>
        <v>260.50831800000003</v>
      </c>
      <c r="AK543" s="97">
        <v>6.5140000000000002</v>
      </c>
      <c r="AL543" s="97">
        <f t="shared" ref="AL543" si="4426">N543*AK543/1000</f>
        <v>43.005428000000002</v>
      </c>
      <c r="AM543" s="97">
        <v>7.1580000000000004</v>
      </c>
      <c r="AN543" s="97">
        <f t="shared" ref="AN543" si="4427">N543*AM543/1000</f>
        <v>47.257116000000003</v>
      </c>
      <c r="AO543" s="97">
        <v>1.47</v>
      </c>
      <c r="AP543" s="97">
        <f t="shared" ref="AP543" si="4428">N543*AO543/1000</f>
        <v>9.7049400000000006</v>
      </c>
      <c r="AQ543" s="97">
        <f t="shared" ref="AQ543" si="4429">SUM(AK543+AM543+AO543)</f>
        <v>15.142000000000001</v>
      </c>
      <c r="AR543" s="97">
        <f t="shared" ref="AR543" si="4430">SUM(AL543+AN543+AP543)</f>
        <v>99.967484000000013</v>
      </c>
      <c r="AS543" s="97">
        <v>6.4550000000000001</v>
      </c>
      <c r="AT543" s="97">
        <f t="shared" ref="AT543" si="4431">P543*AS543/1000</f>
        <v>48.870804999999997</v>
      </c>
      <c r="AU543" s="97">
        <v>4.2140000000000004</v>
      </c>
      <c r="AV543" s="97">
        <f t="shared" ref="AV543" si="4432">P543*AU543/1000</f>
        <v>31.904194000000004</v>
      </c>
      <c r="AW543" s="97">
        <v>3.7810000000000001</v>
      </c>
      <c r="AX543" s="97">
        <f t="shared" ref="AX543" si="4433">P543*AW543/1000</f>
        <v>28.625951000000001</v>
      </c>
      <c r="AY543" s="97">
        <f t="shared" ref="AY543" si="4434">SUM(AS543+AU543+AW543)</f>
        <v>14.450000000000001</v>
      </c>
      <c r="AZ543" s="97">
        <f t="shared" ref="AZ543" si="4435">SUM(AT543+AV543+AX543)</f>
        <v>109.40095000000001</v>
      </c>
      <c r="BA543" s="97">
        <f t="shared" ref="BA543" si="4436">SUM(AQ543+AY543)</f>
        <v>29.592000000000002</v>
      </c>
      <c r="BB543" s="97">
        <f t="shared" ref="BB543" si="4437">SUM(AR543,AZ543)</f>
        <v>209.36843400000004</v>
      </c>
    </row>
    <row r="544" spans="1:54" ht="12" customHeight="1">
      <c r="A544" s="498">
        <v>383</v>
      </c>
      <c r="B544" s="13"/>
      <c r="C544" s="438"/>
      <c r="D544" s="13"/>
      <c r="E544" s="21" t="s">
        <v>227</v>
      </c>
      <c r="F544" s="46"/>
      <c r="G544" s="46" t="s">
        <v>1105</v>
      </c>
      <c r="H544" s="268" t="s">
        <v>365</v>
      </c>
      <c r="I544" s="55"/>
      <c r="J544" s="163">
        <v>5100</v>
      </c>
      <c r="K544" s="55"/>
      <c r="L544" s="163">
        <v>5100</v>
      </c>
      <c r="M544" s="55"/>
      <c r="N544" s="163">
        <v>5100</v>
      </c>
      <c r="O544" s="55"/>
      <c r="P544" s="163">
        <v>5100</v>
      </c>
      <c r="Q544" s="97">
        <f t="shared" si="4388"/>
        <v>2E-3</v>
      </c>
      <c r="R544" s="342">
        <f t="shared" si="4389"/>
        <v>1.0200000000000001E-2</v>
      </c>
      <c r="S544" s="97"/>
      <c r="T544" s="97">
        <f>J544*S544/1000</f>
        <v>0</v>
      </c>
      <c r="U544" s="97"/>
      <c r="V544" s="97">
        <f>J544*U544/1000</f>
        <v>0</v>
      </c>
      <c r="W544" s="97"/>
      <c r="X544" s="97">
        <f>J544*W544/1000</f>
        <v>0</v>
      </c>
      <c r="Y544" s="97">
        <f>SUM(S544+U544+W544)</f>
        <v>0</v>
      </c>
      <c r="Z544" s="97">
        <f>SUM(T544+V544+X544)</f>
        <v>0</v>
      </c>
      <c r="AA544" s="97">
        <v>2E-3</v>
      </c>
      <c r="AB544" s="97">
        <f>L544*AA544/1000</f>
        <v>1.0200000000000001E-2</v>
      </c>
      <c r="AC544" s="97"/>
      <c r="AD544" s="97">
        <f>L544*AC544/1000</f>
        <v>0</v>
      </c>
      <c r="AE544" s="97"/>
      <c r="AF544" s="97">
        <f t="shared" si="4412"/>
        <v>0</v>
      </c>
      <c r="AG544" s="97">
        <f>SUM(AA544+AC544+AE544)</f>
        <v>2E-3</v>
      </c>
      <c r="AH544" s="97">
        <f>SUM(AB544+AD544+AF544)</f>
        <v>1.0200000000000001E-2</v>
      </c>
      <c r="AI544" s="97">
        <f>SUM(Y544+AG544)</f>
        <v>2E-3</v>
      </c>
      <c r="AJ544" s="97">
        <f>SUM(Z544,AH544)</f>
        <v>1.0200000000000001E-2</v>
      </c>
      <c r="AK544" s="97"/>
      <c r="AL544" s="97">
        <f>N544*AK544/1000</f>
        <v>0</v>
      </c>
      <c r="AM544" s="97"/>
      <c r="AN544" s="97">
        <f>N544*AM544/1000</f>
        <v>0</v>
      </c>
      <c r="AO544" s="97"/>
      <c r="AP544" s="97">
        <f>N544*AO544/1000</f>
        <v>0</v>
      </c>
      <c r="AQ544" s="97">
        <f>SUM(AK544+AM544+AO544)</f>
        <v>0</v>
      </c>
      <c r="AR544" s="97">
        <f>SUM(AL544+AN544+AP544)</f>
        <v>0</v>
      </c>
      <c r="AS544" s="97"/>
      <c r="AT544" s="97">
        <f>P544*AS544/1000</f>
        <v>0</v>
      </c>
      <c r="AU544" s="97"/>
      <c r="AV544" s="97">
        <f>P544*AU544/1000</f>
        <v>0</v>
      </c>
      <c r="AW544" s="97"/>
      <c r="AX544" s="97">
        <f>P544*AW544/1000</f>
        <v>0</v>
      </c>
      <c r="AY544" s="97">
        <f>SUM(AS544+AU544+AW544)</f>
        <v>0</v>
      </c>
      <c r="AZ544" s="97">
        <f>SUM(AT544+AV544+AX544)</f>
        <v>0</v>
      </c>
      <c r="BA544" s="97">
        <f>SUM(AQ544+AY544)</f>
        <v>0</v>
      </c>
      <c r="BB544" s="97">
        <f>SUM(AR544,AZ544)</f>
        <v>0</v>
      </c>
    </row>
    <row r="545" spans="1:54">
      <c r="A545" s="498">
        <v>384</v>
      </c>
      <c r="B545" s="13"/>
      <c r="C545" s="438"/>
      <c r="D545" s="13"/>
      <c r="E545" s="21" t="s">
        <v>1286</v>
      </c>
      <c r="F545" s="46"/>
      <c r="G545" s="46" t="s">
        <v>1105</v>
      </c>
      <c r="H545" s="268" t="s">
        <v>365</v>
      </c>
      <c r="I545" s="55"/>
      <c r="J545" s="163">
        <v>6602</v>
      </c>
      <c r="K545" s="55"/>
      <c r="L545" s="163">
        <v>6602</v>
      </c>
      <c r="M545" s="55"/>
      <c r="N545" s="163">
        <v>6602</v>
      </c>
      <c r="O545" s="55"/>
      <c r="P545" s="163">
        <v>6602</v>
      </c>
      <c r="Q545" s="97">
        <f t="shared" si="4388"/>
        <v>1.7800000000000002</v>
      </c>
      <c r="R545" s="342">
        <f t="shared" si="4389"/>
        <v>11.751560000000001</v>
      </c>
      <c r="S545" s="97"/>
      <c r="T545" s="97">
        <f t="shared" si="4390"/>
        <v>0</v>
      </c>
      <c r="U545" s="97"/>
      <c r="V545" s="97">
        <f t="shared" si="4391"/>
        <v>0</v>
      </c>
      <c r="W545" s="97">
        <v>7.2999999999999995E-2</v>
      </c>
      <c r="X545" s="97">
        <f t="shared" si="4392"/>
        <v>0.48194599999999999</v>
      </c>
      <c r="Y545" s="97">
        <f t="shared" si="4393"/>
        <v>7.2999999999999995E-2</v>
      </c>
      <c r="Z545" s="97">
        <f t="shared" si="4394"/>
        <v>0.48194599999999999</v>
      </c>
      <c r="AA545" s="97">
        <v>0.186</v>
      </c>
      <c r="AB545" s="97">
        <f t="shared" si="4395"/>
        <v>1.2279720000000001</v>
      </c>
      <c r="AC545" s="97">
        <v>0.13900000000000001</v>
      </c>
      <c r="AD545" s="97">
        <f t="shared" si="4396"/>
        <v>0.9176780000000001</v>
      </c>
      <c r="AE545" s="97">
        <v>0.109</v>
      </c>
      <c r="AF545" s="97">
        <f t="shared" si="4412"/>
        <v>0.71961800000000009</v>
      </c>
      <c r="AG545" s="97">
        <f t="shared" si="4397"/>
        <v>0.434</v>
      </c>
      <c r="AH545" s="97">
        <f t="shared" si="4398"/>
        <v>2.8652680000000004</v>
      </c>
      <c r="AI545" s="97">
        <f t="shared" si="4399"/>
        <v>0.50700000000000001</v>
      </c>
      <c r="AJ545" s="97">
        <f t="shared" si="4400"/>
        <v>3.3472140000000001</v>
      </c>
      <c r="AK545" s="97">
        <v>0.20699999999999999</v>
      </c>
      <c r="AL545" s="97">
        <f t="shared" si="4401"/>
        <v>1.366614</v>
      </c>
      <c r="AM545" s="97">
        <v>0.14599999999999999</v>
      </c>
      <c r="AN545" s="97">
        <f t="shared" si="4402"/>
        <v>0.96389199999999997</v>
      </c>
      <c r="AO545" s="97">
        <v>0.17899999999999999</v>
      </c>
      <c r="AP545" s="97">
        <f t="shared" si="4403"/>
        <v>1.1817580000000001</v>
      </c>
      <c r="AQ545" s="97">
        <f t="shared" si="4404"/>
        <v>0.53200000000000003</v>
      </c>
      <c r="AR545" s="97">
        <f t="shared" si="4405"/>
        <v>3.5122640000000001</v>
      </c>
      <c r="AS545" s="97"/>
      <c r="AT545" s="97">
        <f t="shared" si="4413"/>
        <v>0</v>
      </c>
      <c r="AU545" s="97">
        <v>0.54800000000000004</v>
      </c>
      <c r="AV545" s="97">
        <f t="shared" si="4406"/>
        <v>3.617896</v>
      </c>
      <c r="AW545" s="97">
        <v>0.193</v>
      </c>
      <c r="AX545" s="97">
        <f t="shared" si="4407"/>
        <v>1.2741859999999998</v>
      </c>
      <c r="AY545" s="97">
        <f t="shared" si="4408"/>
        <v>0.7410000000000001</v>
      </c>
      <c r="AZ545" s="97">
        <f t="shared" si="4409"/>
        <v>4.8920820000000003</v>
      </c>
      <c r="BA545" s="97">
        <f t="shared" si="4410"/>
        <v>1.2730000000000001</v>
      </c>
      <c r="BB545" s="97">
        <f t="shared" si="4411"/>
        <v>8.4043460000000003</v>
      </c>
    </row>
    <row r="546" spans="1:54">
      <c r="A546" s="498">
        <v>381</v>
      </c>
      <c r="B546" s="13"/>
      <c r="C546" s="438"/>
      <c r="D546" s="13"/>
      <c r="E546" s="21" t="s">
        <v>1602</v>
      </c>
      <c r="F546" s="46"/>
      <c r="G546" s="46" t="s">
        <v>1105</v>
      </c>
      <c r="H546" s="268" t="s">
        <v>365</v>
      </c>
      <c r="I546" s="55"/>
      <c r="J546" s="163">
        <v>5933</v>
      </c>
      <c r="K546" s="55"/>
      <c r="L546" s="163">
        <v>5933</v>
      </c>
      <c r="M546" s="55"/>
      <c r="N546" s="163">
        <v>5933</v>
      </c>
      <c r="O546" s="55"/>
      <c r="P546" s="163">
        <v>5933</v>
      </c>
      <c r="Q546" s="97">
        <f t="shared" ref="Q546" si="4438">SUM(AI546+BA546)</f>
        <v>0</v>
      </c>
      <c r="R546" s="342">
        <f t="shared" ref="R546" si="4439">SUM(AJ546+BB546)</f>
        <v>0</v>
      </c>
      <c r="S546" s="97"/>
      <c r="T546" s="97">
        <f t="shared" ref="T546" si="4440">J546*S546/1000</f>
        <v>0</v>
      </c>
      <c r="U546" s="97"/>
      <c r="V546" s="97">
        <f t="shared" ref="V546" si="4441">J546*U546/1000</f>
        <v>0</v>
      </c>
      <c r="W546" s="97"/>
      <c r="X546" s="97">
        <f t="shared" ref="X546" si="4442">J546*W546/1000</f>
        <v>0</v>
      </c>
      <c r="Y546" s="97">
        <f t="shared" ref="Y546" si="4443">SUM(S546+U546+W546)</f>
        <v>0</v>
      </c>
      <c r="Z546" s="97">
        <f t="shared" ref="Z546" si="4444">SUM(T546+V546+X546)</f>
        <v>0</v>
      </c>
      <c r="AA546" s="97"/>
      <c r="AB546" s="97">
        <f t="shared" ref="AB546" si="4445">L546*AA546/1000</f>
        <v>0</v>
      </c>
      <c r="AC546" s="97"/>
      <c r="AD546" s="97">
        <f t="shared" ref="AD546" si="4446">L546*AC546/1000</f>
        <v>0</v>
      </c>
      <c r="AE546" s="97"/>
      <c r="AF546" s="97">
        <f t="shared" ref="AF546" si="4447">L546*AE546/1000</f>
        <v>0</v>
      </c>
      <c r="AG546" s="97">
        <f t="shared" ref="AG546" si="4448">SUM(AA546+AC546+AE546)</f>
        <v>0</v>
      </c>
      <c r="AH546" s="97">
        <f t="shared" ref="AH546" si="4449">SUM(AB546+AD546+AF546)</f>
        <v>0</v>
      </c>
      <c r="AI546" s="97">
        <f t="shared" ref="AI546" si="4450">SUM(Y546+AG546)</f>
        <v>0</v>
      </c>
      <c r="AJ546" s="97">
        <f t="shared" ref="AJ546" si="4451">SUM(Z546,AH546)</f>
        <v>0</v>
      </c>
      <c r="AK546" s="97"/>
      <c r="AL546" s="97">
        <f t="shared" ref="AL546" si="4452">N546*AK546/1000</f>
        <v>0</v>
      </c>
      <c r="AM546" s="97"/>
      <c r="AN546" s="97">
        <f t="shared" ref="AN546" si="4453">N546*AM546/1000</f>
        <v>0</v>
      </c>
      <c r="AO546" s="97"/>
      <c r="AP546" s="97">
        <f t="shared" ref="AP546" si="4454">N546*AO546/1000</f>
        <v>0</v>
      </c>
      <c r="AQ546" s="97">
        <f t="shared" ref="AQ546" si="4455">SUM(AK546+AM546+AO546)</f>
        <v>0</v>
      </c>
      <c r="AR546" s="97">
        <f t="shared" ref="AR546" si="4456">SUM(AL546+AN546+AP546)</f>
        <v>0</v>
      </c>
      <c r="AS546" s="97"/>
      <c r="AT546" s="97">
        <f t="shared" ref="AT546" si="4457">P546*AS546/1000</f>
        <v>0</v>
      </c>
      <c r="AU546" s="97"/>
      <c r="AV546" s="97">
        <f t="shared" ref="AV546" si="4458">P546*AU546/1000</f>
        <v>0</v>
      </c>
      <c r="AW546" s="97"/>
      <c r="AX546" s="97">
        <f t="shared" ref="AX546" si="4459">P546*AW546/1000</f>
        <v>0</v>
      </c>
      <c r="AY546" s="97">
        <f t="shared" ref="AY546" si="4460">SUM(AS546+AU546+AW546)</f>
        <v>0</v>
      </c>
      <c r="AZ546" s="97">
        <f t="shared" ref="AZ546" si="4461">SUM(AT546+AV546+AX546)</f>
        <v>0</v>
      </c>
      <c r="BA546" s="97">
        <f t="shared" ref="BA546" si="4462">SUM(AQ546+AY546)</f>
        <v>0</v>
      </c>
      <c r="BB546" s="97">
        <f t="shared" ref="BB546" si="4463">SUM(AR546,AZ546)</f>
        <v>0</v>
      </c>
    </row>
    <row r="547" spans="1:54" ht="11.25" customHeight="1">
      <c r="A547" s="498">
        <v>385</v>
      </c>
      <c r="B547" s="13"/>
      <c r="C547" s="438"/>
      <c r="D547" s="13"/>
      <c r="E547" s="21" t="s">
        <v>218</v>
      </c>
      <c r="F547" s="46"/>
      <c r="G547" s="46" t="s">
        <v>1105</v>
      </c>
      <c r="H547" s="268" t="s">
        <v>365</v>
      </c>
      <c r="I547" s="55"/>
      <c r="J547" s="163">
        <v>8364</v>
      </c>
      <c r="K547" s="55"/>
      <c r="L547" s="163">
        <v>8364</v>
      </c>
      <c r="M547" s="55"/>
      <c r="N547" s="163">
        <v>8364</v>
      </c>
      <c r="O547" s="55"/>
      <c r="P547" s="163">
        <v>8364</v>
      </c>
      <c r="Q547" s="97">
        <f t="shared" si="4388"/>
        <v>0</v>
      </c>
      <c r="R547" s="342">
        <f t="shared" si="4389"/>
        <v>0</v>
      </c>
      <c r="S547" s="97"/>
      <c r="T547" s="97">
        <f t="shared" si="4390"/>
        <v>0</v>
      </c>
      <c r="U547" s="97"/>
      <c r="V547" s="97">
        <f t="shared" si="4391"/>
        <v>0</v>
      </c>
      <c r="W547" s="97"/>
      <c r="X547" s="97">
        <f t="shared" si="4392"/>
        <v>0</v>
      </c>
      <c r="Y547" s="97">
        <f t="shared" si="4393"/>
        <v>0</v>
      </c>
      <c r="Z547" s="97">
        <f t="shared" si="4394"/>
        <v>0</v>
      </c>
      <c r="AA547" s="97"/>
      <c r="AB547" s="97">
        <f t="shared" si="4395"/>
        <v>0</v>
      </c>
      <c r="AC547" s="97"/>
      <c r="AD547" s="97">
        <f t="shared" si="4396"/>
        <v>0</v>
      </c>
      <c r="AE547" s="97"/>
      <c r="AF547" s="97">
        <f t="shared" si="4412"/>
        <v>0</v>
      </c>
      <c r="AG547" s="97">
        <f t="shared" si="4397"/>
        <v>0</v>
      </c>
      <c r="AH547" s="97">
        <f t="shared" si="4398"/>
        <v>0</v>
      </c>
      <c r="AI547" s="97">
        <f t="shared" si="4399"/>
        <v>0</v>
      </c>
      <c r="AJ547" s="97">
        <f t="shared" si="4400"/>
        <v>0</v>
      </c>
      <c r="AK547" s="97"/>
      <c r="AL547" s="97">
        <f t="shared" si="4401"/>
        <v>0</v>
      </c>
      <c r="AM547" s="97"/>
      <c r="AN547" s="97">
        <f t="shared" si="4402"/>
        <v>0</v>
      </c>
      <c r="AO547" s="97"/>
      <c r="AP547" s="97">
        <f t="shared" si="4403"/>
        <v>0</v>
      </c>
      <c r="AQ547" s="97">
        <f t="shared" si="4404"/>
        <v>0</v>
      </c>
      <c r="AR547" s="97">
        <f t="shared" si="4405"/>
        <v>0</v>
      </c>
      <c r="AS547" s="97"/>
      <c r="AT547" s="97">
        <f t="shared" si="4413"/>
        <v>0</v>
      </c>
      <c r="AU547" s="97"/>
      <c r="AV547" s="97">
        <f t="shared" si="4406"/>
        <v>0</v>
      </c>
      <c r="AW547" s="97"/>
      <c r="AX547" s="97">
        <f t="shared" si="4407"/>
        <v>0</v>
      </c>
      <c r="AY547" s="97">
        <f t="shared" si="4408"/>
        <v>0</v>
      </c>
      <c r="AZ547" s="97">
        <f t="shared" si="4409"/>
        <v>0</v>
      </c>
      <c r="BA547" s="97">
        <f t="shared" si="4410"/>
        <v>0</v>
      </c>
      <c r="BB547" s="97">
        <f t="shared" si="4411"/>
        <v>0</v>
      </c>
    </row>
    <row r="548" spans="1:54">
      <c r="A548" s="498">
        <v>386</v>
      </c>
      <c r="B548" s="13"/>
      <c r="C548" s="438"/>
      <c r="D548" s="13"/>
      <c r="E548" s="21" t="s">
        <v>219</v>
      </c>
      <c r="F548" s="46"/>
      <c r="G548" s="46" t="s">
        <v>1105</v>
      </c>
      <c r="H548" s="268" t="s">
        <v>365</v>
      </c>
      <c r="I548" s="55"/>
      <c r="J548" s="163">
        <v>7135</v>
      </c>
      <c r="K548" s="55"/>
      <c r="L548" s="163">
        <v>7135</v>
      </c>
      <c r="M548" s="55"/>
      <c r="N548" s="163">
        <v>7135</v>
      </c>
      <c r="O548" s="55"/>
      <c r="P548" s="163">
        <v>7135</v>
      </c>
      <c r="Q548" s="97">
        <f t="shared" si="4388"/>
        <v>15.352</v>
      </c>
      <c r="R548" s="342">
        <f t="shared" si="4389"/>
        <v>109.53652</v>
      </c>
      <c r="S548" s="97">
        <v>0.76300000000000001</v>
      </c>
      <c r="T548" s="97">
        <f t="shared" si="4390"/>
        <v>5.4440049999999998</v>
      </c>
      <c r="U548" s="97">
        <v>1.5920000000000001</v>
      </c>
      <c r="V548" s="97">
        <f t="shared" si="4391"/>
        <v>11.358919999999999</v>
      </c>
      <c r="W548" s="97">
        <v>2.359</v>
      </c>
      <c r="X548" s="97">
        <f t="shared" si="4392"/>
        <v>16.831465000000001</v>
      </c>
      <c r="Y548" s="97">
        <f t="shared" si="4393"/>
        <v>4.7140000000000004</v>
      </c>
      <c r="Z548" s="97">
        <f t="shared" si="4394"/>
        <v>33.634389999999996</v>
      </c>
      <c r="AA548" s="97">
        <v>0.94399999999999995</v>
      </c>
      <c r="AB548" s="97">
        <f t="shared" si="4395"/>
        <v>6.7354399999999996</v>
      </c>
      <c r="AC548" s="97">
        <v>0.70299999999999996</v>
      </c>
      <c r="AD548" s="97">
        <f t="shared" si="4396"/>
        <v>5.0159050000000001</v>
      </c>
      <c r="AE548" s="97">
        <v>0.93300000000000005</v>
      </c>
      <c r="AF548" s="97">
        <f t="shared" si="4412"/>
        <v>6.656955</v>
      </c>
      <c r="AG548" s="97">
        <f t="shared" si="4397"/>
        <v>2.58</v>
      </c>
      <c r="AH548" s="97">
        <f t="shared" si="4398"/>
        <v>18.408300000000001</v>
      </c>
      <c r="AI548" s="97">
        <f t="shared" si="4399"/>
        <v>7.2940000000000005</v>
      </c>
      <c r="AJ548" s="97">
        <f t="shared" si="4400"/>
        <v>52.042689999999993</v>
      </c>
      <c r="AK548" s="97">
        <v>0.26500000000000001</v>
      </c>
      <c r="AL548" s="97">
        <f t="shared" si="4401"/>
        <v>1.8907750000000001</v>
      </c>
      <c r="AM548" s="97">
        <v>1.8759999999999999</v>
      </c>
      <c r="AN548" s="97">
        <f t="shared" si="4402"/>
        <v>13.385259999999999</v>
      </c>
      <c r="AO548" s="97">
        <v>0.94599999999999995</v>
      </c>
      <c r="AP548" s="97">
        <f t="shared" si="4403"/>
        <v>6.7497100000000003</v>
      </c>
      <c r="AQ548" s="97">
        <f t="shared" si="4404"/>
        <v>3.0869999999999997</v>
      </c>
      <c r="AR548" s="97">
        <f t="shared" si="4405"/>
        <v>22.025745000000001</v>
      </c>
      <c r="AS548" s="97">
        <v>2.4079999999999999</v>
      </c>
      <c r="AT548" s="97">
        <f t="shared" si="4413"/>
        <v>17.181079999999998</v>
      </c>
      <c r="AU548" s="97">
        <v>0.879</v>
      </c>
      <c r="AV548" s="97">
        <f t="shared" si="4406"/>
        <v>6.2716649999999996</v>
      </c>
      <c r="AW548" s="97">
        <v>1.6839999999999999</v>
      </c>
      <c r="AX548" s="97">
        <f t="shared" si="4407"/>
        <v>12.01534</v>
      </c>
      <c r="AY548" s="97">
        <f t="shared" si="4408"/>
        <v>4.9710000000000001</v>
      </c>
      <c r="AZ548" s="97">
        <f t="shared" si="4409"/>
        <v>35.468084999999995</v>
      </c>
      <c r="BA548" s="97">
        <f t="shared" si="4410"/>
        <v>8.0579999999999998</v>
      </c>
      <c r="BB548" s="97">
        <f t="shared" si="4411"/>
        <v>57.493829999999996</v>
      </c>
    </row>
    <row r="549" spans="1:54">
      <c r="A549" s="498">
        <v>387</v>
      </c>
      <c r="B549" s="13"/>
      <c r="C549" s="438"/>
      <c r="D549" s="13"/>
      <c r="E549" s="63" t="s">
        <v>725</v>
      </c>
      <c r="F549" s="425"/>
      <c r="G549" s="425" t="s">
        <v>1105</v>
      </c>
      <c r="H549" s="284" t="s">
        <v>365</v>
      </c>
      <c r="I549" s="67"/>
      <c r="J549" s="166">
        <v>8585</v>
      </c>
      <c r="K549" s="67"/>
      <c r="L549" s="166">
        <v>8585</v>
      </c>
      <c r="M549" s="67"/>
      <c r="N549" s="166">
        <v>8585</v>
      </c>
      <c r="O549" s="67"/>
      <c r="P549" s="166">
        <v>9635</v>
      </c>
      <c r="Q549" s="129">
        <f t="shared" si="4388"/>
        <v>11.571</v>
      </c>
      <c r="R549" s="350">
        <f t="shared" si="4389"/>
        <v>102.37153499999999</v>
      </c>
      <c r="S549" s="129">
        <v>1.1180000000000001</v>
      </c>
      <c r="T549" s="129">
        <f t="shared" si="4390"/>
        <v>9.5980300000000014</v>
      </c>
      <c r="U549" s="129">
        <v>1.004</v>
      </c>
      <c r="V549" s="129">
        <f t="shared" si="4391"/>
        <v>8.6193399999999993</v>
      </c>
      <c r="W549" s="129">
        <v>1.1100000000000001</v>
      </c>
      <c r="X549" s="129">
        <f t="shared" si="4392"/>
        <v>9.5293500000000009</v>
      </c>
      <c r="Y549" s="129">
        <f t="shared" si="4393"/>
        <v>3.2320000000000002</v>
      </c>
      <c r="Z549" s="129">
        <f t="shared" si="4394"/>
        <v>27.746720000000003</v>
      </c>
      <c r="AA549" s="129">
        <v>1.524</v>
      </c>
      <c r="AB549" s="129">
        <f t="shared" si="4395"/>
        <v>13.083540000000001</v>
      </c>
      <c r="AC549" s="129">
        <v>0.8</v>
      </c>
      <c r="AD549" s="129">
        <f t="shared" si="4396"/>
        <v>6.8680000000000003</v>
      </c>
      <c r="AE549" s="129">
        <v>0.71899999999999997</v>
      </c>
      <c r="AF549" s="129">
        <f>L549*AE549/1000</f>
        <v>6.1726149999999995</v>
      </c>
      <c r="AG549" s="129">
        <f t="shared" si="4397"/>
        <v>3.0429999999999997</v>
      </c>
      <c r="AH549" s="129">
        <f t="shared" si="4398"/>
        <v>26.124155000000002</v>
      </c>
      <c r="AI549" s="129">
        <f t="shared" si="4399"/>
        <v>6.2750000000000004</v>
      </c>
      <c r="AJ549" s="129">
        <f t="shared" si="4400"/>
        <v>53.870875000000005</v>
      </c>
      <c r="AK549" s="129">
        <v>0.57299999999999995</v>
      </c>
      <c r="AL549" s="129">
        <f>N549*AK549/1000</f>
        <v>4.9192049999999998</v>
      </c>
      <c r="AM549" s="129">
        <v>0.96499999999999997</v>
      </c>
      <c r="AN549" s="129">
        <f t="shared" si="4402"/>
        <v>8.2845250000000004</v>
      </c>
      <c r="AO549" s="129">
        <v>0.86799999999999999</v>
      </c>
      <c r="AP549" s="129">
        <f t="shared" si="4403"/>
        <v>7.4517799999999994</v>
      </c>
      <c r="AQ549" s="129">
        <f t="shared" si="4404"/>
        <v>2.4059999999999997</v>
      </c>
      <c r="AR549" s="129">
        <f t="shared" si="4405"/>
        <v>20.65551</v>
      </c>
      <c r="AS549" s="129">
        <v>0.86599999999999999</v>
      </c>
      <c r="AT549" s="129">
        <f>P549*AS549/1000</f>
        <v>8.3439099999999993</v>
      </c>
      <c r="AU549" s="129">
        <v>1.224</v>
      </c>
      <c r="AV549" s="129">
        <f t="shared" si="4406"/>
        <v>11.793239999999999</v>
      </c>
      <c r="AW549" s="129">
        <v>0.8</v>
      </c>
      <c r="AX549" s="129">
        <f t="shared" si="4407"/>
        <v>7.7080000000000002</v>
      </c>
      <c r="AY549" s="129">
        <f t="shared" si="4408"/>
        <v>2.8899999999999997</v>
      </c>
      <c r="AZ549" s="129">
        <f t="shared" si="4409"/>
        <v>27.845149999999997</v>
      </c>
      <c r="BA549" s="129">
        <f t="shared" si="4410"/>
        <v>5.2959999999999994</v>
      </c>
      <c r="BB549" s="129">
        <f t="shared" si="4411"/>
        <v>48.500659999999996</v>
      </c>
    </row>
    <row r="550" spans="1:54">
      <c r="B550" s="13"/>
      <c r="C550" s="13"/>
      <c r="D550" s="13"/>
      <c r="E550" s="21" t="s">
        <v>1253</v>
      </c>
      <c r="F550" s="46"/>
      <c r="G550" s="46" t="s">
        <v>1102</v>
      </c>
      <c r="H550" s="268" t="s">
        <v>365</v>
      </c>
      <c r="I550" s="55"/>
      <c r="J550" s="163">
        <v>8585</v>
      </c>
      <c r="K550" s="55"/>
      <c r="L550" s="163">
        <v>8585</v>
      </c>
      <c r="M550" s="55"/>
      <c r="N550" s="163">
        <v>8585</v>
      </c>
      <c r="O550" s="55"/>
      <c r="P550" s="163">
        <v>8585</v>
      </c>
      <c r="Q550" s="97">
        <f t="shared" si="4388"/>
        <v>0</v>
      </c>
      <c r="R550" s="342">
        <f t="shared" si="4389"/>
        <v>0</v>
      </c>
      <c r="S550" s="97"/>
      <c r="T550" s="97">
        <f t="shared" si="4390"/>
        <v>0</v>
      </c>
      <c r="U550" s="97"/>
      <c r="V550" s="97">
        <f t="shared" si="4391"/>
        <v>0</v>
      </c>
      <c r="W550" s="97"/>
      <c r="X550" s="97">
        <f t="shared" si="4392"/>
        <v>0</v>
      </c>
      <c r="Y550" s="97">
        <f t="shared" ref="Y550:Y551" si="4464">SUM(S550+U550+W550)</f>
        <v>0</v>
      </c>
      <c r="Z550" s="97">
        <f t="shared" ref="Z550:Z551" si="4465">SUM(T550+V550+X550)</f>
        <v>0</v>
      </c>
      <c r="AA550" s="97"/>
      <c r="AB550" s="97">
        <f t="shared" si="4395"/>
        <v>0</v>
      </c>
      <c r="AC550" s="97"/>
      <c r="AD550" s="97">
        <f t="shared" si="4396"/>
        <v>0</v>
      </c>
      <c r="AE550" s="97"/>
      <c r="AF550" s="97">
        <f t="shared" ref="AF550:AF551" si="4466">L550*AE550/1000</f>
        <v>0</v>
      </c>
      <c r="AG550" s="97">
        <f t="shared" ref="AG550:AG551" si="4467">SUM(AA550+AC550+AE550)</f>
        <v>0</v>
      </c>
      <c r="AH550" s="97">
        <f t="shared" ref="AH550:AH551" si="4468">SUM(AB550+AD550+AF550)</f>
        <v>0</v>
      </c>
      <c r="AI550" s="97">
        <f t="shared" si="4399"/>
        <v>0</v>
      </c>
      <c r="AJ550" s="97">
        <f t="shared" si="4400"/>
        <v>0</v>
      </c>
      <c r="AK550" s="97"/>
      <c r="AL550" s="97">
        <f t="shared" ref="AL550:AL551" si="4469">N550*AK550/1000</f>
        <v>0</v>
      </c>
      <c r="AM550" s="97"/>
      <c r="AN550" s="97">
        <f t="shared" si="4402"/>
        <v>0</v>
      </c>
      <c r="AO550" s="97"/>
      <c r="AP550" s="97">
        <f t="shared" si="4403"/>
        <v>0</v>
      </c>
      <c r="AQ550" s="97">
        <f>SUM(AK550+AM550+AO550)</f>
        <v>0</v>
      </c>
      <c r="AR550" s="97">
        <f>SUM(AL550+AN550+AP550)</f>
        <v>0</v>
      </c>
      <c r="AS550" s="97"/>
      <c r="AT550" s="97">
        <f t="shared" ref="AT550:AT551" si="4470">P550*AS550/1000</f>
        <v>0</v>
      </c>
      <c r="AU550" s="97"/>
      <c r="AV550" s="97">
        <f t="shared" si="4406"/>
        <v>0</v>
      </c>
      <c r="AW550" s="97"/>
      <c r="AX550" s="97">
        <f t="shared" si="4407"/>
        <v>0</v>
      </c>
      <c r="AY550" s="97">
        <f>SUM(AS550+AU550+AW550)</f>
        <v>0</v>
      </c>
      <c r="AZ550" s="97">
        <f>SUM(AT550+AV550+AX550)</f>
        <v>0</v>
      </c>
      <c r="BA550" s="97">
        <f t="shared" si="4410"/>
        <v>0</v>
      </c>
      <c r="BB550" s="97">
        <f t="shared" si="4411"/>
        <v>0</v>
      </c>
    </row>
    <row r="551" spans="1:54">
      <c r="A551" s="498">
        <v>395</v>
      </c>
      <c r="B551" s="13"/>
      <c r="C551" s="438"/>
      <c r="D551" s="13"/>
      <c r="E551" s="21" t="s">
        <v>1461</v>
      </c>
      <c r="F551" s="46"/>
      <c r="G551" s="46" t="s">
        <v>1105</v>
      </c>
      <c r="H551" s="268" t="s">
        <v>365</v>
      </c>
      <c r="I551" s="55"/>
      <c r="J551" s="163">
        <v>8887</v>
      </c>
      <c r="K551" s="55"/>
      <c r="L551" s="163">
        <v>8887</v>
      </c>
      <c r="M551" s="55"/>
      <c r="N551" s="163">
        <v>8887</v>
      </c>
      <c r="O551" s="55"/>
      <c r="P551" s="163">
        <v>8965</v>
      </c>
      <c r="Q551" s="97">
        <f>SUM(AI551+BA551)</f>
        <v>9.2100000000000009</v>
      </c>
      <c r="R551" s="342">
        <f>SUM(AJ551+BB551)</f>
        <v>82.047545999999997</v>
      </c>
      <c r="S551" s="97">
        <v>0.54200000000000004</v>
      </c>
      <c r="T551" s="97">
        <f>J551*S551/1000</f>
        <v>4.8167539999999995</v>
      </c>
      <c r="U551" s="97">
        <v>0.85899999999999999</v>
      </c>
      <c r="V551" s="97">
        <f>J551*U551/1000</f>
        <v>7.6339329999999999</v>
      </c>
      <c r="W551" s="97">
        <v>0.1</v>
      </c>
      <c r="X551" s="97">
        <f>J551*W551/1000</f>
        <v>0.88870000000000005</v>
      </c>
      <c r="Y551" s="97">
        <f t="shared" si="4464"/>
        <v>1.5010000000000001</v>
      </c>
      <c r="Z551" s="97">
        <f t="shared" si="4465"/>
        <v>13.339386999999999</v>
      </c>
      <c r="AA551" s="97">
        <v>0.53100000000000003</v>
      </c>
      <c r="AB551" s="97">
        <f>L551*AA551/1000</f>
        <v>4.7189969999999999</v>
      </c>
      <c r="AC551" s="97">
        <v>1.008</v>
      </c>
      <c r="AD551" s="97">
        <f>L551*AC551/1000</f>
        <v>8.9580959999999994</v>
      </c>
      <c r="AE551" s="97">
        <v>1.1519999999999999</v>
      </c>
      <c r="AF551" s="97">
        <f t="shared" si="4466"/>
        <v>10.237823999999998</v>
      </c>
      <c r="AG551" s="97">
        <f t="shared" si="4467"/>
        <v>2.6909999999999998</v>
      </c>
      <c r="AH551" s="97">
        <f t="shared" si="4468"/>
        <v>23.914916999999996</v>
      </c>
      <c r="AI551" s="97">
        <f>SUM(Y551+AG551)</f>
        <v>4.1920000000000002</v>
      </c>
      <c r="AJ551" s="97">
        <f t="shared" ref="AJ551" si="4471">SUM(Z551,AH551)</f>
        <v>37.254303999999991</v>
      </c>
      <c r="AK551" s="97">
        <v>0.47599999999999998</v>
      </c>
      <c r="AL551" s="97">
        <f t="shared" si="4469"/>
        <v>4.2302119999999999</v>
      </c>
      <c r="AM551" s="97">
        <v>1.458</v>
      </c>
      <c r="AN551" s="97">
        <f t="shared" ref="AN551" si="4472">N551*AM551/1000</f>
        <v>12.957246</v>
      </c>
      <c r="AO551" s="97">
        <v>0.54200000000000004</v>
      </c>
      <c r="AP551" s="97">
        <f t="shared" ref="AP551" si="4473">N551*AO551/1000</f>
        <v>4.8167539999999995</v>
      </c>
      <c r="AQ551" s="97">
        <f t="shared" ref="AQ551" si="4474">SUM(AK551+AM551+AO551)</f>
        <v>2.476</v>
      </c>
      <c r="AR551" s="97">
        <f t="shared" ref="AR551" si="4475">SUM(AL551+AN551+AP551)</f>
        <v>22.004211999999999</v>
      </c>
      <c r="AS551" s="97">
        <v>1.294</v>
      </c>
      <c r="AT551" s="97">
        <f t="shared" si="4470"/>
        <v>11.600710000000001</v>
      </c>
      <c r="AU551" s="97">
        <v>0.51600000000000001</v>
      </c>
      <c r="AV551" s="97">
        <f t="shared" ref="AV551" si="4476">P551*AU551/1000</f>
        <v>4.6259400000000008</v>
      </c>
      <c r="AW551" s="97">
        <v>0.73199999999999998</v>
      </c>
      <c r="AX551" s="97">
        <f t="shared" ref="AX551" si="4477">P551*AW551/1000</f>
        <v>6.5623800000000001</v>
      </c>
      <c r="AY551" s="97">
        <f>SUM(AS551+AU551+AW551)</f>
        <v>2.5419999999999998</v>
      </c>
      <c r="AZ551" s="97">
        <f>SUM(AT551+AV551+AX551)</f>
        <v>22.789030000000004</v>
      </c>
      <c r="BA551" s="97">
        <f t="shared" ref="BA551" si="4478">SUM(AQ551+AY551)</f>
        <v>5.0179999999999998</v>
      </c>
      <c r="BB551" s="97">
        <f t="shared" ref="BB551" si="4479">SUM(AR551,AZ551)</f>
        <v>44.793242000000006</v>
      </c>
    </row>
    <row r="552" spans="1:54">
      <c r="A552" s="498">
        <v>388</v>
      </c>
      <c r="B552" s="13"/>
      <c r="C552" s="438"/>
      <c r="D552" s="13"/>
      <c r="E552" s="90" t="s">
        <v>1678</v>
      </c>
      <c r="F552" s="430"/>
      <c r="G552" s="430" t="s">
        <v>1105</v>
      </c>
      <c r="H552" s="287" t="s">
        <v>365</v>
      </c>
      <c r="I552" s="76"/>
      <c r="J552" s="168">
        <v>7936</v>
      </c>
      <c r="K552" s="76"/>
      <c r="L552" s="168">
        <v>7936</v>
      </c>
      <c r="M552" s="76"/>
      <c r="N552" s="168">
        <v>7936</v>
      </c>
      <c r="O552" s="76"/>
      <c r="P552" s="168">
        <v>8986</v>
      </c>
      <c r="Q552" s="131">
        <f t="shared" si="4388"/>
        <v>7.7229999999999999</v>
      </c>
      <c r="R552" s="352">
        <f t="shared" si="4389"/>
        <v>61.814728000000002</v>
      </c>
      <c r="S552" s="131">
        <v>0.91100000000000003</v>
      </c>
      <c r="T552" s="131">
        <f t="shared" si="4390"/>
        <v>7.2296959999999997</v>
      </c>
      <c r="U552" s="131">
        <v>0.36</v>
      </c>
      <c r="V552" s="131">
        <f t="shared" si="4391"/>
        <v>2.8569599999999999</v>
      </c>
      <c r="W552" s="131">
        <v>1.33</v>
      </c>
      <c r="X552" s="131">
        <f t="shared" si="4392"/>
        <v>10.554880000000001</v>
      </c>
      <c r="Y552" s="131">
        <f t="shared" si="4393"/>
        <v>2.601</v>
      </c>
      <c r="Z552" s="131">
        <f t="shared" si="4394"/>
        <v>20.641536000000002</v>
      </c>
      <c r="AA552" s="131">
        <v>0.95199999999999996</v>
      </c>
      <c r="AB552" s="131">
        <f t="shared" si="4395"/>
        <v>7.555072</v>
      </c>
      <c r="AC552" s="131">
        <v>0.3</v>
      </c>
      <c r="AD552" s="131">
        <f t="shared" si="4396"/>
        <v>2.3807999999999998</v>
      </c>
      <c r="AE552" s="131">
        <v>0.65</v>
      </c>
      <c r="AF552" s="131">
        <f t="shared" si="4412"/>
        <v>5.1584000000000003</v>
      </c>
      <c r="AG552" s="131">
        <f t="shared" si="4397"/>
        <v>1.9020000000000001</v>
      </c>
      <c r="AH552" s="131">
        <f t="shared" si="4398"/>
        <v>15.094272</v>
      </c>
      <c r="AI552" s="131">
        <f t="shared" si="4399"/>
        <v>4.5030000000000001</v>
      </c>
      <c r="AJ552" s="131">
        <f t="shared" si="4400"/>
        <v>35.735808000000006</v>
      </c>
      <c r="AK552" s="131">
        <v>0.65</v>
      </c>
      <c r="AL552" s="131">
        <f t="shared" si="4401"/>
        <v>5.1584000000000003</v>
      </c>
      <c r="AM552" s="131">
        <v>0.4</v>
      </c>
      <c r="AN552" s="131">
        <f t="shared" si="4402"/>
        <v>3.1743999999999999</v>
      </c>
      <c r="AO552" s="131">
        <v>1.67</v>
      </c>
      <c r="AP552" s="131">
        <f t="shared" si="4403"/>
        <v>13.253119999999999</v>
      </c>
      <c r="AQ552" s="131">
        <f t="shared" si="4404"/>
        <v>2.7199999999999998</v>
      </c>
      <c r="AR552" s="131">
        <f t="shared" si="4405"/>
        <v>21.585920000000002</v>
      </c>
      <c r="AS552" s="131">
        <v>0.35</v>
      </c>
      <c r="AT552" s="131">
        <f t="shared" si="4413"/>
        <v>3.1450999999999998</v>
      </c>
      <c r="AU552" s="131"/>
      <c r="AV552" s="131">
        <f t="shared" si="4406"/>
        <v>0</v>
      </c>
      <c r="AW552" s="131">
        <v>0.15</v>
      </c>
      <c r="AX552" s="131">
        <f t="shared" si="4407"/>
        <v>1.3478999999999999</v>
      </c>
      <c r="AY552" s="131">
        <f t="shared" si="4408"/>
        <v>0.5</v>
      </c>
      <c r="AZ552" s="131">
        <f t="shared" si="4409"/>
        <v>4.4929999999999994</v>
      </c>
      <c r="BA552" s="131">
        <f t="shared" si="4410"/>
        <v>3.2199999999999998</v>
      </c>
      <c r="BB552" s="131">
        <f t="shared" si="4411"/>
        <v>26.07892</v>
      </c>
    </row>
    <row r="553" spans="1:54">
      <c r="A553" s="498">
        <v>389</v>
      </c>
      <c r="B553" s="13"/>
      <c r="C553" s="438"/>
      <c r="D553" s="13"/>
      <c r="E553" s="21" t="s">
        <v>744</v>
      </c>
      <c r="F553" s="46"/>
      <c r="G553" s="46" t="s">
        <v>1105</v>
      </c>
      <c r="H553" s="268" t="s">
        <v>365</v>
      </c>
      <c r="I553" s="55"/>
      <c r="J553" s="163">
        <v>5896</v>
      </c>
      <c r="K553" s="55"/>
      <c r="L553" s="163">
        <v>5896</v>
      </c>
      <c r="M553" s="55"/>
      <c r="N553" s="163">
        <v>5896</v>
      </c>
      <c r="O553" s="55"/>
      <c r="P553" s="163">
        <v>6411</v>
      </c>
      <c r="Q553" s="97">
        <f>SUM(AI553+BA553)</f>
        <v>41.837000000000003</v>
      </c>
      <c r="R553" s="342">
        <f>SUM(AJ553+BB553)</f>
        <v>250.178102</v>
      </c>
      <c r="S553" s="97">
        <v>4.7919999999999998</v>
      </c>
      <c r="T553" s="97">
        <f t="shared" si="4390"/>
        <v>28.253631999999996</v>
      </c>
      <c r="U553" s="97">
        <v>1.615</v>
      </c>
      <c r="V553" s="97">
        <f t="shared" si="4391"/>
        <v>9.5220399999999987</v>
      </c>
      <c r="W553" s="97">
        <v>2.3769999999999998</v>
      </c>
      <c r="X553" s="97">
        <f t="shared" si="4392"/>
        <v>14.014792</v>
      </c>
      <c r="Y553" s="97">
        <f t="shared" si="4393"/>
        <v>8.7839999999999989</v>
      </c>
      <c r="Z553" s="97">
        <f t="shared" si="4394"/>
        <v>51.790463999999993</v>
      </c>
      <c r="AA553" s="97">
        <v>4.0270000000000001</v>
      </c>
      <c r="AB553" s="97">
        <f t="shared" si="4395"/>
        <v>23.743192000000001</v>
      </c>
      <c r="AC553" s="97">
        <v>2.0499999999999998</v>
      </c>
      <c r="AD553" s="97">
        <f t="shared" si="4396"/>
        <v>12.086799999999998</v>
      </c>
      <c r="AE553" s="97">
        <v>4.5750000000000002</v>
      </c>
      <c r="AF553" s="97">
        <f t="shared" si="4412"/>
        <v>26.9742</v>
      </c>
      <c r="AG553" s="97">
        <f t="shared" si="4397"/>
        <v>10.652000000000001</v>
      </c>
      <c r="AH553" s="97">
        <f t="shared" si="4398"/>
        <v>62.804192</v>
      </c>
      <c r="AI553" s="97">
        <f t="shared" si="4399"/>
        <v>19.436</v>
      </c>
      <c r="AJ553" s="97">
        <f t="shared" si="4400"/>
        <v>114.59465599999999</v>
      </c>
      <c r="AK553" s="97">
        <v>6.7</v>
      </c>
      <c r="AL553" s="97">
        <f t="shared" si="4401"/>
        <v>39.503200000000007</v>
      </c>
      <c r="AM553" s="97">
        <v>4.4779999999999998</v>
      </c>
      <c r="AN553" s="97">
        <f>N553*AM553/1000</f>
        <v>26.402287999999995</v>
      </c>
      <c r="AO553" s="97">
        <v>4.4130000000000003</v>
      </c>
      <c r="AP553" s="97">
        <f t="shared" si="4403"/>
        <v>26.019048000000002</v>
      </c>
      <c r="AQ553" s="97">
        <f t="shared" si="4404"/>
        <v>15.591000000000001</v>
      </c>
      <c r="AR553" s="97">
        <f t="shared" si="4405"/>
        <v>91.924536000000003</v>
      </c>
      <c r="AS553" s="97">
        <v>3.4159999999999999</v>
      </c>
      <c r="AT553" s="97">
        <f t="shared" si="4413"/>
        <v>21.899975999999999</v>
      </c>
      <c r="AU553" s="97">
        <v>0.95399999999999996</v>
      </c>
      <c r="AV553" s="97">
        <f t="shared" si="4406"/>
        <v>6.1160940000000004</v>
      </c>
      <c r="AW553" s="97">
        <v>2.44</v>
      </c>
      <c r="AX553" s="97">
        <f t="shared" si="4407"/>
        <v>15.64284</v>
      </c>
      <c r="AY553" s="97">
        <f t="shared" si="4408"/>
        <v>6.8100000000000005</v>
      </c>
      <c r="AZ553" s="97">
        <f t="shared" si="4409"/>
        <v>43.658909999999999</v>
      </c>
      <c r="BA553" s="97">
        <f t="shared" si="4410"/>
        <v>22.401000000000003</v>
      </c>
      <c r="BB553" s="97">
        <f t="shared" si="4411"/>
        <v>135.58344600000001</v>
      </c>
    </row>
    <row r="554" spans="1:54">
      <c r="A554" s="498">
        <v>390</v>
      </c>
      <c r="B554" s="13"/>
      <c r="D554" s="13"/>
      <c r="E554" s="21" t="s">
        <v>1065</v>
      </c>
      <c r="F554" s="46"/>
      <c r="G554" s="46" t="s">
        <v>1102</v>
      </c>
      <c r="H554" s="268" t="s">
        <v>365</v>
      </c>
      <c r="I554" s="55"/>
      <c r="J554" s="163">
        <v>5496</v>
      </c>
      <c r="K554" s="55"/>
      <c r="L554" s="163">
        <v>5496</v>
      </c>
      <c r="M554" s="55"/>
      <c r="N554" s="163">
        <v>5496</v>
      </c>
      <c r="O554" s="55"/>
      <c r="P554" s="163">
        <v>5496</v>
      </c>
      <c r="Q554" s="97">
        <f>SUM(AI554+BA554)</f>
        <v>0</v>
      </c>
      <c r="R554" s="342">
        <f>SUM(AJ554+BB554)</f>
        <v>0</v>
      </c>
      <c r="S554" s="97"/>
      <c r="T554" s="97">
        <f t="shared" ref="T554" si="4480">J554*S554/1000</f>
        <v>0</v>
      </c>
      <c r="U554" s="97"/>
      <c r="V554" s="97">
        <f t="shared" ref="V554" si="4481">J554*U554/1000</f>
        <v>0</v>
      </c>
      <c r="W554" s="97"/>
      <c r="X554" s="97">
        <f t="shared" ref="X554" si="4482">J554*W554/1000</f>
        <v>0</v>
      </c>
      <c r="Y554" s="97">
        <f t="shared" ref="Y554" si="4483">SUM(S554+U554+W554)</f>
        <v>0</v>
      </c>
      <c r="Z554" s="97">
        <f t="shared" ref="Z554" si="4484">SUM(T554+V554+X554)</f>
        <v>0</v>
      </c>
      <c r="AA554" s="97"/>
      <c r="AB554" s="97">
        <f t="shared" ref="AB554" si="4485">L554*AA554/1000</f>
        <v>0</v>
      </c>
      <c r="AC554" s="97"/>
      <c r="AD554" s="97">
        <f t="shared" ref="AD554" si="4486">L554*AC554/1000</f>
        <v>0</v>
      </c>
      <c r="AE554" s="97"/>
      <c r="AF554" s="97">
        <f t="shared" ref="AF554" si="4487">L554*AE554/1000</f>
        <v>0</v>
      </c>
      <c r="AG554" s="97">
        <f t="shared" ref="AG554" si="4488">SUM(AA554+AC554+AE554)</f>
        <v>0</v>
      </c>
      <c r="AH554" s="97">
        <f t="shared" ref="AH554" si="4489">SUM(AB554+AD554+AF554)</f>
        <v>0</v>
      </c>
      <c r="AI554" s="97">
        <f t="shared" ref="AI554" si="4490">SUM(Y554+AG554)</f>
        <v>0</v>
      </c>
      <c r="AJ554" s="97">
        <f t="shared" ref="AJ554" si="4491">SUM(Z554,AH554)</f>
        <v>0</v>
      </c>
      <c r="AK554" s="97"/>
      <c r="AL554" s="97">
        <f t="shared" ref="AL554" si="4492">N554*AK554/1000</f>
        <v>0</v>
      </c>
      <c r="AM554" s="97"/>
      <c r="AN554" s="97">
        <f>N554*AM554/1000</f>
        <v>0</v>
      </c>
      <c r="AO554" s="97"/>
      <c r="AP554" s="97">
        <f t="shared" ref="AP554" si="4493">N554*AO554/1000</f>
        <v>0</v>
      </c>
      <c r="AQ554" s="97">
        <f t="shared" ref="AQ554" si="4494">SUM(AK554+AM554+AO554)</f>
        <v>0</v>
      </c>
      <c r="AR554" s="97">
        <f t="shared" ref="AR554" si="4495">SUM(AL554+AN554+AP554)</f>
        <v>0</v>
      </c>
      <c r="AS554" s="97"/>
      <c r="AT554" s="97">
        <f t="shared" ref="AT554" si="4496">P554*AS554/1000</f>
        <v>0</v>
      </c>
      <c r="AU554" s="97"/>
      <c r="AV554" s="97">
        <f t="shared" ref="AV554" si="4497">P554*AU554/1000</f>
        <v>0</v>
      </c>
      <c r="AW554" s="97"/>
      <c r="AX554" s="97">
        <f t="shared" ref="AX554" si="4498">P554*AW554/1000</f>
        <v>0</v>
      </c>
      <c r="AY554" s="97">
        <f t="shared" ref="AY554" si="4499">SUM(AS554+AU554+AW554)</f>
        <v>0</v>
      </c>
      <c r="AZ554" s="97">
        <f t="shared" ref="AZ554" si="4500">SUM(AT554+AV554+AX554)</f>
        <v>0</v>
      </c>
      <c r="BA554" s="97">
        <f t="shared" ref="BA554" si="4501">SUM(AQ554+AY554)</f>
        <v>0</v>
      </c>
      <c r="BB554" s="97">
        <f t="shared" ref="BB554" si="4502">SUM(AR554,AZ554)</f>
        <v>0</v>
      </c>
    </row>
    <row r="555" spans="1:54">
      <c r="A555" s="498">
        <v>391</v>
      </c>
      <c r="B555" s="13"/>
      <c r="C555" s="438"/>
      <c r="D555" s="13"/>
      <c r="E555" s="21" t="s">
        <v>569</v>
      </c>
      <c r="F555" s="46"/>
      <c r="G555" s="46" t="s">
        <v>1105</v>
      </c>
      <c r="H555" s="268" t="s">
        <v>365</v>
      </c>
      <c r="I555" s="55"/>
      <c r="J555" s="163">
        <v>2211</v>
      </c>
      <c r="K555" s="55"/>
      <c r="L555" s="163">
        <v>2211</v>
      </c>
      <c r="M555" s="55"/>
      <c r="N555" s="163">
        <v>2211</v>
      </c>
      <c r="O555" s="55"/>
      <c r="P555" s="163">
        <v>2211</v>
      </c>
      <c r="Q555" s="97">
        <f t="shared" si="4388"/>
        <v>3.9409999999999998</v>
      </c>
      <c r="R555" s="342">
        <f>SUM(AJ555+BB555)</f>
        <v>8.7135510000000007</v>
      </c>
      <c r="S555" s="97">
        <v>0.38800000000000001</v>
      </c>
      <c r="T555" s="97">
        <f t="shared" ref="T555:T556" si="4503">J555*S555/1000</f>
        <v>0.85786800000000007</v>
      </c>
      <c r="U555" s="97">
        <v>0.16300000000000001</v>
      </c>
      <c r="V555" s="97">
        <f t="shared" ref="V555:V556" si="4504">J555*U555/1000</f>
        <v>0.36039300000000002</v>
      </c>
      <c r="W555" s="97">
        <v>0.24</v>
      </c>
      <c r="X555" s="97">
        <f t="shared" ref="X555:X556" si="4505">J555*W555/1000</f>
        <v>0.53064</v>
      </c>
      <c r="Y555" s="97">
        <f t="shared" ref="Y555:Y556" si="4506">SUM(S555+U555+W555)</f>
        <v>0.79100000000000004</v>
      </c>
      <c r="Z555" s="97">
        <f t="shared" ref="Z555:Z556" si="4507">SUM(T555+V555+X555)</f>
        <v>1.748901</v>
      </c>
      <c r="AA555" s="97">
        <v>0.48599999999999999</v>
      </c>
      <c r="AB555" s="97">
        <f t="shared" ref="AB555:AB556" si="4508">L555*AA555/1000</f>
        <v>1.074546</v>
      </c>
      <c r="AC555" s="97">
        <v>0.48299999999999998</v>
      </c>
      <c r="AD555" s="97">
        <f t="shared" ref="AD555:AD556" si="4509">L555*AC555/1000</f>
        <v>1.0679130000000001</v>
      </c>
      <c r="AE555" s="97">
        <v>0.38900000000000001</v>
      </c>
      <c r="AF555" s="97">
        <f>L555*AE555/1000</f>
        <v>0.86007900000000004</v>
      </c>
      <c r="AG555" s="97">
        <f t="shared" ref="AG555:AG556" si="4510">SUM(AA555+AC555+AE555)</f>
        <v>1.3580000000000001</v>
      </c>
      <c r="AH555" s="97">
        <f t="shared" ref="AH555:AH556" si="4511">SUM(AB555+AD555+AF555)</f>
        <v>3.0025380000000004</v>
      </c>
      <c r="AI555" s="97">
        <f t="shared" ref="AI555:AI556" si="4512">SUM(Y555+AG555)</f>
        <v>2.149</v>
      </c>
      <c r="AJ555" s="97">
        <f t="shared" ref="AJ555:AJ556" si="4513">SUM(Z555,AH555)</f>
        <v>4.7514390000000004</v>
      </c>
      <c r="AK555" s="97">
        <v>0.19</v>
      </c>
      <c r="AL555" s="97">
        <f>N555*AK555/1000</f>
        <v>0.42009000000000002</v>
      </c>
      <c r="AM555" s="97">
        <v>0.373</v>
      </c>
      <c r="AN555" s="97">
        <f t="shared" ref="AN555:AN556" si="4514">N555*AM555/1000</f>
        <v>0.82470299999999996</v>
      </c>
      <c r="AO555" s="97">
        <v>9.2999999999999999E-2</v>
      </c>
      <c r="AP555" s="97">
        <f t="shared" ref="AP555:AP556" si="4515">N555*AO555/1000</f>
        <v>0.205623</v>
      </c>
      <c r="AQ555" s="97">
        <f t="shared" ref="AQ555:AQ556" si="4516">SUM(AK555+AM555+AO555)</f>
        <v>0.65599999999999992</v>
      </c>
      <c r="AR555" s="97">
        <f t="shared" ref="AR555:AR556" si="4517">SUM(AL555+AN555+AP555)</f>
        <v>1.4504160000000001</v>
      </c>
      <c r="AS555" s="97">
        <v>0.60299999999999998</v>
      </c>
      <c r="AT555" s="97">
        <f>P555*AS555/1000</f>
        <v>1.3332329999999999</v>
      </c>
      <c r="AU555" s="97">
        <v>0.188</v>
      </c>
      <c r="AV555" s="97">
        <f t="shared" ref="AV555:AV556" si="4518">P555*AU555/1000</f>
        <v>0.41566799999999998</v>
      </c>
      <c r="AW555" s="97">
        <v>0.34499999999999997</v>
      </c>
      <c r="AX555" s="97">
        <f t="shared" ref="AX555:AX556" si="4519">P555*AW555/1000</f>
        <v>0.762795</v>
      </c>
      <c r="AY555" s="97">
        <f t="shared" ref="AY555:AY556" si="4520">SUM(AS555+AU555+AW555)</f>
        <v>1.1359999999999999</v>
      </c>
      <c r="AZ555" s="97">
        <f t="shared" ref="AZ555:AZ556" si="4521">SUM(AT555+AV555+AX555)</f>
        <v>2.5116959999999997</v>
      </c>
      <c r="BA555" s="97">
        <f t="shared" ref="BA555:BA556" si="4522">SUM(AQ555+AY555)</f>
        <v>1.7919999999999998</v>
      </c>
      <c r="BB555" s="97">
        <f t="shared" ref="BB555:BB556" si="4523">SUM(AR555,AZ555)</f>
        <v>3.9621119999999999</v>
      </c>
    </row>
    <row r="556" spans="1:54">
      <c r="A556" s="498">
        <v>392</v>
      </c>
      <c r="B556" s="13"/>
      <c r="C556" s="438"/>
      <c r="D556" s="13"/>
      <c r="E556" s="21" t="s">
        <v>732</v>
      </c>
      <c r="F556" s="46"/>
      <c r="G556" s="46" t="s">
        <v>1105</v>
      </c>
      <c r="H556" s="268" t="s">
        <v>365</v>
      </c>
      <c r="I556" s="55"/>
      <c r="J556" s="163">
        <v>2335</v>
      </c>
      <c r="K556" s="55"/>
      <c r="L556" s="163">
        <v>2335</v>
      </c>
      <c r="M556" s="55"/>
      <c r="N556" s="163">
        <v>2335</v>
      </c>
      <c r="O556" s="55"/>
      <c r="P556" s="163">
        <v>2335</v>
      </c>
      <c r="Q556" s="97">
        <f>SUM(AI556+BA556)</f>
        <v>0</v>
      </c>
      <c r="R556" s="342">
        <f t="shared" ref="R556" si="4524">SUM(AJ556+BB556)</f>
        <v>0</v>
      </c>
      <c r="S556" s="97"/>
      <c r="T556" s="97">
        <f t="shared" si="4503"/>
        <v>0</v>
      </c>
      <c r="U556" s="97"/>
      <c r="V556" s="97">
        <f t="shared" si="4504"/>
        <v>0</v>
      </c>
      <c r="W556" s="97"/>
      <c r="X556" s="97">
        <f t="shared" si="4505"/>
        <v>0</v>
      </c>
      <c r="Y556" s="97">
        <f t="shared" si="4506"/>
        <v>0</v>
      </c>
      <c r="Z556" s="97">
        <f t="shared" si="4507"/>
        <v>0</v>
      </c>
      <c r="AA556" s="97"/>
      <c r="AB556" s="97">
        <f t="shared" si="4508"/>
        <v>0</v>
      </c>
      <c r="AC556" s="97"/>
      <c r="AD556" s="97">
        <f t="shared" si="4509"/>
        <v>0</v>
      </c>
      <c r="AE556" s="97"/>
      <c r="AF556" s="97">
        <f>L556*AE556/1000</f>
        <v>0</v>
      </c>
      <c r="AG556" s="97">
        <f t="shared" si="4510"/>
        <v>0</v>
      </c>
      <c r="AH556" s="97">
        <f t="shared" si="4511"/>
        <v>0</v>
      </c>
      <c r="AI556" s="97">
        <f t="shared" si="4512"/>
        <v>0</v>
      </c>
      <c r="AJ556" s="97">
        <f t="shared" si="4513"/>
        <v>0</v>
      </c>
      <c r="AK556" s="97"/>
      <c r="AL556" s="97">
        <f>N556*AK556/1000</f>
        <v>0</v>
      </c>
      <c r="AM556" s="97"/>
      <c r="AN556" s="97">
        <f t="shared" si="4514"/>
        <v>0</v>
      </c>
      <c r="AO556" s="97"/>
      <c r="AP556" s="97">
        <f t="shared" si="4515"/>
        <v>0</v>
      </c>
      <c r="AQ556" s="97">
        <f t="shared" si="4516"/>
        <v>0</v>
      </c>
      <c r="AR556" s="97">
        <f t="shared" si="4517"/>
        <v>0</v>
      </c>
      <c r="AS556" s="97"/>
      <c r="AT556" s="97">
        <f>P556*AS556/1000</f>
        <v>0</v>
      </c>
      <c r="AU556" s="97"/>
      <c r="AV556" s="97">
        <f t="shared" si="4518"/>
        <v>0</v>
      </c>
      <c r="AW556" s="97"/>
      <c r="AX556" s="97">
        <f t="shared" si="4519"/>
        <v>0</v>
      </c>
      <c r="AY556" s="97">
        <f t="shared" si="4520"/>
        <v>0</v>
      </c>
      <c r="AZ556" s="97">
        <f t="shared" si="4521"/>
        <v>0</v>
      </c>
      <c r="BA556" s="97">
        <f t="shared" si="4522"/>
        <v>0</v>
      </c>
      <c r="BB556" s="97">
        <f t="shared" si="4523"/>
        <v>0</v>
      </c>
    </row>
    <row r="557" spans="1:54">
      <c r="A557" s="498">
        <v>393</v>
      </c>
      <c r="B557" s="13"/>
      <c r="C557" s="438"/>
      <c r="D557" s="13"/>
      <c r="E557" s="21" t="s">
        <v>850</v>
      </c>
      <c r="F557" s="46"/>
      <c r="G557" s="46" t="s">
        <v>1105</v>
      </c>
      <c r="H557" s="268" t="s">
        <v>365</v>
      </c>
      <c r="I557" s="55"/>
      <c r="J557" s="163">
        <v>6780</v>
      </c>
      <c r="K557" s="55"/>
      <c r="L557" s="163">
        <v>6780</v>
      </c>
      <c r="M557" s="55"/>
      <c r="N557" s="163">
        <v>6780</v>
      </c>
      <c r="O557" s="55"/>
      <c r="P557" s="163">
        <v>6780</v>
      </c>
      <c r="Q557" s="97">
        <f>SUM(AI557+BA557)</f>
        <v>5.3999999999999999E-2</v>
      </c>
      <c r="R557" s="342">
        <f t="shared" ref="R557" si="4525">SUM(AJ557+BB557)</f>
        <v>0.36612</v>
      </c>
      <c r="S557" s="97"/>
      <c r="T557" s="97">
        <f t="shared" ref="T557" si="4526">J557*S557/1000</f>
        <v>0</v>
      </c>
      <c r="U557" s="97"/>
      <c r="V557" s="97">
        <f t="shared" ref="V557" si="4527">J557*U557/1000</f>
        <v>0</v>
      </c>
      <c r="W557" s="97"/>
      <c r="X557" s="97">
        <f t="shared" ref="X557" si="4528">J557*W557/1000</f>
        <v>0</v>
      </c>
      <c r="Y557" s="97">
        <f t="shared" ref="Y557" si="4529">SUM(S557+U557+W557)</f>
        <v>0</v>
      </c>
      <c r="Z557" s="97">
        <f t="shared" ref="Z557" si="4530">SUM(T557+V557+X557)</f>
        <v>0</v>
      </c>
      <c r="AA557" s="97"/>
      <c r="AB557" s="97">
        <f t="shared" ref="AB557" si="4531">L557*AA557/1000</f>
        <v>0</v>
      </c>
      <c r="AC557" s="97"/>
      <c r="AD557" s="97">
        <f t="shared" ref="AD557" si="4532">L557*AC557/1000</f>
        <v>0</v>
      </c>
      <c r="AE557" s="97"/>
      <c r="AF557" s="97">
        <f>L557*AE557/1000</f>
        <v>0</v>
      </c>
      <c r="AG557" s="97">
        <f t="shared" ref="AG557" si="4533">SUM(AA557+AC557+AE557)</f>
        <v>0</v>
      </c>
      <c r="AH557" s="97">
        <f t="shared" ref="AH557" si="4534">SUM(AB557+AD557+AF557)</f>
        <v>0</v>
      </c>
      <c r="AI557" s="97">
        <f t="shared" ref="AI557" si="4535">SUM(Y557+AG557)</f>
        <v>0</v>
      </c>
      <c r="AJ557" s="97">
        <f t="shared" ref="AJ557" si="4536">SUM(Z557,AH557)</f>
        <v>0</v>
      </c>
      <c r="AK557" s="97">
        <v>2.7E-2</v>
      </c>
      <c r="AL557" s="97">
        <f>N557*AK557/1000</f>
        <v>0.18306</v>
      </c>
      <c r="AM557" s="97"/>
      <c r="AN557" s="97">
        <f t="shared" ref="AN557" si="4537">N557*AM557/1000</f>
        <v>0</v>
      </c>
      <c r="AO557" s="97">
        <v>2.7E-2</v>
      </c>
      <c r="AP557" s="97">
        <f t="shared" ref="AP557" si="4538">N557*AO557/1000</f>
        <v>0.18306</v>
      </c>
      <c r="AQ557" s="97">
        <f t="shared" ref="AQ557" si="4539">SUM(AK557+AM557+AO557)</f>
        <v>5.3999999999999999E-2</v>
      </c>
      <c r="AR557" s="97">
        <f t="shared" ref="AR557" si="4540">SUM(AL557+AN557+AP557)</f>
        <v>0.36612</v>
      </c>
      <c r="AS557" s="97"/>
      <c r="AT557" s="97">
        <f>P557*AS557/1000</f>
        <v>0</v>
      </c>
      <c r="AU557" s="97"/>
      <c r="AV557" s="97">
        <f t="shared" ref="AV557" si="4541">P557*AU557/1000</f>
        <v>0</v>
      </c>
      <c r="AW557" s="97"/>
      <c r="AX557" s="97">
        <f t="shared" ref="AX557" si="4542">P557*AW557/1000</f>
        <v>0</v>
      </c>
      <c r="AY557" s="97">
        <f t="shared" ref="AY557" si="4543">SUM(AS557+AU557+AW557)</f>
        <v>0</v>
      </c>
      <c r="AZ557" s="97">
        <f t="shared" ref="AZ557" si="4544">SUM(AT557+AV557+AX557)</f>
        <v>0</v>
      </c>
      <c r="BA557" s="97">
        <f t="shared" ref="BA557" si="4545">SUM(AQ557+AY557)</f>
        <v>5.3999999999999999E-2</v>
      </c>
      <c r="BB557" s="97">
        <f t="shared" ref="BB557" si="4546">SUM(AR557,AZ557)</f>
        <v>0.36612</v>
      </c>
    </row>
    <row r="558" spans="1:54">
      <c r="A558" s="498">
        <v>394</v>
      </c>
      <c r="B558" s="13"/>
      <c r="C558" s="438"/>
      <c r="D558" s="13"/>
      <c r="E558" s="21" t="s">
        <v>851</v>
      </c>
      <c r="F558" s="46"/>
      <c r="G558" s="46" t="s">
        <v>1105</v>
      </c>
      <c r="H558" s="268" t="s">
        <v>364</v>
      </c>
      <c r="I558" s="55"/>
      <c r="J558" s="163">
        <v>22855</v>
      </c>
      <c r="K558" s="55"/>
      <c r="L558" s="163">
        <v>22855</v>
      </c>
      <c r="M558" s="55"/>
      <c r="N558" s="163">
        <v>22855</v>
      </c>
      <c r="O558" s="55"/>
      <c r="P558" s="163">
        <v>22855</v>
      </c>
      <c r="Q558" s="97">
        <f t="shared" si="4388"/>
        <v>1.3639999999999999</v>
      </c>
      <c r="R558" s="342">
        <f t="shared" si="4389"/>
        <v>31.174220000000002</v>
      </c>
      <c r="S558" s="97">
        <v>5.3999999999999999E-2</v>
      </c>
      <c r="T558" s="97">
        <f t="shared" si="4390"/>
        <v>1.23417</v>
      </c>
      <c r="U558" s="97">
        <v>0.34</v>
      </c>
      <c r="V558" s="97">
        <f t="shared" si="4391"/>
        <v>7.7707000000000006</v>
      </c>
      <c r="W558" s="97">
        <v>3.5999999999999997E-2</v>
      </c>
      <c r="X558" s="97">
        <f t="shared" si="4392"/>
        <v>0.82277999999999996</v>
      </c>
      <c r="Y558" s="97">
        <f t="shared" si="4393"/>
        <v>0.43</v>
      </c>
      <c r="Z558" s="97">
        <f t="shared" si="4394"/>
        <v>9.8276500000000002</v>
      </c>
      <c r="AA558" s="97">
        <v>7.4999999999999997E-2</v>
      </c>
      <c r="AB558" s="97">
        <f t="shared" si="4395"/>
        <v>1.7141249999999999</v>
      </c>
      <c r="AC558" s="97">
        <v>0.26200000000000001</v>
      </c>
      <c r="AD558" s="97">
        <f t="shared" si="4396"/>
        <v>5.9880100000000001</v>
      </c>
      <c r="AE558" s="97">
        <v>1.7999999999999999E-2</v>
      </c>
      <c r="AF558" s="97">
        <f t="shared" si="4412"/>
        <v>0.41138999999999998</v>
      </c>
      <c r="AG558" s="97">
        <f t="shared" si="4397"/>
        <v>0.35500000000000004</v>
      </c>
      <c r="AH558" s="97">
        <f t="shared" si="4398"/>
        <v>8.113525000000001</v>
      </c>
      <c r="AI558" s="97">
        <f t="shared" si="4399"/>
        <v>0.78500000000000003</v>
      </c>
      <c r="AJ558" s="97">
        <f t="shared" si="4400"/>
        <v>17.941175000000001</v>
      </c>
      <c r="AK558" s="97">
        <v>0.23499999999999999</v>
      </c>
      <c r="AL558" s="97">
        <f t="shared" si="4401"/>
        <v>5.3709249999999988</v>
      </c>
      <c r="AM558" s="97">
        <v>8.4000000000000005E-2</v>
      </c>
      <c r="AN558" s="97">
        <f t="shared" si="4402"/>
        <v>1.9198200000000001</v>
      </c>
      <c r="AO558" s="97">
        <v>0.1</v>
      </c>
      <c r="AP558" s="97">
        <f t="shared" si="4403"/>
        <v>2.2854999999999999</v>
      </c>
      <c r="AQ558" s="97">
        <f t="shared" si="4404"/>
        <v>0.41900000000000004</v>
      </c>
      <c r="AR558" s="97">
        <f t="shared" si="4405"/>
        <v>9.5762450000000001</v>
      </c>
      <c r="AS558" s="97">
        <v>5.3999999999999999E-2</v>
      </c>
      <c r="AT558" s="97">
        <f t="shared" si="4413"/>
        <v>1.23417</v>
      </c>
      <c r="AU558" s="97">
        <v>8.7999999999999995E-2</v>
      </c>
      <c r="AV558" s="97">
        <f t="shared" si="4406"/>
        <v>2.0112399999999999</v>
      </c>
      <c r="AW558" s="97">
        <v>1.7999999999999999E-2</v>
      </c>
      <c r="AX558" s="97">
        <f t="shared" si="4407"/>
        <v>0.41138999999999998</v>
      </c>
      <c r="AY558" s="97">
        <f t="shared" si="4408"/>
        <v>0.15999999999999998</v>
      </c>
      <c r="AZ558" s="97">
        <f t="shared" si="4409"/>
        <v>3.6567999999999996</v>
      </c>
      <c r="BA558" s="97">
        <f t="shared" si="4410"/>
        <v>0.57899999999999996</v>
      </c>
      <c r="BB558" s="97">
        <f t="shared" si="4411"/>
        <v>13.233045000000001</v>
      </c>
    </row>
    <row r="559" spans="1:54">
      <c r="A559" s="498">
        <v>395</v>
      </c>
      <c r="B559" s="13"/>
      <c r="C559" s="438"/>
      <c r="D559" s="13"/>
      <c r="E559" s="21" t="s">
        <v>570</v>
      </c>
      <c r="F559" s="46"/>
      <c r="G559" s="46" t="s">
        <v>1105</v>
      </c>
      <c r="H559" s="268" t="s">
        <v>368</v>
      </c>
      <c r="I559" s="55"/>
      <c r="J559" s="163">
        <v>21712</v>
      </c>
      <c r="K559" s="55"/>
      <c r="L559" s="163">
        <v>21712</v>
      </c>
      <c r="M559" s="55"/>
      <c r="N559" s="163">
        <v>21712</v>
      </c>
      <c r="O559" s="55"/>
      <c r="P559" s="163">
        <v>21712</v>
      </c>
      <c r="Q559" s="97">
        <f>SUM(AI559+BA559)</f>
        <v>0</v>
      </c>
      <c r="R559" s="342">
        <f t="shared" si="4389"/>
        <v>0</v>
      </c>
      <c r="S559" s="97"/>
      <c r="T559" s="97">
        <f>J559*S559/1000</f>
        <v>0</v>
      </c>
      <c r="U559" s="97"/>
      <c r="V559" s="97">
        <f>J559*U559/1000</f>
        <v>0</v>
      </c>
      <c r="W559" s="97"/>
      <c r="X559" s="97">
        <f>J559*W559/1000</f>
        <v>0</v>
      </c>
      <c r="Y559" s="97">
        <f t="shared" si="4393"/>
        <v>0</v>
      </c>
      <c r="Z559" s="97">
        <f t="shared" si="4394"/>
        <v>0</v>
      </c>
      <c r="AA559" s="97"/>
      <c r="AB559" s="97">
        <f>L559*AA559/1000</f>
        <v>0</v>
      </c>
      <c r="AC559" s="97"/>
      <c r="AD559" s="97">
        <f>L559*AC559/1000</f>
        <v>0</v>
      </c>
      <c r="AE559" s="97"/>
      <c r="AF559" s="97">
        <f t="shared" si="4412"/>
        <v>0</v>
      </c>
      <c r="AG559" s="97">
        <f t="shared" si="4397"/>
        <v>0</v>
      </c>
      <c r="AH559" s="97">
        <f t="shared" si="4398"/>
        <v>0</v>
      </c>
      <c r="AI559" s="97">
        <f t="shared" si="4399"/>
        <v>0</v>
      </c>
      <c r="AJ559" s="97">
        <f t="shared" si="4400"/>
        <v>0</v>
      </c>
      <c r="AK559" s="97"/>
      <c r="AL559" s="97">
        <f t="shared" si="4401"/>
        <v>0</v>
      </c>
      <c r="AM559" s="97"/>
      <c r="AN559" s="97">
        <f t="shared" si="4402"/>
        <v>0</v>
      </c>
      <c r="AO559" s="97"/>
      <c r="AP559" s="97">
        <f t="shared" si="4403"/>
        <v>0</v>
      </c>
      <c r="AQ559" s="97">
        <f t="shared" si="4404"/>
        <v>0</v>
      </c>
      <c r="AR559" s="97">
        <f t="shared" si="4405"/>
        <v>0</v>
      </c>
      <c r="AS559" s="97"/>
      <c r="AT559" s="97">
        <f t="shared" si="4413"/>
        <v>0</v>
      </c>
      <c r="AU559" s="97"/>
      <c r="AV559" s="97">
        <f t="shared" si="4406"/>
        <v>0</v>
      </c>
      <c r="AW559" s="97"/>
      <c r="AX559" s="97">
        <f t="shared" si="4407"/>
        <v>0</v>
      </c>
      <c r="AY559" s="97">
        <f>SUM(AS559+AU559+AW559)</f>
        <v>0</v>
      </c>
      <c r="AZ559" s="97">
        <f>SUM(AT559+AV559+AX559)</f>
        <v>0</v>
      </c>
      <c r="BA559" s="97">
        <f t="shared" si="4410"/>
        <v>0</v>
      </c>
      <c r="BB559" s="97">
        <f t="shared" si="4411"/>
        <v>0</v>
      </c>
    </row>
    <row r="560" spans="1:54">
      <c r="A560" s="498">
        <v>396</v>
      </c>
      <c r="B560" s="13"/>
      <c r="C560" s="438"/>
      <c r="D560" s="13"/>
      <c r="E560" s="21" t="s">
        <v>603</v>
      </c>
      <c r="F560" s="46"/>
      <c r="G560" s="46" t="s">
        <v>1105</v>
      </c>
      <c r="H560" s="268" t="s">
        <v>364</v>
      </c>
      <c r="I560" s="55"/>
      <c r="J560" s="163">
        <v>21525</v>
      </c>
      <c r="K560" s="55"/>
      <c r="L560" s="163">
        <v>21525</v>
      </c>
      <c r="M560" s="55"/>
      <c r="N560" s="163">
        <v>21525</v>
      </c>
      <c r="O560" s="55"/>
      <c r="P560" s="163">
        <v>21525</v>
      </c>
      <c r="Q560" s="97">
        <f t="shared" si="4388"/>
        <v>0</v>
      </c>
      <c r="R560" s="342">
        <f t="shared" si="4389"/>
        <v>0</v>
      </c>
      <c r="S560" s="97"/>
      <c r="T560" s="97">
        <f t="shared" si="4390"/>
        <v>0</v>
      </c>
      <c r="U560" s="97"/>
      <c r="V560" s="97">
        <f t="shared" si="4391"/>
        <v>0</v>
      </c>
      <c r="W560" s="97"/>
      <c r="X560" s="97">
        <f t="shared" si="4392"/>
        <v>0</v>
      </c>
      <c r="Y560" s="97">
        <f t="shared" si="4393"/>
        <v>0</v>
      </c>
      <c r="Z560" s="97">
        <f t="shared" si="4394"/>
        <v>0</v>
      </c>
      <c r="AA560" s="97"/>
      <c r="AB560" s="97">
        <f t="shared" si="4395"/>
        <v>0</v>
      </c>
      <c r="AC560" s="97"/>
      <c r="AD560" s="97">
        <f t="shared" si="4396"/>
        <v>0</v>
      </c>
      <c r="AE560" s="97"/>
      <c r="AF560" s="97">
        <f t="shared" si="4412"/>
        <v>0</v>
      </c>
      <c r="AG560" s="97">
        <f t="shared" si="4397"/>
        <v>0</v>
      </c>
      <c r="AH560" s="97">
        <f t="shared" si="4398"/>
        <v>0</v>
      </c>
      <c r="AI560" s="97">
        <f t="shared" si="4399"/>
        <v>0</v>
      </c>
      <c r="AJ560" s="97">
        <f t="shared" si="4400"/>
        <v>0</v>
      </c>
      <c r="AK560" s="97"/>
      <c r="AL560" s="97">
        <f t="shared" si="4401"/>
        <v>0</v>
      </c>
      <c r="AM560" s="97"/>
      <c r="AN560" s="97">
        <f t="shared" si="4402"/>
        <v>0</v>
      </c>
      <c r="AO560" s="97"/>
      <c r="AP560" s="97">
        <f t="shared" si="4403"/>
        <v>0</v>
      </c>
      <c r="AQ560" s="97">
        <f t="shared" si="4404"/>
        <v>0</v>
      </c>
      <c r="AR560" s="97">
        <f t="shared" si="4405"/>
        <v>0</v>
      </c>
      <c r="AS560" s="97"/>
      <c r="AT560" s="97">
        <f t="shared" si="4413"/>
        <v>0</v>
      </c>
      <c r="AU560" s="97"/>
      <c r="AV560" s="97">
        <f t="shared" si="4406"/>
        <v>0</v>
      </c>
      <c r="AW560" s="97"/>
      <c r="AX560" s="97">
        <f t="shared" si="4407"/>
        <v>0</v>
      </c>
      <c r="AY560" s="97">
        <f t="shared" si="4408"/>
        <v>0</v>
      </c>
      <c r="AZ560" s="97">
        <f t="shared" si="4409"/>
        <v>0</v>
      </c>
      <c r="BA560" s="97">
        <f t="shared" si="4410"/>
        <v>0</v>
      </c>
      <c r="BB560" s="97">
        <f t="shared" si="4411"/>
        <v>0</v>
      </c>
    </row>
    <row r="561" spans="1:54" ht="12" customHeight="1">
      <c r="A561" s="498">
        <v>397</v>
      </c>
      <c r="B561" s="13"/>
      <c r="C561" s="438"/>
      <c r="D561" s="13"/>
      <c r="E561" s="21" t="s">
        <v>604</v>
      </c>
      <c r="F561" s="46"/>
      <c r="G561" s="46" t="s">
        <v>1105</v>
      </c>
      <c r="H561" s="268" t="s">
        <v>364</v>
      </c>
      <c r="I561" s="55"/>
      <c r="J561" s="163">
        <v>21884</v>
      </c>
      <c r="K561" s="55"/>
      <c r="L561" s="163">
        <v>21884</v>
      </c>
      <c r="M561" s="55"/>
      <c r="N561" s="163">
        <v>21884</v>
      </c>
      <c r="O561" s="55"/>
      <c r="P561" s="163">
        <v>21884</v>
      </c>
      <c r="Q561" s="97">
        <f>SUM(AI561+BA561)</f>
        <v>0</v>
      </c>
      <c r="R561" s="342">
        <f>SUM(AJ561+BB561)</f>
        <v>0</v>
      </c>
      <c r="S561" s="97"/>
      <c r="T561" s="97">
        <f t="shared" ref="T561:T568" si="4547">J561*S561/1000</f>
        <v>0</v>
      </c>
      <c r="U561" s="97"/>
      <c r="V561" s="97">
        <f t="shared" ref="V561:V568" si="4548">J561*U561/1000</f>
        <v>0</v>
      </c>
      <c r="W561" s="97"/>
      <c r="X561" s="97">
        <f t="shared" ref="X561:X568" si="4549">J561*W561/1000</f>
        <v>0</v>
      </c>
      <c r="Y561" s="97">
        <f t="shared" ref="Y561:Y564" si="4550">SUM(S561+U561+W561)</f>
        <v>0</v>
      </c>
      <c r="Z561" s="97">
        <f t="shared" ref="Z561:Z564" si="4551">SUM(T561+V561+X561)</f>
        <v>0</v>
      </c>
      <c r="AA561" s="97"/>
      <c r="AB561" s="97">
        <f t="shared" ref="AB561:AB568" si="4552">L561*AA561/1000</f>
        <v>0</v>
      </c>
      <c r="AC561" s="97"/>
      <c r="AD561" s="97">
        <f t="shared" ref="AD561:AD566" si="4553">L561*AC561/1000</f>
        <v>0</v>
      </c>
      <c r="AE561" s="97"/>
      <c r="AF561" s="97">
        <f t="shared" ref="AF561:AF568" si="4554">L561*AE561/1000</f>
        <v>0</v>
      </c>
      <c r="AG561" s="97">
        <f t="shared" ref="AG561:AG564" si="4555">SUM(AA561+AC561+AE561)</f>
        <v>0</v>
      </c>
      <c r="AH561" s="97">
        <f t="shared" ref="AH561:AH564" si="4556">SUM(AB561+AD561+AF561)</f>
        <v>0</v>
      </c>
      <c r="AI561" s="97">
        <f t="shared" ref="AI561:AI568" si="4557">SUM(Y561+AG561)</f>
        <v>0</v>
      </c>
      <c r="AJ561" s="97">
        <f t="shared" ref="AJ561:AJ568" si="4558">SUM(Z561,AH561)</f>
        <v>0</v>
      </c>
      <c r="AK561" s="97"/>
      <c r="AL561" s="97">
        <f t="shared" ref="AL561:AL568" si="4559">N561*AK561/1000</f>
        <v>0</v>
      </c>
      <c r="AM561" s="97"/>
      <c r="AN561" s="97">
        <f t="shared" ref="AN561:AN568" si="4560">N561*AM561/1000</f>
        <v>0</v>
      </c>
      <c r="AO561" s="97"/>
      <c r="AP561" s="97">
        <f t="shared" ref="AP561:AP568" si="4561">N561*AO561/1000</f>
        <v>0</v>
      </c>
      <c r="AQ561" s="97">
        <f t="shared" ref="AQ561:AQ564" si="4562">SUM(AK561+AM561+AO561)</f>
        <v>0</v>
      </c>
      <c r="AR561" s="97">
        <f t="shared" ref="AR561:AR564" si="4563">SUM(AL561+AN561+AP561)</f>
        <v>0</v>
      </c>
      <c r="AS561" s="97"/>
      <c r="AT561" s="97">
        <f t="shared" ref="AT561:AT568" si="4564">P561*AS561/1000</f>
        <v>0</v>
      </c>
      <c r="AU561" s="97"/>
      <c r="AV561" s="97">
        <f t="shared" ref="AV561:AV568" si="4565">P561*AU561/1000</f>
        <v>0</v>
      </c>
      <c r="AW561" s="97"/>
      <c r="AX561" s="97">
        <f t="shared" ref="AX561:AX568" si="4566">P561*AW561/1000</f>
        <v>0</v>
      </c>
      <c r="AY561" s="97">
        <f t="shared" ref="AY561:AY564" si="4567">SUM(AS561+AU561+AW561)</f>
        <v>0</v>
      </c>
      <c r="AZ561" s="97">
        <f t="shared" ref="AZ561:AZ564" si="4568">SUM(AT561+AV561+AX561)</f>
        <v>0</v>
      </c>
      <c r="BA561" s="97">
        <f t="shared" ref="BA561:BA568" si="4569">SUM(AQ561+AY561)</f>
        <v>0</v>
      </c>
      <c r="BB561" s="97">
        <f t="shared" ref="BB561:BB568" si="4570">SUM(AR561,AZ561)</f>
        <v>0</v>
      </c>
    </row>
    <row r="562" spans="1:54">
      <c r="A562" s="498">
        <v>398</v>
      </c>
      <c r="B562" s="13"/>
      <c r="C562" s="438"/>
      <c r="D562" s="13"/>
      <c r="E562" s="21" t="s">
        <v>886</v>
      </c>
      <c r="F562" s="46"/>
      <c r="G562" s="46" t="s">
        <v>1105</v>
      </c>
      <c r="H562" s="268" t="s">
        <v>364</v>
      </c>
      <c r="I562" s="55"/>
      <c r="J562" s="163">
        <v>24196</v>
      </c>
      <c r="K562" s="55"/>
      <c r="L562" s="163">
        <v>24196</v>
      </c>
      <c r="M562" s="55"/>
      <c r="N562" s="163">
        <v>24196</v>
      </c>
      <c r="O562" s="55"/>
      <c r="P562" s="163">
        <v>24196</v>
      </c>
      <c r="Q562" s="97">
        <f t="shared" ref="Q562" si="4571">SUM(AI562+BA562)</f>
        <v>10.826999999999998</v>
      </c>
      <c r="R562" s="342">
        <f t="shared" ref="R562" si="4572">SUM(AJ562+BB562)</f>
        <v>261.97009200000002</v>
      </c>
      <c r="S562" s="97">
        <v>0.85799999999999998</v>
      </c>
      <c r="T562" s="97">
        <f t="shared" si="4547"/>
        <v>20.760167999999997</v>
      </c>
      <c r="U562" s="97">
        <v>1E-3</v>
      </c>
      <c r="V562" s="97">
        <f t="shared" si="4548"/>
        <v>2.4196000000000002E-2</v>
      </c>
      <c r="W562" s="97">
        <v>2.4750000000000001</v>
      </c>
      <c r="X562" s="97">
        <f t="shared" si="4549"/>
        <v>59.885100000000001</v>
      </c>
      <c r="Y562" s="97">
        <f t="shared" si="4550"/>
        <v>3.3340000000000001</v>
      </c>
      <c r="Z562" s="97">
        <f t="shared" si="4551"/>
        <v>80.669464000000005</v>
      </c>
      <c r="AA562" s="97">
        <v>1.387</v>
      </c>
      <c r="AB562" s="97">
        <f t="shared" si="4552"/>
        <v>33.559851999999999</v>
      </c>
      <c r="AC562" s="97">
        <v>0.71</v>
      </c>
      <c r="AD562" s="97">
        <f t="shared" si="4553"/>
        <v>17.17916</v>
      </c>
      <c r="AE562" s="97">
        <v>1.788</v>
      </c>
      <c r="AF562" s="97">
        <f t="shared" si="4554"/>
        <v>43.262448000000006</v>
      </c>
      <c r="AG562" s="97">
        <f t="shared" si="4555"/>
        <v>3.8849999999999998</v>
      </c>
      <c r="AH562" s="97">
        <f t="shared" si="4556"/>
        <v>94.001460000000009</v>
      </c>
      <c r="AI562" s="97">
        <f t="shared" si="4557"/>
        <v>7.2189999999999994</v>
      </c>
      <c r="AJ562" s="97">
        <f t="shared" si="4558"/>
        <v>174.67092400000001</v>
      </c>
      <c r="AK562" s="97">
        <v>3.1E-2</v>
      </c>
      <c r="AL562" s="97">
        <f t="shared" si="4559"/>
        <v>0.75007600000000008</v>
      </c>
      <c r="AM562" s="97">
        <v>0.22700000000000001</v>
      </c>
      <c r="AN562" s="97">
        <f t="shared" si="4560"/>
        <v>5.4924920000000004</v>
      </c>
      <c r="AO562" s="97">
        <v>0.49099999999999999</v>
      </c>
      <c r="AP562" s="97">
        <f t="shared" si="4561"/>
        <v>11.880235999999998</v>
      </c>
      <c r="AQ562" s="97">
        <f t="shared" si="4562"/>
        <v>0.749</v>
      </c>
      <c r="AR562" s="97">
        <f t="shared" si="4563"/>
        <v>18.122803999999999</v>
      </c>
      <c r="AS562" s="97">
        <v>1.4239999999999999</v>
      </c>
      <c r="AT562" s="97">
        <f t="shared" si="4564"/>
        <v>34.455103999999999</v>
      </c>
      <c r="AU562" s="97">
        <v>1.0349999999999999</v>
      </c>
      <c r="AV562" s="97">
        <f t="shared" si="4565"/>
        <v>25.042859999999997</v>
      </c>
      <c r="AW562" s="97">
        <v>0.4</v>
      </c>
      <c r="AX562" s="97">
        <f t="shared" si="4566"/>
        <v>9.6783999999999999</v>
      </c>
      <c r="AY562" s="97">
        <f t="shared" si="4567"/>
        <v>2.8589999999999995</v>
      </c>
      <c r="AZ562" s="97">
        <f t="shared" si="4568"/>
        <v>69.176363999999992</v>
      </c>
      <c r="BA562" s="97">
        <f t="shared" si="4569"/>
        <v>3.6079999999999997</v>
      </c>
      <c r="BB562" s="97">
        <f t="shared" si="4570"/>
        <v>87.299167999999995</v>
      </c>
    </row>
    <row r="563" spans="1:54">
      <c r="A563" s="498">
        <v>399</v>
      </c>
      <c r="B563" s="13"/>
      <c r="C563" s="438"/>
      <c r="D563" s="13"/>
      <c r="E563" s="21" t="s">
        <v>935</v>
      </c>
      <c r="F563" s="46"/>
      <c r="G563" s="46" t="s">
        <v>1105</v>
      </c>
      <c r="H563" s="268" t="s">
        <v>364</v>
      </c>
      <c r="I563" s="55"/>
      <c r="J563" s="163">
        <v>23040</v>
      </c>
      <c r="K563" s="55"/>
      <c r="L563" s="163">
        <v>23040</v>
      </c>
      <c r="M563" s="55"/>
      <c r="N563" s="163">
        <v>23040</v>
      </c>
      <c r="O563" s="55"/>
      <c r="P563" s="163">
        <v>23040</v>
      </c>
      <c r="Q563" s="97">
        <f t="shared" ref="Q563" si="4573">SUM(AI563+BA563)</f>
        <v>2.8380000000000001</v>
      </c>
      <c r="R563" s="342">
        <f t="shared" ref="R563" si="4574">SUM(AJ563+BB563)</f>
        <v>65.387519999999995</v>
      </c>
      <c r="S563" s="97">
        <v>0.128</v>
      </c>
      <c r="T563" s="97">
        <f t="shared" si="4547"/>
        <v>2.9491199999999997</v>
      </c>
      <c r="U563" s="97">
        <v>0.10199999999999999</v>
      </c>
      <c r="V563" s="97">
        <f t="shared" si="4548"/>
        <v>2.3500799999999997</v>
      </c>
      <c r="W563" s="97">
        <v>0.13</v>
      </c>
      <c r="X563" s="97">
        <f t="shared" si="4549"/>
        <v>2.9952000000000001</v>
      </c>
      <c r="Y563" s="97">
        <f t="shared" si="4550"/>
        <v>0.36</v>
      </c>
      <c r="Z563" s="97">
        <f t="shared" si="4551"/>
        <v>8.2943999999999996</v>
      </c>
      <c r="AA563" s="97">
        <v>7.0000000000000007E-2</v>
      </c>
      <c r="AB563" s="97">
        <f t="shared" si="4552"/>
        <v>1.6128000000000002</v>
      </c>
      <c r="AC563" s="97">
        <v>0.375</v>
      </c>
      <c r="AD563" s="97">
        <f t="shared" si="4553"/>
        <v>8.64</v>
      </c>
      <c r="AE563" s="97">
        <v>0.24</v>
      </c>
      <c r="AF563" s="97">
        <f t="shared" si="4554"/>
        <v>5.5295999999999994</v>
      </c>
      <c r="AG563" s="97">
        <f t="shared" si="4555"/>
        <v>0.68500000000000005</v>
      </c>
      <c r="AH563" s="97">
        <f t="shared" si="4556"/>
        <v>15.782399999999999</v>
      </c>
      <c r="AI563" s="97">
        <f t="shared" si="4557"/>
        <v>1.0449999999999999</v>
      </c>
      <c r="AJ563" s="97">
        <f t="shared" si="4558"/>
        <v>24.076799999999999</v>
      </c>
      <c r="AK563" s="97">
        <v>0.28000000000000003</v>
      </c>
      <c r="AL563" s="97">
        <f t="shared" si="4559"/>
        <v>6.4512000000000009</v>
      </c>
      <c r="AM563" s="97">
        <v>7.0000000000000007E-2</v>
      </c>
      <c r="AN563" s="97">
        <f t="shared" si="4560"/>
        <v>1.6128000000000002</v>
      </c>
      <c r="AO563" s="97">
        <v>0.65</v>
      </c>
      <c r="AP563" s="97">
        <f t="shared" si="4561"/>
        <v>14.976000000000001</v>
      </c>
      <c r="AQ563" s="97">
        <f t="shared" si="4562"/>
        <v>1</v>
      </c>
      <c r="AR563" s="97">
        <f t="shared" si="4563"/>
        <v>23.040000000000003</v>
      </c>
      <c r="AS563" s="97">
        <v>0.41</v>
      </c>
      <c r="AT563" s="97">
        <f t="shared" si="4564"/>
        <v>9.4463999999999988</v>
      </c>
      <c r="AU563" s="97">
        <v>0.218</v>
      </c>
      <c r="AV563" s="97">
        <f t="shared" si="4565"/>
        <v>5.0227200000000005</v>
      </c>
      <c r="AW563" s="97">
        <v>0.16500000000000001</v>
      </c>
      <c r="AX563" s="97">
        <f t="shared" si="4566"/>
        <v>3.8016000000000005</v>
      </c>
      <c r="AY563" s="97">
        <f t="shared" si="4567"/>
        <v>0.79300000000000004</v>
      </c>
      <c r="AZ563" s="97">
        <f t="shared" si="4568"/>
        <v>18.270720000000001</v>
      </c>
      <c r="BA563" s="97">
        <f t="shared" si="4569"/>
        <v>1.7930000000000001</v>
      </c>
      <c r="BB563" s="97">
        <f t="shared" si="4570"/>
        <v>41.310720000000003</v>
      </c>
    </row>
    <row r="564" spans="1:54">
      <c r="A564" s="498">
        <v>401</v>
      </c>
      <c r="B564" s="13"/>
      <c r="C564" s="438"/>
      <c r="D564" s="13"/>
      <c r="E564" s="63" t="s">
        <v>1008</v>
      </c>
      <c r="F564" s="425"/>
      <c r="G564" s="46" t="s">
        <v>1105</v>
      </c>
      <c r="H564" s="268" t="s">
        <v>364</v>
      </c>
      <c r="I564" s="67"/>
      <c r="J564" s="166">
        <v>22516</v>
      </c>
      <c r="K564" s="67"/>
      <c r="L564" s="166">
        <v>22516</v>
      </c>
      <c r="M564" s="67"/>
      <c r="N564" s="166">
        <v>22516</v>
      </c>
      <c r="O564" s="67"/>
      <c r="P564" s="166">
        <v>22516</v>
      </c>
      <c r="Q564" s="129">
        <f t="shared" ref="Q564:Q566" si="4575">SUM(AI564+BA564)</f>
        <v>0.18</v>
      </c>
      <c r="R564" s="350">
        <f t="shared" ref="R564:R568" si="4576">SUM(AJ564+BB564)</f>
        <v>4.05288</v>
      </c>
      <c r="S564" s="129"/>
      <c r="T564" s="129">
        <f t="shared" si="4547"/>
        <v>0</v>
      </c>
      <c r="U564" s="129"/>
      <c r="V564" s="129">
        <f t="shared" si="4548"/>
        <v>0</v>
      </c>
      <c r="W564" s="129"/>
      <c r="X564" s="129">
        <f t="shared" si="4549"/>
        <v>0</v>
      </c>
      <c r="Y564" s="129">
        <f t="shared" si="4550"/>
        <v>0</v>
      </c>
      <c r="Z564" s="129">
        <f t="shared" si="4551"/>
        <v>0</v>
      </c>
      <c r="AA564" s="129"/>
      <c r="AB564" s="129">
        <f t="shared" si="4552"/>
        <v>0</v>
      </c>
      <c r="AC564" s="129"/>
      <c r="AD564" s="129">
        <f t="shared" si="4553"/>
        <v>0</v>
      </c>
      <c r="AE564" s="129"/>
      <c r="AF564" s="129">
        <f t="shared" si="4554"/>
        <v>0</v>
      </c>
      <c r="AG564" s="129">
        <f t="shared" si="4555"/>
        <v>0</v>
      </c>
      <c r="AH564" s="129">
        <f t="shared" si="4556"/>
        <v>0</v>
      </c>
      <c r="AI564" s="129">
        <f t="shared" si="4557"/>
        <v>0</v>
      </c>
      <c r="AJ564" s="129">
        <f t="shared" si="4558"/>
        <v>0</v>
      </c>
      <c r="AK564" s="129"/>
      <c r="AL564" s="129">
        <f t="shared" si="4559"/>
        <v>0</v>
      </c>
      <c r="AM564" s="129">
        <v>0.18</v>
      </c>
      <c r="AN564" s="129">
        <f t="shared" si="4560"/>
        <v>4.05288</v>
      </c>
      <c r="AO564" s="129"/>
      <c r="AP564" s="129">
        <f t="shared" si="4561"/>
        <v>0</v>
      </c>
      <c r="AQ564" s="129">
        <f t="shared" si="4562"/>
        <v>0.18</v>
      </c>
      <c r="AR564" s="129">
        <f t="shared" si="4563"/>
        <v>4.05288</v>
      </c>
      <c r="AS564" s="129"/>
      <c r="AT564" s="129">
        <f t="shared" si="4564"/>
        <v>0</v>
      </c>
      <c r="AU564" s="129"/>
      <c r="AV564" s="129">
        <f t="shared" si="4565"/>
        <v>0</v>
      </c>
      <c r="AW564" s="129"/>
      <c r="AX564" s="129">
        <f t="shared" si="4566"/>
        <v>0</v>
      </c>
      <c r="AY564" s="129">
        <f t="shared" si="4567"/>
        <v>0</v>
      </c>
      <c r="AZ564" s="129">
        <f t="shared" si="4568"/>
        <v>0</v>
      </c>
      <c r="BA564" s="129">
        <f t="shared" si="4569"/>
        <v>0.18</v>
      </c>
      <c r="BB564" s="129">
        <f t="shared" si="4570"/>
        <v>4.05288</v>
      </c>
    </row>
    <row r="565" spans="1:54">
      <c r="A565" s="498">
        <v>403</v>
      </c>
      <c r="B565" s="13"/>
      <c r="C565" s="13"/>
      <c r="D565" s="13"/>
      <c r="E565" s="21" t="s">
        <v>1173</v>
      </c>
      <c r="F565" s="46"/>
      <c r="G565" s="46" t="s">
        <v>1105</v>
      </c>
      <c r="H565" s="268" t="s">
        <v>364</v>
      </c>
      <c r="I565" s="55"/>
      <c r="J565" s="163">
        <v>25972</v>
      </c>
      <c r="K565" s="55"/>
      <c r="L565" s="163">
        <v>25972</v>
      </c>
      <c r="M565" s="55"/>
      <c r="N565" s="163">
        <v>25972</v>
      </c>
      <c r="O565" s="55"/>
      <c r="P565" s="163">
        <v>25972</v>
      </c>
      <c r="Q565" s="97">
        <f t="shared" si="4575"/>
        <v>3.1110000000000002</v>
      </c>
      <c r="R565" s="342">
        <f t="shared" si="4576"/>
        <v>80.798892000000009</v>
      </c>
      <c r="S565" s="97">
        <v>0.54500000000000004</v>
      </c>
      <c r="T565" s="97">
        <f t="shared" si="4547"/>
        <v>14.154740000000002</v>
      </c>
      <c r="U565" s="97">
        <v>0.79100000000000004</v>
      </c>
      <c r="V565" s="97">
        <f t="shared" si="4548"/>
        <v>20.543852000000001</v>
      </c>
      <c r="W565" s="97">
        <v>0.05</v>
      </c>
      <c r="X565" s="97">
        <f t="shared" si="4549"/>
        <v>1.2986000000000002</v>
      </c>
      <c r="Y565" s="97">
        <f t="shared" ref="Y565:Y567" si="4577">SUM(S565+U565+W565)</f>
        <v>1.3860000000000001</v>
      </c>
      <c r="Z565" s="97">
        <f t="shared" ref="Z565:Z567" si="4578">SUM(T565+V565+X565)</f>
        <v>35.997192000000005</v>
      </c>
      <c r="AA565" s="97">
        <v>0.39300000000000002</v>
      </c>
      <c r="AB565" s="97">
        <f t="shared" si="4552"/>
        <v>10.206996</v>
      </c>
      <c r="AC565" s="97">
        <v>0.28599999999999998</v>
      </c>
      <c r="AD565" s="97">
        <f t="shared" si="4553"/>
        <v>7.4279919999999997</v>
      </c>
      <c r="AE565" s="97">
        <v>0.15</v>
      </c>
      <c r="AF565" s="97">
        <f t="shared" si="4554"/>
        <v>3.8957999999999999</v>
      </c>
      <c r="AG565" s="97">
        <f>SUM(AA565+AC565+AE565)</f>
        <v>0.82900000000000007</v>
      </c>
      <c r="AH565" s="97">
        <f>SUM(AB565+AD565+AF565)</f>
        <v>21.530788000000001</v>
      </c>
      <c r="AI565" s="97">
        <f t="shared" si="4557"/>
        <v>2.2150000000000003</v>
      </c>
      <c r="AJ565" s="97">
        <f t="shared" si="4558"/>
        <v>57.527980000000007</v>
      </c>
      <c r="AK565" s="97">
        <v>0.13</v>
      </c>
      <c r="AL565" s="97">
        <f t="shared" si="4559"/>
        <v>3.37636</v>
      </c>
      <c r="AM565" s="97">
        <v>0.12</v>
      </c>
      <c r="AN565" s="97">
        <f t="shared" si="4560"/>
        <v>3.1166399999999999</v>
      </c>
      <c r="AO565" s="97">
        <v>0.2</v>
      </c>
      <c r="AP565" s="97">
        <f t="shared" si="4561"/>
        <v>5.1944000000000008</v>
      </c>
      <c r="AQ565" s="97">
        <f t="shared" ref="AQ565:AQ567" si="4579">SUM(AK565+AM565+AO565)</f>
        <v>0.45</v>
      </c>
      <c r="AR565" s="97">
        <f t="shared" ref="AR565:AR567" si="4580">SUM(AL565+AN565+AP565)</f>
        <v>11.6874</v>
      </c>
      <c r="AS565" s="97"/>
      <c r="AT565" s="97">
        <f t="shared" si="4564"/>
        <v>0</v>
      </c>
      <c r="AU565" s="97">
        <v>0.44600000000000001</v>
      </c>
      <c r="AV565" s="97">
        <f t="shared" si="4565"/>
        <v>11.583512000000001</v>
      </c>
      <c r="AW565" s="97"/>
      <c r="AX565" s="97">
        <f t="shared" si="4566"/>
        <v>0</v>
      </c>
      <c r="AY565" s="97">
        <f t="shared" ref="AY565:AY567" si="4581">SUM(AS565+AU565+AW565)</f>
        <v>0.44600000000000001</v>
      </c>
      <c r="AZ565" s="97">
        <f t="shared" ref="AZ565:AZ567" si="4582">SUM(AT565+AV565+AX565)</f>
        <v>11.583512000000001</v>
      </c>
      <c r="BA565" s="97">
        <f t="shared" si="4569"/>
        <v>0.89600000000000002</v>
      </c>
      <c r="BB565" s="97">
        <f t="shared" si="4570"/>
        <v>23.270912000000003</v>
      </c>
    </row>
    <row r="566" spans="1:54">
      <c r="A566" s="498">
        <v>408</v>
      </c>
      <c r="B566" s="13"/>
      <c r="C566" s="438"/>
      <c r="D566" s="13"/>
      <c r="E566" s="21" t="s">
        <v>1217</v>
      </c>
      <c r="F566" s="46"/>
      <c r="G566" s="46" t="s">
        <v>1105</v>
      </c>
      <c r="H566" s="268" t="s">
        <v>364</v>
      </c>
      <c r="I566" s="55"/>
      <c r="J566" s="163">
        <v>27425</v>
      </c>
      <c r="K566" s="55"/>
      <c r="L566" s="163">
        <v>27425</v>
      </c>
      <c r="M566" s="55"/>
      <c r="N566" s="163">
        <v>27425</v>
      </c>
      <c r="O566" s="55"/>
      <c r="P566" s="163">
        <v>27425</v>
      </c>
      <c r="Q566" s="97">
        <f t="shared" si="4575"/>
        <v>0.94399999999999995</v>
      </c>
      <c r="R566" s="342">
        <f t="shared" si="4576"/>
        <v>25.889200000000002</v>
      </c>
      <c r="S566" s="97">
        <v>0.122</v>
      </c>
      <c r="T566" s="97">
        <f t="shared" si="4547"/>
        <v>3.34585</v>
      </c>
      <c r="U566" s="97">
        <v>2.5000000000000001E-2</v>
      </c>
      <c r="V566" s="97">
        <f t="shared" si="4548"/>
        <v>0.68562500000000004</v>
      </c>
      <c r="W566" s="97">
        <v>1.4E-2</v>
      </c>
      <c r="X566" s="97">
        <f t="shared" si="4549"/>
        <v>0.38395000000000001</v>
      </c>
      <c r="Y566" s="97">
        <f t="shared" si="4577"/>
        <v>0.161</v>
      </c>
      <c r="Z566" s="97">
        <f t="shared" si="4578"/>
        <v>4.4154250000000008</v>
      </c>
      <c r="AA566" s="97">
        <v>1.9E-2</v>
      </c>
      <c r="AB566" s="97">
        <f t="shared" si="4552"/>
        <v>0.52107499999999995</v>
      </c>
      <c r="AC566" s="97">
        <v>9.5000000000000001E-2</v>
      </c>
      <c r="AD566" s="97">
        <f t="shared" si="4553"/>
        <v>2.605375</v>
      </c>
      <c r="AE566" s="97">
        <v>3.5999999999999997E-2</v>
      </c>
      <c r="AF566" s="97">
        <f t="shared" si="4554"/>
        <v>0.98729999999999996</v>
      </c>
      <c r="AG566" s="97">
        <f t="shared" ref="AG566:AG567" si="4583">SUM(AA566+AC566+AE566)</f>
        <v>0.15</v>
      </c>
      <c r="AH566" s="97">
        <f t="shared" ref="AH566:AH567" si="4584">SUM(AB566+AD566+AF566)</f>
        <v>4.1137500000000005</v>
      </c>
      <c r="AI566" s="97">
        <f t="shared" si="4557"/>
        <v>0.311</v>
      </c>
      <c r="AJ566" s="97">
        <f t="shared" si="4558"/>
        <v>8.5291750000000022</v>
      </c>
      <c r="AK566" s="97">
        <v>0.16800000000000001</v>
      </c>
      <c r="AL566" s="97">
        <f t="shared" si="4559"/>
        <v>4.6074000000000002</v>
      </c>
      <c r="AM566" s="97">
        <v>0.224</v>
      </c>
      <c r="AN566" s="97">
        <f t="shared" si="4560"/>
        <v>6.1432000000000002</v>
      </c>
      <c r="AO566" s="97">
        <v>0.08</v>
      </c>
      <c r="AP566" s="97">
        <f t="shared" si="4561"/>
        <v>2.194</v>
      </c>
      <c r="AQ566" s="97">
        <f t="shared" si="4579"/>
        <v>0.47200000000000003</v>
      </c>
      <c r="AR566" s="97">
        <f t="shared" si="4580"/>
        <v>12.944600000000001</v>
      </c>
      <c r="AS566" s="97">
        <v>5.5E-2</v>
      </c>
      <c r="AT566" s="97">
        <f t="shared" si="4564"/>
        <v>1.508375</v>
      </c>
      <c r="AU566" s="97">
        <v>6.5000000000000002E-2</v>
      </c>
      <c r="AV566" s="97">
        <f t="shared" si="4565"/>
        <v>1.7826249999999999</v>
      </c>
      <c r="AW566" s="97">
        <v>4.1000000000000002E-2</v>
      </c>
      <c r="AX566" s="97">
        <f t="shared" si="4566"/>
        <v>1.124425</v>
      </c>
      <c r="AY566" s="97">
        <f t="shared" si="4581"/>
        <v>0.161</v>
      </c>
      <c r="AZ566" s="97">
        <f t="shared" si="4582"/>
        <v>4.4154249999999999</v>
      </c>
      <c r="BA566" s="97">
        <f t="shared" si="4569"/>
        <v>0.63300000000000001</v>
      </c>
      <c r="BB566" s="97">
        <f t="shared" si="4570"/>
        <v>17.360025</v>
      </c>
    </row>
    <row r="567" spans="1:54">
      <c r="A567" s="498">
        <v>409</v>
      </c>
      <c r="B567" s="13"/>
      <c r="C567" s="438"/>
      <c r="D567" s="13"/>
      <c r="E567" s="63" t="s">
        <v>1254</v>
      </c>
      <c r="F567" s="425"/>
      <c r="G567" s="425" t="s">
        <v>1105</v>
      </c>
      <c r="H567" s="268" t="s">
        <v>364</v>
      </c>
      <c r="I567" s="67"/>
      <c r="J567" s="166">
        <v>27375</v>
      </c>
      <c r="K567" s="67"/>
      <c r="L567" s="166">
        <v>27375</v>
      </c>
      <c r="M567" s="67"/>
      <c r="N567" s="166">
        <v>27375</v>
      </c>
      <c r="O567" s="67"/>
      <c r="P567" s="166">
        <v>27375</v>
      </c>
      <c r="Q567" s="129">
        <f>SUM(AI567+BA567)</f>
        <v>0.19800000000000001</v>
      </c>
      <c r="R567" s="350">
        <f t="shared" si="4576"/>
        <v>5.4202499999999993</v>
      </c>
      <c r="S567" s="129">
        <v>6.0000000000000001E-3</v>
      </c>
      <c r="T567" s="129">
        <f t="shared" si="4547"/>
        <v>0.16425000000000001</v>
      </c>
      <c r="U567" s="129">
        <v>1.2999999999999999E-2</v>
      </c>
      <c r="V567" s="129">
        <f t="shared" si="4548"/>
        <v>0.355875</v>
      </c>
      <c r="W567" s="129">
        <v>3.0000000000000001E-3</v>
      </c>
      <c r="X567" s="129">
        <f t="shared" si="4549"/>
        <v>8.2125000000000004E-2</v>
      </c>
      <c r="Y567" s="129">
        <f t="shared" si="4577"/>
        <v>2.1999999999999999E-2</v>
      </c>
      <c r="Z567" s="129">
        <f t="shared" si="4578"/>
        <v>0.60224999999999995</v>
      </c>
      <c r="AA567" s="129"/>
      <c r="AB567" s="129">
        <f t="shared" si="4552"/>
        <v>0</v>
      </c>
      <c r="AC567" s="129">
        <v>8.9999999999999993E-3</v>
      </c>
      <c r="AD567" s="129">
        <f>L567*AC567/1000</f>
        <v>0.24637499999999998</v>
      </c>
      <c r="AE567" s="129">
        <v>1.4E-2</v>
      </c>
      <c r="AF567" s="129">
        <f t="shared" si="4554"/>
        <v>0.38324999999999998</v>
      </c>
      <c r="AG567" s="129">
        <f t="shared" si="4583"/>
        <v>2.3E-2</v>
      </c>
      <c r="AH567" s="129">
        <f t="shared" si="4584"/>
        <v>0.62962499999999999</v>
      </c>
      <c r="AI567" s="129">
        <f t="shared" si="4557"/>
        <v>4.4999999999999998E-2</v>
      </c>
      <c r="AJ567" s="129">
        <f t="shared" si="4558"/>
        <v>1.2318750000000001</v>
      </c>
      <c r="AK567" s="129">
        <v>2.7E-2</v>
      </c>
      <c r="AL567" s="129">
        <f t="shared" si="4559"/>
        <v>0.73912500000000003</v>
      </c>
      <c r="AM567" s="129">
        <v>4.9000000000000002E-2</v>
      </c>
      <c r="AN567" s="129">
        <f t="shared" si="4560"/>
        <v>1.341375</v>
      </c>
      <c r="AO567" s="129">
        <v>5.1999999999999998E-2</v>
      </c>
      <c r="AP567" s="129">
        <f t="shared" si="4561"/>
        <v>1.4235</v>
      </c>
      <c r="AQ567" s="129">
        <f t="shared" si="4579"/>
        <v>0.128</v>
      </c>
      <c r="AR567" s="129">
        <f t="shared" si="4580"/>
        <v>3.5039999999999996</v>
      </c>
      <c r="AS567" s="129">
        <v>1.7999999999999999E-2</v>
      </c>
      <c r="AT567" s="129">
        <f t="shared" si="4564"/>
        <v>0.49274999999999997</v>
      </c>
      <c r="AU567" s="129">
        <v>7.0000000000000001E-3</v>
      </c>
      <c r="AV567" s="129">
        <f t="shared" si="4565"/>
        <v>0.19162499999999999</v>
      </c>
      <c r="AW567" s="129"/>
      <c r="AX567" s="129">
        <f t="shared" si="4566"/>
        <v>0</v>
      </c>
      <c r="AY567" s="129">
        <f t="shared" si="4581"/>
        <v>2.4999999999999998E-2</v>
      </c>
      <c r="AZ567" s="129">
        <f t="shared" si="4582"/>
        <v>0.68437499999999996</v>
      </c>
      <c r="BA567" s="129">
        <f t="shared" si="4569"/>
        <v>0.153</v>
      </c>
      <c r="BB567" s="129">
        <f t="shared" si="4570"/>
        <v>4.1883749999999997</v>
      </c>
    </row>
    <row r="568" spans="1:54">
      <c r="B568" s="13"/>
      <c r="C568" s="13"/>
      <c r="D568" s="13"/>
      <c r="E568" s="21" t="s">
        <v>1255</v>
      </c>
      <c r="F568" s="46"/>
      <c r="G568" s="46" t="s">
        <v>1102</v>
      </c>
      <c r="H568" s="268" t="s">
        <v>364</v>
      </c>
      <c r="I568" s="55"/>
      <c r="J568" s="163">
        <v>25896</v>
      </c>
      <c r="K568" s="55"/>
      <c r="L568" s="163">
        <v>25896</v>
      </c>
      <c r="M568" s="55"/>
      <c r="N568" s="163">
        <v>25896</v>
      </c>
      <c r="O568" s="55"/>
      <c r="P568" s="163">
        <v>25896</v>
      </c>
      <c r="Q568" s="97">
        <f t="shared" ref="Q568" si="4585">SUM(AI568+BA568)</f>
        <v>9.1999999999999998E-2</v>
      </c>
      <c r="R568" s="342">
        <f t="shared" si="4576"/>
        <v>2.3824319999999997</v>
      </c>
      <c r="S568" s="97">
        <v>5.0000000000000001E-3</v>
      </c>
      <c r="T568" s="97">
        <f t="shared" si="4547"/>
        <v>0.12947999999999998</v>
      </c>
      <c r="U568" s="97"/>
      <c r="V568" s="97">
        <f t="shared" si="4548"/>
        <v>0</v>
      </c>
      <c r="W568" s="97"/>
      <c r="X568" s="97">
        <f t="shared" si="4549"/>
        <v>0</v>
      </c>
      <c r="Y568" s="97">
        <f t="shared" ref="Y568" si="4586">SUM(S568+U568+W568)</f>
        <v>5.0000000000000001E-3</v>
      </c>
      <c r="Z568" s="97">
        <f t="shared" ref="Z568" si="4587">SUM(T568+V568+X568)</f>
        <v>0.12947999999999998</v>
      </c>
      <c r="AA568" s="97"/>
      <c r="AB568" s="97">
        <f t="shared" si="4552"/>
        <v>0</v>
      </c>
      <c r="AC568" s="97">
        <v>3.0000000000000001E-3</v>
      </c>
      <c r="AD568" s="97">
        <f t="shared" ref="AD568" si="4588">L568*AC568/1000</f>
        <v>7.7688000000000007E-2</v>
      </c>
      <c r="AE568" s="97"/>
      <c r="AF568" s="97">
        <f t="shared" si="4554"/>
        <v>0</v>
      </c>
      <c r="AG568" s="97">
        <f t="shared" ref="AG568" si="4589">SUM(AA568+AC568+AE568)</f>
        <v>3.0000000000000001E-3</v>
      </c>
      <c r="AH568" s="97">
        <f t="shared" ref="AH568" si="4590">SUM(AB568+AD568+AF568)</f>
        <v>7.7688000000000007E-2</v>
      </c>
      <c r="AI568" s="97">
        <f t="shared" si="4557"/>
        <v>8.0000000000000002E-3</v>
      </c>
      <c r="AJ568" s="97">
        <f t="shared" si="4558"/>
        <v>0.20716799999999999</v>
      </c>
      <c r="AK568" s="97">
        <v>3.0000000000000001E-3</v>
      </c>
      <c r="AL568" s="97">
        <f t="shared" si="4559"/>
        <v>7.7688000000000007E-2</v>
      </c>
      <c r="AM568" s="97">
        <v>1.7000000000000001E-2</v>
      </c>
      <c r="AN568" s="97">
        <f t="shared" si="4560"/>
        <v>0.44023200000000001</v>
      </c>
      <c r="AO568" s="97">
        <v>1.2E-2</v>
      </c>
      <c r="AP568" s="97">
        <f t="shared" si="4561"/>
        <v>0.31075200000000003</v>
      </c>
      <c r="AQ568" s="97">
        <f>SUM(AK568+AM568+AO568)</f>
        <v>3.2000000000000001E-2</v>
      </c>
      <c r="AR568" s="97">
        <f>SUM(AL568+AN568+AP568)</f>
        <v>0.82867200000000008</v>
      </c>
      <c r="AS568" s="97">
        <v>2.5999999999999999E-2</v>
      </c>
      <c r="AT568" s="97">
        <f t="shared" si="4564"/>
        <v>0.67329599999999989</v>
      </c>
      <c r="AU568" s="97">
        <v>1.6E-2</v>
      </c>
      <c r="AV568" s="97">
        <f t="shared" si="4565"/>
        <v>0.41433600000000004</v>
      </c>
      <c r="AW568" s="97">
        <v>0.01</v>
      </c>
      <c r="AX568" s="97">
        <f t="shared" si="4566"/>
        <v>0.25895999999999997</v>
      </c>
      <c r="AY568" s="97">
        <f t="shared" ref="AY568" si="4591">SUM(AS568+AU568+AW568)</f>
        <v>5.1999999999999998E-2</v>
      </c>
      <c r="AZ568" s="97">
        <f t="shared" ref="AZ568" si="4592">SUM(AT568+AV568+AX568)</f>
        <v>1.3465919999999998</v>
      </c>
      <c r="BA568" s="97">
        <f t="shared" si="4569"/>
        <v>8.3999999999999991E-2</v>
      </c>
      <c r="BB568" s="97">
        <f t="shared" si="4570"/>
        <v>2.1752639999999999</v>
      </c>
    </row>
    <row r="569" spans="1:54">
      <c r="A569" s="498">
        <v>408</v>
      </c>
      <c r="B569" s="13"/>
      <c r="C569" s="438"/>
      <c r="D569" s="13"/>
      <c r="E569" s="21" t="s">
        <v>1287</v>
      </c>
      <c r="F569" s="46"/>
      <c r="G569" s="46" t="s">
        <v>1102</v>
      </c>
      <c r="H569" s="268" t="s">
        <v>364</v>
      </c>
      <c r="I569" s="55"/>
      <c r="J569" s="163">
        <v>46070.2</v>
      </c>
      <c r="K569" s="55"/>
      <c r="L569" s="163">
        <v>46070.2</v>
      </c>
      <c r="M569" s="55"/>
      <c r="N569" s="163">
        <v>46070.2</v>
      </c>
      <c r="O569" s="55"/>
      <c r="P569" s="163">
        <v>46070.2</v>
      </c>
      <c r="Q569" s="97">
        <f>SUM(AI569+BA569)</f>
        <v>0</v>
      </c>
      <c r="R569" s="342">
        <f>SUM(AJ569+BB569)</f>
        <v>0</v>
      </c>
      <c r="S569" s="97"/>
      <c r="T569" s="97">
        <f>J569*S569/1000</f>
        <v>0</v>
      </c>
      <c r="U569" s="97"/>
      <c r="V569" s="97">
        <f>J569*U569/1000</f>
        <v>0</v>
      </c>
      <c r="W569" s="97"/>
      <c r="X569" s="97">
        <f>J569*W569/1000</f>
        <v>0</v>
      </c>
      <c r="Y569" s="97">
        <f>SUM(S569+U569+W569)</f>
        <v>0</v>
      </c>
      <c r="Z569" s="97">
        <f>SUM(T569+V569+X569)</f>
        <v>0</v>
      </c>
      <c r="AA569" s="97"/>
      <c r="AB569" s="97">
        <f>L569*AA569/1000</f>
        <v>0</v>
      </c>
      <c r="AC569" s="97"/>
      <c r="AD569" s="97">
        <f>L569*AC569/1000</f>
        <v>0</v>
      </c>
      <c r="AE569" s="97"/>
      <c r="AF569" s="97">
        <f>L569*AE569/1000</f>
        <v>0</v>
      </c>
      <c r="AG569" s="97">
        <f>SUM(AA569+AC569+AE569)</f>
        <v>0</v>
      </c>
      <c r="AH569" s="97">
        <f>SUM(AB569+AD569+AF569)</f>
        <v>0</v>
      </c>
      <c r="AI569" s="97">
        <f>SUM(Y569+AG569)</f>
        <v>0</v>
      </c>
      <c r="AJ569" s="97">
        <f>SUM(Z569,AH569)</f>
        <v>0</v>
      </c>
      <c r="AK569" s="97"/>
      <c r="AL569" s="97">
        <f>N569*AK569/1000</f>
        <v>0</v>
      </c>
      <c r="AM569" s="97"/>
      <c r="AN569" s="97">
        <f>N569*AM569/1000</f>
        <v>0</v>
      </c>
      <c r="AO569" s="97"/>
      <c r="AP569" s="97">
        <f>N569*AO569/1000</f>
        <v>0</v>
      </c>
      <c r="AQ569" s="97">
        <f>SUM(AK569+AM569+AO569)</f>
        <v>0</v>
      </c>
      <c r="AR569" s="97">
        <f>SUM(AL569+AN569+AP569)</f>
        <v>0</v>
      </c>
      <c r="AS569" s="97"/>
      <c r="AT569" s="97">
        <f>P569*AS569/1000</f>
        <v>0</v>
      </c>
      <c r="AU569" s="97"/>
      <c r="AV569" s="97">
        <f>P569*AU569/1000</f>
        <v>0</v>
      </c>
      <c r="AW569" s="97"/>
      <c r="AX569" s="97">
        <f>P569*AW569/1000</f>
        <v>0</v>
      </c>
      <c r="AY569" s="97">
        <f>SUM(AS569+AU569+AW569)</f>
        <v>0</v>
      </c>
      <c r="AZ569" s="97">
        <f>SUM(AT569+AV569+AX569)</f>
        <v>0</v>
      </c>
      <c r="BA569" s="97">
        <f>SUM(AQ569+AY569)</f>
        <v>0</v>
      </c>
      <c r="BB569" s="97">
        <f>SUM(AR569,AZ569)</f>
        <v>0</v>
      </c>
    </row>
    <row r="570" spans="1:54">
      <c r="A570" s="498">
        <v>404</v>
      </c>
      <c r="B570" s="13"/>
      <c r="C570" s="438"/>
      <c r="D570" s="13"/>
      <c r="E570" s="90" t="s">
        <v>1174</v>
      </c>
      <c r="F570" s="430"/>
      <c r="G570" s="430" t="s">
        <v>1105</v>
      </c>
      <c r="H570" s="287" t="s">
        <v>365</v>
      </c>
      <c r="I570" s="76"/>
      <c r="J570" s="168">
        <v>12360</v>
      </c>
      <c r="K570" s="76"/>
      <c r="L570" s="168">
        <v>12360</v>
      </c>
      <c r="M570" s="76"/>
      <c r="N570" s="168">
        <v>12360</v>
      </c>
      <c r="O570" s="76"/>
      <c r="P570" s="168">
        <v>12360</v>
      </c>
      <c r="Q570" s="131">
        <f t="shared" si="4388"/>
        <v>2</v>
      </c>
      <c r="R570" s="352">
        <f t="shared" si="4389"/>
        <v>24.72</v>
      </c>
      <c r="S570" s="131"/>
      <c r="T570" s="131">
        <f t="shared" si="4390"/>
        <v>0</v>
      </c>
      <c r="U570" s="131"/>
      <c r="V570" s="131">
        <f t="shared" si="4391"/>
        <v>0</v>
      </c>
      <c r="W570" s="131">
        <v>0.1</v>
      </c>
      <c r="X570" s="131">
        <f t="shared" si="4392"/>
        <v>1.236</v>
      </c>
      <c r="Y570" s="131">
        <f t="shared" si="4393"/>
        <v>0.1</v>
      </c>
      <c r="Z570" s="131">
        <f t="shared" si="4394"/>
        <v>1.236</v>
      </c>
      <c r="AA570" s="131">
        <v>0.2</v>
      </c>
      <c r="AB570" s="131">
        <f t="shared" si="4395"/>
        <v>2.472</v>
      </c>
      <c r="AC570" s="131"/>
      <c r="AD570" s="131">
        <f t="shared" si="4396"/>
        <v>0</v>
      </c>
      <c r="AE570" s="131">
        <v>0.6</v>
      </c>
      <c r="AF570" s="131">
        <f>L570*AE570/1000</f>
        <v>7.4160000000000004</v>
      </c>
      <c r="AG570" s="131">
        <f t="shared" si="4397"/>
        <v>0.8</v>
      </c>
      <c r="AH570" s="131">
        <f t="shared" si="4398"/>
        <v>9.8879999999999999</v>
      </c>
      <c r="AI570" s="131">
        <f t="shared" si="4399"/>
        <v>0.9</v>
      </c>
      <c r="AJ570" s="131">
        <f t="shared" si="4400"/>
        <v>11.124000000000001</v>
      </c>
      <c r="AK570" s="131"/>
      <c r="AL570" s="131">
        <f>N570*AK570/1000</f>
        <v>0</v>
      </c>
      <c r="AM570" s="131">
        <v>0.6</v>
      </c>
      <c r="AN570" s="131">
        <f t="shared" si="4402"/>
        <v>7.4160000000000004</v>
      </c>
      <c r="AO570" s="131"/>
      <c r="AP570" s="131">
        <f t="shared" si="4403"/>
        <v>0</v>
      </c>
      <c r="AQ570" s="131">
        <f t="shared" si="4404"/>
        <v>0.6</v>
      </c>
      <c r="AR570" s="131">
        <f t="shared" si="4405"/>
        <v>7.4160000000000004</v>
      </c>
      <c r="AS570" s="131"/>
      <c r="AT570" s="131">
        <f>P570*AS570/1000</f>
        <v>0</v>
      </c>
      <c r="AU570" s="131"/>
      <c r="AV570" s="131">
        <f t="shared" si="4406"/>
        <v>0</v>
      </c>
      <c r="AW570" s="131">
        <v>0.5</v>
      </c>
      <c r="AX570" s="131">
        <f t="shared" si="4407"/>
        <v>6.18</v>
      </c>
      <c r="AY570" s="131">
        <f t="shared" si="4408"/>
        <v>0.5</v>
      </c>
      <c r="AZ570" s="131">
        <f t="shared" si="4409"/>
        <v>6.18</v>
      </c>
      <c r="BA570" s="131">
        <f t="shared" si="4410"/>
        <v>1.1000000000000001</v>
      </c>
      <c r="BB570" s="131">
        <f t="shared" si="4411"/>
        <v>13.596</v>
      </c>
    </row>
    <row r="571" spans="1:54">
      <c r="A571" s="498">
        <v>405</v>
      </c>
      <c r="B571" s="13"/>
      <c r="C571" s="438"/>
      <c r="D571" s="13"/>
      <c r="E571" s="21" t="s">
        <v>1175</v>
      </c>
      <c r="F571" s="46"/>
      <c r="G571" s="46" t="s">
        <v>1105</v>
      </c>
      <c r="H571" s="268" t="s">
        <v>365</v>
      </c>
      <c r="I571" s="55"/>
      <c r="J571" s="163">
        <v>13534</v>
      </c>
      <c r="K571" s="55"/>
      <c r="L571" s="163">
        <v>13534</v>
      </c>
      <c r="M571" s="55"/>
      <c r="N571" s="163">
        <v>13534</v>
      </c>
      <c r="O571" s="55"/>
      <c r="P571" s="163">
        <v>13534</v>
      </c>
      <c r="Q571" s="97">
        <f t="shared" si="4388"/>
        <v>6.3729999999999993</v>
      </c>
      <c r="R571" s="342">
        <f t="shared" si="4389"/>
        <v>86.252182000000005</v>
      </c>
      <c r="S571" s="97">
        <v>0.90300000000000002</v>
      </c>
      <c r="T571" s="97">
        <f t="shared" si="4390"/>
        <v>12.221202000000002</v>
      </c>
      <c r="U571" s="97">
        <v>1.32</v>
      </c>
      <c r="V571" s="97">
        <f t="shared" si="4391"/>
        <v>17.864879999999999</v>
      </c>
      <c r="W571" s="97">
        <v>0.27100000000000002</v>
      </c>
      <c r="X571" s="97">
        <f t="shared" si="4392"/>
        <v>3.6677140000000006</v>
      </c>
      <c r="Y571" s="97">
        <f t="shared" si="4393"/>
        <v>2.4939999999999998</v>
      </c>
      <c r="Z571" s="97">
        <f t="shared" si="4394"/>
        <v>33.753796000000001</v>
      </c>
      <c r="AA571" s="97">
        <v>0.83199999999999996</v>
      </c>
      <c r="AB571" s="97">
        <f t="shared" si="4395"/>
        <v>11.260287999999999</v>
      </c>
      <c r="AC571" s="97"/>
      <c r="AD571" s="97">
        <f t="shared" si="4396"/>
        <v>0</v>
      </c>
      <c r="AE571" s="97">
        <v>0.8</v>
      </c>
      <c r="AF571" s="97">
        <f t="shared" si="4412"/>
        <v>10.827200000000001</v>
      </c>
      <c r="AG571" s="97">
        <f t="shared" si="4397"/>
        <v>1.6320000000000001</v>
      </c>
      <c r="AH571" s="97">
        <f t="shared" si="4398"/>
        <v>22.087488</v>
      </c>
      <c r="AI571" s="97">
        <f t="shared" si="4399"/>
        <v>4.1259999999999994</v>
      </c>
      <c r="AJ571" s="97">
        <f t="shared" si="4400"/>
        <v>55.841284000000002</v>
      </c>
      <c r="AK571" s="97">
        <v>0.5</v>
      </c>
      <c r="AL571" s="97">
        <f t="shared" si="4401"/>
        <v>6.7670000000000003</v>
      </c>
      <c r="AM571" s="97">
        <v>2.4E-2</v>
      </c>
      <c r="AN571" s="97">
        <f t="shared" si="4402"/>
        <v>0.32481600000000005</v>
      </c>
      <c r="AO571" s="97">
        <v>0.82299999999999995</v>
      </c>
      <c r="AP571" s="97">
        <f t="shared" si="4403"/>
        <v>11.138482</v>
      </c>
      <c r="AQ571" s="97">
        <f t="shared" si="4404"/>
        <v>1.347</v>
      </c>
      <c r="AR571" s="97">
        <f t="shared" si="4405"/>
        <v>18.230298000000001</v>
      </c>
      <c r="AS571" s="97">
        <v>0.4</v>
      </c>
      <c r="AT571" s="97">
        <f t="shared" si="4413"/>
        <v>5.4136000000000006</v>
      </c>
      <c r="AU571" s="97"/>
      <c r="AV571" s="97">
        <f t="shared" si="4406"/>
        <v>0</v>
      </c>
      <c r="AW571" s="97">
        <v>0.5</v>
      </c>
      <c r="AX571" s="97">
        <f t="shared" si="4407"/>
        <v>6.7670000000000003</v>
      </c>
      <c r="AY571" s="97">
        <f t="shared" si="4408"/>
        <v>0.9</v>
      </c>
      <c r="AZ571" s="97">
        <f t="shared" si="4409"/>
        <v>12.180600000000002</v>
      </c>
      <c r="BA571" s="97">
        <f t="shared" si="4410"/>
        <v>2.2469999999999999</v>
      </c>
      <c r="BB571" s="97">
        <f t="shared" si="4411"/>
        <v>30.410898000000003</v>
      </c>
    </row>
    <row r="572" spans="1:54">
      <c r="A572" s="498">
        <v>406</v>
      </c>
      <c r="B572" s="13"/>
      <c r="C572" s="438"/>
      <c r="D572" s="13"/>
      <c r="E572" s="21" t="s">
        <v>220</v>
      </c>
      <c r="F572" s="46"/>
      <c r="G572" s="46" t="s">
        <v>1105</v>
      </c>
      <c r="H572" s="268" t="s">
        <v>365</v>
      </c>
      <c r="I572" s="55"/>
      <c r="J572" s="163">
        <v>11993</v>
      </c>
      <c r="K572" s="55"/>
      <c r="L572" s="163">
        <v>11993</v>
      </c>
      <c r="M572" s="55"/>
      <c r="N572" s="163">
        <v>11993</v>
      </c>
      <c r="O572" s="55"/>
      <c r="P572" s="163">
        <v>11993</v>
      </c>
      <c r="Q572" s="97">
        <f>SUM(AI572+BA572)</f>
        <v>0</v>
      </c>
      <c r="R572" s="342">
        <f>SUM(AJ572+BB572)</f>
        <v>0</v>
      </c>
      <c r="S572" s="97"/>
      <c r="T572" s="97">
        <f t="shared" ref="T572" si="4593">J572*S572/1000</f>
        <v>0</v>
      </c>
      <c r="U572" s="97"/>
      <c r="V572" s="97">
        <f t="shared" ref="V572" si="4594">J572*U572/1000</f>
        <v>0</v>
      </c>
      <c r="W572" s="97"/>
      <c r="X572" s="97">
        <f t="shared" ref="X572" si="4595">J572*W572/1000</f>
        <v>0</v>
      </c>
      <c r="Y572" s="97">
        <f t="shared" ref="Y572" si="4596">SUM(S572+U572+W572)</f>
        <v>0</v>
      </c>
      <c r="Z572" s="97">
        <f t="shared" ref="Z572" si="4597">SUM(T572+V572+X572)</f>
        <v>0</v>
      </c>
      <c r="AA572" s="97"/>
      <c r="AB572" s="97">
        <f t="shared" ref="AB572" si="4598">L572*AA572/1000</f>
        <v>0</v>
      </c>
      <c r="AC572" s="97"/>
      <c r="AD572" s="97">
        <f t="shared" ref="AD572" si="4599">L572*AC572/1000</f>
        <v>0</v>
      </c>
      <c r="AE572" s="97"/>
      <c r="AF572" s="97">
        <f t="shared" ref="AF572" si="4600">L572*AE572/1000</f>
        <v>0</v>
      </c>
      <c r="AG572" s="97">
        <f t="shared" ref="AG572" si="4601">SUM(AA572+AC572+AE572)</f>
        <v>0</v>
      </c>
      <c r="AH572" s="97">
        <f t="shared" ref="AH572" si="4602">SUM(AB572+AD572+AF572)</f>
        <v>0</v>
      </c>
      <c r="AI572" s="97">
        <f t="shared" ref="AI572" si="4603">SUM(Y572+AG572)</f>
        <v>0</v>
      </c>
      <c r="AJ572" s="97">
        <f t="shared" ref="AJ572" si="4604">SUM(Z572,AH572)</f>
        <v>0</v>
      </c>
      <c r="AK572" s="97"/>
      <c r="AL572" s="97">
        <f t="shared" ref="AL572" si="4605">N572*AK572/1000</f>
        <v>0</v>
      </c>
      <c r="AM572" s="97"/>
      <c r="AN572" s="97">
        <f t="shared" ref="AN572" si="4606">N572*AM572/1000</f>
        <v>0</v>
      </c>
      <c r="AO572" s="97"/>
      <c r="AP572" s="97">
        <f t="shared" ref="AP572" si="4607">N572*AO572/1000</f>
        <v>0</v>
      </c>
      <c r="AQ572" s="97">
        <f t="shared" ref="AQ572" si="4608">SUM(AK572+AM572+AO572)</f>
        <v>0</v>
      </c>
      <c r="AR572" s="97">
        <f t="shared" ref="AR572" si="4609">SUM(AL572+AN572+AP572)</f>
        <v>0</v>
      </c>
      <c r="AS572" s="97"/>
      <c r="AT572" s="97">
        <f t="shared" ref="AT572" si="4610">P572*AS572/1000</f>
        <v>0</v>
      </c>
      <c r="AU572" s="97"/>
      <c r="AV572" s="97">
        <f t="shared" ref="AV572" si="4611">P572*AU572/1000</f>
        <v>0</v>
      </c>
      <c r="AW572" s="97"/>
      <c r="AX572" s="97">
        <f t="shared" ref="AX572" si="4612">P572*AW572/1000</f>
        <v>0</v>
      </c>
      <c r="AY572" s="97">
        <f t="shared" ref="AY572" si="4613">SUM(AS572+AU572+AW572)</f>
        <v>0</v>
      </c>
      <c r="AZ572" s="97">
        <f t="shared" ref="AZ572" si="4614">SUM(AT572+AV572+AX572)</f>
        <v>0</v>
      </c>
      <c r="BA572" s="97">
        <f t="shared" ref="BA572" si="4615">SUM(AQ572+AY572)</f>
        <v>0</v>
      </c>
      <c r="BB572" s="97">
        <f t="shared" ref="BB572" si="4616">SUM(AR572,AZ572)</f>
        <v>0</v>
      </c>
    </row>
    <row r="573" spans="1:54">
      <c r="A573" s="498">
        <v>406</v>
      </c>
      <c r="B573" s="13"/>
      <c r="C573" s="438"/>
      <c r="D573" s="13"/>
      <c r="E573" s="21" t="s">
        <v>1380</v>
      </c>
      <c r="F573" s="46"/>
      <c r="G573" s="46" t="s">
        <v>1105</v>
      </c>
      <c r="H573" s="268" t="s">
        <v>365</v>
      </c>
      <c r="I573" s="55"/>
      <c r="J573" s="163">
        <v>13285</v>
      </c>
      <c r="K573" s="55"/>
      <c r="L573" s="163">
        <v>13285</v>
      </c>
      <c r="M573" s="55"/>
      <c r="N573" s="163">
        <v>13285</v>
      </c>
      <c r="O573" s="55"/>
      <c r="P573" s="163">
        <v>13285</v>
      </c>
      <c r="Q573" s="97">
        <f t="shared" si="4388"/>
        <v>10.690999999999999</v>
      </c>
      <c r="R573" s="342">
        <f t="shared" si="4389"/>
        <v>142.02993500000002</v>
      </c>
      <c r="S573" s="97">
        <v>0.54800000000000004</v>
      </c>
      <c r="T573" s="97">
        <f t="shared" si="4390"/>
        <v>7.2801800000000005</v>
      </c>
      <c r="U573" s="97">
        <v>0.53600000000000003</v>
      </c>
      <c r="V573" s="97">
        <f t="shared" si="4391"/>
        <v>7.1207600000000006</v>
      </c>
      <c r="W573" s="97">
        <v>0.85299999999999998</v>
      </c>
      <c r="X573" s="97">
        <f t="shared" si="4392"/>
        <v>11.332105</v>
      </c>
      <c r="Y573" s="97">
        <f t="shared" si="4393"/>
        <v>1.9370000000000001</v>
      </c>
      <c r="Z573" s="97">
        <f t="shared" si="4394"/>
        <v>25.733045000000004</v>
      </c>
      <c r="AA573" s="97">
        <v>1.1040000000000001</v>
      </c>
      <c r="AB573" s="97">
        <f t="shared" si="4395"/>
        <v>14.666640000000001</v>
      </c>
      <c r="AC573" s="97">
        <v>0.43099999999999999</v>
      </c>
      <c r="AD573" s="97">
        <f t="shared" si="4396"/>
        <v>5.725835</v>
      </c>
      <c r="AE573" s="97">
        <v>0.625</v>
      </c>
      <c r="AF573" s="97">
        <f t="shared" si="4412"/>
        <v>8.3031249999999996</v>
      </c>
      <c r="AG573" s="97">
        <f t="shared" si="4397"/>
        <v>2.16</v>
      </c>
      <c r="AH573" s="97">
        <f t="shared" si="4398"/>
        <v>28.695599999999999</v>
      </c>
      <c r="AI573" s="97">
        <f t="shared" si="4399"/>
        <v>4.0970000000000004</v>
      </c>
      <c r="AJ573" s="97">
        <f t="shared" si="4400"/>
        <v>54.428645000000003</v>
      </c>
      <c r="AK573" s="97">
        <v>0.71199999999999997</v>
      </c>
      <c r="AL573" s="97">
        <f t="shared" si="4401"/>
        <v>9.4589200000000009</v>
      </c>
      <c r="AM573" s="97">
        <v>2.4580000000000002</v>
      </c>
      <c r="AN573" s="97">
        <f t="shared" si="4402"/>
        <v>32.654530000000001</v>
      </c>
      <c r="AO573" s="97">
        <v>0.61899999999999999</v>
      </c>
      <c r="AP573" s="97">
        <f t="shared" si="4403"/>
        <v>8.2234149999999993</v>
      </c>
      <c r="AQ573" s="97">
        <f t="shared" si="4404"/>
        <v>3.7889999999999997</v>
      </c>
      <c r="AR573" s="97">
        <f t="shared" si="4405"/>
        <v>50.336865000000003</v>
      </c>
      <c r="AS573" s="97">
        <v>0.746</v>
      </c>
      <c r="AT573" s="97">
        <f t="shared" si="4413"/>
        <v>9.9106100000000001</v>
      </c>
      <c r="AU573" s="97">
        <v>1.125</v>
      </c>
      <c r="AV573" s="97">
        <f t="shared" si="4406"/>
        <v>14.945625</v>
      </c>
      <c r="AW573" s="97">
        <v>0.93400000000000005</v>
      </c>
      <c r="AX573" s="97">
        <f t="shared" si="4407"/>
        <v>12.408190000000001</v>
      </c>
      <c r="AY573" s="97">
        <f t="shared" si="4408"/>
        <v>2.8050000000000002</v>
      </c>
      <c r="AZ573" s="97">
        <f t="shared" si="4409"/>
        <v>37.264425000000003</v>
      </c>
      <c r="BA573" s="97">
        <f t="shared" si="4410"/>
        <v>6.5939999999999994</v>
      </c>
      <c r="BB573" s="97">
        <f t="shared" si="4411"/>
        <v>87.601290000000006</v>
      </c>
    </row>
    <row r="574" spans="1:54">
      <c r="A574" s="498">
        <v>407</v>
      </c>
      <c r="B574" s="13"/>
      <c r="C574" s="438"/>
      <c r="D574" s="13"/>
      <c r="E574" s="21" t="s">
        <v>1448</v>
      </c>
      <c r="F574" s="46"/>
      <c r="G574" s="46" t="s">
        <v>1102</v>
      </c>
      <c r="H574" s="268" t="s">
        <v>365</v>
      </c>
      <c r="I574" s="55"/>
      <c r="J574" s="163">
        <v>12871</v>
      </c>
      <c r="K574" s="55"/>
      <c r="L574" s="163">
        <v>12871</v>
      </c>
      <c r="M574" s="55"/>
      <c r="N574" s="163">
        <v>12871</v>
      </c>
      <c r="O574" s="55"/>
      <c r="P574" s="163">
        <v>12871</v>
      </c>
      <c r="Q574" s="97">
        <f>SUM(AI574+BA574)</f>
        <v>0</v>
      </c>
      <c r="R574" s="342">
        <f>SUM(AJ574+BB574)</f>
        <v>0</v>
      </c>
      <c r="S574" s="97"/>
      <c r="T574" s="97">
        <f t="shared" ref="T574:T584" si="4617">J574*S574/1000</f>
        <v>0</v>
      </c>
      <c r="U574" s="97"/>
      <c r="V574" s="97">
        <f t="shared" ref="V574:V584" si="4618">J574*U574/1000</f>
        <v>0</v>
      </c>
      <c r="W574" s="97"/>
      <c r="X574" s="97">
        <f t="shared" ref="X574:X584" si="4619">J574*W574/1000</f>
        <v>0</v>
      </c>
      <c r="Y574" s="97">
        <f t="shared" ref="Y574:Y584" si="4620">SUM(S574+U574+W574)</f>
        <v>0</v>
      </c>
      <c r="Z574" s="97">
        <f t="shared" ref="Z574:Z584" si="4621">SUM(T574+V574+X574)</f>
        <v>0</v>
      </c>
      <c r="AA574" s="97"/>
      <c r="AB574" s="97">
        <f t="shared" ref="AB574:AB584" si="4622">L574*AA574/1000</f>
        <v>0</v>
      </c>
      <c r="AC574" s="97"/>
      <c r="AD574" s="97">
        <f t="shared" ref="AD574" si="4623">L574*AC574/1000</f>
        <v>0</v>
      </c>
      <c r="AE574" s="97"/>
      <c r="AF574" s="97">
        <f t="shared" ref="AF574:AF584" si="4624">L574*AE574/1000</f>
        <v>0</v>
      </c>
      <c r="AG574" s="97">
        <f t="shared" ref="AG574:AG584" si="4625">SUM(AA574+AC574+AE574)</f>
        <v>0</v>
      </c>
      <c r="AH574" s="97">
        <f t="shared" ref="AH574:AH584" si="4626">SUM(AB574+AD574+AF574)</f>
        <v>0</v>
      </c>
      <c r="AI574" s="97">
        <f t="shared" ref="AI574:AI584" si="4627">SUM(Y574+AG574)</f>
        <v>0</v>
      </c>
      <c r="AJ574" s="97">
        <f t="shared" ref="AJ574:AJ584" si="4628">SUM(Z574,AH574)</f>
        <v>0</v>
      </c>
      <c r="AK574" s="97"/>
      <c r="AL574" s="97">
        <f t="shared" ref="AL574:AL584" si="4629">N574*AK574/1000</f>
        <v>0</v>
      </c>
      <c r="AM574" s="97"/>
      <c r="AN574" s="97">
        <f t="shared" ref="AN574:AN584" si="4630">N574*AM574/1000</f>
        <v>0</v>
      </c>
      <c r="AO574" s="97"/>
      <c r="AP574" s="97">
        <f t="shared" ref="AP574:AP584" si="4631">N574*AO574/1000</f>
        <v>0</v>
      </c>
      <c r="AQ574" s="97">
        <f t="shared" ref="AQ574:AQ584" si="4632">SUM(AK574+AM574+AO574)</f>
        <v>0</v>
      </c>
      <c r="AR574" s="97">
        <f t="shared" ref="AR574:AR584" si="4633">SUM(AL574+AN574+AP574)</f>
        <v>0</v>
      </c>
      <c r="AS574" s="97"/>
      <c r="AT574" s="97">
        <f t="shared" ref="AT574:AT584" si="4634">P574*AS574/1000</f>
        <v>0</v>
      </c>
      <c r="AU574" s="97"/>
      <c r="AV574" s="97">
        <f t="shared" ref="AV574:AV584" si="4635">P574*AU574/1000</f>
        <v>0</v>
      </c>
      <c r="AW574" s="97"/>
      <c r="AX574" s="97">
        <f t="shared" ref="AX574:AX584" si="4636">P574*AW574/1000</f>
        <v>0</v>
      </c>
      <c r="AY574" s="97">
        <f t="shared" ref="AY574:AY584" si="4637">SUM(AS574+AU574+AW574)</f>
        <v>0</v>
      </c>
      <c r="AZ574" s="97">
        <f t="shared" ref="AZ574:AZ584" si="4638">SUM(AT574+AV574+AX574)</f>
        <v>0</v>
      </c>
      <c r="BA574" s="97">
        <f t="shared" ref="BA574:BA584" si="4639">SUM(AQ574+AY574)</f>
        <v>0</v>
      </c>
      <c r="BB574" s="97">
        <f t="shared" ref="BB574:BB584" si="4640">SUM(AR574,AZ574)</f>
        <v>0</v>
      </c>
    </row>
    <row r="575" spans="1:54">
      <c r="A575" s="498">
        <v>409</v>
      </c>
      <c r="B575" s="13"/>
      <c r="C575" s="438"/>
      <c r="D575" s="13"/>
      <c r="E575" s="21" t="s">
        <v>1449</v>
      </c>
      <c r="F575" s="46"/>
      <c r="G575" s="46" t="s">
        <v>1105</v>
      </c>
      <c r="H575" s="268" t="s">
        <v>365</v>
      </c>
      <c r="I575" s="55"/>
      <c r="J575" s="163">
        <v>12936</v>
      </c>
      <c r="K575" s="55"/>
      <c r="L575" s="163">
        <v>12936</v>
      </c>
      <c r="M575" s="55"/>
      <c r="N575" s="163">
        <v>12936</v>
      </c>
      <c r="O575" s="55"/>
      <c r="P575" s="163">
        <v>12936</v>
      </c>
      <c r="Q575" s="97">
        <f>SUM(AI575+BA575)</f>
        <v>268.47699999999998</v>
      </c>
      <c r="R575" s="342">
        <f t="shared" ref="R575" si="4641">SUM(AJ575+BB575)</f>
        <v>3473.0184719999997</v>
      </c>
      <c r="S575" s="97">
        <v>28.952999999999999</v>
      </c>
      <c r="T575" s="97">
        <f t="shared" si="4617"/>
        <v>374.53600799999998</v>
      </c>
      <c r="U575" s="97">
        <v>36.307000000000002</v>
      </c>
      <c r="V575" s="97">
        <f t="shared" si="4618"/>
        <v>469.66735199999999</v>
      </c>
      <c r="W575" s="97">
        <v>32.273000000000003</v>
      </c>
      <c r="X575" s="97">
        <f t="shared" si="4619"/>
        <v>417.48352800000004</v>
      </c>
      <c r="Y575" s="97">
        <f t="shared" si="4620"/>
        <v>97.533000000000015</v>
      </c>
      <c r="Z575" s="97">
        <f t="shared" si="4621"/>
        <v>1261.686888</v>
      </c>
      <c r="AA575" s="97">
        <v>18.437999999999999</v>
      </c>
      <c r="AB575" s="97">
        <f t="shared" si="4622"/>
        <v>238.51396800000001</v>
      </c>
      <c r="AC575" s="97">
        <v>13.067</v>
      </c>
      <c r="AD575" s="97">
        <f t="shared" ref="AD575:AD587" si="4642">L575*AC575/1000</f>
        <v>169.03471200000001</v>
      </c>
      <c r="AE575" s="97">
        <v>23.37</v>
      </c>
      <c r="AF575" s="97">
        <f t="shared" si="4624"/>
        <v>302.31432000000001</v>
      </c>
      <c r="AG575" s="97">
        <f t="shared" si="4625"/>
        <v>54.875</v>
      </c>
      <c r="AH575" s="97">
        <f t="shared" si="4626"/>
        <v>709.86300000000006</v>
      </c>
      <c r="AI575" s="97">
        <f t="shared" si="4627"/>
        <v>152.40800000000002</v>
      </c>
      <c r="AJ575" s="97">
        <f t="shared" si="4628"/>
        <v>1971.549888</v>
      </c>
      <c r="AK575" s="97">
        <v>30.207000000000001</v>
      </c>
      <c r="AL575" s="97">
        <f t="shared" si="4629"/>
        <v>390.75775200000004</v>
      </c>
      <c r="AM575" s="97">
        <v>26.422999999999998</v>
      </c>
      <c r="AN575" s="97">
        <f t="shared" si="4630"/>
        <v>341.80792799999995</v>
      </c>
      <c r="AO575" s="97">
        <v>20.172999999999998</v>
      </c>
      <c r="AP575" s="97">
        <f t="shared" si="4631"/>
        <v>260.95792799999998</v>
      </c>
      <c r="AQ575" s="97">
        <f t="shared" si="4632"/>
        <v>76.802999999999997</v>
      </c>
      <c r="AR575" s="97">
        <f t="shared" si="4633"/>
        <v>993.52360799999997</v>
      </c>
      <c r="AS575" s="97">
        <v>26.016999999999999</v>
      </c>
      <c r="AT575" s="97">
        <f t="shared" si="4634"/>
        <v>336.55591200000003</v>
      </c>
      <c r="AU575" s="97">
        <v>1.2470000000000001</v>
      </c>
      <c r="AV575" s="97">
        <f t="shared" si="4635"/>
        <v>16.131192000000002</v>
      </c>
      <c r="AW575" s="97">
        <v>12.002000000000001</v>
      </c>
      <c r="AX575" s="97">
        <f t="shared" si="4636"/>
        <v>155.25787199999999</v>
      </c>
      <c r="AY575" s="97">
        <f t="shared" si="4637"/>
        <v>39.265999999999998</v>
      </c>
      <c r="AZ575" s="97">
        <f t="shared" si="4638"/>
        <v>507.944976</v>
      </c>
      <c r="BA575" s="97">
        <f t="shared" si="4639"/>
        <v>116.06899999999999</v>
      </c>
      <c r="BB575" s="97">
        <f t="shared" si="4640"/>
        <v>1501.468584</v>
      </c>
    </row>
    <row r="576" spans="1:54">
      <c r="A576" s="498">
        <v>409</v>
      </c>
      <c r="B576" s="13"/>
      <c r="C576" s="438"/>
      <c r="D576" s="13"/>
      <c r="E576" s="21" t="s">
        <v>1542</v>
      </c>
      <c r="F576" s="46"/>
      <c r="G576" s="46" t="s">
        <v>1105</v>
      </c>
      <c r="H576" s="268" t="s">
        <v>365</v>
      </c>
      <c r="I576" s="55"/>
      <c r="J576" s="163">
        <v>7810</v>
      </c>
      <c r="K576" s="55"/>
      <c r="L576" s="163">
        <v>7810</v>
      </c>
      <c r="M576" s="55"/>
      <c r="N576" s="163">
        <v>7810</v>
      </c>
      <c r="O576" s="55"/>
      <c r="P576" s="163">
        <v>7810</v>
      </c>
      <c r="Q576" s="97">
        <f>SUM(AI576+BA576)</f>
        <v>10.728</v>
      </c>
      <c r="R576" s="342">
        <f t="shared" ref="R576:R582" si="4643">SUM(AJ576+BB576)</f>
        <v>83.785680000000013</v>
      </c>
      <c r="S576" s="97">
        <v>0.34300000000000003</v>
      </c>
      <c r="T576" s="97">
        <f t="shared" ref="T576:T577" si="4644">J576*S576/1000</f>
        <v>2.6788300000000005</v>
      </c>
      <c r="U576" s="97">
        <v>1.329</v>
      </c>
      <c r="V576" s="97">
        <f t="shared" ref="V576:V577" si="4645">J576*U576/1000</f>
        <v>10.379490000000001</v>
      </c>
      <c r="W576" s="97"/>
      <c r="X576" s="97">
        <f t="shared" ref="X576:X577" si="4646">J576*W576/1000</f>
        <v>0</v>
      </c>
      <c r="Y576" s="97">
        <f t="shared" ref="Y576:Y577" si="4647">SUM(S576+U576+W576)</f>
        <v>1.6719999999999999</v>
      </c>
      <c r="Z576" s="97">
        <f t="shared" ref="Z576:Z577" si="4648">SUM(T576+V576+X576)</f>
        <v>13.058320000000002</v>
      </c>
      <c r="AA576" s="97">
        <v>1.2669999999999999</v>
      </c>
      <c r="AB576" s="97">
        <f t="shared" ref="AB576:AB577" si="4649">L576*AA576/1000</f>
        <v>9.8952699999999982</v>
      </c>
      <c r="AC576" s="97">
        <v>1.371</v>
      </c>
      <c r="AD576" s="97">
        <f t="shared" si="4642"/>
        <v>10.707510000000001</v>
      </c>
      <c r="AE576" s="97">
        <v>2.1000000000000001E-2</v>
      </c>
      <c r="AF576" s="97">
        <f t="shared" ref="AF576:AF577" si="4650">L576*AE576/1000</f>
        <v>0.16401000000000002</v>
      </c>
      <c r="AG576" s="97">
        <f t="shared" ref="AG576:AG577" si="4651">SUM(AA576+AC576+AE576)</f>
        <v>2.6589999999999998</v>
      </c>
      <c r="AH576" s="97">
        <f t="shared" ref="AH576:AH577" si="4652">SUM(AB576+AD576+AF576)</f>
        <v>20.76679</v>
      </c>
      <c r="AI576" s="97">
        <f t="shared" ref="AI576:AI577" si="4653">SUM(Y576+AG576)</f>
        <v>4.3309999999999995</v>
      </c>
      <c r="AJ576" s="97">
        <f t="shared" ref="AJ576:AJ577" si="4654">SUM(Z576,AH576)</f>
        <v>33.825110000000002</v>
      </c>
      <c r="AK576" s="97">
        <v>1.1910000000000001</v>
      </c>
      <c r="AL576" s="97">
        <f t="shared" ref="AL576:AL577" si="4655">N576*AK576/1000</f>
        <v>9.3017100000000017</v>
      </c>
      <c r="AM576" s="97">
        <v>0.90800000000000003</v>
      </c>
      <c r="AN576" s="97">
        <f t="shared" ref="AN576:AN577" si="4656">N576*AM576/1000</f>
        <v>7.0914800000000007</v>
      </c>
      <c r="AO576" s="97">
        <v>2.0790000000000002</v>
      </c>
      <c r="AP576" s="97">
        <f t="shared" ref="AP576:AP577" si="4657">N576*AO576/1000</f>
        <v>16.236990000000002</v>
      </c>
      <c r="AQ576" s="97">
        <f t="shared" ref="AQ576:AQ577" si="4658">SUM(AK576+AM576+AO576)</f>
        <v>4.1780000000000008</v>
      </c>
      <c r="AR576" s="97">
        <f t="shared" ref="AR576:AR577" si="4659">SUM(AL576+AN576+AP576)</f>
        <v>32.63018000000001</v>
      </c>
      <c r="AS576" s="97">
        <v>2E-3</v>
      </c>
      <c r="AT576" s="97">
        <f t="shared" ref="AT576:AT577" si="4660">P576*AS576/1000</f>
        <v>1.562E-2</v>
      </c>
      <c r="AU576" s="97">
        <v>0.85799999999999998</v>
      </c>
      <c r="AV576" s="97">
        <f t="shared" ref="AV576:AV577" si="4661">P576*AU576/1000</f>
        <v>6.7009799999999995</v>
      </c>
      <c r="AW576" s="97">
        <v>1.359</v>
      </c>
      <c r="AX576" s="97">
        <f t="shared" ref="AX576:AX577" si="4662">P576*AW576/1000</f>
        <v>10.61379</v>
      </c>
      <c r="AY576" s="97">
        <f t="shared" ref="AY576:AY577" si="4663">SUM(AS576+AU576+AW576)</f>
        <v>2.2189999999999999</v>
      </c>
      <c r="AZ576" s="97">
        <f t="shared" ref="AZ576:AZ577" si="4664">SUM(AT576+AV576+AX576)</f>
        <v>17.330390000000001</v>
      </c>
      <c r="BA576" s="97">
        <f t="shared" ref="BA576:BA577" si="4665">SUM(AQ576+AY576)</f>
        <v>6.3970000000000002</v>
      </c>
      <c r="BB576" s="97">
        <f t="shared" ref="BB576:BB577" si="4666">SUM(AR576,AZ576)</f>
        <v>49.960570000000011</v>
      </c>
    </row>
    <row r="577" spans="1:54">
      <c r="A577" s="498">
        <v>410</v>
      </c>
      <c r="B577" s="13"/>
      <c r="C577" s="438"/>
      <c r="D577" s="13"/>
      <c r="E577" s="21" t="s">
        <v>1543</v>
      </c>
      <c r="F577" s="46"/>
      <c r="G577" s="46" t="s">
        <v>1105</v>
      </c>
      <c r="H577" s="268" t="s">
        <v>365</v>
      </c>
      <c r="I577" s="55"/>
      <c r="J577" s="163">
        <v>6423</v>
      </c>
      <c r="K577" s="55"/>
      <c r="L577" s="163">
        <v>6423</v>
      </c>
      <c r="M577" s="55"/>
      <c r="N577" s="163">
        <v>6423</v>
      </c>
      <c r="O577" s="55"/>
      <c r="P577" s="163">
        <v>7198</v>
      </c>
      <c r="Q577" s="97">
        <f t="shared" ref="Q577" si="4667">SUM(AI577+BA577)</f>
        <v>1.266</v>
      </c>
      <c r="R577" s="342">
        <f t="shared" si="4643"/>
        <v>8.5306430000000013</v>
      </c>
      <c r="S577" s="97"/>
      <c r="T577" s="97">
        <f t="shared" si="4644"/>
        <v>0</v>
      </c>
      <c r="U577" s="97"/>
      <c r="V577" s="97">
        <f t="shared" si="4645"/>
        <v>0</v>
      </c>
      <c r="W577" s="97">
        <v>8.8999999999999996E-2</v>
      </c>
      <c r="X577" s="97">
        <f t="shared" si="4646"/>
        <v>0.57164699999999991</v>
      </c>
      <c r="Y577" s="97">
        <f t="shared" si="4647"/>
        <v>8.8999999999999996E-2</v>
      </c>
      <c r="Z577" s="97">
        <f t="shared" si="4648"/>
        <v>0.57164699999999991</v>
      </c>
      <c r="AA577" s="97">
        <v>7.2999999999999995E-2</v>
      </c>
      <c r="AB577" s="97">
        <f t="shared" si="4649"/>
        <v>0.46887899999999993</v>
      </c>
      <c r="AC577" s="97">
        <v>0.224</v>
      </c>
      <c r="AD577" s="97">
        <f t="shared" si="4642"/>
        <v>1.438752</v>
      </c>
      <c r="AE577" s="97"/>
      <c r="AF577" s="97">
        <f t="shared" si="4650"/>
        <v>0</v>
      </c>
      <c r="AG577" s="97">
        <f t="shared" si="4651"/>
        <v>0.29699999999999999</v>
      </c>
      <c r="AH577" s="97">
        <f t="shared" si="4652"/>
        <v>1.9076309999999999</v>
      </c>
      <c r="AI577" s="97">
        <f t="shared" si="4653"/>
        <v>0.38600000000000001</v>
      </c>
      <c r="AJ577" s="97">
        <f t="shared" si="4654"/>
        <v>2.4792779999999999</v>
      </c>
      <c r="AK577" s="97">
        <v>9.5000000000000001E-2</v>
      </c>
      <c r="AL577" s="97">
        <f t="shared" si="4655"/>
        <v>0.61018500000000009</v>
      </c>
      <c r="AM577" s="97">
        <v>0.14199999999999999</v>
      </c>
      <c r="AN577" s="97">
        <f t="shared" si="4656"/>
        <v>0.91206599999999993</v>
      </c>
      <c r="AO577" s="97">
        <v>0.128</v>
      </c>
      <c r="AP577" s="97">
        <f t="shared" si="4657"/>
        <v>0.82214399999999999</v>
      </c>
      <c r="AQ577" s="97">
        <f t="shared" si="4658"/>
        <v>0.36499999999999999</v>
      </c>
      <c r="AR577" s="97">
        <f t="shared" si="4659"/>
        <v>2.344395</v>
      </c>
      <c r="AS577" s="97"/>
      <c r="AT577" s="97">
        <f t="shared" si="4660"/>
        <v>0</v>
      </c>
      <c r="AU577" s="97">
        <v>0.223</v>
      </c>
      <c r="AV577" s="97">
        <f t="shared" si="4661"/>
        <v>1.605154</v>
      </c>
      <c r="AW577" s="97">
        <v>0.29199999999999998</v>
      </c>
      <c r="AX577" s="97">
        <f t="shared" si="4662"/>
        <v>2.1018159999999999</v>
      </c>
      <c r="AY577" s="97">
        <f t="shared" si="4663"/>
        <v>0.51500000000000001</v>
      </c>
      <c r="AZ577" s="97">
        <f t="shared" si="4664"/>
        <v>3.7069700000000001</v>
      </c>
      <c r="BA577" s="97">
        <f t="shared" si="4665"/>
        <v>0.88</v>
      </c>
      <c r="BB577" s="97">
        <f t="shared" si="4666"/>
        <v>6.0513650000000005</v>
      </c>
    </row>
    <row r="578" spans="1:54">
      <c r="A578" s="498">
        <v>409</v>
      </c>
      <c r="B578" s="13"/>
      <c r="C578" s="438"/>
      <c r="D578" s="13"/>
      <c r="E578" s="21" t="s">
        <v>1544</v>
      </c>
      <c r="F578" s="46"/>
      <c r="G578" s="46" t="s">
        <v>1105</v>
      </c>
      <c r="H578" s="268" t="s">
        <v>365</v>
      </c>
      <c r="I578" s="55"/>
      <c r="J578" s="163">
        <v>6546</v>
      </c>
      <c r="K578" s="55"/>
      <c r="L578" s="163">
        <v>6546</v>
      </c>
      <c r="M578" s="55"/>
      <c r="N578" s="163">
        <v>6546</v>
      </c>
      <c r="O578" s="55"/>
      <c r="P578" s="163">
        <v>6546</v>
      </c>
      <c r="Q578" s="97">
        <f>SUM(AI578+BA578)</f>
        <v>55.774000000000001</v>
      </c>
      <c r="R578" s="342">
        <f t="shared" si="4643"/>
        <v>365.09660400000001</v>
      </c>
      <c r="S578" s="97">
        <v>1.331</v>
      </c>
      <c r="T578" s="97">
        <f t="shared" si="4617"/>
        <v>8.712726</v>
      </c>
      <c r="U578" s="97">
        <v>4.5839999999999996</v>
      </c>
      <c r="V578" s="97">
        <f t="shared" si="4618"/>
        <v>30.006863999999997</v>
      </c>
      <c r="W578" s="97">
        <v>4.0739999999999998</v>
      </c>
      <c r="X578" s="97">
        <f t="shared" si="4619"/>
        <v>26.668403999999999</v>
      </c>
      <c r="Y578" s="97">
        <f t="shared" si="4620"/>
        <v>9.988999999999999</v>
      </c>
      <c r="Z578" s="97">
        <f t="shared" si="4621"/>
        <v>65.387993999999992</v>
      </c>
      <c r="AA578" s="97">
        <v>7.7080000000000002</v>
      </c>
      <c r="AB578" s="97">
        <f t="shared" si="4622"/>
        <v>50.456567999999997</v>
      </c>
      <c r="AC578" s="97">
        <v>7.8840000000000003</v>
      </c>
      <c r="AD578" s="97">
        <f t="shared" si="4642"/>
        <v>51.608664000000005</v>
      </c>
      <c r="AE578" s="97">
        <v>4.7160000000000002</v>
      </c>
      <c r="AF578" s="97">
        <f t="shared" si="4624"/>
        <v>30.870936</v>
      </c>
      <c r="AG578" s="97">
        <f t="shared" si="4625"/>
        <v>20.308</v>
      </c>
      <c r="AH578" s="97">
        <f t="shared" si="4626"/>
        <v>132.93616800000001</v>
      </c>
      <c r="AI578" s="97">
        <f t="shared" si="4627"/>
        <v>30.296999999999997</v>
      </c>
      <c r="AJ578" s="97">
        <f t="shared" si="4628"/>
        <v>198.324162</v>
      </c>
      <c r="AK578" s="97">
        <v>3.2629999999999999</v>
      </c>
      <c r="AL578" s="97">
        <f t="shared" si="4629"/>
        <v>21.359597999999998</v>
      </c>
      <c r="AM578" s="97">
        <v>4.3479999999999999</v>
      </c>
      <c r="AN578" s="97">
        <f t="shared" si="4630"/>
        <v>28.462007999999997</v>
      </c>
      <c r="AO578" s="97">
        <v>6.8869999999999996</v>
      </c>
      <c r="AP578" s="97">
        <f t="shared" si="4631"/>
        <v>45.082301999999999</v>
      </c>
      <c r="AQ578" s="97">
        <f t="shared" si="4632"/>
        <v>14.497999999999999</v>
      </c>
      <c r="AR578" s="97">
        <f t="shared" si="4633"/>
        <v>94.903908000000001</v>
      </c>
      <c r="AS578" s="97">
        <v>4.18</v>
      </c>
      <c r="AT578" s="97">
        <f t="shared" si="4634"/>
        <v>27.362279999999998</v>
      </c>
      <c r="AU578" s="97">
        <v>5.3120000000000003</v>
      </c>
      <c r="AV578" s="97">
        <f t="shared" si="4635"/>
        <v>34.772351999999998</v>
      </c>
      <c r="AW578" s="97">
        <v>1.4870000000000001</v>
      </c>
      <c r="AX578" s="97">
        <f t="shared" si="4636"/>
        <v>9.7339020000000005</v>
      </c>
      <c r="AY578" s="97">
        <f t="shared" si="4637"/>
        <v>10.979000000000001</v>
      </c>
      <c r="AZ578" s="97">
        <f t="shared" si="4638"/>
        <v>71.868533999999997</v>
      </c>
      <c r="BA578" s="97">
        <f t="shared" si="4639"/>
        <v>25.477</v>
      </c>
      <c r="BB578" s="97">
        <f t="shared" si="4640"/>
        <v>166.77244200000001</v>
      </c>
    </row>
    <row r="579" spans="1:54">
      <c r="A579" s="498">
        <v>410</v>
      </c>
      <c r="B579" s="13"/>
      <c r="C579" s="438"/>
      <c r="D579" s="13"/>
      <c r="E579" s="21" t="s">
        <v>1545</v>
      </c>
      <c r="F579" s="46"/>
      <c r="G579" s="46" t="s">
        <v>1105</v>
      </c>
      <c r="H579" s="268" t="s">
        <v>365</v>
      </c>
      <c r="I579" s="55"/>
      <c r="J579" s="163">
        <v>5952</v>
      </c>
      <c r="K579" s="55"/>
      <c r="L579" s="163">
        <v>5952</v>
      </c>
      <c r="M579" s="55"/>
      <c r="N579" s="163">
        <v>5952</v>
      </c>
      <c r="O579" s="55"/>
      <c r="P579" s="163">
        <v>5952</v>
      </c>
      <c r="Q579" s="97">
        <f t="shared" ref="Q579" si="4668">SUM(AI579+BA579)</f>
        <v>15.121</v>
      </c>
      <c r="R579" s="342">
        <f t="shared" si="4643"/>
        <v>90.000191999999998</v>
      </c>
      <c r="S579" s="97">
        <v>0.57999999999999996</v>
      </c>
      <c r="T579" s="97">
        <f t="shared" si="4617"/>
        <v>3.4521599999999997</v>
      </c>
      <c r="U579" s="97">
        <v>0.97</v>
      </c>
      <c r="V579" s="97">
        <f t="shared" si="4618"/>
        <v>5.7734399999999999</v>
      </c>
      <c r="W579" s="97">
        <v>1.22</v>
      </c>
      <c r="X579" s="97">
        <f t="shared" si="4619"/>
        <v>7.2614399999999995</v>
      </c>
      <c r="Y579" s="97">
        <f t="shared" si="4620"/>
        <v>2.7699999999999996</v>
      </c>
      <c r="Z579" s="97">
        <f t="shared" si="4621"/>
        <v>16.48704</v>
      </c>
      <c r="AA579" s="97">
        <v>3.4780000000000002</v>
      </c>
      <c r="AB579" s="97">
        <f t="shared" si="4622"/>
        <v>20.701056000000001</v>
      </c>
      <c r="AC579" s="97">
        <v>0.63400000000000001</v>
      </c>
      <c r="AD579" s="97">
        <f t="shared" si="4642"/>
        <v>3.773568</v>
      </c>
      <c r="AE579" s="97">
        <v>1.298</v>
      </c>
      <c r="AF579" s="97">
        <f t="shared" si="4624"/>
        <v>7.7256960000000001</v>
      </c>
      <c r="AG579" s="97">
        <f t="shared" si="4625"/>
        <v>5.41</v>
      </c>
      <c r="AH579" s="97">
        <f t="shared" si="4626"/>
        <v>32.200320000000005</v>
      </c>
      <c r="AI579" s="97">
        <f t="shared" si="4627"/>
        <v>8.18</v>
      </c>
      <c r="AJ579" s="97">
        <f t="shared" si="4628"/>
        <v>48.687360000000005</v>
      </c>
      <c r="AK579" s="97">
        <v>0.92100000000000004</v>
      </c>
      <c r="AL579" s="97">
        <f t="shared" si="4629"/>
        <v>5.4817920000000004</v>
      </c>
      <c r="AM579" s="97">
        <v>1.1519999999999999</v>
      </c>
      <c r="AN579" s="97">
        <f t="shared" si="4630"/>
        <v>6.8567039999999997</v>
      </c>
      <c r="AO579" s="97">
        <v>2</v>
      </c>
      <c r="AP579" s="97">
        <f t="shared" si="4631"/>
        <v>11.904</v>
      </c>
      <c r="AQ579" s="97">
        <f t="shared" si="4632"/>
        <v>4.0730000000000004</v>
      </c>
      <c r="AR579" s="97">
        <f t="shared" si="4633"/>
        <v>24.242495999999999</v>
      </c>
      <c r="AS579" s="97">
        <v>0.86799999999999999</v>
      </c>
      <c r="AT579" s="97">
        <f t="shared" si="4634"/>
        <v>5.1663360000000003</v>
      </c>
      <c r="AU579" s="97">
        <v>1.488</v>
      </c>
      <c r="AV579" s="97">
        <f t="shared" si="4635"/>
        <v>8.8565759999999987</v>
      </c>
      <c r="AW579" s="97">
        <v>0.51200000000000001</v>
      </c>
      <c r="AX579" s="97">
        <f t="shared" si="4636"/>
        <v>3.0474239999999999</v>
      </c>
      <c r="AY579" s="97">
        <f t="shared" si="4637"/>
        <v>2.8679999999999999</v>
      </c>
      <c r="AZ579" s="97">
        <f t="shared" si="4638"/>
        <v>17.070335999999998</v>
      </c>
      <c r="BA579" s="97">
        <f t="shared" si="4639"/>
        <v>6.9410000000000007</v>
      </c>
      <c r="BB579" s="97">
        <f t="shared" si="4640"/>
        <v>41.312832</v>
      </c>
    </row>
    <row r="580" spans="1:54">
      <c r="A580" s="498">
        <v>410</v>
      </c>
      <c r="B580" s="13"/>
      <c r="C580" s="438"/>
      <c r="D580" s="13"/>
      <c r="E580" s="21" t="s">
        <v>1733</v>
      </c>
      <c r="F580" s="46"/>
      <c r="G580" s="46" t="s">
        <v>1105</v>
      </c>
      <c r="H580" s="268" t="s">
        <v>365</v>
      </c>
      <c r="I580" s="55"/>
      <c r="J580" s="163">
        <v>7795</v>
      </c>
      <c r="K580" s="55"/>
      <c r="L580" s="163">
        <v>7795</v>
      </c>
      <c r="M580" s="55"/>
      <c r="N580" s="163">
        <v>7795</v>
      </c>
      <c r="O580" s="55"/>
      <c r="P580" s="163">
        <v>7795</v>
      </c>
      <c r="Q580" s="97">
        <f t="shared" ref="Q580" si="4669">SUM(AI580+BA580)</f>
        <v>1.5220000000000002</v>
      </c>
      <c r="R580" s="342">
        <f t="shared" si="4643"/>
        <v>11.863990000000001</v>
      </c>
      <c r="S580" s="97">
        <v>0.38</v>
      </c>
      <c r="T580" s="97">
        <f t="shared" ref="T580:T581" si="4670">J580*S580/1000</f>
        <v>2.9621</v>
      </c>
      <c r="U580" s="97">
        <v>0.11700000000000001</v>
      </c>
      <c r="V580" s="97">
        <f t="shared" ref="V580:V581" si="4671">J580*U580/1000</f>
        <v>0.91201500000000013</v>
      </c>
      <c r="W580" s="97"/>
      <c r="X580" s="97">
        <f t="shared" ref="X580:X581" si="4672">J580*W580/1000</f>
        <v>0</v>
      </c>
      <c r="Y580" s="97">
        <f t="shared" ref="Y580:Y581" si="4673">SUM(S580+U580+W580)</f>
        <v>0.497</v>
      </c>
      <c r="Z580" s="97">
        <f t="shared" ref="Z580:Z581" si="4674">SUM(T580+V580+X580)</f>
        <v>3.8741150000000002</v>
      </c>
      <c r="AA580" s="97">
        <v>4.7E-2</v>
      </c>
      <c r="AB580" s="97">
        <f t="shared" ref="AB580:AB581" si="4675">L580*AA580/1000</f>
        <v>0.366365</v>
      </c>
      <c r="AC580" s="97">
        <v>0.218</v>
      </c>
      <c r="AD580" s="97">
        <f t="shared" ref="AD580:AD581" si="4676">L580*AC580/1000</f>
        <v>1.6993099999999999</v>
      </c>
      <c r="AE580" s="97">
        <v>0.15</v>
      </c>
      <c r="AF580" s="97">
        <f t="shared" ref="AF580:AF581" si="4677">L580*AE580/1000</f>
        <v>1.1692499999999999</v>
      </c>
      <c r="AG580" s="97">
        <f t="shared" ref="AG580:AG581" si="4678">SUM(AA580+AC580+AE580)</f>
        <v>0.41500000000000004</v>
      </c>
      <c r="AH580" s="97">
        <f t="shared" ref="AH580:AH581" si="4679">SUM(AB580+AD580+AF580)</f>
        <v>3.2349249999999996</v>
      </c>
      <c r="AI580" s="97">
        <f t="shared" ref="AI580:AI581" si="4680">SUM(Y580+AG580)</f>
        <v>0.91200000000000003</v>
      </c>
      <c r="AJ580" s="97">
        <f t="shared" ref="AJ580:AJ581" si="4681">SUM(Z580,AH580)</f>
        <v>7.1090400000000002</v>
      </c>
      <c r="AK580" s="97">
        <v>0.125</v>
      </c>
      <c r="AL580" s="97">
        <f t="shared" ref="AL580:AL581" si="4682">N580*AK580/1000</f>
        <v>0.97437499999999999</v>
      </c>
      <c r="AM580" s="97">
        <v>3.5999999999999997E-2</v>
      </c>
      <c r="AN580" s="97">
        <f t="shared" ref="AN580:AN581" si="4683">N580*AM580/1000</f>
        <v>0.28061999999999998</v>
      </c>
      <c r="AO580" s="97">
        <v>4.1000000000000002E-2</v>
      </c>
      <c r="AP580" s="97">
        <f t="shared" ref="AP580:AP581" si="4684">N580*AO580/1000</f>
        <v>0.31959500000000002</v>
      </c>
      <c r="AQ580" s="97">
        <f t="shared" ref="AQ580:AQ581" si="4685">SUM(AK580+AM580+AO580)</f>
        <v>0.20200000000000001</v>
      </c>
      <c r="AR580" s="97">
        <f t="shared" ref="AR580:AR581" si="4686">SUM(AL580+AN580+AP580)</f>
        <v>1.5745900000000002</v>
      </c>
      <c r="AS580" s="97"/>
      <c r="AT580" s="97">
        <f t="shared" ref="AT580:AT581" si="4687">P580*AS580/1000</f>
        <v>0</v>
      </c>
      <c r="AU580" s="97">
        <v>0.27300000000000002</v>
      </c>
      <c r="AV580" s="97">
        <f t="shared" ref="AV580:AV581" si="4688">P580*AU580/1000</f>
        <v>2.1280350000000001</v>
      </c>
      <c r="AW580" s="97">
        <v>0.13500000000000001</v>
      </c>
      <c r="AX580" s="97">
        <f t="shared" ref="AX580:AX581" si="4689">P580*AW580/1000</f>
        <v>1.052325</v>
      </c>
      <c r="AY580" s="97">
        <f t="shared" ref="AY580:AY581" si="4690">SUM(AS580+AU580+AW580)</f>
        <v>0.40800000000000003</v>
      </c>
      <c r="AZ580" s="97">
        <f t="shared" ref="AZ580:AZ581" si="4691">SUM(AT580+AV580+AX580)</f>
        <v>3.1803600000000003</v>
      </c>
      <c r="BA580" s="97">
        <f t="shared" ref="BA580:BA581" si="4692">SUM(AQ580+AY580)</f>
        <v>0.6100000000000001</v>
      </c>
      <c r="BB580" s="97">
        <f t="shared" ref="BB580:BB581" si="4693">SUM(AR580,AZ580)</f>
        <v>4.7549500000000009</v>
      </c>
    </row>
    <row r="581" spans="1:54">
      <c r="A581" s="498">
        <v>409</v>
      </c>
      <c r="B581" s="13"/>
      <c r="C581" s="438"/>
      <c r="D581" s="13"/>
      <c r="E581" s="21" t="s">
        <v>1773</v>
      </c>
      <c r="F581" s="46"/>
      <c r="G581" s="46" t="s">
        <v>1105</v>
      </c>
      <c r="H581" s="268" t="s">
        <v>365</v>
      </c>
      <c r="I581" s="55"/>
      <c r="J581" s="163"/>
      <c r="K581" s="55"/>
      <c r="L581" s="163">
        <v>8149</v>
      </c>
      <c r="M581" s="55"/>
      <c r="N581" s="163">
        <v>8149</v>
      </c>
      <c r="O581" s="55"/>
      <c r="P581" s="163">
        <v>8149</v>
      </c>
      <c r="Q581" s="97">
        <f>SUM(AI581+BA581)</f>
        <v>72.117000000000004</v>
      </c>
      <c r="R581" s="342">
        <f t="shared" ref="R581" si="4694">SUM(AJ581+BB581)</f>
        <v>587.68143300000008</v>
      </c>
      <c r="S581" s="97"/>
      <c r="T581" s="97">
        <f t="shared" si="4670"/>
        <v>0</v>
      </c>
      <c r="U581" s="97"/>
      <c r="V581" s="97">
        <f t="shared" si="4671"/>
        <v>0</v>
      </c>
      <c r="W581" s="97"/>
      <c r="X581" s="97">
        <f t="shared" si="4672"/>
        <v>0</v>
      </c>
      <c r="Y581" s="97">
        <f t="shared" si="4673"/>
        <v>0</v>
      </c>
      <c r="Z581" s="97">
        <f t="shared" si="4674"/>
        <v>0</v>
      </c>
      <c r="AA581" s="97"/>
      <c r="AB581" s="97">
        <f t="shared" si="4675"/>
        <v>0</v>
      </c>
      <c r="AC581" s="97"/>
      <c r="AD581" s="97">
        <f t="shared" si="4676"/>
        <v>0</v>
      </c>
      <c r="AE581" s="97">
        <v>0.105</v>
      </c>
      <c r="AF581" s="97">
        <f t="shared" si="4677"/>
        <v>0.85564499999999999</v>
      </c>
      <c r="AG581" s="97">
        <f t="shared" si="4678"/>
        <v>0.105</v>
      </c>
      <c r="AH581" s="97">
        <f t="shared" si="4679"/>
        <v>0.85564499999999999</v>
      </c>
      <c r="AI581" s="97">
        <f t="shared" si="4680"/>
        <v>0.105</v>
      </c>
      <c r="AJ581" s="97">
        <f t="shared" si="4681"/>
        <v>0.85564499999999999</v>
      </c>
      <c r="AK581" s="97"/>
      <c r="AL581" s="97">
        <f t="shared" si="4682"/>
        <v>0</v>
      </c>
      <c r="AM581" s="97"/>
      <c r="AN581" s="97">
        <f t="shared" si="4683"/>
        <v>0</v>
      </c>
      <c r="AO581" s="97">
        <v>0.22</v>
      </c>
      <c r="AP581" s="97">
        <f t="shared" si="4684"/>
        <v>1.79278</v>
      </c>
      <c r="AQ581" s="97">
        <f t="shared" si="4685"/>
        <v>0.22</v>
      </c>
      <c r="AR581" s="97">
        <f t="shared" si="4686"/>
        <v>1.79278</v>
      </c>
      <c r="AS581" s="97">
        <v>19.003</v>
      </c>
      <c r="AT581" s="97">
        <f t="shared" si="4687"/>
        <v>154.85544700000003</v>
      </c>
      <c r="AU581" s="97">
        <v>33.442</v>
      </c>
      <c r="AV581" s="97">
        <f t="shared" si="4688"/>
        <v>272.51885800000002</v>
      </c>
      <c r="AW581" s="97">
        <v>19.347000000000001</v>
      </c>
      <c r="AX581" s="97">
        <f t="shared" si="4689"/>
        <v>157.658703</v>
      </c>
      <c r="AY581" s="97">
        <f t="shared" si="4690"/>
        <v>71.792000000000002</v>
      </c>
      <c r="AZ581" s="97">
        <f t="shared" si="4691"/>
        <v>585.03300800000011</v>
      </c>
      <c r="BA581" s="97">
        <f t="shared" si="4692"/>
        <v>72.012</v>
      </c>
      <c r="BB581" s="97">
        <f t="shared" si="4693"/>
        <v>586.8257880000001</v>
      </c>
    </row>
    <row r="582" spans="1:54">
      <c r="A582" s="498">
        <v>409</v>
      </c>
      <c r="B582" s="13"/>
      <c r="C582" s="438"/>
      <c r="D582" s="13"/>
      <c r="E582" s="21" t="s">
        <v>1573</v>
      </c>
      <c r="F582" s="46"/>
      <c r="G582" s="46" t="s">
        <v>1105</v>
      </c>
      <c r="H582" s="268" t="s">
        <v>365</v>
      </c>
      <c r="I582" s="55"/>
      <c r="J582" s="163">
        <v>18340</v>
      </c>
      <c r="K582" s="55"/>
      <c r="L582" s="163">
        <v>18340</v>
      </c>
      <c r="M582" s="55"/>
      <c r="N582" s="163">
        <v>18340</v>
      </c>
      <c r="O582" s="55"/>
      <c r="P582" s="163">
        <v>18384</v>
      </c>
      <c r="Q582" s="97">
        <f>SUM(AI582+BA582)</f>
        <v>0.03</v>
      </c>
      <c r="R582" s="342">
        <f t="shared" si="4643"/>
        <v>0.55019999999999991</v>
      </c>
      <c r="S582" s="97"/>
      <c r="T582" s="97">
        <f t="shared" si="4617"/>
        <v>0</v>
      </c>
      <c r="U582" s="97"/>
      <c r="V582" s="97">
        <f t="shared" si="4618"/>
        <v>0</v>
      </c>
      <c r="W582" s="97"/>
      <c r="X582" s="97">
        <f t="shared" si="4619"/>
        <v>0</v>
      </c>
      <c r="Y582" s="97">
        <f t="shared" si="4620"/>
        <v>0</v>
      </c>
      <c r="Z582" s="97">
        <f t="shared" si="4621"/>
        <v>0</v>
      </c>
      <c r="AA582" s="97"/>
      <c r="AB582" s="97">
        <f t="shared" si="4622"/>
        <v>0</v>
      </c>
      <c r="AC582" s="97"/>
      <c r="AD582" s="97">
        <f t="shared" ref="AD582" si="4695">L582*AC582/1000</f>
        <v>0</v>
      </c>
      <c r="AE582" s="97"/>
      <c r="AF582" s="97">
        <f t="shared" si="4624"/>
        <v>0</v>
      </c>
      <c r="AG582" s="97">
        <f t="shared" si="4625"/>
        <v>0</v>
      </c>
      <c r="AH582" s="97">
        <f t="shared" si="4626"/>
        <v>0</v>
      </c>
      <c r="AI582" s="97">
        <f t="shared" si="4627"/>
        <v>0</v>
      </c>
      <c r="AJ582" s="97">
        <f t="shared" si="4628"/>
        <v>0</v>
      </c>
      <c r="AK582" s="97"/>
      <c r="AL582" s="97">
        <f t="shared" si="4629"/>
        <v>0</v>
      </c>
      <c r="AM582" s="97">
        <v>0.03</v>
      </c>
      <c r="AN582" s="97">
        <f t="shared" si="4630"/>
        <v>0.55019999999999991</v>
      </c>
      <c r="AO582" s="97"/>
      <c r="AP582" s="97">
        <f t="shared" si="4631"/>
        <v>0</v>
      </c>
      <c r="AQ582" s="97">
        <f t="shared" si="4632"/>
        <v>0.03</v>
      </c>
      <c r="AR582" s="97">
        <f t="shared" si="4633"/>
        <v>0.55019999999999991</v>
      </c>
      <c r="AS582" s="97"/>
      <c r="AT582" s="97">
        <f t="shared" si="4634"/>
        <v>0</v>
      </c>
      <c r="AU582" s="97"/>
      <c r="AV582" s="97">
        <f t="shared" si="4635"/>
        <v>0</v>
      </c>
      <c r="AW582" s="97"/>
      <c r="AX582" s="97">
        <f t="shared" si="4636"/>
        <v>0</v>
      </c>
      <c r="AY582" s="97">
        <f t="shared" si="4637"/>
        <v>0</v>
      </c>
      <c r="AZ582" s="97">
        <f t="shared" si="4638"/>
        <v>0</v>
      </c>
      <c r="BA582" s="97">
        <f t="shared" si="4639"/>
        <v>0.03</v>
      </c>
      <c r="BB582" s="97">
        <f t="shared" si="4640"/>
        <v>0.55019999999999991</v>
      </c>
    </row>
    <row r="583" spans="1:54">
      <c r="A583" s="498">
        <v>409</v>
      </c>
      <c r="B583" s="13"/>
      <c r="C583" s="438"/>
      <c r="D583" s="13"/>
      <c r="E583" s="21" t="s">
        <v>1419</v>
      </c>
      <c r="F583" s="46"/>
      <c r="G583" s="46" t="s">
        <v>1105</v>
      </c>
      <c r="H583" s="268" t="s">
        <v>365</v>
      </c>
      <c r="I583" s="55"/>
      <c r="J583" s="163">
        <v>15376</v>
      </c>
      <c r="K583" s="55"/>
      <c r="L583" s="163">
        <v>15376</v>
      </c>
      <c r="M583" s="55"/>
      <c r="N583" s="163">
        <v>15376</v>
      </c>
      <c r="O583" s="55"/>
      <c r="P583" s="163">
        <v>15376</v>
      </c>
      <c r="Q583" s="97">
        <f>SUM(AI583+BA583)</f>
        <v>187.886</v>
      </c>
      <c r="R583" s="342">
        <f t="shared" ref="R583" si="4696">SUM(AJ583+BB583)</f>
        <v>2888.9351360000001</v>
      </c>
      <c r="S583" s="97">
        <v>8.3879999999999999</v>
      </c>
      <c r="T583" s="97">
        <f t="shared" si="4617"/>
        <v>128.97388799999999</v>
      </c>
      <c r="U583" s="97">
        <v>11.101000000000001</v>
      </c>
      <c r="V583" s="97">
        <f t="shared" si="4618"/>
        <v>170.68897600000003</v>
      </c>
      <c r="W583" s="97">
        <v>15.548999999999999</v>
      </c>
      <c r="X583" s="97">
        <f t="shared" si="4619"/>
        <v>239.081424</v>
      </c>
      <c r="Y583" s="97">
        <f t="shared" si="4620"/>
        <v>35.037999999999997</v>
      </c>
      <c r="Z583" s="97">
        <f t="shared" si="4621"/>
        <v>538.74428799999998</v>
      </c>
      <c r="AA583" s="97">
        <v>17.858000000000001</v>
      </c>
      <c r="AB583" s="97">
        <f t="shared" si="4622"/>
        <v>274.584608</v>
      </c>
      <c r="AC583" s="97">
        <v>26.969000000000001</v>
      </c>
      <c r="AD583" s="97">
        <f t="shared" si="4642"/>
        <v>414.67534400000005</v>
      </c>
      <c r="AE583" s="97">
        <v>21.388999999999999</v>
      </c>
      <c r="AF583" s="97">
        <f t="shared" si="4624"/>
        <v>328.87726399999997</v>
      </c>
      <c r="AG583" s="97">
        <f t="shared" si="4625"/>
        <v>66.215999999999994</v>
      </c>
      <c r="AH583" s="97">
        <f t="shared" si="4626"/>
        <v>1018.1372160000001</v>
      </c>
      <c r="AI583" s="97">
        <f t="shared" si="4627"/>
        <v>101.25399999999999</v>
      </c>
      <c r="AJ583" s="97">
        <f t="shared" si="4628"/>
        <v>1556.8815039999999</v>
      </c>
      <c r="AK583" s="97">
        <v>15.589</v>
      </c>
      <c r="AL583" s="97">
        <f t="shared" si="4629"/>
        <v>239.69646400000002</v>
      </c>
      <c r="AM583" s="97">
        <v>23.123999999999999</v>
      </c>
      <c r="AN583" s="97">
        <f t="shared" si="4630"/>
        <v>355.55462399999993</v>
      </c>
      <c r="AO583" s="97">
        <v>17.914999999999999</v>
      </c>
      <c r="AP583" s="97">
        <f t="shared" si="4631"/>
        <v>275.46103999999997</v>
      </c>
      <c r="AQ583" s="97">
        <f t="shared" si="4632"/>
        <v>56.628</v>
      </c>
      <c r="AR583" s="97">
        <f t="shared" si="4633"/>
        <v>870.71212799999989</v>
      </c>
      <c r="AS583" s="97">
        <v>12.532</v>
      </c>
      <c r="AT583" s="97">
        <f t="shared" si="4634"/>
        <v>192.69203200000001</v>
      </c>
      <c r="AU583" s="97">
        <v>4.4770000000000003</v>
      </c>
      <c r="AV583" s="97">
        <f t="shared" si="4635"/>
        <v>68.838352</v>
      </c>
      <c r="AW583" s="97">
        <v>12.994999999999999</v>
      </c>
      <c r="AX583" s="97">
        <f t="shared" si="4636"/>
        <v>199.81111999999999</v>
      </c>
      <c r="AY583" s="97">
        <f t="shared" si="4637"/>
        <v>30.003999999999998</v>
      </c>
      <c r="AZ583" s="97">
        <f t="shared" si="4638"/>
        <v>461.34150399999999</v>
      </c>
      <c r="BA583" s="97">
        <f t="shared" si="4639"/>
        <v>86.632000000000005</v>
      </c>
      <c r="BB583" s="97">
        <f t="shared" si="4640"/>
        <v>1332.0536319999999</v>
      </c>
    </row>
    <row r="584" spans="1:54">
      <c r="A584" s="498">
        <v>409</v>
      </c>
      <c r="B584" s="13"/>
      <c r="C584" s="438"/>
      <c r="D584" s="13"/>
      <c r="E584" s="21" t="s">
        <v>1603</v>
      </c>
      <c r="F584" s="46"/>
      <c r="G584" s="46" t="s">
        <v>1105</v>
      </c>
      <c r="H584" s="268" t="s">
        <v>365</v>
      </c>
      <c r="I584" s="55"/>
      <c r="J584" s="163">
        <v>7703</v>
      </c>
      <c r="K584" s="55"/>
      <c r="L584" s="163">
        <v>7703</v>
      </c>
      <c r="M584" s="55"/>
      <c r="N584" s="163">
        <v>7703</v>
      </c>
      <c r="O584" s="55"/>
      <c r="P584" s="163">
        <v>7703</v>
      </c>
      <c r="Q584" s="97">
        <f>SUM(AI584+BA584)</f>
        <v>2.3680000000000003</v>
      </c>
      <c r="R584" s="342">
        <f>SUM(AJ584+BB584)</f>
        <v>18.240704000000001</v>
      </c>
      <c r="S584" s="97"/>
      <c r="T584" s="97">
        <f t="shared" si="4617"/>
        <v>0</v>
      </c>
      <c r="U584" s="97">
        <v>0.36299999999999999</v>
      </c>
      <c r="V584" s="97">
        <f t="shared" si="4618"/>
        <v>2.796189</v>
      </c>
      <c r="W584" s="97"/>
      <c r="X584" s="97">
        <f t="shared" si="4619"/>
        <v>0</v>
      </c>
      <c r="Y584" s="97">
        <f t="shared" si="4620"/>
        <v>0.36299999999999999</v>
      </c>
      <c r="Z584" s="97">
        <f t="shared" si="4621"/>
        <v>2.796189</v>
      </c>
      <c r="AA584" s="97">
        <v>1.042</v>
      </c>
      <c r="AB584" s="97">
        <f t="shared" si="4622"/>
        <v>8.0265260000000005</v>
      </c>
      <c r="AC584" s="97">
        <v>0.70299999999999996</v>
      </c>
      <c r="AD584" s="97">
        <f t="shared" ref="AD584" si="4697">L584*AC584/1000</f>
        <v>5.4152089999999999</v>
      </c>
      <c r="AE584" s="97"/>
      <c r="AF584" s="97">
        <f t="shared" si="4624"/>
        <v>0</v>
      </c>
      <c r="AG584" s="97">
        <f t="shared" si="4625"/>
        <v>1.7450000000000001</v>
      </c>
      <c r="AH584" s="97">
        <f t="shared" si="4626"/>
        <v>13.441735000000001</v>
      </c>
      <c r="AI584" s="97">
        <f t="shared" si="4627"/>
        <v>2.1080000000000001</v>
      </c>
      <c r="AJ584" s="97">
        <f t="shared" si="4628"/>
        <v>16.237924</v>
      </c>
      <c r="AK584" s="97"/>
      <c r="AL584" s="97">
        <f t="shared" si="4629"/>
        <v>0</v>
      </c>
      <c r="AM584" s="97"/>
      <c r="AN584" s="97">
        <f t="shared" si="4630"/>
        <v>0</v>
      </c>
      <c r="AO584" s="97"/>
      <c r="AP584" s="97">
        <f t="shared" si="4631"/>
        <v>0</v>
      </c>
      <c r="AQ584" s="97">
        <f t="shared" si="4632"/>
        <v>0</v>
      </c>
      <c r="AR584" s="97">
        <f t="shared" si="4633"/>
        <v>0</v>
      </c>
      <c r="AS584" s="97"/>
      <c r="AT584" s="97">
        <f t="shared" si="4634"/>
        <v>0</v>
      </c>
      <c r="AU584" s="97">
        <v>0.1</v>
      </c>
      <c r="AV584" s="97">
        <f t="shared" si="4635"/>
        <v>0.7703000000000001</v>
      </c>
      <c r="AW584" s="97">
        <v>0.16</v>
      </c>
      <c r="AX584" s="97">
        <f t="shared" si="4636"/>
        <v>1.23248</v>
      </c>
      <c r="AY584" s="97">
        <f t="shared" si="4637"/>
        <v>0.26</v>
      </c>
      <c r="AZ584" s="97">
        <f t="shared" si="4638"/>
        <v>2.00278</v>
      </c>
      <c r="BA584" s="97">
        <f t="shared" si="4639"/>
        <v>0.26</v>
      </c>
      <c r="BB584" s="97">
        <f t="shared" si="4640"/>
        <v>2.00278</v>
      </c>
    </row>
    <row r="585" spans="1:54">
      <c r="A585" s="498">
        <v>409</v>
      </c>
      <c r="B585" s="13"/>
      <c r="C585" s="438"/>
      <c r="D585" s="13"/>
      <c r="E585" s="21" t="s">
        <v>936</v>
      </c>
      <c r="F585" s="46"/>
      <c r="G585" s="46" t="s">
        <v>1105</v>
      </c>
      <c r="H585" s="268" t="s">
        <v>365</v>
      </c>
      <c r="I585" s="55"/>
      <c r="J585" s="163">
        <v>2708</v>
      </c>
      <c r="K585" s="55"/>
      <c r="L585" s="163">
        <v>2708</v>
      </c>
      <c r="M585" s="55"/>
      <c r="N585" s="163">
        <v>2708</v>
      </c>
      <c r="O585" s="55"/>
      <c r="P585" s="163">
        <v>2708</v>
      </c>
      <c r="Q585" s="97">
        <f>SUM(AI585+BA585)</f>
        <v>0</v>
      </c>
      <c r="R585" s="342">
        <f>SUM(AJ585+BB585)</f>
        <v>0</v>
      </c>
      <c r="S585" s="97"/>
      <c r="T585" s="97">
        <f t="shared" si="4390"/>
        <v>0</v>
      </c>
      <c r="U585" s="97"/>
      <c r="V585" s="97">
        <f t="shared" si="4391"/>
        <v>0</v>
      </c>
      <c r="W585" s="97"/>
      <c r="X585" s="97">
        <f t="shared" si="4392"/>
        <v>0</v>
      </c>
      <c r="Y585" s="97">
        <f t="shared" si="4393"/>
        <v>0</v>
      </c>
      <c r="Z585" s="97">
        <f t="shared" si="4394"/>
        <v>0</v>
      </c>
      <c r="AA585" s="97"/>
      <c r="AB585" s="97">
        <f t="shared" si="4395"/>
        <v>0</v>
      </c>
      <c r="AC585" s="97"/>
      <c r="AD585" s="97">
        <f t="shared" si="4642"/>
        <v>0</v>
      </c>
      <c r="AE585" s="97"/>
      <c r="AF585" s="97">
        <f t="shared" si="4412"/>
        <v>0</v>
      </c>
      <c r="AG585" s="97">
        <f t="shared" si="4397"/>
        <v>0</v>
      </c>
      <c r="AH585" s="97">
        <f t="shared" si="4398"/>
        <v>0</v>
      </c>
      <c r="AI585" s="97">
        <f t="shared" si="4399"/>
        <v>0</v>
      </c>
      <c r="AJ585" s="97">
        <f t="shared" si="4400"/>
        <v>0</v>
      </c>
      <c r="AK585" s="97"/>
      <c r="AL585" s="97">
        <f t="shared" si="4401"/>
        <v>0</v>
      </c>
      <c r="AM585" s="97"/>
      <c r="AN585" s="97">
        <f t="shared" si="4402"/>
        <v>0</v>
      </c>
      <c r="AO585" s="97"/>
      <c r="AP585" s="97">
        <f t="shared" si="4403"/>
        <v>0</v>
      </c>
      <c r="AQ585" s="97">
        <f t="shared" si="4404"/>
        <v>0</v>
      </c>
      <c r="AR585" s="97">
        <f t="shared" si="4405"/>
        <v>0</v>
      </c>
      <c r="AS585" s="97"/>
      <c r="AT585" s="97">
        <f t="shared" si="4413"/>
        <v>0</v>
      </c>
      <c r="AU585" s="97"/>
      <c r="AV585" s="97">
        <f t="shared" si="4406"/>
        <v>0</v>
      </c>
      <c r="AW585" s="97"/>
      <c r="AX585" s="97">
        <f t="shared" si="4407"/>
        <v>0</v>
      </c>
      <c r="AY585" s="97">
        <f t="shared" si="4408"/>
        <v>0</v>
      </c>
      <c r="AZ585" s="97">
        <f t="shared" si="4409"/>
        <v>0</v>
      </c>
      <c r="BA585" s="97">
        <f t="shared" si="4410"/>
        <v>0</v>
      </c>
      <c r="BB585" s="97">
        <f t="shared" si="4411"/>
        <v>0</v>
      </c>
    </row>
    <row r="586" spans="1:54">
      <c r="A586" s="498">
        <v>410</v>
      </c>
      <c r="B586" s="13"/>
      <c r="C586" s="438"/>
      <c r="D586" s="13"/>
      <c r="E586" s="21" t="s">
        <v>556</v>
      </c>
      <c r="F586" s="46"/>
      <c r="G586" s="46" t="s">
        <v>1105</v>
      </c>
      <c r="H586" s="268" t="s">
        <v>365</v>
      </c>
      <c r="I586" s="55"/>
      <c r="J586" s="163">
        <v>2208</v>
      </c>
      <c r="K586" s="55"/>
      <c r="L586" s="163">
        <v>2208</v>
      </c>
      <c r="M586" s="55"/>
      <c r="N586" s="163">
        <v>2208</v>
      </c>
      <c r="O586" s="55"/>
      <c r="P586" s="163">
        <v>2208</v>
      </c>
      <c r="Q586" s="97">
        <f t="shared" ref="Q586" si="4698">SUM(AI586+BA586)</f>
        <v>0</v>
      </c>
      <c r="R586" s="342">
        <f>SUM(AJ586+BB586)</f>
        <v>0</v>
      </c>
      <c r="S586" s="97"/>
      <c r="T586" s="97">
        <f t="shared" ref="T586" si="4699">J586*S586/1000</f>
        <v>0</v>
      </c>
      <c r="U586" s="97"/>
      <c r="V586" s="97">
        <f t="shared" ref="V586" si="4700">J586*U586/1000</f>
        <v>0</v>
      </c>
      <c r="W586" s="97"/>
      <c r="X586" s="97">
        <f t="shared" ref="X586" si="4701">J586*W586/1000</f>
        <v>0</v>
      </c>
      <c r="Y586" s="97">
        <f t="shared" ref="Y586" si="4702">SUM(S586+U586+W586)</f>
        <v>0</v>
      </c>
      <c r="Z586" s="97">
        <f t="shared" ref="Z586" si="4703">SUM(T586+V586+X586)</f>
        <v>0</v>
      </c>
      <c r="AA586" s="97"/>
      <c r="AB586" s="97">
        <f t="shared" ref="AB586" si="4704">L586*AA586/1000</f>
        <v>0</v>
      </c>
      <c r="AC586" s="97"/>
      <c r="AD586" s="97">
        <f t="shared" si="4642"/>
        <v>0</v>
      </c>
      <c r="AE586" s="97"/>
      <c r="AF586" s="97">
        <f t="shared" si="4412"/>
        <v>0</v>
      </c>
      <c r="AG586" s="97">
        <f t="shared" ref="AG586" si="4705">SUM(AA586+AC586+AE586)</f>
        <v>0</v>
      </c>
      <c r="AH586" s="97">
        <f t="shared" ref="AH586" si="4706">SUM(AB586+AD586+AF586)</f>
        <v>0</v>
      </c>
      <c r="AI586" s="97">
        <f t="shared" ref="AI586" si="4707">SUM(Y586+AG586)</f>
        <v>0</v>
      </c>
      <c r="AJ586" s="97">
        <f t="shared" ref="AJ586" si="4708">SUM(Z586,AH586)</f>
        <v>0</v>
      </c>
      <c r="AK586" s="97"/>
      <c r="AL586" s="97">
        <f t="shared" ref="AL586" si="4709">N586*AK586/1000</f>
        <v>0</v>
      </c>
      <c r="AM586" s="97"/>
      <c r="AN586" s="97">
        <f t="shared" ref="AN586" si="4710">N586*AM586/1000</f>
        <v>0</v>
      </c>
      <c r="AO586" s="97"/>
      <c r="AP586" s="97">
        <f t="shared" ref="AP586" si="4711">N586*AO586/1000</f>
        <v>0</v>
      </c>
      <c r="AQ586" s="97">
        <f t="shared" ref="AQ586" si="4712">SUM(AK586+AM586+AO586)</f>
        <v>0</v>
      </c>
      <c r="AR586" s="97">
        <f t="shared" ref="AR586" si="4713">SUM(AL586+AN586+AP586)</f>
        <v>0</v>
      </c>
      <c r="AS586" s="97"/>
      <c r="AT586" s="97">
        <f t="shared" ref="AT586" si="4714">P586*AS586/1000</f>
        <v>0</v>
      </c>
      <c r="AU586" s="97"/>
      <c r="AV586" s="97">
        <f t="shared" ref="AV586" si="4715">P586*AU586/1000</f>
        <v>0</v>
      </c>
      <c r="AW586" s="97"/>
      <c r="AX586" s="97">
        <f t="shared" ref="AX586" si="4716">P586*AW586/1000</f>
        <v>0</v>
      </c>
      <c r="AY586" s="97">
        <f t="shared" ref="AY586" si="4717">SUM(AS586+AU586+AW586)</f>
        <v>0</v>
      </c>
      <c r="AZ586" s="97">
        <f t="shared" ref="AZ586" si="4718">SUM(AT586+AV586+AX586)</f>
        <v>0</v>
      </c>
      <c r="BA586" s="97">
        <f t="shared" ref="BA586" si="4719">SUM(AQ586+AY586)</f>
        <v>0</v>
      </c>
      <c r="BB586" s="97">
        <f t="shared" ref="BB586" si="4720">SUM(AR586,AZ586)</f>
        <v>0</v>
      </c>
    </row>
    <row r="587" spans="1:54">
      <c r="A587" s="498">
        <v>410</v>
      </c>
      <c r="B587" s="13"/>
      <c r="C587" s="438"/>
      <c r="D587" s="13"/>
      <c r="E587" s="21" t="s">
        <v>1487</v>
      </c>
      <c r="F587" s="46"/>
      <c r="G587" s="46" t="s">
        <v>1105</v>
      </c>
      <c r="H587" s="268" t="s">
        <v>365</v>
      </c>
      <c r="I587" s="55"/>
      <c r="J587" s="163">
        <v>6703</v>
      </c>
      <c r="K587" s="55"/>
      <c r="L587" s="163">
        <v>6703</v>
      </c>
      <c r="M587" s="55"/>
      <c r="N587" s="163">
        <v>6703</v>
      </c>
      <c r="O587" s="55"/>
      <c r="P587" s="163">
        <v>6703</v>
      </c>
      <c r="Q587" s="97">
        <f>SUM(AI587+BA587)</f>
        <v>2.95</v>
      </c>
      <c r="R587" s="342">
        <f>SUM(AJ587+BB587)</f>
        <v>19.773849999999999</v>
      </c>
      <c r="S587" s="97">
        <v>0.25</v>
      </c>
      <c r="T587" s="97">
        <f t="shared" ref="T587" si="4721">J587*S587/1000</f>
        <v>1.6757500000000001</v>
      </c>
      <c r="U587" s="97">
        <v>0.4</v>
      </c>
      <c r="V587" s="97">
        <f t="shared" ref="V587" si="4722">J587*U587/1000</f>
        <v>2.6812000000000005</v>
      </c>
      <c r="W587" s="97">
        <v>0.35</v>
      </c>
      <c r="X587" s="97">
        <f t="shared" ref="X587" si="4723">J587*W587/1000</f>
        <v>2.3460499999999995</v>
      </c>
      <c r="Y587" s="97">
        <f t="shared" ref="Y587" si="4724">SUM(S587+U587+W587)</f>
        <v>1</v>
      </c>
      <c r="Z587" s="97">
        <f t="shared" ref="Z587" si="4725">SUM(T587+V587+X587)</f>
        <v>6.7029999999999994</v>
      </c>
      <c r="AA587" s="97">
        <v>0.3</v>
      </c>
      <c r="AB587" s="97">
        <f t="shared" ref="AB587" si="4726">L587*AA587/1000</f>
        <v>2.0108999999999999</v>
      </c>
      <c r="AC587" s="97"/>
      <c r="AD587" s="97">
        <f t="shared" si="4642"/>
        <v>0</v>
      </c>
      <c r="AE587" s="97">
        <v>0.2</v>
      </c>
      <c r="AF587" s="97">
        <f t="shared" ref="AF587" si="4727">L587*AE587/1000</f>
        <v>1.3406000000000002</v>
      </c>
      <c r="AG587" s="97">
        <f t="shared" ref="AG587" si="4728">SUM(AA587+AC587+AE587)</f>
        <v>0.5</v>
      </c>
      <c r="AH587" s="97">
        <f t="shared" ref="AH587" si="4729">SUM(AB587+AD587+AF587)</f>
        <v>3.3515000000000001</v>
      </c>
      <c r="AI587" s="97">
        <f t="shared" ref="AI587" si="4730">SUM(Y587+AG587)</f>
        <v>1.5</v>
      </c>
      <c r="AJ587" s="97">
        <f t="shared" ref="AJ587" si="4731">SUM(Z587,AH587)</f>
        <v>10.054499999999999</v>
      </c>
      <c r="AK587" s="97">
        <v>0.4</v>
      </c>
      <c r="AL587" s="97">
        <f t="shared" ref="AL587" si="4732">N587*AK587/1000</f>
        <v>2.6812000000000005</v>
      </c>
      <c r="AM587" s="97">
        <v>0.15</v>
      </c>
      <c r="AN587" s="97">
        <f t="shared" ref="AN587" si="4733">N587*AM587/1000</f>
        <v>1.00545</v>
      </c>
      <c r="AO587" s="97">
        <v>0.15</v>
      </c>
      <c r="AP587" s="97">
        <f t="shared" ref="AP587" si="4734">N587*AO587/1000</f>
        <v>1.00545</v>
      </c>
      <c r="AQ587" s="97">
        <f t="shared" ref="AQ587" si="4735">SUM(AK587+AM587+AO587)</f>
        <v>0.70000000000000007</v>
      </c>
      <c r="AR587" s="97">
        <f t="shared" ref="AR587" si="4736">SUM(AL587+AN587+AP587)</f>
        <v>4.6920999999999999</v>
      </c>
      <c r="AS587" s="97">
        <v>0.25</v>
      </c>
      <c r="AT587" s="97">
        <f t="shared" ref="AT587" si="4737">P587*AS587/1000</f>
        <v>1.6757500000000001</v>
      </c>
      <c r="AU587" s="97"/>
      <c r="AV587" s="97">
        <f t="shared" ref="AV587" si="4738">P587*AU587/1000</f>
        <v>0</v>
      </c>
      <c r="AW587" s="97">
        <v>0.5</v>
      </c>
      <c r="AX587" s="97">
        <f t="shared" ref="AX587" si="4739">P587*AW587/1000</f>
        <v>3.3515000000000001</v>
      </c>
      <c r="AY587" s="97">
        <f t="shared" ref="AY587" si="4740">SUM(AS587+AU587+AW587)</f>
        <v>0.75</v>
      </c>
      <c r="AZ587" s="97">
        <f t="shared" ref="AZ587" si="4741">SUM(AT587+AV587+AX587)</f>
        <v>5.0272500000000004</v>
      </c>
      <c r="BA587" s="97">
        <f t="shared" ref="BA587" si="4742">SUM(AQ587+AY587)</f>
        <v>1.4500000000000002</v>
      </c>
      <c r="BB587" s="97">
        <f t="shared" ref="BB587" si="4743">SUM(AR587,AZ587)</f>
        <v>9.7193500000000004</v>
      </c>
    </row>
    <row r="588" spans="1:54">
      <c r="A588" s="498">
        <v>411</v>
      </c>
      <c r="B588" s="13"/>
      <c r="C588" s="438"/>
      <c r="D588" s="13"/>
      <c r="E588" s="21" t="s">
        <v>1176</v>
      </c>
      <c r="F588" s="46"/>
      <c r="G588" s="46" t="s">
        <v>1105</v>
      </c>
      <c r="H588" s="268" t="s">
        <v>365</v>
      </c>
      <c r="I588" s="55"/>
      <c r="J588" s="163">
        <v>18801</v>
      </c>
      <c r="K588" s="55"/>
      <c r="L588" s="163">
        <v>18801</v>
      </c>
      <c r="M588" s="55"/>
      <c r="N588" s="163">
        <v>18801</v>
      </c>
      <c r="O588" s="55"/>
      <c r="P588" s="163">
        <v>18845</v>
      </c>
      <c r="Q588" s="97">
        <f>SUM(AI588+BA588)</f>
        <v>5.173</v>
      </c>
      <c r="R588" s="342">
        <f t="shared" si="4389"/>
        <v>97.335056999999978</v>
      </c>
      <c r="S588" s="97"/>
      <c r="T588" s="97">
        <f t="shared" si="4390"/>
        <v>0</v>
      </c>
      <c r="U588" s="97">
        <v>3.9E-2</v>
      </c>
      <c r="V588" s="97">
        <f t="shared" si="4391"/>
        <v>0.73323900000000009</v>
      </c>
      <c r="W588" s="97">
        <v>5.6000000000000001E-2</v>
      </c>
      <c r="X588" s="97">
        <f t="shared" si="4392"/>
        <v>1.052856</v>
      </c>
      <c r="Y588" s="97">
        <f t="shared" si="4393"/>
        <v>9.5000000000000001E-2</v>
      </c>
      <c r="Z588" s="97">
        <f t="shared" si="4394"/>
        <v>1.786095</v>
      </c>
      <c r="AA588" s="97">
        <v>0.27600000000000002</v>
      </c>
      <c r="AB588" s="97">
        <f t="shared" si="4395"/>
        <v>5.189076</v>
      </c>
      <c r="AC588" s="97">
        <v>1.1639999999999999</v>
      </c>
      <c r="AD588" s="97">
        <f t="shared" si="4396"/>
        <v>21.884363999999998</v>
      </c>
      <c r="AE588" s="97">
        <v>5.5E-2</v>
      </c>
      <c r="AF588" s="97">
        <f t="shared" si="4412"/>
        <v>1.0340550000000002</v>
      </c>
      <c r="AG588" s="97">
        <f t="shared" si="4397"/>
        <v>1.4949999999999999</v>
      </c>
      <c r="AH588" s="97">
        <f t="shared" si="4398"/>
        <v>28.107494999999997</v>
      </c>
      <c r="AI588" s="97">
        <f t="shared" si="4399"/>
        <v>1.5899999999999999</v>
      </c>
      <c r="AJ588" s="97">
        <f t="shared" si="4400"/>
        <v>29.893589999999996</v>
      </c>
      <c r="AK588" s="97">
        <v>0.59699999999999998</v>
      </c>
      <c r="AL588" s="97">
        <f t="shared" si="4401"/>
        <v>11.224197</v>
      </c>
      <c r="AM588" s="97">
        <v>0.63</v>
      </c>
      <c r="AN588" s="97">
        <f t="shared" si="4402"/>
        <v>11.844629999999999</v>
      </c>
      <c r="AO588" s="97">
        <v>0.59499999999999997</v>
      </c>
      <c r="AP588" s="97">
        <f t="shared" si="4403"/>
        <v>11.186594999999999</v>
      </c>
      <c r="AQ588" s="97">
        <f t="shared" si="4404"/>
        <v>1.8219999999999998</v>
      </c>
      <c r="AR588" s="97">
        <f t="shared" si="4405"/>
        <v>34.255421999999996</v>
      </c>
      <c r="AS588" s="97">
        <v>0.73499999999999999</v>
      </c>
      <c r="AT588" s="97">
        <f t="shared" si="4413"/>
        <v>13.851074999999998</v>
      </c>
      <c r="AU588" s="97">
        <v>0.99099999999999999</v>
      </c>
      <c r="AV588" s="97">
        <f t="shared" si="4406"/>
        <v>18.675395000000002</v>
      </c>
      <c r="AW588" s="97">
        <v>3.5000000000000003E-2</v>
      </c>
      <c r="AX588" s="97">
        <f t="shared" si="4407"/>
        <v>0.65957500000000002</v>
      </c>
      <c r="AY588" s="97">
        <f t="shared" si="4408"/>
        <v>1.7609999999999999</v>
      </c>
      <c r="AZ588" s="97">
        <f t="shared" si="4409"/>
        <v>33.186045</v>
      </c>
      <c r="BA588" s="97">
        <f t="shared" si="4410"/>
        <v>3.5829999999999997</v>
      </c>
      <c r="BB588" s="97">
        <f t="shared" si="4411"/>
        <v>67.441466999999989</v>
      </c>
    </row>
    <row r="589" spans="1:54">
      <c r="A589" s="498">
        <v>412</v>
      </c>
      <c r="B589" s="13"/>
      <c r="C589" s="438"/>
      <c r="D589" s="13"/>
      <c r="E589" s="21" t="s">
        <v>557</v>
      </c>
      <c r="F589" s="46"/>
      <c r="G589" s="46" t="s">
        <v>1105</v>
      </c>
      <c r="H589" s="268" t="s">
        <v>365</v>
      </c>
      <c r="I589" s="55"/>
      <c r="J589" s="163">
        <v>17089</v>
      </c>
      <c r="K589" s="55"/>
      <c r="L589" s="163">
        <v>17089</v>
      </c>
      <c r="M589" s="55"/>
      <c r="N589" s="163">
        <v>17089</v>
      </c>
      <c r="O589" s="55"/>
      <c r="P589" s="163">
        <v>18329</v>
      </c>
      <c r="Q589" s="97">
        <f>SUM(AI589+BA589)</f>
        <v>1.978</v>
      </c>
      <c r="R589" s="342">
        <f t="shared" ref="R589:R594" si="4744">SUM(AJ589+BB589)</f>
        <v>34.634082000000006</v>
      </c>
      <c r="S589" s="97">
        <v>4.0000000000000001E-3</v>
      </c>
      <c r="T589" s="97">
        <f t="shared" ref="T589:T594" si="4745">J589*S589/1000</f>
        <v>6.8356E-2</v>
      </c>
      <c r="U589" s="97">
        <v>0.02</v>
      </c>
      <c r="V589" s="97">
        <f t="shared" ref="V589:V594" si="4746">J589*U589/1000</f>
        <v>0.34178000000000003</v>
      </c>
      <c r="W589" s="97">
        <v>0.01</v>
      </c>
      <c r="X589" s="97">
        <f t="shared" ref="X589:X594" si="4747">J589*W589/1000</f>
        <v>0.17089000000000001</v>
      </c>
      <c r="Y589" s="97">
        <f t="shared" ref="Y589:Y594" si="4748">SUM(S589+U589+W589)</f>
        <v>3.4000000000000002E-2</v>
      </c>
      <c r="Z589" s="97">
        <f t="shared" ref="Z589:Z594" si="4749">SUM(T589+V589+X589)</f>
        <v>0.58102600000000004</v>
      </c>
      <c r="AA589" s="97">
        <v>1.0999999999999999E-2</v>
      </c>
      <c r="AB589" s="97">
        <f t="shared" ref="AB589:AB594" si="4750">L589*AA589/1000</f>
        <v>0.18797899999999998</v>
      </c>
      <c r="AC589" s="97">
        <v>0.30099999999999999</v>
      </c>
      <c r="AD589" s="97">
        <f t="shared" ref="AD589" si="4751">L589*AC589/1000</f>
        <v>5.1437889999999999</v>
      </c>
      <c r="AE589" s="97">
        <v>2.3E-2</v>
      </c>
      <c r="AF589" s="97">
        <f t="shared" si="4412"/>
        <v>0.39304699999999998</v>
      </c>
      <c r="AG589" s="97">
        <f t="shared" ref="AG589:AG594" si="4752">SUM(AA589+AC589+AE589)</f>
        <v>0.33500000000000002</v>
      </c>
      <c r="AH589" s="97">
        <f t="shared" ref="AH589:AH594" si="4753">SUM(AB589+AD589+AF589)</f>
        <v>5.7248150000000004</v>
      </c>
      <c r="AI589" s="97">
        <f t="shared" ref="AI589:AI594" si="4754">SUM(Y589+AG589)</f>
        <v>0.36899999999999999</v>
      </c>
      <c r="AJ589" s="97">
        <f t="shared" ref="AJ589:AJ594" si="4755">SUM(Z589,AH589)</f>
        <v>6.3058410000000009</v>
      </c>
      <c r="AK589" s="97">
        <v>0.28299999999999997</v>
      </c>
      <c r="AL589" s="97">
        <f t="shared" ref="AL589:AL594" si="4756">N589*AK589/1000</f>
        <v>4.8361869999999998</v>
      </c>
      <c r="AM589" s="97">
        <v>0.34799999999999998</v>
      </c>
      <c r="AN589" s="97">
        <f t="shared" ref="AN589:AN594" si="4757">N589*AM589/1000</f>
        <v>5.9469719999999997</v>
      </c>
      <c r="AO589" s="97">
        <v>0.307</v>
      </c>
      <c r="AP589" s="97">
        <f t="shared" ref="AP589:AP594" si="4758">N589*AO589/1000</f>
        <v>5.2463230000000003</v>
      </c>
      <c r="AQ589" s="97">
        <f t="shared" ref="AQ589:AQ594" si="4759">SUM(AK589+AM589+AO589)</f>
        <v>0.93799999999999994</v>
      </c>
      <c r="AR589" s="97">
        <f t="shared" ref="AR589:AR594" si="4760">SUM(AL589+AN589+AP589)</f>
        <v>16.029482000000002</v>
      </c>
      <c r="AS589" s="97">
        <v>0.53</v>
      </c>
      <c r="AT589" s="97">
        <f t="shared" ref="AT589:AT594" si="4761">P589*AS589/1000</f>
        <v>9.7143700000000006</v>
      </c>
      <c r="AU589" s="97">
        <v>0.121</v>
      </c>
      <c r="AV589" s="97">
        <f t="shared" ref="AV589:AV594" si="4762">P589*AU589/1000</f>
        <v>2.2178089999999999</v>
      </c>
      <c r="AW589" s="97">
        <v>0.02</v>
      </c>
      <c r="AX589" s="97">
        <f t="shared" ref="AX589:AX594" si="4763">P589*AW589/1000</f>
        <v>0.36657999999999996</v>
      </c>
      <c r="AY589" s="97">
        <f t="shared" ref="AY589:AY594" si="4764">SUM(AS589+AU589+AW589)</f>
        <v>0.67100000000000004</v>
      </c>
      <c r="AZ589" s="97">
        <f t="shared" ref="AZ589:AZ594" si="4765">SUM(AT589+AV589+AX589)</f>
        <v>12.298759000000002</v>
      </c>
      <c r="BA589" s="97">
        <f t="shared" ref="BA589:BA594" si="4766">SUM(AQ589+AY589)</f>
        <v>1.609</v>
      </c>
      <c r="BB589" s="97">
        <f t="shared" ref="BB589:BB594" si="4767">SUM(AR589,AZ589)</f>
        <v>28.328241000000006</v>
      </c>
    </row>
    <row r="590" spans="1:54">
      <c r="A590" s="498">
        <v>413</v>
      </c>
      <c r="B590" s="13"/>
      <c r="C590" s="438"/>
      <c r="D590" s="13"/>
      <c r="E590" s="21" t="s">
        <v>893</v>
      </c>
      <c r="F590" s="46"/>
      <c r="G590" s="46" t="s">
        <v>1105</v>
      </c>
      <c r="H590" s="268" t="s">
        <v>365</v>
      </c>
      <c r="I590" s="55"/>
      <c r="J590" s="163">
        <v>20587</v>
      </c>
      <c r="K590" s="55"/>
      <c r="L590" s="163">
        <v>20587</v>
      </c>
      <c r="M590" s="55"/>
      <c r="N590" s="163">
        <v>20587</v>
      </c>
      <c r="O590" s="55"/>
      <c r="P590" s="163">
        <v>20587</v>
      </c>
      <c r="Q590" s="97">
        <f t="shared" ref="Q590" si="4768">SUM(AI590+BA590)</f>
        <v>4.2130000000000001</v>
      </c>
      <c r="R590" s="342">
        <f t="shared" si="4744"/>
        <v>86.733031000000011</v>
      </c>
      <c r="S590" s="97">
        <v>0.39500000000000002</v>
      </c>
      <c r="T590" s="97">
        <f t="shared" ref="T590:T591" si="4769">J590*S590/1000</f>
        <v>8.1318650000000012</v>
      </c>
      <c r="U590" s="97">
        <v>0.18099999999999999</v>
      </c>
      <c r="V590" s="97">
        <f t="shared" ref="V590:V591" si="4770">J590*U590/1000</f>
        <v>3.7262469999999999</v>
      </c>
      <c r="W590" s="97">
        <v>0.51300000000000001</v>
      </c>
      <c r="X590" s="97">
        <f t="shared" ref="X590:X591" si="4771">J590*W590/1000</f>
        <v>10.561131</v>
      </c>
      <c r="Y590" s="97">
        <f t="shared" ref="Y590:Y591" si="4772">SUM(S590+U590+W590)</f>
        <v>1.089</v>
      </c>
      <c r="Z590" s="97">
        <f t="shared" ref="Z590:Z591" si="4773">SUM(T590+V590+X590)</f>
        <v>22.419243000000002</v>
      </c>
      <c r="AA590" s="97">
        <v>0.36799999999999999</v>
      </c>
      <c r="AB590" s="97">
        <f t="shared" ref="AB590:AB591" si="4774">L590*AA590/1000</f>
        <v>7.5760159999999992</v>
      </c>
      <c r="AC590" s="97">
        <v>0.19800000000000001</v>
      </c>
      <c r="AD590" s="97">
        <f>L590*AC590/1000</f>
        <v>4.0762260000000001</v>
      </c>
      <c r="AE590" s="97">
        <v>0.53800000000000003</v>
      </c>
      <c r="AF590" s="97">
        <f t="shared" si="4412"/>
        <v>11.075806</v>
      </c>
      <c r="AG590" s="97">
        <f t="shared" ref="AG590:AG591" si="4775">SUM(AA590+AC590+AE590)</f>
        <v>1.1040000000000001</v>
      </c>
      <c r="AH590" s="97">
        <f t="shared" ref="AH590:AH591" si="4776">SUM(AB590+AD590+AF590)</f>
        <v>22.728048000000001</v>
      </c>
      <c r="AI590" s="97">
        <f t="shared" ref="AI590:AI591" si="4777">SUM(Y590+AG590)</f>
        <v>2.1930000000000001</v>
      </c>
      <c r="AJ590" s="97">
        <f t="shared" ref="AJ590:AJ591" si="4778">SUM(Z590,AH590)</f>
        <v>45.147291000000003</v>
      </c>
      <c r="AK590" s="97">
        <v>0.63200000000000001</v>
      </c>
      <c r="AL590" s="97">
        <f t="shared" ref="AL590:AL591" si="4779">N590*AK590/1000</f>
        <v>13.010984000000001</v>
      </c>
      <c r="AM590" s="97">
        <v>0.75600000000000001</v>
      </c>
      <c r="AN590" s="97">
        <f t="shared" ref="AN590:AN591" si="4780">N590*AM590/1000</f>
        <v>15.563772</v>
      </c>
      <c r="AO590" s="97">
        <v>0.01</v>
      </c>
      <c r="AP590" s="97">
        <f t="shared" ref="AP590:AP591" si="4781">N590*AO590/1000</f>
        <v>0.20587</v>
      </c>
      <c r="AQ590" s="97">
        <f t="shared" ref="AQ590:AQ591" si="4782">SUM(AK590+AM590+AO590)</f>
        <v>1.3979999999999999</v>
      </c>
      <c r="AR590" s="97">
        <f t="shared" ref="AR590:AR591" si="4783">SUM(AL590+AN590+AP590)</f>
        <v>28.780626000000002</v>
      </c>
      <c r="AS590" s="97">
        <v>0.18</v>
      </c>
      <c r="AT590" s="97">
        <f t="shared" ref="AT590:AT591" si="4784">P590*AS590/1000</f>
        <v>3.70566</v>
      </c>
      <c r="AU590" s="97">
        <v>0.23400000000000001</v>
      </c>
      <c r="AV590" s="97">
        <f t="shared" ref="AV590:AV591" si="4785">P590*AU590/1000</f>
        <v>4.8173580000000005</v>
      </c>
      <c r="AW590" s="97">
        <v>0.20799999999999999</v>
      </c>
      <c r="AX590" s="97">
        <f t="shared" ref="AX590:AX591" si="4786">P590*AW590/1000</f>
        <v>4.2820959999999992</v>
      </c>
      <c r="AY590" s="97">
        <f t="shared" ref="AY590:AY591" si="4787">SUM(AS590+AU590+AW590)</f>
        <v>0.622</v>
      </c>
      <c r="AZ590" s="97">
        <f t="shared" ref="AZ590:AZ591" si="4788">SUM(AT590+AV590+AX590)</f>
        <v>12.805114</v>
      </c>
      <c r="BA590" s="97">
        <f t="shared" ref="BA590:BA591" si="4789">SUM(AQ590+AY590)</f>
        <v>2.02</v>
      </c>
      <c r="BB590" s="97">
        <f t="shared" ref="BB590:BB591" si="4790">SUM(AR590,AZ590)</f>
        <v>41.585740000000001</v>
      </c>
    </row>
    <row r="591" spans="1:54">
      <c r="A591" s="498">
        <v>410</v>
      </c>
      <c r="B591" s="13"/>
      <c r="C591" s="438"/>
      <c r="D591" s="13"/>
      <c r="E591" s="21" t="s">
        <v>1462</v>
      </c>
      <c r="F591" s="46"/>
      <c r="G591" s="46" t="s">
        <v>1105</v>
      </c>
      <c r="H591" s="268" t="s">
        <v>365</v>
      </c>
      <c r="I591" s="55"/>
      <c r="J591" s="163">
        <v>20587</v>
      </c>
      <c r="K591" s="55"/>
      <c r="L591" s="163">
        <v>20587</v>
      </c>
      <c r="M591" s="55"/>
      <c r="N591" s="163">
        <v>20587</v>
      </c>
      <c r="O591" s="55"/>
      <c r="P591" s="163">
        <v>20587</v>
      </c>
      <c r="Q591" s="97">
        <f>SUM(AI591+BA591)</f>
        <v>4.3529999999999998</v>
      </c>
      <c r="R591" s="342">
        <f t="shared" si="4744"/>
        <v>89.615210999999988</v>
      </c>
      <c r="S591" s="97">
        <v>0.72</v>
      </c>
      <c r="T591" s="97">
        <f t="shared" si="4769"/>
        <v>14.82264</v>
      </c>
      <c r="U591" s="97">
        <v>0.53500000000000003</v>
      </c>
      <c r="V591" s="97">
        <f t="shared" si="4770"/>
        <v>11.014044999999999</v>
      </c>
      <c r="W591" s="97">
        <v>0.71599999999999997</v>
      </c>
      <c r="X591" s="97">
        <f t="shared" si="4771"/>
        <v>14.740292</v>
      </c>
      <c r="Y591" s="97">
        <f t="shared" si="4772"/>
        <v>1.9709999999999999</v>
      </c>
      <c r="Z591" s="97">
        <f t="shared" si="4773"/>
        <v>40.576976999999999</v>
      </c>
      <c r="AA591" s="97">
        <v>0.82899999999999996</v>
      </c>
      <c r="AB591" s="97">
        <f t="shared" si="4774"/>
        <v>17.066623</v>
      </c>
      <c r="AC591" s="97">
        <v>0.53500000000000003</v>
      </c>
      <c r="AD591" s="97">
        <f>L591*AC591/1000</f>
        <v>11.014044999999999</v>
      </c>
      <c r="AE591" s="97">
        <v>0.22500000000000001</v>
      </c>
      <c r="AF591" s="97">
        <f t="shared" ref="AF591" si="4791">L591*AE591/1000</f>
        <v>4.6320749999999995</v>
      </c>
      <c r="AG591" s="97">
        <f t="shared" si="4775"/>
        <v>1.589</v>
      </c>
      <c r="AH591" s="97">
        <f t="shared" si="4776"/>
        <v>32.712742999999996</v>
      </c>
      <c r="AI591" s="97">
        <f t="shared" si="4777"/>
        <v>3.5599999999999996</v>
      </c>
      <c r="AJ591" s="97">
        <f t="shared" si="4778"/>
        <v>73.289719999999988</v>
      </c>
      <c r="AK591" s="97"/>
      <c r="AL591" s="97">
        <f t="shared" si="4779"/>
        <v>0</v>
      </c>
      <c r="AM591" s="97">
        <v>7.1999999999999995E-2</v>
      </c>
      <c r="AN591" s="97">
        <f t="shared" si="4780"/>
        <v>1.4822639999999998</v>
      </c>
      <c r="AO591" s="97">
        <v>0.05</v>
      </c>
      <c r="AP591" s="97">
        <f t="shared" si="4781"/>
        <v>1.0293500000000002</v>
      </c>
      <c r="AQ591" s="97">
        <f t="shared" si="4782"/>
        <v>0.122</v>
      </c>
      <c r="AR591" s="97">
        <f t="shared" si="4783"/>
        <v>2.5116139999999998</v>
      </c>
      <c r="AS591" s="97">
        <v>0.51500000000000001</v>
      </c>
      <c r="AT591" s="97">
        <f t="shared" si="4784"/>
        <v>10.602304999999999</v>
      </c>
      <c r="AU591" s="97"/>
      <c r="AV591" s="97">
        <f t="shared" si="4785"/>
        <v>0</v>
      </c>
      <c r="AW591" s="97">
        <v>0.156</v>
      </c>
      <c r="AX591" s="97">
        <f t="shared" si="4786"/>
        <v>3.2115720000000003</v>
      </c>
      <c r="AY591" s="97">
        <f t="shared" si="4787"/>
        <v>0.67100000000000004</v>
      </c>
      <c r="AZ591" s="97">
        <f t="shared" si="4788"/>
        <v>13.813877</v>
      </c>
      <c r="BA591" s="97">
        <f t="shared" si="4789"/>
        <v>0.79300000000000004</v>
      </c>
      <c r="BB591" s="97">
        <f t="shared" si="4790"/>
        <v>16.325491</v>
      </c>
    </row>
    <row r="592" spans="1:54">
      <c r="A592" s="498">
        <v>414</v>
      </c>
      <c r="B592" s="13"/>
      <c r="C592" s="438"/>
      <c r="D592" s="13"/>
      <c r="E592" s="21" t="s">
        <v>1096</v>
      </c>
      <c r="F592" s="46"/>
      <c r="G592" s="46" t="s">
        <v>1105</v>
      </c>
      <c r="H592" s="268" t="s">
        <v>365</v>
      </c>
      <c r="I592" s="55"/>
      <c r="J592" s="163">
        <v>17040</v>
      </c>
      <c r="K592" s="55"/>
      <c r="L592" s="163">
        <v>17040</v>
      </c>
      <c r="M592" s="55"/>
      <c r="N592" s="163">
        <v>17040</v>
      </c>
      <c r="O592" s="55"/>
      <c r="P592" s="163">
        <v>17040</v>
      </c>
      <c r="Q592" s="97">
        <f t="shared" ref="Q592" si="4792">SUM(AI592+BA592)</f>
        <v>0.90199999999999991</v>
      </c>
      <c r="R592" s="342">
        <f t="shared" si="4744"/>
        <v>15.370079999999998</v>
      </c>
      <c r="S592" s="97">
        <v>0.108</v>
      </c>
      <c r="T592" s="97">
        <f t="shared" si="4745"/>
        <v>1.84032</v>
      </c>
      <c r="U592" s="97">
        <v>0.108</v>
      </c>
      <c r="V592" s="97">
        <f t="shared" si="4746"/>
        <v>1.84032</v>
      </c>
      <c r="W592" s="97"/>
      <c r="X592" s="97">
        <f t="shared" si="4747"/>
        <v>0</v>
      </c>
      <c r="Y592" s="97">
        <f t="shared" si="4748"/>
        <v>0.216</v>
      </c>
      <c r="Z592" s="97">
        <f t="shared" si="4749"/>
        <v>3.6806399999999999</v>
      </c>
      <c r="AA592" s="97">
        <v>0.108</v>
      </c>
      <c r="AB592" s="97">
        <f t="shared" si="4750"/>
        <v>1.84032</v>
      </c>
      <c r="AC592" s="97"/>
      <c r="AD592" s="97">
        <f>L592*AC592/1000</f>
        <v>0</v>
      </c>
      <c r="AE592" s="97">
        <v>0.108</v>
      </c>
      <c r="AF592" s="97">
        <f t="shared" ref="AF592:AF594" si="4793">L592*AE592/1000</f>
        <v>1.84032</v>
      </c>
      <c r="AG592" s="97">
        <f t="shared" si="4752"/>
        <v>0.216</v>
      </c>
      <c r="AH592" s="97">
        <f t="shared" si="4753"/>
        <v>3.6806399999999999</v>
      </c>
      <c r="AI592" s="97">
        <f t="shared" si="4754"/>
        <v>0.432</v>
      </c>
      <c r="AJ592" s="97">
        <f t="shared" si="4755"/>
        <v>7.3612799999999998</v>
      </c>
      <c r="AK592" s="97">
        <v>0.108</v>
      </c>
      <c r="AL592" s="97">
        <f t="shared" si="4756"/>
        <v>1.84032</v>
      </c>
      <c r="AM592" s="97"/>
      <c r="AN592" s="97">
        <f t="shared" si="4757"/>
        <v>0</v>
      </c>
      <c r="AO592" s="97">
        <v>0.13600000000000001</v>
      </c>
      <c r="AP592" s="97">
        <f t="shared" si="4758"/>
        <v>2.3174399999999999</v>
      </c>
      <c r="AQ592" s="97">
        <f t="shared" si="4759"/>
        <v>0.24399999999999999</v>
      </c>
      <c r="AR592" s="97">
        <f t="shared" si="4760"/>
        <v>4.1577599999999997</v>
      </c>
      <c r="AS592" s="97">
        <v>0.11799999999999999</v>
      </c>
      <c r="AT592" s="97">
        <f t="shared" si="4761"/>
        <v>2.0107199999999996</v>
      </c>
      <c r="AU592" s="97"/>
      <c r="AV592" s="97">
        <f t="shared" si="4762"/>
        <v>0</v>
      </c>
      <c r="AW592" s="97">
        <v>0.108</v>
      </c>
      <c r="AX592" s="97">
        <f t="shared" si="4763"/>
        <v>1.84032</v>
      </c>
      <c r="AY592" s="97">
        <f t="shared" si="4764"/>
        <v>0.22599999999999998</v>
      </c>
      <c r="AZ592" s="97">
        <f t="shared" si="4765"/>
        <v>3.8510399999999994</v>
      </c>
      <c r="BA592" s="97">
        <f t="shared" si="4766"/>
        <v>0.47</v>
      </c>
      <c r="BB592" s="97">
        <f t="shared" si="4767"/>
        <v>8.008799999999999</v>
      </c>
    </row>
    <row r="593" spans="1:54">
      <c r="A593" s="498">
        <v>410</v>
      </c>
      <c r="B593" s="13"/>
      <c r="C593" s="438"/>
      <c r="D593" s="13"/>
      <c r="E593" s="21" t="s">
        <v>1555</v>
      </c>
      <c r="F593" s="46"/>
      <c r="G593" s="46" t="s">
        <v>1105</v>
      </c>
      <c r="H593" s="268" t="s">
        <v>365</v>
      </c>
      <c r="I593" s="55"/>
      <c r="J593" s="163">
        <v>20543</v>
      </c>
      <c r="K593" s="55"/>
      <c r="L593" s="163">
        <v>20543</v>
      </c>
      <c r="M593" s="55"/>
      <c r="N593" s="163">
        <v>20543</v>
      </c>
      <c r="O593" s="55"/>
      <c r="P593" s="163">
        <v>20543</v>
      </c>
      <c r="Q593" s="97">
        <f>SUM(AI593+BA593)</f>
        <v>2.4610000000000003</v>
      </c>
      <c r="R593" s="342">
        <f t="shared" si="4744"/>
        <v>50.556322999999992</v>
      </c>
      <c r="S593" s="97"/>
      <c r="T593" s="97">
        <f t="shared" si="4745"/>
        <v>0</v>
      </c>
      <c r="U593" s="97">
        <v>0.5</v>
      </c>
      <c r="V593" s="97">
        <f t="shared" si="4746"/>
        <v>10.2715</v>
      </c>
      <c r="W593" s="97">
        <v>1.8089999999999999</v>
      </c>
      <c r="X593" s="97">
        <f t="shared" si="4747"/>
        <v>37.162286999999999</v>
      </c>
      <c r="Y593" s="97">
        <f t="shared" si="4748"/>
        <v>2.3090000000000002</v>
      </c>
      <c r="Z593" s="97">
        <f t="shared" si="4749"/>
        <v>47.433786999999995</v>
      </c>
      <c r="AA593" s="97">
        <v>0.152</v>
      </c>
      <c r="AB593" s="97">
        <f t="shared" si="4750"/>
        <v>3.1225360000000002</v>
      </c>
      <c r="AC593" s="97"/>
      <c r="AD593" s="97">
        <f t="shared" ref="AD593:AD594" si="4794">L593*AC593/1000</f>
        <v>0</v>
      </c>
      <c r="AE593" s="97"/>
      <c r="AF593" s="97">
        <f t="shared" si="4793"/>
        <v>0</v>
      </c>
      <c r="AG593" s="97">
        <f t="shared" si="4752"/>
        <v>0.152</v>
      </c>
      <c r="AH593" s="97">
        <f t="shared" si="4753"/>
        <v>3.1225360000000002</v>
      </c>
      <c r="AI593" s="97">
        <f t="shared" si="4754"/>
        <v>2.4610000000000003</v>
      </c>
      <c r="AJ593" s="97">
        <f t="shared" si="4755"/>
        <v>50.556322999999992</v>
      </c>
      <c r="AK593" s="97"/>
      <c r="AL593" s="97">
        <f t="shared" si="4756"/>
        <v>0</v>
      </c>
      <c r="AM593" s="97"/>
      <c r="AN593" s="97">
        <f t="shared" si="4757"/>
        <v>0</v>
      </c>
      <c r="AO593" s="97"/>
      <c r="AP593" s="97">
        <f t="shared" si="4758"/>
        <v>0</v>
      </c>
      <c r="AQ593" s="97">
        <f t="shared" si="4759"/>
        <v>0</v>
      </c>
      <c r="AR593" s="97">
        <f t="shared" si="4760"/>
        <v>0</v>
      </c>
      <c r="AS593" s="97"/>
      <c r="AT593" s="97">
        <f t="shared" si="4761"/>
        <v>0</v>
      </c>
      <c r="AU593" s="97"/>
      <c r="AV593" s="97">
        <f t="shared" si="4762"/>
        <v>0</v>
      </c>
      <c r="AW593" s="97"/>
      <c r="AX593" s="97">
        <f t="shared" si="4763"/>
        <v>0</v>
      </c>
      <c r="AY593" s="97">
        <f t="shared" si="4764"/>
        <v>0</v>
      </c>
      <c r="AZ593" s="97">
        <f t="shared" si="4765"/>
        <v>0</v>
      </c>
      <c r="BA593" s="97">
        <f t="shared" si="4766"/>
        <v>0</v>
      </c>
      <c r="BB593" s="97">
        <f t="shared" si="4767"/>
        <v>0</v>
      </c>
    </row>
    <row r="594" spans="1:54">
      <c r="A594" s="498">
        <v>410</v>
      </c>
      <c r="B594" s="13"/>
      <c r="C594" s="438"/>
      <c r="D594" s="13"/>
      <c r="E594" s="21" t="s">
        <v>1800</v>
      </c>
      <c r="F594" s="46"/>
      <c r="G594" s="46" t="s">
        <v>1105</v>
      </c>
      <c r="H594" s="268" t="s">
        <v>365</v>
      </c>
      <c r="I594" s="55"/>
      <c r="J594" s="163"/>
      <c r="K594" s="55"/>
      <c r="L594" s="163"/>
      <c r="M594" s="55"/>
      <c r="N594" s="163">
        <v>9135</v>
      </c>
      <c r="O594" s="55"/>
      <c r="P594" s="163">
        <v>9135</v>
      </c>
      <c r="Q594" s="97">
        <f t="shared" ref="Q594" si="4795">SUM(AI594+BA594)</f>
        <v>0.1</v>
      </c>
      <c r="R594" s="342">
        <f t="shared" si="4744"/>
        <v>0.91349999999999998</v>
      </c>
      <c r="S594" s="97"/>
      <c r="T594" s="97">
        <f t="shared" si="4745"/>
        <v>0</v>
      </c>
      <c r="U594" s="97"/>
      <c r="V594" s="97">
        <f t="shared" si="4746"/>
        <v>0</v>
      </c>
      <c r="W594" s="97"/>
      <c r="X594" s="97">
        <f t="shared" si="4747"/>
        <v>0</v>
      </c>
      <c r="Y594" s="97">
        <f t="shared" si="4748"/>
        <v>0</v>
      </c>
      <c r="Z594" s="97">
        <f t="shared" si="4749"/>
        <v>0</v>
      </c>
      <c r="AA594" s="97"/>
      <c r="AB594" s="97">
        <f t="shared" si="4750"/>
        <v>0</v>
      </c>
      <c r="AC594" s="97"/>
      <c r="AD594" s="97">
        <f t="shared" si="4794"/>
        <v>0</v>
      </c>
      <c r="AE594" s="97"/>
      <c r="AF594" s="97">
        <f t="shared" si="4793"/>
        <v>0</v>
      </c>
      <c r="AG594" s="97">
        <f t="shared" si="4752"/>
        <v>0</v>
      </c>
      <c r="AH594" s="97">
        <f t="shared" si="4753"/>
        <v>0</v>
      </c>
      <c r="AI594" s="97">
        <f t="shared" si="4754"/>
        <v>0</v>
      </c>
      <c r="AJ594" s="97">
        <f t="shared" si="4755"/>
        <v>0</v>
      </c>
      <c r="AK594" s="97">
        <v>0.1</v>
      </c>
      <c r="AL594" s="97">
        <f t="shared" si="4756"/>
        <v>0.91349999999999998</v>
      </c>
      <c r="AM594" s="97"/>
      <c r="AN594" s="97">
        <f t="shared" si="4757"/>
        <v>0</v>
      </c>
      <c r="AO594" s="97"/>
      <c r="AP594" s="97">
        <f t="shared" si="4758"/>
        <v>0</v>
      </c>
      <c r="AQ594" s="97">
        <f t="shared" si="4759"/>
        <v>0.1</v>
      </c>
      <c r="AR594" s="97">
        <f t="shared" si="4760"/>
        <v>0.91349999999999998</v>
      </c>
      <c r="AS594" s="97"/>
      <c r="AT594" s="97">
        <f t="shared" si="4761"/>
        <v>0</v>
      </c>
      <c r="AU594" s="97"/>
      <c r="AV594" s="97">
        <f t="shared" si="4762"/>
        <v>0</v>
      </c>
      <c r="AW594" s="97"/>
      <c r="AX594" s="97">
        <f t="shared" si="4763"/>
        <v>0</v>
      </c>
      <c r="AY594" s="97">
        <f t="shared" si="4764"/>
        <v>0</v>
      </c>
      <c r="AZ594" s="97">
        <f t="shared" si="4765"/>
        <v>0</v>
      </c>
      <c r="BA594" s="97">
        <f t="shared" si="4766"/>
        <v>0.1</v>
      </c>
      <c r="BB594" s="97">
        <f t="shared" si="4767"/>
        <v>0.91349999999999998</v>
      </c>
    </row>
    <row r="595" spans="1:54">
      <c r="A595" s="498">
        <v>415</v>
      </c>
      <c r="B595" s="13"/>
      <c r="C595" s="438"/>
      <c r="D595" s="13"/>
      <c r="E595" s="21" t="s">
        <v>1177</v>
      </c>
      <c r="F595" s="46" t="s">
        <v>221</v>
      </c>
      <c r="G595" s="46" t="s">
        <v>1105</v>
      </c>
      <c r="H595" s="268" t="s">
        <v>366</v>
      </c>
      <c r="I595" s="55"/>
      <c r="J595" s="163">
        <v>15275</v>
      </c>
      <c r="K595" s="55"/>
      <c r="L595" s="163">
        <v>15275</v>
      </c>
      <c r="M595" s="55"/>
      <c r="N595" s="163">
        <v>15275</v>
      </c>
      <c r="O595" s="55"/>
      <c r="P595" s="163">
        <v>15275</v>
      </c>
      <c r="Q595" s="97">
        <f>SUM(AI595+BA595)</f>
        <v>24.917000000000002</v>
      </c>
      <c r="R595" s="342">
        <f t="shared" si="4389"/>
        <v>380.60717499999998</v>
      </c>
      <c r="S595" s="97">
        <v>1.0409999999999999</v>
      </c>
      <c r="T595" s="97">
        <f t="shared" si="4390"/>
        <v>15.901275</v>
      </c>
      <c r="U595" s="97">
        <v>1.976</v>
      </c>
      <c r="V595" s="97">
        <f t="shared" si="4391"/>
        <v>30.183400000000002</v>
      </c>
      <c r="W595" s="97">
        <v>1.7569999999999999</v>
      </c>
      <c r="X595" s="97">
        <f t="shared" si="4392"/>
        <v>26.838175</v>
      </c>
      <c r="Y595" s="97">
        <f t="shared" si="4393"/>
        <v>4.774</v>
      </c>
      <c r="Z595" s="97">
        <f t="shared" si="4394"/>
        <v>72.922850000000011</v>
      </c>
      <c r="AA595" s="97">
        <v>2.96</v>
      </c>
      <c r="AB595" s="97">
        <f t="shared" si="4395"/>
        <v>45.213999999999999</v>
      </c>
      <c r="AC595" s="97">
        <v>3.069</v>
      </c>
      <c r="AD595" s="97">
        <f t="shared" si="4396"/>
        <v>46.878974999999997</v>
      </c>
      <c r="AE595" s="97">
        <v>1.5</v>
      </c>
      <c r="AF595" s="97">
        <f t="shared" si="4412"/>
        <v>22.912500000000001</v>
      </c>
      <c r="AG595" s="97">
        <f t="shared" si="4397"/>
        <v>7.5289999999999999</v>
      </c>
      <c r="AH595" s="97">
        <f t="shared" si="4398"/>
        <v>115.00547499999999</v>
      </c>
      <c r="AI595" s="97">
        <f t="shared" si="4399"/>
        <v>12.303000000000001</v>
      </c>
      <c r="AJ595" s="97">
        <f t="shared" si="4400"/>
        <v>187.928325</v>
      </c>
      <c r="AK595" s="97">
        <v>3.1240000000000001</v>
      </c>
      <c r="AL595" s="97">
        <f t="shared" si="4401"/>
        <v>47.719099999999997</v>
      </c>
      <c r="AM595" s="97">
        <v>2.1960000000000002</v>
      </c>
      <c r="AN595" s="97">
        <f t="shared" si="4402"/>
        <v>33.543900000000001</v>
      </c>
      <c r="AO595" s="97">
        <v>2.125</v>
      </c>
      <c r="AP595" s="97">
        <f t="shared" si="4403"/>
        <v>32.459375000000001</v>
      </c>
      <c r="AQ595" s="97">
        <f t="shared" si="4404"/>
        <v>7.4450000000000003</v>
      </c>
      <c r="AR595" s="97">
        <f t="shared" si="4405"/>
        <v>113.722375</v>
      </c>
      <c r="AS595" s="97">
        <v>1.486</v>
      </c>
      <c r="AT595" s="97">
        <f t="shared" si="4413"/>
        <v>22.698650000000001</v>
      </c>
      <c r="AU595" s="97">
        <v>1.6140000000000001</v>
      </c>
      <c r="AV595" s="97">
        <f t="shared" si="4406"/>
        <v>24.653850000000002</v>
      </c>
      <c r="AW595" s="97">
        <v>2.069</v>
      </c>
      <c r="AX595" s="97">
        <f t="shared" si="4407"/>
        <v>31.603974999999998</v>
      </c>
      <c r="AY595" s="97">
        <f t="shared" si="4408"/>
        <v>5.1690000000000005</v>
      </c>
      <c r="AZ595" s="97">
        <f t="shared" si="4409"/>
        <v>78.956475000000012</v>
      </c>
      <c r="BA595" s="97">
        <f t="shared" si="4410"/>
        <v>12.614000000000001</v>
      </c>
      <c r="BB595" s="97">
        <f t="shared" si="4411"/>
        <v>192.67885000000001</v>
      </c>
    </row>
    <row r="596" spans="1:54">
      <c r="A596" s="498">
        <v>416</v>
      </c>
      <c r="B596" s="13"/>
      <c r="C596" s="23"/>
      <c r="D596" s="13"/>
      <c r="E596" s="21" t="s">
        <v>558</v>
      </c>
      <c r="F596" s="46"/>
      <c r="G596" s="46" t="s">
        <v>1105</v>
      </c>
      <c r="H596" s="268" t="s">
        <v>365</v>
      </c>
      <c r="I596" s="55"/>
      <c r="J596" s="163">
        <v>15588</v>
      </c>
      <c r="K596" s="55"/>
      <c r="L596" s="163">
        <v>15588</v>
      </c>
      <c r="M596" s="55"/>
      <c r="N596" s="163">
        <v>15588</v>
      </c>
      <c r="O596" s="55"/>
      <c r="P596" s="163">
        <v>15588</v>
      </c>
      <c r="Q596" s="97">
        <f>SUM(AI596+BA596)</f>
        <v>3.1049999999999995</v>
      </c>
      <c r="R596" s="342">
        <f t="shared" ref="R596:R598" si="4796">SUM(AJ596+BB596)</f>
        <v>48.400739999999999</v>
      </c>
      <c r="S596" s="97">
        <v>0.39500000000000002</v>
      </c>
      <c r="T596" s="97">
        <f t="shared" ref="T596:T598" si="4797">J596*S596/1000</f>
        <v>6.15726</v>
      </c>
      <c r="U596" s="97"/>
      <c r="V596" s="97">
        <f t="shared" ref="V596:V598" si="4798">J596*U596/1000</f>
        <v>0</v>
      </c>
      <c r="W596" s="97">
        <v>0.02</v>
      </c>
      <c r="X596" s="97">
        <f t="shared" ref="X596:X598" si="4799">J596*W596/1000</f>
        <v>0.31175999999999998</v>
      </c>
      <c r="Y596" s="97">
        <f t="shared" ref="Y596:Y598" si="4800">SUM(S596+U596+W596)</f>
        <v>0.41500000000000004</v>
      </c>
      <c r="Z596" s="97">
        <f t="shared" ref="Z596:Z598" si="4801">SUM(T596+V596+X596)</f>
        <v>6.4690199999999995</v>
      </c>
      <c r="AA596" s="97">
        <v>0.09</v>
      </c>
      <c r="AB596" s="97">
        <f t="shared" ref="AB596:AB598" si="4802">L596*AA596/1000</f>
        <v>1.4029199999999999</v>
      </c>
      <c r="AC596" s="97">
        <v>0.47</v>
      </c>
      <c r="AD596" s="97">
        <f t="shared" ref="AD596:AD598" si="4803">L596*AC596/1000</f>
        <v>7.3263599999999993</v>
      </c>
      <c r="AE596" s="97">
        <v>0.32</v>
      </c>
      <c r="AF596" s="97">
        <f t="shared" si="4412"/>
        <v>4.9881599999999997</v>
      </c>
      <c r="AG596" s="97">
        <f t="shared" ref="AG596:AG598" si="4804">SUM(AA596+AC596+AE596)</f>
        <v>0.87999999999999989</v>
      </c>
      <c r="AH596" s="97">
        <f t="shared" ref="AH596:AH598" si="4805">SUM(AB596+AD596+AF596)</f>
        <v>13.71744</v>
      </c>
      <c r="AI596" s="97">
        <f t="shared" ref="AI596:AI598" si="4806">SUM(Y596+AG596)</f>
        <v>1.2949999999999999</v>
      </c>
      <c r="AJ596" s="97">
        <f t="shared" ref="AJ596:AJ598" si="4807">SUM(Z596,AH596)</f>
        <v>20.18646</v>
      </c>
      <c r="AK596" s="97">
        <v>7.4999999999999997E-2</v>
      </c>
      <c r="AL596" s="97">
        <f t="shared" ref="AL596:AL598" si="4808">N596*AK596/1000</f>
        <v>1.1690999999999998</v>
      </c>
      <c r="AM596" s="97">
        <v>1.0249999999999999</v>
      </c>
      <c r="AN596" s="97">
        <f t="shared" ref="AN596:AN598" si="4809">N596*AM596/1000</f>
        <v>15.977699999999999</v>
      </c>
      <c r="AO596" s="97">
        <v>0.52</v>
      </c>
      <c r="AP596" s="97">
        <f t="shared" ref="AP596:AP598" si="4810">N596*AO596/1000</f>
        <v>8.1057600000000001</v>
      </c>
      <c r="AQ596" s="97">
        <f t="shared" ref="AQ596:AQ598" si="4811">SUM(AK596+AM596+AO596)</f>
        <v>1.6199999999999999</v>
      </c>
      <c r="AR596" s="97">
        <f t="shared" ref="AR596:AR598" si="4812">SUM(AL596+AN596+AP596)</f>
        <v>25.252559999999999</v>
      </c>
      <c r="AS596" s="97"/>
      <c r="AT596" s="97">
        <f t="shared" ref="AT596" si="4813">P596*AS596/1000</f>
        <v>0</v>
      </c>
      <c r="AU596" s="97">
        <v>0.19</v>
      </c>
      <c r="AV596" s="97">
        <f t="shared" ref="AV596:AV598" si="4814">P596*AU596/1000</f>
        <v>2.9617200000000001</v>
      </c>
      <c r="AW596" s="97"/>
      <c r="AX596" s="97">
        <f t="shared" ref="AX596:AX598" si="4815">P596*AW596/1000</f>
        <v>0</v>
      </c>
      <c r="AY596" s="97">
        <f t="shared" ref="AY596:AY598" si="4816">SUM(AS596+AU596+AW596)</f>
        <v>0.19</v>
      </c>
      <c r="AZ596" s="97">
        <f t="shared" ref="AZ596:AZ598" si="4817">SUM(AT596+AV596+AX596)</f>
        <v>2.9617200000000001</v>
      </c>
      <c r="BA596" s="97">
        <f t="shared" ref="BA596:BA598" si="4818">SUM(AQ596+AY596)</f>
        <v>1.8099999999999998</v>
      </c>
      <c r="BB596" s="97">
        <f t="shared" ref="BB596:BB598" si="4819">SUM(AR596,AZ596)</f>
        <v>28.214279999999999</v>
      </c>
    </row>
    <row r="597" spans="1:54">
      <c r="A597" s="498">
        <v>417</v>
      </c>
      <c r="B597" s="13"/>
      <c r="C597" s="23"/>
      <c r="D597" s="13"/>
      <c r="E597" s="21" t="s">
        <v>894</v>
      </c>
      <c r="F597" s="46"/>
      <c r="G597" s="46" t="s">
        <v>1105</v>
      </c>
      <c r="H597" s="268" t="s">
        <v>365</v>
      </c>
      <c r="I597" s="55"/>
      <c r="J597" s="163">
        <v>15588</v>
      </c>
      <c r="K597" s="55"/>
      <c r="L597" s="163">
        <v>15588</v>
      </c>
      <c r="M597" s="55"/>
      <c r="N597" s="163">
        <v>15588</v>
      </c>
      <c r="O597" s="55"/>
      <c r="P597" s="163">
        <v>15588</v>
      </c>
      <c r="Q597" s="97">
        <f>SUM(AI597+BA597)</f>
        <v>21.17</v>
      </c>
      <c r="R597" s="342">
        <f t="shared" ref="R597" si="4820">SUM(AJ597+BB597)</f>
        <v>329.99796000000003</v>
      </c>
      <c r="S597" s="97">
        <v>1.694</v>
      </c>
      <c r="T597" s="97">
        <f t="shared" ref="T597" si="4821">J597*S597/1000</f>
        <v>26.406072000000002</v>
      </c>
      <c r="U597" s="97">
        <v>0.94399999999999995</v>
      </c>
      <c r="V597" s="97">
        <f t="shared" ref="V597" si="4822">J597*U597/1000</f>
        <v>14.715071999999999</v>
      </c>
      <c r="W597" s="97">
        <v>2.0099999999999998</v>
      </c>
      <c r="X597" s="97">
        <f t="shared" ref="X597" si="4823">J597*W597/1000</f>
        <v>31.331879999999998</v>
      </c>
      <c r="Y597" s="97">
        <f t="shared" ref="Y597" si="4824">SUM(S597+U597+W597)</f>
        <v>4.6479999999999997</v>
      </c>
      <c r="Z597" s="97">
        <f t="shared" ref="Z597" si="4825">SUM(T597+V597+X597)</f>
        <v>72.453023999999999</v>
      </c>
      <c r="AA597" s="97">
        <v>2.177</v>
      </c>
      <c r="AB597" s="97">
        <f t="shared" ref="AB597" si="4826">L597*AA597/1000</f>
        <v>33.935076000000002</v>
      </c>
      <c r="AC597" s="97">
        <v>3.2989999999999999</v>
      </c>
      <c r="AD597" s="97">
        <f t="shared" ref="AD597" si="4827">L597*AC597/1000</f>
        <v>51.424811999999996</v>
      </c>
      <c r="AE597" s="97">
        <v>2.548</v>
      </c>
      <c r="AF597" s="97">
        <f t="shared" si="4412"/>
        <v>39.718223999999999</v>
      </c>
      <c r="AG597" s="97">
        <f t="shared" ref="AG597" si="4828">SUM(AA597+AC597+AE597)</f>
        <v>8.0240000000000009</v>
      </c>
      <c r="AH597" s="97">
        <f t="shared" ref="AH597" si="4829">SUM(AB597+AD597+AF597)</f>
        <v>125.078112</v>
      </c>
      <c r="AI597" s="97">
        <f t="shared" ref="AI597" si="4830">SUM(Y597+AG597)</f>
        <v>12.672000000000001</v>
      </c>
      <c r="AJ597" s="97">
        <f t="shared" ref="AJ597" si="4831">SUM(Z597,AH597)</f>
        <v>197.531136</v>
      </c>
      <c r="AK597" s="97">
        <v>2.4300000000000002</v>
      </c>
      <c r="AL597" s="97">
        <f t="shared" ref="AL597" si="4832">N597*AK597/1000</f>
        <v>37.878840000000004</v>
      </c>
      <c r="AM597" s="97">
        <v>2.468</v>
      </c>
      <c r="AN597" s="97">
        <f t="shared" ref="AN597" si="4833">N597*AM597/1000</f>
        <v>38.471184000000001</v>
      </c>
      <c r="AO597" s="97">
        <v>2.786</v>
      </c>
      <c r="AP597" s="97">
        <f t="shared" ref="AP597" si="4834">N597*AO597/1000</f>
        <v>43.428167999999999</v>
      </c>
      <c r="AQ597" s="97">
        <f t="shared" ref="AQ597" si="4835">SUM(AK597+AM597+AO597)</f>
        <v>7.6839999999999993</v>
      </c>
      <c r="AR597" s="97">
        <f t="shared" ref="AR597" si="4836">SUM(AL597+AN597+AP597)</f>
        <v>119.778192</v>
      </c>
      <c r="AS597" s="97">
        <v>0.61399999999999999</v>
      </c>
      <c r="AT597" s="97">
        <f>P597*AS597/1000</f>
        <v>9.5710319999999989</v>
      </c>
      <c r="AU597" s="97"/>
      <c r="AV597" s="97">
        <f t="shared" ref="AV597" si="4837">P597*AU597/1000</f>
        <v>0</v>
      </c>
      <c r="AW597" s="97">
        <v>0.2</v>
      </c>
      <c r="AX597" s="97">
        <f t="shared" ref="AX597" si="4838">P597*AW597/1000</f>
        <v>3.1176000000000004</v>
      </c>
      <c r="AY597" s="97">
        <f t="shared" ref="AY597" si="4839">SUM(AS597+AU597+AW597)</f>
        <v>0.81400000000000006</v>
      </c>
      <c r="AZ597" s="97">
        <f t="shared" ref="AZ597" si="4840">SUM(AT597+AV597+AX597)</f>
        <v>12.688631999999998</v>
      </c>
      <c r="BA597" s="97">
        <f t="shared" ref="BA597" si="4841">SUM(AQ597+AY597)</f>
        <v>8.4979999999999993</v>
      </c>
      <c r="BB597" s="97">
        <f t="shared" ref="BB597" si="4842">SUM(AR597,AZ597)</f>
        <v>132.466824</v>
      </c>
    </row>
    <row r="598" spans="1:54">
      <c r="A598" s="498">
        <v>418</v>
      </c>
      <c r="B598" s="13"/>
      <c r="C598" s="23"/>
      <c r="D598" s="13"/>
      <c r="E598" s="21" t="s">
        <v>560</v>
      </c>
      <c r="F598" s="46"/>
      <c r="G598" s="46" t="s">
        <v>1105</v>
      </c>
      <c r="H598" s="268" t="s">
        <v>365</v>
      </c>
      <c r="I598" s="55"/>
      <c r="J598" s="163">
        <v>16558</v>
      </c>
      <c r="K598" s="55"/>
      <c r="L598" s="163">
        <v>16558</v>
      </c>
      <c r="M598" s="55"/>
      <c r="N598" s="163">
        <v>16558</v>
      </c>
      <c r="O598" s="55"/>
      <c r="P598" s="163">
        <v>15802</v>
      </c>
      <c r="Q598" s="97">
        <f t="shared" ref="Q598" si="4843">SUM(AI598+BA598)</f>
        <v>0.11499999999999999</v>
      </c>
      <c r="R598" s="342">
        <f t="shared" si="4796"/>
        <v>1.89283</v>
      </c>
      <c r="S598" s="97">
        <v>0.02</v>
      </c>
      <c r="T598" s="97">
        <f t="shared" si="4797"/>
        <v>0.33116000000000001</v>
      </c>
      <c r="U598" s="97"/>
      <c r="V598" s="97">
        <f t="shared" si="4798"/>
        <v>0</v>
      </c>
      <c r="W598" s="97">
        <v>0.02</v>
      </c>
      <c r="X598" s="97">
        <f t="shared" si="4799"/>
        <v>0.33116000000000001</v>
      </c>
      <c r="Y598" s="97">
        <f t="shared" si="4800"/>
        <v>0.04</v>
      </c>
      <c r="Z598" s="97">
        <f t="shared" si="4801"/>
        <v>0.66232000000000002</v>
      </c>
      <c r="AA598" s="97"/>
      <c r="AB598" s="97">
        <f t="shared" si="4802"/>
        <v>0</v>
      </c>
      <c r="AC598" s="97"/>
      <c r="AD598" s="97">
        <f t="shared" si="4803"/>
        <v>0</v>
      </c>
      <c r="AE598" s="97"/>
      <c r="AF598" s="97">
        <f t="shared" ref="AF598" si="4844">L598*AE598/1000</f>
        <v>0</v>
      </c>
      <c r="AG598" s="97">
        <f t="shared" si="4804"/>
        <v>0</v>
      </c>
      <c r="AH598" s="97">
        <f t="shared" si="4805"/>
        <v>0</v>
      </c>
      <c r="AI598" s="97">
        <f t="shared" si="4806"/>
        <v>0.04</v>
      </c>
      <c r="AJ598" s="97">
        <f t="shared" si="4807"/>
        <v>0.66232000000000002</v>
      </c>
      <c r="AK598" s="97">
        <v>0.04</v>
      </c>
      <c r="AL598" s="97">
        <f t="shared" si="4808"/>
        <v>0.66232000000000002</v>
      </c>
      <c r="AM598" s="97"/>
      <c r="AN598" s="97">
        <f t="shared" si="4809"/>
        <v>0</v>
      </c>
      <c r="AO598" s="97">
        <v>0.02</v>
      </c>
      <c r="AP598" s="97">
        <f t="shared" si="4810"/>
        <v>0.33116000000000001</v>
      </c>
      <c r="AQ598" s="97">
        <f t="shared" si="4811"/>
        <v>0.06</v>
      </c>
      <c r="AR598" s="97">
        <f t="shared" si="4812"/>
        <v>0.99348000000000003</v>
      </c>
      <c r="AS598" s="97">
        <v>1.4999999999999999E-2</v>
      </c>
      <c r="AT598" s="97">
        <f>P598*AS598/1000</f>
        <v>0.23702999999999999</v>
      </c>
      <c r="AU598" s="97"/>
      <c r="AV598" s="97">
        <f t="shared" si="4814"/>
        <v>0</v>
      </c>
      <c r="AW598" s="97"/>
      <c r="AX598" s="97">
        <f t="shared" si="4815"/>
        <v>0</v>
      </c>
      <c r="AY598" s="97">
        <f t="shared" si="4816"/>
        <v>1.4999999999999999E-2</v>
      </c>
      <c r="AZ598" s="97">
        <f t="shared" si="4817"/>
        <v>0.23702999999999999</v>
      </c>
      <c r="BA598" s="97">
        <f t="shared" si="4818"/>
        <v>7.4999999999999997E-2</v>
      </c>
      <c r="BB598" s="97">
        <f t="shared" si="4819"/>
        <v>1.23051</v>
      </c>
    </row>
    <row r="599" spans="1:54">
      <c r="A599" s="498">
        <v>419</v>
      </c>
      <c r="B599" s="13"/>
      <c r="C599" s="13"/>
      <c r="D599" s="13"/>
      <c r="E599" s="21" t="s">
        <v>1604</v>
      </c>
      <c r="F599" s="46" t="s">
        <v>222</v>
      </c>
      <c r="G599" s="46" t="s">
        <v>1105</v>
      </c>
      <c r="H599" s="268" t="s">
        <v>366</v>
      </c>
      <c r="I599" s="55"/>
      <c r="J599" s="163">
        <v>16793</v>
      </c>
      <c r="K599" s="55"/>
      <c r="L599" s="163">
        <v>16793</v>
      </c>
      <c r="M599" s="55"/>
      <c r="N599" s="163">
        <v>16793</v>
      </c>
      <c r="O599" s="55"/>
      <c r="P599" s="163">
        <v>16725</v>
      </c>
      <c r="Q599" s="97">
        <f t="shared" si="4388"/>
        <v>4.2919999999999998</v>
      </c>
      <c r="R599" s="342">
        <f t="shared" si="4389"/>
        <v>72.009460000000004</v>
      </c>
      <c r="S599" s="97">
        <v>0.15</v>
      </c>
      <c r="T599" s="97">
        <f t="shared" si="4390"/>
        <v>2.5189499999999998</v>
      </c>
      <c r="U599" s="97">
        <v>0.18</v>
      </c>
      <c r="V599" s="97">
        <f t="shared" si="4391"/>
        <v>3.0227399999999998</v>
      </c>
      <c r="W599" s="97">
        <v>0.11</v>
      </c>
      <c r="X599" s="97">
        <f t="shared" si="4392"/>
        <v>1.8472299999999999</v>
      </c>
      <c r="Y599" s="97">
        <f t="shared" si="4393"/>
        <v>0.43999999999999995</v>
      </c>
      <c r="Z599" s="97">
        <f t="shared" si="4394"/>
        <v>7.3889199999999988</v>
      </c>
      <c r="AA599" s="97">
        <v>0.34100000000000003</v>
      </c>
      <c r="AB599" s="97">
        <f t="shared" si="4395"/>
        <v>5.7264130000000009</v>
      </c>
      <c r="AC599" s="97">
        <v>0.252</v>
      </c>
      <c r="AD599" s="97">
        <f t="shared" si="4396"/>
        <v>4.2318360000000004</v>
      </c>
      <c r="AE599" s="97">
        <v>0.46700000000000003</v>
      </c>
      <c r="AF599" s="97">
        <f t="shared" si="4412"/>
        <v>7.8423309999999997</v>
      </c>
      <c r="AG599" s="97">
        <f t="shared" si="4397"/>
        <v>1.06</v>
      </c>
      <c r="AH599" s="97">
        <f t="shared" si="4398"/>
        <v>17.800580000000004</v>
      </c>
      <c r="AI599" s="97">
        <f t="shared" si="4399"/>
        <v>1.5</v>
      </c>
      <c r="AJ599" s="97">
        <f t="shared" si="4400"/>
        <v>25.189500000000002</v>
      </c>
      <c r="AK599" s="97">
        <v>0.76800000000000002</v>
      </c>
      <c r="AL599" s="97">
        <f t="shared" si="4401"/>
        <v>12.897024</v>
      </c>
      <c r="AM599" s="97">
        <v>0.73699999999999999</v>
      </c>
      <c r="AN599" s="97">
        <f>N599*AM599/1000</f>
        <v>12.376441000000002</v>
      </c>
      <c r="AO599" s="97">
        <v>0.315</v>
      </c>
      <c r="AP599" s="97">
        <f t="shared" si="4403"/>
        <v>5.2897949999999998</v>
      </c>
      <c r="AQ599" s="97">
        <f t="shared" si="4404"/>
        <v>1.8199999999999998</v>
      </c>
      <c r="AR599" s="97">
        <f t="shared" si="4405"/>
        <v>30.56326</v>
      </c>
      <c r="AS599" s="97">
        <v>0.27600000000000002</v>
      </c>
      <c r="AT599" s="97">
        <f t="shared" si="4413"/>
        <v>4.6161000000000003</v>
      </c>
      <c r="AU599" s="97">
        <v>0.16900000000000001</v>
      </c>
      <c r="AV599" s="97">
        <f t="shared" si="4406"/>
        <v>2.8265250000000002</v>
      </c>
      <c r="AW599" s="97">
        <v>0.52700000000000002</v>
      </c>
      <c r="AX599" s="97">
        <f t="shared" si="4407"/>
        <v>8.8140750000000008</v>
      </c>
      <c r="AY599" s="97">
        <f t="shared" si="4408"/>
        <v>0.97200000000000009</v>
      </c>
      <c r="AZ599" s="97">
        <f t="shared" si="4409"/>
        <v>16.256700000000002</v>
      </c>
      <c r="BA599" s="97">
        <f t="shared" si="4410"/>
        <v>2.7919999999999998</v>
      </c>
      <c r="BB599" s="97">
        <f t="shared" si="4411"/>
        <v>46.819960000000002</v>
      </c>
    </row>
    <row r="600" spans="1:54">
      <c r="A600" s="498">
        <v>410</v>
      </c>
      <c r="B600" s="13"/>
      <c r="C600" s="438"/>
      <c r="D600" s="13"/>
      <c r="E600" s="21" t="s">
        <v>1605</v>
      </c>
      <c r="F600" s="46"/>
      <c r="G600" s="46" t="s">
        <v>1105</v>
      </c>
      <c r="H600" s="268" t="s">
        <v>365</v>
      </c>
      <c r="I600" s="55"/>
      <c r="J600" s="163">
        <v>24512</v>
      </c>
      <c r="K600" s="55"/>
      <c r="L600" s="163">
        <v>24512</v>
      </c>
      <c r="M600" s="55"/>
      <c r="N600" s="163">
        <v>24512</v>
      </c>
      <c r="O600" s="55"/>
      <c r="P600" s="163">
        <v>22217</v>
      </c>
      <c r="Q600" s="97">
        <f t="shared" si="4388"/>
        <v>0.05</v>
      </c>
      <c r="R600" s="342">
        <f>SUM(AJ600+BB600)</f>
        <v>1.2256</v>
      </c>
      <c r="S600" s="97"/>
      <c r="T600" s="97">
        <f t="shared" si="4390"/>
        <v>0</v>
      </c>
      <c r="U600" s="97"/>
      <c r="V600" s="97">
        <f t="shared" si="4391"/>
        <v>0</v>
      </c>
      <c r="W600" s="97"/>
      <c r="X600" s="97">
        <f t="shared" si="4392"/>
        <v>0</v>
      </c>
      <c r="Y600" s="97">
        <f t="shared" si="4393"/>
        <v>0</v>
      </c>
      <c r="Z600" s="97">
        <f t="shared" si="4394"/>
        <v>0</v>
      </c>
      <c r="AA600" s="97"/>
      <c r="AB600" s="97">
        <f t="shared" si="4395"/>
        <v>0</v>
      </c>
      <c r="AC600" s="97">
        <v>0.03</v>
      </c>
      <c r="AD600" s="97">
        <f t="shared" si="4396"/>
        <v>0.73536000000000001</v>
      </c>
      <c r="AE600" s="97"/>
      <c r="AF600" s="97">
        <f t="shared" ref="AF600" si="4845">L600*AE600/1000</f>
        <v>0</v>
      </c>
      <c r="AG600" s="97">
        <f t="shared" si="4397"/>
        <v>0.03</v>
      </c>
      <c r="AH600" s="97">
        <f t="shared" si="4398"/>
        <v>0.73536000000000001</v>
      </c>
      <c r="AI600" s="97">
        <f t="shared" si="4399"/>
        <v>0.03</v>
      </c>
      <c r="AJ600" s="97">
        <f t="shared" si="4400"/>
        <v>0.73536000000000001</v>
      </c>
      <c r="AK600" s="97"/>
      <c r="AL600" s="97">
        <f t="shared" si="4401"/>
        <v>0</v>
      </c>
      <c r="AM600" s="97">
        <v>0.02</v>
      </c>
      <c r="AN600" s="97">
        <f t="shared" ref="AN600" si="4846">N600*AM600/1000</f>
        <v>0.49024000000000001</v>
      </c>
      <c r="AO600" s="97"/>
      <c r="AP600" s="97">
        <f t="shared" si="4403"/>
        <v>0</v>
      </c>
      <c r="AQ600" s="97">
        <f t="shared" si="4404"/>
        <v>0.02</v>
      </c>
      <c r="AR600" s="97">
        <f t="shared" si="4405"/>
        <v>0.49024000000000001</v>
      </c>
      <c r="AS600" s="97"/>
      <c r="AT600" s="97">
        <f t="shared" si="4413"/>
        <v>0</v>
      </c>
      <c r="AU600" s="97"/>
      <c r="AV600" s="97">
        <f t="shared" si="4406"/>
        <v>0</v>
      </c>
      <c r="AW600" s="97"/>
      <c r="AX600" s="97">
        <f t="shared" si="4407"/>
        <v>0</v>
      </c>
      <c r="AY600" s="97">
        <f t="shared" si="4408"/>
        <v>0</v>
      </c>
      <c r="AZ600" s="97">
        <f t="shared" si="4409"/>
        <v>0</v>
      </c>
      <c r="BA600" s="97">
        <f t="shared" si="4410"/>
        <v>0.02</v>
      </c>
      <c r="BB600" s="97">
        <f t="shared" si="4411"/>
        <v>0.49024000000000001</v>
      </c>
    </row>
    <row r="601" spans="1:54">
      <c r="A601" s="498">
        <v>420</v>
      </c>
      <c r="B601" s="13"/>
      <c r="C601" s="13"/>
      <c r="D601" s="15"/>
      <c r="E601" s="21" t="s">
        <v>1546</v>
      </c>
      <c r="F601" s="46"/>
      <c r="G601" s="46" t="s">
        <v>1105</v>
      </c>
      <c r="H601" s="268" t="s">
        <v>366</v>
      </c>
      <c r="I601" s="55"/>
      <c r="J601" s="163">
        <v>15648</v>
      </c>
      <c r="K601" s="55"/>
      <c r="L601" s="163">
        <v>15648</v>
      </c>
      <c r="M601" s="55"/>
      <c r="N601" s="163">
        <v>15648</v>
      </c>
      <c r="O601" s="55"/>
      <c r="P601" s="163">
        <v>15648</v>
      </c>
      <c r="Q601" s="97">
        <f>SUM(AI601+BA601)</f>
        <v>9.2999999999999999E-2</v>
      </c>
      <c r="R601" s="342">
        <f t="shared" ref="R601" si="4847">SUM(AJ601+BB601)</f>
        <v>1.4552639999999999</v>
      </c>
      <c r="S601" s="97">
        <v>0.03</v>
      </c>
      <c r="T601" s="97">
        <f t="shared" ref="T601" si="4848">J601*S601/1000</f>
        <v>0.46944000000000002</v>
      </c>
      <c r="U601" s="97"/>
      <c r="V601" s="97">
        <f t="shared" ref="V601" si="4849">J601*U601/1000</f>
        <v>0</v>
      </c>
      <c r="W601" s="97">
        <v>6.3E-2</v>
      </c>
      <c r="X601" s="97">
        <f t="shared" ref="X601" si="4850">J601*W601/1000</f>
        <v>0.98582399999999992</v>
      </c>
      <c r="Y601" s="97">
        <f t="shared" si="4393"/>
        <v>9.2999999999999999E-2</v>
      </c>
      <c r="Z601" s="97">
        <f t="shared" si="4394"/>
        <v>1.4552639999999999</v>
      </c>
      <c r="AA601" s="97"/>
      <c r="AB601" s="97">
        <f t="shared" ref="AB601" si="4851">L601*AA601/1000</f>
        <v>0</v>
      </c>
      <c r="AC601" s="97"/>
      <c r="AD601" s="97">
        <f t="shared" ref="AD601" si="4852">L601*AC601/1000</f>
        <v>0</v>
      </c>
      <c r="AE601" s="97"/>
      <c r="AF601" s="97">
        <f t="shared" ref="AF601" si="4853">L601*AE601/1000</f>
        <v>0</v>
      </c>
      <c r="AG601" s="97">
        <f t="shared" si="4397"/>
        <v>0</v>
      </c>
      <c r="AH601" s="97">
        <f t="shared" si="4398"/>
        <v>0</v>
      </c>
      <c r="AI601" s="97">
        <f t="shared" si="4399"/>
        <v>9.2999999999999999E-2</v>
      </c>
      <c r="AJ601" s="97">
        <f t="shared" si="4400"/>
        <v>1.4552639999999999</v>
      </c>
      <c r="AK601" s="97"/>
      <c r="AL601" s="97">
        <f t="shared" si="4401"/>
        <v>0</v>
      </c>
      <c r="AM601" s="97"/>
      <c r="AN601" s="97">
        <f t="shared" ref="AN601" si="4854">N601*AM601/1000</f>
        <v>0</v>
      </c>
      <c r="AO601" s="97"/>
      <c r="AP601" s="97">
        <f t="shared" si="4403"/>
        <v>0</v>
      </c>
      <c r="AQ601" s="97">
        <f t="shared" si="4404"/>
        <v>0</v>
      </c>
      <c r="AR601" s="97">
        <f t="shared" si="4405"/>
        <v>0</v>
      </c>
      <c r="AS601" s="97"/>
      <c r="AT601" s="97">
        <f t="shared" ref="AT601" si="4855">P601*AS601/1000</f>
        <v>0</v>
      </c>
      <c r="AU601" s="97"/>
      <c r="AV601" s="97">
        <f t="shared" ref="AV601" si="4856">P601*AU601/1000</f>
        <v>0</v>
      </c>
      <c r="AW601" s="97"/>
      <c r="AX601" s="97">
        <f t="shared" ref="AX601" si="4857">P601*AW601/1000</f>
        <v>0</v>
      </c>
      <c r="AY601" s="97">
        <f t="shared" si="4408"/>
        <v>0</v>
      </c>
      <c r="AZ601" s="97">
        <f t="shared" si="4409"/>
        <v>0</v>
      </c>
      <c r="BA601" s="97">
        <f t="shared" si="4410"/>
        <v>0</v>
      </c>
      <c r="BB601" s="97">
        <f t="shared" si="4411"/>
        <v>0</v>
      </c>
    </row>
    <row r="602" spans="1:54">
      <c r="A602" s="498">
        <v>420</v>
      </c>
      <c r="B602" s="13"/>
      <c r="C602" s="13"/>
      <c r="D602" s="15"/>
      <c r="E602" s="21" t="s">
        <v>1574</v>
      </c>
      <c r="F602" s="46"/>
      <c r="G602" s="46" t="s">
        <v>1105</v>
      </c>
      <c r="H602" s="268" t="s">
        <v>366</v>
      </c>
      <c r="I602" s="55"/>
      <c r="J602" s="163">
        <v>16374</v>
      </c>
      <c r="K602" s="55"/>
      <c r="L602" s="163">
        <v>16374</v>
      </c>
      <c r="M602" s="55"/>
      <c r="N602" s="163">
        <v>16374</v>
      </c>
      <c r="O602" s="55"/>
      <c r="P602" s="163">
        <v>16374</v>
      </c>
      <c r="Q602" s="97">
        <f t="shared" si="4388"/>
        <v>29.259</v>
      </c>
      <c r="R602" s="342">
        <f t="shared" si="4389"/>
        <v>479.08686599999999</v>
      </c>
      <c r="S602" s="97">
        <v>3.137</v>
      </c>
      <c r="T602" s="97">
        <f t="shared" si="4390"/>
        <v>51.365237999999998</v>
      </c>
      <c r="U602" s="97">
        <v>2.5489999999999999</v>
      </c>
      <c r="V602" s="97">
        <f t="shared" si="4391"/>
        <v>41.737326000000003</v>
      </c>
      <c r="W602" s="97">
        <v>3.6859999999999999</v>
      </c>
      <c r="X602" s="97">
        <f t="shared" si="4392"/>
        <v>60.354563999999996</v>
      </c>
      <c r="Y602" s="97">
        <f t="shared" ref="Y602:Y604" si="4858">SUM(S602+U602+W602)</f>
        <v>9.3719999999999999</v>
      </c>
      <c r="Z602" s="97">
        <f t="shared" ref="Z602:Z604" si="4859">SUM(T602+V602+X602)</f>
        <v>153.45712800000001</v>
      </c>
      <c r="AA602" s="97">
        <v>1.252</v>
      </c>
      <c r="AB602" s="97">
        <f t="shared" si="4395"/>
        <v>20.500247999999999</v>
      </c>
      <c r="AC602" s="97">
        <v>1.264</v>
      </c>
      <c r="AD602" s="97">
        <f t="shared" si="4396"/>
        <v>20.696736000000001</v>
      </c>
      <c r="AE602" s="97">
        <v>1.2130000000000001</v>
      </c>
      <c r="AF602" s="97">
        <f t="shared" si="4412"/>
        <v>19.861661999999999</v>
      </c>
      <c r="AG602" s="97">
        <f t="shared" ref="AG602:AG604" si="4860">SUM(AA602+AC602+AE602)</f>
        <v>3.7290000000000001</v>
      </c>
      <c r="AH602" s="97">
        <f t="shared" ref="AH602:AH604" si="4861">SUM(AB602+AD602+AF602)</f>
        <v>61.058645999999996</v>
      </c>
      <c r="AI602" s="97">
        <f t="shared" ref="AI602:AI604" si="4862">SUM(Y602+AG602)</f>
        <v>13.100999999999999</v>
      </c>
      <c r="AJ602" s="97">
        <f t="shared" ref="AJ602:AJ604" si="4863">SUM(Z602,AH602)</f>
        <v>214.51577400000002</v>
      </c>
      <c r="AK602" s="97">
        <v>2.3690000000000002</v>
      </c>
      <c r="AL602" s="97">
        <f t="shared" ref="AL602:AL604" si="4864">N602*AK602/1000</f>
        <v>38.790005999999998</v>
      </c>
      <c r="AM602" s="97">
        <v>7.4059999999999997</v>
      </c>
      <c r="AN602" s="97">
        <f t="shared" ref="AN602:AN604" si="4865">N602*AM602/1000</f>
        <v>121.265844</v>
      </c>
      <c r="AO602" s="97">
        <v>2.6560000000000001</v>
      </c>
      <c r="AP602" s="97">
        <f t="shared" ref="AP602:AP604" si="4866">N602*AO602/1000</f>
        <v>43.489344000000003</v>
      </c>
      <c r="AQ602" s="97">
        <f t="shared" ref="AQ602:AQ604" si="4867">SUM(AK602+AM602+AO602)</f>
        <v>12.431000000000001</v>
      </c>
      <c r="AR602" s="97">
        <f t="shared" ref="AR602:AR604" si="4868">SUM(AL602+AN602+AP602)</f>
        <v>203.54519399999998</v>
      </c>
      <c r="AS602" s="97">
        <v>2.3490000000000002</v>
      </c>
      <c r="AT602" s="97">
        <f t="shared" si="4413"/>
        <v>38.462526000000004</v>
      </c>
      <c r="AU602" s="97">
        <v>1.1839999999999999</v>
      </c>
      <c r="AV602" s="97">
        <f t="shared" si="4406"/>
        <v>19.386816</v>
      </c>
      <c r="AW602" s="97">
        <v>0.19400000000000001</v>
      </c>
      <c r="AX602" s="97">
        <f t="shared" si="4407"/>
        <v>3.1765560000000002</v>
      </c>
      <c r="AY602" s="97">
        <f t="shared" ref="AY602:AY604" si="4869">SUM(AS602+AU602+AW602)</f>
        <v>3.7270000000000003</v>
      </c>
      <c r="AZ602" s="97">
        <f t="shared" ref="AZ602:AZ604" si="4870">SUM(AT602+AV602+AX602)</f>
        <v>61.025898000000005</v>
      </c>
      <c r="BA602" s="97">
        <f t="shared" ref="BA602:BA604" si="4871">SUM(AQ602+AY602)</f>
        <v>16.158000000000001</v>
      </c>
      <c r="BB602" s="97">
        <f t="shared" ref="BB602:BB604" si="4872">SUM(AR602,AZ602)</f>
        <v>264.57109199999996</v>
      </c>
    </row>
    <row r="603" spans="1:54">
      <c r="A603" s="498">
        <v>410</v>
      </c>
      <c r="B603" s="13"/>
      <c r="C603" s="438"/>
      <c r="D603" s="13"/>
      <c r="E603" s="21" t="s">
        <v>1817</v>
      </c>
      <c r="F603" s="46"/>
      <c r="G603" s="46" t="s">
        <v>1105</v>
      </c>
      <c r="H603" s="268" t="s">
        <v>365</v>
      </c>
      <c r="I603" s="55"/>
      <c r="J603" s="163"/>
      <c r="K603" s="55"/>
      <c r="L603" s="163"/>
      <c r="M603" s="55"/>
      <c r="N603" s="163">
        <v>9096</v>
      </c>
      <c r="O603" s="55"/>
      <c r="P603" s="163">
        <v>9037</v>
      </c>
      <c r="Q603" s="97">
        <f t="shared" si="4388"/>
        <v>19.057000000000002</v>
      </c>
      <c r="R603" s="342">
        <f>SUM(AJ603+BB603)</f>
        <v>172.224009</v>
      </c>
      <c r="S603" s="97"/>
      <c r="T603" s="97">
        <f t="shared" si="4390"/>
        <v>0</v>
      </c>
      <c r="U603" s="97"/>
      <c r="V603" s="97">
        <f t="shared" si="4391"/>
        <v>0</v>
      </c>
      <c r="W603" s="97"/>
      <c r="X603" s="97">
        <f t="shared" si="4392"/>
        <v>0</v>
      </c>
      <c r="Y603" s="97">
        <f t="shared" si="4858"/>
        <v>0</v>
      </c>
      <c r="Z603" s="97">
        <f t="shared" si="4859"/>
        <v>0</v>
      </c>
      <c r="AA603" s="97"/>
      <c r="AB603" s="97">
        <f t="shared" si="4395"/>
        <v>0</v>
      </c>
      <c r="AC603" s="97"/>
      <c r="AD603" s="97">
        <f t="shared" si="4396"/>
        <v>0</v>
      </c>
      <c r="AE603" s="97"/>
      <c r="AF603" s="97">
        <f t="shared" ref="AF603" si="4873">L603*AE603/1000</f>
        <v>0</v>
      </c>
      <c r="AG603" s="97">
        <f t="shared" si="4860"/>
        <v>0</v>
      </c>
      <c r="AH603" s="97">
        <f t="shared" si="4861"/>
        <v>0</v>
      </c>
      <c r="AI603" s="97">
        <f t="shared" si="4862"/>
        <v>0</v>
      </c>
      <c r="AJ603" s="97">
        <f t="shared" si="4863"/>
        <v>0</v>
      </c>
      <c r="AK603" s="97"/>
      <c r="AL603" s="97">
        <f t="shared" si="4864"/>
        <v>0</v>
      </c>
      <c r="AM603" s="97">
        <v>0.1</v>
      </c>
      <c r="AN603" s="97">
        <f t="shared" si="4865"/>
        <v>0.90960000000000008</v>
      </c>
      <c r="AO603" s="97"/>
      <c r="AP603" s="97">
        <f t="shared" si="4866"/>
        <v>0</v>
      </c>
      <c r="AQ603" s="97">
        <f t="shared" si="4867"/>
        <v>0.1</v>
      </c>
      <c r="AR603" s="97">
        <f t="shared" si="4868"/>
        <v>0.90960000000000008</v>
      </c>
      <c r="AS603" s="97">
        <v>0.23</v>
      </c>
      <c r="AT603" s="97">
        <f t="shared" si="4413"/>
        <v>2.0785100000000001</v>
      </c>
      <c r="AU603" s="97">
        <v>14.727</v>
      </c>
      <c r="AV603" s="97">
        <f t="shared" si="4406"/>
        <v>133.08789899999999</v>
      </c>
      <c r="AW603" s="97">
        <v>4</v>
      </c>
      <c r="AX603" s="97">
        <f t="shared" si="4407"/>
        <v>36.148000000000003</v>
      </c>
      <c r="AY603" s="97">
        <f t="shared" si="4869"/>
        <v>18.957000000000001</v>
      </c>
      <c r="AZ603" s="97">
        <f t="shared" si="4870"/>
        <v>171.31440899999998</v>
      </c>
      <c r="BA603" s="97">
        <f t="shared" si="4871"/>
        <v>19.057000000000002</v>
      </c>
      <c r="BB603" s="97">
        <f t="shared" si="4872"/>
        <v>172.224009</v>
      </c>
    </row>
    <row r="604" spans="1:54" ht="12" customHeight="1">
      <c r="A604" s="498">
        <v>425</v>
      </c>
      <c r="B604" s="13"/>
      <c r="C604" s="13"/>
      <c r="D604" s="13"/>
      <c r="E604" s="16" t="s">
        <v>1768</v>
      </c>
      <c r="F604" s="46"/>
      <c r="G604" s="46" t="s">
        <v>1105</v>
      </c>
      <c r="H604" s="268" t="s">
        <v>366</v>
      </c>
      <c r="I604" s="55"/>
      <c r="J604" s="163"/>
      <c r="K604" s="55"/>
      <c r="L604" s="163">
        <v>20312</v>
      </c>
      <c r="M604" s="55"/>
      <c r="N604" s="163">
        <v>20312</v>
      </c>
      <c r="O604" s="55"/>
      <c r="P604" s="163">
        <v>20312</v>
      </c>
      <c r="Q604" s="97">
        <f>SUM(AI604+BA604)</f>
        <v>1.1830000000000001</v>
      </c>
      <c r="R604" s="342">
        <f t="shared" si="4389"/>
        <v>24.029096000000003</v>
      </c>
      <c r="S604" s="97"/>
      <c r="T604" s="97">
        <f t="shared" si="4390"/>
        <v>0</v>
      </c>
      <c r="U604" s="97"/>
      <c r="V604" s="97">
        <f t="shared" si="4391"/>
        <v>0</v>
      </c>
      <c r="W604" s="97"/>
      <c r="X604" s="97">
        <f t="shared" si="4392"/>
        <v>0</v>
      </c>
      <c r="Y604" s="97">
        <f t="shared" si="4858"/>
        <v>0</v>
      </c>
      <c r="Z604" s="97">
        <f t="shared" si="4859"/>
        <v>0</v>
      </c>
      <c r="AA604" s="97"/>
      <c r="AB604" s="97">
        <f t="shared" si="4395"/>
        <v>0</v>
      </c>
      <c r="AC604" s="97">
        <v>2E-3</v>
      </c>
      <c r="AD604" s="97">
        <f t="shared" si="4396"/>
        <v>4.0624E-2</v>
      </c>
      <c r="AE604" s="97">
        <v>5.8000000000000003E-2</v>
      </c>
      <c r="AF604" s="97">
        <f t="shared" si="4412"/>
        <v>1.178096</v>
      </c>
      <c r="AG604" s="97">
        <f t="shared" si="4860"/>
        <v>6.0000000000000005E-2</v>
      </c>
      <c r="AH604" s="97">
        <f t="shared" si="4861"/>
        <v>1.21872</v>
      </c>
      <c r="AI604" s="97">
        <f t="shared" si="4862"/>
        <v>6.0000000000000005E-2</v>
      </c>
      <c r="AJ604" s="97">
        <f t="shared" si="4863"/>
        <v>1.21872</v>
      </c>
      <c r="AK604" s="97"/>
      <c r="AL604" s="97">
        <f t="shared" si="4864"/>
        <v>0</v>
      </c>
      <c r="AM604" s="97">
        <v>1</v>
      </c>
      <c r="AN604" s="97">
        <f t="shared" si="4865"/>
        <v>20.312000000000001</v>
      </c>
      <c r="AO604" s="97"/>
      <c r="AP604" s="97">
        <f t="shared" si="4866"/>
        <v>0</v>
      </c>
      <c r="AQ604" s="97">
        <f t="shared" si="4867"/>
        <v>1</v>
      </c>
      <c r="AR604" s="97">
        <f t="shared" si="4868"/>
        <v>20.312000000000001</v>
      </c>
      <c r="AS604" s="97"/>
      <c r="AT604" s="97">
        <f t="shared" si="4413"/>
        <v>0</v>
      </c>
      <c r="AU604" s="97"/>
      <c r="AV604" s="97">
        <f t="shared" si="4406"/>
        <v>0</v>
      </c>
      <c r="AW604" s="97">
        <v>0.123</v>
      </c>
      <c r="AX604" s="97">
        <f t="shared" si="4407"/>
        <v>2.4983759999999999</v>
      </c>
      <c r="AY604" s="97">
        <f t="shared" si="4869"/>
        <v>0.123</v>
      </c>
      <c r="AZ604" s="97">
        <f t="shared" si="4870"/>
        <v>2.4983759999999999</v>
      </c>
      <c r="BA604" s="97">
        <f t="shared" si="4871"/>
        <v>1.123</v>
      </c>
      <c r="BB604" s="97">
        <f t="shared" si="4872"/>
        <v>22.810376000000002</v>
      </c>
    </row>
    <row r="605" spans="1:54">
      <c r="A605" s="498">
        <v>421</v>
      </c>
      <c r="B605" s="13"/>
      <c r="C605" s="13"/>
      <c r="D605" s="15"/>
      <c r="E605" s="21" t="s">
        <v>223</v>
      </c>
      <c r="F605" s="46"/>
      <c r="G605" s="46" t="s">
        <v>1105</v>
      </c>
      <c r="H605" s="268" t="s">
        <v>365</v>
      </c>
      <c r="I605" s="55"/>
      <c r="J605" s="163">
        <v>16072</v>
      </c>
      <c r="K605" s="55"/>
      <c r="L605" s="163">
        <v>16072</v>
      </c>
      <c r="M605" s="55"/>
      <c r="N605" s="163">
        <v>16072</v>
      </c>
      <c r="O605" s="55"/>
      <c r="P605" s="163">
        <v>16072</v>
      </c>
      <c r="Q605" s="97">
        <f t="shared" si="4388"/>
        <v>1.032</v>
      </c>
      <c r="R605" s="342">
        <f t="shared" si="4389"/>
        <v>16.586303999999998</v>
      </c>
      <c r="S605" s="97">
        <v>0.10299999999999999</v>
      </c>
      <c r="T605" s="97">
        <f t="shared" si="4390"/>
        <v>1.655416</v>
      </c>
      <c r="U605" s="97">
        <v>0.01</v>
      </c>
      <c r="V605" s="97">
        <f t="shared" si="4391"/>
        <v>0.16072</v>
      </c>
      <c r="W605" s="97">
        <v>0.04</v>
      </c>
      <c r="X605" s="97">
        <f t="shared" si="4392"/>
        <v>0.64288000000000001</v>
      </c>
      <c r="Y605" s="97">
        <f t="shared" si="4393"/>
        <v>0.153</v>
      </c>
      <c r="Z605" s="97">
        <f t="shared" si="4394"/>
        <v>2.4590160000000001</v>
      </c>
      <c r="AA605" s="97">
        <v>0.155</v>
      </c>
      <c r="AB605" s="97">
        <f t="shared" si="4395"/>
        <v>2.4911599999999998</v>
      </c>
      <c r="AC605" s="97">
        <v>0.125</v>
      </c>
      <c r="AD605" s="97">
        <f t="shared" si="4396"/>
        <v>2.0089999999999999</v>
      </c>
      <c r="AE605" s="97">
        <v>0.186</v>
      </c>
      <c r="AF605" s="97">
        <f t="shared" si="4412"/>
        <v>2.9893919999999996</v>
      </c>
      <c r="AG605" s="97">
        <f t="shared" si="4397"/>
        <v>0.46600000000000003</v>
      </c>
      <c r="AH605" s="97">
        <f t="shared" si="4398"/>
        <v>7.4895519999999989</v>
      </c>
      <c r="AI605" s="97">
        <f t="shared" si="4399"/>
        <v>0.61899999999999999</v>
      </c>
      <c r="AJ605" s="97">
        <f t="shared" si="4400"/>
        <v>9.9485679999999981</v>
      </c>
      <c r="AK605" s="97">
        <v>4.5999999999999999E-2</v>
      </c>
      <c r="AL605" s="97">
        <f t="shared" si="4401"/>
        <v>0.73931199999999997</v>
      </c>
      <c r="AM605" s="97">
        <v>0.24199999999999999</v>
      </c>
      <c r="AN605" s="97">
        <f t="shared" si="4402"/>
        <v>3.889424</v>
      </c>
      <c r="AO605" s="97">
        <v>0.03</v>
      </c>
      <c r="AP605" s="97">
        <f t="shared" si="4403"/>
        <v>0.48215999999999998</v>
      </c>
      <c r="AQ605" s="97">
        <f t="shared" si="4404"/>
        <v>0.31799999999999995</v>
      </c>
      <c r="AR605" s="97">
        <f t="shared" si="4405"/>
        <v>5.1108960000000003</v>
      </c>
      <c r="AS605" s="97">
        <v>4.4999999999999998E-2</v>
      </c>
      <c r="AT605" s="97">
        <f t="shared" si="4413"/>
        <v>0.72323999999999999</v>
      </c>
      <c r="AU605" s="97">
        <v>3.1E-2</v>
      </c>
      <c r="AV605" s="97">
        <f t="shared" si="4406"/>
        <v>0.49823199999999995</v>
      </c>
      <c r="AW605" s="97">
        <v>1.9E-2</v>
      </c>
      <c r="AX605" s="97">
        <f t="shared" si="4407"/>
        <v>0.30536799999999997</v>
      </c>
      <c r="AY605" s="97">
        <f t="shared" si="4408"/>
        <v>9.5000000000000001E-2</v>
      </c>
      <c r="AZ605" s="97">
        <f t="shared" si="4409"/>
        <v>1.52684</v>
      </c>
      <c r="BA605" s="97">
        <f t="shared" si="4410"/>
        <v>0.41299999999999992</v>
      </c>
      <c r="BB605" s="97">
        <f t="shared" si="4411"/>
        <v>6.6377360000000003</v>
      </c>
    </row>
    <row r="606" spans="1:54">
      <c r="A606" s="498">
        <v>422</v>
      </c>
      <c r="B606" s="13"/>
      <c r="C606" s="13"/>
      <c r="D606" s="15"/>
      <c r="E606" s="21" t="s">
        <v>224</v>
      </c>
      <c r="F606" s="46"/>
      <c r="G606" s="46" t="s">
        <v>1105</v>
      </c>
      <c r="H606" s="268" t="s">
        <v>365</v>
      </c>
      <c r="I606" s="55"/>
      <c r="J606" s="163">
        <v>3266</v>
      </c>
      <c r="K606" s="55"/>
      <c r="L606" s="163">
        <v>3266</v>
      </c>
      <c r="M606" s="55"/>
      <c r="N606" s="163">
        <v>3266</v>
      </c>
      <c r="O606" s="55"/>
      <c r="P606" s="163">
        <v>3266</v>
      </c>
      <c r="Q606" s="97">
        <f t="shared" si="4388"/>
        <v>0.17600000000000002</v>
      </c>
      <c r="R606" s="342">
        <f t="shared" si="4389"/>
        <v>0.57481599999999999</v>
      </c>
      <c r="S606" s="97"/>
      <c r="T606" s="97">
        <f t="shared" si="4390"/>
        <v>0</v>
      </c>
      <c r="U606" s="97">
        <v>2.1000000000000001E-2</v>
      </c>
      <c r="V606" s="97">
        <f t="shared" si="4391"/>
        <v>6.8585999999999994E-2</v>
      </c>
      <c r="W606" s="97"/>
      <c r="X606" s="97">
        <f t="shared" si="4392"/>
        <v>0</v>
      </c>
      <c r="Y606" s="97">
        <f t="shared" si="4393"/>
        <v>2.1000000000000001E-2</v>
      </c>
      <c r="Z606" s="97">
        <f t="shared" si="4394"/>
        <v>6.8585999999999994E-2</v>
      </c>
      <c r="AA606" s="97">
        <v>3.0000000000000001E-3</v>
      </c>
      <c r="AB606" s="97">
        <f t="shared" si="4395"/>
        <v>9.7979999999999994E-3</v>
      </c>
      <c r="AC606" s="97">
        <v>1.7000000000000001E-2</v>
      </c>
      <c r="AD606" s="97">
        <f t="shared" si="4396"/>
        <v>5.5522000000000009E-2</v>
      </c>
      <c r="AE606" s="97"/>
      <c r="AF606" s="97">
        <f>L606*AE606/1000</f>
        <v>0</v>
      </c>
      <c r="AG606" s="97">
        <f t="shared" si="4397"/>
        <v>0.02</v>
      </c>
      <c r="AH606" s="97">
        <f t="shared" si="4398"/>
        <v>6.5320000000000003E-2</v>
      </c>
      <c r="AI606" s="97">
        <f t="shared" si="4399"/>
        <v>4.1000000000000002E-2</v>
      </c>
      <c r="AJ606" s="97">
        <f t="shared" si="4400"/>
        <v>0.133906</v>
      </c>
      <c r="AK606" s="97"/>
      <c r="AL606" s="97">
        <f>N606*AK606/1000</f>
        <v>0</v>
      </c>
      <c r="AM606" s="97">
        <v>3.6999999999999998E-2</v>
      </c>
      <c r="AN606" s="97">
        <f t="shared" si="4402"/>
        <v>0.120842</v>
      </c>
      <c r="AO606" s="97">
        <v>5.1999999999999998E-2</v>
      </c>
      <c r="AP606" s="97">
        <f t="shared" si="4403"/>
        <v>0.16983199999999998</v>
      </c>
      <c r="AQ606" s="97">
        <f t="shared" si="4404"/>
        <v>8.8999999999999996E-2</v>
      </c>
      <c r="AR606" s="97">
        <f t="shared" si="4405"/>
        <v>0.29067399999999999</v>
      </c>
      <c r="AS606" s="97">
        <v>4.0000000000000001E-3</v>
      </c>
      <c r="AT606" s="97">
        <f t="shared" si="4413"/>
        <v>1.3063999999999999E-2</v>
      </c>
      <c r="AU606" s="97">
        <v>2.5000000000000001E-2</v>
      </c>
      <c r="AV606" s="97">
        <f t="shared" si="4406"/>
        <v>8.165E-2</v>
      </c>
      <c r="AW606" s="97">
        <v>1.7000000000000001E-2</v>
      </c>
      <c r="AX606" s="97">
        <f t="shared" si="4407"/>
        <v>5.5522000000000009E-2</v>
      </c>
      <c r="AY606" s="97">
        <f t="shared" si="4408"/>
        <v>4.5999999999999999E-2</v>
      </c>
      <c r="AZ606" s="97">
        <f t="shared" si="4409"/>
        <v>0.15023600000000001</v>
      </c>
      <c r="BA606" s="97">
        <f t="shared" si="4410"/>
        <v>0.13500000000000001</v>
      </c>
      <c r="BB606" s="97">
        <f t="shared" si="4411"/>
        <v>0.44091000000000002</v>
      </c>
    </row>
    <row r="607" spans="1:54" s="6" customFormat="1">
      <c r="A607" s="498">
        <v>423</v>
      </c>
      <c r="B607" s="14"/>
      <c r="C607" s="14"/>
      <c r="D607" s="41"/>
      <c r="E607" s="16" t="s">
        <v>358</v>
      </c>
      <c r="F607" s="45"/>
      <c r="G607" s="46" t="s">
        <v>1105</v>
      </c>
      <c r="H607" s="267" t="s">
        <v>370</v>
      </c>
      <c r="I607" s="234"/>
      <c r="J607" s="241">
        <v>3186</v>
      </c>
      <c r="K607" s="234"/>
      <c r="L607" s="241">
        <v>3186</v>
      </c>
      <c r="M607" s="234"/>
      <c r="N607" s="241">
        <v>3186</v>
      </c>
      <c r="O607" s="234"/>
      <c r="P607" s="241">
        <v>3186</v>
      </c>
      <c r="Q607" s="96">
        <f t="shared" si="4388"/>
        <v>0.02</v>
      </c>
      <c r="R607" s="340">
        <f t="shared" si="4389"/>
        <v>6.3719999999999999E-2</v>
      </c>
      <c r="S607" s="96"/>
      <c r="T607" s="96">
        <f t="shared" ref="T607:T609" si="4874">J607*S607/1000</f>
        <v>0</v>
      </c>
      <c r="U607" s="96"/>
      <c r="V607" s="96">
        <f t="shared" ref="V607:V609" si="4875">J607*U607/1000</f>
        <v>0</v>
      </c>
      <c r="W607" s="96">
        <v>0.02</v>
      </c>
      <c r="X607" s="96">
        <f t="shared" ref="X607:X609" si="4876">J607*W607/1000</f>
        <v>6.3719999999999999E-2</v>
      </c>
      <c r="Y607" s="96">
        <f t="shared" ref="Y607:Y609" si="4877">SUM(S607+U607+W607)</f>
        <v>0.02</v>
      </c>
      <c r="Z607" s="96">
        <f t="shared" ref="Z607:Z609" si="4878">SUM(T607+V607+X607)</f>
        <v>6.3719999999999999E-2</v>
      </c>
      <c r="AA607" s="96"/>
      <c r="AB607" s="96">
        <f t="shared" ref="AB607:AB609" si="4879">L607*AA607/1000</f>
        <v>0</v>
      </c>
      <c r="AC607" s="96"/>
      <c r="AD607" s="96">
        <f t="shared" ref="AD607:AD609" si="4880">L607*AC607/1000</f>
        <v>0</v>
      </c>
      <c r="AE607" s="96"/>
      <c r="AF607" s="97">
        <f t="shared" si="4412"/>
        <v>0</v>
      </c>
      <c r="AG607" s="96">
        <f t="shared" ref="AG607:AG609" si="4881">SUM(AA607+AC607+AE607)</f>
        <v>0</v>
      </c>
      <c r="AH607" s="96">
        <f t="shared" ref="AH607:AH609" si="4882">SUM(AB607+AD607+AF607)</f>
        <v>0</v>
      </c>
      <c r="AI607" s="96">
        <f t="shared" ref="AI607:AI609" si="4883">SUM(Y607+AG607)</f>
        <v>0.02</v>
      </c>
      <c r="AJ607" s="96">
        <f t="shared" ref="AJ607:AJ609" si="4884">SUM(Z607,AH607)</f>
        <v>6.3719999999999999E-2</v>
      </c>
      <c r="AK607" s="96"/>
      <c r="AL607" s="96">
        <f t="shared" ref="AL607:AL609" si="4885">N607*AK607/1000</f>
        <v>0</v>
      </c>
      <c r="AM607" s="96"/>
      <c r="AN607" s="96">
        <f t="shared" ref="AN607:AN609" si="4886">N607*AM607/1000</f>
        <v>0</v>
      </c>
      <c r="AO607" s="96"/>
      <c r="AP607" s="96">
        <f t="shared" ref="AP607:AP609" si="4887">N607*AO607/1000</f>
        <v>0</v>
      </c>
      <c r="AQ607" s="96">
        <f t="shared" ref="AQ607:AQ609" si="4888">SUM(AK607+AM607+AO607)</f>
        <v>0</v>
      </c>
      <c r="AR607" s="96">
        <f t="shared" ref="AR607:AR609" si="4889">SUM(AL607+AN607+AP607)</f>
        <v>0</v>
      </c>
      <c r="AS607" s="96"/>
      <c r="AT607" s="96">
        <f t="shared" si="4413"/>
        <v>0</v>
      </c>
      <c r="AU607" s="96"/>
      <c r="AV607" s="96">
        <f t="shared" si="4406"/>
        <v>0</v>
      </c>
      <c r="AW607" s="96"/>
      <c r="AX607" s="96">
        <f t="shared" si="4407"/>
        <v>0</v>
      </c>
      <c r="AY607" s="96">
        <f t="shared" ref="AY607:AY609" si="4890">SUM(AS607+AU607+AW607)</f>
        <v>0</v>
      </c>
      <c r="AZ607" s="96">
        <f t="shared" ref="AZ607:AZ609" si="4891">SUM(AT607+AV607+AX607)</f>
        <v>0</v>
      </c>
      <c r="BA607" s="96">
        <f t="shared" ref="BA607:BA609" si="4892">SUM(AQ607+AY607)</f>
        <v>0</v>
      </c>
      <c r="BB607" s="96">
        <f t="shared" ref="BB607:BB609" si="4893">SUM(AR607,AZ607)</f>
        <v>0</v>
      </c>
    </row>
    <row r="608" spans="1:54" ht="12" customHeight="1">
      <c r="A608" s="498">
        <v>424</v>
      </c>
      <c r="B608" s="13"/>
      <c r="C608" s="13"/>
      <c r="D608" s="13"/>
      <c r="E608" s="16" t="s">
        <v>619</v>
      </c>
      <c r="F608" s="46"/>
      <c r="G608" s="46" t="s">
        <v>1105</v>
      </c>
      <c r="H608" s="268" t="s">
        <v>366</v>
      </c>
      <c r="I608" s="55"/>
      <c r="J608" s="163">
        <v>16937</v>
      </c>
      <c r="K608" s="55"/>
      <c r="L608" s="163">
        <v>16937</v>
      </c>
      <c r="M608" s="55"/>
      <c r="N608" s="163">
        <v>16937</v>
      </c>
      <c r="O608" s="55"/>
      <c r="P608" s="163">
        <v>16937</v>
      </c>
      <c r="Q608" s="97">
        <f>SUM(AI608+BA608)</f>
        <v>0.60699999999999998</v>
      </c>
      <c r="R608" s="342">
        <f>SUM(AJ608+BB608)</f>
        <v>10.280759</v>
      </c>
      <c r="S608" s="97">
        <v>5.0000000000000001E-3</v>
      </c>
      <c r="T608" s="97">
        <f t="shared" si="4874"/>
        <v>8.4684999999999996E-2</v>
      </c>
      <c r="U608" s="97">
        <v>5.8000000000000003E-2</v>
      </c>
      <c r="V608" s="97">
        <f t="shared" si="4875"/>
        <v>0.98234600000000005</v>
      </c>
      <c r="W608" s="97"/>
      <c r="X608" s="97">
        <f t="shared" si="4876"/>
        <v>0</v>
      </c>
      <c r="Y608" s="97">
        <f t="shared" si="4877"/>
        <v>6.3E-2</v>
      </c>
      <c r="Z608" s="97">
        <f t="shared" si="4878"/>
        <v>1.0670310000000001</v>
      </c>
      <c r="AA608" s="97">
        <v>0.06</v>
      </c>
      <c r="AB608" s="97">
        <f t="shared" si="4879"/>
        <v>1.0162199999999999</v>
      </c>
      <c r="AC608" s="97">
        <v>0.01</v>
      </c>
      <c r="AD608" s="97">
        <f t="shared" si="4880"/>
        <v>0.16936999999999999</v>
      </c>
      <c r="AE608" s="97">
        <v>3.1E-2</v>
      </c>
      <c r="AF608" s="97">
        <f t="shared" ref="AF608:AF609" si="4894">L608*AE608/1000</f>
        <v>0.52504700000000004</v>
      </c>
      <c r="AG608" s="97">
        <f t="shared" si="4881"/>
        <v>0.10099999999999999</v>
      </c>
      <c r="AH608" s="97">
        <f t="shared" si="4882"/>
        <v>1.710637</v>
      </c>
      <c r="AI608" s="97">
        <f t="shared" si="4883"/>
        <v>0.16399999999999998</v>
      </c>
      <c r="AJ608" s="97">
        <f t="shared" si="4884"/>
        <v>2.7776680000000002</v>
      </c>
      <c r="AK608" s="97">
        <v>6.8000000000000005E-2</v>
      </c>
      <c r="AL608" s="97">
        <f t="shared" si="4885"/>
        <v>1.1517160000000002</v>
      </c>
      <c r="AM608" s="97">
        <v>0.11700000000000001</v>
      </c>
      <c r="AN608" s="97">
        <f t="shared" si="4886"/>
        <v>1.9816290000000001</v>
      </c>
      <c r="AO608" s="97">
        <v>0.124</v>
      </c>
      <c r="AP608" s="97">
        <f t="shared" si="4887"/>
        <v>2.1001880000000002</v>
      </c>
      <c r="AQ608" s="97">
        <f t="shared" si="4888"/>
        <v>0.309</v>
      </c>
      <c r="AR608" s="97">
        <f t="shared" si="4889"/>
        <v>5.2335330000000004</v>
      </c>
      <c r="AS608" s="97">
        <v>3.5999999999999997E-2</v>
      </c>
      <c r="AT608" s="97">
        <f t="shared" ref="AT608:AT609" si="4895">P608*AS608/1000</f>
        <v>0.60973199999999994</v>
      </c>
      <c r="AU608" s="97">
        <v>0.05</v>
      </c>
      <c r="AV608" s="97">
        <f t="shared" ref="AV608:AV609" si="4896">P608*AU608/1000</f>
        <v>0.84684999999999999</v>
      </c>
      <c r="AW608" s="97">
        <v>4.8000000000000001E-2</v>
      </c>
      <c r="AX608" s="97">
        <f>P608*AW608/1000</f>
        <v>0.81297600000000003</v>
      </c>
      <c r="AY608" s="97">
        <f t="shared" si="4890"/>
        <v>0.13400000000000001</v>
      </c>
      <c r="AZ608" s="97">
        <f t="shared" si="4891"/>
        <v>2.269558</v>
      </c>
      <c r="BA608" s="97">
        <f t="shared" si="4892"/>
        <v>0.443</v>
      </c>
      <c r="BB608" s="97">
        <f t="shared" si="4893"/>
        <v>7.5030910000000004</v>
      </c>
    </row>
    <row r="609" spans="1:54" ht="12" customHeight="1">
      <c r="A609" s="498">
        <v>425</v>
      </c>
      <c r="B609" s="13"/>
      <c r="C609" s="13"/>
      <c r="D609" s="13"/>
      <c r="E609" s="16" t="s">
        <v>745</v>
      </c>
      <c r="F609" s="46"/>
      <c r="G609" s="46" t="s">
        <v>1105</v>
      </c>
      <c r="H609" s="268" t="s">
        <v>366</v>
      </c>
      <c r="I609" s="55"/>
      <c r="J609" s="163">
        <v>16670</v>
      </c>
      <c r="K609" s="55"/>
      <c r="L609" s="163">
        <v>16670</v>
      </c>
      <c r="M609" s="55"/>
      <c r="N609" s="163">
        <v>16670</v>
      </c>
      <c r="O609" s="55"/>
      <c r="P609" s="163">
        <v>16670</v>
      </c>
      <c r="Q609" s="97">
        <f t="shared" ref="Q609" si="4897">SUM(AI609+BA609)</f>
        <v>0</v>
      </c>
      <c r="R609" s="342">
        <f t="shared" ref="R609" si="4898">SUM(AJ609+BB609)</f>
        <v>0</v>
      </c>
      <c r="S609" s="97"/>
      <c r="T609" s="97">
        <f t="shared" si="4874"/>
        <v>0</v>
      </c>
      <c r="U609" s="97"/>
      <c r="V609" s="97">
        <f t="shared" si="4875"/>
        <v>0</v>
      </c>
      <c r="W609" s="97"/>
      <c r="X609" s="97">
        <f t="shared" si="4876"/>
        <v>0</v>
      </c>
      <c r="Y609" s="97">
        <f t="shared" si="4877"/>
        <v>0</v>
      </c>
      <c r="Z609" s="97">
        <f t="shared" si="4878"/>
        <v>0</v>
      </c>
      <c r="AA609" s="97"/>
      <c r="AB609" s="97">
        <f t="shared" si="4879"/>
        <v>0</v>
      </c>
      <c r="AC609" s="97"/>
      <c r="AD609" s="97">
        <f t="shared" si="4880"/>
        <v>0</v>
      </c>
      <c r="AE609" s="97"/>
      <c r="AF609" s="97">
        <f t="shared" si="4894"/>
        <v>0</v>
      </c>
      <c r="AG609" s="97">
        <f t="shared" si="4881"/>
        <v>0</v>
      </c>
      <c r="AH609" s="97">
        <f t="shared" si="4882"/>
        <v>0</v>
      </c>
      <c r="AI609" s="97">
        <f t="shared" si="4883"/>
        <v>0</v>
      </c>
      <c r="AJ609" s="97">
        <f t="shared" si="4884"/>
        <v>0</v>
      </c>
      <c r="AK609" s="97"/>
      <c r="AL609" s="97">
        <f t="shared" si="4885"/>
        <v>0</v>
      </c>
      <c r="AM609" s="97"/>
      <c r="AN609" s="97">
        <f t="shared" si="4886"/>
        <v>0</v>
      </c>
      <c r="AO609" s="97"/>
      <c r="AP609" s="97">
        <f t="shared" si="4887"/>
        <v>0</v>
      </c>
      <c r="AQ609" s="97">
        <f t="shared" si="4888"/>
        <v>0</v>
      </c>
      <c r="AR609" s="97">
        <f t="shared" si="4889"/>
        <v>0</v>
      </c>
      <c r="AS609" s="97"/>
      <c r="AT609" s="97">
        <f t="shared" si="4895"/>
        <v>0</v>
      </c>
      <c r="AU609" s="97"/>
      <c r="AV609" s="97">
        <f t="shared" si="4896"/>
        <v>0</v>
      </c>
      <c r="AW609" s="97"/>
      <c r="AX609" s="97">
        <f t="shared" ref="AX609" si="4899">P609*AW609/1000</f>
        <v>0</v>
      </c>
      <c r="AY609" s="97">
        <f t="shared" si="4890"/>
        <v>0</v>
      </c>
      <c r="AZ609" s="97">
        <f t="shared" si="4891"/>
        <v>0</v>
      </c>
      <c r="BA609" s="97">
        <f t="shared" si="4892"/>
        <v>0</v>
      </c>
      <c r="BB609" s="97">
        <f t="shared" si="4893"/>
        <v>0</v>
      </c>
    </row>
    <row r="610" spans="1:54">
      <c r="A610" s="498">
        <v>427</v>
      </c>
      <c r="B610" s="13"/>
      <c r="C610" s="23"/>
      <c r="D610" s="13"/>
      <c r="E610" s="21" t="s">
        <v>1178</v>
      </c>
      <c r="F610" s="46"/>
      <c r="G610" s="46" t="s">
        <v>1105</v>
      </c>
      <c r="H610" s="268" t="s">
        <v>365</v>
      </c>
      <c r="I610" s="55"/>
      <c r="J610" s="163">
        <v>21820</v>
      </c>
      <c r="K610" s="55"/>
      <c r="L610" s="163">
        <v>21820</v>
      </c>
      <c r="M610" s="55"/>
      <c r="N610" s="163">
        <v>21820</v>
      </c>
      <c r="O610" s="55"/>
      <c r="P610" s="163">
        <v>21820</v>
      </c>
      <c r="Q610" s="97">
        <f>SUM(AI610+BA610)</f>
        <v>3.7000000000000005E-2</v>
      </c>
      <c r="R610" s="342">
        <f>SUM(AJ610+BB610)</f>
        <v>0.80734000000000006</v>
      </c>
      <c r="S610" s="97">
        <v>5.0000000000000001E-3</v>
      </c>
      <c r="T610" s="97">
        <f t="shared" si="4390"/>
        <v>0.1091</v>
      </c>
      <c r="U610" s="97">
        <v>0.01</v>
      </c>
      <c r="V610" s="97">
        <f t="shared" si="4391"/>
        <v>0.21820000000000001</v>
      </c>
      <c r="W610" s="97">
        <v>0.01</v>
      </c>
      <c r="X610" s="97">
        <f t="shared" si="4392"/>
        <v>0.21820000000000001</v>
      </c>
      <c r="Y610" s="97">
        <f t="shared" si="4393"/>
        <v>2.5000000000000001E-2</v>
      </c>
      <c r="Z610" s="97">
        <f t="shared" si="4394"/>
        <v>0.5455000000000001</v>
      </c>
      <c r="AA610" s="97"/>
      <c r="AB610" s="97">
        <f t="shared" si="4395"/>
        <v>0</v>
      </c>
      <c r="AC610" s="97">
        <v>3.0000000000000001E-3</v>
      </c>
      <c r="AD610" s="97">
        <f t="shared" si="4396"/>
        <v>6.5460000000000004E-2</v>
      </c>
      <c r="AE610" s="97"/>
      <c r="AF610" s="97">
        <f t="shared" si="4412"/>
        <v>0</v>
      </c>
      <c r="AG610" s="97">
        <f t="shared" si="4397"/>
        <v>3.0000000000000001E-3</v>
      </c>
      <c r="AH610" s="97">
        <f t="shared" si="4398"/>
        <v>6.5460000000000004E-2</v>
      </c>
      <c r="AI610" s="97">
        <f t="shared" si="4399"/>
        <v>2.8000000000000001E-2</v>
      </c>
      <c r="AJ610" s="97">
        <f t="shared" si="4400"/>
        <v>0.61096000000000006</v>
      </c>
      <c r="AK610" s="97">
        <v>3.0000000000000001E-3</v>
      </c>
      <c r="AL610" s="97">
        <f t="shared" si="4401"/>
        <v>6.5460000000000004E-2</v>
      </c>
      <c r="AM610" s="97"/>
      <c r="AN610" s="97">
        <f t="shared" si="4402"/>
        <v>0</v>
      </c>
      <c r="AO610" s="97">
        <v>6.0000000000000001E-3</v>
      </c>
      <c r="AP610" s="97">
        <f t="shared" si="4403"/>
        <v>0.13092000000000001</v>
      </c>
      <c r="AQ610" s="97">
        <f t="shared" si="4404"/>
        <v>9.0000000000000011E-3</v>
      </c>
      <c r="AR610" s="97">
        <f t="shared" si="4405"/>
        <v>0.19638</v>
      </c>
      <c r="AS610" s="97"/>
      <c r="AT610" s="97">
        <f t="shared" si="4413"/>
        <v>0</v>
      </c>
      <c r="AU610" s="97"/>
      <c r="AV610" s="97">
        <f t="shared" si="4406"/>
        <v>0</v>
      </c>
      <c r="AW610" s="97"/>
      <c r="AX610" s="97">
        <f t="shared" si="4407"/>
        <v>0</v>
      </c>
      <c r="AY610" s="97">
        <f t="shared" si="4408"/>
        <v>0</v>
      </c>
      <c r="AZ610" s="97">
        <f t="shared" si="4409"/>
        <v>0</v>
      </c>
      <c r="BA610" s="97">
        <f t="shared" si="4410"/>
        <v>9.0000000000000011E-3</v>
      </c>
      <c r="BB610" s="97">
        <f t="shared" si="4411"/>
        <v>0.19638</v>
      </c>
    </row>
    <row r="611" spans="1:54">
      <c r="A611" s="498">
        <v>428</v>
      </c>
      <c r="B611" s="13"/>
      <c r="C611" s="23"/>
      <c r="D611" s="13"/>
      <c r="E611" s="21" t="s">
        <v>547</v>
      </c>
      <c r="F611" s="46"/>
      <c r="G611" s="46" t="s">
        <v>1105</v>
      </c>
      <c r="H611" s="268" t="s">
        <v>365</v>
      </c>
      <c r="I611" s="55"/>
      <c r="J611" s="163">
        <v>19174</v>
      </c>
      <c r="K611" s="55"/>
      <c r="L611" s="163">
        <v>19174</v>
      </c>
      <c r="M611" s="55"/>
      <c r="N611" s="163">
        <v>19174</v>
      </c>
      <c r="O611" s="55"/>
      <c r="P611" s="163">
        <v>19174</v>
      </c>
      <c r="Q611" s="97">
        <f>SUM(AI611+BA611)</f>
        <v>2.5000000000000001E-2</v>
      </c>
      <c r="R611" s="342">
        <f>SUM(AJ611+BB611)</f>
        <v>0.47935</v>
      </c>
      <c r="S611" s="97"/>
      <c r="T611" s="97">
        <f t="shared" ref="T611:T616" si="4900">J611*S611/1000</f>
        <v>0</v>
      </c>
      <c r="U611" s="97">
        <v>3.0000000000000001E-3</v>
      </c>
      <c r="V611" s="97">
        <f t="shared" ref="V611:V616" si="4901">J611*U611/1000</f>
        <v>5.7521999999999997E-2</v>
      </c>
      <c r="W611" s="97">
        <v>5.0000000000000001E-3</v>
      </c>
      <c r="X611" s="97">
        <f t="shared" ref="X611:X616" si="4902">J611*W611/1000</f>
        <v>9.5870000000000011E-2</v>
      </c>
      <c r="Y611" s="97">
        <f t="shared" ref="Y611:Y613" si="4903">SUM(S611+U611+W611)</f>
        <v>8.0000000000000002E-3</v>
      </c>
      <c r="Z611" s="97">
        <f t="shared" ref="Z611:Z613" si="4904">SUM(T611+V611+X611)</f>
        <v>0.153392</v>
      </c>
      <c r="AA611" s="97">
        <v>5.0000000000000001E-3</v>
      </c>
      <c r="AB611" s="97">
        <f t="shared" ref="AB611:AB616" si="4905">L611*AA611/1000</f>
        <v>9.5870000000000011E-2</v>
      </c>
      <c r="AC611" s="97">
        <v>3.0000000000000001E-3</v>
      </c>
      <c r="AD611" s="97">
        <f t="shared" ref="AD611:AD616" si="4906">L611*AC611/1000</f>
        <v>5.7521999999999997E-2</v>
      </c>
      <c r="AE611" s="97"/>
      <c r="AF611" s="97">
        <f t="shared" si="4412"/>
        <v>0</v>
      </c>
      <c r="AG611" s="97">
        <f t="shared" ref="AG611:AG613" si="4907">SUM(AA611+AC611+AE611)</f>
        <v>8.0000000000000002E-3</v>
      </c>
      <c r="AH611" s="97">
        <f t="shared" ref="AH611:AH613" si="4908">SUM(AB611+AD611+AF611)</f>
        <v>0.153392</v>
      </c>
      <c r="AI611" s="97">
        <f t="shared" ref="AI611:AI616" si="4909">SUM(Y611+AG611)</f>
        <v>1.6E-2</v>
      </c>
      <c r="AJ611" s="97">
        <f t="shared" ref="AJ611:AJ616" si="4910">SUM(Z611,AH611)</f>
        <v>0.306784</v>
      </c>
      <c r="AK611" s="97">
        <v>6.0000000000000001E-3</v>
      </c>
      <c r="AL611" s="97">
        <f t="shared" ref="AL611:AL616" si="4911">N611*AK611/1000</f>
        <v>0.11504399999999999</v>
      </c>
      <c r="AM611" s="97"/>
      <c r="AN611" s="97">
        <f>N611*AM611/1000</f>
        <v>0</v>
      </c>
      <c r="AO611" s="97"/>
      <c r="AP611" s="97">
        <f t="shared" ref="AP611:AP616" si="4912">N611*AO611/1000</f>
        <v>0</v>
      </c>
      <c r="AQ611" s="97">
        <f t="shared" ref="AQ611:AQ613" si="4913">SUM(AK611+AM611+AO611)</f>
        <v>6.0000000000000001E-3</v>
      </c>
      <c r="AR611" s="97">
        <f t="shared" ref="AR611:AR613" si="4914">SUM(AL611+AN611+AP611)</f>
        <v>0.11504399999999999</v>
      </c>
      <c r="AS611" s="97"/>
      <c r="AT611" s="97">
        <f t="shared" ref="AT611:AT616" si="4915">P611*AS611/1000</f>
        <v>0</v>
      </c>
      <c r="AU611" s="97">
        <v>3.0000000000000001E-3</v>
      </c>
      <c r="AV611" s="97">
        <f>P611*AU611/1000</f>
        <v>5.7521999999999997E-2</v>
      </c>
      <c r="AW611" s="97"/>
      <c r="AX611" s="97">
        <f t="shared" ref="AX611:AX616" si="4916">P611*AW611/1000</f>
        <v>0</v>
      </c>
      <c r="AY611" s="97">
        <f t="shared" ref="AY611:AY613" si="4917">SUM(AS611+AU611+AW611)</f>
        <v>3.0000000000000001E-3</v>
      </c>
      <c r="AZ611" s="97">
        <f t="shared" ref="AZ611:AZ613" si="4918">SUM(AT611+AV611+AX611)</f>
        <v>5.7521999999999997E-2</v>
      </c>
      <c r="BA611" s="97">
        <f t="shared" ref="BA611:BA616" si="4919">SUM(AQ611+AY611)</f>
        <v>9.0000000000000011E-3</v>
      </c>
      <c r="BB611" s="97">
        <f t="shared" ref="BB611:BB616" si="4920">SUM(AR611,AZ611)</f>
        <v>0.172566</v>
      </c>
    </row>
    <row r="612" spans="1:54" ht="12" customHeight="1">
      <c r="A612" s="498">
        <v>429</v>
      </c>
      <c r="B612" s="13"/>
      <c r="C612" s="13"/>
      <c r="D612" s="13"/>
      <c r="E612" s="21" t="s">
        <v>832</v>
      </c>
      <c r="F612" s="46"/>
      <c r="G612" s="46" t="s">
        <v>1105</v>
      </c>
      <c r="H612" s="268" t="s">
        <v>366</v>
      </c>
      <c r="I612" s="55"/>
      <c r="J612" s="163">
        <v>21100</v>
      </c>
      <c r="K612" s="55"/>
      <c r="L612" s="163">
        <v>21100</v>
      </c>
      <c r="M612" s="55"/>
      <c r="N612" s="163">
        <v>21100</v>
      </c>
      <c r="O612" s="55"/>
      <c r="P612" s="163">
        <v>24184</v>
      </c>
      <c r="Q612" s="97">
        <f t="shared" ref="Q612" si="4921">SUM(AI612+BA612)</f>
        <v>0.13200000000000001</v>
      </c>
      <c r="R612" s="342">
        <f t="shared" ref="R612" si="4922">SUM(AJ612+BB612)</f>
        <v>2.8900560000000004</v>
      </c>
      <c r="S612" s="97">
        <v>1.2E-2</v>
      </c>
      <c r="T612" s="97">
        <f t="shared" ref="T612" si="4923">J612*S612/1000</f>
        <v>0.25320000000000004</v>
      </c>
      <c r="U612" s="97">
        <v>3.2000000000000001E-2</v>
      </c>
      <c r="V612" s="97">
        <f t="shared" ref="V612" si="4924">J612*U612/1000</f>
        <v>0.67520000000000002</v>
      </c>
      <c r="W612" s="97">
        <v>2.3E-2</v>
      </c>
      <c r="X612" s="97">
        <f t="shared" ref="X612" si="4925">J612*W612/1000</f>
        <v>0.48530000000000001</v>
      </c>
      <c r="Y612" s="97">
        <f t="shared" ref="Y612" si="4926">SUM(S612+U612+W612)</f>
        <v>6.7000000000000004E-2</v>
      </c>
      <c r="Z612" s="97">
        <f t="shared" ref="Z612" si="4927">SUM(T612+V612+X612)</f>
        <v>1.4137000000000002</v>
      </c>
      <c r="AA612" s="97">
        <v>5.0000000000000001E-3</v>
      </c>
      <c r="AB612" s="97">
        <f t="shared" ref="AB612" si="4928">L612*AA612/1000</f>
        <v>0.1055</v>
      </c>
      <c r="AC612" s="97">
        <v>3.0000000000000001E-3</v>
      </c>
      <c r="AD612" s="97">
        <f t="shared" ref="AD612" si="4929">L612*AC612/1000</f>
        <v>6.3300000000000009E-2</v>
      </c>
      <c r="AE612" s="97">
        <v>0.01</v>
      </c>
      <c r="AF612" s="97">
        <f t="shared" si="4412"/>
        <v>0.21099999999999999</v>
      </c>
      <c r="AG612" s="97">
        <f t="shared" ref="AG612" si="4930">SUM(AA612+AC612+AE612)</f>
        <v>1.8000000000000002E-2</v>
      </c>
      <c r="AH612" s="97">
        <f t="shared" ref="AH612" si="4931">SUM(AB612+AD612+AF612)</f>
        <v>0.37980000000000003</v>
      </c>
      <c r="AI612" s="97">
        <f t="shared" ref="AI612" si="4932">SUM(Y612+AG612)</f>
        <v>8.5000000000000006E-2</v>
      </c>
      <c r="AJ612" s="97">
        <f t="shared" ref="AJ612" si="4933">SUM(Z612,AH612)</f>
        <v>1.7935000000000003</v>
      </c>
      <c r="AK612" s="97">
        <v>8.9999999999999993E-3</v>
      </c>
      <c r="AL612" s="97">
        <f t="shared" ref="AL612" si="4934">N612*AK612/1000</f>
        <v>0.18989999999999999</v>
      </c>
      <c r="AM612" s="97"/>
      <c r="AN612" s="97">
        <f t="shared" ref="AN612" si="4935">N612*AM612/1000</f>
        <v>0</v>
      </c>
      <c r="AO612" s="97">
        <v>4.0000000000000001E-3</v>
      </c>
      <c r="AP612" s="97">
        <f t="shared" ref="AP612" si="4936">N612*AO612/1000</f>
        <v>8.4400000000000003E-2</v>
      </c>
      <c r="AQ612" s="97">
        <f t="shared" ref="AQ612" si="4937">SUM(AK612+AM612+AO612)</f>
        <v>1.2999999999999999E-2</v>
      </c>
      <c r="AR612" s="97">
        <f t="shared" ref="AR612" si="4938">SUM(AL612+AN612+AP612)</f>
        <v>0.27429999999999999</v>
      </c>
      <c r="AS612" s="97"/>
      <c r="AT612" s="97">
        <f t="shared" ref="AT612" si="4939">P612*AS612/1000</f>
        <v>0</v>
      </c>
      <c r="AU612" s="97">
        <v>1.7999999999999999E-2</v>
      </c>
      <c r="AV612" s="97">
        <f>P612*AU612/1000</f>
        <v>0.43531199999999998</v>
      </c>
      <c r="AW612" s="97">
        <v>1.6E-2</v>
      </c>
      <c r="AX612" s="97">
        <f t="shared" ref="AX612" si="4940">P612*AW612/1000</f>
        <v>0.38694400000000001</v>
      </c>
      <c r="AY612" s="97">
        <f t="shared" ref="AY612" si="4941">SUM(AS612+AU612+AW612)</f>
        <v>3.4000000000000002E-2</v>
      </c>
      <c r="AZ612" s="97">
        <f t="shared" ref="AZ612" si="4942">SUM(AT612+AV612+AX612)</f>
        <v>0.82225599999999999</v>
      </c>
      <c r="BA612" s="97">
        <f t="shared" ref="BA612" si="4943">SUM(AQ612+AY612)</f>
        <v>4.7E-2</v>
      </c>
      <c r="BB612" s="97">
        <f t="shared" ref="BB612" si="4944">SUM(AR612,AZ612)</f>
        <v>1.0965560000000001</v>
      </c>
    </row>
    <row r="613" spans="1:54" ht="12" customHeight="1">
      <c r="A613" s="498">
        <v>430</v>
      </c>
      <c r="B613" s="13"/>
      <c r="C613" s="13"/>
      <c r="D613" s="13"/>
      <c r="E613" s="63" t="s">
        <v>833</v>
      </c>
      <c r="F613" s="425"/>
      <c r="G613" s="425" t="s">
        <v>1105</v>
      </c>
      <c r="H613" s="284" t="s">
        <v>366</v>
      </c>
      <c r="I613" s="67"/>
      <c r="J613" s="166">
        <v>19500</v>
      </c>
      <c r="K613" s="67"/>
      <c r="L613" s="166">
        <v>19500</v>
      </c>
      <c r="M613" s="67"/>
      <c r="N613" s="166">
        <v>19500</v>
      </c>
      <c r="O613" s="67"/>
      <c r="P613" s="166">
        <v>19500</v>
      </c>
      <c r="Q613" s="129">
        <f t="shared" ref="Q613:Q615" si="4945">SUM(AI613+BA613)</f>
        <v>0</v>
      </c>
      <c r="R613" s="350">
        <f t="shared" ref="R613:R615" si="4946">SUM(AJ613+BB613)</f>
        <v>0</v>
      </c>
      <c r="S613" s="129"/>
      <c r="T613" s="129">
        <f t="shared" si="4900"/>
        <v>0</v>
      </c>
      <c r="U613" s="129"/>
      <c r="V613" s="129">
        <f t="shared" si="4901"/>
        <v>0</v>
      </c>
      <c r="W613" s="129"/>
      <c r="X613" s="129">
        <f t="shared" si="4902"/>
        <v>0</v>
      </c>
      <c r="Y613" s="129">
        <f t="shared" si="4903"/>
        <v>0</v>
      </c>
      <c r="Z613" s="129">
        <f t="shared" si="4904"/>
        <v>0</v>
      </c>
      <c r="AA613" s="129"/>
      <c r="AB613" s="129">
        <f t="shared" si="4905"/>
        <v>0</v>
      </c>
      <c r="AC613" s="129"/>
      <c r="AD613" s="129">
        <f t="shared" si="4906"/>
        <v>0</v>
      </c>
      <c r="AE613" s="129"/>
      <c r="AF613" s="129">
        <f t="shared" ref="AF613:AF616" si="4947">L613*AE613/1000</f>
        <v>0</v>
      </c>
      <c r="AG613" s="129">
        <f t="shared" si="4907"/>
        <v>0</v>
      </c>
      <c r="AH613" s="129">
        <f t="shared" si="4908"/>
        <v>0</v>
      </c>
      <c r="AI613" s="129">
        <f t="shared" si="4909"/>
        <v>0</v>
      </c>
      <c r="AJ613" s="129">
        <f t="shared" si="4910"/>
        <v>0</v>
      </c>
      <c r="AK613" s="129"/>
      <c r="AL613" s="129">
        <f t="shared" si="4911"/>
        <v>0</v>
      </c>
      <c r="AM613" s="129"/>
      <c r="AN613" s="129">
        <f t="shared" ref="AN613:AN616" si="4948">N613*AM613/1000</f>
        <v>0</v>
      </c>
      <c r="AO613" s="129"/>
      <c r="AP613" s="129">
        <f t="shared" si="4912"/>
        <v>0</v>
      </c>
      <c r="AQ613" s="129">
        <f t="shared" si="4913"/>
        <v>0</v>
      </c>
      <c r="AR613" s="129">
        <f t="shared" si="4914"/>
        <v>0</v>
      </c>
      <c r="AS613" s="129"/>
      <c r="AT613" s="129">
        <f t="shared" si="4915"/>
        <v>0</v>
      </c>
      <c r="AU613" s="129"/>
      <c r="AV613" s="129">
        <f>P613*AU613/1000</f>
        <v>0</v>
      </c>
      <c r="AW613" s="129"/>
      <c r="AX613" s="129">
        <f t="shared" si="4916"/>
        <v>0</v>
      </c>
      <c r="AY613" s="129">
        <f t="shared" si="4917"/>
        <v>0</v>
      </c>
      <c r="AZ613" s="129">
        <f t="shared" si="4918"/>
        <v>0</v>
      </c>
      <c r="BA613" s="129">
        <f t="shared" si="4919"/>
        <v>0</v>
      </c>
      <c r="BB613" s="129">
        <f t="shared" si="4920"/>
        <v>0</v>
      </c>
    </row>
    <row r="614" spans="1:54">
      <c r="A614" s="498">
        <v>431</v>
      </c>
      <c r="B614" s="13"/>
      <c r="C614" s="13"/>
      <c r="D614" s="13"/>
      <c r="E614" s="21" t="s">
        <v>1137</v>
      </c>
      <c r="F614" s="46"/>
      <c r="G614" s="425" t="s">
        <v>1105</v>
      </c>
      <c r="H614" s="284" t="s">
        <v>366</v>
      </c>
      <c r="I614" s="55"/>
      <c r="J614" s="163">
        <v>26314</v>
      </c>
      <c r="K614" s="55"/>
      <c r="L614" s="163">
        <v>26314</v>
      </c>
      <c r="M614" s="55"/>
      <c r="N614" s="163">
        <v>26314</v>
      </c>
      <c r="O614" s="55"/>
      <c r="P614" s="163">
        <v>28156</v>
      </c>
      <c r="Q614" s="97">
        <f t="shared" si="4945"/>
        <v>8.9999999999999993E-3</v>
      </c>
      <c r="R614" s="342">
        <f t="shared" si="4946"/>
        <v>0.25340399999999996</v>
      </c>
      <c r="S614" s="97"/>
      <c r="T614" s="97">
        <f t="shared" si="4900"/>
        <v>0</v>
      </c>
      <c r="U614" s="97"/>
      <c r="V614" s="97">
        <f t="shared" si="4901"/>
        <v>0</v>
      </c>
      <c r="W614" s="97"/>
      <c r="X614" s="97">
        <f t="shared" si="4902"/>
        <v>0</v>
      </c>
      <c r="Y614" s="97">
        <f t="shared" ref="Y614" si="4949">SUM(S614+U614+W614)</f>
        <v>0</v>
      </c>
      <c r="Z614" s="97">
        <f t="shared" ref="Z614" si="4950">SUM(T614+V614+X614)</f>
        <v>0</v>
      </c>
      <c r="AA614" s="97"/>
      <c r="AB614" s="97">
        <f t="shared" si="4905"/>
        <v>0</v>
      </c>
      <c r="AC614" s="97"/>
      <c r="AD614" s="97">
        <f t="shared" si="4906"/>
        <v>0</v>
      </c>
      <c r="AE614" s="97"/>
      <c r="AF614" s="97">
        <f t="shared" si="4947"/>
        <v>0</v>
      </c>
      <c r="AG614" s="97">
        <f t="shared" ref="AG614" si="4951">SUM(AA614+AC614+AE614)</f>
        <v>0</v>
      </c>
      <c r="AH614" s="97">
        <f t="shared" ref="AH614" si="4952">SUM(AB614+AD614+AF614)</f>
        <v>0</v>
      </c>
      <c r="AI614" s="97">
        <f t="shared" si="4909"/>
        <v>0</v>
      </c>
      <c r="AJ614" s="97">
        <f t="shared" si="4910"/>
        <v>0</v>
      </c>
      <c r="AK614" s="97"/>
      <c r="AL614" s="97">
        <f t="shared" si="4911"/>
        <v>0</v>
      </c>
      <c r="AM614" s="97"/>
      <c r="AN614" s="97">
        <f t="shared" si="4948"/>
        <v>0</v>
      </c>
      <c r="AO614" s="97"/>
      <c r="AP614" s="97">
        <f t="shared" si="4912"/>
        <v>0</v>
      </c>
      <c r="AQ614" s="97">
        <f t="shared" ref="AQ614" si="4953">SUM(AK614+AM614+AO614)</f>
        <v>0</v>
      </c>
      <c r="AR614" s="97">
        <f t="shared" ref="AR614" si="4954">SUM(AL614+AN614+AP614)</f>
        <v>0</v>
      </c>
      <c r="AS614" s="97"/>
      <c r="AT614" s="97">
        <f t="shared" si="4915"/>
        <v>0</v>
      </c>
      <c r="AU614" s="97">
        <v>8.9999999999999993E-3</v>
      </c>
      <c r="AV614" s="97">
        <f t="shared" ref="AV614" si="4955">P614*AU614/1000</f>
        <v>0.25340399999999996</v>
      </c>
      <c r="AW614" s="97"/>
      <c r="AX614" s="97">
        <f t="shared" si="4916"/>
        <v>0</v>
      </c>
      <c r="AY614" s="97">
        <f t="shared" ref="AY614" si="4956">SUM(AS614+AU614+AW614)</f>
        <v>8.9999999999999993E-3</v>
      </c>
      <c r="AZ614" s="97">
        <f t="shared" ref="AZ614" si="4957">SUM(AT614+AV614+AX614)</f>
        <v>0.25340399999999996</v>
      </c>
      <c r="BA614" s="97">
        <f t="shared" si="4919"/>
        <v>8.9999999999999993E-3</v>
      </c>
      <c r="BB614" s="97">
        <f t="shared" si="4920"/>
        <v>0.25340399999999996</v>
      </c>
    </row>
    <row r="615" spans="1:54">
      <c r="A615" s="498">
        <v>432</v>
      </c>
      <c r="B615" s="13"/>
      <c r="C615" s="13"/>
      <c r="D615" s="13"/>
      <c r="E615" s="21" t="s">
        <v>1138</v>
      </c>
      <c r="F615" s="46"/>
      <c r="G615" s="425" t="s">
        <v>1105</v>
      </c>
      <c r="H615" s="284" t="s">
        <v>366</v>
      </c>
      <c r="I615" s="55"/>
      <c r="J615" s="163">
        <v>24600</v>
      </c>
      <c r="K615" s="55"/>
      <c r="L615" s="163">
        <v>24600</v>
      </c>
      <c r="M615" s="55"/>
      <c r="N615" s="163">
        <v>24600</v>
      </c>
      <c r="O615" s="55"/>
      <c r="P615" s="163">
        <v>24600</v>
      </c>
      <c r="Q615" s="97">
        <f t="shared" si="4945"/>
        <v>0</v>
      </c>
      <c r="R615" s="342">
        <f t="shared" si="4946"/>
        <v>0</v>
      </c>
      <c r="S615" s="97"/>
      <c r="T615" s="97">
        <f t="shared" si="4900"/>
        <v>0</v>
      </c>
      <c r="U615" s="97"/>
      <c r="V615" s="97">
        <f t="shared" si="4901"/>
        <v>0</v>
      </c>
      <c r="W615" s="97"/>
      <c r="X615" s="97">
        <f t="shared" si="4902"/>
        <v>0</v>
      </c>
      <c r="Y615" s="97">
        <f t="shared" ref="Y615:Y616" si="4958">SUM(S615+U615+W615)</f>
        <v>0</v>
      </c>
      <c r="Z615" s="97">
        <f t="shared" ref="Z615:Z616" si="4959">SUM(T615+V615+X615)</f>
        <v>0</v>
      </c>
      <c r="AA615" s="97"/>
      <c r="AB615" s="97">
        <f t="shared" si="4905"/>
        <v>0</v>
      </c>
      <c r="AC615" s="97"/>
      <c r="AD615" s="97">
        <f t="shared" si="4906"/>
        <v>0</v>
      </c>
      <c r="AE615" s="97"/>
      <c r="AF615" s="97">
        <f t="shared" si="4947"/>
        <v>0</v>
      </c>
      <c r="AG615" s="97">
        <f t="shared" ref="AG615:AG616" si="4960">SUM(AA615+AC615+AE615)</f>
        <v>0</v>
      </c>
      <c r="AH615" s="97">
        <f t="shared" ref="AH615:AH616" si="4961">SUM(AB615+AD615+AF615)</f>
        <v>0</v>
      </c>
      <c r="AI615" s="97">
        <f t="shared" si="4909"/>
        <v>0</v>
      </c>
      <c r="AJ615" s="97">
        <f t="shared" si="4910"/>
        <v>0</v>
      </c>
      <c r="AK615" s="97"/>
      <c r="AL615" s="97">
        <f t="shared" si="4911"/>
        <v>0</v>
      </c>
      <c r="AM615" s="97"/>
      <c r="AN615" s="97">
        <f t="shared" si="4948"/>
        <v>0</v>
      </c>
      <c r="AO615" s="97"/>
      <c r="AP615" s="97">
        <f t="shared" si="4912"/>
        <v>0</v>
      </c>
      <c r="AQ615" s="97">
        <f t="shared" ref="AQ615:AQ616" si="4962">SUM(AK615+AM615+AO615)</f>
        <v>0</v>
      </c>
      <c r="AR615" s="97">
        <f t="shared" ref="AR615:AR616" si="4963">SUM(AL615+AN615+AP615)</f>
        <v>0</v>
      </c>
      <c r="AS615" s="97"/>
      <c r="AT615" s="97">
        <f t="shared" si="4915"/>
        <v>0</v>
      </c>
      <c r="AU615" s="97"/>
      <c r="AV615" s="97">
        <f t="shared" ref="AV615:AV616" si="4964">P615*AU615/1000</f>
        <v>0</v>
      </c>
      <c r="AW615" s="97"/>
      <c r="AX615" s="97">
        <f t="shared" si="4916"/>
        <v>0</v>
      </c>
      <c r="AY615" s="97">
        <f t="shared" ref="AY615:AY616" si="4965">SUM(AS615+AU615+AW615)</f>
        <v>0</v>
      </c>
      <c r="AZ615" s="97">
        <f t="shared" ref="AZ615:AZ616" si="4966">SUM(AT615+AV615+AX615)</f>
        <v>0</v>
      </c>
      <c r="BA615" s="97">
        <f t="shared" si="4919"/>
        <v>0</v>
      </c>
      <c r="BB615" s="97">
        <f t="shared" si="4920"/>
        <v>0</v>
      </c>
    </row>
    <row r="616" spans="1:54">
      <c r="A616" s="498">
        <v>433</v>
      </c>
      <c r="B616" s="13"/>
      <c r="C616" s="13"/>
      <c r="D616" s="15"/>
      <c r="E616" s="90" t="s">
        <v>1734</v>
      </c>
      <c r="F616" s="430"/>
      <c r="G616" s="46" t="s">
        <v>1105</v>
      </c>
      <c r="H616" s="268" t="s">
        <v>366</v>
      </c>
      <c r="I616" s="76"/>
      <c r="J616" s="163">
        <v>8162</v>
      </c>
      <c r="K616" s="76"/>
      <c r="L616" s="163">
        <v>8162</v>
      </c>
      <c r="M616" s="76"/>
      <c r="N616" s="163">
        <v>8162</v>
      </c>
      <c r="O616" s="76"/>
      <c r="P616" s="163">
        <v>8162</v>
      </c>
      <c r="Q616" s="131">
        <f t="shared" ref="Q616:R618" si="4967">SUM(AI616+BA616)</f>
        <v>0.13</v>
      </c>
      <c r="R616" s="352">
        <f t="shared" si="4967"/>
        <v>1.0610599999999999</v>
      </c>
      <c r="S616" s="131">
        <v>0.13</v>
      </c>
      <c r="T616" s="131">
        <f t="shared" si="4900"/>
        <v>1.0610599999999999</v>
      </c>
      <c r="U616" s="131"/>
      <c r="V616" s="131">
        <f t="shared" si="4901"/>
        <v>0</v>
      </c>
      <c r="W616" s="131"/>
      <c r="X616" s="131">
        <f t="shared" si="4902"/>
        <v>0</v>
      </c>
      <c r="Y616" s="131">
        <f t="shared" si="4958"/>
        <v>0.13</v>
      </c>
      <c r="Z616" s="131">
        <f t="shared" si="4959"/>
        <v>1.0610599999999999</v>
      </c>
      <c r="AA616" s="131"/>
      <c r="AB616" s="131">
        <f t="shared" si="4905"/>
        <v>0</v>
      </c>
      <c r="AC616" s="131"/>
      <c r="AD616" s="131">
        <f t="shared" si="4906"/>
        <v>0</v>
      </c>
      <c r="AE616" s="131"/>
      <c r="AF616" s="131">
        <f t="shared" si="4947"/>
        <v>0</v>
      </c>
      <c r="AG616" s="131">
        <f t="shared" si="4960"/>
        <v>0</v>
      </c>
      <c r="AH616" s="131">
        <f t="shared" si="4961"/>
        <v>0</v>
      </c>
      <c r="AI616" s="131">
        <f t="shared" si="4909"/>
        <v>0.13</v>
      </c>
      <c r="AJ616" s="131">
        <f t="shared" si="4910"/>
        <v>1.0610599999999999</v>
      </c>
      <c r="AK616" s="131"/>
      <c r="AL616" s="131">
        <f t="shared" si="4911"/>
        <v>0</v>
      </c>
      <c r="AM616" s="131"/>
      <c r="AN616" s="131">
        <f t="shared" si="4948"/>
        <v>0</v>
      </c>
      <c r="AO616" s="131"/>
      <c r="AP616" s="131">
        <f t="shared" si="4912"/>
        <v>0</v>
      </c>
      <c r="AQ616" s="131">
        <f t="shared" si="4962"/>
        <v>0</v>
      </c>
      <c r="AR616" s="131">
        <f t="shared" si="4963"/>
        <v>0</v>
      </c>
      <c r="AS616" s="131"/>
      <c r="AT616" s="131">
        <f t="shared" si="4915"/>
        <v>0</v>
      </c>
      <c r="AU616" s="131"/>
      <c r="AV616" s="131">
        <f t="shared" si="4964"/>
        <v>0</v>
      </c>
      <c r="AW616" s="131"/>
      <c r="AX616" s="131">
        <f t="shared" si="4916"/>
        <v>0</v>
      </c>
      <c r="AY616" s="131">
        <f t="shared" si="4965"/>
        <v>0</v>
      </c>
      <c r="AZ616" s="131">
        <f t="shared" si="4966"/>
        <v>0</v>
      </c>
      <c r="BA616" s="131">
        <f t="shared" si="4919"/>
        <v>0</v>
      </c>
      <c r="BB616" s="131">
        <f t="shared" si="4920"/>
        <v>0</v>
      </c>
    </row>
    <row r="617" spans="1:54">
      <c r="A617" s="498">
        <v>433</v>
      </c>
      <c r="B617" s="13"/>
      <c r="C617" s="13"/>
      <c r="D617" s="15"/>
      <c r="E617" s="90" t="s">
        <v>537</v>
      </c>
      <c r="F617" s="430"/>
      <c r="G617" s="46" t="s">
        <v>1105</v>
      </c>
      <c r="H617" s="268" t="s">
        <v>367</v>
      </c>
      <c r="I617" s="76"/>
      <c r="J617" s="163">
        <v>29658</v>
      </c>
      <c r="K617" s="76"/>
      <c r="L617" s="163">
        <v>29658</v>
      </c>
      <c r="M617" s="76"/>
      <c r="N617" s="163">
        <v>29658</v>
      </c>
      <c r="O617" s="76"/>
      <c r="P617" s="163">
        <v>29658</v>
      </c>
      <c r="Q617" s="131">
        <f t="shared" si="4967"/>
        <v>0</v>
      </c>
      <c r="R617" s="352">
        <f t="shared" si="4967"/>
        <v>0</v>
      </c>
      <c r="S617" s="131"/>
      <c r="T617" s="131">
        <f t="shared" si="4390"/>
        <v>0</v>
      </c>
      <c r="U617" s="131"/>
      <c r="V617" s="131">
        <f t="shared" si="4391"/>
        <v>0</v>
      </c>
      <c r="W617" s="131"/>
      <c r="X617" s="131">
        <f t="shared" si="4392"/>
        <v>0</v>
      </c>
      <c r="Y617" s="131">
        <f t="shared" si="4393"/>
        <v>0</v>
      </c>
      <c r="Z617" s="131">
        <f t="shared" si="4394"/>
        <v>0</v>
      </c>
      <c r="AA617" s="131"/>
      <c r="AB617" s="131">
        <f t="shared" si="4395"/>
        <v>0</v>
      </c>
      <c r="AC617" s="131"/>
      <c r="AD617" s="131">
        <f t="shared" si="4396"/>
        <v>0</v>
      </c>
      <c r="AE617" s="131"/>
      <c r="AF617" s="131">
        <f t="shared" si="4412"/>
        <v>0</v>
      </c>
      <c r="AG617" s="131">
        <f t="shared" si="4397"/>
        <v>0</v>
      </c>
      <c r="AH617" s="131">
        <f t="shared" si="4398"/>
        <v>0</v>
      </c>
      <c r="AI617" s="131">
        <f t="shared" si="4399"/>
        <v>0</v>
      </c>
      <c r="AJ617" s="131">
        <f t="shared" si="4400"/>
        <v>0</v>
      </c>
      <c r="AK617" s="131"/>
      <c r="AL617" s="131">
        <f t="shared" si="4401"/>
        <v>0</v>
      </c>
      <c r="AM617" s="131"/>
      <c r="AN617" s="131">
        <f t="shared" si="4402"/>
        <v>0</v>
      </c>
      <c r="AO617" s="131"/>
      <c r="AP617" s="131">
        <f t="shared" si="4403"/>
        <v>0</v>
      </c>
      <c r="AQ617" s="131">
        <f t="shared" si="4404"/>
        <v>0</v>
      </c>
      <c r="AR617" s="131">
        <f t="shared" si="4405"/>
        <v>0</v>
      </c>
      <c r="AS617" s="131"/>
      <c r="AT617" s="131">
        <f t="shared" si="4413"/>
        <v>0</v>
      </c>
      <c r="AU617" s="131"/>
      <c r="AV617" s="131">
        <f t="shared" si="4406"/>
        <v>0</v>
      </c>
      <c r="AW617" s="131"/>
      <c r="AX617" s="131">
        <f t="shared" si="4407"/>
        <v>0</v>
      </c>
      <c r="AY617" s="131">
        <f t="shared" si="4408"/>
        <v>0</v>
      </c>
      <c r="AZ617" s="131">
        <f t="shared" si="4409"/>
        <v>0</v>
      </c>
      <c r="BA617" s="131">
        <f t="shared" si="4410"/>
        <v>0</v>
      </c>
      <c r="BB617" s="131">
        <f t="shared" si="4411"/>
        <v>0</v>
      </c>
    </row>
    <row r="618" spans="1:54" ht="12" customHeight="1">
      <c r="A618" s="498">
        <v>426</v>
      </c>
      <c r="B618" s="13"/>
      <c r="C618" s="13"/>
      <c r="D618" s="13"/>
      <c r="E618" s="21" t="s">
        <v>1404</v>
      </c>
      <c r="F618" s="46"/>
      <c r="G618" s="46" t="s">
        <v>1105</v>
      </c>
      <c r="H618" s="268" t="s">
        <v>366</v>
      </c>
      <c r="I618" s="55"/>
      <c r="J618" s="163">
        <v>29658</v>
      </c>
      <c r="K618" s="55"/>
      <c r="L618" s="163">
        <v>29658</v>
      </c>
      <c r="M618" s="55"/>
      <c r="N618" s="163">
        <v>29658</v>
      </c>
      <c r="O618" s="55"/>
      <c r="P618" s="163">
        <v>29658</v>
      </c>
      <c r="Q618" s="97">
        <f t="shared" si="4967"/>
        <v>0</v>
      </c>
      <c r="R618" s="342">
        <f t="shared" si="4967"/>
        <v>0</v>
      </c>
      <c r="S618" s="97"/>
      <c r="T618" s="97">
        <f>J618*S618/1000</f>
        <v>0</v>
      </c>
      <c r="U618" s="97"/>
      <c r="V618" s="97">
        <f>J618*U618/1000</f>
        <v>0</v>
      </c>
      <c r="W618" s="97"/>
      <c r="X618" s="97">
        <f>J618*W618/1000</f>
        <v>0</v>
      </c>
      <c r="Y618" s="97">
        <f>SUM(S618+U618+W618)</f>
        <v>0</v>
      </c>
      <c r="Z618" s="97">
        <f>SUM(T618+V618+X618)</f>
        <v>0</v>
      </c>
      <c r="AA618" s="97"/>
      <c r="AB618" s="97">
        <f>L618*AA618/1000</f>
        <v>0</v>
      </c>
      <c r="AC618" s="97"/>
      <c r="AD618" s="97">
        <f>L618*AC618/1000</f>
        <v>0</v>
      </c>
      <c r="AE618" s="97"/>
      <c r="AF618" s="97">
        <f>L618*AE618/1000</f>
        <v>0</v>
      </c>
      <c r="AG618" s="97">
        <f>SUM(AA618+AC618+AE618)</f>
        <v>0</v>
      </c>
      <c r="AH618" s="97">
        <f>SUM(AB618+AD618+AF618)</f>
        <v>0</v>
      </c>
      <c r="AI618" s="97">
        <f>SUM(Y618+AG618)</f>
        <v>0</v>
      </c>
      <c r="AJ618" s="97">
        <f>SUM(Z618,AH618)</f>
        <v>0</v>
      </c>
      <c r="AK618" s="97"/>
      <c r="AL618" s="97">
        <f>N618*AK618/1000</f>
        <v>0</v>
      </c>
      <c r="AM618" s="97"/>
      <c r="AN618" s="97">
        <f>N618*AM618/1000</f>
        <v>0</v>
      </c>
      <c r="AO618" s="97"/>
      <c r="AP618" s="97">
        <f>N618*AO618/1000</f>
        <v>0</v>
      </c>
      <c r="AQ618" s="97">
        <f>SUM(AK618+AM618+AO618)</f>
        <v>0</v>
      </c>
      <c r="AR618" s="97">
        <f>SUM(AL618+AN618+AP618)</f>
        <v>0</v>
      </c>
      <c r="AS618" s="97"/>
      <c r="AT618" s="97">
        <f>P618*AS618/1000</f>
        <v>0</v>
      </c>
      <c r="AU618" s="97"/>
      <c r="AV618" s="97">
        <f>P618*AU618/1000</f>
        <v>0</v>
      </c>
      <c r="AW618" s="97"/>
      <c r="AX618" s="97">
        <f>P618*AW618/1000</f>
        <v>0</v>
      </c>
      <c r="AY618" s="97">
        <f>SUM(AS618+AU618+AW618)</f>
        <v>0</v>
      </c>
      <c r="AZ618" s="97">
        <f>SUM(AT618+AV618+AX618)</f>
        <v>0</v>
      </c>
      <c r="BA618" s="97">
        <f>SUM(AQ618+AY618)</f>
        <v>0</v>
      </c>
      <c r="BB618" s="97">
        <f>SUM(AR618,AZ618)</f>
        <v>0</v>
      </c>
    </row>
    <row r="619" spans="1:54">
      <c r="A619" s="498">
        <v>420</v>
      </c>
      <c r="B619" s="13"/>
      <c r="C619" s="13"/>
      <c r="D619" s="15"/>
      <c r="E619" s="21" t="s">
        <v>1463</v>
      </c>
      <c r="F619" s="46"/>
      <c r="G619" s="46" t="s">
        <v>1105</v>
      </c>
      <c r="H619" s="268" t="s">
        <v>366</v>
      </c>
      <c r="I619" s="55"/>
      <c r="J619" s="163">
        <v>29658</v>
      </c>
      <c r="K619" s="55"/>
      <c r="L619" s="163">
        <v>29658</v>
      </c>
      <c r="M619" s="55"/>
      <c r="N619" s="163">
        <v>29658</v>
      </c>
      <c r="O619" s="55"/>
      <c r="P619" s="163">
        <v>29658</v>
      </c>
      <c r="Q619" s="97">
        <f t="shared" ref="Q619" si="4968">SUM(AI619+BA619)</f>
        <v>2.1520000000000001</v>
      </c>
      <c r="R619" s="342">
        <f t="shared" ref="R619" si="4969">SUM(AJ619+BB619)</f>
        <v>63.824016000000007</v>
      </c>
      <c r="S619" s="97">
        <v>0.10100000000000001</v>
      </c>
      <c r="T619" s="97">
        <f t="shared" ref="T619" si="4970">J619*S619/1000</f>
        <v>2.9954580000000002</v>
      </c>
      <c r="U619" s="97">
        <v>0.33600000000000002</v>
      </c>
      <c r="V619" s="97">
        <f t="shared" ref="V619" si="4971">J619*U619/1000</f>
        <v>9.9650879999999997</v>
      </c>
      <c r="W619" s="97">
        <v>0.192</v>
      </c>
      <c r="X619" s="97">
        <f t="shared" ref="X619" si="4972">J619*W619/1000</f>
        <v>5.6943359999999998</v>
      </c>
      <c r="Y619" s="97">
        <f t="shared" ref="Y619" si="4973">SUM(S619+U619+W619)</f>
        <v>0.629</v>
      </c>
      <c r="Z619" s="97">
        <f t="shared" ref="Z619" si="4974">SUM(T619+V619+X619)</f>
        <v>18.654882000000001</v>
      </c>
      <c r="AA619" s="97">
        <v>5.2999999999999999E-2</v>
      </c>
      <c r="AB619" s="97">
        <f t="shared" ref="AB619" si="4975">L619*AA619/1000</f>
        <v>1.571874</v>
      </c>
      <c r="AC619" s="97">
        <v>0.61699999999999999</v>
      </c>
      <c r="AD619" s="97">
        <f t="shared" ref="AD619" si="4976">L619*AC619/1000</f>
        <v>18.298985999999999</v>
      </c>
      <c r="AE619" s="97">
        <v>1.4999999999999999E-2</v>
      </c>
      <c r="AF619" s="97">
        <f t="shared" ref="AF619" si="4977">L619*AE619/1000</f>
        <v>0.44486999999999999</v>
      </c>
      <c r="AG619" s="97">
        <f t="shared" ref="AG619" si="4978">SUM(AA619+AC619+AE619)</f>
        <v>0.68500000000000005</v>
      </c>
      <c r="AH619" s="97">
        <f t="shared" ref="AH619" si="4979">SUM(AB619+AD619+AF619)</f>
        <v>20.315730000000002</v>
      </c>
      <c r="AI619" s="97">
        <f t="shared" ref="AI619" si="4980">SUM(Y619+AG619)</f>
        <v>1.3140000000000001</v>
      </c>
      <c r="AJ619" s="97">
        <f t="shared" ref="AJ619" si="4981">SUM(Z619,AH619)</f>
        <v>38.970612000000003</v>
      </c>
      <c r="AK619" s="97">
        <v>0.06</v>
      </c>
      <c r="AL619" s="97">
        <f t="shared" ref="AL619" si="4982">N619*AK619/1000</f>
        <v>1.77948</v>
      </c>
      <c r="AM619" s="97">
        <v>1.7999999999999999E-2</v>
      </c>
      <c r="AN619" s="97">
        <f t="shared" ref="AN619" si="4983">N619*AM619/1000</f>
        <v>0.53384399999999999</v>
      </c>
      <c r="AO619" s="97">
        <v>0.11</v>
      </c>
      <c r="AP619" s="97">
        <f t="shared" ref="AP619" si="4984">N619*AO619/1000</f>
        <v>3.2623800000000003</v>
      </c>
      <c r="AQ619" s="97">
        <f t="shared" ref="AQ619" si="4985">SUM(AK619+AM619+AO619)</f>
        <v>0.188</v>
      </c>
      <c r="AR619" s="97">
        <f t="shared" ref="AR619" si="4986">SUM(AL619+AN619+AP619)</f>
        <v>5.575704</v>
      </c>
      <c r="AS619" s="97">
        <v>0.441</v>
      </c>
      <c r="AT619" s="97">
        <f t="shared" ref="AT619" si="4987">P619*AS619/1000</f>
        <v>13.079178000000001</v>
      </c>
      <c r="AU619" s="97">
        <v>3.5999999999999997E-2</v>
      </c>
      <c r="AV619" s="97">
        <f t="shared" ref="AV619" si="4988">P619*AU619/1000</f>
        <v>1.067688</v>
      </c>
      <c r="AW619" s="97">
        <v>0.17299999999999999</v>
      </c>
      <c r="AX619" s="97">
        <f t="shared" ref="AX619" si="4989">P619*AW619/1000</f>
        <v>5.1308340000000001</v>
      </c>
      <c r="AY619" s="97">
        <f t="shared" ref="AY619" si="4990">SUM(AS619+AU619+AW619)</f>
        <v>0.64999999999999991</v>
      </c>
      <c r="AZ619" s="97">
        <f t="shared" ref="AZ619" si="4991">SUM(AT619+AV619+AX619)</f>
        <v>19.277700000000003</v>
      </c>
      <c r="BA619" s="97">
        <f t="shared" ref="BA619" si="4992">SUM(AQ619+AY619)</f>
        <v>0.83799999999999986</v>
      </c>
      <c r="BB619" s="97">
        <f t="shared" ref="BB619" si="4993">SUM(AR619,AZ619)</f>
        <v>24.853404000000005</v>
      </c>
    </row>
    <row r="620" spans="1:54" ht="12" customHeight="1">
      <c r="A620" s="498">
        <v>434</v>
      </c>
      <c r="B620" s="13"/>
      <c r="C620" s="13"/>
      <c r="D620" s="13"/>
      <c r="E620" s="21" t="s">
        <v>895</v>
      </c>
      <c r="F620" s="46"/>
      <c r="G620" s="46" t="s">
        <v>1105</v>
      </c>
      <c r="H620" s="268" t="s">
        <v>366</v>
      </c>
      <c r="I620" s="55"/>
      <c r="J620" s="163">
        <v>36828</v>
      </c>
      <c r="K620" s="55"/>
      <c r="L620" s="163">
        <v>36828</v>
      </c>
      <c r="M620" s="55"/>
      <c r="N620" s="163">
        <v>36828</v>
      </c>
      <c r="O620" s="55"/>
      <c r="P620" s="163">
        <v>39326</v>
      </c>
      <c r="Q620" s="97">
        <f>SUM(AI620+BA620)</f>
        <v>0.48000000000000004</v>
      </c>
      <c r="R620" s="342">
        <f t="shared" ref="R620" si="4994">SUM(AJ620+BB620)</f>
        <v>17.709914000000001</v>
      </c>
      <c r="S620" s="97">
        <v>4.0000000000000001E-3</v>
      </c>
      <c r="T620" s="97">
        <f t="shared" ref="T620:T642" si="4995">J620*S620/1000</f>
        <v>0.147312</v>
      </c>
      <c r="U620" s="97">
        <v>0.108</v>
      </c>
      <c r="V620" s="97">
        <f t="shared" ref="V620:V642" si="4996">J620*U620/1000</f>
        <v>3.9774240000000001</v>
      </c>
      <c r="W620" s="97"/>
      <c r="X620" s="97">
        <f t="shared" ref="X620:X642" si="4997">J620*W620/1000</f>
        <v>0</v>
      </c>
      <c r="Y620" s="97">
        <f t="shared" ref="Y620:Y623" si="4998">SUM(S620+U620+W620)</f>
        <v>0.112</v>
      </c>
      <c r="Z620" s="97">
        <f t="shared" ref="Z620:Z623" si="4999">SUM(T620+V620+X620)</f>
        <v>4.1247360000000004</v>
      </c>
      <c r="AA620" s="97">
        <v>0.1</v>
      </c>
      <c r="AB620" s="97">
        <f t="shared" ref="AB620:AB642" si="5000">L620*AA620/1000</f>
        <v>3.6828000000000003</v>
      </c>
      <c r="AC620" s="97">
        <v>5.0000000000000001E-3</v>
      </c>
      <c r="AD620" s="97">
        <f t="shared" ref="AD620:AD642" si="5001">L620*AC620/1000</f>
        <v>0.18414000000000003</v>
      </c>
      <c r="AE620" s="97">
        <v>0.106</v>
      </c>
      <c r="AF620" s="97">
        <f>L620*AE620/1000</f>
        <v>3.9037679999999999</v>
      </c>
      <c r="AG620" s="97">
        <f>SUM(AA620+AC620+AE620)</f>
        <v>0.21100000000000002</v>
      </c>
      <c r="AH620" s="97">
        <f t="shared" ref="AH620:AH623" si="5002">SUM(AB620+AD620+AF620)</f>
        <v>7.7707080000000008</v>
      </c>
      <c r="AI620" s="97">
        <f t="shared" ref="AI620:AI642" si="5003">SUM(Y620+AG620)</f>
        <v>0.32300000000000001</v>
      </c>
      <c r="AJ620" s="97">
        <f t="shared" ref="AJ620:AJ642" si="5004">SUM(Z620,AH620)</f>
        <v>11.895444000000001</v>
      </c>
      <c r="AK620" s="97">
        <v>8.9999999999999993E-3</v>
      </c>
      <c r="AL620" s="97">
        <f t="shared" ref="AL620:AL642" si="5005">N620*AK620/1000</f>
        <v>0.33145200000000002</v>
      </c>
      <c r="AM620" s="97">
        <v>0.11799999999999999</v>
      </c>
      <c r="AN620" s="97">
        <f t="shared" ref="AN620" si="5006">N620*AM620/1000</f>
        <v>4.3457039999999996</v>
      </c>
      <c r="AO620" s="97">
        <v>1.7000000000000001E-2</v>
      </c>
      <c r="AP620" s="97">
        <f t="shared" ref="AP620:AP642" si="5007">N620*AO620/1000</f>
        <v>0.62607600000000008</v>
      </c>
      <c r="AQ620" s="97">
        <f t="shared" ref="AQ620:AQ623" si="5008">SUM(AK620+AM620+AO620)</f>
        <v>0.14400000000000002</v>
      </c>
      <c r="AR620" s="97">
        <f t="shared" ref="AR620:AR623" si="5009">SUM(AL620+AN620+AP620)</f>
        <v>5.3032319999999995</v>
      </c>
      <c r="AS620" s="97">
        <v>0.01</v>
      </c>
      <c r="AT620" s="97">
        <f t="shared" ref="AT620:AT642" si="5010">P620*AS620/1000</f>
        <v>0.39326</v>
      </c>
      <c r="AU620" s="97"/>
      <c r="AV620" s="97">
        <f t="shared" ref="AV620" si="5011">P620*AU620/1000</f>
        <v>0</v>
      </c>
      <c r="AW620" s="97">
        <v>3.0000000000000001E-3</v>
      </c>
      <c r="AX620" s="97">
        <f t="shared" ref="AX620:AX642" si="5012">P620*AW620/1000</f>
        <v>0.11797800000000001</v>
      </c>
      <c r="AY620" s="97">
        <f t="shared" ref="AY620:AY623" si="5013">SUM(AS620+AU620+AW620)</f>
        <v>1.3000000000000001E-2</v>
      </c>
      <c r="AZ620" s="97">
        <f t="shared" ref="AZ620:AZ623" si="5014">SUM(AT620+AV620+AX620)</f>
        <v>0.51123799999999997</v>
      </c>
      <c r="BA620" s="97">
        <f t="shared" ref="BA620:BA642" si="5015">SUM(AQ620+AY620)</f>
        <v>0.15700000000000003</v>
      </c>
      <c r="BB620" s="97">
        <f t="shared" ref="BB620:BB642" si="5016">SUM(AR620,AZ620)</f>
        <v>5.8144699999999991</v>
      </c>
    </row>
    <row r="621" spans="1:54">
      <c r="A621" s="498">
        <v>435</v>
      </c>
      <c r="B621" s="13"/>
      <c r="C621" s="23"/>
      <c r="D621" s="13"/>
      <c r="E621" s="21" t="s">
        <v>1093</v>
      </c>
      <c r="F621" s="46"/>
      <c r="G621" s="46" t="s">
        <v>1102</v>
      </c>
      <c r="H621" s="268" t="s">
        <v>365</v>
      </c>
      <c r="I621" s="55"/>
      <c r="J621" s="163">
        <v>5271</v>
      </c>
      <c r="K621" s="55"/>
      <c r="L621" s="163">
        <v>5271</v>
      </c>
      <c r="M621" s="55"/>
      <c r="N621" s="163">
        <v>5271</v>
      </c>
      <c r="O621" s="55"/>
      <c r="P621" s="163">
        <v>5336</v>
      </c>
      <c r="Q621" s="97">
        <f>SUM(AI621+BA621)</f>
        <v>30.84</v>
      </c>
      <c r="R621" s="342">
        <f>SUM(AJ621+BB621)</f>
        <v>163.160775</v>
      </c>
      <c r="S621" s="97">
        <v>1.345</v>
      </c>
      <c r="T621" s="97">
        <f t="shared" si="4995"/>
        <v>7.0894950000000003</v>
      </c>
      <c r="U621" s="97">
        <v>2.2650000000000001</v>
      </c>
      <c r="V621" s="97">
        <f t="shared" si="4996"/>
        <v>11.938815</v>
      </c>
      <c r="W621" s="97">
        <v>3.101</v>
      </c>
      <c r="X621" s="97">
        <f t="shared" si="4997"/>
        <v>16.345371</v>
      </c>
      <c r="Y621" s="97">
        <f t="shared" si="4998"/>
        <v>6.7110000000000003</v>
      </c>
      <c r="Z621" s="97">
        <f t="shared" si="4999"/>
        <v>35.373681000000005</v>
      </c>
      <c r="AA621" s="97">
        <v>3.823</v>
      </c>
      <c r="AB621" s="97">
        <f t="shared" si="5000"/>
        <v>20.151032999999998</v>
      </c>
      <c r="AC621" s="97">
        <v>2.0139999999999998</v>
      </c>
      <c r="AD621" s="97">
        <f t="shared" si="5001"/>
        <v>10.615793999999998</v>
      </c>
      <c r="AE621" s="97">
        <v>1.992</v>
      </c>
      <c r="AF621" s="97">
        <f t="shared" ref="AF621:AF642" si="5017">L621*AE621/1000</f>
        <v>10.499832</v>
      </c>
      <c r="AG621" s="97">
        <f t="shared" ref="AG621:AG623" si="5018">SUM(AA621+AC621+AE621)</f>
        <v>7.8289999999999997</v>
      </c>
      <c r="AH621" s="97">
        <f t="shared" si="5002"/>
        <v>41.266658999999997</v>
      </c>
      <c r="AI621" s="97">
        <f t="shared" si="5003"/>
        <v>14.54</v>
      </c>
      <c r="AJ621" s="97">
        <f t="shared" si="5004"/>
        <v>76.640340000000009</v>
      </c>
      <c r="AK621" s="97">
        <v>2.7650000000000001</v>
      </c>
      <c r="AL621" s="97">
        <f t="shared" si="5005"/>
        <v>14.574315</v>
      </c>
      <c r="AM621" s="97">
        <v>2.585</v>
      </c>
      <c r="AN621" s="97">
        <f>N621*AM621/1000</f>
        <v>13.625534999999999</v>
      </c>
      <c r="AO621" s="97">
        <v>1.671</v>
      </c>
      <c r="AP621" s="97">
        <f t="shared" si="5007"/>
        <v>8.8078409999999998</v>
      </c>
      <c r="AQ621" s="97">
        <f t="shared" si="5008"/>
        <v>7.0209999999999999</v>
      </c>
      <c r="AR621" s="97">
        <f t="shared" si="5009"/>
        <v>37.007690999999994</v>
      </c>
      <c r="AS621" s="97">
        <v>0.88600000000000001</v>
      </c>
      <c r="AT621" s="97">
        <f t="shared" si="5010"/>
        <v>4.7276959999999999</v>
      </c>
      <c r="AU621" s="97">
        <v>3.5339999999999998</v>
      </c>
      <c r="AV621" s="97">
        <f>P621*AU621/1000</f>
        <v>18.857423999999998</v>
      </c>
      <c r="AW621" s="97">
        <v>4.859</v>
      </c>
      <c r="AX621" s="97">
        <f t="shared" si="5012"/>
        <v>25.927624000000002</v>
      </c>
      <c r="AY621" s="97">
        <f t="shared" si="5013"/>
        <v>9.2789999999999999</v>
      </c>
      <c r="AZ621" s="97">
        <f t="shared" si="5014"/>
        <v>49.512743999999998</v>
      </c>
      <c r="BA621" s="97">
        <f t="shared" si="5015"/>
        <v>16.3</v>
      </c>
      <c r="BB621" s="97">
        <f t="shared" si="5016"/>
        <v>86.520434999999992</v>
      </c>
    </row>
    <row r="622" spans="1:54">
      <c r="A622" s="498">
        <v>436</v>
      </c>
      <c r="B622" s="13"/>
      <c r="C622" s="23"/>
      <c r="D622" s="13"/>
      <c r="E622" s="21" t="s">
        <v>1094</v>
      </c>
      <c r="F622" s="46"/>
      <c r="G622" s="46" t="s">
        <v>1102</v>
      </c>
      <c r="H622" s="268" t="s">
        <v>365</v>
      </c>
      <c r="I622" s="55"/>
      <c r="J622" s="163">
        <v>3116</v>
      </c>
      <c r="K622" s="55"/>
      <c r="L622" s="163">
        <v>3116</v>
      </c>
      <c r="M622" s="55"/>
      <c r="N622" s="163">
        <v>3116</v>
      </c>
      <c r="O622" s="55"/>
      <c r="P622" s="163">
        <v>3116</v>
      </c>
      <c r="Q622" s="97">
        <f>SUM(AI622+BA622)</f>
        <v>42.991</v>
      </c>
      <c r="R622" s="342">
        <f>SUM(AJ622+BB622)</f>
        <v>133.95995600000001</v>
      </c>
      <c r="S622" s="97">
        <v>2.3580000000000001</v>
      </c>
      <c r="T622" s="97">
        <f t="shared" ref="T622" si="5019">J622*S622/1000</f>
        <v>7.3475280000000005</v>
      </c>
      <c r="U622" s="97">
        <v>3.5619999999999998</v>
      </c>
      <c r="V622" s="97">
        <f t="shared" ref="V622" si="5020">J622*U622/1000</f>
        <v>11.099191999999999</v>
      </c>
      <c r="W622" s="97">
        <v>3.75</v>
      </c>
      <c r="X622" s="97">
        <f t="shared" ref="X622" si="5021">J622*W622/1000</f>
        <v>11.685</v>
      </c>
      <c r="Y622" s="97">
        <f t="shared" ref="Y622" si="5022">SUM(S622+U622+W622)</f>
        <v>9.67</v>
      </c>
      <c r="Z622" s="97">
        <f t="shared" ref="Z622" si="5023">SUM(T622+V622+X622)</f>
        <v>30.131720000000001</v>
      </c>
      <c r="AA622" s="97">
        <v>7.1829999999999998</v>
      </c>
      <c r="AB622" s="97">
        <f t="shared" ref="AB622" si="5024">L622*AA622/1000</f>
        <v>22.382227999999998</v>
      </c>
      <c r="AC622" s="97">
        <v>7.96</v>
      </c>
      <c r="AD622" s="97">
        <f t="shared" ref="AD622" si="5025">L622*AC622/1000</f>
        <v>24.803360000000001</v>
      </c>
      <c r="AE622" s="97">
        <v>2.4460000000000002</v>
      </c>
      <c r="AF622" s="97">
        <f t="shared" ref="AF622" si="5026">L622*AE622/1000</f>
        <v>7.6217360000000012</v>
      </c>
      <c r="AG622" s="97">
        <f t="shared" ref="AG622" si="5027">SUM(AA622+AC622+AE622)</f>
        <v>17.589000000000002</v>
      </c>
      <c r="AH622" s="97">
        <f t="shared" ref="AH622" si="5028">SUM(AB622+AD622+AF622)</f>
        <v>54.807323999999994</v>
      </c>
      <c r="AI622" s="97">
        <f t="shared" ref="AI622" si="5029">SUM(Y622+AG622)</f>
        <v>27.259</v>
      </c>
      <c r="AJ622" s="97">
        <f t="shared" ref="AJ622" si="5030">SUM(Z622,AH622)</f>
        <v>84.939043999999996</v>
      </c>
      <c r="AK622" s="97">
        <v>2.806</v>
      </c>
      <c r="AL622" s="97">
        <f t="shared" ref="AL622" si="5031">N622*AK622/1000</f>
        <v>8.7434960000000004</v>
      </c>
      <c r="AM622" s="97">
        <v>2.9279999999999999</v>
      </c>
      <c r="AN622" s="97">
        <f>N622*AM622/1000</f>
        <v>9.1236479999999993</v>
      </c>
      <c r="AO622" s="97">
        <v>1.9690000000000001</v>
      </c>
      <c r="AP622" s="97">
        <f t="shared" ref="AP622" si="5032">N622*AO622/1000</f>
        <v>6.1354040000000003</v>
      </c>
      <c r="AQ622" s="97">
        <f t="shared" ref="AQ622" si="5033">SUM(AK622+AM622+AO622)</f>
        <v>7.7030000000000003</v>
      </c>
      <c r="AR622" s="97">
        <f t="shared" ref="AR622" si="5034">SUM(AL622+AN622+AP622)</f>
        <v>24.002548000000001</v>
      </c>
      <c r="AS622" s="97">
        <v>1.2310000000000001</v>
      </c>
      <c r="AT622" s="97">
        <f t="shared" ref="AT622" si="5035">P622*AS622/1000</f>
        <v>3.8357960000000002</v>
      </c>
      <c r="AU622" s="97">
        <v>3.718</v>
      </c>
      <c r="AV622" s="97">
        <f>P622*AU622/1000</f>
        <v>11.585288</v>
      </c>
      <c r="AW622" s="97">
        <v>3.08</v>
      </c>
      <c r="AX622" s="97">
        <f t="shared" ref="AX622" si="5036">P622*AW622/1000</f>
        <v>9.5972800000000014</v>
      </c>
      <c r="AY622" s="97">
        <f t="shared" ref="AY622" si="5037">SUM(AS622+AU622+AW622)</f>
        <v>8.0289999999999999</v>
      </c>
      <c r="AZ622" s="97">
        <f t="shared" ref="AZ622" si="5038">SUM(AT622+AV622+AX622)</f>
        <v>25.018364000000002</v>
      </c>
      <c r="BA622" s="97">
        <f t="shared" ref="BA622" si="5039">SUM(AQ622+AY622)</f>
        <v>15.731999999999999</v>
      </c>
      <c r="BB622" s="97">
        <f t="shared" ref="BB622" si="5040">SUM(AR622,AZ622)</f>
        <v>49.020912000000003</v>
      </c>
    </row>
    <row r="623" spans="1:54">
      <c r="A623" s="498">
        <v>437</v>
      </c>
      <c r="B623" s="13"/>
      <c r="C623" s="23"/>
      <c r="D623" s="13"/>
      <c r="E623" s="63" t="s">
        <v>1095</v>
      </c>
      <c r="F623" s="425"/>
      <c r="G623" s="425" t="s">
        <v>1103</v>
      </c>
      <c r="H623" s="284" t="s">
        <v>365</v>
      </c>
      <c r="I623" s="67"/>
      <c r="J623" s="166">
        <v>5971</v>
      </c>
      <c r="K623" s="67"/>
      <c r="L623" s="166">
        <v>5971</v>
      </c>
      <c r="M623" s="67"/>
      <c r="N623" s="166">
        <v>5971</v>
      </c>
      <c r="O623" s="67"/>
      <c r="P623" s="166">
        <v>6036</v>
      </c>
      <c r="Q623" s="129">
        <f>SUM(AI623+BA623)</f>
        <v>13.754</v>
      </c>
      <c r="R623" s="350">
        <f>SUM(AJ623+BB623)</f>
        <v>82.132609000000016</v>
      </c>
      <c r="S623" s="129">
        <v>1.8149999999999999</v>
      </c>
      <c r="T623" s="129">
        <f t="shared" si="4995"/>
        <v>10.837365</v>
      </c>
      <c r="U623" s="129">
        <v>1.101</v>
      </c>
      <c r="V623" s="129">
        <f t="shared" si="4996"/>
        <v>6.574071</v>
      </c>
      <c r="W623" s="129">
        <v>0.64800000000000002</v>
      </c>
      <c r="X623" s="129">
        <f t="shared" si="4997"/>
        <v>3.869208</v>
      </c>
      <c r="Y623" s="129">
        <f t="shared" si="4998"/>
        <v>3.5640000000000001</v>
      </c>
      <c r="Z623" s="129">
        <f t="shared" si="4999"/>
        <v>21.280644000000002</v>
      </c>
      <c r="AA623" s="129">
        <v>4.0140000000000002</v>
      </c>
      <c r="AB623" s="129">
        <f t="shared" si="5000"/>
        <v>23.967594000000002</v>
      </c>
      <c r="AC623" s="129">
        <v>3.673</v>
      </c>
      <c r="AD623" s="129">
        <f t="shared" si="5001"/>
        <v>21.931483</v>
      </c>
      <c r="AE623" s="129">
        <v>1.6819999999999999</v>
      </c>
      <c r="AF623" s="129">
        <f t="shared" si="5017"/>
        <v>10.043222</v>
      </c>
      <c r="AG623" s="129">
        <f t="shared" si="5018"/>
        <v>9.3689999999999998</v>
      </c>
      <c r="AH623" s="129">
        <f t="shared" si="5002"/>
        <v>55.942299000000006</v>
      </c>
      <c r="AI623" s="129">
        <f t="shared" si="5003"/>
        <v>12.933</v>
      </c>
      <c r="AJ623" s="129">
        <f t="shared" si="5004"/>
        <v>77.222943000000015</v>
      </c>
      <c r="AK623" s="129">
        <v>0.05</v>
      </c>
      <c r="AL623" s="129">
        <f t="shared" si="5005"/>
        <v>0.29855000000000004</v>
      </c>
      <c r="AM623" s="129">
        <v>0.35199999999999998</v>
      </c>
      <c r="AN623" s="129">
        <f>N623*AM623/1000</f>
        <v>2.1017920000000001</v>
      </c>
      <c r="AO623" s="129">
        <v>0.30399999999999999</v>
      </c>
      <c r="AP623" s="129">
        <f t="shared" si="5007"/>
        <v>1.8151839999999999</v>
      </c>
      <c r="AQ623" s="129">
        <f t="shared" si="5008"/>
        <v>0.70599999999999996</v>
      </c>
      <c r="AR623" s="129">
        <f t="shared" si="5009"/>
        <v>4.2155260000000006</v>
      </c>
      <c r="AS623" s="129">
        <v>6.9000000000000006E-2</v>
      </c>
      <c r="AT623" s="129">
        <f t="shared" si="5010"/>
        <v>0.41648400000000002</v>
      </c>
      <c r="AU623" s="129">
        <v>3.5999999999999997E-2</v>
      </c>
      <c r="AV623" s="129">
        <f>P623*AU623/1000</f>
        <v>0.21729599999999999</v>
      </c>
      <c r="AW623" s="129">
        <v>0.01</v>
      </c>
      <c r="AX623" s="129">
        <f t="shared" si="5012"/>
        <v>6.0359999999999997E-2</v>
      </c>
      <c r="AY623" s="129">
        <f t="shared" si="5013"/>
        <v>0.115</v>
      </c>
      <c r="AZ623" s="129">
        <f t="shared" si="5014"/>
        <v>0.69413999999999998</v>
      </c>
      <c r="BA623" s="129">
        <f t="shared" si="5015"/>
        <v>0.82099999999999995</v>
      </c>
      <c r="BB623" s="129">
        <f t="shared" si="5016"/>
        <v>4.9096660000000005</v>
      </c>
    </row>
    <row r="624" spans="1:54">
      <c r="B624" s="13"/>
      <c r="C624" s="13"/>
      <c r="D624" s="13"/>
      <c r="E624" s="21" t="s">
        <v>1270</v>
      </c>
      <c r="F624" s="46"/>
      <c r="G624" s="425" t="s">
        <v>1103</v>
      </c>
      <c r="H624" s="284" t="s">
        <v>365</v>
      </c>
      <c r="I624" s="55"/>
      <c r="J624" s="163">
        <v>11629</v>
      </c>
      <c r="K624" s="55"/>
      <c r="L624" s="163">
        <v>11629</v>
      </c>
      <c r="M624" s="55"/>
      <c r="N624" s="163">
        <v>11629</v>
      </c>
      <c r="O624" s="55"/>
      <c r="P624" s="163">
        <v>11628</v>
      </c>
      <c r="Q624" s="97">
        <f t="shared" ref="Q624" si="5041">SUM(AI624+BA624)</f>
        <v>11.535</v>
      </c>
      <c r="R624" s="342">
        <f t="shared" ref="R624:R625" si="5042">SUM(AJ624+BB624)</f>
        <v>134.13784199999998</v>
      </c>
      <c r="S624" s="97">
        <v>0.82299999999999995</v>
      </c>
      <c r="T624" s="97">
        <f t="shared" si="4995"/>
        <v>9.5706670000000003</v>
      </c>
      <c r="U624" s="97">
        <v>0.91600000000000004</v>
      </c>
      <c r="V624" s="97">
        <f t="shared" si="4996"/>
        <v>10.652164000000001</v>
      </c>
      <c r="W624" s="97">
        <v>1.2769999999999999</v>
      </c>
      <c r="X624" s="97">
        <f t="shared" si="4997"/>
        <v>14.850232999999998</v>
      </c>
      <c r="Y624" s="97">
        <f t="shared" ref="Y624:Y625" si="5043">SUM(S624+U624+W624)</f>
        <v>3.016</v>
      </c>
      <c r="Z624" s="97">
        <f t="shared" ref="Z624:Z625" si="5044">SUM(T624+V624+X624)</f>
        <v>35.073063999999995</v>
      </c>
      <c r="AA624" s="97">
        <v>1</v>
      </c>
      <c r="AB624" s="97">
        <f t="shared" si="5000"/>
        <v>11.629</v>
      </c>
      <c r="AC624" s="97">
        <v>0.92600000000000005</v>
      </c>
      <c r="AD624" s="97">
        <f t="shared" si="5001"/>
        <v>10.768454</v>
      </c>
      <c r="AE624" s="97">
        <v>1.2490000000000001</v>
      </c>
      <c r="AF624" s="97">
        <f t="shared" si="5017"/>
        <v>14.524621000000002</v>
      </c>
      <c r="AG624" s="97">
        <f t="shared" ref="AG624:AG625" si="5045">SUM(AA624+AC624+AE624)</f>
        <v>3.1750000000000003</v>
      </c>
      <c r="AH624" s="97">
        <f t="shared" ref="AH624:AH625" si="5046">SUM(AB624+AD624+AF624)</f>
        <v>36.922075</v>
      </c>
      <c r="AI624" s="97">
        <f t="shared" si="5003"/>
        <v>6.1910000000000007</v>
      </c>
      <c r="AJ624" s="97">
        <f t="shared" si="5004"/>
        <v>71.995138999999995</v>
      </c>
      <c r="AK624" s="97">
        <v>0.67900000000000005</v>
      </c>
      <c r="AL624" s="97">
        <f t="shared" si="5005"/>
        <v>7.8960910000000002</v>
      </c>
      <c r="AM624" s="97">
        <v>1.0669999999999999</v>
      </c>
      <c r="AN624" s="97">
        <f t="shared" ref="AN624:AN625" si="5047">N624*AM624/1000</f>
        <v>12.408143000000001</v>
      </c>
      <c r="AO624" s="97">
        <v>0.92500000000000004</v>
      </c>
      <c r="AP624" s="97">
        <f t="shared" si="5007"/>
        <v>10.756825000000001</v>
      </c>
      <c r="AQ624" s="97">
        <f>SUM(AK624+AM624+AO624)</f>
        <v>2.6710000000000003</v>
      </c>
      <c r="AR624" s="97">
        <f>SUM(AL624+AN624+AP624)</f>
        <v>31.061059</v>
      </c>
      <c r="AS624" s="97">
        <v>1.071</v>
      </c>
      <c r="AT624" s="97">
        <f t="shared" si="5010"/>
        <v>12.453588</v>
      </c>
      <c r="AU624" s="97">
        <v>0.84799999999999998</v>
      </c>
      <c r="AV624" s="97">
        <f t="shared" ref="AV624:AV625" si="5048">P624*AU624/1000</f>
        <v>9.8605439999999991</v>
      </c>
      <c r="AW624" s="97">
        <v>0.754</v>
      </c>
      <c r="AX624" s="97">
        <f t="shared" si="5012"/>
        <v>8.767512</v>
      </c>
      <c r="AY624" s="97">
        <f t="shared" ref="AY624:AZ630" si="5049">SUM(AS624+AU624+AW624)</f>
        <v>2.673</v>
      </c>
      <c r="AZ624" s="97">
        <f t="shared" si="5049"/>
        <v>31.081644000000001</v>
      </c>
      <c r="BA624" s="97">
        <f t="shared" si="5015"/>
        <v>5.3440000000000003</v>
      </c>
      <c r="BB624" s="97">
        <f t="shared" si="5016"/>
        <v>62.142702999999997</v>
      </c>
    </row>
    <row r="625" spans="1:54">
      <c r="A625" s="498">
        <v>420</v>
      </c>
      <c r="B625" s="13"/>
      <c r="C625" s="13"/>
      <c r="D625" s="15"/>
      <c r="E625" s="21" t="s">
        <v>1420</v>
      </c>
      <c r="F625" s="46"/>
      <c r="G625" s="46" t="s">
        <v>1105</v>
      </c>
      <c r="H625" s="268" t="s">
        <v>366</v>
      </c>
      <c r="I625" s="55"/>
      <c r="J625" s="163">
        <v>15537</v>
      </c>
      <c r="K625" s="55"/>
      <c r="L625" s="163">
        <v>15537</v>
      </c>
      <c r="M625" s="55"/>
      <c r="N625" s="163">
        <v>15537</v>
      </c>
      <c r="O625" s="55"/>
      <c r="P625" s="163">
        <v>15537</v>
      </c>
      <c r="Q625" s="97">
        <f>SUM(AI625+BA625)</f>
        <v>18.919</v>
      </c>
      <c r="R625" s="342">
        <f t="shared" si="5042"/>
        <v>293.944503</v>
      </c>
      <c r="S625" s="97">
        <v>0.96199999999999997</v>
      </c>
      <c r="T625" s="97">
        <f t="shared" si="4995"/>
        <v>14.946593999999999</v>
      </c>
      <c r="U625" s="97">
        <v>1.2929999999999999</v>
      </c>
      <c r="V625" s="97">
        <f t="shared" si="4996"/>
        <v>20.089341000000001</v>
      </c>
      <c r="W625" s="97">
        <v>1.625</v>
      </c>
      <c r="X625" s="97">
        <f t="shared" si="4997"/>
        <v>25.247624999999999</v>
      </c>
      <c r="Y625" s="97">
        <f t="shared" si="5043"/>
        <v>3.88</v>
      </c>
      <c r="Z625" s="97">
        <f t="shared" si="5044"/>
        <v>60.283560000000001</v>
      </c>
      <c r="AA625" s="97">
        <v>1.897</v>
      </c>
      <c r="AB625" s="97">
        <f t="shared" si="5000"/>
        <v>29.473689</v>
      </c>
      <c r="AC625" s="97">
        <v>2.3820000000000001</v>
      </c>
      <c r="AD625" s="97">
        <f t="shared" si="5001"/>
        <v>37.009133999999996</v>
      </c>
      <c r="AE625" s="97">
        <v>0.47499999999999998</v>
      </c>
      <c r="AF625" s="97">
        <f t="shared" si="5017"/>
        <v>7.3800749999999997</v>
      </c>
      <c r="AG625" s="97">
        <f t="shared" si="5045"/>
        <v>4.7539999999999996</v>
      </c>
      <c r="AH625" s="97">
        <f t="shared" si="5046"/>
        <v>73.862898000000001</v>
      </c>
      <c r="AI625" s="97">
        <f t="shared" si="5003"/>
        <v>8.6340000000000003</v>
      </c>
      <c r="AJ625" s="97">
        <f t="shared" si="5004"/>
        <v>134.146458</v>
      </c>
      <c r="AK625" s="97">
        <v>2.09</v>
      </c>
      <c r="AL625" s="97">
        <f t="shared" si="5005"/>
        <v>32.472329999999999</v>
      </c>
      <c r="AM625" s="97">
        <v>1.1319999999999999</v>
      </c>
      <c r="AN625" s="97">
        <f t="shared" si="5047"/>
        <v>17.587883999999999</v>
      </c>
      <c r="AO625" s="97">
        <v>2.2250000000000001</v>
      </c>
      <c r="AP625" s="97">
        <f t="shared" si="5007"/>
        <v>34.569825000000002</v>
      </c>
      <c r="AQ625" s="97">
        <f t="shared" ref="AQ625" si="5050">SUM(AK625+AM625+AO625)</f>
        <v>5.4469999999999992</v>
      </c>
      <c r="AR625" s="97">
        <f t="shared" ref="AR625" si="5051">SUM(AL625+AN625+AP625)</f>
        <v>84.630039000000011</v>
      </c>
      <c r="AS625" s="97">
        <v>1.5720000000000001</v>
      </c>
      <c r="AT625" s="97">
        <f t="shared" si="5010"/>
        <v>24.424164000000001</v>
      </c>
      <c r="AU625" s="97">
        <v>1.151</v>
      </c>
      <c r="AV625" s="97">
        <f t="shared" si="5048"/>
        <v>17.883087</v>
      </c>
      <c r="AW625" s="97">
        <v>2.1150000000000002</v>
      </c>
      <c r="AX625" s="97">
        <f t="shared" si="5012"/>
        <v>32.860755000000005</v>
      </c>
      <c r="AY625" s="97">
        <f t="shared" si="5049"/>
        <v>4.8380000000000001</v>
      </c>
      <c r="AZ625" s="97">
        <f t="shared" si="5049"/>
        <v>75.168006000000005</v>
      </c>
      <c r="BA625" s="97">
        <f t="shared" si="5015"/>
        <v>10.285</v>
      </c>
      <c r="BB625" s="97">
        <f t="shared" si="5016"/>
        <v>159.798045</v>
      </c>
    </row>
    <row r="626" spans="1:54">
      <c r="B626" s="13"/>
      <c r="C626" s="13"/>
      <c r="D626" s="13"/>
      <c r="E626" s="90" t="s">
        <v>1215</v>
      </c>
      <c r="F626" s="430"/>
      <c r="G626" s="23" t="s">
        <v>1102</v>
      </c>
      <c r="H626" s="269" t="s">
        <v>365</v>
      </c>
      <c r="I626" s="76"/>
      <c r="J626" s="168">
        <v>30580</v>
      </c>
      <c r="K626" s="76"/>
      <c r="L626" s="168">
        <v>30580</v>
      </c>
      <c r="M626" s="76"/>
      <c r="N626" s="168">
        <v>30580</v>
      </c>
      <c r="O626" s="76"/>
      <c r="P626" s="168">
        <v>30580</v>
      </c>
      <c r="Q626" s="131">
        <f>SUM(AI626+BA626)</f>
        <v>2.8140000000000001</v>
      </c>
      <c r="R626" s="352">
        <f t="shared" ref="R626" si="5052">SUM(AJ626+BB626)</f>
        <v>86.052120000000002</v>
      </c>
      <c r="S626" s="131">
        <v>0.251</v>
      </c>
      <c r="T626" s="131">
        <f t="shared" ref="T626" si="5053">J626*S626/1000</f>
        <v>7.6755800000000001</v>
      </c>
      <c r="U626" s="131">
        <v>0.13900000000000001</v>
      </c>
      <c r="V626" s="131">
        <f t="shared" ref="V626" si="5054">J626*U626/1000</f>
        <v>4.2506200000000005</v>
      </c>
      <c r="W626" s="131">
        <v>0.33600000000000002</v>
      </c>
      <c r="X626" s="131">
        <f t="shared" ref="X626" si="5055">J626*W626/1000</f>
        <v>10.274880000000001</v>
      </c>
      <c r="Y626" s="131">
        <f t="shared" ref="Y626" si="5056">SUM(S626+U626+W626)</f>
        <v>0.72599999999999998</v>
      </c>
      <c r="Z626" s="131">
        <f t="shared" ref="Z626" si="5057">SUM(T626+V626+X626)</f>
        <v>22.201080000000005</v>
      </c>
      <c r="AA626" s="131">
        <v>0.47099999999999997</v>
      </c>
      <c r="AB626" s="131">
        <f t="shared" ref="AB626" si="5058">L626*AA626/1000</f>
        <v>14.403179999999999</v>
      </c>
      <c r="AC626" s="131">
        <v>0.25</v>
      </c>
      <c r="AD626" s="131">
        <f t="shared" ref="AD626" si="5059">L626*AC626/1000</f>
        <v>7.6449999999999996</v>
      </c>
      <c r="AE626" s="131">
        <v>0.433</v>
      </c>
      <c r="AF626" s="131">
        <f t="shared" ref="AF626" si="5060">L626*AE626/1000</f>
        <v>13.24114</v>
      </c>
      <c r="AG626" s="131">
        <f t="shared" ref="AG626" si="5061">SUM(AA626+AC626+AE626)</f>
        <v>1.1539999999999999</v>
      </c>
      <c r="AH626" s="131">
        <f t="shared" ref="AH626" si="5062">SUM(AB626+AD626+AF626)</f>
        <v>35.289319999999996</v>
      </c>
      <c r="AI626" s="131">
        <f t="shared" ref="AI626" si="5063">SUM(Y626+AG626)</f>
        <v>1.88</v>
      </c>
      <c r="AJ626" s="131">
        <f t="shared" ref="AJ626" si="5064">SUM(Z626,AH626)</f>
        <v>57.490400000000001</v>
      </c>
      <c r="AK626" s="131">
        <v>0.155</v>
      </c>
      <c r="AL626" s="131">
        <f t="shared" ref="AL626" si="5065">N626*AK626/1000</f>
        <v>4.7398999999999996</v>
      </c>
      <c r="AM626" s="131">
        <v>0.01</v>
      </c>
      <c r="AN626" s="131">
        <f t="shared" ref="AN626" si="5066">N626*AM626/1000</f>
        <v>0.30580000000000002</v>
      </c>
      <c r="AO626" s="131">
        <v>2.8000000000000001E-2</v>
      </c>
      <c r="AP626" s="131">
        <f t="shared" ref="AP626" si="5067">N626*AO626/1000</f>
        <v>0.85624</v>
      </c>
      <c r="AQ626" s="131">
        <f t="shared" ref="AQ626" si="5068">SUM(AK626+AM626+AO626)</f>
        <v>0.193</v>
      </c>
      <c r="AR626" s="131">
        <f t="shared" ref="AR626" si="5069">SUM(AL626+AN626+AP626)</f>
        <v>5.9019399999999989</v>
      </c>
      <c r="AS626" s="131">
        <v>0.38600000000000001</v>
      </c>
      <c r="AT626" s="131">
        <f t="shared" ref="AT626" si="5070">P626*AS626/1000</f>
        <v>11.803880000000001</v>
      </c>
      <c r="AU626" s="131">
        <v>0.1</v>
      </c>
      <c r="AV626" s="131">
        <f t="shared" ref="AV626" si="5071">P626*AU626/1000</f>
        <v>3.0579999999999998</v>
      </c>
      <c r="AW626" s="131">
        <v>0.255</v>
      </c>
      <c r="AX626" s="131">
        <f t="shared" ref="AX626" si="5072">P626*AW626/1000</f>
        <v>7.7979000000000003</v>
      </c>
      <c r="AY626" s="131">
        <f t="shared" si="5049"/>
        <v>0.74099999999999999</v>
      </c>
      <c r="AZ626" s="131">
        <f t="shared" si="5049"/>
        <v>22.659780000000001</v>
      </c>
      <c r="BA626" s="131">
        <f>SUM(AQ626+AY626)</f>
        <v>0.93399999999999994</v>
      </c>
      <c r="BB626" s="131">
        <f t="shared" ref="BB626" si="5073">SUM(AR626,AZ626)</f>
        <v>28.561720000000001</v>
      </c>
    </row>
    <row r="627" spans="1:54">
      <c r="B627" s="13"/>
      <c r="C627" s="13"/>
      <c r="D627" s="13"/>
      <c r="E627" s="63" t="s">
        <v>1216</v>
      </c>
      <c r="F627" s="425"/>
      <c r="G627" s="425" t="s">
        <v>1102</v>
      </c>
      <c r="H627" s="284" t="s">
        <v>365</v>
      </c>
      <c r="I627" s="67"/>
      <c r="J627" s="166">
        <v>24128</v>
      </c>
      <c r="K627" s="67"/>
      <c r="L627" s="166">
        <v>24128</v>
      </c>
      <c r="M627" s="67"/>
      <c r="N627" s="166">
        <v>24128</v>
      </c>
      <c r="O627" s="67"/>
      <c r="P627" s="166">
        <v>25817</v>
      </c>
      <c r="Q627" s="129">
        <f t="shared" ref="Q627:Q642" si="5074">SUM(AI627+BA627)</f>
        <v>1.0580000000000001</v>
      </c>
      <c r="R627" s="350">
        <f t="shared" ref="R627:R642" si="5075">SUM(AJ627+BB627)</f>
        <v>27.049213000000002</v>
      </c>
      <c r="S627" s="129"/>
      <c r="T627" s="129">
        <f t="shared" si="4995"/>
        <v>0</v>
      </c>
      <c r="U627" s="129">
        <v>3.0000000000000001E-3</v>
      </c>
      <c r="V627" s="129">
        <f t="shared" si="4996"/>
        <v>7.2384000000000004E-2</v>
      </c>
      <c r="W627" s="129">
        <v>0.09</v>
      </c>
      <c r="X627" s="129">
        <f t="shared" si="4997"/>
        <v>2.1715200000000001</v>
      </c>
      <c r="Y627" s="129">
        <f t="shared" ref="Y627:Y630" si="5076">SUM(S627+U627+W627)</f>
        <v>9.2999999999999999E-2</v>
      </c>
      <c r="Z627" s="129">
        <f t="shared" ref="Z627:Z630" si="5077">SUM(T627+V627+X627)</f>
        <v>2.2439040000000001</v>
      </c>
      <c r="AA627" s="129">
        <v>3.0000000000000001E-3</v>
      </c>
      <c r="AB627" s="129">
        <f t="shared" si="5000"/>
        <v>7.2384000000000004E-2</v>
      </c>
      <c r="AC627" s="129">
        <v>3.0000000000000001E-3</v>
      </c>
      <c r="AD627" s="129">
        <f t="shared" si="5001"/>
        <v>7.2384000000000004E-2</v>
      </c>
      <c r="AE627" s="129">
        <v>0.05</v>
      </c>
      <c r="AF627" s="129">
        <f t="shared" si="5017"/>
        <v>1.2064000000000001</v>
      </c>
      <c r="AG627" s="129">
        <f t="shared" ref="AG627:AG630" si="5078">SUM(AA627+AC627+AE627)</f>
        <v>5.6000000000000001E-2</v>
      </c>
      <c r="AH627" s="129">
        <f t="shared" ref="AH627:AH630" si="5079">SUM(AB627+AD627+AF627)</f>
        <v>1.3511680000000001</v>
      </c>
      <c r="AI627" s="129">
        <f t="shared" si="5003"/>
        <v>0.14899999999999999</v>
      </c>
      <c r="AJ627" s="129">
        <f t="shared" si="5004"/>
        <v>3.595072</v>
      </c>
      <c r="AK627" s="129">
        <v>5.0000000000000001E-3</v>
      </c>
      <c r="AL627" s="129">
        <f t="shared" si="5005"/>
        <v>0.12064</v>
      </c>
      <c r="AM627" s="129">
        <v>3.0000000000000001E-3</v>
      </c>
      <c r="AN627" s="129">
        <f t="shared" ref="AN627:AN642" si="5080">N627*AM627/1000</f>
        <v>7.2384000000000004E-2</v>
      </c>
      <c r="AO627" s="129"/>
      <c r="AP627" s="129">
        <f t="shared" si="5007"/>
        <v>0</v>
      </c>
      <c r="AQ627" s="129">
        <f t="shared" ref="AQ627:AQ630" si="5081">SUM(AK627+AM627+AO627)</f>
        <v>8.0000000000000002E-3</v>
      </c>
      <c r="AR627" s="129">
        <f t="shared" ref="AR627:AR630" si="5082">SUM(AL627+AN627+AP627)</f>
        <v>0.193024</v>
      </c>
      <c r="AS627" s="129">
        <v>0.89200000000000002</v>
      </c>
      <c r="AT627" s="129">
        <f t="shared" si="5010"/>
        <v>23.028763999999999</v>
      </c>
      <c r="AU627" s="129"/>
      <c r="AV627" s="129">
        <f t="shared" ref="AV627:AV642" si="5083">P627*AU627/1000</f>
        <v>0</v>
      </c>
      <c r="AW627" s="129">
        <v>8.9999999999999993E-3</v>
      </c>
      <c r="AX627" s="129">
        <f t="shared" si="5012"/>
        <v>0.23235299999999998</v>
      </c>
      <c r="AY627" s="129">
        <f t="shared" si="5049"/>
        <v>0.90100000000000002</v>
      </c>
      <c r="AZ627" s="129">
        <f t="shared" si="5049"/>
        <v>23.261116999999999</v>
      </c>
      <c r="BA627" s="129">
        <f t="shared" si="5015"/>
        <v>0.90900000000000003</v>
      </c>
      <c r="BB627" s="129">
        <f t="shared" si="5016"/>
        <v>23.454141</v>
      </c>
    </row>
    <row r="628" spans="1:54" ht="12" customHeight="1">
      <c r="A628" s="498">
        <v>426</v>
      </c>
      <c r="B628" s="13"/>
      <c r="C628" s="13"/>
      <c r="D628" s="13"/>
      <c r="E628" s="21" t="s">
        <v>2334</v>
      </c>
      <c r="F628" s="46"/>
      <c r="G628" s="46" t="s">
        <v>1105</v>
      </c>
      <c r="H628" s="268" t="s">
        <v>366</v>
      </c>
      <c r="I628" s="55"/>
      <c r="J628" s="163"/>
      <c r="K628" s="55"/>
      <c r="L628" s="163"/>
      <c r="M628" s="55"/>
      <c r="N628" s="163"/>
      <c r="O628" s="55"/>
      <c r="P628" s="163">
        <v>33898</v>
      </c>
      <c r="Q628" s="97">
        <f t="shared" si="5074"/>
        <v>3.5000000000000003E-2</v>
      </c>
      <c r="R628" s="342">
        <f t="shared" si="5075"/>
        <v>1.1864300000000001</v>
      </c>
      <c r="S628" s="97"/>
      <c r="T628" s="97">
        <f>J628*S628/1000</f>
        <v>0</v>
      </c>
      <c r="U628" s="97"/>
      <c r="V628" s="97">
        <f>J628*U628/1000</f>
        <v>0</v>
      </c>
      <c r="W628" s="97"/>
      <c r="X628" s="97">
        <f>J628*W628/1000</f>
        <v>0</v>
      </c>
      <c r="Y628" s="97">
        <f>SUM(S628+U628+W628)</f>
        <v>0</v>
      </c>
      <c r="Z628" s="97">
        <f>SUM(T628+V628+X628)</f>
        <v>0</v>
      </c>
      <c r="AA628" s="97"/>
      <c r="AB628" s="97">
        <f>L628*AA628/1000</f>
        <v>0</v>
      </c>
      <c r="AC628" s="97"/>
      <c r="AD628" s="97">
        <f>L628*AC628/1000</f>
        <v>0</v>
      </c>
      <c r="AE628" s="97"/>
      <c r="AF628" s="97">
        <f>L628*AE628/1000</f>
        <v>0</v>
      </c>
      <c r="AG628" s="97">
        <f>SUM(AA628+AC628+AE628)</f>
        <v>0</v>
      </c>
      <c r="AH628" s="97">
        <f>SUM(AB628+AD628+AF628)</f>
        <v>0</v>
      </c>
      <c r="AI628" s="97">
        <f>SUM(Y628+AG628)</f>
        <v>0</v>
      </c>
      <c r="AJ628" s="97">
        <f>SUM(Z628,AH628)</f>
        <v>0</v>
      </c>
      <c r="AK628" s="97"/>
      <c r="AL628" s="97">
        <f>N628*AK628/1000</f>
        <v>0</v>
      </c>
      <c r="AM628" s="97"/>
      <c r="AN628" s="97">
        <f>N628*AM628/1000</f>
        <v>0</v>
      </c>
      <c r="AO628" s="97"/>
      <c r="AP628" s="97">
        <f>N628*AO628/1000</f>
        <v>0</v>
      </c>
      <c r="AQ628" s="97">
        <f>SUM(AK628+AM628+AO628)</f>
        <v>0</v>
      </c>
      <c r="AR628" s="97">
        <f>SUM(AL628+AN628+AP628)</f>
        <v>0</v>
      </c>
      <c r="AS628" s="97">
        <v>3.5000000000000003E-2</v>
      </c>
      <c r="AT628" s="97">
        <f>P628*AS628/1000</f>
        <v>1.1864300000000001</v>
      </c>
      <c r="AU628" s="97"/>
      <c r="AV628" s="97">
        <f>P628*AU628/1000</f>
        <v>0</v>
      </c>
      <c r="AW628" s="97"/>
      <c r="AX628" s="97">
        <f>P628*AW628/1000</f>
        <v>0</v>
      </c>
      <c r="AY628" s="97">
        <f>SUM(AS628+AU628+AW628)</f>
        <v>3.5000000000000003E-2</v>
      </c>
      <c r="AZ628" s="97">
        <f>SUM(AT628+AV628+AX628)</f>
        <v>1.1864300000000001</v>
      </c>
      <c r="BA628" s="97">
        <f>SUM(AQ628+AY628)</f>
        <v>3.5000000000000003E-2</v>
      </c>
      <c r="BB628" s="97">
        <f>SUM(AR628,AZ628)</f>
        <v>1.1864300000000001</v>
      </c>
    </row>
    <row r="629" spans="1:54">
      <c r="A629" s="498">
        <v>420</v>
      </c>
      <c r="B629" s="13"/>
      <c r="C629" s="13"/>
      <c r="D629" s="15"/>
      <c r="E629" s="21" t="s">
        <v>1488</v>
      </c>
      <c r="F629" s="46"/>
      <c r="G629" s="46" t="s">
        <v>1105</v>
      </c>
      <c r="H629" s="268" t="s">
        <v>366</v>
      </c>
      <c r="I629" s="55"/>
      <c r="J629" s="163">
        <v>23380</v>
      </c>
      <c r="K629" s="55"/>
      <c r="L629" s="163">
        <v>23380</v>
      </c>
      <c r="M629" s="55"/>
      <c r="N629" s="163">
        <v>23380</v>
      </c>
      <c r="O629" s="55"/>
      <c r="P629" s="163">
        <v>23380</v>
      </c>
      <c r="Q629" s="97">
        <f t="shared" si="5074"/>
        <v>3.7840000000000003</v>
      </c>
      <c r="R629" s="342">
        <f t="shared" si="5075"/>
        <v>88.469920000000002</v>
      </c>
      <c r="S629" s="97"/>
      <c r="T629" s="97">
        <f t="shared" si="4995"/>
        <v>0</v>
      </c>
      <c r="U629" s="97">
        <v>0.6</v>
      </c>
      <c r="V629" s="97">
        <f t="shared" si="4996"/>
        <v>14.028</v>
      </c>
      <c r="W629" s="97">
        <v>0.5</v>
      </c>
      <c r="X629" s="97">
        <f t="shared" si="4997"/>
        <v>11.69</v>
      </c>
      <c r="Y629" s="97">
        <f t="shared" si="5076"/>
        <v>1.1000000000000001</v>
      </c>
      <c r="Z629" s="97">
        <f t="shared" si="5077"/>
        <v>25.718</v>
      </c>
      <c r="AA629" s="97">
        <v>0.2</v>
      </c>
      <c r="AB629" s="97">
        <f t="shared" si="5000"/>
        <v>4.6760000000000002</v>
      </c>
      <c r="AC629" s="97">
        <v>1.25</v>
      </c>
      <c r="AD629" s="97">
        <f t="shared" si="5001"/>
        <v>29.225000000000001</v>
      </c>
      <c r="AE629" s="97">
        <v>0.15</v>
      </c>
      <c r="AF629" s="97">
        <f t="shared" si="5017"/>
        <v>3.5070000000000001</v>
      </c>
      <c r="AG629" s="97">
        <f t="shared" si="5078"/>
        <v>1.5999999999999999</v>
      </c>
      <c r="AH629" s="97">
        <f t="shared" si="5079"/>
        <v>37.408000000000001</v>
      </c>
      <c r="AI629" s="97">
        <f t="shared" si="5003"/>
        <v>2.7</v>
      </c>
      <c r="AJ629" s="97">
        <f t="shared" si="5004"/>
        <v>63.126000000000005</v>
      </c>
      <c r="AK629" s="97">
        <v>1.0840000000000001</v>
      </c>
      <c r="AL629" s="97">
        <f t="shared" si="5005"/>
        <v>25.343920000000001</v>
      </c>
      <c r="AM629" s="97"/>
      <c r="AN629" s="97">
        <f t="shared" si="5080"/>
        <v>0</v>
      </c>
      <c r="AO629" s="97"/>
      <c r="AP629" s="97">
        <f t="shared" si="5007"/>
        <v>0</v>
      </c>
      <c r="AQ629" s="97">
        <f t="shared" si="5081"/>
        <v>1.0840000000000001</v>
      </c>
      <c r="AR629" s="97">
        <f t="shared" si="5082"/>
        <v>25.343920000000001</v>
      </c>
      <c r="AS629" s="97"/>
      <c r="AT629" s="97">
        <f t="shared" si="5010"/>
        <v>0</v>
      </c>
      <c r="AU629" s="97"/>
      <c r="AV629" s="97">
        <f t="shared" si="5083"/>
        <v>0</v>
      </c>
      <c r="AW629" s="97"/>
      <c r="AX629" s="97">
        <f t="shared" si="5012"/>
        <v>0</v>
      </c>
      <c r="AY629" s="97">
        <f t="shared" si="5049"/>
        <v>0</v>
      </c>
      <c r="AZ629" s="97">
        <f t="shared" si="5049"/>
        <v>0</v>
      </c>
      <c r="BA629" s="97">
        <f t="shared" si="5015"/>
        <v>1.0840000000000001</v>
      </c>
      <c r="BB629" s="97">
        <f t="shared" si="5016"/>
        <v>25.343920000000001</v>
      </c>
    </row>
    <row r="630" spans="1:54">
      <c r="A630" s="498">
        <v>420</v>
      </c>
      <c r="B630" s="13"/>
      <c r="C630" s="13"/>
      <c r="D630" s="15"/>
      <c r="E630" s="21" t="s">
        <v>1500</v>
      </c>
      <c r="F630" s="46"/>
      <c r="G630" s="46" t="s">
        <v>1105</v>
      </c>
      <c r="H630" s="268" t="s">
        <v>366</v>
      </c>
      <c r="I630" s="55"/>
      <c r="J630" s="163">
        <v>33994</v>
      </c>
      <c r="K630" s="55"/>
      <c r="L630" s="163">
        <v>33994</v>
      </c>
      <c r="M630" s="55"/>
      <c r="N630" s="163">
        <v>33994</v>
      </c>
      <c r="O630" s="55"/>
      <c r="P630" s="163">
        <v>33994</v>
      </c>
      <c r="Q630" s="97">
        <f t="shared" si="5074"/>
        <v>0.01</v>
      </c>
      <c r="R630" s="342">
        <f t="shared" si="5075"/>
        <v>0.33994000000000002</v>
      </c>
      <c r="S630" s="97"/>
      <c r="T630" s="97">
        <f t="shared" si="4995"/>
        <v>0</v>
      </c>
      <c r="U630" s="97"/>
      <c r="V630" s="97">
        <f t="shared" si="4996"/>
        <v>0</v>
      </c>
      <c r="W630" s="97"/>
      <c r="X630" s="97">
        <f t="shared" si="4997"/>
        <v>0</v>
      </c>
      <c r="Y630" s="97">
        <f t="shared" si="5076"/>
        <v>0</v>
      </c>
      <c r="Z630" s="97">
        <f t="shared" si="5077"/>
        <v>0</v>
      </c>
      <c r="AA630" s="97"/>
      <c r="AB630" s="97">
        <f t="shared" si="5000"/>
        <v>0</v>
      </c>
      <c r="AC630" s="97"/>
      <c r="AD630" s="97">
        <f t="shared" si="5001"/>
        <v>0</v>
      </c>
      <c r="AE630" s="97"/>
      <c r="AF630" s="97">
        <f t="shared" si="5017"/>
        <v>0</v>
      </c>
      <c r="AG630" s="97">
        <f t="shared" si="5078"/>
        <v>0</v>
      </c>
      <c r="AH630" s="97">
        <f t="shared" si="5079"/>
        <v>0</v>
      </c>
      <c r="AI630" s="97">
        <f t="shared" si="5003"/>
        <v>0</v>
      </c>
      <c r="AJ630" s="97">
        <f t="shared" si="5004"/>
        <v>0</v>
      </c>
      <c r="AK630" s="97"/>
      <c r="AL630" s="97">
        <f t="shared" si="5005"/>
        <v>0</v>
      </c>
      <c r="AM630" s="97">
        <v>0.01</v>
      </c>
      <c r="AN630" s="97">
        <f t="shared" si="5080"/>
        <v>0.33994000000000002</v>
      </c>
      <c r="AO630" s="97"/>
      <c r="AP630" s="97">
        <f t="shared" si="5007"/>
        <v>0</v>
      </c>
      <c r="AQ630" s="97">
        <f t="shared" si="5081"/>
        <v>0.01</v>
      </c>
      <c r="AR630" s="97">
        <f t="shared" si="5082"/>
        <v>0.33994000000000002</v>
      </c>
      <c r="AS630" s="97"/>
      <c r="AT630" s="97">
        <f t="shared" si="5010"/>
        <v>0</v>
      </c>
      <c r="AU630" s="97"/>
      <c r="AV630" s="97">
        <f t="shared" si="5083"/>
        <v>0</v>
      </c>
      <c r="AW630" s="97"/>
      <c r="AX630" s="97">
        <f t="shared" si="5012"/>
        <v>0</v>
      </c>
      <c r="AY630" s="97">
        <f t="shared" si="5049"/>
        <v>0</v>
      </c>
      <c r="AZ630" s="97">
        <f t="shared" si="5049"/>
        <v>0</v>
      </c>
      <c r="BA630" s="97">
        <f t="shared" si="5015"/>
        <v>0.01</v>
      </c>
      <c r="BB630" s="97">
        <f t="shared" si="5016"/>
        <v>0.33994000000000002</v>
      </c>
    </row>
    <row r="631" spans="1:54">
      <c r="B631" s="13"/>
      <c r="C631" s="13"/>
      <c r="D631" s="13"/>
      <c r="E631" s="21" t="s">
        <v>1325</v>
      </c>
      <c r="F631" s="46"/>
      <c r="G631" s="425" t="s">
        <v>1102</v>
      </c>
      <c r="H631" s="284" t="s">
        <v>365</v>
      </c>
      <c r="I631" s="55"/>
      <c r="J631" s="163">
        <v>33334</v>
      </c>
      <c r="K631" s="55"/>
      <c r="L631" s="163">
        <v>33334</v>
      </c>
      <c r="M631" s="55"/>
      <c r="N631" s="163">
        <v>33334</v>
      </c>
      <c r="O631" s="55"/>
      <c r="P631" s="163">
        <v>33334</v>
      </c>
      <c r="Q631" s="97">
        <f t="shared" si="5074"/>
        <v>1.5890000000000002</v>
      </c>
      <c r="R631" s="342">
        <f t="shared" si="5075"/>
        <v>52.967725999999999</v>
      </c>
      <c r="S631" s="97">
        <v>0.182</v>
      </c>
      <c r="T631" s="97">
        <f t="shared" si="4995"/>
        <v>6.0667879999999998</v>
      </c>
      <c r="U631" s="97">
        <v>0.251</v>
      </c>
      <c r="V631" s="97">
        <f t="shared" si="4996"/>
        <v>8.3668340000000008</v>
      </c>
      <c r="W631" s="97">
        <v>3.4000000000000002E-2</v>
      </c>
      <c r="X631" s="97">
        <f t="shared" si="4997"/>
        <v>1.133356</v>
      </c>
      <c r="Y631" s="97">
        <f t="shared" ref="Y631:Y635" si="5084">SUM(S631+U631+W631)</f>
        <v>0.46699999999999997</v>
      </c>
      <c r="Z631" s="97">
        <f t="shared" ref="Z631:Z635" si="5085">SUM(T631+V631+X631)</f>
        <v>15.566977999999999</v>
      </c>
      <c r="AA631" s="97">
        <v>0.36</v>
      </c>
      <c r="AB631" s="97">
        <f t="shared" si="5000"/>
        <v>12.00024</v>
      </c>
      <c r="AC631" s="97">
        <v>0.156</v>
      </c>
      <c r="AD631" s="97">
        <f t="shared" si="5001"/>
        <v>5.2001040000000005</v>
      </c>
      <c r="AE631" s="97">
        <v>3.2000000000000001E-2</v>
      </c>
      <c r="AF631" s="97">
        <f t="shared" si="5017"/>
        <v>1.0666880000000001</v>
      </c>
      <c r="AG631" s="97">
        <f t="shared" ref="AG631:AG635" si="5086">SUM(AA631+AC631+AE631)</f>
        <v>0.54800000000000004</v>
      </c>
      <c r="AH631" s="97">
        <f t="shared" ref="AH631:AH635" si="5087">SUM(AB631+AD631+AF631)</f>
        <v>18.267032</v>
      </c>
      <c r="AI631" s="97">
        <f t="shared" si="5003"/>
        <v>1.0150000000000001</v>
      </c>
      <c r="AJ631" s="97">
        <f t="shared" si="5004"/>
        <v>33.834009999999999</v>
      </c>
      <c r="AK631" s="97">
        <v>0.153</v>
      </c>
      <c r="AL631" s="97">
        <f t="shared" si="5005"/>
        <v>5.1001019999999997</v>
      </c>
      <c r="AM631" s="97">
        <v>5.0999999999999997E-2</v>
      </c>
      <c r="AN631" s="97">
        <f t="shared" si="5080"/>
        <v>1.7000339999999998</v>
      </c>
      <c r="AO631" s="97">
        <v>6.6000000000000003E-2</v>
      </c>
      <c r="AP631" s="97">
        <f t="shared" si="5007"/>
        <v>2.2000440000000001</v>
      </c>
      <c r="AQ631" s="97">
        <f t="shared" ref="AQ631:AQ635" si="5088">SUM(AK631+AM631+AO631)</f>
        <v>0.27</v>
      </c>
      <c r="AR631" s="97">
        <f t="shared" ref="AR631:AR635" si="5089">SUM(AL631+AN631+AP631)</f>
        <v>9.0001800000000003</v>
      </c>
      <c r="AS631" s="97">
        <v>0.154</v>
      </c>
      <c r="AT631" s="97">
        <f t="shared" si="5010"/>
        <v>5.1334359999999997</v>
      </c>
      <c r="AU631" s="97">
        <v>0.1</v>
      </c>
      <c r="AV631" s="97">
        <f t="shared" si="5083"/>
        <v>3.3334000000000001</v>
      </c>
      <c r="AW631" s="97">
        <v>0.05</v>
      </c>
      <c r="AX631" s="97">
        <f t="shared" si="5012"/>
        <v>1.6667000000000001</v>
      </c>
      <c r="AY631" s="97">
        <f t="shared" ref="AY631:AY635" si="5090">SUM(AS631+AU631+AW631)</f>
        <v>0.30399999999999999</v>
      </c>
      <c r="AZ631" s="97">
        <f t="shared" ref="AZ631:AZ635" si="5091">SUM(AT631+AV631+AX631)</f>
        <v>10.133536000000001</v>
      </c>
      <c r="BA631" s="97">
        <f t="shared" si="5015"/>
        <v>0.57400000000000007</v>
      </c>
      <c r="BB631" s="97">
        <f t="shared" si="5016"/>
        <v>19.133716</v>
      </c>
    </row>
    <row r="632" spans="1:54">
      <c r="B632" s="13"/>
      <c r="C632" s="13"/>
      <c r="D632" s="13"/>
      <c r="E632" s="21" t="s">
        <v>1326</v>
      </c>
      <c r="F632" s="46"/>
      <c r="G632" s="425" t="s">
        <v>1102</v>
      </c>
      <c r="H632" s="284" t="s">
        <v>365</v>
      </c>
      <c r="I632" s="55"/>
      <c r="J632" s="163">
        <v>32661</v>
      </c>
      <c r="K632" s="55"/>
      <c r="L632" s="163">
        <v>32661</v>
      </c>
      <c r="M632" s="55"/>
      <c r="N632" s="163">
        <v>32661</v>
      </c>
      <c r="O632" s="55"/>
      <c r="P632" s="163">
        <v>32661</v>
      </c>
      <c r="Q632" s="97">
        <f t="shared" ref="Q632" si="5092">SUM(AI632+BA632)</f>
        <v>0.40300000000000002</v>
      </c>
      <c r="R632" s="342">
        <f t="shared" ref="R632" si="5093">SUM(AJ632+BB632)</f>
        <v>13.162383000000002</v>
      </c>
      <c r="S632" s="97">
        <v>0.03</v>
      </c>
      <c r="T632" s="97">
        <f t="shared" ref="T632" si="5094">J632*S632/1000</f>
        <v>0.97982999999999998</v>
      </c>
      <c r="U632" s="97"/>
      <c r="V632" s="97">
        <f t="shared" ref="V632" si="5095">J632*U632/1000</f>
        <v>0</v>
      </c>
      <c r="W632" s="97">
        <v>0.1</v>
      </c>
      <c r="X632" s="97">
        <f t="shared" ref="X632" si="5096">J632*W632/1000</f>
        <v>3.2661000000000002</v>
      </c>
      <c r="Y632" s="97">
        <f t="shared" si="5084"/>
        <v>0.13</v>
      </c>
      <c r="Z632" s="97">
        <f t="shared" si="5085"/>
        <v>4.2459300000000004</v>
      </c>
      <c r="AA632" s="97">
        <v>0.13</v>
      </c>
      <c r="AB632" s="97">
        <f t="shared" ref="AB632" si="5097">L632*AA632/1000</f>
        <v>4.2459300000000004</v>
      </c>
      <c r="AC632" s="97">
        <v>0.06</v>
      </c>
      <c r="AD632" s="97">
        <f t="shared" ref="AD632" si="5098">L632*AC632/1000</f>
        <v>1.95966</v>
      </c>
      <c r="AE632" s="97">
        <v>8.0000000000000002E-3</v>
      </c>
      <c r="AF632" s="97">
        <f t="shared" ref="AF632" si="5099">L632*AE632/1000</f>
        <v>0.26128800000000002</v>
      </c>
      <c r="AG632" s="97">
        <f t="shared" si="5086"/>
        <v>0.19800000000000001</v>
      </c>
      <c r="AH632" s="97">
        <f t="shared" si="5087"/>
        <v>6.4668780000000012</v>
      </c>
      <c r="AI632" s="97">
        <f>SUM(Y632+AG632)</f>
        <v>0.32800000000000001</v>
      </c>
      <c r="AJ632" s="97">
        <f t="shared" ref="AJ632" si="5100">SUM(Z632,AH632)</f>
        <v>10.712808000000003</v>
      </c>
      <c r="AK632" s="97">
        <v>0.02</v>
      </c>
      <c r="AL632" s="97">
        <f t="shared" ref="AL632" si="5101">N632*AK632/1000</f>
        <v>0.65322000000000002</v>
      </c>
      <c r="AM632" s="97">
        <v>3.5999999999999997E-2</v>
      </c>
      <c r="AN632" s="97">
        <f t="shared" ref="AN632" si="5102">N632*AM632/1000</f>
        <v>1.1757959999999998</v>
      </c>
      <c r="AO632" s="97">
        <v>1.2999999999999999E-2</v>
      </c>
      <c r="AP632" s="97">
        <f t="shared" ref="AP632" si="5103">N632*AO632/1000</f>
        <v>0.42459299999999994</v>
      </c>
      <c r="AQ632" s="97">
        <f t="shared" si="5088"/>
        <v>6.8999999999999992E-2</v>
      </c>
      <c r="AR632" s="97">
        <f t="shared" si="5089"/>
        <v>2.2536089999999995</v>
      </c>
      <c r="AS632" s="97">
        <v>6.0000000000000001E-3</v>
      </c>
      <c r="AT632" s="97">
        <f t="shared" ref="AT632" si="5104">P632*AS632/1000</f>
        <v>0.195966</v>
      </c>
      <c r="AU632" s="97"/>
      <c r="AV632" s="97">
        <f t="shared" ref="AV632" si="5105">P632*AU632/1000</f>
        <v>0</v>
      </c>
      <c r="AW632" s="97"/>
      <c r="AX632" s="97">
        <f t="shared" ref="AX632" si="5106">P632*AW632/1000</f>
        <v>0</v>
      </c>
      <c r="AY632" s="97">
        <f t="shared" si="5090"/>
        <v>6.0000000000000001E-3</v>
      </c>
      <c r="AZ632" s="97">
        <f t="shared" si="5091"/>
        <v>0.195966</v>
      </c>
      <c r="BA632" s="97">
        <f>SUM(AQ632+AY632)</f>
        <v>7.4999999999999997E-2</v>
      </c>
      <c r="BB632" s="97">
        <f t="shared" ref="BB632" si="5107">SUM(AR632,AZ632)</f>
        <v>2.4495749999999994</v>
      </c>
    </row>
    <row r="633" spans="1:54">
      <c r="B633" s="13"/>
      <c r="C633" s="13"/>
      <c r="D633" s="13"/>
      <c r="E633" s="21" t="s">
        <v>1351</v>
      </c>
      <c r="F633" s="46"/>
      <c r="G633" s="425" t="s">
        <v>1102</v>
      </c>
      <c r="H633" s="284" t="s">
        <v>365</v>
      </c>
      <c r="I633" s="55"/>
      <c r="J633" s="163">
        <v>34659</v>
      </c>
      <c r="K633" s="55"/>
      <c r="L633" s="163">
        <v>34659</v>
      </c>
      <c r="M633" s="55"/>
      <c r="N633" s="163">
        <v>34659</v>
      </c>
      <c r="O633" s="55"/>
      <c r="P633" s="163">
        <v>34659</v>
      </c>
      <c r="Q633" s="97">
        <f t="shared" si="5074"/>
        <v>252.14599999999999</v>
      </c>
      <c r="R633" s="342">
        <f t="shared" si="5075"/>
        <v>8739.1282140000003</v>
      </c>
      <c r="S633" s="97">
        <v>21.276</v>
      </c>
      <c r="T633" s="97">
        <f t="shared" si="4995"/>
        <v>737.40488399999992</v>
      </c>
      <c r="U633" s="97">
        <v>18.670000000000002</v>
      </c>
      <c r="V633" s="97">
        <f t="shared" si="4996"/>
        <v>647.08353</v>
      </c>
      <c r="W633" s="97">
        <v>20.710999999999999</v>
      </c>
      <c r="X633" s="97">
        <f t="shared" si="4997"/>
        <v>717.82254899999998</v>
      </c>
      <c r="Y633" s="97">
        <f t="shared" ref="Y633" si="5108">SUM(S633+U633+W633)</f>
        <v>60.656999999999996</v>
      </c>
      <c r="Z633" s="97">
        <f t="shared" ref="Z633" si="5109">SUM(T633+V633+X633)</f>
        <v>2102.3109629999999</v>
      </c>
      <c r="AA633" s="97">
        <v>28.129000000000001</v>
      </c>
      <c r="AB633" s="97">
        <f t="shared" si="5000"/>
        <v>974.92301100000009</v>
      </c>
      <c r="AC633" s="97">
        <v>37.909999999999997</v>
      </c>
      <c r="AD633" s="97">
        <f t="shared" si="5001"/>
        <v>1313.9226899999999</v>
      </c>
      <c r="AE633" s="97">
        <v>25.335999999999999</v>
      </c>
      <c r="AF633" s="97">
        <f t="shared" si="5017"/>
        <v>878.12042399999996</v>
      </c>
      <c r="AG633" s="97">
        <f t="shared" ref="AG633" si="5110">SUM(AA633+AC633+AE633)</f>
        <v>91.375</v>
      </c>
      <c r="AH633" s="97">
        <f t="shared" ref="AH633" si="5111">SUM(AB633+AD633+AF633)</f>
        <v>3166.9661249999999</v>
      </c>
      <c r="AI633" s="97">
        <f>SUM(Y633+AG633)</f>
        <v>152.03199999999998</v>
      </c>
      <c r="AJ633" s="97">
        <f t="shared" si="5004"/>
        <v>5269.2770879999998</v>
      </c>
      <c r="AK633" s="97">
        <v>28.666</v>
      </c>
      <c r="AL633" s="97">
        <f t="shared" si="5005"/>
        <v>993.53489400000001</v>
      </c>
      <c r="AM633" s="97">
        <v>17.167999999999999</v>
      </c>
      <c r="AN633" s="97">
        <f t="shared" si="5080"/>
        <v>595.02571199999988</v>
      </c>
      <c r="AO633" s="97">
        <v>15.743</v>
      </c>
      <c r="AP633" s="97">
        <f t="shared" si="5007"/>
        <v>545.63663699999995</v>
      </c>
      <c r="AQ633" s="97">
        <f t="shared" ref="AQ633" si="5112">SUM(AK633+AM633+AO633)</f>
        <v>61.577000000000005</v>
      </c>
      <c r="AR633" s="97">
        <f t="shared" ref="AR633" si="5113">SUM(AL633+AN633+AP633)</f>
        <v>2134.1972430000001</v>
      </c>
      <c r="AS633" s="97">
        <v>18.32</v>
      </c>
      <c r="AT633" s="97">
        <f t="shared" si="5010"/>
        <v>634.95288000000005</v>
      </c>
      <c r="AU633" s="97">
        <v>11.141</v>
      </c>
      <c r="AV633" s="97">
        <f t="shared" si="5083"/>
        <v>386.135919</v>
      </c>
      <c r="AW633" s="97">
        <v>9.0760000000000005</v>
      </c>
      <c r="AX633" s="97">
        <f t="shared" si="5012"/>
        <v>314.56508400000001</v>
      </c>
      <c r="AY633" s="97">
        <f t="shared" ref="AY633" si="5114">SUM(AS633+AU633+AW633)</f>
        <v>38.536999999999999</v>
      </c>
      <c r="AZ633" s="97">
        <f t="shared" ref="AZ633" si="5115">SUM(AT633+AV633+AX633)</f>
        <v>1335.6538830000002</v>
      </c>
      <c r="BA633" s="97">
        <f>SUM(AQ633+AY633)</f>
        <v>100.114</v>
      </c>
      <c r="BB633" s="97">
        <f t="shared" si="5016"/>
        <v>3469.8511260000005</v>
      </c>
    </row>
    <row r="634" spans="1:54">
      <c r="B634" s="13"/>
      <c r="C634" s="13"/>
      <c r="D634" s="13"/>
      <c r="E634" s="21" t="s">
        <v>1352</v>
      </c>
      <c r="F634" s="46"/>
      <c r="G634" s="425" t="s">
        <v>1102</v>
      </c>
      <c r="H634" s="284" t="s">
        <v>365</v>
      </c>
      <c r="I634" s="55"/>
      <c r="J634" s="163">
        <v>33585</v>
      </c>
      <c r="K634" s="55"/>
      <c r="L634" s="163">
        <v>33585</v>
      </c>
      <c r="M634" s="55"/>
      <c r="N634" s="163">
        <v>33585</v>
      </c>
      <c r="O634" s="55"/>
      <c r="P634" s="163">
        <v>33585</v>
      </c>
      <c r="Q634" s="97">
        <f t="shared" ref="Q634:Q635" si="5116">SUM(AI634+BA634)</f>
        <v>58.102999999999994</v>
      </c>
      <c r="R634" s="342">
        <f t="shared" ref="R634:R635" si="5117">SUM(AJ634+BB634)</f>
        <v>1951.389255</v>
      </c>
      <c r="S634" s="97">
        <v>3.6920000000000002</v>
      </c>
      <c r="T634" s="97">
        <f t="shared" ref="T634:T635" si="5118">J634*S634/1000</f>
        <v>123.99582000000001</v>
      </c>
      <c r="U634" s="97">
        <v>3.6850000000000001</v>
      </c>
      <c r="V634" s="97">
        <f t="shared" ref="V634:V635" si="5119">J634*U634/1000</f>
        <v>123.76072500000001</v>
      </c>
      <c r="W634" s="97">
        <v>4.5659999999999998</v>
      </c>
      <c r="X634" s="97">
        <f t="shared" ref="X634:X635" si="5120">J634*W634/1000</f>
        <v>153.34911</v>
      </c>
      <c r="Y634" s="97">
        <f t="shared" si="5084"/>
        <v>11.943000000000001</v>
      </c>
      <c r="Z634" s="97">
        <f t="shared" si="5085"/>
        <v>401.10565500000001</v>
      </c>
      <c r="AA634" s="97">
        <v>4.3949999999999996</v>
      </c>
      <c r="AB634" s="97">
        <f t="shared" ref="AB634:AB635" si="5121">L634*AA634/1000</f>
        <v>147.60607499999998</v>
      </c>
      <c r="AC634" s="97">
        <v>6.9619999999999997</v>
      </c>
      <c r="AD634" s="97">
        <f t="shared" ref="AD634:AD635" si="5122">L634*AC634/1000</f>
        <v>233.81877</v>
      </c>
      <c r="AE634" s="97">
        <v>5.4</v>
      </c>
      <c r="AF634" s="97">
        <f t="shared" ref="AF634:AF635" si="5123">L634*AE634/1000</f>
        <v>181.35900000000001</v>
      </c>
      <c r="AG634" s="97">
        <f t="shared" si="5086"/>
        <v>16.756999999999998</v>
      </c>
      <c r="AH634" s="97">
        <f t="shared" si="5087"/>
        <v>562.78384500000004</v>
      </c>
      <c r="AI634" s="97">
        <f>SUM(Y634+AG634)</f>
        <v>28.7</v>
      </c>
      <c r="AJ634" s="97">
        <f t="shared" ref="AJ634:AJ635" si="5124">SUM(Z634,AH634)</f>
        <v>963.8895</v>
      </c>
      <c r="AK634" s="97">
        <v>5.4189999999999996</v>
      </c>
      <c r="AL634" s="97">
        <f t="shared" ref="AL634:AL635" si="5125">N634*AK634/1000</f>
        <v>181.99711499999998</v>
      </c>
      <c r="AM634" s="97">
        <v>5.3730000000000002</v>
      </c>
      <c r="AN634" s="97">
        <f t="shared" ref="AN634:AN635" si="5126">N634*AM634/1000</f>
        <v>180.45220500000002</v>
      </c>
      <c r="AO634" s="97">
        <v>4.3879999999999999</v>
      </c>
      <c r="AP634" s="97">
        <f t="shared" ref="AP634:AP635" si="5127">N634*AO634/1000</f>
        <v>147.37098</v>
      </c>
      <c r="AQ634" s="97">
        <f t="shared" si="5088"/>
        <v>15.18</v>
      </c>
      <c r="AR634" s="97">
        <f t="shared" si="5089"/>
        <v>509.82029999999997</v>
      </c>
      <c r="AS634" s="97">
        <v>5.5839999999999996</v>
      </c>
      <c r="AT634" s="97">
        <f t="shared" ref="AT634:AT635" si="5128">P634*AS634/1000</f>
        <v>187.53863999999999</v>
      </c>
      <c r="AU634" s="97">
        <v>3.6989999999999998</v>
      </c>
      <c r="AV634" s="97">
        <f t="shared" ref="AV634:AV635" si="5129">P634*AU634/1000</f>
        <v>124.230915</v>
      </c>
      <c r="AW634" s="97">
        <v>4.9400000000000004</v>
      </c>
      <c r="AX634" s="97">
        <f t="shared" ref="AX634:AX635" si="5130">P634*AW634/1000</f>
        <v>165.90990000000002</v>
      </c>
      <c r="AY634" s="97">
        <f t="shared" si="5090"/>
        <v>14.222999999999999</v>
      </c>
      <c r="AZ634" s="97">
        <f t="shared" si="5091"/>
        <v>477.67945499999996</v>
      </c>
      <c r="BA634" s="97">
        <f>SUM(AQ634+AY634)</f>
        <v>29.402999999999999</v>
      </c>
      <c r="BB634" s="97">
        <f t="shared" ref="BB634:BB635" si="5131">SUM(AR634,AZ634)</f>
        <v>987.49975499999994</v>
      </c>
    </row>
    <row r="635" spans="1:54">
      <c r="A635" s="498">
        <v>420</v>
      </c>
      <c r="B635" s="13"/>
      <c r="C635" s="13"/>
      <c r="D635" s="15"/>
      <c r="E635" s="21" t="s">
        <v>1426</v>
      </c>
      <c r="F635" s="46"/>
      <c r="G635" s="46" t="s">
        <v>1105</v>
      </c>
      <c r="H635" s="268" t="s">
        <v>366</v>
      </c>
      <c r="I635" s="55"/>
      <c r="J635" s="163">
        <v>34489</v>
      </c>
      <c r="K635" s="55"/>
      <c r="L635" s="163">
        <v>34489</v>
      </c>
      <c r="M635" s="55"/>
      <c r="N635" s="163">
        <v>34489</v>
      </c>
      <c r="O635" s="55"/>
      <c r="P635" s="163">
        <v>34489</v>
      </c>
      <c r="Q635" s="97">
        <f t="shared" si="5116"/>
        <v>28.637</v>
      </c>
      <c r="R635" s="342">
        <f t="shared" si="5117"/>
        <v>987.66149300000006</v>
      </c>
      <c r="S635" s="97">
        <v>2.8079999999999998</v>
      </c>
      <c r="T635" s="97">
        <f t="shared" si="5118"/>
        <v>96.845112</v>
      </c>
      <c r="U635" s="97">
        <v>1.8720000000000001</v>
      </c>
      <c r="V635" s="97">
        <f t="shared" si="5119"/>
        <v>64.56340800000001</v>
      </c>
      <c r="W635" s="97">
        <v>2.34</v>
      </c>
      <c r="X635" s="97">
        <f t="shared" si="5120"/>
        <v>80.704259999999991</v>
      </c>
      <c r="Y635" s="97">
        <f t="shared" si="5084"/>
        <v>7.02</v>
      </c>
      <c r="Z635" s="97">
        <f t="shared" si="5085"/>
        <v>242.11277999999999</v>
      </c>
      <c r="AA635" s="97">
        <v>8.4239999999999995</v>
      </c>
      <c r="AB635" s="97">
        <f t="shared" si="5121"/>
        <v>290.53533600000003</v>
      </c>
      <c r="AC635" s="97">
        <v>2.16</v>
      </c>
      <c r="AD635" s="97">
        <f t="shared" si="5122"/>
        <v>74.49624</v>
      </c>
      <c r="AE635" s="97">
        <v>1.0999999999999999E-2</v>
      </c>
      <c r="AF635" s="97">
        <f t="shared" si="5123"/>
        <v>0.37937899999999997</v>
      </c>
      <c r="AG635" s="97">
        <f t="shared" si="5086"/>
        <v>10.594999999999999</v>
      </c>
      <c r="AH635" s="97">
        <f t="shared" si="5087"/>
        <v>365.410955</v>
      </c>
      <c r="AI635" s="97">
        <f t="shared" ref="AI635" si="5132">SUM(Y635+AG635)</f>
        <v>17.614999999999998</v>
      </c>
      <c r="AJ635" s="97">
        <f t="shared" si="5124"/>
        <v>607.52373499999999</v>
      </c>
      <c r="AK635" s="97">
        <v>0.69599999999999995</v>
      </c>
      <c r="AL635" s="97">
        <f t="shared" si="5125"/>
        <v>24.004343999999996</v>
      </c>
      <c r="AM635" s="97">
        <v>0.77600000000000002</v>
      </c>
      <c r="AN635" s="97">
        <f t="shared" si="5126"/>
        <v>26.763463999999999</v>
      </c>
      <c r="AO635" s="97">
        <v>3.2160000000000002</v>
      </c>
      <c r="AP635" s="97">
        <f t="shared" si="5127"/>
        <v>110.91662400000001</v>
      </c>
      <c r="AQ635" s="97">
        <f t="shared" si="5088"/>
        <v>4.6880000000000006</v>
      </c>
      <c r="AR635" s="97">
        <f t="shared" si="5089"/>
        <v>161.68443200000002</v>
      </c>
      <c r="AS635" s="97">
        <v>0.48599999999999999</v>
      </c>
      <c r="AT635" s="97">
        <f t="shared" si="5128"/>
        <v>16.761654</v>
      </c>
      <c r="AU635" s="97">
        <v>0.73199999999999998</v>
      </c>
      <c r="AV635" s="97">
        <f t="shared" si="5129"/>
        <v>25.245948000000002</v>
      </c>
      <c r="AW635" s="97">
        <v>5.1159999999999997</v>
      </c>
      <c r="AX635" s="97">
        <f t="shared" si="5130"/>
        <v>176.44572399999998</v>
      </c>
      <c r="AY635" s="97">
        <f t="shared" si="5090"/>
        <v>6.3339999999999996</v>
      </c>
      <c r="AZ635" s="97">
        <f t="shared" si="5091"/>
        <v>218.453326</v>
      </c>
      <c r="BA635" s="97">
        <f t="shared" ref="BA635" si="5133">SUM(AQ635+AY635)</f>
        <v>11.022</v>
      </c>
      <c r="BB635" s="97">
        <f t="shared" si="5131"/>
        <v>380.13775800000002</v>
      </c>
    </row>
    <row r="636" spans="1:54" ht="12" customHeight="1">
      <c r="A636" s="498">
        <v>426</v>
      </c>
      <c r="B636" s="13"/>
      <c r="C636" s="13"/>
      <c r="D636" s="13"/>
      <c r="E636" s="21" t="s">
        <v>1652</v>
      </c>
      <c r="F636" s="46"/>
      <c r="G636" s="46" t="s">
        <v>1105</v>
      </c>
      <c r="H636" s="268" t="s">
        <v>366</v>
      </c>
      <c r="I636" s="55"/>
      <c r="J636" s="163">
        <v>34739</v>
      </c>
      <c r="K636" s="55"/>
      <c r="L636" s="163">
        <v>34739</v>
      </c>
      <c r="M636" s="55"/>
      <c r="N636" s="163">
        <v>34739</v>
      </c>
      <c r="O636" s="55"/>
      <c r="P636" s="163">
        <v>34739</v>
      </c>
      <c r="Q636" s="97">
        <f>SUM(AI636+BA636)</f>
        <v>0.03</v>
      </c>
      <c r="R636" s="342">
        <f>SUM(AJ636+BB636)</f>
        <v>1.04217</v>
      </c>
      <c r="S636" s="97"/>
      <c r="T636" s="97">
        <f>J636*S636/1000</f>
        <v>0</v>
      </c>
      <c r="U636" s="97"/>
      <c r="V636" s="97">
        <f>J636*U636/1000</f>
        <v>0</v>
      </c>
      <c r="W636" s="97"/>
      <c r="X636" s="97">
        <f>J636*W636/1000</f>
        <v>0</v>
      </c>
      <c r="Y636" s="97">
        <f>SUM(S636+U636+W636)</f>
        <v>0</v>
      </c>
      <c r="Z636" s="97">
        <f>SUM(T636+V636+X636)</f>
        <v>0</v>
      </c>
      <c r="AA636" s="97"/>
      <c r="AB636" s="97">
        <f>L636*AA636/1000</f>
        <v>0</v>
      </c>
      <c r="AC636" s="97"/>
      <c r="AD636" s="97">
        <f>L636*AC636/1000</f>
        <v>0</v>
      </c>
      <c r="AE636" s="97"/>
      <c r="AF636" s="97">
        <f>L636*AE636/1000</f>
        <v>0</v>
      </c>
      <c r="AG636" s="97">
        <f>SUM(AA636+AC636+AE636)</f>
        <v>0</v>
      </c>
      <c r="AH636" s="97">
        <f>SUM(AB636+AD636+AF636)</f>
        <v>0</v>
      </c>
      <c r="AI636" s="97">
        <f>SUM(Y636+AG636)</f>
        <v>0</v>
      </c>
      <c r="AJ636" s="97">
        <f>SUM(Z636,AH636)</f>
        <v>0</v>
      </c>
      <c r="AK636" s="97"/>
      <c r="AL636" s="97">
        <f>N636*AK636/1000</f>
        <v>0</v>
      </c>
      <c r="AM636" s="97"/>
      <c r="AN636" s="97">
        <f>N636*AM636/1000</f>
        <v>0</v>
      </c>
      <c r="AO636" s="97">
        <v>0.03</v>
      </c>
      <c r="AP636" s="97">
        <f>N636*AO636/1000</f>
        <v>1.04217</v>
      </c>
      <c r="AQ636" s="97">
        <f>SUM(AK636+AM636+AO636)</f>
        <v>0.03</v>
      </c>
      <c r="AR636" s="97">
        <f>SUM(AL636+AN636+AP636)</f>
        <v>1.04217</v>
      </c>
      <c r="AS636" s="97"/>
      <c r="AT636" s="97">
        <f>P636*AS636/1000</f>
        <v>0</v>
      </c>
      <c r="AU636" s="97"/>
      <c r="AV636" s="97">
        <f>P636*AU636/1000</f>
        <v>0</v>
      </c>
      <c r="AW636" s="97"/>
      <c r="AX636" s="97">
        <f>P636*AW636/1000</f>
        <v>0</v>
      </c>
      <c r="AY636" s="97">
        <f>SUM(AS636+AU636+AW636)</f>
        <v>0</v>
      </c>
      <c r="AZ636" s="97">
        <f>SUM(AT636+AV636+AX636)</f>
        <v>0</v>
      </c>
      <c r="BA636" s="97">
        <f>SUM(AQ636+AY636)</f>
        <v>0.03</v>
      </c>
      <c r="BB636" s="97">
        <f>SUM(AR636,AZ636)</f>
        <v>1.04217</v>
      </c>
    </row>
    <row r="637" spans="1:54" ht="12" customHeight="1">
      <c r="A637" s="498">
        <v>426</v>
      </c>
      <c r="B637" s="13"/>
      <c r="C637" s="13"/>
      <c r="D637" s="13"/>
      <c r="E637" s="21" t="s">
        <v>1679</v>
      </c>
      <c r="F637" s="46"/>
      <c r="G637" s="46" t="s">
        <v>1105</v>
      </c>
      <c r="H637" s="268" t="s">
        <v>366</v>
      </c>
      <c r="I637" s="55"/>
      <c r="J637" s="163">
        <v>36107</v>
      </c>
      <c r="K637" s="55"/>
      <c r="L637" s="163">
        <v>36107</v>
      </c>
      <c r="M637" s="55"/>
      <c r="N637" s="163">
        <v>36107</v>
      </c>
      <c r="O637" s="55"/>
      <c r="P637" s="163">
        <v>37307</v>
      </c>
      <c r="Q637" s="97">
        <f>SUM(AI637+BA637)</f>
        <v>27.364000000000004</v>
      </c>
      <c r="R637" s="342">
        <f>SUM(AJ637+BB637)</f>
        <v>1001.4383479999999</v>
      </c>
      <c r="S637" s="97"/>
      <c r="T637" s="97">
        <f>J637*S637/1000</f>
        <v>0</v>
      </c>
      <c r="U637" s="97"/>
      <c r="V637" s="97">
        <f>J637*U637/1000</f>
        <v>0</v>
      </c>
      <c r="W637" s="97">
        <v>3.3479999999999999</v>
      </c>
      <c r="X637" s="97">
        <f>J637*W637/1000</f>
        <v>120.886236</v>
      </c>
      <c r="Y637" s="97">
        <f>SUM(S637+U637+W637)</f>
        <v>3.3479999999999999</v>
      </c>
      <c r="Z637" s="97">
        <f>SUM(T637+V637+X637)</f>
        <v>120.886236</v>
      </c>
      <c r="AA637" s="97">
        <v>4.0529999999999999</v>
      </c>
      <c r="AB637" s="97">
        <f>L637*AA637/1000</f>
        <v>146.34167099999999</v>
      </c>
      <c r="AC637" s="97">
        <v>2.5209999999999999</v>
      </c>
      <c r="AD637" s="97">
        <f>L637*AC637/1000</f>
        <v>91.02574700000001</v>
      </c>
      <c r="AE637" s="97">
        <v>0.68700000000000006</v>
      </c>
      <c r="AF637" s="97">
        <f>L637*AE637/1000</f>
        <v>24.805509000000001</v>
      </c>
      <c r="AG637" s="97">
        <f>SUM(AA637+AC637+AE637)</f>
        <v>7.2610000000000001</v>
      </c>
      <c r="AH637" s="97">
        <f>SUM(AB637+AD637+AF637)</f>
        <v>262.17292699999996</v>
      </c>
      <c r="AI637" s="97">
        <f>SUM(Y637+AG637)</f>
        <v>10.609</v>
      </c>
      <c r="AJ637" s="97">
        <f>SUM(Z637,AH637)</f>
        <v>383.05916299999996</v>
      </c>
      <c r="AK637" s="97">
        <v>1.248</v>
      </c>
      <c r="AL637" s="97">
        <f>N637*AK637/1000</f>
        <v>45.061535999999997</v>
      </c>
      <c r="AM637" s="97">
        <v>2.2890000000000001</v>
      </c>
      <c r="AN637" s="97">
        <f>N637*AM637/1000</f>
        <v>82.648923000000011</v>
      </c>
      <c r="AO637" s="97">
        <v>2.0459999999999998</v>
      </c>
      <c r="AP637" s="97">
        <f>N637*AO637/1000</f>
        <v>73.874921999999998</v>
      </c>
      <c r="AQ637" s="97">
        <f>SUM(AK637+AM637+AO637)</f>
        <v>5.5830000000000002</v>
      </c>
      <c r="AR637" s="97">
        <f>SUM(AL637+AN637+AP637)</f>
        <v>201.58538100000001</v>
      </c>
      <c r="AS637" s="97">
        <v>6.266</v>
      </c>
      <c r="AT637" s="97">
        <f>P637*AS637/1000</f>
        <v>233.76566200000002</v>
      </c>
      <c r="AU637" s="97">
        <v>2.8460000000000001</v>
      </c>
      <c r="AV637" s="97">
        <f>P637*AU637/1000</f>
        <v>106.17572200000001</v>
      </c>
      <c r="AW637" s="97">
        <v>2.06</v>
      </c>
      <c r="AX637" s="97">
        <f>P637*AW637/1000</f>
        <v>76.852419999999995</v>
      </c>
      <c r="AY637" s="97">
        <f>SUM(AS637+AU637+AW637)</f>
        <v>11.172000000000001</v>
      </c>
      <c r="AZ637" s="97">
        <f>SUM(AT637+AV637+AX637)</f>
        <v>416.79380400000002</v>
      </c>
      <c r="BA637" s="97">
        <f>SUM(AQ637+AY637)</f>
        <v>16.755000000000003</v>
      </c>
      <c r="BB637" s="97">
        <f>SUM(AR637,AZ637)</f>
        <v>618.37918500000001</v>
      </c>
    </row>
    <row r="638" spans="1:54">
      <c r="B638" s="13"/>
      <c r="C638" s="13"/>
      <c r="D638" s="13"/>
      <c r="E638" s="21" t="s">
        <v>1327</v>
      </c>
      <c r="F638" s="46"/>
      <c r="G638" s="425" t="s">
        <v>1102</v>
      </c>
      <c r="H638" s="284" t="s">
        <v>365</v>
      </c>
      <c r="I638" s="55"/>
      <c r="J638" s="163">
        <v>10289</v>
      </c>
      <c r="K638" s="55"/>
      <c r="L638" s="163">
        <v>10289</v>
      </c>
      <c r="M638" s="55"/>
      <c r="N638" s="163">
        <v>10289</v>
      </c>
      <c r="O638" s="55"/>
      <c r="P638" s="163">
        <v>10289</v>
      </c>
      <c r="Q638" s="97">
        <f t="shared" ref="Q638:Q640" si="5134">SUM(AI638+BA638)</f>
        <v>1.92</v>
      </c>
      <c r="R638" s="342">
        <f t="shared" ref="R638:R640" si="5135">SUM(AJ638+BB638)</f>
        <v>19.75488</v>
      </c>
      <c r="S638" s="97">
        <v>0.21099999999999999</v>
      </c>
      <c r="T638" s="97">
        <f t="shared" ref="T638:T640" si="5136">J638*S638/1000</f>
        <v>2.170979</v>
      </c>
      <c r="U638" s="97">
        <v>0.251</v>
      </c>
      <c r="V638" s="97">
        <f t="shared" ref="V638:V640" si="5137">J638*U638/1000</f>
        <v>2.5825390000000001</v>
      </c>
      <c r="W638" s="97">
        <v>0.14799999999999999</v>
      </c>
      <c r="X638" s="97">
        <f t="shared" ref="X638:X640" si="5138">J638*W638/1000</f>
        <v>1.522772</v>
      </c>
      <c r="Y638" s="97">
        <f t="shared" ref="Y638:Y640" si="5139">SUM(S638+U638+W638)</f>
        <v>0.61</v>
      </c>
      <c r="Z638" s="97">
        <f t="shared" ref="Z638:Z640" si="5140">SUM(T638+V638+X638)</f>
        <v>6.2762899999999995</v>
      </c>
      <c r="AA638" s="97">
        <v>0.49099999999999999</v>
      </c>
      <c r="AB638" s="97">
        <f t="shared" ref="AB638:AB640" si="5141">L638*AA638/1000</f>
        <v>5.0518990000000006</v>
      </c>
      <c r="AC638" s="97">
        <v>0.214</v>
      </c>
      <c r="AD638" s="97">
        <f t="shared" ref="AD638:AD640" si="5142">L638*AC638/1000</f>
        <v>2.2018460000000002</v>
      </c>
      <c r="AE638" s="97">
        <v>3.5999999999999997E-2</v>
      </c>
      <c r="AF638" s="97">
        <f t="shared" ref="AF638:AF640" si="5143">L638*AE638/1000</f>
        <v>0.37040400000000001</v>
      </c>
      <c r="AG638" s="97">
        <f t="shared" ref="AG638:AG640" si="5144">SUM(AA638+AC638+AE638)</f>
        <v>0.74099999999999999</v>
      </c>
      <c r="AH638" s="97">
        <f t="shared" ref="AH638:AH640" si="5145">SUM(AB638+AD638+AF638)</f>
        <v>7.6241490000000001</v>
      </c>
      <c r="AI638" s="97">
        <f t="shared" ref="AI638:AI640" si="5146">SUM(Y638+AG638)</f>
        <v>1.351</v>
      </c>
      <c r="AJ638" s="97">
        <f t="shared" ref="AJ638:AJ640" si="5147">SUM(Z638,AH638)</f>
        <v>13.900438999999999</v>
      </c>
      <c r="AK638" s="97">
        <v>0.157</v>
      </c>
      <c r="AL638" s="97">
        <f t="shared" ref="AL638:AL640" si="5148">N638*AK638/1000</f>
        <v>1.6153729999999999</v>
      </c>
      <c r="AM638" s="97">
        <v>4.8000000000000001E-2</v>
      </c>
      <c r="AN638" s="97">
        <f t="shared" ref="AN638:AN640" si="5149">N638*AM638/1000</f>
        <v>0.49387200000000003</v>
      </c>
      <c r="AO638" s="97">
        <v>2.4E-2</v>
      </c>
      <c r="AP638" s="97">
        <f t="shared" ref="AP638:AP640" si="5150">N638*AO638/1000</f>
        <v>0.24693600000000002</v>
      </c>
      <c r="AQ638" s="97">
        <f t="shared" ref="AQ638:AQ640" si="5151">SUM(AK638+AM638+AO638)</f>
        <v>0.22900000000000001</v>
      </c>
      <c r="AR638" s="97">
        <f t="shared" ref="AR638:AR640" si="5152">SUM(AL638+AN638+AP638)</f>
        <v>2.3561809999999999</v>
      </c>
      <c r="AS638" s="97">
        <v>0.19</v>
      </c>
      <c r="AT638" s="97">
        <f t="shared" ref="AT638:AT640" si="5153">P638*AS638/1000</f>
        <v>1.9549100000000001</v>
      </c>
      <c r="AU638" s="97">
        <v>0.1</v>
      </c>
      <c r="AV638" s="97">
        <f t="shared" ref="AV638:AV640" si="5154">P638*AU638/1000</f>
        <v>1.0289000000000001</v>
      </c>
      <c r="AW638" s="97">
        <v>0.05</v>
      </c>
      <c r="AX638" s="97">
        <f t="shared" ref="AX638:AX640" si="5155">P638*AW638/1000</f>
        <v>0.51445000000000007</v>
      </c>
      <c r="AY638" s="97">
        <f t="shared" ref="AY638:AY640" si="5156">SUM(AS638+AU638+AW638)</f>
        <v>0.34</v>
      </c>
      <c r="AZ638" s="97">
        <f t="shared" ref="AZ638:AZ640" si="5157">SUM(AT638+AV638+AX638)</f>
        <v>3.4982600000000001</v>
      </c>
      <c r="BA638" s="97">
        <f t="shared" ref="BA638:BA640" si="5158">SUM(AQ638+AY638)</f>
        <v>0.56900000000000006</v>
      </c>
      <c r="BB638" s="97">
        <f t="shared" ref="BB638:BB640" si="5159">SUM(AR638,AZ638)</f>
        <v>5.8544409999999996</v>
      </c>
    </row>
    <row r="639" spans="1:54">
      <c r="A639" s="498">
        <v>420</v>
      </c>
      <c r="B639" s="13"/>
      <c r="C639" s="13"/>
      <c r="D639" s="15"/>
      <c r="E639" s="21" t="s">
        <v>1499</v>
      </c>
      <c r="F639" s="46"/>
      <c r="G639" s="46" t="s">
        <v>1105</v>
      </c>
      <c r="H639" s="268" t="s">
        <v>366</v>
      </c>
      <c r="I639" s="55"/>
      <c r="J639" s="163">
        <v>10054</v>
      </c>
      <c r="K639" s="55"/>
      <c r="L639" s="163">
        <v>10054</v>
      </c>
      <c r="M639" s="55"/>
      <c r="N639" s="163">
        <v>10054</v>
      </c>
      <c r="O639" s="55"/>
      <c r="P639" s="163">
        <v>10160</v>
      </c>
      <c r="Q639" s="97">
        <f t="shared" si="5134"/>
        <v>0.01</v>
      </c>
      <c r="R639" s="342">
        <f t="shared" si="5135"/>
        <v>0.10054</v>
      </c>
      <c r="S639" s="97"/>
      <c r="T639" s="97">
        <f t="shared" si="5136"/>
        <v>0</v>
      </c>
      <c r="U639" s="97"/>
      <c r="V639" s="97">
        <f t="shared" si="5137"/>
        <v>0</v>
      </c>
      <c r="W639" s="97"/>
      <c r="X639" s="97">
        <f t="shared" si="5138"/>
        <v>0</v>
      </c>
      <c r="Y639" s="97">
        <f t="shared" si="5139"/>
        <v>0</v>
      </c>
      <c r="Z639" s="97">
        <f t="shared" si="5140"/>
        <v>0</v>
      </c>
      <c r="AA639" s="97"/>
      <c r="AB639" s="97">
        <f t="shared" si="5141"/>
        <v>0</v>
      </c>
      <c r="AC639" s="97"/>
      <c r="AD639" s="97">
        <f t="shared" si="5142"/>
        <v>0</v>
      </c>
      <c r="AE639" s="97"/>
      <c r="AF639" s="97">
        <f t="shared" si="5143"/>
        <v>0</v>
      </c>
      <c r="AG639" s="97">
        <f t="shared" si="5144"/>
        <v>0</v>
      </c>
      <c r="AH639" s="97">
        <f t="shared" si="5145"/>
        <v>0</v>
      </c>
      <c r="AI639" s="97">
        <f t="shared" si="5146"/>
        <v>0</v>
      </c>
      <c r="AJ639" s="97">
        <f t="shared" si="5147"/>
        <v>0</v>
      </c>
      <c r="AK639" s="97"/>
      <c r="AL639" s="97">
        <f t="shared" si="5148"/>
        <v>0</v>
      </c>
      <c r="AM639" s="97">
        <v>0.01</v>
      </c>
      <c r="AN639" s="97">
        <f t="shared" si="5149"/>
        <v>0.10054</v>
      </c>
      <c r="AO639" s="97"/>
      <c r="AP639" s="97">
        <f t="shared" si="5150"/>
        <v>0</v>
      </c>
      <c r="AQ639" s="97">
        <f t="shared" si="5151"/>
        <v>0.01</v>
      </c>
      <c r="AR639" s="97">
        <f t="shared" si="5152"/>
        <v>0.10054</v>
      </c>
      <c r="AS639" s="97"/>
      <c r="AT639" s="97">
        <f t="shared" si="5153"/>
        <v>0</v>
      </c>
      <c r="AU639" s="97"/>
      <c r="AV639" s="97">
        <f t="shared" si="5154"/>
        <v>0</v>
      </c>
      <c r="AW639" s="97"/>
      <c r="AX639" s="97">
        <f t="shared" si="5155"/>
        <v>0</v>
      </c>
      <c r="AY639" s="97">
        <f t="shared" si="5156"/>
        <v>0</v>
      </c>
      <c r="AZ639" s="97">
        <f t="shared" si="5157"/>
        <v>0</v>
      </c>
      <c r="BA639" s="97">
        <f t="shared" si="5158"/>
        <v>0.01</v>
      </c>
      <c r="BB639" s="97">
        <f t="shared" si="5159"/>
        <v>0.10054</v>
      </c>
    </row>
    <row r="640" spans="1:54">
      <c r="B640" s="13"/>
      <c r="C640" s="13"/>
      <c r="D640" s="13"/>
      <c r="E640" s="21" t="s">
        <v>1328</v>
      </c>
      <c r="F640" s="46"/>
      <c r="G640" s="425" t="s">
        <v>1102</v>
      </c>
      <c r="H640" s="284" t="s">
        <v>365</v>
      </c>
      <c r="I640" s="55"/>
      <c r="J640" s="163">
        <v>3093</v>
      </c>
      <c r="K640" s="55"/>
      <c r="L640" s="163">
        <v>3093</v>
      </c>
      <c r="M640" s="55"/>
      <c r="N640" s="163">
        <v>3093</v>
      </c>
      <c r="O640" s="55"/>
      <c r="P640" s="163">
        <v>3093</v>
      </c>
      <c r="Q640" s="97">
        <f t="shared" si="5134"/>
        <v>1.702</v>
      </c>
      <c r="R640" s="342">
        <f t="shared" si="5135"/>
        <v>5.2642860000000002</v>
      </c>
      <c r="S640" s="97">
        <v>0.21</v>
      </c>
      <c r="T640" s="97">
        <f t="shared" si="5136"/>
        <v>0.64952999999999994</v>
      </c>
      <c r="U640" s="97">
        <v>0.25</v>
      </c>
      <c r="V640" s="97">
        <f t="shared" si="5137"/>
        <v>0.77324999999999999</v>
      </c>
      <c r="W640" s="97">
        <v>0.13</v>
      </c>
      <c r="X640" s="97">
        <f t="shared" si="5138"/>
        <v>0.40209000000000006</v>
      </c>
      <c r="Y640" s="97">
        <f t="shared" si="5139"/>
        <v>0.59</v>
      </c>
      <c r="Z640" s="97">
        <f t="shared" si="5140"/>
        <v>1.82487</v>
      </c>
      <c r="AA640" s="97">
        <v>0.49</v>
      </c>
      <c r="AB640" s="97">
        <f t="shared" si="5141"/>
        <v>1.5155699999999999</v>
      </c>
      <c r="AC640" s="97">
        <v>0.2</v>
      </c>
      <c r="AD640" s="97">
        <f t="shared" si="5142"/>
        <v>0.61860000000000004</v>
      </c>
      <c r="AE640" s="97">
        <v>3.0000000000000001E-3</v>
      </c>
      <c r="AF640" s="97">
        <f t="shared" si="5143"/>
        <v>9.2789999999999991E-3</v>
      </c>
      <c r="AG640" s="97">
        <f t="shared" si="5144"/>
        <v>0.69299999999999995</v>
      </c>
      <c r="AH640" s="97">
        <f t="shared" si="5145"/>
        <v>2.1434489999999999</v>
      </c>
      <c r="AI640" s="97">
        <f t="shared" si="5146"/>
        <v>1.2829999999999999</v>
      </c>
      <c r="AJ640" s="97">
        <f t="shared" si="5147"/>
        <v>3.9683190000000002</v>
      </c>
      <c r="AK640" s="97">
        <v>0.10299999999999999</v>
      </c>
      <c r="AL640" s="97">
        <f t="shared" si="5148"/>
        <v>0.318579</v>
      </c>
      <c r="AM640" s="97">
        <v>1.6E-2</v>
      </c>
      <c r="AN640" s="97">
        <f t="shared" si="5149"/>
        <v>4.9487999999999997E-2</v>
      </c>
      <c r="AO640" s="97"/>
      <c r="AP640" s="97">
        <f t="shared" si="5150"/>
        <v>0</v>
      </c>
      <c r="AQ640" s="97">
        <f t="shared" si="5151"/>
        <v>0.11899999999999999</v>
      </c>
      <c r="AR640" s="97">
        <f t="shared" si="5152"/>
        <v>0.36806699999999998</v>
      </c>
      <c r="AS640" s="97">
        <v>0.15</v>
      </c>
      <c r="AT640" s="97">
        <f t="shared" si="5153"/>
        <v>0.46394999999999997</v>
      </c>
      <c r="AU640" s="97">
        <v>0.1</v>
      </c>
      <c r="AV640" s="97">
        <f t="shared" si="5154"/>
        <v>0.30930000000000002</v>
      </c>
      <c r="AW640" s="97">
        <v>0.05</v>
      </c>
      <c r="AX640" s="97">
        <f t="shared" si="5155"/>
        <v>0.15465000000000001</v>
      </c>
      <c r="AY640" s="97">
        <f t="shared" si="5156"/>
        <v>0.3</v>
      </c>
      <c r="AZ640" s="97">
        <f t="shared" si="5157"/>
        <v>0.92789999999999995</v>
      </c>
      <c r="BA640" s="97">
        <f t="shared" si="5158"/>
        <v>0.41899999999999998</v>
      </c>
      <c r="BB640" s="97">
        <f t="shared" si="5159"/>
        <v>1.2959669999999999</v>
      </c>
    </row>
    <row r="641" spans="1:54">
      <c r="A641" s="498">
        <v>420</v>
      </c>
      <c r="B641" s="13"/>
      <c r="C641" s="13"/>
      <c r="D641" s="15"/>
      <c r="E641" s="21" t="s">
        <v>1764</v>
      </c>
      <c r="F641" s="46"/>
      <c r="G641" s="46" t="s">
        <v>1105</v>
      </c>
      <c r="H641" s="268" t="s">
        <v>366</v>
      </c>
      <c r="I641" s="55"/>
      <c r="J641" s="163"/>
      <c r="K641" s="55"/>
      <c r="L641" s="163">
        <v>36349</v>
      </c>
      <c r="M641" s="55"/>
      <c r="N641" s="163">
        <v>36349</v>
      </c>
      <c r="O641" s="55"/>
      <c r="P641" s="163">
        <v>36349</v>
      </c>
      <c r="Q641" s="97">
        <f t="shared" ref="Q641" si="5160">SUM(AI641+BA641)</f>
        <v>1.3940000000000001</v>
      </c>
      <c r="R641" s="342">
        <f t="shared" ref="R641" si="5161">SUM(AJ641+BB641)</f>
        <v>50.670506000000003</v>
      </c>
      <c r="S641" s="97"/>
      <c r="T641" s="97">
        <f t="shared" ref="T641" si="5162">J641*S641/1000</f>
        <v>0</v>
      </c>
      <c r="U641" s="97"/>
      <c r="V641" s="97">
        <f t="shared" ref="V641" si="5163">J641*U641/1000</f>
        <v>0</v>
      </c>
      <c r="W641" s="97"/>
      <c r="X641" s="97">
        <f t="shared" ref="X641" si="5164">J641*W641/1000</f>
        <v>0</v>
      </c>
      <c r="Y641" s="97">
        <f t="shared" ref="Y641" si="5165">SUM(S641+U641+W641)</f>
        <v>0</v>
      </c>
      <c r="Z641" s="97">
        <f t="shared" ref="Z641" si="5166">SUM(T641+V641+X641)</f>
        <v>0</v>
      </c>
      <c r="AA641" s="97">
        <v>0.66</v>
      </c>
      <c r="AB641" s="97">
        <f t="shared" ref="AB641" si="5167">L641*AA641/1000</f>
        <v>23.99034</v>
      </c>
      <c r="AC641" s="97">
        <v>0.34</v>
      </c>
      <c r="AD641" s="97">
        <f t="shared" ref="AD641" si="5168">L641*AC641/1000</f>
        <v>12.358660000000002</v>
      </c>
      <c r="AE641" s="97">
        <v>0.39</v>
      </c>
      <c r="AF641" s="97">
        <f t="shared" ref="AF641" si="5169">L641*AE641/1000</f>
        <v>14.176110000000001</v>
      </c>
      <c r="AG641" s="97">
        <f t="shared" ref="AG641" si="5170">SUM(AA641+AC641+AE641)</f>
        <v>1.3900000000000001</v>
      </c>
      <c r="AH641" s="97">
        <f t="shared" ref="AH641" si="5171">SUM(AB641+AD641+AF641)</f>
        <v>50.525110000000005</v>
      </c>
      <c r="AI641" s="97">
        <f t="shared" ref="AI641" si="5172">SUM(Y641+AG641)</f>
        <v>1.3900000000000001</v>
      </c>
      <c r="AJ641" s="97">
        <f t="shared" ref="AJ641" si="5173">SUM(Z641,AH641)</f>
        <v>50.525110000000005</v>
      </c>
      <c r="AK641" s="97"/>
      <c r="AL641" s="97">
        <f t="shared" ref="AL641" si="5174">N641*AK641/1000</f>
        <v>0</v>
      </c>
      <c r="AM641" s="97"/>
      <c r="AN641" s="97">
        <f t="shared" ref="AN641" si="5175">N641*AM641/1000</f>
        <v>0</v>
      </c>
      <c r="AO641" s="97">
        <v>4.0000000000000001E-3</v>
      </c>
      <c r="AP641" s="97">
        <f t="shared" ref="AP641" si="5176">N641*AO641/1000</f>
        <v>0.14539600000000003</v>
      </c>
      <c r="AQ641" s="97">
        <f t="shared" ref="AQ641" si="5177">SUM(AK641+AM641+AO641)</f>
        <v>4.0000000000000001E-3</v>
      </c>
      <c r="AR641" s="97">
        <f t="shared" ref="AR641" si="5178">SUM(AL641+AN641+AP641)</f>
        <v>0.14539600000000003</v>
      </c>
      <c r="AS641" s="97"/>
      <c r="AT641" s="97">
        <f t="shared" ref="AT641" si="5179">P641*AS641/1000</f>
        <v>0</v>
      </c>
      <c r="AU641" s="97"/>
      <c r="AV641" s="97">
        <f t="shared" ref="AV641" si="5180">P641*AU641/1000</f>
        <v>0</v>
      </c>
      <c r="AW641" s="97"/>
      <c r="AX641" s="97">
        <f t="shared" ref="AX641" si="5181">P641*AW641/1000</f>
        <v>0</v>
      </c>
      <c r="AY641" s="97">
        <f t="shared" ref="AY641" si="5182">SUM(AS641+AU641+AW641)</f>
        <v>0</v>
      </c>
      <c r="AZ641" s="97">
        <f t="shared" ref="AZ641" si="5183">SUM(AT641+AV641+AX641)</f>
        <v>0</v>
      </c>
      <c r="BA641" s="97">
        <f t="shared" ref="BA641" si="5184">SUM(AQ641+AY641)</f>
        <v>4.0000000000000001E-3</v>
      </c>
      <c r="BB641" s="97">
        <f t="shared" ref="BB641" si="5185">SUM(AR641,AZ641)</f>
        <v>0.14539600000000003</v>
      </c>
    </row>
    <row r="642" spans="1:54">
      <c r="B642" s="13"/>
      <c r="C642" s="13"/>
      <c r="D642" s="13"/>
      <c r="E642" s="21" t="s">
        <v>1735</v>
      </c>
      <c r="F642" s="46"/>
      <c r="G642" s="425" t="s">
        <v>1102</v>
      </c>
      <c r="H642" s="284" t="s">
        <v>365</v>
      </c>
      <c r="I642" s="55"/>
      <c r="J642" s="163">
        <v>37307</v>
      </c>
      <c r="K642" s="55"/>
      <c r="L642" s="163">
        <v>37307</v>
      </c>
      <c r="M642" s="55"/>
      <c r="N642" s="163">
        <v>37307</v>
      </c>
      <c r="O642" s="55"/>
      <c r="P642" s="163">
        <v>34739</v>
      </c>
      <c r="Q642" s="97">
        <f t="shared" si="5074"/>
        <v>1.151</v>
      </c>
      <c r="R642" s="342">
        <f t="shared" si="5075"/>
        <v>42.940357000000006</v>
      </c>
      <c r="S642" s="97">
        <v>0.1</v>
      </c>
      <c r="T642" s="97">
        <f t="shared" si="4995"/>
        <v>3.7307000000000001</v>
      </c>
      <c r="U642" s="97">
        <v>0.33300000000000002</v>
      </c>
      <c r="V642" s="97">
        <f t="shared" si="4996"/>
        <v>12.423231000000001</v>
      </c>
      <c r="W642" s="97"/>
      <c r="X642" s="97">
        <f t="shared" si="4997"/>
        <v>0</v>
      </c>
      <c r="Y642" s="97">
        <f t="shared" ref="Y642" si="5186">SUM(S642+U642+W642)</f>
        <v>0.43300000000000005</v>
      </c>
      <c r="Z642" s="97">
        <f t="shared" ref="Z642" si="5187">SUM(T642+V642+X642)</f>
        <v>16.153931</v>
      </c>
      <c r="AA642" s="97">
        <v>1E-3</v>
      </c>
      <c r="AB642" s="97">
        <f t="shared" si="5000"/>
        <v>3.7307E-2</v>
      </c>
      <c r="AC642" s="97">
        <v>0.216</v>
      </c>
      <c r="AD642" s="97">
        <f t="shared" si="5001"/>
        <v>8.058311999999999</v>
      </c>
      <c r="AE642" s="97">
        <v>0.251</v>
      </c>
      <c r="AF642" s="97">
        <f t="shared" si="5017"/>
        <v>9.3640570000000007</v>
      </c>
      <c r="AG642" s="97">
        <f t="shared" ref="AG642" si="5188">SUM(AA642+AC642+AE642)</f>
        <v>0.46799999999999997</v>
      </c>
      <c r="AH642" s="97">
        <f t="shared" ref="AH642" si="5189">SUM(AB642+AD642+AF642)</f>
        <v>17.459676000000002</v>
      </c>
      <c r="AI642" s="97">
        <f t="shared" si="5003"/>
        <v>0.90100000000000002</v>
      </c>
      <c r="AJ642" s="97">
        <f t="shared" si="5004"/>
        <v>33.613607000000002</v>
      </c>
      <c r="AK642" s="97"/>
      <c r="AL642" s="97">
        <f t="shared" si="5005"/>
        <v>0</v>
      </c>
      <c r="AM642" s="97"/>
      <c r="AN642" s="97">
        <f t="shared" si="5080"/>
        <v>0</v>
      </c>
      <c r="AO642" s="97">
        <v>0.25</v>
      </c>
      <c r="AP642" s="97">
        <f t="shared" si="5007"/>
        <v>9.3267500000000005</v>
      </c>
      <c r="AQ642" s="97">
        <f t="shared" ref="AQ642" si="5190">SUM(AK642+AM642+AO642)</f>
        <v>0.25</v>
      </c>
      <c r="AR642" s="97">
        <f t="shared" ref="AR642" si="5191">SUM(AL642+AN642+AP642)</f>
        <v>9.3267500000000005</v>
      </c>
      <c r="AS642" s="97"/>
      <c r="AT642" s="97">
        <f t="shared" si="5010"/>
        <v>0</v>
      </c>
      <c r="AU642" s="97"/>
      <c r="AV642" s="97">
        <f t="shared" si="5083"/>
        <v>0</v>
      </c>
      <c r="AW642" s="97"/>
      <c r="AX642" s="97">
        <f t="shared" si="5012"/>
        <v>0</v>
      </c>
      <c r="AY642" s="97">
        <f t="shared" ref="AY642" si="5192">SUM(AS642+AU642+AW642)</f>
        <v>0</v>
      </c>
      <c r="AZ642" s="97">
        <f t="shared" ref="AZ642" si="5193">SUM(AT642+AV642+AX642)</f>
        <v>0</v>
      </c>
      <c r="BA642" s="97">
        <f t="shared" si="5015"/>
        <v>0.25</v>
      </c>
      <c r="BB642" s="97">
        <f t="shared" si="5016"/>
        <v>9.3267500000000005</v>
      </c>
    </row>
    <row r="643" spans="1:54">
      <c r="A643" s="498"/>
      <c r="B643" s="13"/>
      <c r="C643" s="23"/>
      <c r="D643" s="13"/>
      <c r="E643" s="21" t="s">
        <v>1179</v>
      </c>
      <c r="F643" s="46"/>
      <c r="G643" s="46" t="s">
        <v>1105</v>
      </c>
      <c r="H643" s="268" t="s">
        <v>366</v>
      </c>
      <c r="I643" s="55"/>
      <c r="J643" s="163">
        <v>13910</v>
      </c>
      <c r="K643" s="55"/>
      <c r="L643" s="163">
        <v>13910</v>
      </c>
      <c r="M643" s="55"/>
      <c r="N643" s="163">
        <v>13910</v>
      </c>
      <c r="O643" s="55"/>
      <c r="P643" s="163">
        <v>13910</v>
      </c>
      <c r="Q643" s="97">
        <f t="shared" si="4388"/>
        <v>3.6999999999999998E-2</v>
      </c>
      <c r="R643" s="342">
        <f t="shared" si="4389"/>
        <v>0.51466999999999996</v>
      </c>
      <c r="S643" s="97">
        <v>3.0000000000000001E-3</v>
      </c>
      <c r="T643" s="97">
        <f>J643*S643/1000</f>
        <v>4.1730000000000003E-2</v>
      </c>
      <c r="U643" s="97">
        <v>6.0000000000000001E-3</v>
      </c>
      <c r="V643" s="97">
        <f t="shared" si="4391"/>
        <v>8.3460000000000006E-2</v>
      </c>
      <c r="W643" s="97">
        <v>3.0000000000000001E-3</v>
      </c>
      <c r="X643" s="97">
        <f t="shared" si="4392"/>
        <v>4.1730000000000003E-2</v>
      </c>
      <c r="Y643" s="97">
        <f t="shared" si="4393"/>
        <v>1.2E-2</v>
      </c>
      <c r="Z643" s="97">
        <f t="shared" si="4394"/>
        <v>0.16692000000000001</v>
      </c>
      <c r="AA643" s="97">
        <v>3.0000000000000001E-3</v>
      </c>
      <c r="AB643" s="97">
        <f t="shared" si="4395"/>
        <v>4.1730000000000003E-2</v>
      </c>
      <c r="AC643" s="97"/>
      <c r="AD643" s="97">
        <f t="shared" si="4396"/>
        <v>0</v>
      </c>
      <c r="AE643" s="97"/>
      <c r="AF643" s="97">
        <f t="shared" si="4412"/>
        <v>0</v>
      </c>
      <c r="AG643" s="97">
        <f t="shared" si="4397"/>
        <v>3.0000000000000001E-3</v>
      </c>
      <c r="AH643" s="97">
        <f t="shared" si="4398"/>
        <v>4.1730000000000003E-2</v>
      </c>
      <c r="AI643" s="97">
        <f t="shared" si="4399"/>
        <v>1.4999999999999999E-2</v>
      </c>
      <c r="AJ643" s="97">
        <f t="shared" si="4400"/>
        <v>0.20865</v>
      </c>
      <c r="AK643" s="97">
        <v>3.0000000000000001E-3</v>
      </c>
      <c r="AL643" s="97">
        <f t="shared" si="4401"/>
        <v>4.1730000000000003E-2</v>
      </c>
      <c r="AM643" s="97"/>
      <c r="AN643" s="97">
        <f t="shared" si="4402"/>
        <v>0</v>
      </c>
      <c r="AO643" s="97">
        <v>1.2999999999999999E-2</v>
      </c>
      <c r="AP643" s="97">
        <f t="shared" si="4403"/>
        <v>0.18082999999999999</v>
      </c>
      <c r="AQ643" s="97">
        <f t="shared" si="4404"/>
        <v>1.6E-2</v>
      </c>
      <c r="AR643" s="97">
        <f t="shared" si="4405"/>
        <v>0.22255999999999998</v>
      </c>
      <c r="AS643" s="97">
        <v>3.0000000000000001E-3</v>
      </c>
      <c r="AT643" s="97">
        <f t="shared" si="4413"/>
        <v>4.1730000000000003E-2</v>
      </c>
      <c r="AU643" s="97"/>
      <c r="AV643" s="97">
        <f t="shared" si="4406"/>
        <v>0</v>
      </c>
      <c r="AW643" s="97">
        <v>3.0000000000000001E-3</v>
      </c>
      <c r="AX643" s="97">
        <f t="shared" si="4407"/>
        <v>4.1730000000000003E-2</v>
      </c>
      <c r="AY643" s="97">
        <f t="shared" si="4408"/>
        <v>6.0000000000000001E-3</v>
      </c>
      <c r="AZ643" s="97">
        <f t="shared" si="4409"/>
        <v>8.3460000000000006E-2</v>
      </c>
      <c r="BA643" s="97">
        <f t="shared" si="4410"/>
        <v>2.1999999999999999E-2</v>
      </c>
      <c r="BB643" s="97">
        <f t="shared" si="4411"/>
        <v>0.30601999999999996</v>
      </c>
    </row>
    <row r="644" spans="1:54">
      <c r="A644" s="498">
        <v>439</v>
      </c>
      <c r="B644" s="13"/>
      <c r="C644" s="23"/>
      <c r="D644" s="71"/>
      <c r="E644" s="329" t="s">
        <v>337</v>
      </c>
      <c r="F644" s="236"/>
      <c r="G644" s="236"/>
      <c r="H644" s="269"/>
      <c r="I644" s="74"/>
      <c r="J644" s="115"/>
      <c r="K644" s="74"/>
      <c r="L644" s="171"/>
      <c r="M644" s="74"/>
      <c r="N644" s="171"/>
      <c r="O644" s="152"/>
      <c r="P644" s="171"/>
      <c r="Q644" s="123">
        <f t="shared" ref="Q644:BB644" si="5194">SUM(Q541:Q643)</f>
        <v>1444.8250000000005</v>
      </c>
      <c r="R644" s="123">
        <f t="shared" si="5194"/>
        <v>25251.306280000004</v>
      </c>
      <c r="S644" s="123">
        <f t="shared" si="5194"/>
        <v>98.884</v>
      </c>
      <c r="T644" s="123">
        <f t="shared" si="5194"/>
        <v>1823.9573279999997</v>
      </c>
      <c r="U644" s="123">
        <f t="shared" si="5194"/>
        <v>113.26900000000003</v>
      </c>
      <c r="V644" s="123">
        <f t="shared" si="5194"/>
        <v>1905.380539</v>
      </c>
      <c r="W644" s="123">
        <f t="shared" si="5194"/>
        <v>126.88299999999998</v>
      </c>
      <c r="X644" s="123">
        <f t="shared" si="5194"/>
        <v>2249.1783150000001</v>
      </c>
      <c r="Y644" s="123">
        <f t="shared" si="5194"/>
        <v>339.03599999999994</v>
      </c>
      <c r="Z644" s="123">
        <f t="shared" si="5194"/>
        <v>5978.5161820000003</v>
      </c>
      <c r="AA644" s="123">
        <f t="shared" si="5194"/>
        <v>145.90699999999998</v>
      </c>
      <c r="AB644" s="123">
        <f t="shared" si="5194"/>
        <v>2677.7093050000003</v>
      </c>
      <c r="AC644" s="123">
        <f t="shared" si="5194"/>
        <v>144.44899999999998</v>
      </c>
      <c r="AD644" s="123">
        <f t="shared" si="5194"/>
        <v>2857.6992829999995</v>
      </c>
      <c r="AE644" s="123">
        <f t="shared" si="5194"/>
        <v>120.62100000000001</v>
      </c>
      <c r="AF644" s="123">
        <f t="shared" si="5194"/>
        <v>2168.9811219999992</v>
      </c>
      <c r="AG644" s="123">
        <f t="shared" si="5194"/>
        <v>410.97700000000003</v>
      </c>
      <c r="AH644" s="123">
        <f t="shared" si="5194"/>
        <v>7704.3897100000004</v>
      </c>
      <c r="AI644" s="123">
        <f t="shared" si="5194"/>
        <v>750.01300000000015</v>
      </c>
      <c r="AJ644" s="123">
        <f t="shared" si="5194"/>
        <v>13682.905891999997</v>
      </c>
      <c r="AK644" s="123">
        <f t="shared" si="5194"/>
        <v>126.30500000000001</v>
      </c>
      <c r="AL644" s="123">
        <f t="shared" si="5194"/>
        <v>2330.9688310000006</v>
      </c>
      <c r="AM644" s="123">
        <f t="shared" si="5194"/>
        <v>128.364</v>
      </c>
      <c r="AN644" s="123">
        <f t="shared" si="5194"/>
        <v>2153.3164450000008</v>
      </c>
      <c r="AO644" s="123">
        <f t="shared" si="5194"/>
        <v>105.60600000000001</v>
      </c>
      <c r="AP644" s="123">
        <f t="shared" si="5194"/>
        <v>1855.0266439999996</v>
      </c>
      <c r="AQ644" s="123">
        <f t="shared" si="5194"/>
        <v>360.27499999999998</v>
      </c>
      <c r="AR644" s="123">
        <f t="shared" si="5194"/>
        <v>6339.3119200000019</v>
      </c>
      <c r="AS644" s="123">
        <f t="shared" si="5194"/>
        <v>126.26200000000001</v>
      </c>
      <c r="AT644" s="123">
        <f t="shared" si="5194"/>
        <v>2188.8845780000001</v>
      </c>
      <c r="AU644" s="123">
        <f t="shared" si="5194"/>
        <v>106.45</v>
      </c>
      <c r="AV644" s="123">
        <f t="shared" si="5194"/>
        <v>1457.8508119999999</v>
      </c>
      <c r="AW644" s="123">
        <f t="shared" si="5194"/>
        <v>101.82500000000002</v>
      </c>
      <c r="AX644" s="123">
        <f t="shared" si="5194"/>
        <v>1582.3530779999999</v>
      </c>
      <c r="AY644" s="123">
        <f t="shared" si="5194"/>
        <v>334.53699999999986</v>
      </c>
      <c r="AZ644" s="123">
        <f t="shared" si="5194"/>
        <v>5229.088467999999</v>
      </c>
      <c r="BA644" s="123">
        <f t="shared" si="5194"/>
        <v>694.81200000000001</v>
      </c>
      <c r="BB644" s="123">
        <f t="shared" si="5194"/>
        <v>11568.400388000002</v>
      </c>
    </row>
    <row r="645" spans="1:54">
      <c r="A645" s="498">
        <v>440</v>
      </c>
      <c r="B645" s="13"/>
      <c r="C645" s="13"/>
      <c r="D645" s="53" t="s">
        <v>225</v>
      </c>
      <c r="E645" s="31" t="s">
        <v>817</v>
      </c>
      <c r="F645" s="314"/>
      <c r="G645" s="314" t="s">
        <v>1105</v>
      </c>
      <c r="H645" s="274" t="s">
        <v>366</v>
      </c>
      <c r="I645" s="62"/>
      <c r="J645" s="164">
        <v>4820</v>
      </c>
      <c r="K645" s="62"/>
      <c r="L645" s="164">
        <v>4820</v>
      </c>
      <c r="M645" s="62"/>
      <c r="N645" s="164">
        <v>4820</v>
      </c>
      <c r="O645" s="62"/>
      <c r="P645" s="164">
        <v>4820</v>
      </c>
      <c r="Q645" s="122">
        <f t="shared" si="4388"/>
        <v>0</v>
      </c>
      <c r="R645" s="346">
        <f t="shared" si="4389"/>
        <v>0</v>
      </c>
      <c r="S645" s="122"/>
      <c r="T645" s="122">
        <f t="shared" si="4390"/>
        <v>0</v>
      </c>
      <c r="U645" s="122"/>
      <c r="V645" s="122">
        <f t="shared" si="4391"/>
        <v>0</v>
      </c>
      <c r="W645" s="122"/>
      <c r="X645" s="122">
        <f t="shared" si="4392"/>
        <v>0</v>
      </c>
      <c r="Y645" s="122">
        <f t="shared" si="4393"/>
        <v>0</v>
      </c>
      <c r="Z645" s="122">
        <f t="shared" si="4394"/>
        <v>0</v>
      </c>
      <c r="AA645" s="122"/>
      <c r="AB645" s="122">
        <f t="shared" si="4395"/>
        <v>0</v>
      </c>
      <c r="AC645" s="122"/>
      <c r="AD645" s="122">
        <f t="shared" si="4396"/>
        <v>0</v>
      </c>
      <c r="AE645" s="122"/>
      <c r="AF645" s="122">
        <f t="shared" si="4412"/>
        <v>0</v>
      </c>
      <c r="AG645" s="122">
        <f t="shared" si="4397"/>
        <v>0</v>
      </c>
      <c r="AH645" s="122">
        <f t="shared" si="4398"/>
        <v>0</v>
      </c>
      <c r="AI645" s="122">
        <f t="shared" si="4399"/>
        <v>0</v>
      </c>
      <c r="AJ645" s="122">
        <f t="shared" si="4400"/>
        <v>0</v>
      </c>
      <c r="AK645" s="122"/>
      <c r="AL645" s="122">
        <f t="shared" si="4401"/>
        <v>0</v>
      </c>
      <c r="AM645" s="122"/>
      <c r="AN645" s="122">
        <f t="shared" si="4402"/>
        <v>0</v>
      </c>
      <c r="AO645" s="122"/>
      <c r="AP645" s="122">
        <f t="shared" si="4403"/>
        <v>0</v>
      </c>
      <c r="AQ645" s="122">
        <f t="shared" si="4404"/>
        <v>0</v>
      </c>
      <c r="AR645" s="122">
        <f t="shared" si="4405"/>
        <v>0</v>
      </c>
      <c r="AS645" s="122"/>
      <c r="AT645" s="122">
        <f t="shared" si="4413"/>
        <v>0</v>
      </c>
      <c r="AU645" s="122"/>
      <c r="AV645" s="122">
        <f t="shared" si="4406"/>
        <v>0</v>
      </c>
      <c r="AW645" s="122"/>
      <c r="AX645" s="122">
        <f t="shared" si="4407"/>
        <v>0</v>
      </c>
      <c r="AY645" s="122">
        <f t="shared" si="4408"/>
        <v>0</v>
      </c>
      <c r="AZ645" s="122">
        <f t="shared" si="4409"/>
        <v>0</v>
      </c>
      <c r="BA645" s="122">
        <f t="shared" si="4410"/>
        <v>0</v>
      </c>
      <c r="BB645" s="122">
        <f t="shared" si="4411"/>
        <v>0</v>
      </c>
    </row>
    <row r="646" spans="1:54">
      <c r="A646" s="498">
        <v>441</v>
      </c>
      <c r="B646" s="13"/>
      <c r="C646" s="13"/>
      <c r="D646" s="13"/>
      <c r="E646" s="21" t="s">
        <v>226</v>
      </c>
      <c r="F646" s="46"/>
      <c r="G646" s="46" t="s">
        <v>1105</v>
      </c>
      <c r="H646" s="268" t="s">
        <v>365</v>
      </c>
      <c r="I646" s="55"/>
      <c r="J646" s="163">
        <v>4680</v>
      </c>
      <c r="K646" s="55"/>
      <c r="L646" s="163">
        <v>4680</v>
      </c>
      <c r="M646" s="55"/>
      <c r="N646" s="163">
        <v>4680</v>
      </c>
      <c r="O646" s="55"/>
      <c r="P646" s="163">
        <v>4680</v>
      </c>
      <c r="Q646" s="97">
        <f t="shared" si="4388"/>
        <v>0</v>
      </c>
      <c r="R646" s="342">
        <f t="shared" si="4389"/>
        <v>0</v>
      </c>
      <c r="S646" s="97"/>
      <c r="T646" s="97">
        <f t="shared" si="4390"/>
        <v>0</v>
      </c>
      <c r="U646" s="97"/>
      <c r="V646" s="97">
        <f t="shared" si="4391"/>
        <v>0</v>
      </c>
      <c r="W646" s="97"/>
      <c r="X646" s="97">
        <f t="shared" si="4392"/>
        <v>0</v>
      </c>
      <c r="Y646" s="97">
        <f t="shared" si="4393"/>
        <v>0</v>
      </c>
      <c r="Z646" s="97">
        <f t="shared" si="4394"/>
        <v>0</v>
      </c>
      <c r="AA646" s="97"/>
      <c r="AB646" s="97">
        <f t="shared" si="4395"/>
        <v>0</v>
      </c>
      <c r="AC646" s="97"/>
      <c r="AD646" s="97">
        <f t="shared" si="4396"/>
        <v>0</v>
      </c>
      <c r="AE646" s="97"/>
      <c r="AF646" s="97">
        <f t="shared" si="4412"/>
        <v>0</v>
      </c>
      <c r="AG646" s="97">
        <f t="shared" si="4397"/>
        <v>0</v>
      </c>
      <c r="AH646" s="97">
        <f t="shared" si="4398"/>
        <v>0</v>
      </c>
      <c r="AI646" s="97">
        <f t="shared" si="4399"/>
        <v>0</v>
      </c>
      <c r="AJ646" s="97">
        <f t="shared" si="4400"/>
        <v>0</v>
      </c>
      <c r="AK646" s="97"/>
      <c r="AL646" s="97">
        <f t="shared" si="4401"/>
        <v>0</v>
      </c>
      <c r="AM646" s="97"/>
      <c r="AN646" s="97">
        <f t="shared" si="4402"/>
        <v>0</v>
      </c>
      <c r="AO646" s="97"/>
      <c r="AP646" s="97">
        <f t="shared" si="4403"/>
        <v>0</v>
      </c>
      <c r="AQ646" s="97">
        <f t="shared" si="4404"/>
        <v>0</v>
      </c>
      <c r="AR646" s="97">
        <f t="shared" si="4405"/>
        <v>0</v>
      </c>
      <c r="AS646" s="97"/>
      <c r="AT646" s="97">
        <f t="shared" si="4413"/>
        <v>0</v>
      </c>
      <c r="AU646" s="97"/>
      <c r="AV646" s="97">
        <f t="shared" si="4406"/>
        <v>0</v>
      </c>
      <c r="AW646" s="97"/>
      <c r="AX646" s="97">
        <f t="shared" si="4407"/>
        <v>0</v>
      </c>
      <c r="AY646" s="97">
        <f t="shared" si="4408"/>
        <v>0</v>
      </c>
      <c r="AZ646" s="97">
        <f t="shared" si="4409"/>
        <v>0</v>
      </c>
      <c r="BA646" s="97">
        <f t="shared" si="4410"/>
        <v>0</v>
      </c>
      <c r="BB646" s="97">
        <f t="shared" si="4411"/>
        <v>0</v>
      </c>
    </row>
    <row r="647" spans="1:54">
      <c r="A647" s="498">
        <v>443</v>
      </c>
      <c r="B647" s="13"/>
      <c r="C647" s="13"/>
      <c r="D647" s="13"/>
      <c r="E647" s="21" t="s">
        <v>1180</v>
      </c>
      <c r="F647" s="46"/>
      <c r="G647" s="46" t="s">
        <v>1105</v>
      </c>
      <c r="H647" s="268" t="s">
        <v>365</v>
      </c>
      <c r="I647" s="55"/>
      <c r="J647" s="163">
        <v>17137</v>
      </c>
      <c r="K647" s="55"/>
      <c r="L647" s="163">
        <v>17159</v>
      </c>
      <c r="M647" s="55"/>
      <c r="N647" s="163">
        <v>17159</v>
      </c>
      <c r="O647" s="55"/>
      <c r="P647" s="163">
        <v>17159</v>
      </c>
      <c r="Q647" s="97">
        <f t="shared" si="4388"/>
        <v>3.7649999999999997</v>
      </c>
      <c r="R647" s="342">
        <f t="shared" si="4389"/>
        <v>64.580754999999996</v>
      </c>
      <c r="S647" s="97"/>
      <c r="T647" s="97">
        <f>J647*S647/1000</f>
        <v>0</v>
      </c>
      <c r="U647" s="97">
        <v>0.57999999999999996</v>
      </c>
      <c r="V647" s="97">
        <f t="shared" si="4391"/>
        <v>9.9394599999999986</v>
      </c>
      <c r="W647" s="97">
        <v>0.46</v>
      </c>
      <c r="X647" s="97">
        <f t="shared" si="4392"/>
        <v>7.8830200000000001</v>
      </c>
      <c r="Y647" s="97">
        <f t="shared" si="4393"/>
        <v>1.04</v>
      </c>
      <c r="Z647" s="97">
        <f t="shared" si="4394"/>
        <v>17.822479999999999</v>
      </c>
      <c r="AA647" s="97">
        <v>0.18</v>
      </c>
      <c r="AB647" s="97">
        <f t="shared" si="4395"/>
        <v>3.0886199999999997</v>
      </c>
      <c r="AC647" s="97">
        <v>0.34</v>
      </c>
      <c r="AD647" s="97">
        <f>L647*AC647/1000</f>
        <v>5.83406</v>
      </c>
      <c r="AE647" s="97">
        <v>0.24</v>
      </c>
      <c r="AF647" s="97">
        <f t="shared" si="4412"/>
        <v>4.1181599999999996</v>
      </c>
      <c r="AG647" s="97">
        <f t="shared" si="4397"/>
        <v>0.76</v>
      </c>
      <c r="AH647" s="97">
        <f t="shared" si="4398"/>
        <v>13.040839999999999</v>
      </c>
      <c r="AI647" s="97">
        <f t="shared" si="4399"/>
        <v>1.8</v>
      </c>
      <c r="AJ647" s="97">
        <f t="shared" si="4400"/>
        <v>30.863319999999998</v>
      </c>
      <c r="AK647" s="97">
        <v>0.24</v>
      </c>
      <c r="AL647" s="97">
        <f t="shared" si="4401"/>
        <v>4.1181599999999996</v>
      </c>
      <c r="AM647" s="97">
        <v>0.64500000000000002</v>
      </c>
      <c r="AN647" s="97">
        <f>N647*AM647/1000</f>
        <v>11.067555</v>
      </c>
      <c r="AO647" s="97">
        <v>0.18</v>
      </c>
      <c r="AP647" s="97">
        <f t="shared" si="4403"/>
        <v>3.0886199999999997</v>
      </c>
      <c r="AQ647" s="97">
        <f t="shared" si="4404"/>
        <v>1.0649999999999999</v>
      </c>
      <c r="AR647" s="97">
        <f t="shared" si="4405"/>
        <v>18.274335000000001</v>
      </c>
      <c r="AS647" s="97">
        <v>0.42</v>
      </c>
      <c r="AT647" s="97">
        <f t="shared" si="4413"/>
        <v>7.2067800000000002</v>
      </c>
      <c r="AU647" s="97">
        <v>0.24</v>
      </c>
      <c r="AV647" s="97">
        <f>P647*AU647/1000</f>
        <v>4.1181599999999996</v>
      </c>
      <c r="AW647" s="97">
        <v>0.24</v>
      </c>
      <c r="AX647" s="97">
        <f t="shared" si="4407"/>
        <v>4.1181599999999996</v>
      </c>
      <c r="AY647" s="97">
        <f t="shared" si="4408"/>
        <v>0.89999999999999991</v>
      </c>
      <c r="AZ647" s="97">
        <f t="shared" si="4409"/>
        <v>15.443099999999999</v>
      </c>
      <c r="BA647" s="97">
        <f t="shared" si="4410"/>
        <v>1.9649999999999999</v>
      </c>
      <c r="BB647" s="97">
        <f t="shared" si="4411"/>
        <v>33.717435000000002</v>
      </c>
    </row>
    <row r="648" spans="1:54" ht="11.25" customHeight="1">
      <c r="A648" s="498">
        <v>444</v>
      </c>
      <c r="B648" s="13"/>
      <c r="C648" s="13"/>
      <c r="D648" s="13"/>
      <c r="E648" s="21" t="s">
        <v>740</v>
      </c>
      <c r="F648" s="46" t="s">
        <v>132</v>
      </c>
      <c r="G648" s="46" t="s">
        <v>1105</v>
      </c>
      <c r="H648" s="268" t="s">
        <v>366</v>
      </c>
      <c r="I648" s="55"/>
      <c r="J648" s="163">
        <v>17137</v>
      </c>
      <c r="K648" s="55"/>
      <c r="L648" s="163">
        <v>17159</v>
      </c>
      <c r="M648" s="55"/>
      <c r="N648" s="163">
        <v>17159</v>
      </c>
      <c r="O648" s="55"/>
      <c r="P648" s="163">
        <v>17159</v>
      </c>
      <c r="Q648" s="97">
        <f>SUM(AI648+BA648)</f>
        <v>10.574</v>
      </c>
      <c r="R648" s="342">
        <f>SUM(AJ648+BB648)</f>
        <v>181.38827000000001</v>
      </c>
      <c r="S648" s="97">
        <v>0.42399999999999999</v>
      </c>
      <c r="T648" s="97">
        <f t="shared" ref="T648:T650" si="5195">J648*S648/1000</f>
        <v>7.2660879999999999</v>
      </c>
      <c r="U648" s="97">
        <v>1.3</v>
      </c>
      <c r="V648" s="97">
        <f t="shared" ref="V648:V650" si="5196">J648*U648/1000</f>
        <v>22.278100000000002</v>
      </c>
      <c r="W648" s="97">
        <v>0.59399999999999997</v>
      </c>
      <c r="X648" s="97">
        <f t="shared" ref="X648:X650" si="5197">J648*W648/1000</f>
        <v>10.179377999999998</v>
      </c>
      <c r="Y648" s="97">
        <f t="shared" si="4393"/>
        <v>2.3180000000000001</v>
      </c>
      <c r="Z648" s="97">
        <f t="shared" si="4394"/>
        <v>39.723565999999998</v>
      </c>
      <c r="AA648" s="97">
        <v>1.474</v>
      </c>
      <c r="AB648" s="97">
        <f t="shared" ref="AB648:AB650" si="5198">L648*AA648/1000</f>
        <v>25.292365999999998</v>
      </c>
      <c r="AC648" s="97">
        <v>0.52400000000000002</v>
      </c>
      <c r="AD648" s="97">
        <f t="shared" ref="AD648:AD650" si="5199">L648*AC648/1000</f>
        <v>8.9913160000000012</v>
      </c>
      <c r="AE648" s="97">
        <v>0.85</v>
      </c>
      <c r="AF648" s="97">
        <f t="shared" ref="AF648" si="5200">L648*AE648/1000</f>
        <v>14.585150000000001</v>
      </c>
      <c r="AG648" s="97">
        <f t="shared" si="4397"/>
        <v>2.8479999999999999</v>
      </c>
      <c r="AH648" s="97">
        <f t="shared" si="4398"/>
        <v>48.868831999999998</v>
      </c>
      <c r="AI648" s="97">
        <f t="shared" si="4399"/>
        <v>5.1660000000000004</v>
      </c>
      <c r="AJ648" s="97">
        <f t="shared" si="4400"/>
        <v>88.592398000000003</v>
      </c>
      <c r="AK648" s="97">
        <v>1.198</v>
      </c>
      <c r="AL648" s="97">
        <f t="shared" si="4401"/>
        <v>20.556481999999999</v>
      </c>
      <c r="AM648" s="97">
        <v>0.95399999999999996</v>
      </c>
      <c r="AN648" s="97">
        <f t="shared" si="4402"/>
        <v>16.369685999999998</v>
      </c>
      <c r="AO648" s="97">
        <v>1.024</v>
      </c>
      <c r="AP648" s="97">
        <f t="shared" si="4403"/>
        <v>17.570816000000001</v>
      </c>
      <c r="AQ648" s="97">
        <f t="shared" si="4404"/>
        <v>3.1760000000000002</v>
      </c>
      <c r="AR648" s="97">
        <f t="shared" si="4405"/>
        <v>54.496983999999998</v>
      </c>
      <c r="AS648" s="97">
        <v>0.75</v>
      </c>
      <c r="AT648" s="97">
        <f t="shared" ref="AT648:AT650" si="5201">P648*AS648/1000</f>
        <v>12.869249999999999</v>
      </c>
      <c r="AU648" s="97">
        <v>1.198</v>
      </c>
      <c r="AV648" s="97">
        <f>P648*AU648/1000</f>
        <v>20.556481999999999</v>
      </c>
      <c r="AW648" s="97">
        <v>0.28399999999999997</v>
      </c>
      <c r="AX648" s="97">
        <f t="shared" ref="AX648:AX650" si="5202">P648*AW648/1000</f>
        <v>4.8731559999999998</v>
      </c>
      <c r="AY648" s="97">
        <f t="shared" si="4408"/>
        <v>2.2319999999999998</v>
      </c>
      <c r="AZ648" s="97">
        <f t="shared" si="4409"/>
        <v>38.298887999999998</v>
      </c>
      <c r="BA648" s="97">
        <f t="shared" si="4410"/>
        <v>5.4079999999999995</v>
      </c>
      <c r="BB648" s="97">
        <f t="shared" si="4411"/>
        <v>92.795872000000003</v>
      </c>
    </row>
    <row r="649" spans="1:54" ht="11.25" customHeight="1">
      <c r="A649" s="498">
        <v>445</v>
      </c>
      <c r="B649" s="13"/>
      <c r="C649" s="13"/>
      <c r="D649" s="13"/>
      <c r="E649" s="21" t="s">
        <v>741</v>
      </c>
      <c r="F649" s="46"/>
      <c r="G649" s="46" t="s">
        <v>1105</v>
      </c>
      <c r="H649" s="268" t="s">
        <v>365</v>
      </c>
      <c r="I649" s="55"/>
      <c r="J649" s="163">
        <v>17404</v>
      </c>
      <c r="K649" s="55"/>
      <c r="L649" s="163">
        <v>17426</v>
      </c>
      <c r="M649" s="55"/>
      <c r="N649" s="163">
        <v>17426</v>
      </c>
      <c r="O649" s="55"/>
      <c r="P649" s="163">
        <v>17426</v>
      </c>
      <c r="Q649" s="97">
        <f t="shared" ref="Q649" si="5203">SUM(AI649+BA649)</f>
        <v>3.0129999999999999</v>
      </c>
      <c r="R649" s="342">
        <f t="shared" ref="R649" si="5204">SUM(AJ649+BB649)</f>
        <v>52.485464</v>
      </c>
      <c r="S649" s="97">
        <v>0.5</v>
      </c>
      <c r="T649" s="97">
        <f t="shared" si="5195"/>
        <v>8.702</v>
      </c>
      <c r="U649" s="97">
        <v>0.11700000000000001</v>
      </c>
      <c r="V649" s="97">
        <f t="shared" si="5196"/>
        <v>2.0362680000000002</v>
      </c>
      <c r="W649" s="97">
        <v>0.25</v>
      </c>
      <c r="X649" s="97">
        <f t="shared" si="5197"/>
        <v>4.351</v>
      </c>
      <c r="Y649" s="97">
        <f t="shared" ref="Y649:Y650" si="5205">SUM(S649+U649+W649)</f>
        <v>0.86699999999999999</v>
      </c>
      <c r="Z649" s="97">
        <f t="shared" ref="Z649:Z650" si="5206">SUM(T649+V649+X649)</f>
        <v>15.089268000000001</v>
      </c>
      <c r="AA649" s="97">
        <v>0.3</v>
      </c>
      <c r="AB649" s="97">
        <f t="shared" si="5198"/>
        <v>5.2278000000000002</v>
      </c>
      <c r="AC649" s="97">
        <v>0.3</v>
      </c>
      <c r="AD649" s="97">
        <f t="shared" si="5199"/>
        <v>5.2278000000000002</v>
      </c>
      <c r="AE649" s="97">
        <v>0.2</v>
      </c>
      <c r="AF649" s="97">
        <f>L649*AE649/1000</f>
        <v>3.4852000000000003</v>
      </c>
      <c r="AG649" s="97">
        <f t="shared" ref="AG649:AG650" si="5207">SUM(AA649+AC649+AE649)</f>
        <v>0.8</v>
      </c>
      <c r="AH649" s="97">
        <f t="shared" ref="AH649:AH650" si="5208">SUM(AB649+AD649+AF649)</f>
        <v>13.940800000000001</v>
      </c>
      <c r="AI649" s="97">
        <f t="shared" ref="AI649:AI650" si="5209">SUM(Y649+AG649)</f>
        <v>1.667</v>
      </c>
      <c r="AJ649" s="97">
        <f t="shared" ref="AJ649:AJ650" si="5210">SUM(Z649,AH649)</f>
        <v>29.030068</v>
      </c>
      <c r="AK649" s="97">
        <v>0.1</v>
      </c>
      <c r="AL649" s="97">
        <f t="shared" ref="AL649:AL650" si="5211">N649*AK649/1000</f>
        <v>1.7426000000000001</v>
      </c>
      <c r="AM649" s="97">
        <v>0.13</v>
      </c>
      <c r="AN649" s="97">
        <f t="shared" ref="AN649:AN650" si="5212">N649*AM649/1000</f>
        <v>2.2653799999999999</v>
      </c>
      <c r="AO649" s="97">
        <v>0.4</v>
      </c>
      <c r="AP649" s="97">
        <f t="shared" ref="AP649:AP650" si="5213">N649*AO649/1000</f>
        <v>6.9704000000000006</v>
      </c>
      <c r="AQ649" s="97">
        <f t="shared" ref="AQ649:AQ650" si="5214">SUM(AK649+AM649+AO649)</f>
        <v>0.63</v>
      </c>
      <c r="AR649" s="97">
        <f t="shared" ref="AR649:AR650" si="5215">SUM(AL649+AN649+AP649)</f>
        <v>10.978380000000001</v>
      </c>
      <c r="AS649" s="97">
        <v>0.3</v>
      </c>
      <c r="AT649" s="97">
        <f t="shared" si="5201"/>
        <v>5.2278000000000002</v>
      </c>
      <c r="AU649" s="97">
        <v>0.25</v>
      </c>
      <c r="AV649" s="97">
        <f t="shared" ref="AV649:AV650" si="5216">P649*AU649/1000</f>
        <v>4.3564999999999996</v>
      </c>
      <c r="AW649" s="97">
        <v>0.16600000000000001</v>
      </c>
      <c r="AX649" s="97">
        <f t="shared" si="5202"/>
        <v>2.8927160000000005</v>
      </c>
      <c r="AY649" s="97">
        <f t="shared" ref="AY649:AY650" si="5217">SUM(AS649+AU649+AW649)</f>
        <v>0.71600000000000008</v>
      </c>
      <c r="AZ649" s="97">
        <f t="shared" ref="AZ649:AZ650" si="5218">SUM(AT649+AV649+AX649)</f>
        <v>12.477015999999999</v>
      </c>
      <c r="BA649" s="97">
        <f t="shared" ref="BA649:BA650" si="5219">SUM(AQ649+AY649)</f>
        <v>1.3460000000000001</v>
      </c>
      <c r="BB649" s="97">
        <f t="shared" ref="BB649:BB650" si="5220">SUM(AR649,AZ649)</f>
        <v>23.455396</v>
      </c>
    </row>
    <row r="650" spans="1:54" ht="12" customHeight="1">
      <c r="A650" s="498">
        <v>446</v>
      </c>
      <c r="B650" s="13"/>
      <c r="C650" s="13"/>
      <c r="D650" s="13"/>
      <c r="E650" s="21" t="s">
        <v>1353</v>
      </c>
      <c r="F650" s="46" t="s">
        <v>132</v>
      </c>
      <c r="G650" s="46" t="s">
        <v>1105</v>
      </c>
      <c r="H650" s="268" t="s">
        <v>366</v>
      </c>
      <c r="I650" s="55"/>
      <c r="J650" s="163">
        <v>22446</v>
      </c>
      <c r="K650" s="55"/>
      <c r="L650" s="163">
        <v>22123</v>
      </c>
      <c r="M650" s="55"/>
      <c r="N650" s="163">
        <v>22123</v>
      </c>
      <c r="O650" s="55"/>
      <c r="P650" s="163">
        <v>22123</v>
      </c>
      <c r="Q650" s="97">
        <f>SUM(AI650+BA650)</f>
        <v>0</v>
      </c>
      <c r="R650" s="342">
        <f t="shared" ref="R650" si="5221">SUM(AJ650+BB650)</f>
        <v>0</v>
      </c>
      <c r="S650" s="97"/>
      <c r="T650" s="97">
        <f t="shared" si="5195"/>
        <v>0</v>
      </c>
      <c r="U650" s="97"/>
      <c r="V650" s="97">
        <f t="shared" si="5196"/>
        <v>0</v>
      </c>
      <c r="W650" s="97"/>
      <c r="X650" s="97">
        <f t="shared" si="5197"/>
        <v>0</v>
      </c>
      <c r="Y650" s="97">
        <f t="shared" si="5205"/>
        <v>0</v>
      </c>
      <c r="Z650" s="97">
        <f t="shared" si="5206"/>
        <v>0</v>
      </c>
      <c r="AA650" s="97"/>
      <c r="AB650" s="97">
        <f t="shared" si="5198"/>
        <v>0</v>
      </c>
      <c r="AC650" s="97"/>
      <c r="AD650" s="97">
        <f t="shared" si="5199"/>
        <v>0</v>
      </c>
      <c r="AE650" s="97"/>
      <c r="AF650" s="97">
        <f t="shared" ref="AF650" si="5222">L650*AE650/1000</f>
        <v>0</v>
      </c>
      <c r="AG650" s="97">
        <f t="shared" si="5207"/>
        <v>0</v>
      </c>
      <c r="AH650" s="97">
        <f t="shared" si="5208"/>
        <v>0</v>
      </c>
      <c r="AI650" s="97">
        <f t="shared" si="5209"/>
        <v>0</v>
      </c>
      <c r="AJ650" s="97">
        <f t="shared" si="5210"/>
        <v>0</v>
      </c>
      <c r="AK650" s="97"/>
      <c r="AL650" s="97">
        <f t="shared" si="5211"/>
        <v>0</v>
      </c>
      <c r="AM650" s="97"/>
      <c r="AN650" s="97">
        <f t="shared" si="5212"/>
        <v>0</v>
      </c>
      <c r="AO650" s="97"/>
      <c r="AP650" s="97">
        <f t="shared" si="5213"/>
        <v>0</v>
      </c>
      <c r="AQ650" s="97">
        <f t="shared" si="5214"/>
        <v>0</v>
      </c>
      <c r="AR650" s="97">
        <f t="shared" si="5215"/>
        <v>0</v>
      </c>
      <c r="AS650" s="97"/>
      <c r="AT650" s="97">
        <f t="shared" si="5201"/>
        <v>0</v>
      </c>
      <c r="AU650" s="97"/>
      <c r="AV650" s="97">
        <f t="shared" si="5216"/>
        <v>0</v>
      </c>
      <c r="AW650" s="97"/>
      <c r="AX650" s="97">
        <f t="shared" si="5202"/>
        <v>0</v>
      </c>
      <c r="AY650" s="97">
        <f t="shared" si="5217"/>
        <v>0</v>
      </c>
      <c r="AZ650" s="97">
        <f t="shared" si="5218"/>
        <v>0</v>
      </c>
      <c r="BA650" s="97">
        <f t="shared" si="5219"/>
        <v>0</v>
      </c>
      <c r="BB650" s="97">
        <f t="shared" si="5220"/>
        <v>0</v>
      </c>
    </row>
    <row r="651" spans="1:54" ht="11.25" customHeight="1">
      <c r="A651" s="498">
        <v>448</v>
      </c>
      <c r="B651" s="13"/>
      <c r="C651" s="13"/>
      <c r="D651" s="13"/>
      <c r="E651" s="21" t="s">
        <v>278</v>
      </c>
      <c r="F651" s="46" t="s">
        <v>132</v>
      </c>
      <c r="G651" s="46" t="s">
        <v>1105</v>
      </c>
      <c r="H651" s="268" t="s">
        <v>366</v>
      </c>
      <c r="I651" s="55"/>
      <c r="J651" s="163">
        <v>34842</v>
      </c>
      <c r="K651" s="55"/>
      <c r="L651" s="163">
        <v>34759</v>
      </c>
      <c r="M651" s="55"/>
      <c r="N651" s="163">
        <v>34759</v>
      </c>
      <c r="O651" s="55"/>
      <c r="P651" s="163">
        <v>34759</v>
      </c>
      <c r="Q651" s="97">
        <f t="shared" si="4388"/>
        <v>0</v>
      </c>
      <c r="R651" s="342">
        <f t="shared" si="4389"/>
        <v>0</v>
      </c>
      <c r="S651" s="97"/>
      <c r="T651" s="97">
        <f t="shared" si="4390"/>
        <v>0</v>
      </c>
      <c r="U651" s="97"/>
      <c r="V651" s="97">
        <f t="shared" si="4391"/>
        <v>0</v>
      </c>
      <c r="W651" s="97"/>
      <c r="X651" s="97">
        <f t="shared" si="4392"/>
        <v>0</v>
      </c>
      <c r="Y651" s="97">
        <f t="shared" si="4393"/>
        <v>0</v>
      </c>
      <c r="Z651" s="97">
        <f t="shared" si="4394"/>
        <v>0</v>
      </c>
      <c r="AA651" s="97"/>
      <c r="AB651" s="97">
        <f t="shared" si="4395"/>
        <v>0</v>
      </c>
      <c r="AC651" s="97"/>
      <c r="AD651" s="97">
        <f t="shared" si="4396"/>
        <v>0</v>
      </c>
      <c r="AE651" s="97"/>
      <c r="AF651" s="97">
        <f t="shared" si="4412"/>
        <v>0</v>
      </c>
      <c r="AG651" s="97">
        <f t="shared" si="4397"/>
        <v>0</v>
      </c>
      <c r="AH651" s="97">
        <f t="shared" si="4398"/>
        <v>0</v>
      </c>
      <c r="AI651" s="97">
        <f t="shared" si="4399"/>
        <v>0</v>
      </c>
      <c r="AJ651" s="97">
        <f t="shared" si="4400"/>
        <v>0</v>
      </c>
      <c r="AK651" s="97"/>
      <c r="AL651" s="97">
        <f t="shared" si="4401"/>
        <v>0</v>
      </c>
      <c r="AM651" s="97"/>
      <c r="AN651" s="97">
        <f t="shared" si="4402"/>
        <v>0</v>
      </c>
      <c r="AO651" s="97"/>
      <c r="AP651" s="97">
        <f t="shared" si="4403"/>
        <v>0</v>
      </c>
      <c r="AQ651" s="97">
        <f t="shared" si="4404"/>
        <v>0</v>
      </c>
      <c r="AR651" s="97">
        <f t="shared" si="4405"/>
        <v>0</v>
      </c>
      <c r="AS651" s="97"/>
      <c r="AT651" s="97">
        <f t="shared" si="4413"/>
        <v>0</v>
      </c>
      <c r="AU651" s="97"/>
      <c r="AV651" s="97">
        <f t="shared" si="4406"/>
        <v>0</v>
      </c>
      <c r="AW651" s="97"/>
      <c r="AX651" s="97">
        <f t="shared" si="4407"/>
        <v>0</v>
      </c>
      <c r="AY651" s="97">
        <f t="shared" si="4408"/>
        <v>0</v>
      </c>
      <c r="AZ651" s="97">
        <f t="shared" si="4409"/>
        <v>0</v>
      </c>
      <c r="BA651" s="97">
        <f t="shared" si="4410"/>
        <v>0</v>
      </c>
      <c r="BB651" s="97">
        <f t="shared" si="4411"/>
        <v>0</v>
      </c>
    </row>
    <row r="652" spans="1:54">
      <c r="A652" s="498">
        <v>450</v>
      </c>
      <c r="B652" s="13"/>
      <c r="C652" s="13"/>
      <c r="D652" s="13"/>
      <c r="E652" s="21" t="s">
        <v>279</v>
      </c>
      <c r="F652" s="46" t="s">
        <v>132</v>
      </c>
      <c r="G652" s="46" t="s">
        <v>1105</v>
      </c>
      <c r="H652" s="268" t="s">
        <v>366</v>
      </c>
      <c r="I652" s="55"/>
      <c r="J652" s="163">
        <v>34958</v>
      </c>
      <c r="K652" s="55"/>
      <c r="L652" s="163">
        <v>34875</v>
      </c>
      <c r="M652" s="55"/>
      <c r="N652" s="163">
        <v>34875</v>
      </c>
      <c r="O652" s="55"/>
      <c r="P652" s="163">
        <v>34875</v>
      </c>
      <c r="Q652" s="97">
        <f t="shared" si="4388"/>
        <v>4.9720000000000004</v>
      </c>
      <c r="R652" s="342">
        <f t="shared" si="4389"/>
        <v>173.39866599999999</v>
      </c>
      <c r="S652" s="97"/>
      <c r="T652" s="97">
        <f t="shared" si="4390"/>
        <v>0</v>
      </c>
      <c r="U652" s="97"/>
      <c r="V652" s="97">
        <f t="shared" si="4391"/>
        <v>0</v>
      </c>
      <c r="W652" s="97">
        <v>2E-3</v>
      </c>
      <c r="X652" s="97">
        <f t="shared" si="4392"/>
        <v>6.9915999999999992E-2</v>
      </c>
      <c r="Y652" s="97">
        <f t="shared" si="4393"/>
        <v>2E-3</v>
      </c>
      <c r="Z652" s="97">
        <f t="shared" si="4394"/>
        <v>6.9915999999999992E-2</v>
      </c>
      <c r="AA652" s="97">
        <v>0.13200000000000001</v>
      </c>
      <c r="AB652" s="97">
        <f t="shared" si="4395"/>
        <v>4.6035000000000004</v>
      </c>
      <c r="AC652" s="97">
        <v>1.879</v>
      </c>
      <c r="AD652" s="97">
        <f t="shared" si="4396"/>
        <v>65.530124999999998</v>
      </c>
      <c r="AE652" s="97">
        <v>1.06</v>
      </c>
      <c r="AF652" s="97">
        <f t="shared" si="4412"/>
        <v>36.967500000000001</v>
      </c>
      <c r="AG652" s="97">
        <f t="shared" si="4397"/>
        <v>3.0710000000000002</v>
      </c>
      <c r="AH652" s="97">
        <f t="shared" si="4398"/>
        <v>107.101125</v>
      </c>
      <c r="AI652" s="97">
        <f t="shared" si="4399"/>
        <v>3.073</v>
      </c>
      <c r="AJ652" s="97">
        <f t="shared" si="4400"/>
        <v>107.171041</v>
      </c>
      <c r="AK652" s="97">
        <v>0.44500000000000001</v>
      </c>
      <c r="AL652" s="97">
        <f t="shared" si="4401"/>
        <v>15.519375</v>
      </c>
      <c r="AM652" s="97"/>
      <c r="AN652" s="97">
        <f t="shared" si="4402"/>
        <v>0</v>
      </c>
      <c r="AO652" s="97"/>
      <c r="AP652" s="97">
        <f t="shared" si="4403"/>
        <v>0</v>
      </c>
      <c r="AQ652" s="97">
        <f t="shared" si="4404"/>
        <v>0.44500000000000001</v>
      </c>
      <c r="AR652" s="97">
        <f t="shared" si="4405"/>
        <v>15.519375</v>
      </c>
      <c r="AS652" s="97">
        <v>1.0900000000000001</v>
      </c>
      <c r="AT652" s="97">
        <f t="shared" si="4413"/>
        <v>38.013750000000002</v>
      </c>
      <c r="AU652" s="97">
        <v>2E-3</v>
      </c>
      <c r="AV652" s="97">
        <f t="shared" si="4406"/>
        <v>6.9750000000000006E-2</v>
      </c>
      <c r="AW652" s="97">
        <v>0.36199999999999999</v>
      </c>
      <c r="AX652" s="97">
        <f t="shared" si="4407"/>
        <v>12.624750000000001</v>
      </c>
      <c r="AY652" s="97">
        <f t="shared" si="4408"/>
        <v>1.4540000000000002</v>
      </c>
      <c r="AZ652" s="97">
        <f t="shared" si="4409"/>
        <v>50.70825</v>
      </c>
      <c r="BA652" s="97">
        <f t="shared" si="4410"/>
        <v>1.8990000000000002</v>
      </c>
      <c r="BB652" s="97">
        <f t="shared" si="4411"/>
        <v>66.227625000000003</v>
      </c>
    </row>
    <row r="653" spans="1:54">
      <c r="A653" s="498">
        <v>451</v>
      </c>
      <c r="B653" s="13"/>
      <c r="C653" s="13"/>
      <c r="D653" s="13"/>
      <c r="E653" s="21" t="s">
        <v>333</v>
      </c>
      <c r="F653" s="46" t="s">
        <v>132</v>
      </c>
      <c r="G653" s="46" t="s">
        <v>1105</v>
      </c>
      <c r="H653" s="268" t="s">
        <v>366</v>
      </c>
      <c r="I653" s="55"/>
      <c r="J653" s="163">
        <v>35232</v>
      </c>
      <c r="K653" s="55"/>
      <c r="L653" s="163">
        <v>35326</v>
      </c>
      <c r="M653" s="55"/>
      <c r="N653" s="163">
        <v>35326</v>
      </c>
      <c r="O653" s="55"/>
      <c r="P653" s="163">
        <v>35326</v>
      </c>
      <c r="Q653" s="97">
        <f t="shared" si="4388"/>
        <v>2E-3</v>
      </c>
      <c r="R653" s="342">
        <f t="shared" si="4389"/>
        <v>7.0652000000000006E-2</v>
      </c>
      <c r="S653" s="97"/>
      <c r="T653" s="97">
        <f t="shared" si="4390"/>
        <v>0</v>
      </c>
      <c r="U653" s="97"/>
      <c r="V653" s="97">
        <f t="shared" si="4391"/>
        <v>0</v>
      </c>
      <c r="W653" s="97"/>
      <c r="X653" s="97">
        <f t="shared" si="4392"/>
        <v>0</v>
      </c>
      <c r="Y653" s="97">
        <f t="shared" ref="Y653" si="5223">SUM(S653+U653+W653)</f>
        <v>0</v>
      </c>
      <c r="Z653" s="97">
        <f t="shared" ref="Z653" si="5224">SUM(T653+V653+X653)</f>
        <v>0</v>
      </c>
      <c r="AA653" s="97"/>
      <c r="AB653" s="97">
        <f t="shared" si="4395"/>
        <v>0</v>
      </c>
      <c r="AC653" s="97"/>
      <c r="AD653" s="97">
        <f>L653*AC653/1000</f>
        <v>0</v>
      </c>
      <c r="AE653" s="97"/>
      <c r="AF653" s="97">
        <f t="shared" si="4412"/>
        <v>0</v>
      </c>
      <c r="AG653" s="97">
        <f t="shared" ref="AG653" si="5225">SUM(AA653+AC653+AE653)</f>
        <v>0</v>
      </c>
      <c r="AH653" s="97">
        <f t="shared" ref="AH653" si="5226">SUM(AB653+AD653+AF653)</f>
        <v>0</v>
      </c>
      <c r="AI653" s="97">
        <f t="shared" ref="AI653" si="5227">SUM(Y653+AG653)</f>
        <v>0</v>
      </c>
      <c r="AJ653" s="97">
        <f t="shared" ref="AJ653" si="5228">SUM(Z653,AH653)</f>
        <v>0</v>
      </c>
      <c r="AK653" s="97"/>
      <c r="AL653" s="97">
        <f t="shared" ref="AL653" si="5229">N653*AK653/1000</f>
        <v>0</v>
      </c>
      <c r="AM653" s="97">
        <v>2E-3</v>
      </c>
      <c r="AN653" s="97">
        <f t="shared" ref="AN653" si="5230">N653*AM653/1000</f>
        <v>7.0652000000000006E-2</v>
      </c>
      <c r="AO653" s="97"/>
      <c r="AP653" s="97">
        <f t="shared" ref="AP653" si="5231">N653*AO653/1000</f>
        <v>0</v>
      </c>
      <c r="AQ653" s="97">
        <f t="shared" ref="AQ653" si="5232">SUM(AK653+AM653+AO653)</f>
        <v>2E-3</v>
      </c>
      <c r="AR653" s="97">
        <f t="shared" ref="AR653" si="5233">SUM(AL653+AN653+AP653)</f>
        <v>7.0652000000000006E-2</v>
      </c>
      <c r="AS653" s="97"/>
      <c r="AT653" s="97">
        <f t="shared" si="4413"/>
        <v>0</v>
      </c>
      <c r="AU653" s="97"/>
      <c r="AV653" s="97">
        <f t="shared" si="4406"/>
        <v>0</v>
      </c>
      <c r="AW653" s="97"/>
      <c r="AX653" s="97">
        <f t="shared" si="4407"/>
        <v>0</v>
      </c>
      <c r="AY653" s="97">
        <f t="shared" ref="AY653" si="5234">SUM(AS653+AU653+AW653)</f>
        <v>0</v>
      </c>
      <c r="AZ653" s="97">
        <f t="shared" ref="AZ653" si="5235">SUM(AT653+AV653+AX653)</f>
        <v>0</v>
      </c>
      <c r="BA653" s="97">
        <f t="shared" ref="BA653" si="5236">SUM(AQ653+AY653)</f>
        <v>2E-3</v>
      </c>
      <c r="BB653" s="97">
        <f t="shared" ref="BB653" si="5237">SUM(AR653,AZ653)</f>
        <v>7.0652000000000006E-2</v>
      </c>
    </row>
    <row r="654" spans="1:54">
      <c r="A654" s="498">
        <v>452</v>
      </c>
      <c r="B654" s="13"/>
      <c r="C654" s="13"/>
      <c r="D654" s="13"/>
      <c r="E654" s="21" t="s">
        <v>280</v>
      </c>
      <c r="F654" s="46" t="s">
        <v>132</v>
      </c>
      <c r="G654" s="46" t="s">
        <v>1105</v>
      </c>
      <c r="H654" s="268" t="s">
        <v>366</v>
      </c>
      <c r="I654" s="55"/>
      <c r="J654" s="163">
        <v>10316</v>
      </c>
      <c r="K654" s="55"/>
      <c r="L654" s="163">
        <v>10144</v>
      </c>
      <c r="M654" s="55"/>
      <c r="N654" s="163">
        <v>10144</v>
      </c>
      <c r="O654" s="55"/>
      <c r="P654" s="163">
        <v>10144</v>
      </c>
      <c r="Q654" s="97">
        <f t="shared" si="4388"/>
        <v>4.9720000000000004</v>
      </c>
      <c r="R654" s="342">
        <f t="shared" si="4389"/>
        <v>50.436312000000001</v>
      </c>
      <c r="S654" s="97"/>
      <c r="T654" s="97">
        <f t="shared" si="4390"/>
        <v>0</v>
      </c>
      <c r="U654" s="97"/>
      <c r="V654" s="97">
        <f t="shared" si="4391"/>
        <v>0</v>
      </c>
      <c r="W654" s="97">
        <v>2E-3</v>
      </c>
      <c r="X654" s="97">
        <f t="shared" si="4392"/>
        <v>2.0632000000000001E-2</v>
      </c>
      <c r="Y654" s="97">
        <f t="shared" si="4393"/>
        <v>2E-3</v>
      </c>
      <c r="Z654" s="97">
        <f t="shared" si="4394"/>
        <v>2.0632000000000001E-2</v>
      </c>
      <c r="AA654" s="97">
        <v>0.13200000000000001</v>
      </c>
      <c r="AB654" s="97">
        <f t="shared" si="4395"/>
        <v>1.339008</v>
      </c>
      <c r="AC654" s="97">
        <v>1.879</v>
      </c>
      <c r="AD654" s="97">
        <f t="shared" si="4396"/>
        <v>19.060576000000001</v>
      </c>
      <c r="AE654" s="97">
        <v>1.06</v>
      </c>
      <c r="AF654" s="97">
        <f t="shared" si="4412"/>
        <v>10.752640000000001</v>
      </c>
      <c r="AG654" s="97">
        <f t="shared" si="4397"/>
        <v>3.0710000000000002</v>
      </c>
      <c r="AH654" s="97">
        <f t="shared" si="4398"/>
        <v>31.152224000000004</v>
      </c>
      <c r="AI654" s="97">
        <f t="shared" si="4399"/>
        <v>3.073</v>
      </c>
      <c r="AJ654" s="97">
        <f t="shared" si="4400"/>
        <v>31.172856000000003</v>
      </c>
      <c r="AK654" s="97">
        <v>0.44500000000000001</v>
      </c>
      <c r="AL654" s="97">
        <f t="shared" si="4401"/>
        <v>4.5140799999999999</v>
      </c>
      <c r="AM654" s="97"/>
      <c r="AN654" s="97">
        <f t="shared" si="4402"/>
        <v>0</v>
      </c>
      <c r="AO654" s="97"/>
      <c r="AP654" s="97">
        <f t="shared" si="4403"/>
        <v>0</v>
      </c>
      <c r="AQ654" s="97">
        <f t="shared" si="4404"/>
        <v>0.44500000000000001</v>
      </c>
      <c r="AR654" s="97">
        <f t="shared" si="4405"/>
        <v>4.5140799999999999</v>
      </c>
      <c r="AS654" s="97">
        <v>1.0900000000000001</v>
      </c>
      <c r="AT654" s="97">
        <f t="shared" si="4413"/>
        <v>11.05696</v>
      </c>
      <c r="AU654" s="97">
        <v>2E-3</v>
      </c>
      <c r="AV654" s="97">
        <f t="shared" si="4406"/>
        <v>2.0288E-2</v>
      </c>
      <c r="AW654" s="97">
        <v>0.36199999999999999</v>
      </c>
      <c r="AX654" s="97">
        <f t="shared" si="4407"/>
        <v>3.6721279999999998</v>
      </c>
      <c r="AY654" s="97">
        <f t="shared" si="4408"/>
        <v>1.4540000000000002</v>
      </c>
      <c r="AZ654" s="97">
        <f t="shared" si="4409"/>
        <v>14.749376000000002</v>
      </c>
      <c r="BA654" s="97">
        <f t="shared" si="4410"/>
        <v>1.8990000000000002</v>
      </c>
      <c r="BB654" s="97">
        <f t="shared" si="4411"/>
        <v>19.263456000000001</v>
      </c>
    </row>
    <row r="655" spans="1:54">
      <c r="A655" s="498">
        <v>453</v>
      </c>
      <c r="B655" s="13"/>
      <c r="C655" s="13"/>
      <c r="D655" s="13"/>
      <c r="E655" s="21" t="s">
        <v>818</v>
      </c>
      <c r="F655" s="46" t="s">
        <v>132</v>
      </c>
      <c r="G655" s="46" t="s">
        <v>1105</v>
      </c>
      <c r="H655" s="268" t="s">
        <v>366</v>
      </c>
      <c r="I655" s="55"/>
      <c r="J655" s="163">
        <v>10017</v>
      </c>
      <c r="K655" s="55"/>
      <c r="L655" s="163">
        <v>9988</v>
      </c>
      <c r="M655" s="55"/>
      <c r="N655" s="163">
        <v>9988</v>
      </c>
      <c r="O655" s="55"/>
      <c r="P655" s="163">
        <v>9988</v>
      </c>
      <c r="Q655" s="97">
        <f t="shared" si="4388"/>
        <v>2E-3</v>
      </c>
      <c r="R655" s="342">
        <f t="shared" si="4389"/>
        <v>1.9976000000000001E-2</v>
      </c>
      <c r="S655" s="97"/>
      <c r="T655" s="97">
        <f t="shared" si="4390"/>
        <v>0</v>
      </c>
      <c r="U655" s="97"/>
      <c r="V655" s="97">
        <f t="shared" si="4391"/>
        <v>0</v>
      </c>
      <c r="W655" s="97"/>
      <c r="X655" s="97">
        <f t="shared" si="4392"/>
        <v>0</v>
      </c>
      <c r="Y655" s="97">
        <f t="shared" ref="Y655" si="5238">SUM(S655+U655+W655)</f>
        <v>0</v>
      </c>
      <c r="Z655" s="97">
        <f t="shared" ref="Z655" si="5239">SUM(T655+V655+X655)</f>
        <v>0</v>
      </c>
      <c r="AA655" s="97"/>
      <c r="AB655" s="97">
        <f>L655*AA655/1000</f>
        <v>0</v>
      </c>
      <c r="AC655" s="97"/>
      <c r="AD655" s="97">
        <f>L655*AC655/1000</f>
        <v>0</v>
      </c>
      <c r="AE655" s="97"/>
      <c r="AF655" s="97">
        <f t="shared" si="4412"/>
        <v>0</v>
      </c>
      <c r="AG655" s="97">
        <f t="shared" ref="AG655" si="5240">SUM(AA655+AC655+AE655)</f>
        <v>0</v>
      </c>
      <c r="AH655" s="97">
        <f t="shared" ref="AH655" si="5241">SUM(AB655+AD655+AF655)</f>
        <v>0</v>
      </c>
      <c r="AI655" s="97">
        <f t="shared" ref="AI655" si="5242">SUM(Y655+AG655)</f>
        <v>0</v>
      </c>
      <c r="AJ655" s="97">
        <f t="shared" ref="AJ655" si="5243">SUM(Z655,AH655)</f>
        <v>0</v>
      </c>
      <c r="AK655" s="97"/>
      <c r="AL655" s="97">
        <f t="shared" ref="AL655" si="5244">N655*AK655/1000</f>
        <v>0</v>
      </c>
      <c r="AM655" s="97">
        <v>2E-3</v>
      </c>
      <c r="AN655" s="97">
        <f t="shared" ref="AN655" si="5245">N655*AM655/1000</f>
        <v>1.9976000000000001E-2</v>
      </c>
      <c r="AO655" s="97"/>
      <c r="AP655" s="97">
        <f t="shared" ref="AP655" si="5246">N655*AO655/1000</f>
        <v>0</v>
      </c>
      <c r="AQ655" s="97">
        <f t="shared" ref="AQ655" si="5247">SUM(AK655+AM655+AO655)</f>
        <v>2E-3</v>
      </c>
      <c r="AR655" s="97">
        <f t="shared" ref="AR655" si="5248">SUM(AL655+AN655+AP655)</f>
        <v>1.9976000000000001E-2</v>
      </c>
      <c r="AS655" s="97"/>
      <c r="AT655" s="97">
        <f t="shared" si="4413"/>
        <v>0</v>
      </c>
      <c r="AU655" s="97"/>
      <c r="AV655" s="97">
        <f t="shared" si="4406"/>
        <v>0</v>
      </c>
      <c r="AW655" s="97"/>
      <c r="AX655" s="97">
        <f t="shared" si="4407"/>
        <v>0</v>
      </c>
      <c r="AY655" s="97">
        <f t="shared" ref="AY655" si="5249">SUM(AS655+AU655+AW655)</f>
        <v>0</v>
      </c>
      <c r="AZ655" s="97">
        <f t="shared" ref="AZ655" si="5250">SUM(AT655+AV655+AX655)</f>
        <v>0</v>
      </c>
      <c r="BA655" s="97">
        <f t="shared" ref="BA655" si="5251">SUM(AQ655+AY655)</f>
        <v>2E-3</v>
      </c>
      <c r="BB655" s="97">
        <f t="shared" ref="BB655" si="5252">SUM(AR655,AZ655)</f>
        <v>1.9976000000000001E-2</v>
      </c>
    </row>
    <row r="656" spans="1:54">
      <c r="A656" s="498">
        <v>454</v>
      </c>
      <c r="B656" s="13"/>
      <c r="C656" s="13"/>
      <c r="D656" s="13"/>
      <c r="E656" s="21" t="s">
        <v>912</v>
      </c>
      <c r="F656" s="46" t="s">
        <v>132</v>
      </c>
      <c r="G656" s="46" t="s">
        <v>1105</v>
      </c>
      <c r="H656" s="268" t="s">
        <v>366</v>
      </c>
      <c r="I656" s="55"/>
      <c r="J656" s="163">
        <v>6315</v>
      </c>
      <c r="K656" s="55"/>
      <c r="L656" s="163">
        <v>6287</v>
      </c>
      <c r="M656" s="55"/>
      <c r="N656" s="163">
        <v>6287</v>
      </c>
      <c r="O656" s="55"/>
      <c r="P656" s="163">
        <v>6287</v>
      </c>
      <c r="Q656" s="97">
        <f>SUM(AI656+BA656)</f>
        <v>110.816</v>
      </c>
      <c r="R656" s="342">
        <f>SUM(AJ656+BB656)</f>
        <v>697.44090400000005</v>
      </c>
      <c r="S656" s="97">
        <v>9.6150000000000002</v>
      </c>
      <c r="T656" s="97">
        <f t="shared" ref="T656" si="5253">J656*S656/1000</f>
        <v>60.718724999999999</v>
      </c>
      <c r="U656" s="97">
        <v>7.984</v>
      </c>
      <c r="V656" s="97">
        <f t="shared" ref="V656" si="5254">J656*U656/1000</f>
        <v>50.418959999999998</v>
      </c>
      <c r="W656" s="97">
        <v>8.8550000000000004</v>
      </c>
      <c r="X656" s="97">
        <f t="shared" ref="X656" si="5255">J656*W656/1000</f>
        <v>55.919325000000008</v>
      </c>
      <c r="Y656" s="97">
        <f t="shared" si="4393"/>
        <v>26.454000000000001</v>
      </c>
      <c r="Z656" s="97">
        <f t="shared" si="4394"/>
        <v>167.05701000000002</v>
      </c>
      <c r="AA656" s="97">
        <v>11.651999999999999</v>
      </c>
      <c r="AB656" s="97">
        <f>L656*AA656/1000</f>
        <v>73.256124</v>
      </c>
      <c r="AC656" s="97">
        <v>9.6059999999999999</v>
      </c>
      <c r="AD656" s="97">
        <f>L656*AC656/1000</f>
        <v>60.392921999999999</v>
      </c>
      <c r="AE656" s="97">
        <v>8.3559999999999999</v>
      </c>
      <c r="AF656" s="97">
        <f t="shared" ref="AF656" si="5256">L656*AE656/1000</f>
        <v>52.534171999999998</v>
      </c>
      <c r="AG656" s="97">
        <f t="shared" si="4397"/>
        <v>29.613999999999997</v>
      </c>
      <c r="AH656" s="97">
        <f t="shared" si="4398"/>
        <v>186.18321800000001</v>
      </c>
      <c r="AI656" s="97">
        <f t="shared" si="4399"/>
        <v>56.067999999999998</v>
      </c>
      <c r="AJ656" s="97">
        <f t="shared" si="4400"/>
        <v>353.240228</v>
      </c>
      <c r="AK656" s="97">
        <v>7.16</v>
      </c>
      <c r="AL656" s="97">
        <f t="shared" si="4401"/>
        <v>45.014919999999996</v>
      </c>
      <c r="AM656" s="97">
        <v>6.62</v>
      </c>
      <c r="AN656" s="97">
        <f t="shared" si="4402"/>
        <v>41.61994</v>
      </c>
      <c r="AO656" s="97">
        <v>10.254</v>
      </c>
      <c r="AP656" s="97">
        <f t="shared" si="4403"/>
        <v>64.466898</v>
      </c>
      <c r="AQ656" s="97">
        <f t="shared" si="4404"/>
        <v>24.033999999999999</v>
      </c>
      <c r="AR656" s="97">
        <f t="shared" si="4405"/>
        <v>151.10175800000002</v>
      </c>
      <c r="AS656" s="97">
        <v>9.8379999999999992</v>
      </c>
      <c r="AT656" s="97">
        <f t="shared" ref="AT656" si="5257">P656*AS656/1000</f>
        <v>61.851505999999993</v>
      </c>
      <c r="AU656" s="97">
        <v>10.66</v>
      </c>
      <c r="AV656" s="97">
        <f t="shared" ref="AV656" si="5258">P656*AU656/1000</f>
        <v>67.019419999999997</v>
      </c>
      <c r="AW656" s="97">
        <v>10.215999999999999</v>
      </c>
      <c r="AX656" s="97">
        <f t="shared" ref="AX656" si="5259">P656*AW656/1000</f>
        <v>64.227992</v>
      </c>
      <c r="AY656" s="97">
        <f t="shared" si="4408"/>
        <v>30.713999999999999</v>
      </c>
      <c r="AZ656" s="97">
        <f t="shared" si="4409"/>
        <v>193.098918</v>
      </c>
      <c r="BA656" s="97">
        <f t="shared" si="4410"/>
        <v>54.747999999999998</v>
      </c>
      <c r="BB656" s="97">
        <f t="shared" si="4411"/>
        <v>344.20067600000004</v>
      </c>
    </row>
    <row r="657" spans="1:54">
      <c r="A657" s="498">
        <v>455</v>
      </c>
      <c r="B657" s="13"/>
      <c r="C657" s="13"/>
      <c r="D657" s="13"/>
      <c r="E657" s="21" t="s">
        <v>913</v>
      </c>
      <c r="F657" s="46" t="s">
        <v>132</v>
      </c>
      <c r="G657" s="46" t="s">
        <v>1105</v>
      </c>
      <c r="H657" s="268" t="s">
        <v>366</v>
      </c>
      <c r="I657" s="55"/>
      <c r="J657" s="163">
        <v>18298</v>
      </c>
      <c r="K657" s="55"/>
      <c r="L657" s="163">
        <v>18274</v>
      </c>
      <c r="M657" s="55"/>
      <c r="N657" s="163">
        <v>18274</v>
      </c>
      <c r="O657" s="55"/>
      <c r="P657" s="163">
        <v>18274</v>
      </c>
      <c r="Q657" s="97">
        <f t="shared" si="4388"/>
        <v>8.1750000000000007</v>
      </c>
      <c r="R657" s="342">
        <f t="shared" si="4389"/>
        <v>149.41743</v>
      </c>
      <c r="S657" s="97">
        <v>0.1</v>
      </c>
      <c r="T657" s="97">
        <f t="shared" si="4390"/>
        <v>1.8298000000000001</v>
      </c>
      <c r="U657" s="97">
        <v>0.54500000000000004</v>
      </c>
      <c r="V657" s="97">
        <f t="shared" si="4391"/>
        <v>9.97241</v>
      </c>
      <c r="W657" s="97">
        <v>0.5</v>
      </c>
      <c r="X657" s="97">
        <f t="shared" si="4392"/>
        <v>9.1489999999999991</v>
      </c>
      <c r="Y657" s="97">
        <f t="shared" ref="Y657:Y658" si="5260">SUM(S657+U657+W657)</f>
        <v>1.145</v>
      </c>
      <c r="Z657" s="97">
        <f t="shared" ref="Z657:Z658" si="5261">SUM(T657+V657+X657)</f>
        <v>20.95121</v>
      </c>
      <c r="AA657" s="97">
        <v>0.1</v>
      </c>
      <c r="AB657" s="97">
        <f>L657*AA657/1000</f>
        <v>1.8274000000000001</v>
      </c>
      <c r="AC657" s="97">
        <v>0.68</v>
      </c>
      <c r="AD657" s="97">
        <f>L657*AC657/1000</f>
        <v>12.426320000000002</v>
      </c>
      <c r="AE657" s="97">
        <v>0.36</v>
      </c>
      <c r="AF657" s="97">
        <f t="shared" si="4412"/>
        <v>6.5786399999999992</v>
      </c>
      <c r="AG657" s="97">
        <f t="shared" ref="AG657:AG658" si="5262">SUM(AA657+AC657+AE657)</f>
        <v>1.1400000000000001</v>
      </c>
      <c r="AH657" s="97">
        <f t="shared" ref="AH657:AH658" si="5263">SUM(AB657+AD657+AF657)</f>
        <v>20.832360000000001</v>
      </c>
      <c r="AI657" s="97">
        <f t="shared" ref="AI657:AI658" si="5264">SUM(Y657+AG657)</f>
        <v>2.2850000000000001</v>
      </c>
      <c r="AJ657" s="97">
        <f t="shared" ref="AJ657:AJ658" si="5265">SUM(Z657,AH657)</f>
        <v>41.783569999999997</v>
      </c>
      <c r="AK657" s="97">
        <v>0.95</v>
      </c>
      <c r="AL657" s="97">
        <f t="shared" ref="AL657:AL658" si="5266">N657*AK657/1000</f>
        <v>17.360299999999999</v>
      </c>
      <c r="AM657" s="97">
        <v>1.3</v>
      </c>
      <c r="AN657" s="97">
        <f t="shared" ref="AN657:AN658" si="5267">N657*AM657/1000</f>
        <v>23.7562</v>
      </c>
      <c r="AO657" s="97">
        <v>0.8</v>
      </c>
      <c r="AP657" s="97">
        <f t="shared" ref="AP657:AP658" si="5268">N657*AO657/1000</f>
        <v>14.619200000000001</v>
      </c>
      <c r="AQ657" s="97">
        <f t="shared" ref="AQ657:AQ658" si="5269">SUM(AK657+AM657+AO657)</f>
        <v>3.05</v>
      </c>
      <c r="AR657" s="97">
        <f t="shared" ref="AR657:AR658" si="5270">SUM(AL657+AN657+AP657)</f>
        <v>55.735700000000001</v>
      </c>
      <c r="AS657" s="97">
        <v>1.45</v>
      </c>
      <c r="AT657" s="97">
        <f t="shared" si="4413"/>
        <v>26.497299999999999</v>
      </c>
      <c r="AU657" s="97">
        <v>0.62</v>
      </c>
      <c r="AV657" s="97">
        <f t="shared" si="4406"/>
        <v>11.329879999999999</v>
      </c>
      <c r="AW657" s="97">
        <v>0.77</v>
      </c>
      <c r="AX657" s="97">
        <f t="shared" si="4407"/>
        <v>14.070979999999999</v>
      </c>
      <c r="AY657" s="97">
        <f t="shared" ref="AY657:AY658" si="5271">SUM(AS657+AU657+AW657)</f>
        <v>2.84</v>
      </c>
      <c r="AZ657" s="97">
        <f t="shared" ref="AZ657:AZ658" si="5272">SUM(AT657+AV657+AX657)</f>
        <v>51.898159999999997</v>
      </c>
      <c r="BA657" s="97">
        <f t="shared" ref="BA657:BA658" si="5273">SUM(AQ657+AY657)</f>
        <v>5.89</v>
      </c>
      <c r="BB657" s="97">
        <f t="shared" ref="BB657:BB658" si="5274">SUM(AR657,AZ657)</f>
        <v>107.63386</v>
      </c>
    </row>
    <row r="658" spans="1:54" ht="11.25" customHeight="1">
      <c r="A658" s="498">
        <v>456</v>
      </c>
      <c r="B658" s="13"/>
      <c r="C658" s="23"/>
      <c r="D658" s="13"/>
      <c r="E658" s="21" t="s">
        <v>1694</v>
      </c>
      <c r="F658" s="46"/>
      <c r="G658" s="46" t="s">
        <v>1105</v>
      </c>
      <c r="H658" s="268" t="s">
        <v>365</v>
      </c>
      <c r="I658" s="55"/>
      <c r="J658" s="163">
        <v>18342</v>
      </c>
      <c r="K658" s="55"/>
      <c r="L658" s="163">
        <v>18274</v>
      </c>
      <c r="M658" s="55"/>
      <c r="N658" s="163">
        <v>18274</v>
      </c>
      <c r="O658" s="55"/>
      <c r="P658" s="163">
        <v>18274</v>
      </c>
      <c r="Q658" s="97">
        <f t="shared" ref="Q658" si="5275">SUM(AI658+BA658)</f>
        <v>98.405000000000001</v>
      </c>
      <c r="R658" s="342">
        <f t="shared" ref="R658" si="5276">SUM(AJ658+BB658)</f>
        <v>1799.798882</v>
      </c>
      <c r="S658" s="97">
        <v>8.9350000000000005</v>
      </c>
      <c r="T658" s="97">
        <f t="shared" ref="T658" si="5277">J658*S658/1000</f>
        <v>163.88577000000001</v>
      </c>
      <c r="U658" s="97">
        <v>6.444</v>
      </c>
      <c r="V658" s="97">
        <f t="shared" ref="V658" si="5278">J658*U658/1000</f>
        <v>118.195848</v>
      </c>
      <c r="W658" s="97">
        <v>7.3550000000000004</v>
      </c>
      <c r="X658" s="97">
        <f t="shared" ref="X658" si="5279">J658*W658/1000</f>
        <v>134.90541000000002</v>
      </c>
      <c r="Y658" s="97">
        <f t="shared" si="5260"/>
        <v>22.734000000000002</v>
      </c>
      <c r="Z658" s="97">
        <f t="shared" si="5261"/>
        <v>416.98702800000001</v>
      </c>
      <c r="AA658" s="97">
        <v>9.4719999999999995</v>
      </c>
      <c r="AB658" s="97">
        <f t="shared" ref="AB658" si="5280">L658*AA658/1000</f>
        <v>173.09132799999998</v>
      </c>
      <c r="AC658" s="97">
        <v>11.95</v>
      </c>
      <c r="AD658" s="97">
        <f t="shared" ref="AD658" si="5281">L658*AC658/1000</f>
        <v>218.37429999999998</v>
      </c>
      <c r="AE658" s="97">
        <v>7.556</v>
      </c>
      <c r="AF658" s="97">
        <f t="shared" ref="AF658" si="5282">L658*AE658/1000</f>
        <v>138.07834400000002</v>
      </c>
      <c r="AG658" s="97">
        <f t="shared" si="5262"/>
        <v>28.977999999999998</v>
      </c>
      <c r="AH658" s="97">
        <f t="shared" si="5263"/>
        <v>529.54397199999994</v>
      </c>
      <c r="AI658" s="97">
        <f t="shared" si="5264"/>
        <v>51.712000000000003</v>
      </c>
      <c r="AJ658" s="97">
        <f t="shared" si="5265"/>
        <v>946.53099999999995</v>
      </c>
      <c r="AK658" s="97">
        <v>5.51</v>
      </c>
      <c r="AL658" s="97">
        <f t="shared" si="5266"/>
        <v>100.68973999999999</v>
      </c>
      <c r="AM658" s="97">
        <v>5.0149999999999997</v>
      </c>
      <c r="AN658" s="97">
        <f t="shared" si="5267"/>
        <v>91.644109999999998</v>
      </c>
      <c r="AO658" s="97">
        <v>4.9340000000000002</v>
      </c>
      <c r="AP658" s="97">
        <f t="shared" si="5268"/>
        <v>90.163916</v>
      </c>
      <c r="AQ658" s="97">
        <f t="shared" si="5269"/>
        <v>15.459</v>
      </c>
      <c r="AR658" s="97">
        <f t="shared" si="5270"/>
        <v>282.49776599999996</v>
      </c>
      <c r="AS658" s="97">
        <v>9.4179999999999993</v>
      </c>
      <c r="AT658" s="97">
        <f t="shared" ref="AT658" si="5283">P658*AS658/1000</f>
        <v>172.10453199999998</v>
      </c>
      <c r="AU658" s="97">
        <v>12.58</v>
      </c>
      <c r="AV658" s="97">
        <f t="shared" ref="AV658" si="5284">P658*AU658/1000</f>
        <v>229.88692</v>
      </c>
      <c r="AW658" s="97">
        <v>9.2360000000000007</v>
      </c>
      <c r="AX658" s="97">
        <f t="shared" ref="AX658" si="5285">P658*AW658/1000</f>
        <v>168.77866400000002</v>
      </c>
      <c r="AY658" s="97">
        <f t="shared" si="5271"/>
        <v>31.233999999999998</v>
      </c>
      <c r="AZ658" s="97">
        <f t="shared" si="5272"/>
        <v>570.77011600000003</v>
      </c>
      <c r="BA658" s="97">
        <f t="shared" si="5273"/>
        <v>46.692999999999998</v>
      </c>
      <c r="BB658" s="97">
        <f t="shared" si="5274"/>
        <v>853.26788199999999</v>
      </c>
    </row>
    <row r="659" spans="1:54" ht="11.25" customHeight="1">
      <c r="A659" s="498">
        <v>456</v>
      </c>
      <c r="B659" s="13"/>
      <c r="C659" s="23"/>
      <c r="D659" s="13"/>
      <c r="E659" s="21" t="s">
        <v>357</v>
      </c>
      <c r="F659" s="46"/>
      <c r="G659" s="46" t="s">
        <v>1105</v>
      </c>
      <c r="H659" s="268" t="s">
        <v>365</v>
      </c>
      <c r="I659" s="55"/>
      <c r="J659" s="163">
        <v>11845</v>
      </c>
      <c r="K659" s="55"/>
      <c r="L659" s="163">
        <v>11845</v>
      </c>
      <c r="M659" s="55"/>
      <c r="N659" s="163">
        <v>11845</v>
      </c>
      <c r="O659" s="55"/>
      <c r="P659" s="163">
        <v>11845</v>
      </c>
      <c r="Q659" s="97">
        <f t="shared" si="4388"/>
        <v>0</v>
      </c>
      <c r="R659" s="342">
        <f t="shared" si="4389"/>
        <v>0</v>
      </c>
      <c r="S659" s="97"/>
      <c r="T659" s="97">
        <f t="shared" si="4390"/>
        <v>0</v>
      </c>
      <c r="U659" s="97"/>
      <c r="V659" s="97">
        <f t="shared" si="4391"/>
        <v>0</v>
      </c>
      <c r="W659" s="97"/>
      <c r="X659" s="97">
        <f t="shared" si="4392"/>
        <v>0</v>
      </c>
      <c r="Y659" s="97">
        <f t="shared" si="4393"/>
        <v>0</v>
      </c>
      <c r="Z659" s="97">
        <f t="shared" si="4394"/>
        <v>0</v>
      </c>
      <c r="AA659" s="97"/>
      <c r="AB659" s="97">
        <f t="shared" si="4395"/>
        <v>0</v>
      </c>
      <c r="AC659" s="97"/>
      <c r="AD659" s="97">
        <f t="shared" si="4396"/>
        <v>0</v>
      </c>
      <c r="AE659" s="97"/>
      <c r="AF659" s="97">
        <f t="shared" si="4412"/>
        <v>0</v>
      </c>
      <c r="AG659" s="97">
        <f t="shared" si="4397"/>
        <v>0</v>
      </c>
      <c r="AH659" s="97">
        <f t="shared" si="4398"/>
        <v>0</v>
      </c>
      <c r="AI659" s="97">
        <f t="shared" si="4399"/>
        <v>0</v>
      </c>
      <c r="AJ659" s="97">
        <f t="shared" si="4400"/>
        <v>0</v>
      </c>
      <c r="AK659" s="97"/>
      <c r="AL659" s="97">
        <f t="shared" si="4401"/>
        <v>0</v>
      </c>
      <c r="AM659" s="97"/>
      <c r="AN659" s="97">
        <f t="shared" si="4402"/>
        <v>0</v>
      </c>
      <c r="AO659" s="97"/>
      <c r="AP659" s="97">
        <f t="shared" si="4403"/>
        <v>0</v>
      </c>
      <c r="AQ659" s="97">
        <f t="shared" si="4404"/>
        <v>0</v>
      </c>
      <c r="AR659" s="97">
        <f t="shared" si="4405"/>
        <v>0</v>
      </c>
      <c r="AS659" s="97"/>
      <c r="AT659" s="97">
        <f t="shared" si="4413"/>
        <v>0</v>
      </c>
      <c r="AU659" s="97"/>
      <c r="AV659" s="97">
        <f t="shared" si="4406"/>
        <v>0</v>
      </c>
      <c r="AW659" s="97"/>
      <c r="AX659" s="97">
        <f t="shared" si="4407"/>
        <v>0</v>
      </c>
      <c r="AY659" s="97">
        <f t="shared" si="4408"/>
        <v>0</v>
      </c>
      <c r="AZ659" s="97">
        <f t="shared" si="4409"/>
        <v>0</v>
      </c>
      <c r="BA659" s="97">
        <f t="shared" si="4410"/>
        <v>0</v>
      </c>
      <c r="BB659" s="97">
        <f t="shared" si="4411"/>
        <v>0</v>
      </c>
    </row>
    <row r="660" spans="1:54">
      <c r="A660" s="498">
        <v>457</v>
      </c>
      <c r="B660" s="13"/>
      <c r="C660" s="23"/>
      <c r="D660" s="13"/>
      <c r="E660" s="21" t="s">
        <v>281</v>
      </c>
      <c r="F660" s="46"/>
      <c r="G660" s="46" t="s">
        <v>1105</v>
      </c>
      <c r="H660" s="268" t="s">
        <v>365</v>
      </c>
      <c r="I660" s="55"/>
      <c r="J660" s="163">
        <v>15725</v>
      </c>
      <c r="K660" s="55"/>
      <c r="L660" s="163">
        <v>15657</v>
      </c>
      <c r="M660" s="55"/>
      <c r="N660" s="163">
        <v>15657</v>
      </c>
      <c r="O660" s="55"/>
      <c r="P660" s="163">
        <v>15657</v>
      </c>
      <c r="Q660" s="97">
        <f>SUM(AI660+BA660)</f>
        <v>6.0999999999999999E-2</v>
      </c>
      <c r="R660" s="342">
        <f>SUM(AJ660+BB660)</f>
        <v>0.95752499999999996</v>
      </c>
      <c r="S660" s="97"/>
      <c r="T660" s="97">
        <f t="shared" ref="T660:T662" si="5286">J660*S660/1000</f>
        <v>0</v>
      </c>
      <c r="U660" s="97"/>
      <c r="V660" s="97">
        <f t="shared" ref="V660:V662" si="5287">J660*U660/1000</f>
        <v>0</v>
      </c>
      <c r="W660" s="97">
        <v>3.5999999999999997E-2</v>
      </c>
      <c r="X660" s="97">
        <f t="shared" ref="X660:X662" si="5288">J660*W660/1000</f>
        <v>0.56609999999999994</v>
      </c>
      <c r="Y660" s="97">
        <f t="shared" ref="Y660:Y662" si="5289">SUM(S660+U660+W660)</f>
        <v>3.5999999999999997E-2</v>
      </c>
      <c r="Z660" s="97">
        <f t="shared" ref="Z660:Z662" si="5290">SUM(T660+V660+X660)</f>
        <v>0.56609999999999994</v>
      </c>
      <c r="AA660" s="97">
        <v>2.4E-2</v>
      </c>
      <c r="AB660" s="97">
        <f t="shared" ref="AB660:AB662" si="5291">L660*AA660/1000</f>
        <v>0.37576800000000005</v>
      </c>
      <c r="AC660" s="97"/>
      <c r="AD660" s="97">
        <f t="shared" ref="AD660:AD662" si="5292">L660*AC660/1000</f>
        <v>0</v>
      </c>
      <c r="AE660" s="97"/>
      <c r="AF660" s="97">
        <f t="shared" ref="AF660:AF662" si="5293">L660*AE660/1000</f>
        <v>0</v>
      </c>
      <c r="AG660" s="97">
        <f t="shared" ref="AG660:AG662" si="5294">SUM(AA660+AC660+AE660)</f>
        <v>2.4E-2</v>
      </c>
      <c r="AH660" s="97">
        <f t="shared" ref="AH660:AH662" si="5295">SUM(AB660+AD660+AF660)</f>
        <v>0.37576800000000005</v>
      </c>
      <c r="AI660" s="97">
        <f t="shared" ref="AI660:AI662" si="5296">SUM(Y660+AG660)</f>
        <v>0.06</v>
      </c>
      <c r="AJ660" s="97">
        <f t="shared" ref="AJ660:AJ662" si="5297">SUM(Z660,AH660)</f>
        <v>0.94186799999999993</v>
      </c>
      <c r="AK660" s="97"/>
      <c r="AL660" s="97">
        <f t="shared" ref="AL660:AL662" si="5298">N660*AK660/1000</f>
        <v>0</v>
      </c>
      <c r="AM660" s="97"/>
      <c r="AN660" s="97">
        <f t="shared" ref="AN660" si="5299">N660*AM660/1000</f>
        <v>0</v>
      </c>
      <c r="AO660" s="97">
        <v>1E-3</v>
      </c>
      <c r="AP660" s="97">
        <f t="shared" ref="AP660:AP662" si="5300">N660*AO660/1000</f>
        <v>1.5657000000000001E-2</v>
      </c>
      <c r="AQ660" s="97">
        <f t="shared" ref="AQ660:AQ662" si="5301">SUM(AK660+AM660+AO660)</f>
        <v>1E-3</v>
      </c>
      <c r="AR660" s="97">
        <f t="shared" ref="AR660:AR662" si="5302">SUM(AL660+AN660+AP660)</f>
        <v>1.5657000000000001E-2</v>
      </c>
      <c r="AS660" s="97"/>
      <c r="AT660" s="97">
        <f t="shared" ref="AT660:AT662" si="5303">P660*AS660/1000</f>
        <v>0</v>
      </c>
      <c r="AU660" s="97"/>
      <c r="AV660" s="97">
        <f t="shared" ref="AV660:AV662" si="5304">P660*AU660/1000</f>
        <v>0</v>
      </c>
      <c r="AW660" s="97"/>
      <c r="AX660" s="97">
        <f t="shared" ref="AX660:AX662" si="5305">P660*AW660/1000</f>
        <v>0</v>
      </c>
      <c r="AY660" s="97">
        <f t="shared" ref="AY660:AY662" si="5306">SUM(AS660+AU660+AW660)</f>
        <v>0</v>
      </c>
      <c r="AZ660" s="97">
        <f t="shared" ref="AZ660:AZ662" si="5307">SUM(AT660+AV660+AX660)</f>
        <v>0</v>
      </c>
      <c r="BA660" s="97">
        <f t="shared" ref="BA660:BA662" si="5308">SUM(AQ660+AY660)</f>
        <v>1E-3</v>
      </c>
      <c r="BB660" s="97">
        <f t="shared" ref="BB660:BB662" si="5309">SUM(AR660,AZ660)</f>
        <v>1.5657000000000001E-2</v>
      </c>
    </row>
    <row r="661" spans="1:54" ht="12" customHeight="1">
      <c r="A661" s="498">
        <v>458</v>
      </c>
      <c r="B661" s="13"/>
      <c r="C661" s="13"/>
      <c r="D661" s="13"/>
      <c r="E661" s="21" t="s">
        <v>1526</v>
      </c>
      <c r="F661" s="46"/>
      <c r="G661" s="46" t="s">
        <v>1105</v>
      </c>
      <c r="H661" s="268" t="s">
        <v>366</v>
      </c>
      <c r="I661" s="55"/>
      <c r="J661" s="163">
        <v>15774</v>
      </c>
      <c r="K661" s="55"/>
      <c r="L661" s="163">
        <v>15706</v>
      </c>
      <c r="M661" s="55"/>
      <c r="N661" s="163">
        <v>15706</v>
      </c>
      <c r="O661" s="55"/>
      <c r="P661" s="163">
        <v>15706</v>
      </c>
      <c r="Q661" s="97">
        <f t="shared" ref="Q661" si="5310">SUM(AI661+BA661)</f>
        <v>14.448</v>
      </c>
      <c r="R661" s="342">
        <f t="shared" ref="R661" si="5311">SUM(AJ661+BB661)</f>
        <v>227.104432</v>
      </c>
      <c r="S661" s="97">
        <v>0.89600000000000002</v>
      </c>
      <c r="T661" s="97">
        <f t="shared" ref="T661" si="5312">J661*S661/1000</f>
        <v>14.133504</v>
      </c>
      <c r="U661" s="97">
        <v>0.55000000000000004</v>
      </c>
      <c r="V661" s="97">
        <f t="shared" ref="V661" si="5313">J661*U661/1000</f>
        <v>8.6757000000000009</v>
      </c>
      <c r="W661" s="97">
        <v>1.262</v>
      </c>
      <c r="X661" s="97">
        <f t="shared" ref="X661" si="5314">J661*W661/1000</f>
        <v>19.906787999999999</v>
      </c>
      <c r="Y661" s="97">
        <f t="shared" ref="Y661" si="5315">SUM(S661+U661+W661)</f>
        <v>2.7080000000000002</v>
      </c>
      <c r="Z661" s="97">
        <f t="shared" ref="Z661" si="5316">SUM(T661+V661+X661)</f>
        <v>42.715992</v>
      </c>
      <c r="AA661" s="97">
        <v>1.0720000000000001</v>
      </c>
      <c r="AB661" s="97">
        <f t="shared" ref="AB661" si="5317">L661*AA661/1000</f>
        <v>16.836832000000001</v>
      </c>
      <c r="AC661" s="97">
        <v>1.3540000000000001</v>
      </c>
      <c r="AD661" s="97">
        <f t="shared" ref="AD661" si="5318">L661*AC661/1000</f>
        <v>21.265924000000002</v>
      </c>
      <c r="AE661" s="97">
        <v>0.64</v>
      </c>
      <c r="AF661" s="97">
        <f t="shared" ref="AF661" si="5319">L661*AE661/1000</f>
        <v>10.05184</v>
      </c>
      <c r="AG661" s="97">
        <f t="shared" ref="AG661" si="5320">SUM(AA661+AC661+AE661)</f>
        <v>3.0660000000000003</v>
      </c>
      <c r="AH661" s="97">
        <f t="shared" ref="AH661" si="5321">SUM(AB661+AD661+AF661)</f>
        <v>48.154595999999998</v>
      </c>
      <c r="AI661" s="97">
        <f t="shared" ref="AI661" si="5322">SUM(Y661+AG661)</f>
        <v>5.7740000000000009</v>
      </c>
      <c r="AJ661" s="97">
        <f t="shared" ref="AJ661" si="5323">SUM(Z661,AH661)</f>
        <v>90.870587999999998</v>
      </c>
      <c r="AK661" s="97">
        <v>1.216</v>
      </c>
      <c r="AL661" s="97">
        <f t="shared" ref="AL661" si="5324">N661*AK661/1000</f>
        <v>19.098496000000001</v>
      </c>
      <c r="AM661" s="97">
        <v>1.46</v>
      </c>
      <c r="AN661" s="97">
        <f>N661*AM661/1000</f>
        <v>22.930759999999999</v>
      </c>
      <c r="AO661" s="97">
        <v>1.292</v>
      </c>
      <c r="AP661" s="97">
        <f t="shared" ref="AP661" si="5325">N661*AO661/1000</f>
        <v>20.292152000000002</v>
      </c>
      <c r="AQ661" s="97">
        <f t="shared" ref="AQ661" si="5326">SUM(AK661+AM661+AO661)</f>
        <v>3.968</v>
      </c>
      <c r="AR661" s="97">
        <f t="shared" ref="AR661" si="5327">SUM(AL661+AN661+AP661)</f>
        <v>62.321408000000005</v>
      </c>
      <c r="AS661" s="97">
        <v>1.4</v>
      </c>
      <c r="AT661" s="97">
        <f t="shared" ref="AT661" si="5328">P661*AS661/1000</f>
        <v>21.988399999999999</v>
      </c>
      <c r="AU661" s="97">
        <v>2.04</v>
      </c>
      <c r="AV661" s="97">
        <f t="shared" ref="AV661" si="5329">P661*AU661/1000</f>
        <v>32.040240000000004</v>
      </c>
      <c r="AW661" s="97">
        <v>1.266</v>
      </c>
      <c r="AX661" s="97">
        <f t="shared" ref="AX661" si="5330">P661*AW661/1000</f>
        <v>19.883795999999997</v>
      </c>
      <c r="AY661" s="97">
        <f t="shared" ref="AY661" si="5331">SUM(AS661+AU661+AW661)</f>
        <v>4.7059999999999995</v>
      </c>
      <c r="AZ661" s="97">
        <f t="shared" ref="AZ661" si="5332">SUM(AT661+AV661+AX661)</f>
        <v>73.912436</v>
      </c>
      <c r="BA661" s="97">
        <f t="shared" ref="BA661" si="5333">SUM(AQ661+AY661)</f>
        <v>8.6739999999999995</v>
      </c>
      <c r="BB661" s="97">
        <f t="shared" ref="BB661" si="5334">SUM(AR661,AZ661)</f>
        <v>136.233844</v>
      </c>
    </row>
    <row r="662" spans="1:54" ht="12" customHeight="1">
      <c r="A662" s="498">
        <v>458</v>
      </c>
      <c r="B662" s="13"/>
      <c r="C662" s="13"/>
      <c r="D662" s="13"/>
      <c r="E662" s="21" t="s">
        <v>800</v>
      </c>
      <c r="F662" s="46"/>
      <c r="G662" s="46" t="s">
        <v>1105</v>
      </c>
      <c r="H662" s="268" t="s">
        <v>366</v>
      </c>
      <c r="I662" s="55"/>
      <c r="J662" s="163">
        <v>15932</v>
      </c>
      <c r="K662" s="55"/>
      <c r="L662" s="163">
        <v>15519</v>
      </c>
      <c r="M662" s="55"/>
      <c r="N662" s="163">
        <v>15519</v>
      </c>
      <c r="O662" s="55"/>
      <c r="P662" s="163">
        <v>15519</v>
      </c>
      <c r="Q662" s="97">
        <f t="shared" ref="Q662" si="5335">SUM(AI662+BA662)</f>
        <v>0</v>
      </c>
      <c r="R662" s="342">
        <f t="shared" ref="R662" si="5336">SUM(AJ662+BB662)</f>
        <v>0</v>
      </c>
      <c r="S662" s="97"/>
      <c r="T662" s="97">
        <f t="shared" si="5286"/>
        <v>0</v>
      </c>
      <c r="U662" s="97"/>
      <c r="V662" s="97">
        <f t="shared" si="5287"/>
        <v>0</v>
      </c>
      <c r="W662" s="97"/>
      <c r="X662" s="97">
        <f t="shared" si="5288"/>
        <v>0</v>
      </c>
      <c r="Y662" s="97">
        <f t="shared" si="5289"/>
        <v>0</v>
      </c>
      <c r="Z662" s="97">
        <f t="shared" si="5290"/>
        <v>0</v>
      </c>
      <c r="AA662" s="97"/>
      <c r="AB662" s="97">
        <f t="shared" si="5291"/>
        <v>0</v>
      </c>
      <c r="AC662" s="97"/>
      <c r="AD662" s="97">
        <f t="shared" si="5292"/>
        <v>0</v>
      </c>
      <c r="AE662" s="97"/>
      <c r="AF662" s="97">
        <f t="shared" si="5293"/>
        <v>0</v>
      </c>
      <c r="AG662" s="97">
        <f t="shared" si="5294"/>
        <v>0</v>
      </c>
      <c r="AH662" s="97">
        <f t="shared" si="5295"/>
        <v>0</v>
      </c>
      <c r="AI662" s="97">
        <f t="shared" si="5296"/>
        <v>0</v>
      </c>
      <c r="AJ662" s="97">
        <f t="shared" si="5297"/>
        <v>0</v>
      </c>
      <c r="AK662" s="97"/>
      <c r="AL662" s="97">
        <f t="shared" si="5298"/>
        <v>0</v>
      </c>
      <c r="AM662" s="97"/>
      <c r="AN662" s="97">
        <f>N662*AM662/1000</f>
        <v>0</v>
      </c>
      <c r="AO662" s="97"/>
      <c r="AP662" s="97">
        <f t="shared" si="5300"/>
        <v>0</v>
      </c>
      <c r="AQ662" s="97">
        <f t="shared" si="5301"/>
        <v>0</v>
      </c>
      <c r="AR662" s="97">
        <f t="shared" si="5302"/>
        <v>0</v>
      </c>
      <c r="AS662" s="97"/>
      <c r="AT662" s="97">
        <f t="shared" si="5303"/>
        <v>0</v>
      </c>
      <c r="AU662" s="97"/>
      <c r="AV662" s="97">
        <f t="shared" si="5304"/>
        <v>0</v>
      </c>
      <c r="AW662" s="97"/>
      <c r="AX662" s="97">
        <f t="shared" si="5305"/>
        <v>0</v>
      </c>
      <c r="AY662" s="97">
        <f t="shared" si="5306"/>
        <v>0</v>
      </c>
      <c r="AZ662" s="97">
        <f t="shared" si="5307"/>
        <v>0</v>
      </c>
      <c r="BA662" s="97">
        <f t="shared" si="5308"/>
        <v>0</v>
      </c>
      <c r="BB662" s="97">
        <f t="shared" si="5309"/>
        <v>0</v>
      </c>
    </row>
    <row r="663" spans="1:54">
      <c r="A663" s="498">
        <v>459</v>
      </c>
      <c r="B663" s="13"/>
      <c r="C663" s="23"/>
      <c r="D663" s="13"/>
      <c r="E663" s="63" t="s">
        <v>585</v>
      </c>
      <c r="F663" s="425"/>
      <c r="G663" s="425" t="s">
        <v>1105</v>
      </c>
      <c r="H663" s="284" t="s">
        <v>365</v>
      </c>
      <c r="I663" s="67"/>
      <c r="J663" s="166">
        <v>12894</v>
      </c>
      <c r="K663" s="67"/>
      <c r="L663" s="166">
        <v>12826</v>
      </c>
      <c r="M663" s="67"/>
      <c r="N663" s="166">
        <v>12826</v>
      </c>
      <c r="O663" s="67"/>
      <c r="P663" s="166">
        <v>12826</v>
      </c>
      <c r="Q663" s="129">
        <f>SUM(AI663+BA663)</f>
        <v>5.0589999999999993</v>
      </c>
      <c r="R663" s="350">
        <f>SUM(AJ663+BB663)</f>
        <v>64.995397999999994</v>
      </c>
      <c r="S663" s="129">
        <v>0.59599999999999997</v>
      </c>
      <c r="T663" s="129">
        <f t="shared" si="4390"/>
        <v>7.6848239999999999</v>
      </c>
      <c r="U663" s="129">
        <v>0.41199999999999998</v>
      </c>
      <c r="V663" s="129">
        <f t="shared" si="4391"/>
        <v>5.3123279999999999</v>
      </c>
      <c r="W663" s="129">
        <v>0.59</v>
      </c>
      <c r="X663" s="129">
        <f t="shared" si="4392"/>
        <v>7.6074599999999997</v>
      </c>
      <c r="Y663" s="129">
        <f t="shared" si="4393"/>
        <v>1.5979999999999999</v>
      </c>
      <c r="Z663" s="129">
        <f t="shared" si="4394"/>
        <v>20.604611999999999</v>
      </c>
      <c r="AA663" s="129">
        <v>0.34399999999999997</v>
      </c>
      <c r="AB663" s="129">
        <f t="shared" si="4395"/>
        <v>4.4121439999999996</v>
      </c>
      <c r="AC663" s="129">
        <v>0.49199999999999999</v>
      </c>
      <c r="AD663" s="129">
        <f t="shared" si="4396"/>
        <v>6.3103920000000002</v>
      </c>
      <c r="AE663" s="129">
        <v>0.44</v>
      </c>
      <c r="AF663" s="129">
        <f t="shared" si="4412"/>
        <v>5.64344</v>
      </c>
      <c r="AG663" s="129">
        <f t="shared" si="4397"/>
        <v>1.276</v>
      </c>
      <c r="AH663" s="129">
        <f t="shared" si="4398"/>
        <v>16.365976</v>
      </c>
      <c r="AI663" s="129">
        <f t="shared" si="4399"/>
        <v>2.8739999999999997</v>
      </c>
      <c r="AJ663" s="129">
        <f t="shared" si="4400"/>
        <v>36.970587999999999</v>
      </c>
      <c r="AK663" s="129">
        <v>0.20200000000000001</v>
      </c>
      <c r="AL663" s="129">
        <f t="shared" si="4401"/>
        <v>2.5908520000000004</v>
      </c>
      <c r="AM663" s="129">
        <v>0.375</v>
      </c>
      <c r="AN663" s="129">
        <f t="shared" si="4402"/>
        <v>4.8097500000000002</v>
      </c>
      <c r="AO663" s="129">
        <v>0.504</v>
      </c>
      <c r="AP663" s="129">
        <f>N663*AO663/1000</f>
        <v>6.4643040000000003</v>
      </c>
      <c r="AQ663" s="129">
        <f t="shared" si="4404"/>
        <v>1.081</v>
      </c>
      <c r="AR663" s="129">
        <f t="shared" si="4405"/>
        <v>13.864906000000001</v>
      </c>
      <c r="AS663" s="129">
        <v>0.84</v>
      </c>
      <c r="AT663" s="129">
        <f t="shared" si="4413"/>
        <v>10.77384</v>
      </c>
      <c r="AU663" s="129"/>
      <c r="AV663" s="129">
        <f t="shared" si="4406"/>
        <v>0</v>
      </c>
      <c r="AW663" s="129">
        <v>0.26400000000000001</v>
      </c>
      <c r="AX663" s="129">
        <f t="shared" si="4407"/>
        <v>3.3860640000000002</v>
      </c>
      <c r="AY663" s="129">
        <f t="shared" si="4408"/>
        <v>1.1040000000000001</v>
      </c>
      <c r="AZ663" s="129">
        <f t="shared" si="4409"/>
        <v>14.159904000000001</v>
      </c>
      <c r="BA663" s="129">
        <f t="shared" si="4410"/>
        <v>2.1850000000000001</v>
      </c>
      <c r="BB663" s="129">
        <f t="shared" si="4411"/>
        <v>28.024810000000002</v>
      </c>
    </row>
    <row r="664" spans="1:54" s="6" customFormat="1">
      <c r="A664" s="498">
        <v>423</v>
      </c>
      <c r="B664" s="14"/>
      <c r="C664" s="14"/>
      <c r="D664" s="41"/>
      <c r="E664" s="16" t="s">
        <v>1580</v>
      </c>
      <c r="F664" s="45"/>
      <c r="G664" s="46" t="s">
        <v>1105</v>
      </c>
      <c r="H664" s="267" t="s">
        <v>370</v>
      </c>
      <c r="I664" s="234"/>
      <c r="J664" s="241">
        <v>14161</v>
      </c>
      <c r="K664" s="234"/>
      <c r="L664" s="241">
        <v>13787</v>
      </c>
      <c r="M664" s="234"/>
      <c r="N664" s="241">
        <v>13787</v>
      </c>
      <c r="O664" s="234"/>
      <c r="P664" s="241">
        <v>13787</v>
      </c>
      <c r="Q664" s="96">
        <f t="shared" ref="Q664" si="5337">SUM(AI664+BA664)</f>
        <v>168.494</v>
      </c>
      <c r="R664" s="340">
        <f t="shared" ref="R664" si="5338">SUM(AJ664+BB664)</f>
        <v>2336.2716140000002</v>
      </c>
      <c r="S664" s="96">
        <v>8.9429999999999996</v>
      </c>
      <c r="T664" s="96">
        <f>J664*S664/1000</f>
        <v>126.64182299999999</v>
      </c>
      <c r="U664" s="96">
        <v>10.074999999999999</v>
      </c>
      <c r="V664" s="96">
        <f>J664*U664/1000</f>
        <v>142.67207499999998</v>
      </c>
      <c r="W664" s="96">
        <v>16.396000000000001</v>
      </c>
      <c r="X664" s="96">
        <f>J664*W664/1000</f>
        <v>232.18375600000002</v>
      </c>
      <c r="Y664" s="96">
        <f>SUM(S664+U664+W664)</f>
        <v>35.414000000000001</v>
      </c>
      <c r="Z664" s="96">
        <f>SUM(T664+V664+X664)</f>
        <v>501.49765400000001</v>
      </c>
      <c r="AA664" s="96">
        <v>17.21</v>
      </c>
      <c r="AB664" s="96">
        <f>L664*AA664/1000</f>
        <v>237.27427000000003</v>
      </c>
      <c r="AC664" s="96">
        <v>13.254</v>
      </c>
      <c r="AD664" s="96">
        <f>L664*AC664/1000</f>
        <v>182.73289799999998</v>
      </c>
      <c r="AE664" s="96">
        <v>14.224</v>
      </c>
      <c r="AF664" s="97">
        <f t="shared" ref="AF664" si="5339">L664*AE664/1000</f>
        <v>196.10628800000001</v>
      </c>
      <c r="AG664" s="96">
        <f>SUM(AA664+AC664+AE664)</f>
        <v>44.688000000000002</v>
      </c>
      <c r="AH664" s="96">
        <f>SUM(AB664+AD664+AF664)</f>
        <v>616.11345600000004</v>
      </c>
      <c r="AI664" s="96">
        <f>SUM(Y664+AG664)</f>
        <v>80.102000000000004</v>
      </c>
      <c r="AJ664" s="96">
        <f>SUM(Z664,AH664)</f>
        <v>1117.6111100000001</v>
      </c>
      <c r="AK664" s="96">
        <v>11.736000000000001</v>
      </c>
      <c r="AL664" s="96">
        <f>N664*AK664/1000</f>
        <v>161.80423200000001</v>
      </c>
      <c r="AM664" s="96">
        <v>12.878</v>
      </c>
      <c r="AN664" s="96">
        <f>N664*AM664/1000</f>
        <v>177.54898600000001</v>
      </c>
      <c r="AO664" s="96">
        <v>13.281000000000001</v>
      </c>
      <c r="AP664" s="96">
        <f>N664*AO664/1000</f>
        <v>183.10514699999999</v>
      </c>
      <c r="AQ664" s="96">
        <f>SUM(AK664+AM664+AO664)</f>
        <v>37.895000000000003</v>
      </c>
      <c r="AR664" s="96">
        <f>SUM(AL664+AN664+AP664)</f>
        <v>522.45836499999996</v>
      </c>
      <c r="AS664" s="96">
        <v>15.09</v>
      </c>
      <c r="AT664" s="96">
        <f t="shared" ref="AT664" si="5340">P664*AS664/1000</f>
        <v>208.04583</v>
      </c>
      <c r="AU664" s="96">
        <v>19.061</v>
      </c>
      <c r="AV664" s="96">
        <f t="shared" ref="AV664" si="5341">P664*AU664/1000</f>
        <v>262.79400699999997</v>
      </c>
      <c r="AW664" s="96">
        <v>16.346</v>
      </c>
      <c r="AX664" s="96">
        <f t="shared" ref="AX664" si="5342">P664*AW664/1000</f>
        <v>225.362302</v>
      </c>
      <c r="AY664" s="96">
        <f>SUM(AS664+AU664+AW664)</f>
        <v>50.497</v>
      </c>
      <c r="AZ664" s="96">
        <f>SUM(AT664+AV664+AX664)</f>
        <v>696.20213899999999</v>
      </c>
      <c r="BA664" s="96">
        <f>SUM(AQ664+AY664)</f>
        <v>88.391999999999996</v>
      </c>
      <c r="BB664" s="96">
        <f>SUM(AR664,AZ664)</f>
        <v>1218.6605039999999</v>
      </c>
    </row>
    <row r="665" spans="1:54">
      <c r="B665" s="13"/>
      <c r="C665" s="13"/>
      <c r="D665" s="13"/>
      <c r="E665" s="21" t="s">
        <v>1273</v>
      </c>
      <c r="F665" s="46"/>
      <c r="G665" s="46" t="s">
        <v>1101</v>
      </c>
      <c r="H665" s="268" t="s">
        <v>365</v>
      </c>
      <c r="I665" s="55"/>
      <c r="J665" s="163">
        <v>4922</v>
      </c>
      <c r="K665" s="55"/>
      <c r="L665" s="163">
        <v>4922</v>
      </c>
      <c r="M665" s="55"/>
      <c r="N665" s="163">
        <v>4922</v>
      </c>
      <c r="O665" s="55"/>
      <c r="P665" s="163">
        <v>4922</v>
      </c>
      <c r="Q665" s="97">
        <f>SUM(AI665+BA665)</f>
        <v>6.0140000000000011</v>
      </c>
      <c r="R665" s="342">
        <f t="shared" ref="R665" si="5343">SUM(AJ665+BB665)</f>
        <v>29.600907999999997</v>
      </c>
      <c r="S665" s="97"/>
      <c r="T665" s="97">
        <f t="shared" ref="T665" si="5344">J665*S665/1000</f>
        <v>0</v>
      </c>
      <c r="U665" s="97">
        <v>0.64500000000000002</v>
      </c>
      <c r="V665" s="97">
        <f t="shared" ref="V665" si="5345">J665*U665/1000</f>
        <v>3.17469</v>
      </c>
      <c r="W665" s="97"/>
      <c r="X665" s="97">
        <f t="shared" ref="X665" si="5346">J665*W665/1000</f>
        <v>0</v>
      </c>
      <c r="Y665" s="97">
        <f t="shared" ref="Y665" si="5347">SUM(S665+U665+W665)</f>
        <v>0.64500000000000002</v>
      </c>
      <c r="Z665" s="97">
        <f t="shared" ref="Z665" si="5348">SUM(T665+V665+X665)</f>
        <v>3.17469</v>
      </c>
      <c r="AA665" s="97">
        <v>0.8</v>
      </c>
      <c r="AB665" s="97">
        <f t="shared" ref="AB665" si="5349">L665*AA665/1000</f>
        <v>3.9376000000000002</v>
      </c>
      <c r="AC665" s="97"/>
      <c r="AD665" s="97">
        <f t="shared" ref="AD665" si="5350">L665*AC665/1000</f>
        <v>0</v>
      </c>
      <c r="AE665" s="97">
        <v>0.52500000000000002</v>
      </c>
      <c r="AF665" s="97">
        <f t="shared" ref="AF665" si="5351">L665*AE665/1000</f>
        <v>2.5840500000000004</v>
      </c>
      <c r="AG665" s="97">
        <f t="shared" ref="AG665" si="5352">SUM(AA665+AC665+AE665)</f>
        <v>1.3250000000000002</v>
      </c>
      <c r="AH665" s="97">
        <f t="shared" ref="AH665" si="5353">SUM(AB665+AD665+AF665)</f>
        <v>6.5216500000000011</v>
      </c>
      <c r="AI665" s="97">
        <f t="shared" ref="AI665" si="5354">SUM(Y665+AG665)</f>
        <v>1.9700000000000002</v>
      </c>
      <c r="AJ665" s="97">
        <f t="shared" ref="AJ665" si="5355">SUM(Z665,AH665)</f>
        <v>9.6963400000000011</v>
      </c>
      <c r="AK665" s="97"/>
      <c r="AL665" s="97">
        <f t="shared" ref="AL665" si="5356">N665*AK665/1000</f>
        <v>0</v>
      </c>
      <c r="AM665" s="97">
        <v>0.59599999999999997</v>
      </c>
      <c r="AN665" s="97">
        <f t="shared" ref="AN665" si="5357">N665*AM665/1000</f>
        <v>2.9335119999999999</v>
      </c>
      <c r="AO665" s="97">
        <v>1.448</v>
      </c>
      <c r="AP665" s="97">
        <f t="shared" ref="AP665" si="5358">N665*AO665/1000</f>
        <v>7.1270559999999996</v>
      </c>
      <c r="AQ665" s="97">
        <f t="shared" ref="AQ665" si="5359">SUM(AK665+AM665+AO665)</f>
        <v>2.044</v>
      </c>
      <c r="AR665" s="97">
        <f t="shared" ref="AR665" si="5360">SUM(AL665+AN665+AP665)</f>
        <v>10.060568</v>
      </c>
      <c r="AS665" s="97"/>
      <c r="AT665" s="97">
        <f t="shared" ref="AT665" si="5361">P665*AS665/1000</f>
        <v>0</v>
      </c>
      <c r="AU665" s="97">
        <v>1</v>
      </c>
      <c r="AV665" s="97">
        <f t="shared" ref="AV665" si="5362">P665*AU665/1000</f>
        <v>4.9219999999999997</v>
      </c>
      <c r="AW665" s="97">
        <v>1</v>
      </c>
      <c r="AX665" s="97">
        <f t="shared" ref="AX665" si="5363">P665*AW665/1000</f>
        <v>4.9219999999999997</v>
      </c>
      <c r="AY665" s="97">
        <f t="shared" ref="AY665" si="5364">SUM(AS665+AU665+AW665)</f>
        <v>2</v>
      </c>
      <c r="AZ665" s="97">
        <f t="shared" ref="AZ665" si="5365">SUM(AT665+AV665+AX665)</f>
        <v>9.8439999999999994</v>
      </c>
      <c r="BA665" s="97">
        <f t="shared" ref="BA665" si="5366">SUM(AQ665+AY665)</f>
        <v>4.0440000000000005</v>
      </c>
      <c r="BB665" s="97">
        <f t="shared" ref="BB665" si="5367">SUM(AR665,AZ665)</f>
        <v>19.904567999999998</v>
      </c>
    </row>
    <row r="666" spans="1:54">
      <c r="B666" s="13"/>
      <c r="C666" s="13"/>
      <c r="D666" s="13"/>
      <c r="E666" s="21" t="s">
        <v>1272</v>
      </c>
      <c r="F666" s="46"/>
      <c r="G666" s="46" t="s">
        <v>1101</v>
      </c>
      <c r="H666" s="268" t="s">
        <v>365</v>
      </c>
      <c r="I666" s="55"/>
      <c r="J666" s="163">
        <v>21871</v>
      </c>
      <c r="K666" s="55"/>
      <c r="L666" s="163">
        <v>21096</v>
      </c>
      <c r="M666" s="55"/>
      <c r="N666" s="163">
        <v>21096</v>
      </c>
      <c r="O666" s="55"/>
      <c r="P666" s="163">
        <v>21096</v>
      </c>
      <c r="Q666" s="97">
        <f t="shared" si="4388"/>
        <v>1.9300000000000002</v>
      </c>
      <c r="R666" s="342">
        <f t="shared" si="4389"/>
        <v>40.937704999999994</v>
      </c>
      <c r="S666" s="97">
        <v>0.13500000000000001</v>
      </c>
      <c r="T666" s="97">
        <f t="shared" ref="T666" si="5368">J666*S666/1000</f>
        <v>2.952585</v>
      </c>
      <c r="U666" s="97">
        <v>5.7000000000000002E-2</v>
      </c>
      <c r="V666" s="97">
        <f t="shared" ref="V666" si="5369">J666*U666/1000</f>
        <v>1.2466469999999998</v>
      </c>
      <c r="W666" s="97">
        <v>9.5000000000000001E-2</v>
      </c>
      <c r="X666" s="97">
        <f t="shared" ref="X666" si="5370">J666*W666/1000</f>
        <v>2.0777449999999997</v>
      </c>
      <c r="Y666" s="97">
        <f t="shared" ref="Y666" si="5371">SUM(S666+U666+W666)</f>
        <v>0.28700000000000003</v>
      </c>
      <c r="Z666" s="97">
        <f t="shared" ref="Z666" si="5372">SUM(T666+V666+X666)</f>
        <v>6.2769770000000005</v>
      </c>
      <c r="AA666" s="97">
        <v>0.04</v>
      </c>
      <c r="AB666" s="97">
        <f t="shared" ref="AB666" si="5373">L666*AA666/1000</f>
        <v>0.84384000000000003</v>
      </c>
      <c r="AC666" s="97">
        <v>0.125</v>
      </c>
      <c r="AD666" s="97">
        <f t="shared" ref="AD666" si="5374">L666*AC666/1000</f>
        <v>2.637</v>
      </c>
      <c r="AE666" s="97">
        <v>0.121</v>
      </c>
      <c r="AF666" s="97">
        <f t="shared" ref="AF666" si="5375">L666*AE666/1000</f>
        <v>2.552616</v>
      </c>
      <c r="AG666" s="97">
        <f t="shared" ref="AG666" si="5376">SUM(AA666+AC666+AE666)</f>
        <v>0.28600000000000003</v>
      </c>
      <c r="AH666" s="97">
        <f t="shared" ref="AH666" si="5377">SUM(AB666+AD666+AF666)</f>
        <v>6.0334560000000002</v>
      </c>
      <c r="AI666" s="97">
        <f t="shared" si="4399"/>
        <v>0.57300000000000006</v>
      </c>
      <c r="AJ666" s="97">
        <f t="shared" si="4400"/>
        <v>12.310433</v>
      </c>
      <c r="AK666" s="97">
        <v>0.03</v>
      </c>
      <c r="AL666" s="97">
        <f t="shared" ref="AL666" si="5378">N666*AK666/1000</f>
        <v>0.63288</v>
      </c>
      <c r="AM666" s="97">
        <v>0.192</v>
      </c>
      <c r="AN666" s="97">
        <f t="shared" ref="AN666" si="5379">N666*AM666/1000</f>
        <v>4.0504319999999998</v>
      </c>
      <c r="AO666" s="97">
        <v>0.3</v>
      </c>
      <c r="AP666" s="97">
        <f t="shared" ref="AP666" si="5380">N666*AO666/1000</f>
        <v>6.3288000000000002</v>
      </c>
      <c r="AQ666" s="97">
        <f t="shared" ref="AQ666" si="5381">SUM(AK666+AM666+AO666)</f>
        <v>0.52200000000000002</v>
      </c>
      <c r="AR666" s="97">
        <f t="shared" ref="AR666" si="5382">SUM(AL666+AN666+AP666)</f>
        <v>11.012112</v>
      </c>
      <c r="AS666" s="97">
        <v>0.35</v>
      </c>
      <c r="AT666" s="97">
        <f t="shared" ref="AT666" si="5383">P666*AS666/1000</f>
        <v>7.3835999999999995</v>
      </c>
      <c r="AU666" s="97">
        <v>0.23499999999999999</v>
      </c>
      <c r="AV666" s="97">
        <f t="shared" ref="AV666" si="5384">P666*AU666/1000</f>
        <v>4.9575599999999991</v>
      </c>
      <c r="AW666" s="97">
        <v>0.25</v>
      </c>
      <c r="AX666" s="97">
        <f t="shared" ref="AX666" si="5385">P666*AW666/1000</f>
        <v>5.274</v>
      </c>
      <c r="AY666" s="97">
        <f t="shared" ref="AY666" si="5386">SUM(AS666+AU666+AW666)</f>
        <v>0.83499999999999996</v>
      </c>
      <c r="AZ666" s="97">
        <f t="shared" ref="AZ666" si="5387">SUM(AT666+AV666+AX666)</f>
        <v>17.615159999999999</v>
      </c>
      <c r="BA666" s="97">
        <f t="shared" si="4410"/>
        <v>1.357</v>
      </c>
      <c r="BB666" s="97">
        <f t="shared" si="4411"/>
        <v>28.627271999999998</v>
      </c>
    </row>
    <row r="667" spans="1:54">
      <c r="A667" s="498">
        <v>442</v>
      </c>
      <c r="B667" s="13"/>
      <c r="C667" s="13"/>
      <c r="D667" s="15"/>
      <c r="E667" s="539" t="s">
        <v>1214</v>
      </c>
      <c r="F667" s="46"/>
      <c r="G667" s="46" t="s">
        <v>1102</v>
      </c>
      <c r="H667" s="268" t="s">
        <v>365</v>
      </c>
      <c r="I667" s="55"/>
      <c r="J667" s="163">
        <v>21922</v>
      </c>
      <c r="K667" s="55"/>
      <c r="L667" s="163">
        <v>21875</v>
      </c>
      <c r="M667" s="55"/>
      <c r="N667" s="163">
        <v>21875</v>
      </c>
      <c r="O667" s="55"/>
      <c r="P667" s="163">
        <v>21875</v>
      </c>
      <c r="Q667" s="97">
        <f>SUM(AI667+BA667)</f>
        <v>5.4790000000000001</v>
      </c>
      <c r="R667" s="342">
        <f>SUM(AJ667+BB667)</f>
        <v>119.917468</v>
      </c>
      <c r="S667" s="97">
        <v>0.51600000000000001</v>
      </c>
      <c r="T667" s="97">
        <f>J667*S667/1000</f>
        <v>11.311752</v>
      </c>
      <c r="U667" s="97">
        <v>0.34499999999999997</v>
      </c>
      <c r="V667" s="97">
        <f>J667*U667/1000</f>
        <v>7.563089999999999</v>
      </c>
      <c r="W667" s="97">
        <v>0.50800000000000001</v>
      </c>
      <c r="X667" s="97">
        <f>J667*W667/1000</f>
        <v>11.136376</v>
      </c>
      <c r="Y667" s="97">
        <f>SUM(S667+U667+W667)</f>
        <v>1.369</v>
      </c>
      <c r="Z667" s="97">
        <f>SUM(T667+V667+X667)</f>
        <v>30.011218</v>
      </c>
      <c r="AA667" s="97">
        <v>0.4</v>
      </c>
      <c r="AB667" s="97">
        <f>L667*AA667/1000</f>
        <v>8.75</v>
      </c>
      <c r="AC667" s="97">
        <v>0.44</v>
      </c>
      <c r="AD667" s="97">
        <f>L667*AC667/1000</f>
        <v>9.625</v>
      </c>
      <c r="AE667" s="97">
        <v>0.41499999999999998</v>
      </c>
      <c r="AF667" s="97">
        <f>L667*AE667/1000</f>
        <v>9.078125</v>
      </c>
      <c r="AG667" s="97">
        <f>SUM(AA667+AC667+AE667)</f>
        <v>1.2550000000000001</v>
      </c>
      <c r="AH667" s="97">
        <f>SUM(AB667+AD667+AF667)</f>
        <v>27.453125</v>
      </c>
      <c r="AI667" s="97">
        <f>SUM(Y667+AG667)</f>
        <v>2.6240000000000001</v>
      </c>
      <c r="AJ667" s="97">
        <f>SUM(Z667,AH667)</f>
        <v>57.464343</v>
      </c>
      <c r="AK667" s="97">
        <v>0.36</v>
      </c>
      <c r="AL667" s="97">
        <f>N667*AK667/1000</f>
        <v>7.875</v>
      </c>
      <c r="AM667" s="97">
        <v>0.40500000000000003</v>
      </c>
      <c r="AN667" s="97">
        <f>N667*AM667/1000</f>
        <v>8.859375</v>
      </c>
      <c r="AO667" s="97">
        <v>0.52</v>
      </c>
      <c r="AP667" s="97">
        <f>N667*AO667/1000</f>
        <v>11.375</v>
      </c>
      <c r="AQ667" s="97">
        <f>SUM(AK667+AM667+AO667)</f>
        <v>1.2850000000000001</v>
      </c>
      <c r="AR667" s="97">
        <f>SUM(AL667+AN667+AP667)</f>
        <v>28.109375</v>
      </c>
      <c r="AS667" s="97">
        <v>0.45900000000000002</v>
      </c>
      <c r="AT667" s="97">
        <f>P667*AS667/1000</f>
        <v>10.040625</v>
      </c>
      <c r="AU667" s="97">
        <v>0.62</v>
      </c>
      <c r="AV667" s="97">
        <f>P667*AU667/1000</f>
        <v>13.5625</v>
      </c>
      <c r="AW667" s="97">
        <v>0.49099999999999999</v>
      </c>
      <c r="AX667" s="97">
        <f>P667*AW667/1000</f>
        <v>10.740625</v>
      </c>
      <c r="AY667" s="97">
        <f>SUM(AS667+AU667+AW667)</f>
        <v>1.5699999999999998</v>
      </c>
      <c r="AZ667" s="97">
        <f>SUM(AT667+AV667+AX667)</f>
        <v>34.34375</v>
      </c>
      <c r="BA667" s="97">
        <f>SUM(AQ667+AY667)</f>
        <v>2.855</v>
      </c>
      <c r="BB667" s="97">
        <f>SUM(AR667,AZ667)</f>
        <v>62.453125</v>
      </c>
    </row>
    <row r="668" spans="1:54" ht="12" customHeight="1">
      <c r="A668" s="498">
        <v>458</v>
      </c>
      <c r="B668" s="13"/>
      <c r="C668" s="13"/>
      <c r="D668" s="13"/>
      <c r="E668" s="51" t="s">
        <v>1575</v>
      </c>
      <c r="F668" s="65"/>
      <c r="G668" s="65" t="s">
        <v>1105</v>
      </c>
      <c r="H668" s="275" t="s">
        <v>366</v>
      </c>
      <c r="I668" s="58"/>
      <c r="J668" s="167">
        <v>18500</v>
      </c>
      <c r="K668" s="58"/>
      <c r="L668" s="167">
        <v>18467</v>
      </c>
      <c r="M668" s="58"/>
      <c r="N668" s="167">
        <v>18467</v>
      </c>
      <c r="O668" s="58"/>
      <c r="P668" s="167">
        <v>18467</v>
      </c>
      <c r="Q668" s="95">
        <f t="shared" ref="Q668" si="5388">SUM(AI668+BA668)</f>
        <v>43.399000000000001</v>
      </c>
      <c r="R668" s="343">
        <f t="shared" ref="R668" si="5389">SUM(AJ668+BB668)</f>
        <v>801.66003799999999</v>
      </c>
      <c r="S668" s="95">
        <v>3.1949999999999998</v>
      </c>
      <c r="T668" s="95">
        <f t="shared" ref="T668" si="5390">J668*S668/1000</f>
        <v>59.107500000000002</v>
      </c>
      <c r="U668" s="95">
        <v>0.41899999999999998</v>
      </c>
      <c r="V668" s="95">
        <f t="shared" ref="V668" si="5391">J668*U668/1000</f>
        <v>7.7515000000000001</v>
      </c>
      <c r="W668" s="95">
        <v>2.7709999999999999</v>
      </c>
      <c r="X668" s="95">
        <f t="shared" ref="X668" si="5392">J668*W668/1000</f>
        <v>51.263500000000001</v>
      </c>
      <c r="Y668" s="95">
        <f t="shared" ref="Y668" si="5393">SUM(S668+U668+W668)</f>
        <v>6.3849999999999998</v>
      </c>
      <c r="Z668" s="95">
        <f t="shared" ref="Z668" si="5394">SUM(T668+V668+X668)</f>
        <v>118.1225</v>
      </c>
      <c r="AA668" s="95">
        <v>2.5150000000000001</v>
      </c>
      <c r="AB668" s="95">
        <f t="shared" ref="AB668" si="5395">L668*AA668/1000</f>
        <v>46.444505000000007</v>
      </c>
      <c r="AC668" s="95">
        <v>4.6399999999999997</v>
      </c>
      <c r="AD668" s="95">
        <f t="shared" ref="AD668" si="5396">L668*AC668/1000</f>
        <v>85.686879999999988</v>
      </c>
      <c r="AE668" s="95">
        <v>4.218</v>
      </c>
      <c r="AF668" s="95">
        <f t="shared" ref="AF668" si="5397">L668*AE668/1000</f>
        <v>77.893805999999998</v>
      </c>
      <c r="AG668" s="95">
        <f t="shared" ref="AG668" si="5398">SUM(AA668+AC668+AE668)</f>
        <v>11.372999999999999</v>
      </c>
      <c r="AH668" s="95">
        <f t="shared" ref="AH668" si="5399">SUM(AB668+AD668+AF668)</f>
        <v>210.02519100000001</v>
      </c>
      <c r="AI668" s="95">
        <f t="shared" ref="AI668" si="5400">SUM(Y668+AG668)</f>
        <v>17.757999999999999</v>
      </c>
      <c r="AJ668" s="95">
        <f t="shared" ref="AJ668" si="5401">SUM(Z668,AH668)</f>
        <v>328.14769100000001</v>
      </c>
      <c r="AK668" s="95">
        <v>2.9380000000000002</v>
      </c>
      <c r="AL668" s="95">
        <f t="shared" ref="AL668" si="5402">N668*AK668/1000</f>
        <v>54.256046000000005</v>
      </c>
      <c r="AM668" s="95">
        <v>2.738</v>
      </c>
      <c r="AN668" s="95">
        <f>N668*AM668/1000</f>
        <v>50.562646000000001</v>
      </c>
      <c r="AO668" s="95">
        <v>3.9020000000000001</v>
      </c>
      <c r="AP668" s="95">
        <f t="shared" ref="AP668" si="5403">N668*AO668/1000</f>
        <v>72.058233999999999</v>
      </c>
      <c r="AQ668" s="95">
        <f t="shared" ref="AQ668" si="5404">SUM(AK668+AM668+AO668)</f>
        <v>9.5779999999999994</v>
      </c>
      <c r="AR668" s="95">
        <f t="shared" ref="AR668" si="5405">SUM(AL668+AN668+AP668)</f>
        <v>176.876926</v>
      </c>
      <c r="AS668" s="95">
        <v>4.9180000000000001</v>
      </c>
      <c r="AT668" s="95">
        <f t="shared" ref="AT668" si="5406">P668*AS668/1000</f>
        <v>90.820706000000001</v>
      </c>
      <c r="AU668" s="95">
        <v>5.2720000000000002</v>
      </c>
      <c r="AV668" s="95">
        <f t="shared" ref="AV668" si="5407">P668*AU668/1000</f>
        <v>97.358024</v>
      </c>
      <c r="AW668" s="95">
        <v>5.8730000000000002</v>
      </c>
      <c r="AX668" s="95">
        <f t="shared" ref="AX668" si="5408">P668*AW668/1000</f>
        <v>108.45669100000001</v>
      </c>
      <c r="AY668" s="95">
        <f t="shared" ref="AY668" si="5409">SUM(AS668+AU668+AW668)</f>
        <v>16.063000000000002</v>
      </c>
      <c r="AZ668" s="95">
        <f t="shared" ref="AZ668" si="5410">SUM(AT668+AV668+AX668)</f>
        <v>296.63542100000001</v>
      </c>
      <c r="BA668" s="95">
        <f t="shared" ref="BA668" si="5411">SUM(AQ668+AY668)</f>
        <v>25.641000000000002</v>
      </c>
      <c r="BB668" s="95">
        <f t="shared" ref="BB668" si="5412">SUM(AR668,AZ668)</f>
        <v>473.51234699999998</v>
      </c>
    </row>
    <row r="669" spans="1:54">
      <c r="A669" s="498">
        <v>460</v>
      </c>
      <c r="B669" s="13"/>
      <c r="C669" s="23"/>
      <c r="D669" s="71"/>
      <c r="E669" s="329" t="s">
        <v>337</v>
      </c>
      <c r="F669" s="236"/>
      <c r="G669" s="236"/>
      <c r="H669" s="269"/>
      <c r="I669" s="74"/>
      <c r="J669" s="115"/>
      <c r="K669" s="74"/>
      <c r="L669" s="171"/>
      <c r="M669" s="74"/>
      <c r="N669" s="171"/>
      <c r="O669" s="152"/>
      <c r="P669" s="171"/>
      <c r="Q669" s="123">
        <f>SUM(Q645:Q668)</f>
        <v>489.58000000000004</v>
      </c>
      <c r="R669" s="123">
        <f>SUM(R645:R668)</f>
        <v>6790.4823990000004</v>
      </c>
      <c r="S669" s="123">
        <f>SUM(S645:S668)</f>
        <v>33.855000000000004</v>
      </c>
      <c r="T669" s="123">
        <f t="shared" ref="T669:BB669" si="5413">SUM(T645:T668)</f>
        <v>464.23437100000001</v>
      </c>
      <c r="U669" s="123">
        <f t="shared" si="5413"/>
        <v>29.472999999999995</v>
      </c>
      <c r="V669" s="123">
        <f t="shared" si="5413"/>
        <v>389.237076</v>
      </c>
      <c r="W669" s="123">
        <f t="shared" si="5413"/>
        <v>39.676000000000009</v>
      </c>
      <c r="X669" s="123">
        <f t="shared" si="5413"/>
        <v>547.21940600000005</v>
      </c>
      <c r="Y669" s="123">
        <f t="shared" si="5413"/>
        <v>103.004</v>
      </c>
      <c r="Z669" s="123">
        <f t="shared" si="5413"/>
        <v>1400.6908530000001</v>
      </c>
      <c r="AA669" s="123">
        <f t="shared" si="5413"/>
        <v>45.846999999999994</v>
      </c>
      <c r="AB669" s="123">
        <f t="shared" si="5413"/>
        <v>606.60110500000008</v>
      </c>
      <c r="AC669" s="123">
        <f t="shared" si="5413"/>
        <v>47.463000000000001</v>
      </c>
      <c r="AD669" s="123">
        <f t="shared" si="5413"/>
        <v>704.09551299999976</v>
      </c>
      <c r="AE669" s="123">
        <f t="shared" si="5413"/>
        <v>40.265000000000001</v>
      </c>
      <c r="AF669" s="123">
        <f t="shared" si="5413"/>
        <v>571.00997100000006</v>
      </c>
      <c r="AG669" s="123">
        <f t="shared" si="5413"/>
        <v>133.57499999999999</v>
      </c>
      <c r="AH669" s="123">
        <f t="shared" si="5413"/>
        <v>1881.7065889999997</v>
      </c>
      <c r="AI669" s="123">
        <f t="shared" si="5413"/>
        <v>236.57900000000001</v>
      </c>
      <c r="AJ669" s="123">
        <f t="shared" si="5413"/>
        <v>3282.3974420000004</v>
      </c>
      <c r="AK669" s="123">
        <f t="shared" si="5413"/>
        <v>32.530000000000008</v>
      </c>
      <c r="AL669" s="123">
        <f t="shared" si="5413"/>
        <v>455.77316300000001</v>
      </c>
      <c r="AM669" s="123">
        <f t="shared" si="5413"/>
        <v>33.312000000000005</v>
      </c>
      <c r="AN669" s="123">
        <f t="shared" si="5413"/>
        <v>458.50896</v>
      </c>
      <c r="AO669" s="123">
        <f t="shared" si="5413"/>
        <v>38.840000000000011</v>
      </c>
      <c r="AP669" s="123">
        <f t="shared" si="5413"/>
        <v>503.64620000000002</v>
      </c>
      <c r="AQ669" s="123">
        <f t="shared" si="5413"/>
        <v>104.68199999999999</v>
      </c>
      <c r="AR669" s="123">
        <f t="shared" si="5413"/>
        <v>1417.9283229999999</v>
      </c>
      <c r="AS669" s="123">
        <f t="shared" si="5413"/>
        <v>47.412999999999997</v>
      </c>
      <c r="AT669" s="123">
        <f t="shared" si="5413"/>
        <v>683.88087899999994</v>
      </c>
      <c r="AU669" s="123">
        <f t="shared" si="5413"/>
        <v>53.779999999999994</v>
      </c>
      <c r="AV669" s="123">
        <f t="shared" si="5413"/>
        <v>752.99173099999985</v>
      </c>
      <c r="AW669" s="123">
        <f t="shared" si="5413"/>
        <v>47.125999999999998</v>
      </c>
      <c r="AX669" s="123">
        <f t="shared" si="5413"/>
        <v>653.28402400000004</v>
      </c>
      <c r="AY669" s="123">
        <f t="shared" si="5413"/>
        <v>148.31900000000002</v>
      </c>
      <c r="AZ669" s="123">
        <f t="shared" si="5413"/>
        <v>2090.1566340000004</v>
      </c>
      <c r="BA669" s="123">
        <f t="shared" si="5413"/>
        <v>253.001</v>
      </c>
      <c r="BB669" s="123">
        <f t="shared" si="5413"/>
        <v>3508.084957</v>
      </c>
    </row>
    <row r="670" spans="1:54">
      <c r="A670" s="498">
        <v>461</v>
      </c>
      <c r="B670" s="13"/>
      <c r="C670" s="13"/>
      <c r="D670" s="13" t="s">
        <v>284</v>
      </c>
      <c r="E670" s="31" t="s">
        <v>620</v>
      </c>
      <c r="F670" s="314"/>
      <c r="G670" s="314" t="s">
        <v>1105</v>
      </c>
      <c r="H670" s="268" t="s">
        <v>364</v>
      </c>
      <c r="I670" s="62">
        <v>4.13</v>
      </c>
      <c r="J670" s="164"/>
      <c r="K670" s="62">
        <v>4.13</v>
      </c>
      <c r="L670" s="164"/>
      <c r="M670" s="62">
        <v>4.13</v>
      </c>
      <c r="N670" s="164"/>
      <c r="O670" s="62">
        <v>4.13</v>
      </c>
      <c r="P670" s="164"/>
      <c r="Q670" s="122">
        <f t="shared" si="4388"/>
        <v>0</v>
      </c>
      <c r="R670" s="346">
        <f t="shared" si="4389"/>
        <v>0</v>
      </c>
      <c r="S670" s="122"/>
      <c r="T670" s="122">
        <f t="shared" ref="T670:T671" si="5414">I670*S670*$T$2/1000</f>
        <v>0</v>
      </c>
      <c r="U670" s="122"/>
      <c r="V670" s="122">
        <f t="shared" ref="V670:V671" si="5415">I670*U670*$V$2/1000</f>
        <v>0</v>
      </c>
      <c r="W670" s="122"/>
      <c r="X670" s="122">
        <f t="shared" ref="X670:X671" si="5416">I670*W670*$X$2/1000</f>
        <v>0</v>
      </c>
      <c r="Y670" s="122">
        <f t="shared" si="4393"/>
        <v>0</v>
      </c>
      <c r="Z670" s="122">
        <f t="shared" si="4394"/>
        <v>0</v>
      </c>
      <c r="AA670" s="122"/>
      <c r="AB670" s="122">
        <f t="shared" ref="AB670:AB671" si="5417">K670*AA670*$AB$2/1000</f>
        <v>0</v>
      </c>
      <c r="AC670" s="122"/>
      <c r="AD670" s="122">
        <f t="shared" ref="AD670:AD671" si="5418">K670*AC670*$AD$2/1000</f>
        <v>0</v>
      </c>
      <c r="AE670" s="122"/>
      <c r="AF670" s="122">
        <f>K670*AE670*$AF$2/1000</f>
        <v>0</v>
      </c>
      <c r="AG670" s="122">
        <f t="shared" si="4397"/>
        <v>0</v>
      </c>
      <c r="AH670" s="122">
        <f t="shared" si="4398"/>
        <v>0</v>
      </c>
      <c r="AI670" s="122">
        <f t="shared" si="4399"/>
        <v>0</v>
      </c>
      <c r="AJ670" s="122">
        <f t="shared" si="4400"/>
        <v>0</v>
      </c>
      <c r="AK670" s="122"/>
      <c r="AL670" s="122">
        <f>M670*AK670*$AL$2/1000</f>
        <v>0</v>
      </c>
      <c r="AM670" s="122"/>
      <c r="AN670" s="122">
        <f>M670*AM670*$AN$2/1000</f>
        <v>0</v>
      </c>
      <c r="AO670" s="122"/>
      <c r="AP670" s="122">
        <f t="shared" ref="AP670:AP671" si="5419">M670*AO670*$AP$2/1000</f>
        <v>0</v>
      </c>
      <c r="AQ670" s="122">
        <f t="shared" si="4404"/>
        <v>0</v>
      </c>
      <c r="AR670" s="122">
        <f t="shared" si="4405"/>
        <v>0</v>
      </c>
      <c r="AS670" s="122"/>
      <c r="AT670" s="122">
        <f t="shared" ref="AT670" si="5420">O670*AS670*$AT$2/1000</f>
        <v>0</v>
      </c>
      <c r="AU670" s="122"/>
      <c r="AV670" s="122">
        <f t="shared" ref="AV670:AV671" si="5421">O670*AU670*$AV$2/1000</f>
        <v>0</v>
      </c>
      <c r="AW670" s="122"/>
      <c r="AX670" s="122">
        <f t="shared" ref="AX670:AX671" si="5422">O670*AW670*$AX$2/1000</f>
        <v>0</v>
      </c>
      <c r="AY670" s="122">
        <f t="shared" si="4408"/>
        <v>0</v>
      </c>
      <c r="AZ670" s="122">
        <f t="shared" si="4409"/>
        <v>0</v>
      </c>
      <c r="BA670" s="122">
        <f t="shared" si="4410"/>
        <v>0</v>
      </c>
      <c r="BB670" s="122">
        <f t="shared" si="4411"/>
        <v>0</v>
      </c>
    </row>
    <row r="671" spans="1:54">
      <c r="A671" s="498">
        <v>462</v>
      </c>
      <c r="B671" s="13"/>
      <c r="C671" s="13"/>
      <c r="D671" s="13"/>
      <c r="E671" s="21" t="s">
        <v>852</v>
      </c>
      <c r="F671" s="46"/>
      <c r="G671" s="46" t="s">
        <v>1105</v>
      </c>
      <c r="H671" s="268" t="s">
        <v>364</v>
      </c>
      <c r="I671" s="55">
        <v>4.96</v>
      </c>
      <c r="J671" s="163"/>
      <c r="K671" s="55">
        <v>4.96</v>
      </c>
      <c r="L671" s="163"/>
      <c r="M671" s="55">
        <v>4.96</v>
      </c>
      <c r="N671" s="163"/>
      <c r="O671" s="55">
        <v>4.96</v>
      </c>
      <c r="P671" s="163"/>
      <c r="Q671" s="97">
        <f t="shared" si="4388"/>
        <v>0</v>
      </c>
      <c r="R671" s="342">
        <f t="shared" si="4389"/>
        <v>0</v>
      </c>
      <c r="S671" s="97"/>
      <c r="T671" s="97">
        <f t="shared" si="5414"/>
        <v>0</v>
      </c>
      <c r="U671" s="97"/>
      <c r="V671" s="97">
        <f t="shared" si="5415"/>
        <v>0</v>
      </c>
      <c r="W671" s="97"/>
      <c r="X671" s="97">
        <f t="shared" si="5416"/>
        <v>0</v>
      </c>
      <c r="Y671" s="97">
        <f t="shared" si="4393"/>
        <v>0</v>
      </c>
      <c r="Z671" s="97">
        <f t="shared" si="4394"/>
        <v>0</v>
      </c>
      <c r="AA671" s="97"/>
      <c r="AB671" s="97">
        <f t="shared" si="5417"/>
        <v>0</v>
      </c>
      <c r="AC671" s="97"/>
      <c r="AD671" s="97">
        <f t="shared" si="5418"/>
        <v>0</v>
      </c>
      <c r="AE671" s="97"/>
      <c r="AF671" s="97">
        <f t="shared" ref="AF671:AF718" si="5423">K671*AE671*$AF$2/1000</f>
        <v>0</v>
      </c>
      <c r="AG671" s="97">
        <f t="shared" si="4397"/>
        <v>0</v>
      </c>
      <c r="AH671" s="97">
        <f t="shared" si="4398"/>
        <v>0</v>
      </c>
      <c r="AI671" s="97">
        <f t="shared" si="4399"/>
        <v>0</v>
      </c>
      <c r="AJ671" s="97">
        <f t="shared" si="4400"/>
        <v>0</v>
      </c>
      <c r="AK671" s="97"/>
      <c r="AL671" s="97">
        <f t="shared" ref="AL671:AL674" si="5424">M671*AK671*$AL$2/1000</f>
        <v>0</v>
      </c>
      <c r="AM671" s="97"/>
      <c r="AN671" s="97">
        <f t="shared" ref="AN671:AN682" si="5425">M671*AM671*$AN$2/1000</f>
        <v>0</v>
      </c>
      <c r="AO671" s="97"/>
      <c r="AP671" s="97">
        <f t="shared" si="5419"/>
        <v>0</v>
      </c>
      <c r="AQ671" s="97">
        <f t="shared" si="4404"/>
        <v>0</v>
      </c>
      <c r="AR671" s="97">
        <f t="shared" si="4405"/>
        <v>0</v>
      </c>
      <c r="AS671" s="97"/>
      <c r="AT671" s="97">
        <f t="shared" ref="AT671:AT695" si="5426">O671*AS671*$AT$2/1000</f>
        <v>0</v>
      </c>
      <c r="AU671" s="97"/>
      <c r="AV671" s="97">
        <f t="shared" si="5421"/>
        <v>0</v>
      </c>
      <c r="AW671" s="97"/>
      <c r="AX671" s="97">
        <f t="shared" si="5422"/>
        <v>0</v>
      </c>
      <c r="AY671" s="97">
        <f t="shared" si="4408"/>
        <v>0</v>
      </c>
      <c r="AZ671" s="97">
        <f t="shared" si="4409"/>
        <v>0</v>
      </c>
      <c r="BA671" s="97">
        <f t="shared" si="4410"/>
        <v>0</v>
      </c>
      <c r="BB671" s="97">
        <f t="shared" si="4411"/>
        <v>0</v>
      </c>
    </row>
    <row r="672" spans="1:54">
      <c r="A672" s="498">
        <v>463</v>
      </c>
      <c r="B672" s="13"/>
      <c r="C672" s="13"/>
      <c r="D672" s="13"/>
      <c r="E672" s="21" t="s">
        <v>1181</v>
      </c>
      <c r="F672" s="46"/>
      <c r="G672" s="46" t="s">
        <v>1105</v>
      </c>
      <c r="H672" s="268" t="s">
        <v>364</v>
      </c>
      <c r="I672" s="55">
        <v>4.82</v>
      </c>
      <c r="J672" s="163"/>
      <c r="K672" s="55">
        <v>4.82</v>
      </c>
      <c r="L672" s="163"/>
      <c r="M672" s="55">
        <v>4.82</v>
      </c>
      <c r="N672" s="163"/>
      <c r="O672" s="55">
        <v>4.82</v>
      </c>
      <c r="P672" s="163"/>
      <c r="Q672" s="97">
        <f t="shared" ref="Q672:Q700" si="5427">SUM(AI672+BA672)</f>
        <v>209.38499999999999</v>
      </c>
      <c r="R672" s="342">
        <f t="shared" ref="R672:R700" si="5428">SUM(AJ672+BB672)</f>
        <v>1377.8938947248002</v>
      </c>
      <c r="S672" s="97">
        <v>13.632</v>
      </c>
      <c r="T672" s="97">
        <f t="shared" ref="T672:T700" si="5429">I672*S672*$T$2/1000</f>
        <v>86.856421593600004</v>
      </c>
      <c r="U672" s="97">
        <v>6.24</v>
      </c>
      <c r="V672" s="97">
        <f t="shared" ref="V672:V700" si="5430">I672*U672*$V$2/1000</f>
        <v>40.01417472</v>
      </c>
      <c r="W672" s="97">
        <v>5.76</v>
      </c>
      <c r="X672" s="97">
        <f t="shared" ref="X672:X700" si="5431">I672*W672*$X$2/1000</f>
        <v>36.941713920000005</v>
      </c>
      <c r="Y672" s="97">
        <f t="shared" ref="Y672:Y700" si="5432">SUM(S672+U672+W672)</f>
        <v>25.631999999999998</v>
      </c>
      <c r="Z672" s="97">
        <f t="shared" si="4394"/>
        <v>163.81231023360002</v>
      </c>
      <c r="AA672" s="97">
        <v>9.5530000000000008</v>
      </c>
      <c r="AB672" s="97">
        <f t="shared" ref="AB672:AB700" si="5433">K672*AA672*$AB$2/1000</f>
        <v>62.811532895200003</v>
      </c>
      <c r="AC672" s="97">
        <v>1.1299999999999999</v>
      </c>
      <c r="AD672" s="97">
        <f t="shared" ref="AD672:AD700" si="5434">K672*AC672*$AD$2/1000</f>
        <v>7.4598267580000011</v>
      </c>
      <c r="AE672" s="97">
        <v>21.6</v>
      </c>
      <c r="AF672" s="97">
        <f t="shared" ref="AF672:AF700" si="5435">K672*AE672*$AF$2/1000</f>
        <v>143.55274896</v>
      </c>
      <c r="AG672" s="97">
        <f t="shared" si="4397"/>
        <v>32.283000000000001</v>
      </c>
      <c r="AH672" s="97">
        <f t="shared" si="4398"/>
        <v>213.8241086132</v>
      </c>
      <c r="AI672" s="97">
        <f t="shared" si="4399"/>
        <v>57.914999999999999</v>
      </c>
      <c r="AJ672" s="97">
        <f t="shared" si="4400"/>
        <v>377.63641884679998</v>
      </c>
      <c r="AK672" s="97">
        <v>40.32</v>
      </c>
      <c r="AL672" s="97">
        <f t="shared" si="5424"/>
        <v>268.79108659200006</v>
      </c>
      <c r="AM672" s="97">
        <v>38.880000000000003</v>
      </c>
      <c r="AN672" s="97">
        <f t="shared" si="5425"/>
        <v>255.07231776000003</v>
      </c>
      <c r="AO672" s="97">
        <v>25.92</v>
      </c>
      <c r="AP672" s="97">
        <f t="shared" ref="AP672:AP695" si="5436">M672*AO672*$AP$2/1000</f>
        <v>166.46134521600001</v>
      </c>
      <c r="AQ672" s="97">
        <f t="shared" ref="AQ672:AQ700" si="5437">SUM(AK672+AM672+AO672)</f>
        <v>105.12</v>
      </c>
      <c r="AR672" s="97">
        <f t="shared" si="4405"/>
        <v>690.32474956800013</v>
      </c>
      <c r="AS672" s="97">
        <v>21.6</v>
      </c>
      <c r="AT672" s="97">
        <f t="shared" si="5426"/>
        <v>141.37368480000001</v>
      </c>
      <c r="AU672" s="97">
        <v>5.7</v>
      </c>
      <c r="AV672" s="97">
        <f t="shared" ref="AV672:AV700" si="5438">O672*AU672*$AV$2/1000</f>
        <v>38.234741580000012</v>
      </c>
      <c r="AW672" s="97">
        <v>19.05</v>
      </c>
      <c r="AX672" s="97">
        <f t="shared" ref="AX672:AX700" si="5439">O672*AW672*$AX$2/1000</f>
        <v>130.32429993</v>
      </c>
      <c r="AY672" s="97">
        <f t="shared" ref="AY672:AY694" si="5440">SUM(AS672+AU672+AW672)</f>
        <v>46.35</v>
      </c>
      <c r="AZ672" s="97">
        <f t="shared" si="4409"/>
        <v>309.93272631000002</v>
      </c>
      <c r="BA672" s="97">
        <f t="shared" si="4410"/>
        <v>151.47</v>
      </c>
      <c r="BB672" s="97">
        <f t="shared" si="4411"/>
        <v>1000.2574758780002</v>
      </c>
    </row>
    <row r="673" spans="1:54" ht="12" customHeight="1">
      <c r="A673" s="498">
        <v>464</v>
      </c>
      <c r="B673" s="13"/>
      <c r="C673" s="13"/>
      <c r="D673" s="13"/>
      <c r="E673" s="21" t="s">
        <v>586</v>
      </c>
      <c r="F673" s="46"/>
      <c r="G673" s="46" t="s">
        <v>1105</v>
      </c>
      <c r="H673" s="268" t="s">
        <v>364</v>
      </c>
      <c r="I673" s="55">
        <v>5.49</v>
      </c>
      <c r="J673" s="163"/>
      <c r="K673" s="55">
        <v>5.49</v>
      </c>
      <c r="L673" s="163"/>
      <c r="M673" s="55">
        <v>5.49</v>
      </c>
      <c r="N673" s="163"/>
      <c r="O673" s="55">
        <v>5.49</v>
      </c>
      <c r="P673" s="163"/>
      <c r="Q673" s="97">
        <f t="shared" ref="Q673" si="5441">SUM(AI673+BA673)</f>
        <v>14.79</v>
      </c>
      <c r="R673" s="342">
        <f t="shared" ref="R673" si="5442">SUM(AJ673+BB673)</f>
        <v>110.77758892799999</v>
      </c>
      <c r="S673" s="97">
        <v>2</v>
      </c>
      <c r="T673" s="97">
        <f t="shared" ref="T673" si="5443">I673*S673*$T$2/1000</f>
        <v>14.514352200000001</v>
      </c>
      <c r="U673" s="97"/>
      <c r="V673" s="97">
        <f t="shared" ref="V673" si="5444">I673*U673*$V$2/1000</f>
        <v>0</v>
      </c>
      <c r="W673" s="97">
        <v>2</v>
      </c>
      <c r="X673" s="97">
        <f t="shared" ref="X673" si="5445">I673*W673*$X$2/1000</f>
        <v>14.609988</v>
      </c>
      <c r="Y673" s="97">
        <f t="shared" ref="Y673" si="5446">SUM(S673+U673+W673)</f>
        <v>4</v>
      </c>
      <c r="Z673" s="97">
        <f t="shared" ref="Z673" si="5447">SUM(T673+V673+X673)</f>
        <v>29.124340199999999</v>
      </c>
      <c r="AA673" s="97">
        <v>2.35</v>
      </c>
      <c r="AB673" s="97">
        <f t="shared" ref="AB673" si="5448">K673*AA673*$AB$2/1000</f>
        <v>17.599194179999998</v>
      </c>
      <c r="AC673" s="97">
        <v>3</v>
      </c>
      <c r="AD673" s="97">
        <f t="shared" ref="AD673" si="5449">K673*AC673*$AD$2/1000</f>
        <v>22.557806100000001</v>
      </c>
      <c r="AE673" s="97">
        <v>1</v>
      </c>
      <c r="AF673" s="97">
        <f t="shared" ref="AF673" si="5450">K673*AE673*$AF$2/1000</f>
        <v>7.5697767000000002</v>
      </c>
      <c r="AG673" s="97">
        <f>SUM(AA673+AC673+AE673)</f>
        <v>6.35</v>
      </c>
      <c r="AH673" s="97">
        <f t="shared" ref="AH673" si="5451">SUM(AB673+AD673+AF673)</f>
        <v>47.726776979999997</v>
      </c>
      <c r="AI673" s="97">
        <f t="shared" ref="AI673" si="5452">SUM(Y673+AG673)</f>
        <v>10.35</v>
      </c>
      <c r="AJ673" s="97">
        <f t="shared" ref="AJ673" si="5453">SUM(Z673,AH673)</f>
        <v>76.851117179999989</v>
      </c>
      <c r="AK673" s="97">
        <v>1</v>
      </c>
      <c r="AL673" s="97">
        <f t="shared" ref="AL673" si="5454">M673*AK673*$AL$2/1000</f>
        <v>7.5931091999999998</v>
      </c>
      <c r="AM673" s="97">
        <v>1</v>
      </c>
      <c r="AN673" s="97">
        <f t="shared" ref="AN673" si="5455">M673*AM673*$AN$2/1000</f>
        <v>7.4724389999999996</v>
      </c>
      <c r="AO673" s="97"/>
      <c r="AP673" s="97">
        <f t="shared" ref="AP673" si="5456">M673*AO673*$AP$2/1000</f>
        <v>0</v>
      </c>
      <c r="AQ673" s="97">
        <f t="shared" ref="AQ673" si="5457">SUM(AK673+AM673+AO673)</f>
        <v>2</v>
      </c>
      <c r="AR673" s="97">
        <f t="shared" ref="AR673" si="5458">SUM(AL673+AN673+AP673)</f>
        <v>15.065548199999999</v>
      </c>
      <c r="AS673" s="97"/>
      <c r="AT673" s="97">
        <f t="shared" ref="AT673" si="5459">O673*AS673*$AT$2/1000</f>
        <v>0</v>
      </c>
      <c r="AU673" s="97">
        <v>1</v>
      </c>
      <c r="AV673" s="97">
        <f t="shared" ref="AV673" si="5460">O673*AU673*$AV$2/1000</f>
        <v>7.6402683000000007</v>
      </c>
      <c r="AW673" s="97">
        <v>1.44</v>
      </c>
      <c r="AX673" s="97">
        <f t="shared" ref="AX673" si="5461">O673*AW673*$AX$2/1000</f>
        <v>11.220655248</v>
      </c>
      <c r="AY673" s="97">
        <f t="shared" ref="AY673" si="5462">SUM(AS673+AU673+AW673)</f>
        <v>2.44</v>
      </c>
      <c r="AZ673" s="97">
        <f t="shared" ref="AZ673" si="5463">SUM(AT673+AV673+AX673)</f>
        <v>18.860923548000002</v>
      </c>
      <c r="BA673" s="97">
        <f t="shared" ref="BA673" si="5464">SUM(AQ673+AY673)</f>
        <v>4.4399999999999995</v>
      </c>
      <c r="BB673" s="97">
        <f t="shared" ref="BB673" si="5465">SUM(AR673,AZ673)</f>
        <v>33.926471747999997</v>
      </c>
    </row>
    <row r="674" spans="1:54">
      <c r="A674" s="498">
        <v>465</v>
      </c>
      <c r="B674" s="13"/>
      <c r="C674" s="13"/>
      <c r="D674" s="13"/>
      <c r="E674" s="21" t="s">
        <v>704</v>
      </c>
      <c r="F674" s="46"/>
      <c r="G674" s="46" t="s">
        <v>1105</v>
      </c>
      <c r="H674" s="268" t="s">
        <v>364</v>
      </c>
      <c r="I674" s="55">
        <v>4.97</v>
      </c>
      <c r="J674" s="163"/>
      <c r="K674" s="55">
        <v>4.97</v>
      </c>
      <c r="L674" s="163"/>
      <c r="M674" s="55">
        <v>4.97</v>
      </c>
      <c r="N674" s="163"/>
      <c r="O674" s="55">
        <v>4.97</v>
      </c>
      <c r="P674" s="163"/>
      <c r="Q674" s="97">
        <f t="shared" si="5427"/>
        <v>4.165</v>
      </c>
      <c r="R674" s="342">
        <f t="shared" si="5428"/>
        <v>28.113045299500001</v>
      </c>
      <c r="S674" s="97">
        <v>1</v>
      </c>
      <c r="T674" s="97">
        <f t="shared" si="5429"/>
        <v>6.5697933000000006</v>
      </c>
      <c r="U674" s="97">
        <v>0.72</v>
      </c>
      <c r="V674" s="97">
        <f t="shared" si="5430"/>
        <v>4.7607033600000008</v>
      </c>
      <c r="W674" s="97">
        <v>0.28000000000000003</v>
      </c>
      <c r="X674" s="97">
        <f t="shared" si="5431"/>
        <v>1.8516629600000001</v>
      </c>
      <c r="Y674" s="97">
        <f t="shared" si="5432"/>
        <v>2</v>
      </c>
      <c r="Z674" s="97">
        <f t="shared" si="4394"/>
        <v>13.182159620000002</v>
      </c>
      <c r="AA674" s="97"/>
      <c r="AB674" s="97">
        <f t="shared" si="5433"/>
        <v>0</v>
      </c>
      <c r="AC674" s="97">
        <v>1</v>
      </c>
      <c r="AD674" s="97">
        <f t="shared" si="5434"/>
        <v>6.8070611000000003</v>
      </c>
      <c r="AE674" s="97"/>
      <c r="AF674" s="97">
        <f t="shared" si="5435"/>
        <v>0</v>
      </c>
      <c r="AG674" s="97">
        <f t="shared" si="4397"/>
        <v>1</v>
      </c>
      <c r="AH674" s="97">
        <f t="shared" si="4398"/>
        <v>6.8070611000000003</v>
      </c>
      <c r="AI674" s="97">
        <f t="shared" si="4399"/>
        <v>3</v>
      </c>
      <c r="AJ674" s="97">
        <f t="shared" si="4400"/>
        <v>19.989220720000002</v>
      </c>
      <c r="AK674" s="97"/>
      <c r="AL674" s="97">
        <f t="shared" si="5424"/>
        <v>0</v>
      </c>
      <c r="AM674" s="97"/>
      <c r="AN674" s="97">
        <f t="shared" si="5425"/>
        <v>0</v>
      </c>
      <c r="AO674" s="97"/>
      <c r="AP674" s="97">
        <f t="shared" si="5436"/>
        <v>0</v>
      </c>
      <c r="AQ674" s="97">
        <f t="shared" si="5437"/>
        <v>0</v>
      </c>
      <c r="AR674" s="97">
        <f t="shared" si="4405"/>
        <v>0</v>
      </c>
      <c r="AS674" s="97"/>
      <c r="AT674" s="97">
        <f t="shared" si="5426"/>
        <v>0</v>
      </c>
      <c r="AU674" s="97">
        <v>0.68500000000000005</v>
      </c>
      <c r="AV674" s="97">
        <f t="shared" si="5438"/>
        <v>4.7378709315000007</v>
      </c>
      <c r="AW674" s="97">
        <v>0.48</v>
      </c>
      <c r="AX674" s="97">
        <f t="shared" si="5439"/>
        <v>3.3859536479999992</v>
      </c>
      <c r="AY674" s="97">
        <f t="shared" si="5440"/>
        <v>1.165</v>
      </c>
      <c r="AZ674" s="97">
        <f t="shared" si="4409"/>
        <v>8.123824579499999</v>
      </c>
      <c r="BA674" s="97">
        <f t="shared" si="4410"/>
        <v>1.165</v>
      </c>
      <c r="BB674" s="97">
        <f t="shared" si="4411"/>
        <v>8.123824579499999</v>
      </c>
    </row>
    <row r="675" spans="1:54">
      <c r="A675" s="498">
        <v>466</v>
      </c>
      <c r="B675" s="13"/>
      <c r="C675" s="13"/>
      <c r="D675" s="15"/>
      <c r="E675" s="372" t="s">
        <v>937</v>
      </c>
      <c r="F675" s="46"/>
      <c r="G675" s="46" t="s">
        <v>1105</v>
      </c>
      <c r="H675" s="268" t="s">
        <v>364</v>
      </c>
      <c r="I675" s="55"/>
      <c r="J675" s="163">
        <v>6395</v>
      </c>
      <c r="K675" s="55"/>
      <c r="L675" s="163">
        <v>6395</v>
      </c>
      <c r="M675" s="55"/>
      <c r="N675" s="163">
        <v>6395</v>
      </c>
      <c r="O675" s="55"/>
      <c r="P675" s="163">
        <v>6395</v>
      </c>
      <c r="Q675" s="97">
        <f>SUM(AI675+BA675)</f>
        <v>2.6230000000000002</v>
      </c>
      <c r="R675" s="342">
        <f>SUM(AJ675+BB675)</f>
        <v>16.774084999999999</v>
      </c>
      <c r="S675" s="97">
        <v>0.25700000000000001</v>
      </c>
      <c r="T675" s="97">
        <f>J675*S675/1000</f>
        <v>1.6435150000000001</v>
      </c>
      <c r="U675" s="97">
        <v>0.30299999999999999</v>
      </c>
      <c r="V675" s="97">
        <f>J675*U675/1000</f>
        <v>1.9376849999999999</v>
      </c>
      <c r="W675" s="97">
        <v>0.105</v>
      </c>
      <c r="X675" s="97">
        <f>J675*W675/1000</f>
        <v>0.67147500000000004</v>
      </c>
      <c r="Y675" s="97">
        <f>SUM(S675+U675+W675)</f>
        <v>0.66500000000000004</v>
      </c>
      <c r="Z675" s="97">
        <f>SUM(T675+V675+X675)</f>
        <v>4.252675</v>
      </c>
      <c r="AA675" s="97">
        <v>0.20599999999999999</v>
      </c>
      <c r="AB675" s="97">
        <f>L675*AA675/1000</f>
        <v>1.3173699999999999</v>
      </c>
      <c r="AC675" s="97">
        <v>0.3</v>
      </c>
      <c r="AD675" s="97">
        <f>L675*AC675/1000</f>
        <v>1.9185000000000001</v>
      </c>
      <c r="AE675" s="97">
        <v>0.106</v>
      </c>
      <c r="AF675" s="97">
        <f>L675*AE675/1000</f>
        <v>0.67786999999999997</v>
      </c>
      <c r="AG675" s="97">
        <f>SUM(AA675+AC675+AE675)</f>
        <v>0.61199999999999999</v>
      </c>
      <c r="AH675" s="97">
        <f>SUM(AB675+AD675+AF675)</f>
        <v>3.9137400000000002</v>
      </c>
      <c r="AI675" s="97">
        <f>SUM(Y675+AG675)</f>
        <v>1.2770000000000001</v>
      </c>
      <c r="AJ675" s="97">
        <f>SUM(Z675,AH675)</f>
        <v>8.1664150000000006</v>
      </c>
      <c r="AK675" s="97">
        <v>0.20599999999999999</v>
      </c>
      <c r="AL675" s="97">
        <f>N675*AK675/1000</f>
        <v>1.3173699999999999</v>
      </c>
      <c r="AM675" s="97">
        <v>0.113</v>
      </c>
      <c r="AN675" s="97">
        <f>N675*AM675/1000</f>
        <v>0.72263500000000003</v>
      </c>
      <c r="AO675" s="97">
        <v>0.01</v>
      </c>
      <c r="AP675" s="97">
        <f>N675*AO675/1000</f>
        <v>6.3950000000000007E-2</v>
      </c>
      <c r="AQ675" s="97">
        <f>SUM(AK675+AM675+AO675)</f>
        <v>0.32900000000000001</v>
      </c>
      <c r="AR675" s="97">
        <f>SUM(AL675+AN675+AP675)</f>
        <v>2.103955</v>
      </c>
      <c r="AS675" s="97">
        <v>0.26800000000000002</v>
      </c>
      <c r="AT675" s="97">
        <f>P675*AS675/1000</f>
        <v>1.7138600000000002</v>
      </c>
      <c r="AU675" s="97">
        <v>0.15</v>
      </c>
      <c r="AV675" s="97">
        <f>P675*AU675/1000</f>
        <v>0.95925000000000005</v>
      </c>
      <c r="AW675" s="97">
        <v>0.59899999999999998</v>
      </c>
      <c r="AX675" s="97">
        <f>P675*AW675/1000</f>
        <v>3.8306049999999998</v>
      </c>
      <c r="AY675" s="97">
        <f>SUM(AS675+AU675+AW675)</f>
        <v>1.0169999999999999</v>
      </c>
      <c r="AZ675" s="97">
        <f>SUM(AT675+AV675+AX675)</f>
        <v>6.5037149999999997</v>
      </c>
      <c r="BA675" s="97">
        <f>SUM(AQ675+AY675)</f>
        <v>1.3459999999999999</v>
      </c>
      <c r="BB675" s="97">
        <f>SUM(AR675,AZ675)</f>
        <v>8.6076699999999988</v>
      </c>
    </row>
    <row r="676" spans="1:54" ht="12.75" customHeight="1">
      <c r="A676" s="498">
        <v>467</v>
      </c>
      <c r="B676" s="13"/>
      <c r="C676" s="13"/>
      <c r="D676" s="13"/>
      <c r="E676" s="21" t="s">
        <v>1011</v>
      </c>
      <c r="F676" s="46"/>
      <c r="G676" s="46" t="s">
        <v>1105</v>
      </c>
      <c r="H676" s="268" t="s">
        <v>364</v>
      </c>
      <c r="I676" s="55"/>
      <c r="J676" s="163">
        <v>7820</v>
      </c>
      <c r="K676" s="55"/>
      <c r="L676" s="163">
        <v>7820</v>
      </c>
      <c r="M676" s="55"/>
      <c r="N676" s="163">
        <v>7820</v>
      </c>
      <c r="O676" s="55"/>
      <c r="P676" s="163">
        <v>7820</v>
      </c>
      <c r="Q676" s="97">
        <f t="shared" ref="Q676" si="5466">SUM(AI676+BA676)</f>
        <v>0</v>
      </c>
      <c r="R676" s="342">
        <f t="shared" ref="R676:R679" si="5467">SUM(AJ676+BB676)</f>
        <v>0</v>
      </c>
      <c r="S676" s="97"/>
      <c r="T676" s="97">
        <f t="shared" ref="T676:T678" si="5468">J676*S676/1000</f>
        <v>0</v>
      </c>
      <c r="U676" s="97"/>
      <c r="V676" s="97">
        <f t="shared" ref="V676:V678" si="5469">J676*U676/1000</f>
        <v>0</v>
      </c>
      <c r="W676" s="97"/>
      <c r="X676" s="97">
        <f t="shared" ref="X676:X678" si="5470">J676*W676/1000</f>
        <v>0</v>
      </c>
      <c r="Y676" s="97">
        <f t="shared" ref="Y676:Y678" si="5471">SUM(S676+U676+W676)</f>
        <v>0</v>
      </c>
      <c r="Z676" s="97">
        <f t="shared" ref="Z676:Z679" si="5472">SUM(T676+V676+X676)</f>
        <v>0</v>
      </c>
      <c r="AA676" s="97"/>
      <c r="AB676" s="97">
        <f t="shared" ref="AB676:AB678" si="5473">L676*AA676/1000</f>
        <v>0</v>
      </c>
      <c r="AC676" s="97"/>
      <c r="AD676" s="97">
        <f t="shared" ref="AD676:AD678" si="5474">L676*AC676/1000</f>
        <v>0</v>
      </c>
      <c r="AE676" s="97"/>
      <c r="AF676" s="97">
        <f t="shared" ref="AF676:AF678" si="5475">L676*AE676/1000</f>
        <v>0</v>
      </c>
      <c r="AG676" s="97">
        <f t="shared" ref="AG676:AG678" si="5476">SUM(AA676+AC676+AE676)</f>
        <v>0</v>
      </c>
      <c r="AH676" s="97">
        <f t="shared" ref="AH676:AH679" si="5477">SUM(AB676+AD676+AF676)</f>
        <v>0</v>
      </c>
      <c r="AI676" s="97">
        <f t="shared" ref="AI676:AI679" si="5478">SUM(Y676+AG676)</f>
        <v>0</v>
      </c>
      <c r="AJ676" s="97">
        <f t="shared" ref="AJ676:AJ679" si="5479">SUM(Z676,AH676)</f>
        <v>0</v>
      </c>
      <c r="AK676" s="97"/>
      <c r="AL676" s="97">
        <f t="shared" ref="AL676:AL678" si="5480">N676*AK676/1000</f>
        <v>0</v>
      </c>
      <c r="AM676" s="97"/>
      <c r="AN676" s="97">
        <f t="shared" ref="AN676:AN678" si="5481">N676*AM676/1000</f>
        <v>0</v>
      </c>
      <c r="AO676" s="97"/>
      <c r="AP676" s="97">
        <f t="shared" ref="AP676:AP678" si="5482">N676*AO676/1000</f>
        <v>0</v>
      </c>
      <c r="AQ676" s="97">
        <f t="shared" ref="AQ676:AQ678" si="5483">SUM(AK676+AM676+AO676)</f>
        <v>0</v>
      </c>
      <c r="AR676" s="97">
        <f t="shared" ref="AR676:AR679" si="5484">SUM(AL676+AN676+AP676)</f>
        <v>0</v>
      </c>
      <c r="AS676" s="97"/>
      <c r="AT676" s="97">
        <f t="shared" ref="AT676:AT678" si="5485">P676*AS676/1000</f>
        <v>0</v>
      </c>
      <c r="AU676" s="97"/>
      <c r="AV676" s="97">
        <f t="shared" ref="AV676:AV678" si="5486">P676*AU676/1000</f>
        <v>0</v>
      </c>
      <c r="AW676" s="97"/>
      <c r="AX676" s="97">
        <f t="shared" ref="AX676:AX678" si="5487">P676*AW676/1000</f>
        <v>0</v>
      </c>
      <c r="AY676" s="97">
        <f t="shared" ref="AY676:AY678" si="5488">SUM(AS676+AU676+AW676)</f>
        <v>0</v>
      </c>
      <c r="AZ676" s="97">
        <f t="shared" ref="AZ676:AZ679" si="5489">SUM(AT676+AV676+AX676)</f>
        <v>0</v>
      </c>
      <c r="BA676" s="97">
        <f t="shared" ref="BA676:BA679" si="5490">SUM(AQ676+AY676)</f>
        <v>0</v>
      </c>
      <c r="BB676" s="97">
        <f t="shared" ref="BB676:BB679" si="5491">SUM(AR676,AZ676)</f>
        <v>0</v>
      </c>
    </row>
    <row r="677" spans="1:54" ht="12" customHeight="1">
      <c r="A677" s="498">
        <v>446</v>
      </c>
      <c r="B677" s="13"/>
      <c r="C677" s="13"/>
      <c r="D677" s="13"/>
      <c r="E677" s="21" t="s">
        <v>1403</v>
      </c>
      <c r="F677" s="46"/>
      <c r="G677" s="46" t="s">
        <v>1105</v>
      </c>
      <c r="H677" s="268" t="s">
        <v>364</v>
      </c>
      <c r="I677" s="55"/>
      <c r="J677" s="163">
        <v>6599</v>
      </c>
      <c r="K677" s="55"/>
      <c r="L677" s="163">
        <v>6599</v>
      </c>
      <c r="M677" s="55"/>
      <c r="N677" s="163">
        <v>6599</v>
      </c>
      <c r="O677" s="55"/>
      <c r="P677" s="163">
        <v>6599</v>
      </c>
      <c r="Q677" s="97">
        <f>SUM(AI677+BA677)</f>
        <v>0.41400000000000003</v>
      </c>
      <c r="R677" s="342">
        <f t="shared" ref="R677" si="5492">SUM(AJ677+BB677)</f>
        <v>2.731986</v>
      </c>
      <c r="S677" s="97"/>
      <c r="T677" s="97">
        <f t="shared" ref="T677" si="5493">J677*S677/1000</f>
        <v>0</v>
      </c>
      <c r="U677" s="97"/>
      <c r="V677" s="97">
        <f t="shared" ref="V677" si="5494">J677*U677/1000</f>
        <v>0</v>
      </c>
      <c r="W677" s="97"/>
      <c r="X677" s="97">
        <f t="shared" ref="X677" si="5495">J677*W677/1000</f>
        <v>0</v>
      </c>
      <c r="Y677" s="97">
        <f t="shared" ref="Y677" si="5496">SUM(S677+U677+W677)</f>
        <v>0</v>
      </c>
      <c r="Z677" s="97">
        <f t="shared" ref="Z677" si="5497">SUM(T677+V677+X677)</f>
        <v>0</v>
      </c>
      <c r="AA677" s="97"/>
      <c r="AB677" s="97">
        <f t="shared" ref="AB677" si="5498">L677*AA677/1000</f>
        <v>0</v>
      </c>
      <c r="AC677" s="97">
        <v>0.09</v>
      </c>
      <c r="AD677" s="97">
        <f t="shared" ref="AD677" si="5499">L677*AC677/1000</f>
        <v>0.59390999999999994</v>
      </c>
      <c r="AE677" s="97"/>
      <c r="AF677" s="97">
        <f t="shared" ref="AF677" si="5500">L677*AE677/1000</f>
        <v>0</v>
      </c>
      <c r="AG677" s="97">
        <f t="shared" ref="AG677" si="5501">SUM(AA677+AC677+AE677)</f>
        <v>0.09</v>
      </c>
      <c r="AH677" s="97">
        <f t="shared" ref="AH677" si="5502">SUM(AB677+AD677+AF677)</f>
        <v>0.59390999999999994</v>
      </c>
      <c r="AI677" s="97">
        <f t="shared" ref="AI677" si="5503">SUM(Y677+AG677)</f>
        <v>0.09</v>
      </c>
      <c r="AJ677" s="97">
        <f t="shared" ref="AJ677" si="5504">SUM(Z677,AH677)</f>
        <v>0.59390999999999994</v>
      </c>
      <c r="AK677" s="97">
        <v>0.32400000000000001</v>
      </c>
      <c r="AL677" s="97">
        <f t="shared" ref="AL677" si="5505">N677*AK677/1000</f>
        <v>2.1380759999999999</v>
      </c>
      <c r="AM677" s="97"/>
      <c r="AN677" s="97">
        <f t="shared" ref="AN677" si="5506">N677*AM677/1000</f>
        <v>0</v>
      </c>
      <c r="AO677" s="97"/>
      <c r="AP677" s="97">
        <f t="shared" ref="AP677" si="5507">N677*AO677/1000</f>
        <v>0</v>
      </c>
      <c r="AQ677" s="97">
        <f t="shared" ref="AQ677" si="5508">SUM(AK677+AM677+AO677)</f>
        <v>0.32400000000000001</v>
      </c>
      <c r="AR677" s="97">
        <f t="shared" ref="AR677" si="5509">SUM(AL677+AN677+AP677)</f>
        <v>2.1380759999999999</v>
      </c>
      <c r="AS677" s="97"/>
      <c r="AT677" s="97">
        <f t="shared" ref="AT677" si="5510">P677*AS677/1000</f>
        <v>0</v>
      </c>
      <c r="AU677" s="97"/>
      <c r="AV677" s="97">
        <f t="shared" ref="AV677" si="5511">P677*AU677/1000</f>
        <v>0</v>
      </c>
      <c r="AW677" s="97"/>
      <c r="AX677" s="97">
        <f t="shared" ref="AX677" si="5512">P677*AW677/1000</f>
        <v>0</v>
      </c>
      <c r="AY677" s="97">
        <f t="shared" ref="AY677" si="5513">SUM(AS677+AU677+AW677)</f>
        <v>0</v>
      </c>
      <c r="AZ677" s="97">
        <f t="shared" ref="AZ677" si="5514">SUM(AT677+AV677+AX677)</f>
        <v>0</v>
      </c>
      <c r="BA677" s="97">
        <f t="shared" ref="BA677" si="5515">SUM(AQ677+AY677)</f>
        <v>0.32400000000000001</v>
      </c>
      <c r="BB677" s="97">
        <f t="shared" ref="BB677" si="5516">SUM(AR677,AZ677)</f>
        <v>2.1380759999999999</v>
      </c>
    </row>
    <row r="678" spans="1:54" ht="12" customHeight="1">
      <c r="A678" s="498">
        <v>446</v>
      </c>
      <c r="B678" s="13"/>
      <c r="C678" s="13"/>
      <c r="D678" s="13"/>
      <c r="E678" s="21" t="s">
        <v>1354</v>
      </c>
      <c r="F678" s="46"/>
      <c r="G678" s="46" t="s">
        <v>1105</v>
      </c>
      <c r="H678" s="268" t="s">
        <v>364</v>
      </c>
      <c r="I678" s="55"/>
      <c r="J678" s="163">
        <v>8367</v>
      </c>
      <c r="K678" s="55"/>
      <c r="L678" s="163">
        <v>8367</v>
      </c>
      <c r="M678" s="55"/>
      <c r="N678" s="163">
        <v>8367</v>
      </c>
      <c r="O678" s="55"/>
      <c r="P678" s="163">
        <v>8367</v>
      </c>
      <c r="Q678" s="97">
        <f>SUM(AI678+BA678)</f>
        <v>6.625</v>
      </c>
      <c r="R678" s="342">
        <f t="shared" si="5467"/>
        <v>55.431374999999996</v>
      </c>
      <c r="S678" s="97">
        <v>0.17599999999999999</v>
      </c>
      <c r="T678" s="97">
        <f t="shared" si="5468"/>
        <v>1.4725919999999999</v>
      </c>
      <c r="U678" s="97">
        <v>0.27</v>
      </c>
      <c r="V678" s="97">
        <f t="shared" si="5469"/>
        <v>2.25909</v>
      </c>
      <c r="W678" s="97">
        <v>1.278</v>
      </c>
      <c r="X678" s="97">
        <f t="shared" si="5470"/>
        <v>10.693026</v>
      </c>
      <c r="Y678" s="97">
        <f t="shared" si="5471"/>
        <v>1.724</v>
      </c>
      <c r="Z678" s="97">
        <f t="shared" si="5472"/>
        <v>14.424707999999999</v>
      </c>
      <c r="AA678" s="97">
        <v>2E-3</v>
      </c>
      <c r="AB678" s="97">
        <f t="shared" si="5473"/>
        <v>1.6734000000000002E-2</v>
      </c>
      <c r="AC678" s="97">
        <v>1.3859999999999999</v>
      </c>
      <c r="AD678" s="97">
        <f t="shared" si="5474"/>
        <v>11.596661999999998</v>
      </c>
      <c r="AE678" s="97">
        <v>1.07</v>
      </c>
      <c r="AF678" s="97">
        <f t="shared" si="5475"/>
        <v>8.9526900000000005</v>
      </c>
      <c r="AG678" s="97">
        <f t="shared" si="5476"/>
        <v>2.4580000000000002</v>
      </c>
      <c r="AH678" s="97">
        <f t="shared" si="5477"/>
        <v>20.566085999999999</v>
      </c>
      <c r="AI678" s="97">
        <f t="shared" si="5478"/>
        <v>4.1820000000000004</v>
      </c>
      <c r="AJ678" s="97">
        <f t="shared" si="5479"/>
        <v>34.990793999999994</v>
      </c>
      <c r="AK678" s="97"/>
      <c r="AL678" s="97">
        <f t="shared" si="5480"/>
        <v>0</v>
      </c>
      <c r="AM678" s="97">
        <v>0.98299999999999998</v>
      </c>
      <c r="AN678" s="97">
        <f t="shared" si="5481"/>
        <v>8.2247610000000009</v>
      </c>
      <c r="AO678" s="97">
        <v>0.54800000000000004</v>
      </c>
      <c r="AP678" s="97">
        <f t="shared" si="5482"/>
        <v>4.5851160000000002</v>
      </c>
      <c r="AQ678" s="97">
        <f t="shared" si="5483"/>
        <v>1.5310000000000001</v>
      </c>
      <c r="AR678" s="97">
        <f t="shared" si="5484"/>
        <v>12.809877</v>
      </c>
      <c r="AS678" s="97">
        <v>6.0000000000000001E-3</v>
      </c>
      <c r="AT678" s="97">
        <f t="shared" si="5485"/>
        <v>5.0201999999999997E-2</v>
      </c>
      <c r="AU678" s="97">
        <v>0.90600000000000003</v>
      </c>
      <c r="AV678" s="97">
        <f t="shared" si="5486"/>
        <v>7.5805020000000001</v>
      </c>
      <c r="AW678" s="97"/>
      <c r="AX678" s="97">
        <f t="shared" si="5487"/>
        <v>0</v>
      </c>
      <c r="AY678" s="97">
        <f t="shared" si="5488"/>
        <v>0.91200000000000003</v>
      </c>
      <c r="AZ678" s="97">
        <f t="shared" si="5489"/>
        <v>7.6307039999999997</v>
      </c>
      <c r="BA678" s="97">
        <f t="shared" si="5490"/>
        <v>2.4430000000000001</v>
      </c>
      <c r="BB678" s="97">
        <f t="shared" si="5491"/>
        <v>20.440581000000002</v>
      </c>
    </row>
    <row r="679" spans="1:54">
      <c r="A679" s="498">
        <v>474</v>
      </c>
      <c r="B679" s="13"/>
      <c r="C679" s="13"/>
      <c r="D679" s="13"/>
      <c r="E679" s="21" t="s">
        <v>1498</v>
      </c>
      <c r="F679" s="46"/>
      <c r="G679" s="46" t="s">
        <v>1105</v>
      </c>
      <c r="H679" s="268" t="s">
        <v>364</v>
      </c>
      <c r="I679" s="55">
        <v>4.51</v>
      </c>
      <c r="J679" s="163"/>
      <c r="K679" s="55">
        <v>4.51</v>
      </c>
      <c r="L679" s="163"/>
      <c r="M679" s="55">
        <v>4.51</v>
      </c>
      <c r="N679" s="163"/>
      <c r="O679" s="55">
        <v>4.51</v>
      </c>
      <c r="P679" s="163"/>
      <c r="Q679" s="97">
        <f t="shared" ref="Q679" si="5517">SUM(AI679+BA679)</f>
        <v>0</v>
      </c>
      <c r="R679" s="342">
        <f t="shared" si="5467"/>
        <v>0</v>
      </c>
      <c r="S679" s="97"/>
      <c r="T679" s="97">
        <f t="shared" ref="T679" si="5518">I679*S679*$T$2/1000</f>
        <v>0</v>
      </c>
      <c r="U679" s="97"/>
      <c r="V679" s="97">
        <f t="shared" ref="V679" si="5519">I679*U679*$V$2/1000</f>
        <v>0</v>
      </c>
      <c r="W679" s="97"/>
      <c r="X679" s="97">
        <f t="shared" ref="X679" si="5520">I679*W679*$X$2/1000</f>
        <v>0</v>
      </c>
      <c r="Y679" s="97">
        <f t="shared" ref="Y679" si="5521">SUM(S679+U679+W679)</f>
        <v>0</v>
      </c>
      <c r="Z679" s="97">
        <f t="shared" si="5472"/>
        <v>0</v>
      </c>
      <c r="AA679" s="97"/>
      <c r="AB679" s="97">
        <f t="shared" ref="AB679" si="5522">K679*AA679*$AB$2/1000</f>
        <v>0</v>
      </c>
      <c r="AC679" s="97"/>
      <c r="AD679" s="97">
        <f t="shared" ref="AD679" si="5523">K679*AC679*$AD$2/1000</f>
        <v>0</v>
      </c>
      <c r="AE679" s="97"/>
      <c r="AF679" s="97">
        <f t="shared" ref="AF679" si="5524">K679*AE679*$AF$2/1000</f>
        <v>0</v>
      </c>
      <c r="AG679" s="97">
        <f>SUM(AA679+AC679+AE679)</f>
        <v>0</v>
      </c>
      <c r="AH679" s="97">
        <f t="shared" si="5477"/>
        <v>0</v>
      </c>
      <c r="AI679" s="97">
        <f t="shared" si="5478"/>
        <v>0</v>
      </c>
      <c r="AJ679" s="97">
        <f t="shared" si="5479"/>
        <v>0</v>
      </c>
      <c r="AK679" s="97"/>
      <c r="AL679" s="97">
        <f t="shared" ref="AL679" si="5525">M679*AK679*$AL$2/1000</f>
        <v>0</v>
      </c>
      <c r="AM679" s="97"/>
      <c r="AN679" s="97">
        <f>M679*AM679*$AN$2/1000</f>
        <v>0</v>
      </c>
      <c r="AO679" s="97"/>
      <c r="AP679" s="97">
        <f t="shared" ref="AP679" si="5526">M679*AO679*$AP$2/1000</f>
        <v>0</v>
      </c>
      <c r="AQ679" s="97">
        <f t="shared" ref="AQ679" si="5527">SUM(AK679+AM679+AO679)</f>
        <v>0</v>
      </c>
      <c r="AR679" s="97">
        <f t="shared" si="5484"/>
        <v>0</v>
      </c>
      <c r="AS679" s="97"/>
      <c r="AT679" s="97">
        <f t="shared" ref="AT679" si="5528">O679*AS679*$AT$2/1000</f>
        <v>0</v>
      </c>
      <c r="AU679" s="97"/>
      <c r="AV679" s="97">
        <f t="shared" ref="AV679" si="5529">O679*AU679*$AV$2/1000</f>
        <v>0</v>
      </c>
      <c r="AW679" s="97"/>
      <c r="AX679" s="97">
        <f t="shared" ref="AX679" si="5530">O679*AW679*$AX$2/1000</f>
        <v>0</v>
      </c>
      <c r="AY679" s="97">
        <f t="shared" ref="AY679" si="5531">SUM(AS679+AU679+AW679)</f>
        <v>0</v>
      </c>
      <c r="AZ679" s="97">
        <f t="shared" si="5489"/>
        <v>0</v>
      </c>
      <c r="BA679" s="97">
        <f t="shared" si="5490"/>
        <v>0</v>
      </c>
      <c r="BB679" s="97">
        <f t="shared" si="5491"/>
        <v>0</v>
      </c>
    </row>
    <row r="680" spans="1:54">
      <c r="A680" s="498">
        <v>468</v>
      </c>
      <c r="B680" s="13"/>
      <c r="C680" s="13"/>
      <c r="D680" s="13"/>
      <c r="E680" s="21" t="s">
        <v>621</v>
      </c>
      <c r="F680" s="46"/>
      <c r="G680" s="46" t="s">
        <v>1105</v>
      </c>
      <c r="H680" s="268" t="s">
        <v>364</v>
      </c>
      <c r="I680" s="55">
        <v>4.1500000000000004</v>
      </c>
      <c r="J680" s="163"/>
      <c r="K680" s="55">
        <v>4.1500000000000004</v>
      </c>
      <c r="L680" s="163"/>
      <c r="M680" s="55">
        <v>4.1500000000000004</v>
      </c>
      <c r="N680" s="163"/>
      <c r="O680" s="55">
        <v>4.1500000000000004</v>
      </c>
      <c r="P680" s="163"/>
      <c r="Q680" s="97">
        <f t="shared" ref="Q680" si="5532">SUM(AI680+BA680)</f>
        <v>0</v>
      </c>
      <c r="R680" s="342">
        <f t="shared" ref="R680" si="5533">SUM(AJ680+BB680)</f>
        <v>0</v>
      </c>
      <c r="S680" s="97"/>
      <c r="T680" s="97">
        <f t="shared" ref="T680" si="5534">I680*S680*$T$2/1000</f>
        <v>0</v>
      </c>
      <c r="U680" s="97"/>
      <c r="V680" s="97">
        <f t="shared" ref="V680" si="5535">I680*U680*$V$2/1000</f>
        <v>0</v>
      </c>
      <c r="W680" s="97"/>
      <c r="X680" s="97">
        <f t="shared" ref="X680" si="5536">I680*W680*$X$2/1000</f>
        <v>0</v>
      </c>
      <c r="Y680" s="97">
        <f t="shared" ref="Y680" si="5537">SUM(S680+U680+W680)</f>
        <v>0</v>
      </c>
      <c r="Z680" s="97">
        <f t="shared" ref="Z680" si="5538">SUM(T680+V680+X680)</f>
        <v>0</v>
      </c>
      <c r="AA680" s="97"/>
      <c r="AB680" s="97">
        <f t="shared" ref="AB680" si="5539">K680*AA680*$AB$2/1000</f>
        <v>0</v>
      </c>
      <c r="AC680" s="97"/>
      <c r="AD680" s="97">
        <f t="shared" ref="AD680" si="5540">K680*AC680*$AD$2/1000</f>
        <v>0</v>
      </c>
      <c r="AE680" s="97"/>
      <c r="AF680" s="97">
        <f t="shared" ref="AF680" si="5541">K680*AE680*$AF$2/1000</f>
        <v>0</v>
      </c>
      <c r="AG680" s="97">
        <f>SUM(AA680+AC680+AE680)</f>
        <v>0</v>
      </c>
      <c r="AH680" s="97">
        <f t="shared" ref="AH680" si="5542">SUM(AB680+AD680+AF680)</f>
        <v>0</v>
      </c>
      <c r="AI680" s="97">
        <f t="shared" ref="AI680" si="5543">SUM(Y680+AG680)</f>
        <v>0</v>
      </c>
      <c r="AJ680" s="97">
        <f t="shared" ref="AJ680" si="5544">SUM(Z680,AH680)</f>
        <v>0</v>
      </c>
      <c r="AK680" s="97"/>
      <c r="AL680" s="97">
        <f>M680*AK680*$AL$2/1000</f>
        <v>0</v>
      </c>
      <c r="AM680" s="97"/>
      <c r="AN680" s="97">
        <f t="shared" ref="AN680" si="5545">M680*AM680*$AN$2/1000</f>
        <v>0</v>
      </c>
      <c r="AO680" s="97"/>
      <c r="AP680" s="97">
        <f t="shared" ref="AP680" si="5546">M680*AO680*$AP$2/1000</f>
        <v>0</v>
      </c>
      <c r="AQ680" s="97">
        <f t="shared" ref="AQ680" si="5547">SUM(AK680+AM680+AO680)</f>
        <v>0</v>
      </c>
      <c r="AR680" s="97">
        <f t="shared" ref="AR680" si="5548">SUM(AL680+AN680+AP680)</f>
        <v>0</v>
      </c>
      <c r="AS680" s="97"/>
      <c r="AT680" s="97">
        <f t="shared" ref="AT680" si="5549">O680*AS680*$AT$2/1000</f>
        <v>0</v>
      </c>
      <c r="AU680" s="97"/>
      <c r="AV680" s="97">
        <f t="shared" ref="AV680" si="5550">O680*AU680*$AV$2/1000</f>
        <v>0</v>
      </c>
      <c r="AW680" s="97"/>
      <c r="AX680" s="97">
        <f t="shared" ref="AX680" si="5551">O680*AW680*$AX$2/1000</f>
        <v>0</v>
      </c>
      <c r="AY680" s="97">
        <f t="shared" ref="AY680" si="5552">SUM(AS680+AU680+AW680)</f>
        <v>0</v>
      </c>
      <c r="AZ680" s="97">
        <f t="shared" ref="AZ680" si="5553">SUM(AT680+AV680+AX680)</f>
        <v>0</v>
      </c>
      <c r="BA680" s="97">
        <f t="shared" ref="BA680" si="5554">SUM(AQ680+AY680)</f>
        <v>0</v>
      </c>
      <c r="BB680" s="97">
        <f t="shared" ref="BB680" si="5555">SUM(AR680,AZ680)</f>
        <v>0</v>
      </c>
    </row>
    <row r="681" spans="1:54">
      <c r="A681" s="498">
        <v>469</v>
      </c>
      <c r="B681" s="13"/>
      <c r="C681" s="13"/>
      <c r="D681" s="13"/>
      <c r="E681" s="21" t="s">
        <v>680</v>
      </c>
      <c r="F681" s="46"/>
      <c r="G681" s="46" t="s">
        <v>1105</v>
      </c>
      <c r="H681" s="268" t="s">
        <v>364</v>
      </c>
      <c r="I681" s="55">
        <v>4.3499999999999996</v>
      </c>
      <c r="J681" s="163"/>
      <c r="K681" s="55">
        <v>4.3499999999999996</v>
      </c>
      <c r="L681" s="163"/>
      <c r="M681" s="55">
        <v>4.3499999999999996</v>
      </c>
      <c r="N681" s="163"/>
      <c r="O681" s="55">
        <v>4.1500000000000004</v>
      </c>
      <c r="P681" s="163"/>
      <c r="Q681" s="97">
        <f t="shared" si="5427"/>
        <v>1</v>
      </c>
      <c r="R681" s="342">
        <f t="shared" si="5428"/>
        <v>5.6352850000000005</v>
      </c>
      <c r="S681" s="97"/>
      <c r="T681" s="97">
        <f t="shared" si="5429"/>
        <v>0</v>
      </c>
      <c r="U681" s="97"/>
      <c r="V681" s="97">
        <f t="shared" si="5430"/>
        <v>0</v>
      </c>
      <c r="W681" s="97"/>
      <c r="X681" s="97">
        <f t="shared" si="5431"/>
        <v>0</v>
      </c>
      <c r="Y681" s="97">
        <f t="shared" si="5432"/>
        <v>0</v>
      </c>
      <c r="Z681" s="97">
        <f t="shared" si="4394"/>
        <v>0</v>
      </c>
      <c r="AA681" s="97"/>
      <c r="AB681" s="97">
        <f t="shared" si="5433"/>
        <v>0</v>
      </c>
      <c r="AC681" s="97"/>
      <c r="AD681" s="97">
        <f t="shared" si="5434"/>
        <v>0</v>
      </c>
      <c r="AE681" s="97"/>
      <c r="AF681" s="97">
        <f t="shared" si="5435"/>
        <v>0</v>
      </c>
      <c r="AG681" s="97">
        <f t="shared" si="4397"/>
        <v>0</v>
      </c>
      <c r="AH681" s="97">
        <f t="shared" si="4398"/>
        <v>0</v>
      </c>
      <c r="AI681" s="97">
        <f t="shared" si="4399"/>
        <v>0</v>
      </c>
      <c r="AJ681" s="97">
        <f t="shared" si="4400"/>
        <v>0</v>
      </c>
      <c r="AK681" s="97"/>
      <c r="AL681" s="97">
        <f>M681*AK681*$AL$2/1000</f>
        <v>0</v>
      </c>
      <c r="AM681" s="97"/>
      <c r="AN681" s="97">
        <f t="shared" si="5425"/>
        <v>0</v>
      </c>
      <c r="AO681" s="97"/>
      <c r="AP681" s="97">
        <f t="shared" si="5436"/>
        <v>0</v>
      </c>
      <c r="AQ681" s="97">
        <f t="shared" si="5437"/>
        <v>0</v>
      </c>
      <c r="AR681" s="97">
        <f t="shared" si="4405"/>
        <v>0</v>
      </c>
      <c r="AS681" s="97">
        <v>1</v>
      </c>
      <c r="AT681" s="97">
        <f t="shared" si="5426"/>
        <v>5.6352850000000005</v>
      </c>
      <c r="AU681" s="97"/>
      <c r="AV681" s="97">
        <f t="shared" si="5438"/>
        <v>0</v>
      </c>
      <c r="AW681" s="97"/>
      <c r="AX681" s="97">
        <f t="shared" si="5439"/>
        <v>0</v>
      </c>
      <c r="AY681" s="97">
        <f t="shared" si="5440"/>
        <v>1</v>
      </c>
      <c r="AZ681" s="97">
        <f t="shared" si="4409"/>
        <v>5.6352850000000005</v>
      </c>
      <c r="BA681" s="97">
        <f t="shared" si="4410"/>
        <v>1</v>
      </c>
      <c r="BB681" s="97">
        <f t="shared" si="4411"/>
        <v>5.6352850000000005</v>
      </c>
    </row>
    <row r="682" spans="1:54">
      <c r="A682" s="498">
        <v>470</v>
      </c>
      <c r="B682" s="13"/>
      <c r="C682" s="13"/>
      <c r="D682" s="13"/>
      <c r="E682" s="21" t="s">
        <v>847</v>
      </c>
      <c r="F682" s="46"/>
      <c r="G682" s="46" t="s">
        <v>1105</v>
      </c>
      <c r="H682" s="268" t="s">
        <v>364</v>
      </c>
      <c r="I682" s="55">
        <v>4.1500000000000004</v>
      </c>
      <c r="J682" s="163"/>
      <c r="K682" s="55">
        <v>4.1500000000000004</v>
      </c>
      <c r="L682" s="163"/>
      <c r="M682" s="55">
        <v>4.1500000000000004</v>
      </c>
      <c r="N682" s="163"/>
      <c r="O682" s="55">
        <v>4.1500000000000004</v>
      </c>
      <c r="P682" s="163"/>
      <c r="Q682" s="97">
        <f>SUM(AI682+BA682)</f>
        <v>28.25</v>
      </c>
      <c r="R682" s="342">
        <f>SUM(AJ682+BB682)</f>
        <v>159.59825930200003</v>
      </c>
      <c r="S682" s="97">
        <v>0.91200000000000003</v>
      </c>
      <c r="T682" s="97">
        <f t="shared" si="5429"/>
        <v>5.0030892720000013</v>
      </c>
      <c r="U682" s="97">
        <v>3.52</v>
      </c>
      <c r="V682" s="97">
        <f t="shared" si="5430"/>
        <v>19.434483200000003</v>
      </c>
      <c r="W682" s="97">
        <v>5.8380000000000001</v>
      </c>
      <c r="X682" s="97">
        <f t="shared" si="5431"/>
        <v>32.237377619999997</v>
      </c>
      <c r="Y682" s="97">
        <f>SUM(S682+U682+W682)</f>
        <v>10.27</v>
      </c>
      <c r="Z682" s="97">
        <f t="shared" si="4394"/>
        <v>56.674950092000003</v>
      </c>
      <c r="AA682" s="97">
        <v>2</v>
      </c>
      <c r="AB682" s="97">
        <f t="shared" si="5433"/>
        <v>11.322196</v>
      </c>
      <c r="AC682" s="97">
        <v>3.16</v>
      </c>
      <c r="AD682" s="97">
        <f t="shared" si="5434"/>
        <v>17.961327820000005</v>
      </c>
      <c r="AE682" s="97">
        <v>1.508</v>
      </c>
      <c r="AF682" s="97">
        <f t="shared" si="5435"/>
        <v>8.6289939059999998</v>
      </c>
      <c r="AG682" s="97">
        <f t="shared" si="4397"/>
        <v>6.6680000000000001</v>
      </c>
      <c r="AH682" s="97">
        <f t="shared" si="4398"/>
        <v>37.912517726000004</v>
      </c>
      <c r="AI682" s="97">
        <f t="shared" si="4399"/>
        <v>16.937999999999999</v>
      </c>
      <c r="AJ682" s="97">
        <f t="shared" si="4400"/>
        <v>94.587467818000007</v>
      </c>
      <c r="AK682" s="97">
        <v>1.992</v>
      </c>
      <c r="AL682" s="97">
        <f t="shared" ref="AL682:AL684" si="5556">M682*AK682*$AL$2/1000</f>
        <v>11.433645744</v>
      </c>
      <c r="AM682" s="97">
        <v>2</v>
      </c>
      <c r="AN682" s="97">
        <f t="shared" si="5425"/>
        <v>11.297130000000001</v>
      </c>
      <c r="AO682" s="97">
        <v>2</v>
      </c>
      <c r="AP682" s="97">
        <f t="shared" ref="AP682:AP684" si="5557">M682*AO682*$AP$2/1000</f>
        <v>11.058837</v>
      </c>
      <c r="AQ682" s="97">
        <f t="shared" si="5437"/>
        <v>5.992</v>
      </c>
      <c r="AR682" s="97">
        <f t="shared" si="4405"/>
        <v>33.789612743999996</v>
      </c>
      <c r="AS682" s="97"/>
      <c r="AT682" s="97">
        <f t="shared" ref="AT682:AT684" si="5558">O682*AS682*$AT$2/1000</f>
        <v>0</v>
      </c>
      <c r="AU682" s="97">
        <v>1</v>
      </c>
      <c r="AV682" s="97">
        <f t="shared" si="5438"/>
        <v>5.7754305000000006</v>
      </c>
      <c r="AW682" s="97">
        <v>4.32</v>
      </c>
      <c r="AX682" s="97">
        <f t="shared" si="5439"/>
        <v>25.445748240000004</v>
      </c>
      <c r="AY682" s="97">
        <f>SUM(AS682+AU682+AW682)</f>
        <v>5.32</v>
      </c>
      <c r="AZ682" s="97">
        <f t="shared" si="4409"/>
        <v>31.221178740000006</v>
      </c>
      <c r="BA682" s="97">
        <f t="shared" si="4410"/>
        <v>11.312000000000001</v>
      </c>
      <c r="BB682" s="97">
        <f t="shared" si="4411"/>
        <v>65.010791484000009</v>
      </c>
    </row>
    <row r="683" spans="1:54">
      <c r="A683" s="498">
        <v>471</v>
      </c>
      <c r="B683" s="13"/>
      <c r="C683" s="13"/>
      <c r="D683" s="13"/>
      <c r="E683" s="21" t="s">
        <v>896</v>
      </c>
      <c r="F683" s="46"/>
      <c r="G683" s="46" t="s">
        <v>1105</v>
      </c>
      <c r="H683" s="268" t="s">
        <v>364</v>
      </c>
      <c r="I683" s="55">
        <v>4.7</v>
      </c>
      <c r="J683" s="163"/>
      <c r="K683" s="55">
        <v>4.7</v>
      </c>
      <c r="L683" s="163"/>
      <c r="M683" s="55">
        <v>4.7</v>
      </c>
      <c r="N683" s="163"/>
      <c r="O683" s="55">
        <v>4.7</v>
      </c>
      <c r="P683" s="163"/>
      <c r="Q683" s="97">
        <f t="shared" ref="Q683" si="5559">SUM(AI683+BA683)</f>
        <v>24.505000000000003</v>
      </c>
      <c r="R683" s="342">
        <f t="shared" ref="R683" si="5560">SUM(AJ683+BB683)</f>
        <v>159.144858822</v>
      </c>
      <c r="S683" s="97"/>
      <c r="T683" s="97">
        <f t="shared" ref="T683" si="5561">I683*S683*$T$2/1000</f>
        <v>0</v>
      </c>
      <c r="U683" s="97"/>
      <c r="V683" s="97">
        <f t="shared" ref="V683" si="5562">I683*U683*$V$2/1000</f>
        <v>0</v>
      </c>
      <c r="W683" s="97">
        <v>1.2749999999999999</v>
      </c>
      <c r="X683" s="97">
        <f t="shared" ref="X683" si="5563">I683*W683*$X$2/1000</f>
        <v>7.9736204999999991</v>
      </c>
      <c r="Y683" s="97">
        <f t="shared" ref="Y683" si="5564">SUM(S683+U683+W683)</f>
        <v>1.2749999999999999</v>
      </c>
      <c r="Z683" s="97">
        <f t="shared" ref="Z683" si="5565">SUM(T683+V683+X683)</f>
        <v>7.9736204999999991</v>
      </c>
      <c r="AA683" s="97">
        <v>1.944</v>
      </c>
      <c r="AB683" s="97">
        <f t="shared" ref="AB683" si="5566">K683*AA683*$AB$2/1000</f>
        <v>12.463691616</v>
      </c>
      <c r="AC683" s="97">
        <v>3.9159999999999999</v>
      </c>
      <c r="AD683" s="97">
        <f t="shared" ref="AD683" si="5567">K683*AC683*$AD$2/1000</f>
        <v>25.208314076000001</v>
      </c>
      <c r="AE683" s="97">
        <v>3.7160000000000002</v>
      </c>
      <c r="AF683" s="97">
        <f t="shared" ref="AF683" si="5568">K683*AE683*$AF$2/1000</f>
        <v>24.081541716000004</v>
      </c>
      <c r="AG683" s="97">
        <f t="shared" ref="AG683" si="5569">SUM(AA683+AC683+AE683)</f>
        <v>9.5760000000000005</v>
      </c>
      <c r="AH683" s="97">
        <f t="shared" ref="AH683" si="5570">SUM(AB683+AD683+AF683)</f>
        <v>61.753547408000003</v>
      </c>
      <c r="AI683" s="97">
        <f t="shared" ref="AI683" si="5571">SUM(Y683+AG683)</f>
        <v>10.851000000000001</v>
      </c>
      <c r="AJ683" s="97">
        <f t="shared" ref="AJ683" si="5572">SUM(Z683,AH683)</f>
        <v>69.727167907999998</v>
      </c>
      <c r="AK683" s="97">
        <v>1.744</v>
      </c>
      <c r="AL683" s="97">
        <f t="shared" si="5556"/>
        <v>11.336830144</v>
      </c>
      <c r="AM683" s="97">
        <v>2</v>
      </c>
      <c r="AN683" s="97">
        <f t="shared" ref="AN683" si="5573">M683*AM683*$AN$2/1000</f>
        <v>12.79434</v>
      </c>
      <c r="AO683" s="97"/>
      <c r="AP683" s="97">
        <f t="shared" si="5557"/>
        <v>0</v>
      </c>
      <c r="AQ683" s="97">
        <f t="shared" ref="AQ683" si="5574">SUM(AK683+AM683+AO683)</f>
        <v>3.7439999999999998</v>
      </c>
      <c r="AR683" s="97">
        <f t="shared" ref="AR683" si="5575">SUM(AL683+AN683+AP683)</f>
        <v>24.131170144000002</v>
      </c>
      <c r="AS683" s="97"/>
      <c r="AT683" s="97">
        <f t="shared" si="5558"/>
        <v>0</v>
      </c>
      <c r="AU683" s="97">
        <v>6.32</v>
      </c>
      <c r="AV683" s="97">
        <f t="shared" ref="AV683" si="5576">O683*AU683*$AV$2/1000</f>
        <v>41.338165680000003</v>
      </c>
      <c r="AW683" s="97">
        <v>3.59</v>
      </c>
      <c r="AX683" s="97">
        <f t="shared" ref="AX683" si="5577">O683*AW683*$AX$2/1000</f>
        <v>23.94835509</v>
      </c>
      <c r="AY683" s="97">
        <f t="shared" ref="AY683" si="5578">SUM(AS683+AU683+AW683)</f>
        <v>9.91</v>
      </c>
      <c r="AZ683" s="97">
        <f t="shared" ref="AZ683" si="5579">SUM(AT683+AV683+AX683)</f>
        <v>65.28652077000001</v>
      </c>
      <c r="BA683" s="97">
        <f t="shared" ref="BA683" si="5580">SUM(AQ683+AY683)</f>
        <v>13.654</v>
      </c>
      <c r="BB683" s="97">
        <f t="shared" ref="BB683" si="5581">SUM(AR683,AZ683)</f>
        <v>89.417690914000019</v>
      </c>
    </row>
    <row r="684" spans="1:54">
      <c r="A684" s="498">
        <v>472</v>
      </c>
      <c r="B684" s="13"/>
      <c r="C684" s="13"/>
      <c r="D684" s="13"/>
      <c r="E684" s="21" t="s">
        <v>885</v>
      </c>
      <c r="F684" s="46"/>
      <c r="G684" s="46" t="s">
        <v>1105</v>
      </c>
      <c r="H684" s="268" t="s">
        <v>364</v>
      </c>
      <c r="I684" s="55">
        <v>4.42</v>
      </c>
      <c r="J684" s="163"/>
      <c r="K684" s="55">
        <v>4.42</v>
      </c>
      <c r="L684" s="163"/>
      <c r="M684" s="55">
        <v>4.42</v>
      </c>
      <c r="N684" s="163"/>
      <c r="O684" s="55">
        <v>4.42</v>
      </c>
      <c r="P684" s="163"/>
      <c r="Q684" s="97">
        <f t="shared" ref="Q684" si="5582">SUM(AI684+BA684)</f>
        <v>34.14</v>
      </c>
      <c r="R684" s="342">
        <f t="shared" ref="R684" si="5583">SUM(AJ684+BB684)</f>
        <v>207.27906648800001</v>
      </c>
      <c r="S684" s="97">
        <v>3.36</v>
      </c>
      <c r="T684" s="97">
        <f t="shared" ref="T684" si="5584">I684*S684*$T$2/1000</f>
        <v>19.631652767999999</v>
      </c>
      <c r="U684" s="97">
        <v>2.8050000000000002</v>
      </c>
      <c r="V684" s="97">
        <f t="shared" ref="V684" si="5585">I684*U684*$V$2/1000</f>
        <v>16.494432240000002</v>
      </c>
      <c r="W684" s="97">
        <v>1</v>
      </c>
      <c r="X684" s="97">
        <f t="shared" ref="X684" si="5586">I684*W684*$X$2/1000</f>
        <v>5.8812519999999999</v>
      </c>
      <c r="Y684" s="97">
        <f t="shared" ref="Y684" si="5587">SUM(S684+U684+W684)</f>
        <v>7.165</v>
      </c>
      <c r="Z684" s="97">
        <f t="shared" ref="Z684" si="5588">SUM(T684+V684+X684)</f>
        <v>42.007337008000007</v>
      </c>
      <c r="AA684" s="97">
        <v>2.09</v>
      </c>
      <c r="AB684" s="97">
        <f t="shared" ref="AB684" si="5589">K684*AA684*$AB$2/1000</f>
        <v>12.601467735999998</v>
      </c>
      <c r="AC684" s="97">
        <v>4</v>
      </c>
      <c r="AD684" s="97">
        <f t="shared" ref="AD684" si="5590">K684*AC684*$AD$2/1000</f>
        <v>24.2150584</v>
      </c>
      <c r="AE684" s="97">
        <v>4.7039999999999997</v>
      </c>
      <c r="AF684" s="97">
        <f t="shared" ref="AF684" si="5591">K684*AE684*$AF$2/1000</f>
        <v>28.668192134399998</v>
      </c>
      <c r="AG684" s="97">
        <f t="shared" ref="AG684" si="5592">SUM(AA684+AC684+AE684)</f>
        <v>10.794</v>
      </c>
      <c r="AH684" s="97">
        <f t="shared" ref="AH684" si="5593">SUM(AB684+AD684+AF684)</f>
        <v>65.484718270399995</v>
      </c>
      <c r="AI684" s="97">
        <f t="shared" ref="AI684" si="5594">SUM(Y684+AG684)</f>
        <v>17.959</v>
      </c>
      <c r="AJ684" s="97">
        <f t="shared" ref="AJ684" si="5595">SUM(Z684,AH684)</f>
        <v>107.4920552784</v>
      </c>
      <c r="AK684" s="97">
        <v>3.0859999999999999</v>
      </c>
      <c r="AL684" s="97">
        <f t="shared" si="5556"/>
        <v>18.865377169599995</v>
      </c>
      <c r="AM684" s="97">
        <v>1</v>
      </c>
      <c r="AN684" s="97">
        <f t="shared" ref="AN684" si="5596">M684*AM684*$AN$2/1000</f>
        <v>6.0160619999999998</v>
      </c>
      <c r="AO684" s="97">
        <v>1</v>
      </c>
      <c r="AP684" s="97">
        <f t="shared" si="5557"/>
        <v>5.8891638000000004</v>
      </c>
      <c r="AQ684" s="97">
        <f t="shared" ref="AQ684" si="5597">SUM(AK684+AM684+AO684)</f>
        <v>5.0860000000000003</v>
      </c>
      <c r="AR684" s="97">
        <f t="shared" ref="AR684" si="5598">SUM(AL684+AN684+AP684)</f>
        <v>30.770602969599992</v>
      </c>
      <c r="AS684" s="97">
        <v>0.745</v>
      </c>
      <c r="AT684" s="97">
        <f t="shared" si="5558"/>
        <v>4.4714289100000002</v>
      </c>
      <c r="AU684" s="97">
        <v>3.15</v>
      </c>
      <c r="AV684" s="97">
        <f t="shared" ref="AV684" si="5599">O684*AU684*$AV$2/1000</f>
        <v>19.376221410000003</v>
      </c>
      <c r="AW684" s="97">
        <v>7.2</v>
      </c>
      <c r="AX684" s="97">
        <f t="shared" ref="AX684" si="5600">O684*AW684*$AX$2/1000</f>
        <v>45.168757919999997</v>
      </c>
      <c r="AY684" s="97">
        <f t="shared" ref="AY684" si="5601">SUM(AS684+AU684+AW684)</f>
        <v>11.095000000000001</v>
      </c>
      <c r="AZ684" s="97">
        <f t="shared" ref="AZ684" si="5602">SUM(AT684+AV684+AX684)</f>
        <v>69.016408240000004</v>
      </c>
      <c r="BA684" s="97">
        <f t="shared" ref="BA684" si="5603">SUM(AQ684+AY684)</f>
        <v>16.181000000000001</v>
      </c>
      <c r="BB684" s="97">
        <f t="shared" ref="BB684" si="5604">SUM(AR684,AZ684)</f>
        <v>99.787011209599996</v>
      </c>
    </row>
    <row r="685" spans="1:54">
      <c r="A685" s="498">
        <v>473</v>
      </c>
      <c r="B685" s="13"/>
      <c r="C685" s="13"/>
      <c r="D685" s="13"/>
      <c r="E685" s="21" t="s">
        <v>587</v>
      </c>
      <c r="F685" s="46"/>
      <c r="G685" s="46" t="s">
        <v>1105</v>
      </c>
      <c r="H685" s="268" t="s">
        <v>364</v>
      </c>
      <c r="I685" s="55">
        <v>0.96</v>
      </c>
      <c r="J685" s="163"/>
      <c r="K685" s="55">
        <v>0.96</v>
      </c>
      <c r="L685" s="163"/>
      <c r="M685" s="55">
        <v>0.96</v>
      </c>
      <c r="N685" s="163"/>
      <c r="O685" s="55">
        <v>0.96</v>
      </c>
      <c r="P685" s="163"/>
      <c r="Q685" s="97">
        <f t="shared" si="5427"/>
        <v>0</v>
      </c>
      <c r="R685" s="342">
        <f t="shared" si="5428"/>
        <v>0</v>
      </c>
      <c r="S685" s="97"/>
      <c r="T685" s="97">
        <f t="shared" si="5429"/>
        <v>0</v>
      </c>
      <c r="U685" s="97"/>
      <c r="V685" s="97">
        <f t="shared" si="5430"/>
        <v>0</v>
      </c>
      <c r="W685" s="97"/>
      <c r="X685" s="97">
        <f t="shared" si="5431"/>
        <v>0</v>
      </c>
      <c r="Y685" s="97">
        <f t="shared" si="5432"/>
        <v>0</v>
      </c>
      <c r="Z685" s="97">
        <f t="shared" si="4394"/>
        <v>0</v>
      </c>
      <c r="AA685" s="97"/>
      <c r="AB685" s="97">
        <f t="shared" si="5433"/>
        <v>0</v>
      </c>
      <c r="AC685" s="97"/>
      <c r="AD685" s="97">
        <f t="shared" si="5434"/>
        <v>0</v>
      </c>
      <c r="AE685" s="97"/>
      <c r="AF685" s="97">
        <f t="shared" si="5435"/>
        <v>0</v>
      </c>
      <c r="AG685" s="97">
        <f>SUM(AA685+AC685+AE685)</f>
        <v>0</v>
      </c>
      <c r="AH685" s="97">
        <f t="shared" si="4398"/>
        <v>0</v>
      </c>
      <c r="AI685" s="97">
        <f t="shared" si="4399"/>
        <v>0</v>
      </c>
      <c r="AJ685" s="97">
        <f t="shared" si="4400"/>
        <v>0</v>
      </c>
      <c r="AK685" s="97"/>
      <c r="AL685" s="97">
        <f t="shared" ref="AL685" si="5605">M685*AK685*$AL$2/1000</f>
        <v>0</v>
      </c>
      <c r="AM685" s="97"/>
      <c r="AN685" s="97">
        <f>M685*AM685*$AN$2/1000</f>
        <v>0</v>
      </c>
      <c r="AO685" s="97"/>
      <c r="AP685" s="97">
        <f t="shared" si="5436"/>
        <v>0</v>
      </c>
      <c r="AQ685" s="97">
        <f t="shared" si="5437"/>
        <v>0</v>
      </c>
      <c r="AR685" s="97">
        <f t="shared" si="4405"/>
        <v>0</v>
      </c>
      <c r="AS685" s="97"/>
      <c r="AT685" s="97">
        <f t="shared" si="5426"/>
        <v>0</v>
      </c>
      <c r="AU685" s="97"/>
      <c r="AV685" s="97">
        <f t="shared" si="5438"/>
        <v>0</v>
      </c>
      <c r="AW685" s="97"/>
      <c r="AX685" s="97">
        <f t="shared" si="5439"/>
        <v>0</v>
      </c>
      <c r="AY685" s="97">
        <f t="shared" si="5440"/>
        <v>0</v>
      </c>
      <c r="AZ685" s="97">
        <f t="shared" si="4409"/>
        <v>0</v>
      </c>
      <c r="BA685" s="97">
        <f t="shared" si="4410"/>
        <v>0</v>
      </c>
      <c r="BB685" s="97">
        <f t="shared" si="4411"/>
        <v>0</v>
      </c>
    </row>
    <row r="686" spans="1:54">
      <c r="A686" s="498">
        <v>474</v>
      </c>
      <c r="B686" s="13"/>
      <c r="C686" s="13"/>
      <c r="D686" s="13"/>
      <c r="E686" s="21" t="s">
        <v>588</v>
      </c>
      <c r="F686" s="46"/>
      <c r="G686" s="46" t="s">
        <v>1105</v>
      </c>
      <c r="H686" s="268" t="s">
        <v>364</v>
      </c>
      <c r="I686" s="55">
        <v>3.54</v>
      </c>
      <c r="J686" s="163"/>
      <c r="K686" s="55">
        <v>3.54</v>
      </c>
      <c r="L686" s="163"/>
      <c r="M686" s="55">
        <v>3.54</v>
      </c>
      <c r="N686" s="163"/>
      <c r="O686" s="55">
        <v>3.54</v>
      </c>
      <c r="P686" s="163"/>
      <c r="Q686" s="97">
        <f t="shared" ref="Q686:Q693" si="5606">SUM(AI686+BA686)</f>
        <v>0</v>
      </c>
      <c r="R686" s="342">
        <f t="shared" ref="R686:R693" si="5607">SUM(AJ686+BB686)</f>
        <v>0</v>
      </c>
      <c r="S686" s="97"/>
      <c r="T686" s="97">
        <f t="shared" ref="T686:T693" si="5608">I686*S686*$T$2/1000</f>
        <v>0</v>
      </c>
      <c r="U686" s="97"/>
      <c r="V686" s="97">
        <f t="shared" ref="V686:V693" si="5609">I686*U686*$V$2/1000</f>
        <v>0</v>
      </c>
      <c r="W686" s="97"/>
      <c r="X686" s="97">
        <f t="shared" ref="X686:X693" si="5610">I686*W686*$X$2/1000</f>
        <v>0</v>
      </c>
      <c r="Y686" s="97">
        <f t="shared" ref="Y686:Y693" si="5611">SUM(S686+U686+W686)</f>
        <v>0</v>
      </c>
      <c r="Z686" s="97">
        <f t="shared" ref="Z686:Z693" si="5612">SUM(T686+V686+X686)</f>
        <v>0</v>
      </c>
      <c r="AA686" s="97"/>
      <c r="AB686" s="97">
        <f t="shared" ref="AB686:AB693" si="5613">K686*AA686*$AB$2/1000</f>
        <v>0</v>
      </c>
      <c r="AC686" s="97"/>
      <c r="AD686" s="97">
        <f t="shared" ref="AD686:AD693" si="5614">K686*AC686*$AD$2/1000</f>
        <v>0</v>
      </c>
      <c r="AE686" s="97"/>
      <c r="AF686" s="97">
        <f t="shared" ref="AF686:AF693" si="5615">K686*AE686*$AF$2/1000</f>
        <v>0</v>
      </c>
      <c r="AG686" s="97">
        <f>SUM(AA686+AC686+AE686)</f>
        <v>0</v>
      </c>
      <c r="AH686" s="97">
        <f t="shared" ref="AH686:AH693" si="5616">SUM(AB686+AD686+AF686)</f>
        <v>0</v>
      </c>
      <c r="AI686" s="97">
        <f t="shared" ref="AI686:AI693" si="5617">SUM(Y686+AG686)</f>
        <v>0</v>
      </c>
      <c r="AJ686" s="97">
        <f t="shared" ref="AJ686:AJ693" si="5618">SUM(Z686,AH686)</f>
        <v>0</v>
      </c>
      <c r="AK686" s="97"/>
      <c r="AL686" s="97">
        <f t="shared" ref="AL686:AL693" si="5619">M686*AK686*$AL$2/1000</f>
        <v>0</v>
      </c>
      <c r="AM686" s="97"/>
      <c r="AN686" s="97">
        <f>M686*AM686*$AN$2/1000</f>
        <v>0</v>
      </c>
      <c r="AO686" s="97"/>
      <c r="AP686" s="97">
        <f t="shared" si="5436"/>
        <v>0</v>
      </c>
      <c r="AQ686" s="97">
        <f t="shared" ref="AQ686:AQ693" si="5620">SUM(AK686+AM686+AO686)</f>
        <v>0</v>
      </c>
      <c r="AR686" s="97">
        <f t="shared" ref="AR686:AR693" si="5621">SUM(AL686+AN686+AP686)</f>
        <v>0</v>
      </c>
      <c r="AS686" s="97"/>
      <c r="AT686" s="97">
        <f t="shared" si="5426"/>
        <v>0</v>
      </c>
      <c r="AU686" s="97"/>
      <c r="AV686" s="97">
        <f t="shared" ref="AV686:AV693" si="5622">O686*AU686*$AV$2/1000</f>
        <v>0</v>
      </c>
      <c r="AW686" s="97"/>
      <c r="AX686" s="97">
        <f t="shared" ref="AX686:AX693" si="5623">O686*AW686*$AX$2/1000</f>
        <v>0</v>
      </c>
      <c r="AY686" s="97">
        <f t="shared" ref="AY686" si="5624">SUM(AS686+AU686+AW686)</f>
        <v>0</v>
      </c>
      <c r="AZ686" s="97">
        <f t="shared" ref="AZ686:AZ693" si="5625">SUM(AT686+AV686+AX686)</f>
        <v>0</v>
      </c>
      <c r="BA686" s="97">
        <f t="shared" ref="BA686:BA693" si="5626">SUM(AQ686+AY686)</f>
        <v>0</v>
      </c>
      <c r="BB686" s="97">
        <f t="shared" ref="BB686:BB693" si="5627">SUM(AR686,AZ686)</f>
        <v>0</v>
      </c>
    </row>
    <row r="687" spans="1:54">
      <c r="A687" s="498">
        <v>475</v>
      </c>
      <c r="B687" s="13"/>
      <c r="C687" s="13"/>
      <c r="D687" s="13"/>
      <c r="E687" s="21" t="s">
        <v>706</v>
      </c>
      <c r="F687" s="46"/>
      <c r="G687" s="46" t="s">
        <v>1105</v>
      </c>
      <c r="H687" s="268" t="s">
        <v>364</v>
      </c>
      <c r="I687" s="55">
        <v>5.5</v>
      </c>
      <c r="J687" s="163"/>
      <c r="K687" s="55">
        <v>5.5</v>
      </c>
      <c r="L687" s="163"/>
      <c r="M687" s="55">
        <v>5.5</v>
      </c>
      <c r="N687" s="163"/>
      <c r="O687" s="55">
        <v>5.5</v>
      </c>
      <c r="P687" s="163"/>
      <c r="Q687" s="97">
        <f t="shared" ref="Q687:Q691" si="5628">SUM(AI687+BA687)</f>
        <v>0</v>
      </c>
      <c r="R687" s="342">
        <f t="shared" ref="R687:R691" si="5629">SUM(AJ687+BB687)</f>
        <v>0</v>
      </c>
      <c r="S687" s="97"/>
      <c r="T687" s="97">
        <f t="shared" ref="T687:T689" si="5630">I687*S687*$T$2/1000</f>
        <v>0</v>
      </c>
      <c r="U687" s="97"/>
      <c r="V687" s="97">
        <f t="shared" ref="V687:V689" si="5631">I687*U687*$V$2/1000</f>
        <v>0</v>
      </c>
      <c r="W687" s="97"/>
      <c r="X687" s="97">
        <f t="shared" ref="X687:X689" si="5632">I687*W687*$X$2/1000</f>
        <v>0</v>
      </c>
      <c r="Y687" s="97">
        <f t="shared" ref="Y687:Y689" si="5633">SUM(S687+U687+W687)</f>
        <v>0</v>
      </c>
      <c r="Z687" s="97">
        <f t="shared" ref="Z687:Z689" si="5634">SUM(T687+V687+X687)</f>
        <v>0</v>
      </c>
      <c r="AA687" s="97"/>
      <c r="AB687" s="97">
        <f t="shared" ref="AB687:AB689" si="5635">K687*AA687*$AB$2/1000</f>
        <v>0</v>
      </c>
      <c r="AC687" s="97"/>
      <c r="AD687" s="97">
        <f t="shared" ref="AD687:AD689" si="5636">K687*AC687*$AD$2/1000</f>
        <v>0</v>
      </c>
      <c r="AE687" s="97"/>
      <c r="AF687" s="97">
        <f t="shared" ref="AF687:AF691" si="5637">K687*AE687*$AF$2/1000</f>
        <v>0</v>
      </c>
      <c r="AG687" s="97">
        <f>SUM(AA687+AC687+AE687)</f>
        <v>0</v>
      </c>
      <c r="AH687" s="97">
        <f t="shared" ref="AH687:AH689" si="5638">SUM(AB687+AD687+AF687)</f>
        <v>0</v>
      </c>
      <c r="AI687" s="97">
        <f t="shared" ref="AI687:AI691" si="5639">SUM(Y687+AG687)</f>
        <v>0</v>
      </c>
      <c r="AJ687" s="97">
        <f t="shared" ref="AJ687:AJ691" si="5640">SUM(Z687,AH687)</f>
        <v>0</v>
      </c>
      <c r="AK687" s="97"/>
      <c r="AL687" s="97">
        <f t="shared" ref="AL687:AL691" si="5641">M687*AK687*$AL$2/1000</f>
        <v>0</v>
      </c>
      <c r="AM687" s="97"/>
      <c r="AN687" s="97">
        <f>M687*AM687*$AN$2/1000</f>
        <v>0</v>
      </c>
      <c r="AO687" s="97"/>
      <c r="AP687" s="97">
        <f t="shared" ref="AP687:AP691" si="5642">M687*AO687*$AP$2/1000</f>
        <v>0</v>
      </c>
      <c r="AQ687" s="97">
        <f t="shared" ref="AQ687:AQ689" si="5643">SUM(AK687+AM687+AO687)</f>
        <v>0</v>
      </c>
      <c r="AR687" s="97">
        <f t="shared" ref="AR687:AR689" si="5644">SUM(AL687+AN687+AP687)</f>
        <v>0</v>
      </c>
      <c r="AS687" s="97"/>
      <c r="AT687" s="97">
        <f t="shared" ref="AT687:AT691" si="5645">O687*AS687*$AT$2/1000</f>
        <v>0</v>
      </c>
      <c r="AU687" s="97"/>
      <c r="AV687" s="97">
        <f t="shared" ref="AV687:AV691" si="5646">O687*AU687*$AV$2/1000</f>
        <v>0</v>
      </c>
      <c r="AW687" s="97"/>
      <c r="AX687" s="97">
        <f t="shared" ref="AX687:AX691" si="5647">O687*AW687*$AX$2/1000</f>
        <v>0</v>
      </c>
      <c r="AY687" s="97">
        <f t="shared" ref="AY687:AY689" si="5648">SUM(AS687+AU687+AW687)</f>
        <v>0</v>
      </c>
      <c r="AZ687" s="97">
        <f t="shared" ref="AZ687:AZ689" si="5649">SUM(AT687+AV687+AX687)</f>
        <v>0</v>
      </c>
      <c r="BA687" s="97">
        <f t="shared" ref="BA687:BA691" si="5650">SUM(AQ687+AY687)</f>
        <v>0</v>
      </c>
      <c r="BB687" s="97">
        <f t="shared" ref="BB687:BB691" si="5651">SUM(AR687,AZ687)</f>
        <v>0</v>
      </c>
    </row>
    <row r="688" spans="1:54">
      <c r="A688" s="498">
        <v>476</v>
      </c>
      <c r="B688" s="13"/>
      <c r="C688" s="13"/>
      <c r="D688" s="13"/>
      <c r="E688" s="21" t="s">
        <v>1182</v>
      </c>
      <c r="F688" s="46"/>
      <c r="G688" s="46" t="s">
        <v>1105</v>
      </c>
      <c r="H688" s="268" t="s">
        <v>364</v>
      </c>
      <c r="I688" s="55">
        <v>5.5</v>
      </c>
      <c r="J688" s="163"/>
      <c r="K688" s="55">
        <v>5.5</v>
      </c>
      <c r="L688" s="163"/>
      <c r="M688" s="55">
        <v>5.5</v>
      </c>
      <c r="N688" s="163"/>
      <c r="O688" s="55">
        <v>5.5</v>
      </c>
      <c r="P688" s="163"/>
      <c r="Q688" s="97">
        <f t="shared" ref="Q688" si="5652">SUM(AI688+BA688)</f>
        <v>0</v>
      </c>
      <c r="R688" s="342">
        <f t="shared" ref="R688" si="5653">SUM(AJ688+BB688)</f>
        <v>0</v>
      </c>
      <c r="S688" s="97"/>
      <c r="T688" s="97">
        <f t="shared" ref="T688" si="5654">I688*S688*$T$2/1000</f>
        <v>0</v>
      </c>
      <c r="U688" s="97"/>
      <c r="V688" s="97">
        <f t="shared" ref="V688" si="5655">I688*U688*$V$2/1000</f>
        <v>0</v>
      </c>
      <c r="W688" s="97"/>
      <c r="X688" s="97">
        <f t="shared" ref="X688" si="5656">I688*W688*$X$2/1000</f>
        <v>0</v>
      </c>
      <c r="Y688" s="97">
        <f t="shared" ref="Y688" si="5657">SUM(S688+U688+W688)</f>
        <v>0</v>
      </c>
      <c r="Z688" s="97">
        <f t="shared" ref="Z688" si="5658">SUM(T688+V688+X688)</f>
        <v>0</v>
      </c>
      <c r="AA688" s="97"/>
      <c r="AB688" s="97">
        <f t="shared" ref="AB688" si="5659">K688*AA688*$AB$2/1000</f>
        <v>0</v>
      </c>
      <c r="AC688" s="97"/>
      <c r="AD688" s="97">
        <f t="shared" ref="AD688" si="5660">K688*AC688*$AD$2/1000</f>
        <v>0</v>
      </c>
      <c r="AE688" s="97"/>
      <c r="AF688" s="97">
        <f t="shared" ref="AF688" si="5661">K688*AE688*$AF$2/1000</f>
        <v>0</v>
      </c>
      <c r="AG688" s="97">
        <f t="shared" ref="AG688" si="5662">SUM(AA688+AC688+AE688)</f>
        <v>0</v>
      </c>
      <c r="AH688" s="97">
        <f t="shared" ref="AH688" si="5663">SUM(AB688+AD688+AF688)</f>
        <v>0</v>
      </c>
      <c r="AI688" s="97">
        <f t="shared" ref="AI688" si="5664">SUM(Y688+AG688)</f>
        <v>0</v>
      </c>
      <c r="AJ688" s="97">
        <f t="shared" ref="AJ688" si="5665">SUM(Z688,AH688)</f>
        <v>0</v>
      </c>
      <c r="AK688" s="97"/>
      <c r="AL688" s="97">
        <f t="shared" ref="AL688" si="5666">M688*AK688*$AL$2/1000</f>
        <v>0</v>
      </c>
      <c r="AM688" s="97"/>
      <c r="AN688" s="97">
        <f>M688*AM688*$AN$2/1000</f>
        <v>0</v>
      </c>
      <c r="AO688" s="97"/>
      <c r="AP688" s="97">
        <f t="shared" ref="AP688" si="5667">M688*AO688*$AP$2/1000</f>
        <v>0</v>
      </c>
      <c r="AQ688" s="97">
        <f t="shared" ref="AQ688" si="5668">SUM(AK688+AM688+AO688)</f>
        <v>0</v>
      </c>
      <c r="AR688" s="97">
        <f t="shared" ref="AR688" si="5669">SUM(AL688+AN688+AP688)</f>
        <v>0</v>
      </c>
      <c r="AS688" s="97"/>
      <c r="AT688" s="97">
        <f t="shared" ref="AT688" si="5670">O688*AS688*$AT$2/1000</f>
        <v>0</v>
      </c>
      <c r="AU688" s="97"/>
      <c r="AV688" s="97">
        <f t="shared" ref="AV688" si="5671">O688*AU688*$AV$2/1000</f>
        <v>0</v>
      </c>
      <c r="AW688" s="97"/>
      <c r="AX688" s="97">
        <f t="shared" ref="AX688" si="5672">O688*AW688*$AX$2/1000</f>
        <v>0</v>
      </c>
      <c r="AY688" s="97">
        <f t="shared" ref="AY688" si="5673">SUM(AS688+AU688+AW688)</f>
        <v>0</v>
      </c>
      <c r="AZ688" s="97">
        <f t="shared" ref="AZ688" si="5674">SUM(AT688+AV688+AX688)</f>
        <v>0</v>
      </c>
      <c r="BA688" s="97">
        <f t="shared" ref="BA688" si="5675">SUM(AQ688+AY688)</f>
        <v>0</v>
      </c>
      <c r="BB688" s="97">
        <f t="shared" ref="BB688" si="5676">SUM(AR688,AZ688)</f>
        <v>0</v>
      </c>
    </row>
    <row r="689" spans="1:54">
      <c r="A689" s="498">
        <v>477</v>
      </c>
      <c r="B689" s="13"/>
      <c r="C689" s="13"/>
      <c r="D689" s="13"/>
      <c r="E689" s="21" t="s">
        <v>1183</v>
      </c>
      <c r="F689" s="46"/>
      <c r="G689" s="46" t="s">
        <v>1105</v>
      </c>
      <c r="H689" s="268" t="s">
        <v>364</v>
      </c>
      <c r="I689" s="55">
        <v>5.72</v>
      </c>
      <c r="J689" s="163"/>
      <c r="K689" s="55">
        <v>5.72</v>
      </c>
      <c r="L689" s="163"/>
      <c r="M689" s="55">
        <v>5.72</v>
      </c>
      <c r="N689" s="163"/>
      <c r="O689" s="55">
        <v>5.72</v>
      </c>
      <c r="P689" s="163"/>
      <c r="Q689" s="97">
        <f t="shared" si="5628"/>
        <v>0</v>
      </c>
      <c r="R689" s="342">
        <f t="shared" si="5629"/>
        <v>0</v>
      </c>
      <c r="S689" s="97"/>
      <c r="T689" s="97">
        <f t="shared" si="5630"/>
        <v>0</v>
      </c>
      <c r="U689" s="97"/>
      <c r="V689" s="97">
        <f t="shared" si="5631"/>
        <v>0</v>
      </c>
      <c r="W689" s="97"/>
      <c r="X689" s="97">
        <f t="shared" si="5632"/>
        <v>0</v>
      </c>
      <c r="Y689" s="97">
        <f t="shared" si="5633"/>
        <v>0</v>
      </c>
      <c r="Z689" s="97">
        <f t="shared" si="5634"/>
        <v>0</v>
      </c>
      <c r="AA689" s="97"/>
      <c r="AB689" s="97">
        <f t="shared" si="5635"/>
        <v>0</v>
      </c>
      <c r="AC689" s="97"/>
      <c r="AD689" s="97">
        <f t="shared" si="5636"/>
        <v>0</v>
      </c>
      <c r="AE689" s="97"/>
      <c r="AF689" s="97">
        <f t="shared" si="5637"/>
        <v>0</v>
      </c>
      <c r="AG689" s="97">
        <f>SUM(AA689+AC689+AE689)</f>
        <v>0</v>
      </c>
      <c r="AH689" s="97">
        <f t="shared" si="5638"/>
        <v>0</v>
      </c>
      <c r="AI689" s="97">
        <f t="shared" si="5639"/>
        <v>0</v>
      </c>
      <c r="AJ689" s="97">
        <f t="shared" si="5640"/>
        <v>0</v>
      </c>
      <c r="AK689" s="97"/>
      <c r="AL689" s="97">
        <f t="shared" si="5641"/>
        <v>0</v>
      </c>
      <c r="AM689" s="97"/>
      <c r="AN689" s="97">
        <f>M689*AM689*$AN$2/1000</f>
        <v>0</v>
      </c>
      <c r="AO689" s="97"/>
      <c r="AP689" s="97">
        <f t="shared" si="5642"/>
        <v>0</v>
      </c>
      <c r="AQ689" s="97">
        <f t="shared" si="5643"/>
        <v>0</v>
      </c>
      <c r="AR689" s="97">
        <f t="shared" si="5644"/>
        <v>0</v>
      </c>
      <c r="AS689" s="97"/>
      <c r="AT689" s="97">
        <f t="shared" si="5645"/>
        <v>0</v>
      </c>
      <c r="AU689" s="97"/>
      <c r="AV689" s="97">
        <f t="shared" si="5646"/>
        <v>0</v>
      </c>
      <c r="AW689" s="97"/>
      <c r="AX689" s="97">
        <f t="shared" si="5647"/>
        <v>0</v>
      </c>
      <c r="AY689" s="97">
        <f t="shared" si="5648"/>
        <v>0</v>
      </c>
      <c r="AZ689" s="97">
        <f t="shared" si="5649"/>
        <v>0</v>
      </c>
      <c r="BA689" s="97">
        <f t="shared" si="5650"/>
        <v>0</v>
      </c>
      <c r="BB689" s="97">
        <f t="shared" si="5651"/>
        <v>0</v>
      </c>
    </row>
    <row r="690" spans="1:54">
      <c r="A690" s="498">
        <v>478</v>
      </c>
      <c r="B690" s="13"/>
      <c r="C690" s="13"/>
      <c r="D690" s="13"/>
      <c r="E690" s="21" t="s">
        <v>1149</v>
      </c>
      <c r="F690" s="22"/>
      <c r="G690" s="46" t="s">
        <v>1105</v>
      </c>
      <c r="H690" s="268" t="s">
        <v>364</v>
      </c>
      <c r="I690" s="55">
        <v>10.31</v>
      </c>
      <c r="J690" s="102"/>
      <c r="K690" s="55">
        <v>10.31</v>
      </c>
      <c r="L690" s="102"/>
      <c r="M690" s="55">
        <v>10.31</v>
      </c>
      <c r="N690" s="163"/>
      <c r="O690" s="55">
        <v>10.31</v>
      </c>
      <c r="P690" s="102"/>
      <c r="Q690" s="97">
        <f t="shared" ref="Q690" si="5677">SUM(AI690+BA690)</f>
        <v>0</v>
      </c>
      <c r="R690" s="342">
        <f t="shared" ref="R690" si="5678">SUM(AJ690+BB690)</f>
        <v>0</v>
      </c>
      <c r="S690" s="97"/>
      <c r="T690" s="97">
        <f>I690*S690*$T$2/1000</f>
        <v>0</v>
      </c>
      <c r="U690" s="97"/>
      <c r="V690" s="177">
        <f>I690*U690*$V$2/1000</f>
        <v>0</v>
      </c>
      <c r="W690" s="207"/>
      <c r="X690" s="206">
        <f>I690*W690*$X$2/1000</f>
        <v>0</v>
      </c>
      <c r="Y690" s="189">
        <f t="shared" ref="Y690" si="5679">SUM(S690+U690+W690)</f>
        <v>0</v>
      </c>
      <c r="Z690" s="177">
        <f t="shared" ref="Z690" si="5680">SUM(T690+V690+X690)</f>
        <v>0</v>
      </c>
      <c r="AA690" s="207"/>
      <c r="AB690" s="206">
        <f>K690*AA690*$AB$2/1000</f>
        <v>0</v>
      </c>
      <c r="AC690" s="207"/>
      <c r="AD690" s="177">
        <f>K690*AC690*$AD$2/1000</f>
        <v>0</v>
      </c>
      <c r="AE690" s="207"/>
      <c r="AF690" s="206">
        <f t="shared" ref="AF690" si="5681">K690*AE690*$AF$2/1000</f>
        <v>0</v>
      </c>
      <c r="AG690" s="189">
        <f t="shared" ref="AG690" si="5682">SUM(AA690+AC690+AE690)</f>
        <v>0</v>
      </c>
      <c r="AH690" s="97">
        <f t="shared" ref="AH690" si="5683">SUM(AB690+AD690+AF690)</f>
        <v>0</v>
      </c>
      <c r="AI690" s="97">
        <f t="shared" ref="AI690" si="5684">SUM(Y690+AG690)</f>
        <v>0</v>
      </c>
      <c r="AJ690" s="177">
        <f t="shared" ref="AJ690" si="5685">SUM(Z690,AH690)</f>
        <v>0</v>
      </c>
      <c r="AK690" s="207"/>
      <c r="AL690" s="177">
        <f t="shared" ref="AL690" si="5686">M690*AK690*$AL$2/1000</f>
        <v>0</v>
      </c>
      <c r="AM690" s="245"/>
      <c r="AN690" s="177">
        <f t="shared" ref="AN690" si="5687">M690*AM690*$AN$2/1000</f>
        <v>0</v>
      </c>
      <c r="AO690" s="207"/>
      <c r="AP690" s="206">
        <f t="shared" ref="AP690" si="5688">M690*AO690*$AP$2/1000</f>
        <v>0</v>
      </c>
      <c r="AQ690" s="189">
        <f t="shared" ref="AQ690" si="5689">SUM(AK690+AM690+AO690)</f>
        <v>0</v>
      </c>
      <c r="AR690" s="97">
        <f t="shared" ref="AR690" si="5690">SUM(AL690+AN690+AP690)</f>
        <v>0</v>
      </c>
      <c r="AS690" s="97"/>
      <c r="AT690" s="177">
        <f t="shared" ref="AT690" si="5691">O690*AS690*$AT$2/1000</f>
        <v>0</v>
      </c>
      <c r="AU690" s="207"/>
      <c r="AV690" s="177">
        <f t="shared" ref="AV690" si="5692">O690*AU690*$AV$2/1000</f>
        <v>0</v>
      </c>
      <c r="AW690" s="207"/>
      <c r="AX690" s="206">
        <f t="shared" ref="AX690" si="5693">O690*AW690*$AX$2/1000</f>
        <v>0</v>
      </c>
      <c r="AY690" s="189">
        <f t="shared" ref="AY690" si="5694">SUM(AS690+AU690+AW690)</f>
        <v>0</v>
      </c>
      <c r="AZ690" s="97">
        <f t="shared" ref="AZ690" si="5695">SUM(AT690+AV690+AX690)</f>
        <v>0</v>
      </c>
      <c r="BA690" s="97">
        <f t="shared" ref="BA690" si="5696">SUM(AQ690+AY690)</f>
        <v>0</v>
      </c>
      <c r="BB690" s="97">
        <f t="shared" ref="BB690" si="5697">SUM(AR690,AZ690)</f>
        <v>0</v>
      </c>
    </row>
    <row r="691" spans="1:54">
      <c r="A691" s="498">
        <v>479</v>
      </c>
      <c r="B691" s="13"/>
      <c r="C691" s="13"/>
      <c r="D691" s="13"/>
      <c r="E691" s="21" t="s">
        <v>1150</v>
      </c>
      <c r="F691" s="22"/>
      <c r="G691" s="46" t="s">
        <v>1105</v>
      </c>
      <c r="H691" s="268" t="s">
        <v>364</v>
      </c>
      <c r="I691" s="55">
        <v>10.31</v>
      </c>
      <c r="J691" s="102"/>
      <c r="K691" s="55">
        <v>10.31</v>
      </c>
      <c r="L691" s="102"/>
      <c r="M691" s="55">
        <v>10.31</v>
      </c>
      <c r="N691" s="163"/>
      <c r="O691" s="55">
        <v>10.31</v>
      </c>
      <c r="P691" s="102"/>
      <c r="Q691" s="97">
        <f t="shared" si="5628"/>
        <v>0</v>
      </c>
      <c r="R691" s="342">
        <f t="shared" si="5629"/>
        <v>0</v>
      </c>
      <c r="S691" s="97"/>
      <c r="T691" s="97">
        <f>I691*S691*$T$2/1000</f>
        <v>0</v>
      </c>
      <c r="U691" s="97"/>
      <c r="V691" s="177">
        <f>I691*U691*$V$2/1000</f>
        <v>0</v>
      </c>
      <c r="W691" s="207"/>
      <c r="X691" s="206">
        <f>I691*W691*$X$2/1000</f>
        <v>0</v>
      </c>
      <c r="Y691" s="189">
        <f t="shared" ref="Y691" si="5698">SUM(S691+U691+W691)</f>
        <v>0</v>
      </c>
      <c r="Z691" s="177">
        <f t="shared" ref="Z691" si="5699">SUM(T691+V691+X691)</f>
        <v>0</v>
      </c>
      <c r="AA691" s="207"/>
      <c r="AB691" s="206">
        <f>K691*AA691*$AB$2/1000</f>
        <v>0</v>
      </c>
      <c r="AC691" s="207"/>
      <c r="AD691" s="177">
        <f>K691*AC691*$AD$2/1000</f>
        <v>0</v>
      </c>
      <c r="AE691" s="207"/>
      <c r="AF691" s="206">
        <f t="shared" si="5637"/>
        <v>0</v>
      </c>
      <c r="AG691" s="189">
        <f t="shared" ref="AG691" si="5700">SUM(AA691+AC691+AE691)</f>
        <v>0</v>
      </c>
      <c r="AH691" s="97">
        <f t="shared" ref="AH691" si="5701">SUM(AB691+AD691+AF691)</f>
        <v>0</v>
      </c>
      <c r="AI691" s="97">
        <f t="shared" si="5639"/>
        <v>0</v>
      </c>
      <c r="AJ691" s="177">
        <f t="shared" si="5640"/>
        <v>0</v>
      </c>
      <c r="AK691" s="207"/>
      <c r="AL691" s="177">
        <f t="shared" si="5641"/>
        <v>0</v>
      </c>
      <c r="AM691" s="245"/>
      <c r="AN691" s="177">
        <f t="shared" ref="AN691" si="5702">M691*AM691*$AN$2/1000</f>
        <v>0</v>
      </c>
      <c r="AO691" s="207"/>
      <c r="AP691" s="206">
        <f t="shared" si="5642"/>
        <v>0</v>
      </c>
      <c r="AQ691" s="189">
        <f t="shared" ref="AQ691" si="5703">SUM(AK691+AM691+AO691)</f>
        <v>0</v>
      </c>
      <c r="AR691" s="97">
        <f t="shared" ref="AR691" si="5704">SUM(AL691+AN691+AP691)</f>
        <v>0</v>
      </c>
      <c r="AS691" s="97"/>
      <c r="AT691" s="177">
        <f t="shared" si="5645"/>
        <v>0</v>
      </c>
      <c r="AU691" s="207"/>
      <c r="AV691" s="177">
        <f t="shared" si="5646"/>
        <v>0</v>
      </c>
      <c r="AW691" s="207"/>
      <c r="AX691" s="206">
        <f t="shared" si="5647"/>
        <v>0</v>
      </c>
      <c r="AY691" s="189">
        <f>SUM(AS691+AU691+AW691)</f>
        <v>0</v>
      </c>
      <c r="AZ691" s="97">
        <f t="shared" ref="AZ691" si="5705">SUM(AT691+AV691+AX691)</f>
        <v>0</v>
      </c>
      <c r="BA691" s="97">
        <f t="shared" si="5650"/>
        <v>0</v>
      </c>
      <c r="BB691" s="97">
        <f t="shared" si="5651"/>
        <v>0</v>
      </c>
    </row>
    <row r="692" spans="1:54">
      <c r="A692" s="498">
        <v>480</v>
      </c>
      <c r="B692" s="13"/>
      <c r="C692" s="13"/>
      <c r="D692" s="13"/>
      <c r="E692" s="21" t="s">
        <v>1151</v>
      </c>
      <c r="F692" s="22"/>
      <c r="G692" s="46" t="s">
        <v>1105</v>
      </c>
      <c r="H692" s="268" t="s">
        <v>364</v>
      </c>
      <c r="I692" s="55">
        <v>6.26</v>
      </c>
      <c r="J692" s="102"/>
      <c r="K692" s="55">
        <v>6.26</v>
      </c>
      <c r="L692" s="102"/>
      <c r="M692" s="55">
        <v>6.26</v>
      </c>
      <c r="N692" s="163"/>
      <c r="O692" s="55">
        <v>6.26</v>
      </c>
      <c r="P692" s="102"/>
      <c r="Q692" s="97">
        <f t="shared" ref="Q692" si="5706">SUM(AI692+BA692)</f>
        <v>0</v>
      </c>
      <c r="R692" s="342">
        <f t="shared" ref="R692" si="5707">SUM(AJ692+BB692)</f>
        <v>0</v>
      </c>
      <c r="S692" s="97"/>
      <c r="T692" s="97">
        <f>I692*S692*$T$2/1000</f>
        <v>0</v>
      </c>
      <c r="U692" s="97"/>
      <c r="V692" s="177">
        <f>I692*U692*$V$2/1000</f>
        <v>0</v>
      </c>
      <c r="W692" s="207"/>
      <c r="X692" s="206">
        <f>I692*W692*$X$2/1000</f>
        <v>0</v>
      </c>
      <c r="Y692" s="189">
        <f t="shared" ref="Y692" si="5708">SUM(S692+U692+W692)</f>
        <v>0</v>
      </c>
      <c r="Z692" s="177">
        <f t="shared" ref="Z692" si="5709">SUM(T692+V692+X692)</f>
        <v>0</v>
      </c>
      <c r="AA692" s="207"/>
      <c r="AB692" s="206">
        <f>K692*AA692*$AB$2/1000</f>
        <v>0</v>
      </c>
      <c r="AC692" s="207"/>
      <c r="AD692" s="177">
        <f>K692*AC692*$AD$2/1000</f>
        <v>0</v>
      </c>
      <c r="AE692" s="207"/>
      <c r="AF692" s="206">
        <f t="shared" ref="AF692" si="5710">K692*AE692*$AF$2/1000</f>
        <v>0</v>
      </c>
      <c r="AG692" s="189">
        <f t="shared" ref="AG692" si="5711">SUM(AA692+AC692+AE692)</f>
        <v>0</v>
      </c>
      <c r="AH692" s="97">
        <f t="shared" ref="AH692" si="5712">SUM(AB692+AD692+AF692)</f>
        <v>0</v>
      </c>
      <c r="AI692" s="97">
        <f t="shared" ref="AI692" si="5713">SUM(Y692+AG692)</f>
        <v>0</v>
      </c>
      <c r="AJ692" s="177">
        <f t="shared" ref="AJ692" si="5714">SUM(Z692,AH692)</f>
        <v>0</v>
      </c>
      <c r="AK692" s="207"/>
      <c r="AL692" s="177">
        <f t="shared" ref="AL692" si="5715">M692*AK692*$AL$2/1000</f>
        <v>0</v>
      </c>
      <c r="AM692" s="245"/>
      <c r="AN692" s="177">
        <f t="shared" ref="AN692" si="5716">M692*AM692*$AN$2/1000</f>
        <v>0</v>
      </c>
      <c r="AO692" s="207"/>
      <c r="AP692" s="206">
        <f t="shared" ref="AP692" si="5717">M692*AO692*$AP$2/1000</f>
        <v>0</v>
      </c>
      <c r="AQ692" s="189">
        <f t="shared" ref="AQ692" si="5718">SUM(AK692+AM692+AO692)</f>
        <v>0</v>
      </c>
      <c r="AR692" s="97">
        <f t="shared" ref="AR692" si="5719">SUM(AL692+AN692+AP692)</f>
        <v>0</v>
      </c>
      <c r="AS692" s="97"/>
      <c r="AT692" s="177">
        <f t="shared" ref="AT692" si="5720">O692*AS692*$AT$2/1000</f>
        <v>0</v>
      </c>
      <c r="AU692" s="207"/>
      <c r="AV692" s="177">
        <f t="shared" ref="AV692" si="5721">O692*AU692*$AV$2/1000</f>
        <v>0</v>
      </c>
      <c r="AW692" s="207"/>
      <c r="AX692" s="206">
        <f t="shared" ref="AX692" si="5722">O692*AW692*$AX$2/1000</f>
        <v>0</v>
      </c>
      <c r="AY692" s="189">
        <f t="shared" ref="AY692" si="5723">SUM(AS692+AU692+AW692)</f>
        <v>0</v>
      </c>
      <c r="AZ692" s="97">
        <f t="shared" ref="AZ692" si="5724">SUM(AT692+AV692+AX692)</f>
        <v>0</v>
      </c>
      <c r="BA692" s="97">
        <f t="shared" ref="BA692" si="5725">SUM(AQ692+AY692)</f>
        <v>0</v>
      </c>
      <c r="BB692" s="97">
        <f t="shared" ref="BB692" si="5726">SUM(AR692,AZ692)</f>
        <v>0</v>
      </c>
    </row>
    <row r="693" spans="1:54">
      <c r="A693" s="498">
        <v>481</v>
      </c>
      <c r="B693" s="13"/>
      <c r="C693" s="13"/>
      <c r="D693" s="13"/>
      <c r="E693" s="21" t="s">
        <v>599</v>
      </c>
      <c r="F693" s="46"/>
      <c r="G693" s="46" t="s">
        <v>1105</v>
      </c>
      <c r="H693" s="268" t="s">
        <v>364</v>
      </c>
      <c r="I693" s="55">
        <v>3.54</v>
      </c>
      <c r="J693" s="163"/>
      <c r="K693" s="55">
        <v>3.54</v>
      </c>
      <c r="L693" s="163"/>
      <c r="M693" s="55">
        <v>3.54</v>
      </c>
      <c r="N693" s="163"/>
      <c r="O693" s="55">
        <v>3.54</v>
      </c>
      <c r="P693" s="163"/>
      <c r="Q693" s="97">
        <f t="shared" si="5606"/>
        <v>0</v>
      </c>
      <c r="R693" s="342">
        <f t="shared" si="5607"/>
        <v>0</v>
      </c>
      <c r="S693" s="97"/>
      <c r="T693" s="97">
        <f t="shared" si="5608"/>
        <v>0</v>
      </c>
      <c r="U693" s="97"/>
      <c r="V693" s="97">
        <f t="shared" si="5609"/>
        <v>0</v>
      </c>
      <c r="W693" s="97"/>
      <c r="X693" s="97">
        <f t="shared" si="5610"/>
        <v>0</v>
      </c>
      <c r="Y693" s="97">
        <f t="shared" si="5611"/>
        <v>0</v>
      </c>
      <c r="Z693" s="97">
        <f t="shared" si="5612"/>
        <v>0</v>
      </c>
      <c r="AA693" s="97"/>
      <c r="AB693" s="97">
        <f t="shared" si="5613"/>
        <v>0</v>
      </c>
      <c r="AC693" s="97"/>
      <c r="AD693" s="97">
        <f t="shared" si="5614"/>
        <v>0</v>
      </c>
      <c r="AE693" s="97"/>
      <c r="AF693" s="97">
        <f t="shared" si="5615"/>
        <v>0</v>
      </c>
      <c r="AG693" s="97">
        <f>SUM(AA693+AC693+AE693)</f>
        <v>0</v>
      </c>
      <c r="AH693" s="97">
        <f t="shared" si="5616"/>
        <v>0</v>
      </c>
      <c r="AI693" s="97">
        <f t="shared" si="5617"/>
        <v>0</v>
      </c>
      <c r="AJ693" s="97">
        <f t="shared" si="5618"/>
        <v>0</v>
      </c>
      <c r="AK693" s="97"/>
      <c r="AL693" s="97">
        <f t="shared" si="5619"/>
        <v>0</v>
      </c>
      <c r="AM693" s="97"/>
      <c r="AN693" s="97">
        <f t="shared" ref="AN693" si="5727">M693*AM693*$AN$2/1000</f>
        <v>0</v>
      </c>
      <c r="AO693" s="97"/>
      <c r="AP693" s="97">
        <f>M693*AO693*$AP$2/1000</f>
        <v>0</v>
      </c>
      <c r="AQ693" s="97">
        <f t="shared" si="5620"/>
        <v>0</v>
      </c>
      <c r="AR693" s="97">
        <f t="shared" si="5621"/>
        <v>0</v>
      </c>
      <c r="AS693" s="97"/>
      <c r="AT693" s="97">
        <f t="shared" ref="AT693" si="5728">O693*AS693*$AT$2/1000</f>
        <v>0</v>
      </c>
      <c r="AU693" s="97"/>
      <c r="AV693" s="97">
        <f t="shared" si="5622"/>
        <v>0</v>
      </c>
      <c r="AW693" s="97"/>
      <c r="AX693" s="97">
        <f t="shared" si="5623"/>
        <v>0</v>
      </c>
      <c r="AY693" s="97">
        <f t="shared" ref="AY693" si="5729">SUM(AS693+AU693+AW693)</f>
        <v>0</v>
      </c>
      <c r="AZ693" s="97">
        <f t="shared" si="5625"/>
        <v>0</v>
      </c>
      <c r="BA693" s="97">
        <f t="shared" si="5626"/>
        <v>0</v>
      </c>
      <c r="BB693" s="97">
        <f t="shared" si="5627"/>
        <v>0</v>
      </c>
    </row>
    <row r="694" spans="1:54">
      <c r="A694" s="498">
        <v>482</v>
      </c>
      <c r="B694" s="13"/>
      <c r="C694" s="13"/>
      <c r="D694" s="13"/>
      <c r="E694" s="21" t="s">
        <v>589</v>
      </c>
      <c r="F694" s="46"/>
      <c r="G694" s="46" t="s">
        <v>1105</v>
      </c>
      <c r="H694" s="268" t="s">
        <v>364</v>
      </c>
      <c r="I694" s="55">
        <v>9.49</v>
      </c>
      <c r="J694" s="163"/>
      <c r="K694" s="55">
        <v>9.49</v>
      </c>
      <c r="L694" s="163"/>
      <c r="M694" s="55">
        <v>9.49</v>
      </c>
      <c r="N694" s="163"/>
      <c r="O694" s="55">
        <v>9.49</v>
      </c>
      <c r="P694" s="163"/>
      <c r="Q694" s="97">
        <f t="shared" si="5427"/>
        <v>0</v>
      </c>
      <c r="R694" s="342">
        <f t="shared" si="5428"/>
        <v>0</v>
      </c>
      <c r="S694" s="97"/>
      <c r="T694" s="97">
        <f t="shared" si="5429"/>
        <v>0</v>
      </c>
      <c r="U694" s="97"/>
      <c r="V694" s="97">
        <f t="shared" si="5430"/>
        <v>0</v>
      </c>
      <c r="W694" s="97"/>
      <c r="X694" s="97">
        <f t="shared" si="5431"/>
        <v>0</v>
      </c>
      <c r="Y694" s="97">
        <f t="shared" si="5432"/>
        <v>0</v>
      </c>
      <c r="Z694" s="97">
        <f t="shared" si="4394"/>
        <v>0</v>
      </c>
      <c r="AA694" s="97"/>
      <c r="AB694" s="97">
        <f t="shared" si="5433"/>
        <v>0</v>
      </c>
      <c r="AC694" s="97"/>
      <c r="AD694" s="97">
        <f t="shared" si="5434"/>
        <v>0</v>
      </c>
      <c r="AE694" s="97"/>
      <c r="AF694" s="97">
        <f t="shared" si="5435"/>
        <v>0</v>
      </c>
      <c r="AG694" s="97">
        <f>SUM(AA694+AC694+AE694)</f>
        <v>0</v>
      </c>
      <c r="AH694" s="97">
        <f t="shared" si="4398"/>
        <v>0</v>
      </c>
      <c r="AI694" s="97">
        <f t="shared" si="4399"/>
        <v>0</v>
      </c>
      <c r="AJ694" s="97">
        <f t="shared" si="4400"/>
        <v>0</v>
      </c>
      <c r="AK694" s="97"/>
      <c r="AL694" s="97">
        <f t="shared" ref="AL694:AL700" si="5730">M694*AK694*$AL$2/1000</f>
        <v>0</v>
      </c>
      <c r="AM694" s="97"/>
      <c r="AN694" s="97">
        <f>M694*AM694*$AN$2/1000</f>
        <v>0</v>
      </c>
      <c r="AO694" s="97"/>
      <c r="AP694" s="97">
        <f t="shared" si="5436"/>
        <v>0</v>
      </c>
      <c r="AQ694" s="97">
        <f t="shared" si="5437"/>
        <v>0</v>
      </c>
      <c r="AR694" s="97">
        <f t="shared" si="4405"/>
        <v>0</v>
      </c>
      <c r="AS694" s="97"/>
      <c r="AT694" s="97">
        <f t="shared" si="5426"/>
        <v>0</v>
      </c>
      <c r="AU694" s="97"/>
      <c r="AV694" s="97">
        <f t="shared" si="5438"/>
        <v>0</v>
      </c>
      <c r="AW694" s="97"/>
      <c r="AX694" s="97">
        <f t="shared" si="5439"/>
        <v>0</v>
      </c>
      <c r="AY694" s="97">
        <f t="shared" si="5440"/>
        <v>0</v>
      </c>
      <c r="AZ694" s="97">
        <f t="shared" si="4409"/>
        <v>0</v>
      </c>
      <c r="BA694" s="97">
        <f t="shared" si="4410"/>
        <v>0</v>
      </c>
      <c r="BB694" s="97">
        <f t="shared" si="4411"/>
        <v>0</v>
      </c>
    </row>
    <row r="695" spans="1:54">
      <c r="A695" s="498">
        <v>483</v>
      </c>
      <c r="B695" s="13"/>
      <c r="C695" s="13"/>
      <c r="D695" s="13"/>
      <c r="E695" s="21" t="s">
        <v>600</v>
      </c>
      <c r="F695" s="46"/>
      <c r="G695" s="46" t="s">
        <v>1105</v>
      </c>
      <c r="H695" s="268" t="s">
        <v>364</v>
      </c>
      <c r="I695" s="55">
        <v>9.49</v>
      </c>
      <c r="J695" s="163"/>
      <c r="K695" s="55">
        <v>9.49</v>
      </c>
      <c r="L695" s="163"/>
      <c r="M695" s="55">
        <v>9.49</v>
      </c>
      <c r="N695" s="163"/>
      <c r="O695" s="55">
        <v>9.49</v>
      </c>
      <c r="P695" s="163"/>
      <c r="Q695" s="97">
        <f t="shared" ref="Q695" si="5731">SUM(AI695+BA695)</f>
        <v>0</v>
      </c>
      <c r="R695" s="342">
        <f t="shared" ref="R695" si="5732">SUM(AJ695+BB695)</f>
        <v>0</v>
      </c>
      <c r="S695" s="97"/>
      <c r="T695" s="97">
        <f t="shared" ref="T695" si="5733">I695*S695*$T$2/1000</f>
        <v>0</v>
      </c>
      <c r="U695" s="97"/>
      <c r="V695" s="97">
        <f t="shared" ref="V695" si="5734">I695*U695*$V$2/1000</f>
        <v>0</v>
      </c>
      <c r="W695" s="97"/>
      <c r="X695" s="97">
        <f t="shared" ref="X695" si="5735">I695*W695*$X$2/1000</f>
        <v>0</v>
      </c>
      <c r="Y695" s="97">
        <f t="shared" ref="Y695" si="5736">SUM(S695+U695+W695)</f>
        <v>0</v>
      </c>
      <c r="Z695" s="97">
        <f t="shared" ref="Z695" si="5737">SUM(T695+V695+X695)</f>
        <v>0</v>
      </c>
      <c r="AA695" s="97"/>
      <c r="AB695" s="97">
        <f t="shared" ref="AB695" si="5738">K695*AA695*$AB$2/1000</f>
        <v>0</v>
      </c>
      <c r="AC695" s="97"/>
      <c r="AD695" s="97">
        <f t="shared" ref="AD695" si="5739">K695*AC695*$AD$2/1000</f>
        <v>0</v>
      </c>
      <c r="AE695" s="97"/>
      <c r="AF695" s="97">
        <f t="shared" ref="AF695" si="5740">K695*AE695*$AF$2/1000</f>
        <v>0</v>
      </c>
      <c r="AG695" s="97">
        <f>SUM(AA695+AC695+AE695)</f>
        <v>0</v>
      </c>
      <c r="AH695" s="97">
        <f t="shared" ref="AH695" si="5741">SUM(AB695+AD695+AF695)</f>
        <v>0</v>
      </c>
      <c r="AI695" s="97">
        <f t="shared" ref="AI695" si="5742">SUM(Y695+AG695)</f>
        <v>0</v>
      </c>
      <c r="AJ695" s="97">
        <f t="shared" ref="AJ695" si="5743">SUM(Z695,AH695)</f>
        <v>0</v>
      </c>
      <c r="AK695" s="97"/>
      <c r="AL695" s="97">
        <f t="shared" ref="AL695" si="5744">M695*AK695*$AL$2/1000</f>
        <v>0</v>
      </c>
      <c r="AM695" s="97"/>
      <c r="AN695" s="97">
        <f t="shared" ref="AN695" si="5745">M695*AM695*$AN$2/1000</f>
        <v>0</v>
      </c>
      <c r="AO695" s="97"/>
      <c r="AP695" s="97">
        <f t="shared" si="5436"/>
        <v>0</v>
      </c>
      <c r="AQ695" s="97">
        <f t="shared" ref="AQ695" si="5746">SUM(AK695+AM695+AO695)</f>
        <v>0</v>
      </c>
      <c r="AR695" s="97">
        <f t="shared" ref="AR695" si="5747">SUM(AL695+AN695+AP695)</f>
        <v>0</v>
      </c>
      <c r="AS695" s="97"/>
      <c r="AT695" s="97">
        <f t="shared" si="5426"/>
        <v>0</v>
      </c>
      <c r="AU695" s="97"/>
      <c r="AV695" s="97">
        <f t="shared" ref="AV695" si="5748">O695*AU695*$AV$2/1000</f>
        <v>0</v>
      </c>
      <c r="AW695" s="97"/>
      <c r="AX695" s="97">
        <f t="shared" ref="AX695" si="5749">O695*AW695*$AX$2/1000</f>
        <v>0</v>
      </c>
      <c r="AY695" s="97">
        <f t="shared" ref="AY695" si="5750">SUM(AS695+AU695+AW695)</f>
        <v>0</v>
      </c>
      <c r="AZ695" s="97">
        <f t="shared" ref="AZ695" si="5751">SUM(AT695+AV695+AX695)</f>
        <v>0</v>
      </c>
      <c r="BA695" s="97">
        <f t="shared" ref="BA695" si="5752">SUM(AQ695+AY695)</f>
        <v>0</v>
      </c>
      <c r="BB695" s="97">
        <f t="shared" ref="BB695" si="5753">SUM(AR695,AZ695)</f>
        <v>0</v>
      </c>
    </row>
    <row r="696" spans="1:54">
      <c r="A696" s="498">
        <v>484</v>
      </c>
      <c r="B696" s="13"/>
      <c r="C696" s="13"/>
      <c r="D696" s="13"/>
      <c r="E696" s="21" t="s">
        <v>707</v>
      </c>
      <c r="F696" s="46"/>
      <c r="G696" s="46" t="s">
        <v>1105</v>
      </c>
      <c r="H696" s="268" t="s">
        <v>364</v>
      </c>
      <c r="I696" s="55">
        <v>5.6</v>
      </c>
      <c r="J696" s="163"/>
      <c r="K696" s="55">
        <v>5.6</v>
      </c>
      <c r="L696" s="163"/>
      <c r="M696" s="55">
        <v>5.6</v>
      </c>
      <c r="N696" s="163"/>
      <c r="O696" s="55">
        <v>5.6</v>
      </c>
      <c r="P696" s="163"/>
      <c r="Q696" s="97">
        <f t="shared" ref="Q696:Q698" si="5754">SUM(AI696+BA696)</f>
        <v>0</v>
      </c>
      <c r="R696" s="342">
        <f t="shared" ref="R696:R698" si="5755">SUM(AJ696+BB696)</f>
        <v>0</v>
      </c>
      <c r="S696" s="97"/>
      <c r="T696" s="97">
        <f t="shared" ref="T696:T698" si="5756">I696*S696*$T$2/1000</f>
        <v>0</v>
      </c>
      <c r="U696" s="97"/>
      <c r="V696" s="97">
        <f t="shared" ref="V696:V698" si="5757">I696*U696*$V$2/1000</f>
        <v>0</v>
      </c>
      <c r="W696" s="97"/>
      <c r="X696" s="97">
        <f t="shared" ref="X696:X698" si="5758">I696*W696*$X$2/1000</f>
        <v>0</v>
      </c>
      <c r="Y696" s="97">
        <f t="shared" ref="Y696:Y698" si="5759">SUM(S696+U696+W696)</f>
        <v>0</v>
      </c>
      <c r="Z696" s="97">
        <f t="shared" ref="Z696:Z698" si="5760">SUM(T696+V696+X696)</f>
        <v>0</v>
      </c>
      <c r="AA696" s="97"/>
      <c r="AB696" s="97">
        <f t="shared" ref="AB696:AB698" si="5761">K696*AA696*$AB$2/1000</f>
        <v>0</v>
      </c>
      <c r="AC696" s="97"/>
      <c r="AD696" s="97">
        <f t="shared" ref="AD696:AD698" si="5762">K696*AC696*$AD$2/1000</f>
        <v>0</v>
      </c>
      <c r="AE696" s="97"/>
      <c r="AF696" s="97">
        <f t="shared" ref="AF696:AF698" si="5763">K696*AE696*$AF$2/1000</f>
        <v>0</v>
      </c>
      <c r="AG696" s="97">
        <f>SUM(AA696+AC696+AE696)</f>
        <v>0</v>
      </c>
      <c r="AH696" s="97">
        <f t="shared" ref="AH696:AH698" si="5764">SUM(AB696+AD696+AF696)</f>
        <v>0</v>
      </c>
      <c r="AI696" s="97">
        <f t="shared" ref="AI696:AI698" si="5765">SUM(Y696+AG696)</f>
        <v>0</v>
      </c>
      <c r="AJ696" s="97">
        <f t="shared" ref="AJ696:AJ698" si="5766">SUM(Z696,AH696)</f>
        <v>0</v>
      </c>
      <c r="AK696" s="97"/>
      <c r="AL696" s="97">
        <f t="shared" ref="AL696:AL698" si="5767">M696*AK696*$AL$2/1000</f>
        <v>0</v>
      </c>
      <c r="AM696" s="97"/>
      <c r="AN696" s="97">
        <f t="shared" ref="AN696" si="5768">M696*AM696*$AN$2/1000</f>
        <v>0</v>
      </c>
      <c r="AO696" s="97"/>
      <c r="AP696" s="97">
        <f t="shared" ref="AP696:AP698" si="5769">M696*AO696*$AP$2/1000</f>
        <v>0</v>
      </c>
      <c r="AQ696" s="97">
        <f t="shared" ref="AQ696:AQ698" si="5770">SUM(AK696+AM696+AO696)</f>
        <v>0</v>
      </c>
      <c r="AR696" s="97">
        <f t="shared" ref="AR696:AR698" si="5771">SUM(AL696+AN696+AP696)</f>
        <v>0</v>
      </c>
      <c r="AS696" s="97"/>
      <c r="AT696" s="97">
        <f t="shared" ref="AT696:AT698" si="5772">O696*AS696*$AT$2/1000</f>
        <v>0</v>
      </c>
      <c r="AU696" s="97"/>
      <c r="AV696" s="97">
        <f t="shared" ref="AV696:AV698" si="5773">O696*AU696*$AV$2/1000</f>
        <v>0</v>
      </c>
      <c r="AW696" s="97"/>
      <c r="AX696" s="97">
        <f t="shared" ref="AX696:AX698" si="5774">O696*AW696*$AX$2/1000</f>
        <v>0</v>
      </c>
      <c r="AY696" s="97">
        <f t="shared" ref="AY696:AY698" si="5775">SUM(AS696+AU696+AW696)</f>
        <v>0</v>
      </c>
      <c r="AZ696" s="97">
        <f t="shared" ref="AZ696:AZ698" si="5776">SUM(AT696+AV696+AX696)</f>
        <v>0</v>
      </c>
      <c r="BA696" s="97">
        <f t="shared" ref="BA696:BA698" si="5777">SUM(AQ696+AY696)</f>
        <v>0</v>
      </c>
      <c r="BB696" s="97">
        <f t="shared" ref="BB696:BB698" si="5778">SUM(AR696,AZ696)</f>
        <v>0</v>
      </c>
    </row>
    <row r="697" spans="1:54">
      <c r="A697" s="498">
        <v>485</v>
      </c>
      <c r="B697" s="13"/>
      <c r="C697" s="13"/>
      <c r="D697" s="13"/>
      <c r="E697" s="21" t="s">
        <v>708</v>
      </c>
      <c r="F697" s="46"/>
      <c r="G697" s="46" t="s">
        <v>1105</v>
      </c>
      <c r="H697" s="268" t="s">
        <v>364</v>
      </c>
      <c r="I697" s="55">
        <v>9.49</v>
      </c>
      <c r="J697" s="163"/>
      <c r="K697" s="55">
        <v>9.49</v>
      </c>
      <c r="L697" s="163"/>
      <c r="M697" s="55">
        <v>9.49</v>
      </c>
      <c r="N697" s="163"/>
      <c r="O697" s="55">
        <v>9.49</v>
      </c>
      <c r="P697" s="163"/>
      <c r="Q697" s="97">
        <f t="shared" si="5754"/>
        <v>0</v>
      </c>
      <c r="R697" s="342">
        <f t="shared" si="5755"/>
        <v>0</v>
      </c>
      <c r="S697" s="97"/>
      <c r="T697" s="97">
        <f t="shared" si="5756"/>
        <v>0</v>
      </c>
      <c r="U697" s="97"/>
      <c r="V697" s="97">
        <f t="shared" si="5757"/>
        <v>0</v>
      </c>
      <c r="W697" s="97"/>
      <c r="X697" s="97">
        <f t="shared" si="5758"/>
        <v>0</v>
      </c>
      <c r="Y697" s="97">
        <f t="shared" si="5759"/>
        <v>0</v>
      </c>
      <c r="Z697" s="97">
        <f t="shared" si="5760"/>
        <v>0</v>
      </c>
      <c r="AA697" s="97"/>
      <c r="AB697" s="97">
        <f t="shared" si="5761"/>
        <v>0</v>
      </c>
      <c r="AC697" s="97"/>
      <c r="AD697" s="97">
        <f t="shared" si="5762"/>
        <v>0</v>
      </c>
      <c r="AE697" s="97"/>
      <c r="AF697" s="97">
        <f t="shared" si="5763"/>
        <v>0</v>
      </c>
      <c r="AG697" s="97">
        <f t="shared" ref="AG697:AG698" si="5779">SUM(AA697+AC697+AE697)</f>
        <v>0</v>
      </c>
      <c r="AH697" s="97">
        <f t="shared" si="5764"/>
        <v>0</v>
      </c>
      <c r="AI697" s="97">
        <f t="shared" si="5765"/>
        <v>0</v>
      </c>
      <c r="AJ697" s="97">
        <f t="shared" si="5766"/>
        <v>0</v>
      </c>
      <c r="AK697" s="97"/>
      <c r="AL697" s="97">
        <f t="shared" si="5767"/>
        <v>0</v>
      </c>
      <c r="AM697" s="97"/>
      <c r="AN697" s="97">
        <f>M697*AM697*$AN$2/1000</f>
        <v>0</v>
      </c>
      <c r="AO697" s="97"/>
      <c r="AP697" s="97">
        <f t="shared" si="5769"/>
        <v>0</v>
      </c>
      <c r="AQ697" s="97">
        <f t="shared" si="5770"/>
        <v>0</v>
      </c>
      <c r="AR697" s="97">
        <f t="shared" si="5771"/>
        <v>0</v>
      </c>
      <c r="AS697" s="97"/>
      <c r="AT697" s="97">
        <f t="shared" si="5772"/>
        <v>0</v>
      </c>
      <c r="AU697" s="97"/>
      <c r="AV697" s="97">
        <f t="shared" si="5773"/>
        <v>0</v>
      </c>
      <c r="AW697" s="97"/>
      <c r="AX697" s="97">
        <f t="shared" si="5774"/>
        <v>0</v>
      </c>
      <c r="AY697" s="97">
        <f t="shared" si="5775"/>
        <v>0</v>
      </c>
      <c r="AZ697" s="97">
        <f t="shared" si="5776"/>
        <v>0</v>
      </c>
      <c r="BA697" s="97">
        <f t="shared" si="5777"/>
        <v>0</v>
      </c>
      <c r="BB697" s="97">
        <f t="shared" si="5778"/>
        <v>0</v>
      </c>
    </row>
    <row r="698" spans="1:54">
      <c r="A698" s="498">
        <v>486</v>
      </c>
      <c r="B698" s="13"/>
      <c r="C698" s="13"/>
      <c r="D698" s="13"/>
      <c r="E698" s="21" t="s">
        <v>727</v>
      </c>
      <c r="F698" s="46"/>
      <c r="G698" s="46" t="s">
        <v>1105</v>
      </c>
      <c r="H698" s="268" t="s">
        <v>364</v>
      </c>
      <c r="I698" s="55">
        <v>9.49</v>
      </c>
      <c r="J698" s="163"/>
      <c r="K698" s="55">
        <v>9.49</v>
      </c>
      <c r="L698" s="163"/>
      <c r="M698" s="55">
        <v>9.49</v>
      </c>
      <c r="N698" s="163"/>
      <c r="O698" s="55">
        <v>9.49</v>
      </c>
      <c r="P698" s="163"/>
      <c r="Q698" s="97">
        <f t="shared" si="5754"/>
        <v>0</v>
      </c>
      <c r="R698" s="342">
        <f t="shared" si="5755"/>
        <v>0</v>
      </c>
      <c r="S698" s="97"/>
      <c r="T698" s="97">
        <f t="shared" si="5756"/>
        <v>0</v>
      </c>
      <c r="U698" s="97"/>
      <c r="V698" s="97">
        <f t="shared" si="5757"/>
        <v>0</v>
      </c>
      <c r="W698" s="97"/>
      <c r="X698" s="97">
        <f t="shared" si="5758"/>
        <v>0</v>
      </c>
      <c r="Y698" s="97">
        <f t="shared" si="5759"/>
        <v>0</v>
      </c>
      <c r="Z698" s="97">
        <f t="shared" si="5760"/>
        <v>0</v>
      </c>
      <c r="AA698" s="97"/>
      <c r="AB698" s="97">
        <f t="shared" si="5761"/>
        <v>0</v>
      </c>
      <c r="AC698" s="97"/>
      <c r="AD698" s="97">
        <f t="shared" si="5762"/>
        <v>0</v>
      </c>
      <c r="AE698" s="97"/>
      <c r="AF698" s="97">
        <f t="shared" si="5763"/>
        <v>0</v>
      </c>
      <c r="AG698" s="97">
        <f t="shared" si="5779"/>
        <v>0</v>
      </c>
      <c r="AH698" s="97">
        <f t="shared" si="5764"/>
        <v>0</v>
      </c>
      <c r="AI698" s="97">
        <f t="shared" si="5765"/>
        <v>0</v>
      </c>
      <c r="AJ698" s="97">
        <f t="shared" si="5766"/>
        <v>0</v>
      </c>
      <c r="AK698" s="97"/>
      <c r="AL698" s="97">
        <f t="shared" si="5767"/>
        <v>0</v>
      </c>
      <c r="AM698" s="97"/>
      <c r="AN698" s="97">
        <f>M698*AM698*$AN$2/1000</f>
        <v>0</v>
      </c>
      <c r="AO698" s="97"/>
      <c r="AP698" s="97">
        <f t="shared" si="5769"/>
        <v>0</v>
      </c>
      <c r="AQ698" s="97">
        <f t="shared" si="5770"/>
        <v>0</v>
      </c>
      <c r="AR698" s="97">
        <f t="shared" si="5771"/>
        <v>0</v>
      </c>
      <c r="AS698" s="97"/>
      <c r="AT698" s="97">
        <f t="shared" si="5772"/>
        <v>0</v>
      </c>
      <c r="AU698" s="97"/>
      <c r="AV698" s="97">
        <f t="shared" si="5773"/>
        <v>0</v>
      </c>
      <c r="AW698" s="97"/>
      <c r="AX698" s="97">
        <f t="shared" si="5774"/>
        <v>0</v>
      </c>
      <c r="AY698" s="97">
        <f t="shared" si="5775"/>
        <v>0</v>
      </c>
      <c r="AZ698" s="97">
        <f t="shared" si="5776"/>
        <v>0</v>
      </c>
      <c r="BA698" s="97">
        <f t="shared" si="5777"/>
        <v>0</v>
      </c>
      <c r="BB698" s="97">
        <f t="shared" si="5778"/>
        <v>0</v>
      </c>
    </row>
    <row r="699" spans="1:54">
      <c r="A699" s="498">
        <v>487</v>
      </c>
      <c r="B699" s="13"/>
      <c r="C699" s="13"/>
      <c r="D699" s="13"/>
      <c r="E699" s="21" t="s">
        <v>602</v>
      </c>
      <c r="F699" s="46"/>
      <c r="G699" s="46" t="s">
        <v>1105</v>
      </c>
      <c r="H699" s="268" t="s">
        <v>364</v>
      </c>
      <c r="I699" s="55">
        <v>9.49</v>
      </c>
      <c r="J699" s="163"/>
      <c r="K699" s="55">
        <v>9.49</v>
      </c>
      <c r="L699" s="163"/>
      <c r="M699" s="55">
        <v>9.49</v>
      </c>
      <c r="N699" s="163"/>
      <c r="O699" s="55">
        <v>9.49</v>
      </c>
      <c r="P699" s="163"/>
      <c r="Q699" s="97">
        <f t="shared" si="5427"/>
        <v>0</v>
      </c>
      <c r="R699" s="342">
        <f t="shared" si="5428"/>
        <v>0</v>
      </c>
      <c r="S699" s="97"/>
      <c r="T699" s="97">
        <f t="shared" si="5429"/>
        <v>0</v>
      </c>
      <c r="U699" s="97"/>
      <c r="V699" s="97">
        <f t="shared" si="5430"/>
        <v>0</v>
      </c>
      <c r="W699" s="97"/>
      <c r="X699" s="97">
        <f t="shared" si="5431"/>
        <v>0</v>
      </c>
      <c r="Y699" s="97">
        <f t="shared" si="5432"/>
        <v>0</v>
      </c>
      <c r="Z699" s="97">
        <f t="shared" si="4394"/>
        <v>0</v>
      </c>
      <c r="AA699" s="97"/>
      <c r="AB699" s="97">
        <f t="shared" si="5433"/>
        <v>0</v>
      </c>
      <c r="AC699" s="97"/>
      <c r="AD699" s="97">
        <f t="shared" si="5434"/>
        <v>0</v>
      </c>
      <c r="AE699" s="97"/>
      <c r="AF699" s="97">
        <f t="shared" si="5435"/>
        <v>0</v>
      </c>
      <c r="AG699" s="97">
        <f t="shared" si="4397"/>
        <v>0</v>
      </c>
      <c r="AH699" s="97">
        <f t="shared" si="4398"/>
        <v>0</v>
      </c>
      <c r="AI699" s="97">
        <f t="shared" si="4399"/>
        <v>0</v>
      </c>
      <c r="AJ699" s="97">
        <f t="shared" si="4400"/>
        <v>0</v>
      </c>
      <c r="AK699" s="97"/>
      <c r="AL699" s="97">
        <f t="shared" si="5730"/>
        <v>0</v>
      </c>
      <c r="AM699" s="97"/>
      <c r="AN699" s="97">
        <f t="shared" ref="AN699:AN700" si="5780">M699*AM699*$AN$2/1000</f>
        <v>0</v>
      </c>
      <c r="AO699" s="97"/>
      <c r="AP699" s="97">
        <f t="shared" ref="AP699:AP700" si="5781">M699*AO699*$AP$2/1000</f>
        <v>0</v>
      </c>
      <c r="AQ699" s="97">
        <f t="shared" si="5437"/>
        <v>0</v>
      </c>
      <c r="AR699" s="97">
        <f t="shared" si="4405"/>
        <v>0</v>
      </c>
      <c r="AS699" s="97"/>
      <c r="AT699" s="97">
        <f t="shared" ref="AT699:AT700" si="5782">O699*AS699*$AT$2/1000</f>
        <v>0</v>
      </c>
      <c r="AU699" s="97"/>
      <c r="AV699" s="97">
        <f t="shared" si="5438"/>
        <v>0</v>
      </c>
      <c r="AW699" s="97"/>
      <c r="AX699" s="97">
        <f t="shared" si="5439"/>
        <v>0</v>
      </c>
      <c r="AY699" s="97">
        <f t="shared" ref="AY699:AY700" si="5783">SUM(AS699+AU699+AW699)</f>
        <v>0</v>
      </c>
      <c r="AZ699" s="97">
        <f t="shared" si="4409"/>
        <v>0</v>
      </c>
      <c r="BA699" s="97">
        <f t="shared" si="4410"/>
        <v>0</v>
      </c>
      <c r="BB699" s="97">
        <f t="shared" si="4411"/>
        <v>0</v>
      </c>
    </row>
    <row r="700" spans="1:54">
      <c r="A700" s="498">
        <v>488</v>
      </c>
      <c r="B700" s="13"/>
      <c r="C700" s="13"/>
      <c r="D700" s="13"/>
      <c r="E700" s="21" t="s">
        <v>601</v>
      </c>
      <c r="F700" s="46"/>
      <c r="G700" s="46" t="s">
        <v>1105</v>
      </c>
      <c r="H700" s="268" t="s">
        <v>364</v>
      </c>
      <c r="I700" s="55">
        <v>9.49</v>
      </c>
      <c r="J700" s="163"/>
      <c r="K700" s="55">
        <v>9.49</v>
      </c>
      <c r="L700" s="163"/>
      <c r="M700" s="55">
        <v>9.49</v>
      </c>
      <c r="N700" s="163"/>
      <c r="O700" s="55">
        <v>9.49</v>
      </c>
      <c r="P700" s="163"/>
      <c r="Q700" s="97">
        <f t="shared" si="5427"/>
        <v>0</v>
      </c>
      <c r="R700" s="342">
        <f t="shared" si="5428"/>
        <v>0</v>
      </c>
      <c r="S700" s="97"/>
      <c r="T700" s="97">
        <f t="shared" si="5429"/>
        <v>0</v>
      </c>
      <c r="U700" s="97"/>
      <c r="V700" s="97">
        <f t="shared" si="5430"/>
        <v>0</v>
      </c>
      <c r="W700" s="97"/>
      <c r="X700" s="97">
        <f t="shared" si="5431"/>
        <v>0</v>
      </c>
      <c r="Y700" s="97">
        <f t="shared" si="5432"/>
        <v>0</v>
      </c>
      <c r="Z700" s="97">
        <f t="shared" si="4394"/>
        <v>0</v>
      </c>
      <c r="AA700" s="97"/>
      <c r="AB700" s="97">
        <f t="shared" si="5433"/>
        <v>0</v>
      </c>
      <c r="AC700" s="97"/>
      <c r="AD700" s="97">
        <f t="shared" si="5434"/>
        <v>0</v>
      </c>
      <c r="AE700" s="97"/>
      <c r="AF700" s="97">
        <f t="shared" si="5435"/>
        <v>0</v>
      </c>
      <c r="AG700" s="97">
        <f t="shared" si="4397"/>
        <v>0</v>
      </c>
      <c r="AH700" s="97">
        <f t="shared" si="4398"/>
        <v>0</v>
      </c>
      <c r="AI700" s="97">
        <f t="shared" si="4399"/>
        <v>0</v>
      </c>
      <c r="AJ700" s="97">
        <f t="shared" si="4400"/>
        <v>0</v>
      </c>
      <c r="AK700" s="97"/>
      <c r="AL700" s="97">
        <f t="shared" si="5730"/>
        <v>0</v>
      </c>
      <c r="AM700" s="97"/>
      <c r="AN700" s="97">
        <f t="shared" si="5780"/>
        <v>0</v>
      </c>
      <c r="AO700" s="97"/>
      <c r="AP700" s="97">
        <f t="shared" si="5781"/>
        <v>0</v>
      </c>
      <c r="AQ700" s="97">
        <f t="shared" si="5437"/>
        <v>0</v>
      </c>
      <c r="AR700" s="97">
        <f t="shared" si="4405"/>
        <v>0</v>
      </c>
      <c r="AS700" s="97"/>
      <c r="AT700" s="97">
        <f t="shared" si="5782"/>
        <v>0</v>
      </c>
      <c r="AU700" s="97"/>
      <c r="AV700" s="97">
        <f t="shared" si="5438"/>
        <v>0</v>
      </c>
      <c r="AW700" s="97"/>
      <c r="AX700" s="97">
        <f t="shared" si="5439"/>
        <v>0</v>
      </c>
      <c r="AY700" s="97">
        <f t="shared" si="5783"/>
        <v>0</v>
      </c>
      <c r="AZ700" s="97">
        <f t="shared" si="4409"/>
        <v>0</v>
      </c>
      <c r="BA700" s="97">
        <f t="shared" si="4410"/>
        <v>0</v>
      </c>
      <c r="BB700" s="97">
        <f t="shared" si="4411"/>
        <v>0</v>
      </c>
    </row>
    <row r="701" spans="1:54">
      <c r="A701" s="498">
        <v>489</v>
      </c>
      <c r="B701" s="13"/>
      <c r="C701" s="13"/>
      <c r="D701" s="13"/>
      <c r="E701" s="21" t="s">
        <v>679</v>
      </c>
      <c r="F701" s="46"/>
      <c r="G701" s="46" t="s">
        <v>1105</v>
      </c>
      <c r="H701" s="268" t="s">
        <v>364</v>
      </c>
      <c r="I701" s="55">
        <v>9.49</v>
      </c>
      <c r="J701" s="163"/>
      <c r="K701" s="55">
        <v>9.49</v>
      </c>
      <c r="L701" s="163"/>
      <c r="M701" s="55">
        <v>9.49</v>
      </c>
      <c r="N701" s="163"/>
      <c r="O701" s="55">
        <v>9.49</v>
      </c>
      <c r="P701" s="163"/>
      <c r="Q701" s="97">
        <f t="shared" ref="Q701:Q703" si="5784">SUM(AI701+BA701)</f>
        <v>0</v>
      </c>
      <c r="R701" s="342">
        <f t="shared" ref="R701:R703" si="5785">SUM(AJ701+BB701)</f>
        <v>0</v>
      </c>
      <c r="S701" s="97"/>
      <c r="T701" s="97">
        <f t="shared" ref="T701:T703" si="5786">I701*S701*$T$2/1000</f>
        <v>0</v>
      </c>
      <c r="U701" s="97"/>
      <c r="V701" s="97">
        <f t="shared" ref="V701:V703" si="5787">I701*U701*$V$2/1000</f>
        <v>0</v>
      </c>
      <c r="W701" s="97"/>
      <c r="X701" s="97">
        <f t="shared" ref="X701:X703" si="5788">I701*W701*$X$2/1000</f>
        <v>0</v>
      </c>
      <c r="Y701" s="97">
        <f t="shared" ref="Y701:Y702" si="5789">SUM(S701+U701+W701)</f>
        <v>0</v>
      </c>
      <c r="Z701" s="97">
        <f t="shared" ref="Z701:Z703" si="5790">SUM(T701+V701+X701)</f>
        <v>0</v>
      </c>
      <c r="AA701" s="97"/>
      <c r="AB701" s="97">
        <f t="shared" ref="AB701:AB703" si="5791">K701*AA701*$AB$2/1000</f>
        <v>0</v>
      </c>
      <c r="AC701" s="97"/>
      <c r="AD701" s="97">
        <f t="shared" ref="AD701:AD703" si="5792">K701*AC701*$AD$2/1000</f>
        <v>0</v>
      </c>
      <c r="AE701" s="97"/>
      <c r="AF701" s="97">
        <f t="shared" ref="AF701:AF703" si="5793">K701*AE701*$AF$2/1000</f>
        <v>0</v>
      </c>
      <c r="AG701" s="97">
        <f>SUM(AA701+AC701+AE701)</f>
        <v>0</v>
      </c>
      <c r="AH701" s="97">
        <f t="shared" ref="AH701:AH703" si="5794">SUM(AB701+AD701+AF701)</f>
        <v>0</v>
      </c>
      <c r="AI701" s="97">
        <f t="shared" ref="AI701:AI703" si="5795">SUM(Y701+AG701)</f>
        <v>0</v>
      </c>
      <c r="AJ701" s="97">
        <f t="shared" ref="AJ701:AJ703" si="5796">SUM(Z701,AH701)</f>
        <v>0</v>
      </c>
      <c r="AK701" s="97"/>
      <c r="AL701" s="97">
        <f t="shared" ref="AL701:AL703" si="5797">M701*AK701*$AL$2/1000</f>
        <v>0</v>
      </c>
      <c r="AM701" s="97"/>
      <c r="AN701" s="97">
        <f t="shared" ref="AN701:AN703" si="5798">M701*AM701*$AN$2/1000</f>
        <v>0</v>
      </c>
      <c r="AO701" s="97"/>
      <c r="AP701" s="97">
        <f t="shared" ref="AP701:AP703" si="5799">M701*AO701*$AP$2/1000</f>
        <v>0</v>
      </c>
      <c r="AQ701" s="97">
        <f t="shared" ref="AQ701:AQ703" si="5800">SUM(AK701+AM701+AO701)</f>
        <v>0</v>
      </c>
      <c r="AR701" s="97">
        <f t="shared" ref="AR701:AR703" si="5801">SUM(AL701+AN701+AP701)</f>
        <v>0</v>
      </c>
      <c r="AS701" s="97"/>
      <c r="AT701" s="97">
        <f t="shared" ref="AT701:AT703" si="5802">O701*AS701*$AT$2/1000</f>
        <v>0</v>
      </c>
      <c r="AU701" s="97"/>
      <c r="AV701" s="97">
        <f t="shared" ref="AV701:AV703" si="5803">O701*AU701*$AV$2/1000</f>
        <v>0</v>
      </c>
      <c r="AW701" s="97"/>
      <c r="AX701" s="97">
        <f t="shared" ref="AX701:AX703" si="5804">O701*AW701*$AX$2/1000</f>
        <v>0</v>
      </c>
      <c r="AY701" s="97">
        <f t="shared" ref="AY701:AY702" si="5805">SUM(AS701+AU701+AW701)</f>
        <v>0</v>
      </c>
      <c r="AZ701" s="97">
        <f t="shared" ref="AZ701:AZ703" si="5806">SUM(AT701+AV701+AX701)</f>
        <v>0</v>
      </c>
      <c r="BA701" s="97">
        <f t="shared" ref="BA701:BA703" si="5807">SUM(AQ701+AY701)</f>
        <v>0</v>
      </c>
      <c r="BB701" s="97">
        <f t="shared" ref="BB701:BB703" si="5808">SUM(AR701,AZ701)</f>
        <v>0</v>
      </c>
    </row>
    <row r="702" spans="1:54">
      <c r="A702" s="498">
        <v>490</v>
      </c>
      <c r="B702" s="13"/>
      <c r="C702" s="13"/>
      <c r="D702" s="13"/>
      <c r="E702" s="21" t="s">
        <v>705</v>
      </c>
      <c r="F702" s="46"/>
      <c r="G702" s="46" t="s">
        <v>1105</v>
      </c>
      <c r="H702" s="268" t="s">
        <v>364</v>
      </c>
      <c r="I702" s="55">
        <v>9.49</v>
      </c>
      <c r="J702" s="163"/>
      <c r="K702" s="55">
        <v>9.49</v>
      </c>
      <c r="L702" s="163"/>
      <c r="M702" s="55">
        <v>9.49</v>
      </c>
      <c r="N702" s="163"/>
      <c r="O702" s="55">
        <v>9.49</v>
      </c>
      <c r="P702" s="163"/>
      <c r="Q702" s="97">
        <f t="shared" si="5784"/>
        <v>0</v>
      </c>
      <c r="R702" s="342">
        <f t="shared" si="5785"/>
        <v>0</v>
      </c>
      <c r="S702" s="97"/>
      <c r="T702" s="97">
        <f t="shared" si="5786"/>
        <v>0</v>
      </c>
      <c r="U702" s="97"/>
      <c r="V702" s="97">
        <f t="shared" si="5787"/>
        <v>0</v>
      </c>
      <c r="W702" s="97"/>
      <c r="X702" s="97">
        <f t="shared" si="5788"/>
        <v>0</v>
      </c>
      <c r="Y702" s="97">
        <f t="shared" si="5789"/>
        <v>0</v>
      </c>
      <c r="Z702" s="97">
        <f t="shared" si="5790"/>
        <v>0</v>
      </c>
      <c r="AA702" s="97"/>
      <c r="AB702" s="97">
        <f t="shared" si="5791"/>
        <v>0</v>
      </c>
      <c r="AC702" s="97"/>
      <c r="AD702" s="97">
        <f t="shared" si="5792"/>
        <v>0</v>
      </c>
      <c r="AE702" s="97"/>
      <c r="AF702" s="97">
        <f t="shared" si="5793"/>
        <v>0</v>
      </c>
      <c r="AG702" s="97">
        <f t="shared" ref="AG702:AG703" si="5809">SUM(AA702+AC702+AE702)</f>
        <v>0</v>
      </c>
      <c r="AH702" s="97">
        <f t="shared" si="5794"/>
        <v>0</v>
      </c>
      <c r="AI702" s="97">
        <f t="shared" si="5795"/>
        <v>0</v>
      </c>
      <c r="AJ702" s="97">
        <f t="shared" si="5796"/>
        <v>0</v>
      </c>
      <c r="AK702" s="97"/>
      <c r="AL702" s="97">
        <f t="shared" si="5797"/>
        <v>0</v>
      </c>
      <c r="AM702" s="97"/>
      <c r="AN702" s="97">
        <f t="shared" si="5798"/>
        <v>0</v>
      </c>
      <c r="AO702" s="97"/>
      <c r="AP702" s="97">
        <f t="shared" si="5799"/>
        <v>0</v>
      </c>
      <c r="AQ702" s="97">
        <f t="shared" si="5800"/>
        <v>0</v>
      </c>
      <c r="AR702" s="97">
        <f t="shared" si="5801"/>
        <v>0</v>
      </c>
      <c r="AS702" s="97"/>
      <c r="AT702" s="97">
        <f t="shared" si="5802"/>
        <v>0</v>
      </c>
      <c r="AU702" s="97"/>
      <c r="AV702" s="97">
        <f t="shared" si="5803"/>
        <v>0</v>
      </c>
      <c r="AW702" s="97"/>
      <c r="AX702" s="97">
        <f t="shared" si="5804"/>
        <v>0</v>
      </c>
      <c r="AY702" s="97">
        <f t="shared" si="5805"/>
        <v>0</v>
      </c>
      <c r="AZ702" s="97">
        <f t="shared" si="5806"/>
        <v>0</v>
      </c>
      <c r="BA702" s="97">
        <f t="shared" si="5807"/>
        <v>0</v>
      </c>
      <c r="BB702" s="97">
        <f t="shared" si="5808"/>
        <v>0</v>
      </c>
    </row>
    <row r="703" spans="1:54">
      <c r="A703" s="498">
        <v>491</v>
      </c>
      <c r="B703" s="13"/>
      <c r="C703" s="13"/>
      <c r="D703" s="13"/>
      <c r="E703" s="21" t="s">
        <v>726</v>
      </c>
      <c r="F703" s="46"/>
      <c r="G703" s="46" t="s">
        <v>1105</v>
      </c>
      <c r="H703" s="268" t="s">
        <v>364</v>
      </c>
      <c r="I703" s="55">
        <v>9.49</v>
      </c>
      <c r="J703" s="163"/>
      <c r="K703" s="55">
        <v>9.49</v>
      </c>
      <c r="L703" s="163"/>
      <c r="M703" s="55">
        <v>9.49</v>
      </c>
      <c r="N703" s="163"/>
      <c r="O703" s="55">
        <v>9.49</v>
      </c>
      <c r="P703" s="163"/>
      <c r="Q703" s="97">
        <f t="shared" si="5784"/>
        <v>0</v>
      </c>
      <c r="R703" s="342">
        <f t="shared" si="5785"/>
        <v>0</v>
      </c>
      <c r="S703" s="97"/>
      <c r="T703" s="97">
        <f t="shared" si="5786"/>
        <v>0</v>
      </c>
      <c r="U703" s="97"/>
      <c r="V703" s="97">
        <f t="shared" si="5787"/>
        <v>0</v>
      </c>
      <c r="W703" s="97"/>
      <c r="X703" s="97">
        <f t="shared" si="5788"/>
        <v>0</v>
      </c>
      <c r="Y703" s="97">
        <f>SUM(S703+U703+W703)</f>
        <v>0</v>
      </c>
      <c r="Z703" s="97">
        <f t="shared" si="5790"/>
        <v>0</v>
      </c>
      <c r="AA703" s="97"/>
      <c r="AB703" s="97">
        <f t="shared" si="5791"/>
        <v>0</v>
      </c>
      <c r="AC703" s="97"/>
      <c r="AD703" s="97">
        <f t="shared" si="5792"/>
        <v>0</v>
      </c>
      <c r="AE703" s="97"/>
      <c r="AF703" s="97">
        <f t="shared" si="5793"/>
        <v>0</v>
      </c>
      <c r="AG703" s="97">
        <f t="shared" si="5809"/>
        <v>0</v>
      </c>
      <c r="AH703" s="97">
        <f t="shared" si="5794"/>
        <v>0</v>
      </c>
      <c r="AI703" s="97">
        <f t="shared" si="5795"/>
        <v>0</v>
      </c>
      <c r="AJ703" s="97">
        <f t="shared" si="5796"/>
        <v>0</v>
      </c>
      <c r="AK703" s="97"/>
      <c r="AL703" s="97">
        <f t="shared" si="5797"/>
        <v>0</v>
      </c>
      <c r="AM703" s="97"/>
      <c r="AN703" s="97">
        <f t="shared" si="5798"/>
        <v>0</v>
      </c>
      <c r="AO703" s="97"/>
      <c r="AP703" s="97">
        <f t="shared" si="5799"/>
        <v>0</v>
      </c>
      <c r="AQ703" s="97">
        <f t="shared" si="5800"/>
        <v>0</v>
      </c>
      <c r="AR703" s="97">
        <f t="shared" si="5801"/>
        <v>0</v>
      </c>
      <c r="AS703" s="97"/>
      <c r="AT703" s="97">
        <f t="shared" si="5802"/>
        <v>0</v>
      </c>
      <c r="AU703" s="97"/>
      <c r="AV703" s="97">
        <f t="shared" si="5803"/>
        <v>0</v>
      </c>
      <c r="AW703" s="97"/>
      <c r="AX703" s="97">
        <f t="shared" si="5804"/>
        <v>0</v>
      </c>
      <c r="AY703" s="97">
        <f>SUM(AS703+AU703+AW703)</f>
        <v>0</v>
      </c>
      <c r="AZ703" s="97">
        <f t="shared" si="5806"/>
        <v>0</v>
      </c>
      <c r="BA703" s="97">
        <f t="shared" si="5807"/>
        <v>0</v>
      </c>
      <c r="BB703" s="97">
        <f t="shared" si="5808"/>
        <v>0</v>
      </c>
    </row>
    <row r="704" spans="1:54">
      <c r="A704" s="498">
        <v>500</v>
      </c>
      <c r="B704" s="13"/>
      <c r="C704" s="13"/>
      <c r="D704" s="13"/>
      <c r="E704" s="21" t="s">
        <v>536</v>
      </c>
      <c r="F704" s="46"/>
      <c r="G704" s="46" t="s">
        <v>1105</v>
      </c>
      <c r="H704" s="268" t="s">
        <v>364</v>
      </c>
      <c r="I704" s="55">
        <v>5.97</v>
      </c>
      <c r="J704" s="163"/>
      <c r="K704" s="55">
        <v>5.97</v>
      </c>
      <c r="L704" s="163"/>
      <c r="M704" s="55">
        <v>5.97</v>
      </c>
      <c r="N704" s="163"/>
      <c r="O704" s="55">
        <v>6.47</v>
      </c>
      <c r="P704" s="163"/>
      <c r="Q704" s="97">
        <f t="shared" ref="Q704:Q763" si="5810">SUM(AI704+BA704)</f>
        <v>1.482</v>
      </c>
      <c r="R704" s="342">
        <f t="shared" ref="R704:R763" si="5811">SUM(AJ704+BB704)</f>
        <v>12.337843594199997</v>
      </c>
      <c r="S704" s="97"/>
      <c r="T704" s="97">
        <f t="shared" ref="T704" si="5812">I704*S704*$T$2/1000</f>
        <v>0</v>
      </c>
      <c r="U704" s="97"/>
      <c r="V704" s="97">
        <f t="shared" ref="V704" si="5813">I704*U704*$V$2/1000</f>
        <v>0</v>
      </c>
      <c r="W704" s="97"/>
      <c r="X704" s="97">
        <f t="shared" ref="X704" si="5814">I704*W704*$X$2/1000</f>
        <v>0</v>
      </c>
      <c r="Y704" s="97">
        <f t="shared" ref="Y704:Y706" si="5815">SUM(S704+U704+W704)</f>
        <v>0</v>
      </c>
      <c r="Z704" s="97">
        <f t="shared" ref="Z704:Z762" si="5816">SUM(T704+V704+X704)</f>
        <v>0</v>
      </c>
      <c r="AA704" s="97"/>
      <c r="AB704" s="97">
        <f>K704*AA704*$AB$2/1000</f>
        <v>0</v>
      </c>
      <c r="AC704" s="97"/>
      <c r="AD704" s="97">
        <f t="shared" ref="AD704" si="5817">K704*AC704*$AD$2/1000</f>
        <v>0</v>
      </c>
      <c r="AE704" s="97"/>
      <c r="AF704" s="97">
        <f t="shared" si="5423"/>
        <v>0</v>
      </c>
      <c r="AG704" s="97">
        <f t="shared" ref="AG704:AG706" si="5818">SUM(AA704+AC704+AE704)</f>
        <v>0</v>
      </c>
      <c r="AH704" s="97">
        <f t="shared" ref="AH704:AH762" si="5819">SUM(AB704+AD704+AF704)</f>
        <v>0</v>
      </c>
      <c r="AI704" s="97">
        <f t="shared" ref="AI704:AI763" si="5820">SUM(Y704+AG704)</f>
        <v>0</v>
      </c>
      <c r="AJ704" s="97">
        <f t="shared" ref="AJ704:AJ763" si="5821">SUM(Z704,AH704)</f>
        <v>0</v>
      </c>
      <c r="AK704" s="97"/>
      <c r="AL704" s="97">
        <f t="shared" ref="AL704:AL706" si="5822">M704*AK704*$AL$2/1000</f>
        <v>0</v>
      </c>
      <c r="AM704" s="97">
        <v>1.18</v>
      </c>
      <c r="AN704" s="97">
        <f t="shared" ref="AN704:AN706" si="5823">M704*AM704*$AN$2/1000</f>
        <v>9.5884050599999977</v>
      </c>
      <c r="AO704" s="97"/>
      <c r="AP704" s="97">
        <f t="shared" ref="AP704:AP706" si="5824">M704*AO704*$AP$2/1000</f>
        <v>0</v>
      </c>
      <c r="AQ704" s="97">
        <f t="shared" ref="AQ704:AQ706" si="5825">SUM(AK704+AM704+AO704)</f>
        <v>1.18</v>
      </c>
      <c r="AR704" s="97">
        <f t="shared" ref="AR704:AR762" si="5826">SUM(AL704+AN704+AP704)</f>
        <v>9.5884050599999977</v>
      </c>
      <c r="AS704" s="97">
        <v>0.06</v>
      </c>
      <c r="AT704" s="97">
        <f t="shared" ref="AT704:AT706" si="5827">O704*AS704*$AT$2/1000</f>
        <v>0.52713678000000008</v>
      </c>
      <c r="AU704" s="97"/>
      <c r="AV704" s="97">
        <f t="shared" ref="AV704:AV706" si="5828">O704*AU704*$AV$2/1000</f>
        <v>0</v>
      </c>
      <c r="AW704" s="97">
        <v>0.24199999999999999</v>
      </c>
      <c r="AX704" s="97">
        <f t="shared" ref="AX704:AX706" si="5829">O704*AW704*$AX$2/1000</f>
        <v>2.2223017541999996</v>
      </c>
      <c r="AY704" s="97">
        <f>SUM(AS704+AU704+AW704)</f>
        <v>0.30199999999999999</v>
      </c>
      <c r="AZ704" s="97">
        <f t="shared" ref="AZ704:AZ762" si="5830">SUM(AT704+AV704+AX704)</f>
        <v>2.7494385341999998</v>
      </c>
      <c r="BA704" s="97">
        <f t="shared" ref="BA704:BA763" si="5831">SUM(AQ704+AY704)</f>
        <v>1.482</v>
      </c>
      <c r="BB704" s="97">
        <f t="shared" ref="BB704:BB763" si="5832">SUM(AR704,AZ704)</f>
        <v>12.337843594199997</v>
      </c>
    </row>
    <row r="705" spans="1:54">
      <c r="A705" s="498">
        <v>501</v>
      </c>
      <c r="B705" s="13"/>
      <c r="C705" s="13"/>
      <c r="D705" s="13"/>
      <c r="E705" s="21" t="s">
        <v>1116</v>
      </c>
      <c r="F705" s="22"/>
      <c r="G705" s="22" t="s">
        <v>1115</v>
      </c>
      <c r="H705" s="268" t="s">
        <v>364</v>
      </c>
      <c r="I705" s="55">
        <v>5.74</v>
      </c>
      <c r="J705" s="102"/>
      <c r="K705" s="55">
        <v>5.74</v>
      </c>
      <c r="L705" s="102"/>
      <c r="M705" s="55">
        <v>5.74</v>
      </c>
      <c r="N705" s="163"/>
      <c r="O705" s="55">
        <v>6.18</v>
      </c>
      <c r="P705" s="102"/>
      <c r="Q705" s="97">
        <f t="shared" ref="Q705" si="5833">SUM(AI705+BA705)</f>
        <v>0.125</v>
      </c>
      <c r="R705" s="342">
        <f t="shared" ref="R705" si="5834">SUM(AJ705+BB705)</f>
        <v>1.0489777499999999</v>
      </c>
      <c r="S705" s="97"/>
      <c r="T705" s="97">
        <f>I705*S705*$T$2/1000</f>
        <v>0</v>
      </c>
      <c r="U705" s="97"/>
      <c r="V705" s="177">
        <f>I705*U705*$V$2/1000</f>
        <v>0</v>
      </c>
      <c r="W705" s="207"/>
      <c r="X705" s="206">
        <f>I705*W705*$X$2/1000</f>
        <v>0</v>
      </c>
      <c r="Y705" s="189">
        <f t="shared" ref="Y705" si="5835">SUM(S705+U705+W705)</f>
        <v>0</v>
      </c>
      <c r="Z705" s="177">
        <f t="shared" ref="Z705" si="5836">SUM(T705+V705+X705)</f>
        <v>0</v>
      </c>
      <c r="AA705" s="207"/>
      <c r="AB705" s="206">
        <f>K705*AA705*$AB$2/1000</f>
        <v>0</v>
      </c>
      <c r="AC705" s="207"/>
      <c r="AD705" s="177">
        <f>K705*AC705*$AD$2/1000</f>
        <v>0</v>
      </c>
      <c r="AE705" s="207"/>
      <c r="AF705" s="206">
        <f t="shared" ref="AF705" si="5837">K705*AE705*$AF$2/1000</f>
        <v>0</v>
      </c>
      <c r="AG705" s="189">
        <f t="shared" ref="AG705" si="5838">SUM(AA705+AC705+AE705)</f>
        <v>0</v>
      </c>
      <c r="AH705" s="97">
        <f t="shared" ref="AH705" si="5839">SUM(AB705+AD705+AF705)</f>
        <v>0</v>
      </c>
      <c r="AI705" s="97">
        <f t="shared" ref="AI705" si="5840">SUM(Y705+AG705)</f>
        <v>0</v>
      </c>
      <c r="AJ705" s="177">
        <f t="shared" ref="AJ705" si="5841">SUM(Z705,AH705)</f>
        <v>0</v>
      </c>
      <c r="AK705" s="207"/>
      <c r="AL705" s="177">
        <f t="shared" ref="AL705" si="5842">M705*AK705*$AL$2/1000</f>
        <v>0</v>
      </c>
      <c r="AM705" s="245"/>
      <c r="AN705" s="177">
        <f t="shared" ref="AN705" si="5843">M705*AM705*$AN$2/1000</f>
        <v>0</v>
      </c>
      <c r="AO705" s="207"/>
      <c r="AP705" s="206">
        <f t="shared" ref="AP705" si="5844">M705*AO705*$AP$2/1000</f>
        <v>0</v>
      </c>
      <c r="AQ705" s="189">
        <f t="shared" ref="AQ705" si="5845">SUM(AK705+AM705+AO705)</f>
        <v>0</v>
      </c>
      <c r="AR705" s="97">
        <f t="shared" ref="AR705" si="5846">SUM(AL705+AN705+AP705)</f>
        <v>0</v>
      </c>
      <c r="AS705" s="97">
        <v>0.125</v>
      </c>
      <c r="AT705" s="177">
        <f t="shared" ref="AT705" si="5847">O705*AS705*$AT$2/1000</f>
        <v>1.0489777499999999</v>
      </c>
      <c r="AU705" s="207"/>
      <c r="AV705" s="177">
        <f t="shared" ref="AV705" si="5848">O705*AU705*$AV$2/1000</f>
        <v>0</v>
      </c>
      <c r="AW705" s="207"/>
      <c r="AX705" s="206">
        <f t="shared" ref="AX705" si="5849">O705*AW705*$AX$2/1000</f>
        <v>0</v>
      </c>
      <c r="AY705" s="189">
        <f t="shared" ref="AY705" si="5850">SUM(AS705+AU705+AW705)</f>
        <v>0.125</v>
      </c>
      <c r="AZ705" s="97">
        <f t="shared" ref="AZ705" si="5851">SUM(AT705+AV705+AX705)</f>
        <v>1.0489777499999999</v>
      </c>
      <c r="BA705" s="97">
        <f t="shared" ref="BA705" si="5852">SUM(AQ705+AY705)</f>
        <v>0.125</v>
      </c>
      <c r="BB705" s="97">
        <f t="shared" ref="BB705" si="5853">SUM(AR705,AZ705)</f>
        <v>1.0489777499999999</v>
      </c>
    </row>
    <row r="706" spans="1:54">
      <c r="A706" s="498">
        <v>502</v>
      </c>
      <c r="B706" s="13"/>
      <c r="C706" s="13"/>
      <c r="D706" s="13"/>
      <c r="E706" s="21" t="s">
        <v>1117</v>
      </c>
      <c r="F706" s="22"/>
      <c r="G706" s="22" t="s">
        <v>1115</v>
      </c>
      <c r="H706" s="268" t="s">
        <v>364</v>
      </c>
      <c r="I706" s="55">
        <v>5.74</v>
      </c>
      <c r="J706" s="102"/>
      <c r="K706" s="55">
        <v>5.74</v>
      </c>
      <c r="L706" s="102"/>
      <c r="M706" s="55">
        <v>5.74</v>
      </c>
      <c r="N706" s="163"/>
      <c r="O706" s="55">
        <v>5.74</v>
      </c>
      <c r="P706" s="102"/>
      <c r="Q706" s="97">
        <f t="shared" si="5810"/>
        <v>0</v>
      </c>
      <c r="R706" s="342">
        <f t="shared" si="5811"/>
        <v>0</v>
      </c>
      <c r="S706" s="97"/>
      <c r="T706" s="97">
        <f>I706*S706*$T$2/1000</f>
        <v>0</v>
      </c>
      <c r="U706" s="97"/>
      <c r="V706" s="177">
        <f>I706*U706*$V$2/1000</f>
        <v>0</v>
      </c>
      <c r="W706" s="207"/>
      <c r="X706" s="206">
        <f>I706*W706*$X$2/1000</f>
        <v>0</v>
      </c>
      <c r="Y706" s="189">
        <f t="shared" si="5815"/>
        <v>0</v>
      </c>
      <c r="Z706" s="177">
        <f t="shared" si="5816"/>
        <v>0</v>
      </c>
      <c r="AA706" s="207"/>
      <c r="AB706" s="206">
        <f>K706*AA706*$AB$2/1000</f>
        <v>0</v>
      </c>
      <c r="AC706" s="207"/>
      <c r="AD706" s="177">
        <f>K706*AC706*$AD$2/1000</f>
        <v>0</v>
      </c>
      <c r="AE706" s="207"/>
      <c r="AF706" s="206">
        <f t="shared" si="5423"/>
        <v>0</v>
      </c>
      <c r="AG706" s="189">
        <f t="shared" si="5818"/>
        <v>0</v>
      </c>
      <c r="AH706" s="97">
        <f t="shared" si="5819"/>
        <v>0</v>
      </c>
      <c r="AI706" s="97">
        <f t="shared" si="5820"/>
        <v>0</v>
      </c>
      <c r="AJ706" s="177">
        <f t="shared" si="5821"/>
        <v>0</v>
      </c>
      <c r="AK706" s="207"/>
      <c r="AL706" s="177">
        <f t="shared" si="5822"/>
        <v>0</v>
      </c>
      <c r="AM706" s="245"/>
      <c r="AN706" s="177">
        <f t="shared" si="5823"/>
        <v>0</v>
      </c>
      <c r="AO706" s="207"/>
      <c r="AP706" s="206">
        <f t="shared" si="5824"/>
        <v>0</v>
      </c>
      <c r="AQ706" s="189">
        <f t="shared" si="5825"/>
        <v>0</v>
      </c>
      <c r="AR706" s="97">
        <f t="shared" si="5826"/>
        <v>0</v>
      </c>
      <c r="AS706" s="97"/>
      <c r="AT706" s="177">
        <f t="shared" si="5827"/>
        <v>0</v>
      </c>
      <c r="AU706" s="207"/>
      <c r="AV706" s="177">
        <f t="shared" si="5828"/>
        <v>0</v>
      </c>
      <c r="AW706" s="207"/>
      <c r="AX706" s="206">
        <f t="shared" si="5829"/>
        <v>0</v>
      </c>
      <c r="AY706" s="189">
        <f t="shared" ref="AY706" si="5854">SUM(AS706+AU706+AW706)</f>
        <v>0</v>
      </c>
      <c r="AZ706" s="97">
        <f t="shared" si="5830"/>
        <v>0</v>
      </c>
      <c r="BA706" s="97">
        <f t="shared" si="5831"/>
        <v>0</v>
      </c>
      <c r="BB706" s="97">
        <f t="shared" si="5832"/>
        <v>0</v>
      </c>
    </row>
    <row r="707" spans="1:54">
      <c r="A707" s="498">
        <v>503</v>
      </c>
      <c r="B707" s="13"/>
      <c r="C707" s="13"/>
      <c r="D707" s="13"/>
      <c r="E707" s="21" t="s">
        <v>728</v>
      </c>
      <c r="F707" s="46"/>
      <c r="G707" s="46" t="s">
        <v>1105</v>
      </c>
      <c r="H707" s="268" t="s">
        <v>364</v>
      </c>
      <c r="I707" s="55">
        <v>6.93</v>
      </c>
      <c r="J707" s="163"/>
      <c r="K707" s="55">
        <v>6.93</v>
      </c>
      <c r="L707" s="163"/>
      <c r="M707" s="55">
        <v>6.93</v>
      </c>
      <c r="N707" s="163"/>
      <c r="O707" s="55">
        <v>7.46</v>
      </c>
      <c r="P707" s="163"/>
      <c r="Q707" s="97">
        <f t="shared" ref="Q707:Q721" si="5855">SUM(AI707+BA707)</f>
        <v>5.0999999999999997E-2</v>
      </c>
      <c r="R707" s="342">
        <f t="shared" ref="R707:R721" si="5856">SUM(AJ707+BB707)</f>
        <v>0.51662663399999997</v>
      </c>
      <c r="S707" s="97"/>
      <c r="T707" s="97">
        <f t="shared" ref="T707" si="5857">I707*S707*$T$2/1000</f>
        <v>0</v>
      </c>
      <c r="U707" s="97"/>
      <c r="V707" s="97">
        <f t="shared" ref="V707:V721" si="5858">I707*U707*$V$2/1000</f>
        <v>0</v>
      </c>
      <c r="W707" s="97"/>
      <c r="X707" s="97">
        <f t="shared" ref="X707:X721" si="5859">I707*W707*$X$2/1000</f>
        <v>0</v>
      </c>
      <c r="Y707" s="97">
        <f t="shared" ref="Y707:Y721" si="5860">SUM(S707+U707+W707)</f>
        <v>0</v>
      </c>
      <c r="Z707" s="97">
        <f t="shared" ref="Z707:Z748" si="5861">SUM(T707+V707+X707)</f>
        <v>0</v>
      </c>
      <c r="AA707" s="97"/>
      <c r="AB707" s="97">
        <f t="shared" ref="AB707:AB720" si="5862">K707*AA707*$AB$2/1000</f>
        <v>0</v>
      </c>
      <c r="AC707" s="97"/>
      <c r="AD707" s="97">
        <f t="shared" ref="AD707:AD721" si="5863">K707*AC707*$AD$2/1000</f>
        <v>0</v>
      </c>
      <c r="AE707" s="97"/>
      <c r="AF707" s="97">
        <f t="shared" si="5423"/>
        <v>0</v>
      </c>
      <c r="AG707" s="97">
        <f t="shared" ref="AG707:AG721" si="5864">SUM(AA707+AC707+AE707)</f>
        <v>0</v>
      </c>
      <c r="AH707" s="97">
        <f t="shared" ref="AH707:AH748" si="5865">SUM(AB707+AD707+AF707)</f>
        <v>0</v>
      </c>
      <c r="AI707" s="97">
        <f t="shared" ref="AI707:AI750" si="5866">SUM(Y707+AG707)</f>
        <v>0</v>
      </c>
      <c r="AJ707" s="97">
        <f t="shared" ref="AJ707:AJ750" si="5867">SUM(Z707,AH707)</f>
        <v>0</v>
      </c>
      <c r="AK707" s="97"/>
      <c r="AL707" s="97">
        <f t="shared" ref="AL707:AL721" si="5868">M707*AK707*$AL$2/1000</f>
        <v>0</v>
      </c>
      <c r="AM707" s="97"/>
      <c r="AN707" s="97">
        <f>M707*AM707*$AN$2/1000</f>
        <v>0</v>
      </c>
      <c r="AO707" s="97"/>
      <c r="AP707" s="97">
        <f t="shared" ref="AP707:AP721" si="5869">M707*AO707*$AP$2/1000</f>
        <v>0</v>
      </c>
      <c r="AQ707" s="97">
        <f t="shared" ref="AQ707:AQ721" si="5870">SUM(AK707+AM707+AO707)</f>
        <v>0</v>
      </c>
      <c r="AR707" s="97">
        <f t="shared" ref="AR707:AR748" si="5871">SUM(AL707+AN707+AP707)</f>
        <v>0</v>
      </c>
      <c r="AS707" s="97">
        <v>5.0999999999999997E-2</v>
      </c>
      <c r="AT707" s="97">
        <f t="shared" ref="AT707:AT721" si="5872">O707*AS707*$AT$2/1000</f>
        <v>0.51662663399999997</v>
      </c>
      <c r="AU707" s="97"/>
      <c r="AV707" s="97">
        <f t="shared" ref="AV707:AV721" si="5873">O707*AU707*$AV$2/1000</f>
        <v>0</v>
      </c>
      <c r="AW707" s="97"/>
      <c r="AX707" s="97">
        <f t="shared" ref="AX707:AX721" si="5874">O707*AW707*$AX$2/1000</f>
        <v>0</v>
      </c>
      <c r="AY707" s="97">
        <f t="shared" ref="AY707:AY720" si="5875">SUM(AS707+AU707+AW707)</f>
        <v>5.0999999999999997E-2</v>
      </c>
      <c r="AZ707" s="97">
        <f t="shared" ref="AZ707:AZ748" si="5876">SUM(AT707+AV707+AX707)</f>
        <v>0.51662663399999997</v>
      </c>
      <c r="BA707" s="97">
        <f t="shared" ref="BA707:BA750" si="5877">SUM(AQ707+AY707)</f>
        <v>5.0999999999999997E-2</v>
      </c>
      <c r="BB707" s="97">
        <f t="shared" ref="BB707:BB750" si="5878">SUM(AR707,AZ707)</f>
        <v>0.51662663399999997</v>
      </c>
    </row>
    <row r="708" spans="1:54">
      <c r="A708" s="498">
        <v>504</v>
      </c>
      <c r="B708" s="13"/>
      <c r="C708" s="13"/>
      <c r="D708" s="13"/>
      <c r="E708" s="21" t="s">
        <v>590</v>
      </c>
      <c r="F708" s="46"/>
      <c r="G708" s="46" t="s">
        <v>1105</v>
      </c>
      <c r="H708" s="268" t="s">
        <v>364</v>
      </c>
      <c r="I708" s="55">
        <v>5.74</v>
      </c>
      <c r="J708" s="163"/>
      <c r="K708" s="55">
        <v>5.74</v>
      </c>
      <c r="L708" s="163"/>
      <c r="M708" s="55">
        <v>5.74</v>
      </c>
      <c r="N708" s="163"/>
      <c r="O708" s="55">
        <v>5.74</v>
      </c>
      <c r="P708" s="163"/>
      <c r="Q708" s="97">
        <f t="shared" si="5855"/>
        <v>0</v>
      </c>
      <c r="R708" s="342">
        <f t="shared" si="5856"/>
        <v>0</v>
      </c>
      <c r="S708" s="97"/>
      <c r="T708" s="97">
        <f>I708*S708*$T$2/1000</f>
        <v>0</v>
      </c>
      <c r="U708" s="97"/>
      <c r="V708" s="97">
        <f t="shared" si="5858"/>
        <v>0</v>
      </c>
      <c r="W708" s="97"/>
      <c r="X708" s="97">
        <f t="shared" si="5859"/>
        <v>0</v>
      </c>
      <c r="Y708" s="97">
        <f t="shared" si="5860"/>
        <v>0</v>
      </c>
      <c r="Z708" s="97">
        <f t="shared" si="5861"/>
        <v>0</v>
      </c>
      <c r="AA708" s="97"/>
      <c r="AB708" s="97">
        <f t="shared" si="5862"/>
        <v>0</v>
      </c>
      <c r="AC708" s="97"/>
      <c r="AD708" s="97">
        <f t="shared" si="5863"/>
        <v>0</v>
      </c>
      <c r="AE708" s="97"/>
      <c r="AF708" s="97">
        <f t="shared" si="5423"/>
        <v>0</v>
      </c>
      <c r="AG708" s="97">
        <f t="shared" si="5864"/>
        <v>0</v>
      </c>
      <c r="AH708" s="97">
        <f t="shared" si="5865"/>
        <v>0</v>
      </c>
      <c r="AI708" s="97">
        <f t="shared" si="5866"/>
        <v>0</v>
      </c>
      <c r="AJ708" s="97">
        <f t="shared" si="5867"/>
        <v>0</v>
      </c>
      <c r="AK708" s="97"/>
      <c r="AL708" s="97">
        <f t="shared" si="5868"/>
        <v>0</v>
      </c>
      <c r="AM708" s="97"/>
      <c r="AN708" s="97">
        <f>M708*AM708*$AN$2/1000</f>
        <v>0</v>
      </c>
      <c r="AO708" s="97"/>
      <c r="AP708" s="97">
        <f t="shared" si="5869"/>
        <v>0</v>
      </c>
      <c r="AQ708" s="97">
        <f t="shared" si="5870"/>
        <v>0</v>
      </c>
      <c r="AR708" s="97">
        <f t="shared" si="5871"/>
        <v>0</v>
      </c>
      <c r="AS708" s="97"/>
      <c r="AT708" s="97">
        <f t="shared" si="5872"/>
        <v>0</v>
      </c>
      <c r="AU708" s="97"/>
      <c r="AV708" s="97">
        <f t="shared" si="5873"/>
        <v>0</v>
      </c>
      <c r="AW708" s="97"/>
      <c r="AX708" s="97">
        <f t="shared" si="5874"/>
        <v>0</v>
      </c>
      <c r="AY708" s="97">
        <f t="shared" si="5875"/>
        <v>0</v>
      </c>
      <c r="AZ708" s="97">
        <f t="shared" si="5876"/>
        <v>0</v>
      </c>
      <c r="BA708" s="97">
        <f t="shared" si="5877"/>
        <v>0</v>
      </c>
      <c r="BB708" s="97">
        <f t="shared" si="5878"/>
        <v>0</v>
      </c>
    </row>
    <row r="709" spans="1:54">
      <c r="A709" s="498">
        <v>505</v>
      </c>
      <c r="B709" s="13"/>
      <c r="C709" s="13"/>
      <c r="D709" s="13"/>
      <c r="E709" s="21" t="s">
        <v>1097</v>
      </c>
      <c r="F709" s="46"/>
      <c r="G709" s="46" t="s">
        <v>1102</v>
      </c>
      <c r="H709" s="268" t="s">
        <v>364</v>
      </c>
      <c r="I709" s="55">
        <v>5.74</v>
      </c>
      <c r="J709" s="163"/>
      <c r="K709" s="55">
        <v>5.74</v>
      </c>
      <c r="L709" s="163"/>
      <c r="M709" s="55">
        <v>5.74</v>
      </c>
      <c r="N709" s="163"/>
      <c r="O709" s="55">
        <v>5.74</v>
      </c>
      <c r="P709" s="163"/>
      <c r="Q709" s="97">
        <f t="shared" ref="Q709" si="5879">SUM(AI709+BA709)</f>
        <v>0</v>
      </c>
      <c r="R709" s="342">
        <f t="shared" ref="R709" si="5880">SUM(AJ709+BB709)</f>
        <v>0</v>
      </c>
      <c r="S709" s="97"/>
      <c r="T709" s="97">
        <f>I709*S709*$T$2/1000</f>
        <v>0</v>
      </c>
      <c r="U709" s="97"/>
      <c r="V709" s="97">
        <f t="shared" ref="V709" si="5881">I709*U709*$V$2/1000</f>
        <v>0</v>
      </c>
      <c r="W709" s="97"/>
      <c r="X709" s="97">
        <f t="shared" ref="X709" si="5882">I709*W709*$X$2/1000</f>
        <v>0</v>
      </c>
      <c r="Y709" s="97">
        <f t="shared" ref="Y709" si="5883">SUM(S709+U709+W709)</f>
        <v>0</v>
      </c>
      <c r="Z709" s="97">
        <f t="shared" ref="Z709" si="5884">SUM(T709+V709+X709)</f>
        <v>0</v>
      </c>
      <c r="AA709" s="97"/>
      <c r="AB709" s="97">
        <f t="shared" ref="AB709" si="5885">K709*AA709*$AB$2/1000</f>
        <v>0</v>
      </c>
      <c r="AC709" s="97"/>
      <c r="AD709" s="97">
        <f t="shared" ref="AD709" si="5886">K709*AC709*$AD$2/1000</f>
        <v>0</v>
      </c>
      <c r="AE709" s="97"/>
      <c r="AF709" s="97">
        <f t="shared" ref="AF709" si="5887">K709*AE709*$AF$2/1000</f>
        <v>0</v>
      </c>
      <c r="AG709" s="97">
        <f t="shared" ref="AG709" si="5888">SUM(AA709+AC709+AE709)</f>
        <v>0</v>
      </c>
      <c r="AH709" s="97">
        <f t="shared" ref="AH709" si="5889">SUM(AB709+AD709+AF709)</f>
        <v>0</v>
      </c>
      <c r="AI709" s="97">
        <f t="shared" ref="AI709" si="5890">SUM(Y709+AG709)</f>
        <v>0</v>
      </c>
      <c r="AJ709" s="97">
        <f t="shared" ref="AJ709" si="5891">SUM(Z709,AH709)</f>
        <v>0</v>
      </c>
      <c r="AK709" s="97"/>
      <c r="AL709" s="97">
        <f t="shared" ref="AL709" si="5892">M709*AK709*$AL$2/1000</f>
        <v>0</v>
      </c>
      <c r="AM709" s="97"/>
      <c r="AN709" s="97">
        <f>M709*AM709*$AN$2/1000</f>
        <v>0</v>
      </c>
      <c r="AO709" s="97"/>
      <c r="AP709" s="97">
        <f t="shared" ref="AP709" si="5893">M709*AO709*$AP$2/1000</f>
        <v>0</v>
      </c>
      <c r="AQ709" s="97">
        <f t="shared" ref="AQ709" si="5894">SUM(AK709+AM709+AO709)</f>
        <v>0</v>
      </c>
      <c r="AR709" s="97">
        <f t="shared" ref="AR709" si="5895">SUM(AL709+AN709+AP709)</f>
        <v>0</v>
      </c>
      <c r="AS709" s="97"/>
      <c r="AT709" s="97">
        <f t="shared" ref="AT709" si="5896">O709*AS709*$AT$2/1000</f>
        <v>0</v>
      </c>
      <c r="AU709" s="97"/>
      <c r="AV709" s="97">
        <f t="shared" ref="AV709" si="5897">O709*AU709*$AV$2/1000</f>
        <v>0</v>
      </c>
      <c r="AW709" s="97"/>
      <c r="AX709" s="97">
        <f t="shared" ref="AX709" si="5898">O709*AW709*$AX$2/1000</f>
        <v>0</v>
      </c>
      <c r="AY709" s="97">
        <f t="shared" ref="AY709" si="5899">SUM(AS709+AU709+AW709)</f>
        <v>0</v>
      </c>
      <c r="AZ709" s="97">
        <f t="shared" ref="AZ709" si="5900">SUM(AT709+AV709+AX709)</f>
        <v>0</v>
      </c>
      <c r="BA709" s="97">
        <f t="shared" ref="BA709" si="5901">SUM(AQ709+AY709)</f>
        <v>0</v>
      </c>
      <c r="BB709" s="97">
        <f t="shared" ref="BB709" si="5902">SUM(AR709,AZ709)</f>
        <v>0</v>
      </c>
    </row>
    <row r="710" spans="1:54">
      <c r="A710" s="498">
        <v>506</v>
      </c>
      <c r="B710" s="13"/>
      <c r="C710" s="13"/>
      <c r="D710" s="13"/>
      <c r="E710" s="21" t="s">
        <v>1066</v>
      </c>
      <c r="F710" s="46"/>
      <c r="G710" s="46" t="s">
        <v>1102</v>
      </c>
      <c r="H710" s="268" t="s">
        <v>364</v>
      </c>
      <c r="I710" s="55">
        <v>5.95</v>
      </c>
      <c r="J710" s="163"/>
      <c r="K710" s="55">
        <v>5.95</v>
      </c>
      <c r="L710" s="163"/>
      <c r="M710" s="55">
        <v>5.95</v>
      </c>
      <c r="N710" s="163"/>
      <c r="O710" s="55">
        <v>5.95</v>
      </c>
      <c r="P710" s="163"/>
      <c r="Q710" s="97">
        <f t="shared" ref="Q710:Q719" si="5903">SUM(AI710+BA710)</f>
        <v>17.68</v>
      </c>
      <c r="R710" s="342">
        <f t="shared" ref="R710:R719" si="5904">SUM(AJ710+BB710)</f>
        <v>144.42644035400002</v>
      </c>
      <c r="S710" s="97">
        <v>2.1999999999999999E-2</v>
      </c>
      <c r="T710" s="97">
        <f t="shared" ref="T710:T719" si="5905">I710*S710*$T$2/1000</f>
        <v>0.17303540100000001</v>
      </c>
      <c r="U710" s="97">
        <v>1</v>
      </c>
      <c r="V710" s="97">
        <f t="shared" ref="V710:V719" si="5906">I710*U710*$V$2/1000</f>
        <v>7.9158800000000014</v>
      </c>
      <c r="W710" s="97"/>
      <c r="X710" s="97">
        <f t="shared" ref="X710:X719" si="5907">I710*W710*$X$2/1000</f>
        <v>0</v>
      </c>
      <c r="Y710" s="97">
        <f t="shared" ref="Y710:Y719" si="5908">SUM(S710+U710+W710)</f>
        <v>1.022</v>
      </c>
      <c r="Z710" s="97">
        <f t="shared" ref="Z710:Z719" si="5909">SUM(T710+V710+X710)</f>
        <v>8.0889154010000013</v>
      </c>
      <c r="AA710" s="97">
        <v>1</v>
      </c>
      <c r="AB710" s="97">
        <f t="shared" ref="AB710" si="5910">K710*AA710*$AB$2/1000</f>
        <v>8.1165139999999987</v>
      </c>
      <c r="AC710" s="97">
        <v>1.05</v>
      </c>
      <c r="AD710" s="97">
        <f t="shared" ref="AD710:AD719" si="5911">K710*AC710*$AD$2/1000</f>
        <v>8.5567634250000015</v>
      </c>
      <c r="AE710" s="97">
        <v>1</v>
      </c>
      <c r="AF710" s="97">
        <f t="shared" si="5423"/>
        <v>8.2040385000000011</v>
      </c>
      <c r="AG710" s="97">
        <f t="shared" ref="AG710:AG719" si="5912">SUM(AA710+AC710+AE710)</f>
        <v>3.05</v>
      </c>
      <c r="AH710" s="97">
        <f t="shared" ref="AH710:AH719" si="5913">SUM(AB710+AD710+AF710)</f>
        <v>24.877315925000005</v>
      </c>
      <c r="AI710" s="97">
        <f t="shared" ref="AI710:AI719" si="5914">SUM(Y710+AG710)</f>
        <v>4.0720000000000001</v>
      </c>
      <c r="AJ710" s="97">
        <f t="shared" ref="AJ710:AJ719" si="5915">SUM(Z710,AH710)</f>
        <v>32.966231326000006</v>
      </c>
      <c r="AK710" s="97">
        <v>2.2400000000000002</v>
      </c>
      <c r="AL710" s="97">
        <f t="shared" ref="AL710:AL719" si="5916">M710*AK710*$AL$2/1000</f>
        <v>18.433690240000001</v>
      </c>
      <c r="AM710" s="97">
        <v>3</v>
      </c>
      <c r="AN710" s="97">
        <f t="shared" ref="AN710:AN717" si="5917">M710*AM710*$AN$2/1000</f>
        <v>24.295635000000001</v>
      </c>
      <c r="AO710" s="97">
        <v>3</v>
      </c>
      <c r="AP710" s="97">
        <f t="shared" ref="AP710:AP719" si="5918">M710*AO710*$AP$2/1000</f>
        <v>23.783161500000002</v>
      </c>
      <c r="AQ710" s="97">
        <f t="shared" ref="AQ710:AQ719" si="5919">SUM(AK710+AM710+AO710)</f>
        <v>8.24</v>
      </c>
      <c r="AR710" s="97">
        <f t="shared" ref="AR710:AR719" si="5920">SUM(AL710+AN710+AP710)</f>
        <v>66.51248674</v>
      </c>
      <c r="AS710" s="97"/>
      <c r="AT710" s="97">
        <f t="shared" ref="AT710:AT719" si="5921">O710*AS710*$AT$2/1000</f>
        <v>0</v>
      </c>
      <c r="AU710" s="97">
        <v>2.34</v>
      </c>
      <c r="AV710" s="97">
        <f t="shared" ref="AV710:AV719" si="5922">O710*AU710*$AV$2/1000</f>
        <v>19.376221410000003</v>
      </c>
      <c r="AW710" s="97">
        <v>3.028</v>
      </c>
      <c r="AX710" s="97">
        <f t="shared" ref="AX710:AX719" si="5923">O710*AW710*$AX$2/1000</f>
        <v>25.571500877999998</v>
      </c>
      <c r="AY710" s="97">
        <f t="shared" ref="AY710" si="5924">SUM(AS710+AU710+AW710)</f>
        <v>5.3680000000000003</v>
      </c>
      <c r="AZ710" s="97">
        <f t="shared" ref="AZ710:AZ719" si="5925">SUM(AT710+AV710+AX710)</f>
        <v>44.947722288000001</v>
      </c>
      <c r="BA710" s="97">
        <f t="shared" ref="BA710:BA719" si="5926">SUM(AQ710+AY710)</f>
        <v>13.608000000000001</v>
      </c>
      <c r="BB710" s="97">
        <f t="shared" ref="BB710:BB719" si="5927">SUM(AR710,AZ710)</f>
        <v>111.46020902800001</v>
      </c>
    </row>
    <row r="711" spans="1:54">
      <c r="B711" s="13"/>
      <c r="C711" s="13"/>
      <c r="D711" s="13"/>
      <c r="E711" s="21" t="s">
        <v>1204</v>
      </c>
      <c r="F711" s="22"/>
      <c r="G711" s="46" t="s">
        <v>1102</v>
      </c>
      <c r="H711" s="268" t="s">
        <v>364</v>
      </c>
      <c r="I711" s="55">
        <v>9.18</v>
      </c>
      <c r="J711" s="102"/>
      <c r="K711" s="55">
        <v>9.18</v>
      </c>
      <c r="L711" s="102"/>
      <c r="M711" s="55">
        <v>9.18</v>
      </c>
      <c r="N711" s="163"/>
      <c r="O711" s="55">
        <v>9.18</v>
      </c>
      <c r="P711" s="102"/>
      <c r="Q711" s="97">
        <f t="shared" si="5903"/>
        <v>2.9990000000000001</v>
      </c>
      <c r="R711" s="342">
        <f t="shared" si="5904"/>
        <v>37.742658150599993</v>
      </c>
      <c r="S711" s="97"/>
      <c r="T711" s="97">
        <f>I711*S711*$T$2/1000</f>
        <v>0</v>
      </c>
      <c r="U711" s="97"/>
      <c r="V711" s="177">
        <f>I711*U711*$V$2/1000</f>
        <v>0</v>
      </c>
      <c r="W711" s="207"/>
      <c r="X711" s="206">
        <f>I711*W711*$X$2/1000</f>
        <v>0</v>
      </c>
      <c r="Y711" s="189">
        <f t="shared" ref="Y711:Y715" si="5928">SUM(S711+U711+W711)</f>
        <v>0</v>
      </c>
      <c r="Z711" s="177">
        <f t="shared" ref="Z711:Z715" si="5929">SUM(T711+V711+X711)</f>
        <v>0</v>
      </c>
      <c r="AA711" s="207"/>
      <c r="AB711" s="206">
        <f>K711*AA711*$AB$2/1000</f>
        <v>0</v>
      </c>
      <c r="AC711" s="207"/>
      <c r="AD711" s="177">
        <f>K711*AC711*$AD$2/1000</f>
        <v>0</v>
      </c>
      <c r="AE711" s="207"/>
      <c r="AF711" s="206">
        <f t="shared" si="5423"/>
        <v>0</v>
      </c>
      <c r="AG711" s="189">
        <f t="shared" ref="AG711:AG715" si="5930">SUM(AA711+AC711+AE711)</f>
        <v>0</v>
      </c>
      <c r="AH711" s="97">
        <f t="shared" ref="AH711:AH715" si="5931">SUM(AB711+AD711+AF711)</f>
        <v>0</v>
      </c>
      <c r="AI711" s="97">
        <f t="shared" si="5914"/>
        <v>0</v>
      </c>
      <c r="AJ711" s="177">
        <f t="shared" si="5915"/>
        <v>0</v>
      </c>
      <c r="AK711" s="207"/>
      <c r="AL711" s="177">
        <f t="shared" si="5916"/>
        <v>0</v>
      </c>
      <c r="AM711" s="245">
        <v>1</v>
      </c>
      <c r="AN711" s="177">
        <f t="shared" si="5917"/>
        <v>12.494897999999999</v>
      </c>
      <c r="AO711" s="207">
        <v>1</v>
      </c>
      <c r="AP711" s="206">
        <f t="shared" si="5918"/>
        <v>12.2313402</v>
      </c>
      <c r="AQ711" s="189">
        <f>SUM(AK711+AM711+AO711)</f>
        <v>2</v>
      </c>
      <c r="AR711" s="97">
        <f t="shared" ref="AR711:AR715" si="5932">SUM(AL711+AN711+AP711)</f>
        <v>24.726238199999997</v>
      </c>
      <c r="AS711" s="97"/>
      <c r="AT711" s="177">
        <f t="shared" si="5921"/>
        <v>0</v>
      </c>
      <c r="AU711" s="207"/>
      <c r="AV711" s="177">
        <f t="shared" si="5922"/>
        <v>0</v>
      </c>
      <c r="AW711" s="207">
        <v>0.999</v>
      </c>
      <c r="AX711" s="206">
        <f t="shared" si="5923"/>
        <v>13.016419950599998</v>
      </c>
      <c r="AY711" s="189">
        <f>SUM(AS711+AU711+AW711)</f>
        <v>0.999</v>
      </c>
      <c r="AZ711" s="97">
        <f t="shared" ref="AZ711:AZ715" si="5933">SUM(AT711+AV711+AX711)</f>
        <v>13.016419950599998</v>
      </c>
      <c r="BA711" s="97">
        <f t="shared" si="5926"/>
        <v>2.9990000000000001</v>
      </c>
      <c r="BB711" s="97">
        <f t="shared" si="5927"/>
        <v>37.742658150599993</v>
      </c>
    </row>
    <row r="712" spans="1:54">
      <c r="A712" s="498">
        <v>505</v>
      </c>
      <c r="B712" s="13"/>
      <c r="C712" s="13"/>
      <c r="D712" s="13"/>
      <c r="E712" s="21" t="s">
        <v>1634</v>
      </c>
      <c r="F712" s="46"/>
      <c r="G712" s="46" t="s">
        <v>1102</v>
      </c>
      <c r="H712" s="268" t="s">
        <v>364</v>
      </c>
      <c r="I712" s="55">
        <v>10.7</v>
      </c>
      <c r="J712" s="163"/>
      <c r="K712" s="55">
        <v>10.7</v>
      </c>
      <c r="L712" s="163"/>
      <c r="M712" s="55">
        <v>10.7</v>
      </c>
      <c r="N712" s="163"/>
      <c r="O712" s="55">
        <v>10.7</v>
      </c>
      <c r="P712" s="163"/>
      <c r="Q712" s="97">
        <f t="shared" si="5903"/>
        <v>0</v>
      </c>
      <c r="R712" s="342">
        <f t="shared" si="5904"/>
        <v>0</v>
      </c>
      <c r="S712" s="97"/>
      <c r="T712" s="97">
        <f>I712*S712*$T$2/1000</f>
        <v>0</v>
      </c>
      <c r="U712" s="97"/>
      <c r="V712" s="97">
        <f t="shared" ref="V712" si="5934">I712*U712*$V$2/1000</f>
        <v>0</v>
      </c>
      <c r="W712" s="97"/>
      <c r="X712" s="97">
        <f t="shared" ref="X712" si="5935">I712*W712*$X$2/1000</f>
        <v>0</v>
      </c>
      <c r="Y712" s="97">
        <f t="shared" si="5928"/>
        <v>0</v>
      </c>
      <c r="Z712" s="97">
        <f t="shared" si="5929"/>
        <v>0</v>
      </c>
      <c r="AA712" s="97"/>
      <c r="AB712" s="97">
        <f t="shared" ref="AB712" si="5936">K712*AA712*$AB$2/1000</f>
        <v>0</v>
      </c>
      <c r="AC712" s="97"/>
      <c r="AD712" s="97">
        <f t="shared" ref="AD712" si="5937">K712*AC712*$AD$2/1000</f>
        <v>0</v>
      </c>
      <c r="AE712" s="97"/>
      <c r="AF712" s="97">
        <f t="shared" si="5423"/>
        <v>0</v>
      </c>
      <c r="AG712" s="97">
        <f t="shared" si="5930"/>
        <v>0</v>
      </c>
      <c r="AH712" s="97">
        <f t="shared" si="5931"/>
        <v>0</v>
      </c>
      <c r="AI712" s="97">
        <f t="shared" si="5914"/>
        <v>0</v>
      </c>
      <c r="AJ712" s="97">
        <f t="shared" si="5915"/>
        <v>0</v>
      </c>
      <c r="AK712" s="97"/>
      <c r="AL712" s="97">
        <f t="shared" si="5916"/>
        <v>0</v>
      </c>
      <c r="AM712" s="97"/>
      <c r="AN712" s="97">
        <f>M712*AM712*$AN$2/1000</f>
        <v>0</v>
      </c>
      <c r="AO712" s="97"/>
      <c r="AP712" s="97">
        <f t="shared" si="5918"/>
        <v>0</v>
      </c>
      <c r="AQ712" s="97">
        <f t="shared" ref="AQ712" si="5938">SUM(AK712+AM712+AO712)</f>
        <v>0</v>
      </c>
      <c r="AR712" s="97">
        <f t="shared" si="5932"/>
        <v>0</v>
      </c>
      <c r="AS712" s="97"/>
      <c r="AT712" s="97">
        <f t="shared" si="5921"/>
        <v>0</v>
      </c>
      <c r="AU712" s="97"/>
      <c r="AV712" s="97">
        <f t="shared" si="5922"/>
        <v>0</v>
      </c>
      <c r="AW712" s="97"/>
      <c r="AX712" s="97">
        <f t="shared" si="5923"/>
        <v>0</v>
      </c>
      <c r="AY712" s="97">
        <f t="shared" ref="AY712" si="5939">SUM(AS712+AU712+AW712)</f>
        <v>0</v>
      </c>
      <c r="AZ712" s="97">
        <f t="shared" si="5933"/>
        <v>0</v>
      </c>
      <c r="BA712" s="97">
        <f t="shared" si="5926"/>
        <v>0</v>
      </c>
      <c r="BB712" s="97">
        <f t="shared" si="5927"/>
        <v>0</v>
      </c>
    </row>
    <row r="713" spans="1:54">
      <c r="A713" s="498">
        <v>505</v>
      </c>
      <c r="B713" s="13"/>
      <c r="C713" s="13"/>
      <c r="D713" s="13"/>
      <c r="E713" s="21" t="s">
        <v>1460</v>
      </c>
      <c r="F713" s="46"/>
      <c r="G713" s="46" t="s">
        <v>1102</v>
      </c>
      <c r="H713" s="268" t="s">
        <v>364</v>
      </c>
      <c r="I713" s="55">
        <v>6.52</v>
      </c>
      <c r="J713" s="163"/>
      <c r="K713" s="55">
        <v>6.52</v>
      </c>
      <c r="L713" s="163"/>
      <c r="M713" s="55">
        <v>6.52</v>
      </c>
      <c r="N713" s="163"/>
      <c r="O713" s="55">
        <v>6.52</v>
      </c>
      <c r="P713" s="163"/>
      <c r="Q713" s="97">
        <f t="shared" ref="Q713" si="5940">SUM(AI713+BA713)</f>
        <v>1.44</v>
      </c>
      <c r="R713" s="342">
        <f t="shared" ref="R713" si="5941">SUM(AJ713+BB713)</f>
        <v>12.922321823999999</v>
      </c>
      <c r="S713" s="97"/>
      <c r="T713" s="97">
        <f>I713*S713*$T$2/1000</f>
        <v>0</v>
      </c>
      <c r="U713" s="97"/>
      <c r="V713" s="97">
        <f t="shared" ref="V713" si="5942">I713*U713*$V$2/1000</f>
        <v>0</v>
      </c>
      <c r="W713" s="97"/>
      <c r="X713" s="97">
        <f t="shared" ref="X713" si="5943">I713*W713*$X$2/1000</f>
        <v>0</v>
      </c>
      <c r="Y713" s="97">
        <f t="shared" ref="Y713" si="5944">SUM(S713+U713+W713)</f>
        <v>0</v>
      </c>
      <c r="Z713" s="97">
        <f t="shared" ref="Z713" si="5945">SUM(T713+V713+X713)</f>
        <v>0</v>
      </c>
      <c r="AA713" s="97"/>
      <c r="AB713" s="97">
        <f t="shared" ref="AB713" si="5946">K713*AA713*$AB$2/1000</f>
        <v>0</v>
      </c>
      <c r="AC713" s="97">
        <v>0.72</v>
      </c>
      <c r="AD713" s="97">
        <f t="shared" ref="AD713" si="5947">K713*AC713*$AD$2/1000</f>
        <v>6.429591072</v>
      </c>
      <c r="AE713" s="97"/>
      <c r="AF713" s="97">
        <f t="shared" ref="AF713" si="5948">K713*AE713*$AF$2/1000</f>
        <v>0</v>
      </c>
      <c r="AG713" s="97">
        <f t="shared" ref="AG713" si="5949">SUM(AA713+AC713+AE713)</f>
        <v>0.72</v>
      </c>
      <c r="AH713" s="97">
        <f t="shared" ref="AH713" si="5950">SUM(AB713+AD713+AF713)</f>
        <v>6.429591072</v>
      </c>
      <c r="AI713" s="97">
        <f t="shared" ref="AI713" si="5951">SUM(Y713+AG713)</f>
        <v>0.72</v>
      </c>
      <c r="AJ713" s="97">
        <f t="shared" ref="AJ713" si="5952">SUM(Z713,AH713)</f>
        <v>6.429591072</v>
      </c>
      <c r="AK713" s="97">
        <v>0.72</v>
      </c>
      <c r="AL713" s="97">
        <f t="shared" ref="AL713" si="5953">M713*AK713*$AL$2/1000</f>
        <v>6.4927307519999991</v>
      </c>
      <c r="AM713" s="97"/>
      <c r="AN713" s="97">
        <f>M713*AM713*$AN$2/1000</f>
        <v>0</v>
      </c>
      <c r="AO713" s="97"/>
      <c r="AP713" s="97">
        <f t="shared" ref="AP713" si="5954">M713*AO713*$AP$2/1000</f>
        <v>0</v>
      </c>
      <c r="AQ713" s="97">
        <f t="shared" ref="AQ713" si="5955">SUM(AK713+AM713+AO713)</f>
        <v>0.72</v>
      </c>
      <c r="AR713" s="97">
        <f t="shared" ref="AR713" si="5956">SUM(AL713+AN713+AP713)</f>
        <v>6.4927307519999991</v>
      </c>
      <c r="AS713" s="97"/>
      <c r="AT713" s="97">
        <f t="shared" ref="AT713" si="5957">O713*AS713*$AT$2/1000</f>
        <v>0</v>
      </c>
      <c r="AU713" s="97"/>
      <c r="AV713" s="97">
        <f t="shared" ref="AV713" si="5958">O713*AU713*$AV$2/1000</f>
        <v>0</v>
      </c>
      <c r="AW713" s="97"/>
      <c r="AX713" s="97">
        <f t="shared" ref="AX713" si="5959">O713*AW713*$AX$2/1000</f>
        <v>0</v>
      </c>
      <c r="AY713" s="97">
        <f>SUM(AS713+AU713+AW713)</f>
        <v>0</v>
      </c>
      <c r="AZ713" s="97">
        <f t="shared" ref="AZ713" si="5960">SUM(AT713+AV713+AX713)</f>
        <v>0</v>
      </c>
      <c r="BA713" s="97">
        <f t="shared" ref="BA713" si="5961">SUM(AQ713+AY713)</f>
        <v>0.72</v>
      </c>
      <c r="BB713" s="97">
        <f t="shared" ref="BB713" si="5962">SUM(AR713,AZ713)</f>
        <v>6.4927307519999991</v>
      </c>
    </row>
    <row r="714" spans="1:54">
      <c r="A714" s="498">
        <v>505</v>
      </c>
      <c r="B714" s="13"/>
      <c r="C714" s="13"/>
      <c r="D714" s="13"/>
      <c r="E714" s="21" t="s">
        <v>1633</v>
      </c>
      <c r="F714" s="46"/>
      <c r="G714" s="46" t="s">
        <v>1102</v>
      </c>
      <c r="H714" s="268" t="s">
        <v>364</v>
      </c>
      <c r="I714" s="55">
        <v>5.42</v>
      </c>
      <c r="J714" s="163"/>
      <c r="K714" s="55">
        <v>5.42</v>
      </c>
      <c r="L714" s="163"/>
      <c r="M714" s="55">
        <v>5.42</v>
      </c>
      <c r="N714" s="163"/>
      <c r="O714" s="55">
        <v>5.42</v>
      </c>
      <c r="P714" s="163"/>
      <c r="Q714" s="97">
        <f t="shared" si="5903"/>
        <v>0</v>
      </c>
      <c r="R714" s="342">
        <f t="shared" si="5904"/>
        <v>0</v>
      </c>
      <c r="S714" s="97"/>
      <c r="T714" s="97">
        <f>I714*S714*$T$2/1000</f>
        <v>0</v>
      </c>
      <c r="U714" s="97"/>
      <c r="V714" s="97">
        <f t="shared" ref="V714:V715" si="5963">I714*U714*$V$2/1000</f>
        <v>0</v>
      </c>
      <c r="W714" s="97"/>
      <c r="X714" s="97">
        <f t="shared" ref="X714:X715" si="5964">I714*W714*$X$2/1000</f>
        <v>0</v>
      </c>
      <c r="Y714" s="97">
        <f t="shared" si="5928"/>
        <v>0</v>
      </c>
      <c r="Z714" s="97">
        <f t="shared" si="5929"/>
        <v>0</v>
      </c>
      <c r="AA714" s="97"/>
      <c r="AB714" s="97">
        <f t="shared" ref="AB714:AB715" si="5965">K714*AA714*$AB$2/1000</f>
        <v>0</v>
      </c>
      <c r="AC714" s="97"/>
      <c r="AD714" s="97">
        <f t="shared" ref="AD714:AD715" si="5966">K714*AC714*$AD$2/1000</f>
        <v>0</v>
      </c>
      <c r="AE714" s="97"/>
      <c r="AF714" s="97">
        <f t="shared" si="5423"/>
        <v>0</v>
      </c>
      <c r="AG714" s="97">
        <f t="shared" si="5930"/>
        <v>0</v>
      </c>
      <c r="AH714" s="97">
        <f t="shared" si="5931"/>
        <v>0</v>
      </c>
      <c r="AI714" s="97">
        <f t="shared" si="5914"/>
        <v>0</v>
      </c>
      <c r="AJ714" s="97">
        <f t="shared" si="5915"/>
        <v>0</v>
      </c>
      <c r="AK714" s="97"/>
      <c r="AL714" s="97">
        <f t="shared" si="5916"/>
        <v>0</v>
      </c>
      <c r="AM714" s="97"/>
      <c r="AN714" s="97">
        <f>M714*AM714*$AN$2/1000</f>
        <v>0</v>
      </c>
      <c r="AO714" s="97"/>
      <c r="AP714" s="97">
        <f t="shared" si="5918"/>
        <v>0</v>
      </c>
      <c r="AQ714" s="97">
        <f t="shared" ref="AQ714:AQ715" si="5967">SUM(AK714+AM714+AO714)</f>
        <v>0</v>
      </c>
      <c r="AR714" s="97">
        <f t="shared" si="5932"/>
        <v>0</v>
      </c>
      <c r="AS714" s="97"/>
      <c r="AT714" s="97">
        <f t="shared" si="5921"/>
        <v>0</v>
      </c>
      <c r="AU714" s="97"/>
      <c r="AV714" s="97">
        <f t="shared" si="5922"/>
        <v>0</v>
      </c>
      <c r="AW714" s="97"/>
      <c r="AX714" s="97">
        <f t="shared" si="5923"/>
        <v>0</v>
      </c>
      <c r="AY714" s="97">
        <f t="shared" ref="AY714" si="5968">SUM(AS714+AU714+AW714)</f>
        <v>0</v>
      </c>
      <c r="AZ714" s="97">
        <f t="shared" si="5933"/>
        <v>0</v>
      </c>
      <c r="BA714" s="97">
        <f t="shared" si="5926"/>
        <v>0</v>
      </c>
      <c r="BB714" s="97">
        <f t="shared" si="5927"/>
        <v>0</v>
      </c>
    </row>
    <row r="715" spans="1:54">
      <c r="A715" s="498">
        <v>505</v>
      </c>
      <c r="B715" s="13"/>
      <c r="C715" s="13"/>
      <c r="D715" s="13"/>
      <c r="E715" s="21" t="s">
        <v>1497</v>
      </c>
      <c r="F715" s="46"/>
      <c r="G715" s="46" t="s">
        <v>1102</v>
      </c>
      <c r="H715" s="268" t="s">
        <v>364</v>
      </c>
      <c r="I715" s="55">
        <v>4.7300000000000004</v>
      </c>
      <c r="J715" s="163"/>
      <c r="K715" s="55">
        <v>4.7300000000000004</v>
      </c>
      <c r="L715" s="163"/>
      <c r="M715" s="55">
        <v>4.7300000000000004</v>
      </c>
      <c r="N715" s="163"/>
      <c r="O715" s="55">
        <v>4.7300000000000004</v>
      </c>
      <c r="P715" s="163"/>
      <c r="Q715" s="97">
        <f t="shared" si="5903"/>
        <v>0</v>
      </c>
      <c r="R715" s="342">
        <f t="shared" si="5904"/>
        <v>0</v>
      </c>
      <c r="S715" s="97"/>
      <c r="T715" s="97">
        <f>I715*S715*$T$2/1000</f>
        <v>0</v>
      </c>
      <c r="U715" s="97"/>
      <c r="V715" s="97">
        <f t="shared" si="5963"/>
        <v>0</v>
      </c>
      <c r="W715" s="97"/>
      <c r="X715" s="97">
        <f t="shared" si="5964"/>
        <v>0</v>
      </c>
      <c r="Y715" s="97">
        <f t="shared" si="5928"/>
        <v>0</v>
      </c>
      <c r="Z715" s="97">
        <f t="shared" si="5929"/>
        <v>0</v>
      </c>
      <c r="AA715" s="97"/>
      <c r="AB715" s="97">
        <f t="shared" si="5965"/>
        <v>0</v>
      </c>
      <c r="AC715" s="97"/>
      <c r="AD715" s="97">
        <f t="shared" si="5966"/>
        <v>0</v>
      </c>
      <c r="AE715" s="97"/>
      <c r="AF715" s="97">
        <f t="shared" si="5423"/>
        <v>0</v>
      </c>
      <c r="AG715" s="97">
        <f t="shared" si="5930"/>
        <v>0</v>
      </c>
      <c r="AH715" s="97">
        <f t="shared" si="5931"/>
        <v>0</v>
      </c>
      <c r="AI715" s="97">
        <f t="shared" si="5914"/>
        <v>0</v>
      </c>
      <c r="AJ715" s="97">
        <f t="shared" si="5915"/>
        <v>0</v>
      </c>
      <c r="AK715" s="97"/>
      <c r="AL715" s="97">
        <f t="shared" si="5916"/>
        <v>0</v>
      </c>
      <c r="AM715" s="97"/>
      <c r="AN715" s="97">
        <f>M715*AM715*$AN$2/1000</f>
        <v>0</v>
      </c>
      <c r="AO715" s="97"/>
      <c r="AP715" s="97">
        <f t="shared" si="5918"/>
        <v>0</v>
      </c>
      <c r="AQ715" s="97">
        <f t="shared" si="5967"/>
        <v>0</v>
      </c>
      <c r="AR715" s="97">
        <f t="shared" si="5932"/>
        <v>0</v>
      </c>
      <c r="AS715" s="97"/>
      <c r="AT715" s="97">
        <f t="shared" si="5921"/>
        <v>0</v>
      </c>
      <c r="AU715" s="97"/>
      <c r="AV715" s="97">
        <f t="shared" si="5922"/>
        <v>0</v>
      </c>
      <c r="AW715" s="97"/>
      <c r="AX715" s="97">
        <f t="shared" si="5923"/>
        <v>0</v>
      </c>
      <c r="AY715" s="97">
        <f>SUM(AS715+AU715+AW715)</f>
        <v>0</v>
      </c>
      <c r="AZ715" s="97">
        <f t="shared" si="5933"/>
        <v>0</v>
      </c>
      <c r="BA715" s="97">
        <f t="shared" si="5926"/>
        <v>0</v>
      </c>
      <c r="BB715" s="97">
        <f t="shared" si="5927"/>
        <v>0</v>
      </c>
    </row>
    <row r="716" spans="1:54">
      <c r="A716" s="498">
        <v>507</v>
      </c>
      <c r="B716" s="13"/>
      <c r="C716" s="13"/>
      <c r="D716" s="13"/>
      <c r="E716" s="21" t="s">
        <v>1067</v>
      </c>
      <c r="F716" s="46"/>
      <c r="G716" s="46" t="s">
        <v>1102</v>
      </c>
      <c r="H716" s="268" t="s">
        <v>364</v>
      </c>
      <c r="I716" s="55">
        <v>4.7300000000000004</v>
      </c>
      <c r="J716" s="163"/>
      <c r="K716" s="55">
        <v>4.7300000000000004</v>
      </c>
      <c r="L716" s="163"/>
      <c r="M716" s="55">
        <v>4.7300000000000004</v>
      </c>
      <c r="N716" s="163"/>
      <c r="O716" s="55">
        <v>4.76</v>
      </c>
      <c r="P716" s="163"/>
      <c r="Q716" s="97">
        <f t="shared" si="5903"/>
        <v>6.8449999999999998</v>
      </c>
      <c r="R716" s="342">
        <f t="shared" si="5904"/>
        <v>44.8800981519</v>
      </c>
      <c r="S716" s="97"/>
      <c r="T716" s="97">
        <f t="shared" si="5905"/>
        <v>0</v>
      </c>
      <c r="U716" s="97"/>
      <c r="V716" s="97">
        <f t="shared" si="5906"/>
        <v>0</v>
      </c>
      <c r="W716" s="97"/>
      <c r="X716" s="97">
        <f t="shared" si="5907"/>
        <v>0</v>
      </c>
      <c r="Y716" s="97">
        <f t="shared" si="5908"/>
        <v>0</v>
      </c>
      <c r="Z716" s="97">
        <f t="shared" si="5909"/>
        <v>0</v>
      </c>
      <c r="AA716" s="97"/>
      <c r="AB716" s="97">
        <f>K716*AA716*$AB$2/1000</f>
        <v>0</v>
      </c>
      <c r="AC716" s="97"/>
      <c r="AD716" s="97">
        <f t="shared" si="5911"/>
        <v>0</v>
      </c>
      <c r="AE716" s="97"/>
      <c r="AF716" s="97">
        <f t="shared" si="5423"/>
        <v>0</v>
      </c>
      <c r="AG716" s="97">
        <f t="shared" si="5912"/>
        <v>0</v>
      </c>
      <c r="AH716" s="97">
        <f t="shared" si="5913"/>
        <v>0</v>
      </c>
      <c r="AI716" s="97">
        <f t="shared" si="5914"/>
        <v>0</v>
      </c>
      <c r="AJ716" s="97">
        <f t="shared" si="5915"/>
        <v>0</v>
      </c>
      <c r="AK716" s="97">
        <v>2.448</v>
      </c>
      <c r="AL716" s="97">
        <f t="shared" si="5916"/>
        <v>16.014738643200001</v>
      </c>
      <c r="AM716" s="97">
        <v>0.81599999999999995</v>
      </c>
      <c r="AN716" s="97">
        <f t="shared" si="5917"/>
        <v>5.2534104479999995</v>
      </c>
      <c r="AO716" s="97">
        <v>1.2809999999999999</v>
      </c>
      <c r="AP716" s="97">
        <f t="shared" si="5918"/>
        <v>8.0731242207000022</v>
      </c>
      <c r="AQ716" s="97">
        <f t="shared" si="5919"/>
        <v>4.5449999999999999</v>
      </c>
      <c r="AR716" s="97">
        <f t="shared" si="5920"/>
        <v>29.341273311900004</v>
      </c>
      <c r="AS716" s="97"/>
      <c r="AT716" s="97">
        <f t="shared" si="5921"/>
        <v>0</v>
      </c>
      <c r="AU716" s="97"/>
      <c r="AV716" s="97">
        <f t="shared" si="5922"/>
        <v>0</v>
      </c>
      <c r="AW716" s="97">
        <v>2.2999999999999998</v>
      </c>
      <c r="AX716" s="97">
        <f t="shared" si="5923"/>
        <v>15.538824839999997</v>
      </c>
      <c r="AY716" s="97">
        <f>SUM(AS716+AU716+AW716)</f>
        <v>2.2999999999999998</v>
      </c>
      <c r="AZ716" s="97">
        <f t="shared" si="5925"/>
        <v>15.538824839999997</v>
      </c>
      <c r="BA716" s="97">
        <f t="shared" si="5926"/>
        <v>6.8449999999999998</v>
      </c>
      <c r="BB716" s="97">
        <f t="shared" si="5927"/>
        <v>44.8800981519</v>
      </c>
    </row>
    <row r="717" spans="1:54">
      <c r="B717" s="13"/>
      <c r="C717" s="13"/>
      <c r="D717" s="13"/>
      <c r="E717" s="21" t="s">
        <v>1269</v>
      </c>
      <c r="F717" s="22"/>
      <c r="G717" s="46" t="s">
        <v>1102</v>
      </c>
      <c r="H717" s="268" t="s">
        <v>364</v>
      </c>
      <c r="I717" s="55">
        <v>4.7300000000000004</v>
      </c>
      <c r="J717" s="102"/>
      <c r="K717" s="55">
        <v>4.7300000000000004</v>
      </c>
      <c r="L717" s="102"/>
      <c r="M717" s="55">
        <v>4.76</v>
      </c>
      <c r="N717" s="163"/>
      <c r="O717" s="55">
        <v>4.76</v>
      </c>
      <c r="P717" s="102"/>
      <c r="Q717" s="97">
        <f t="shared" si="5903"/>
        <v>1</v>
      </c>
      <c r="R717" s="342">
        <f t="shared" si="5904"/>
        <v>6.4788359999999994</v>
      </c>
      <c r="S717" s="97"/>
      <c r="T717" s="97">
        <f>I717*S717*$T$2/1000</f>
        <v>0</v>
      </c>
      <c r="U717" s="97"/>
      <c r="V717" s="177">
        <f>I717*U717*$V$2/1000</f>
        <v>0</v>
      </c>
      <c r="W717" s="207"/>
      <c r="X717" s="206">
        <f>I717*W717*$X$2/1000</f>
        <v>0</v>
      </c>
      <c r="Y717" s="189">
        <f t="shared" ref="Y717:Y718" si="5969">SUM(S717+U717+W717)</f>
        <v>0</v>
      </c>
      <c r="Z717" s="177">
        <f t="shared" ref="Z717:Z718" si="5970">SUM(T717+V717+X717)</f>
        <v>0</v>
      </c>
      <c r="AA717" s="207"/>
      <c r="AB717" s="206">
        <f>K717*AA717*$AB$2/1000</f>
        <v>0</v>
      </c>
      <c r="AC717" s="207"/>
      <c r="AD717" s="177">
        <f>K717*AC717*$AD$2/1000</f>
        <v>0</v>
      </c>
      <c r="AE717" s="207"/>
      <c r="AF717" s="206">
        <f t="shared" si="5423"/>
        <v>0</v>
      </c>
      <c r="AG717" s="189">
        <f t="shared" ref="AG717:AG718" si="5971">SUM(AA717+AC717+AE717)</f>
        <v>0</v>
      </c>
      <c r="AH717" s="97">
        <f t="shared" ref="AH717:AH718" si="5972">SUM(AB717+AD717+AF717)</f>
        <v>0</v>
      </c>
      <c r="AI717" s="97">
        <f t="shared" si="5914"/>
        <v>0</v>
      </c>
      <c r="AJ717" s="177">
        <f t="shared" si="5915"/>
        <v>0</v>
      </c>
      <c r="AK717" s="207"/>
      <c r="AL717" s="177">
        <f t="shared" si="5916"/>
        <v>0</v>
      </c>
      <c r="AM717" s="245">
        <v>1</v>
      </c>
      <c r="AN717" s="177">
        <f t="shared" si="5917"/>
        <v>6.4788359999999994</v>
      </c>
      <c r="AO717" s="207"/>
      <c r="AP717" s="206">
        <f t="shared" si="5918"/>
        <v>0</v>
      </c>
      <c r="AQ717" s="189">
        <f>SUM(AK717+AM717+AO717)</f>
        <v>1</v>
      </c>
      <c r="AR717" s="97">
        <f t="shared" ref="AR717:AR718" si="5973">SUM(AL717+AN717+AP717)</f>
        <v>6.4788359999999994</v>
      </c>
      <c r="AS717" s="97"/>
      <c r="AT717" s="177">
        <f t="shared" si="5921"/>
        <v>0</v>
      </c>
      <c r="AU717" s="207"/>
      <c r="AV717" s="177">
        <f t="shared" si="5922"/>
        <v>0</v>
      </c>
      <c r="AW717" s="207"/>
      <c r="AX717" s="206">
        <f t="shared" si="5923"/>
        <v>0</v>
      </c>
      <c r="AY717" s="189">
        <f t="shared" ref="AY717" si="5974">SUM(AS717+AU717+AW717)</f>
        <v>0</v>
      </c>
      <c r="AZ717" s="97">
        <f>SUM(AT717+AV717+AX717)</f>
        <v>0</v>
      </c>
      <c r="BA717" s="97">
        <f t="shared" si="5926"/>
        <v>1</v>
      </c>
      <c r="BB717" s="97">
        <f t="shared" si="5927"/>
        <v>6.4788359999999994</v>
      </c>
    </row>
    <row r="718" spans="1:54">
      <c r="A718" s="498">
        <v>508</v>
      </c>
      <c r="B718" s="13"/>
      <c r="C718" s="13"/>
      <c r="D718" s="13"/>
      <c r="E718" s="21" t="s">
        <v>1418</v>
      </c>
      <c r="F718" s="46"/>
      <c r="G718" s="46" t="s">
        <v>1102</v>
      </c>
      <c r="H718" s="268" t="s">
        <v>364</v>
      </c>
      <c r="I718" s="55">
        <v>4.7300000000000004</v>
      </c>
      <c r="J718" s="163"/>
      <c r="K718" s="55">
        <v>4.7300000000000004</v>
      </c>
      <c r="L718" s="163"/>
      <c r="M718" s="55">
        <v>4.7300000000000004</v>
      </c>
      <c r="N718" s="163"/>
      <c r="O718" s="55">
        <v>4.76</v>
      </c>
      <c r="P718" s="163"/>
      <c r="Q718" s="97">
        <f t="shared" ref="Q718" si="5975">SUM(AI718+BA718)</f>
        <v>0</v>
      </c>
      <c r="R718" s="342">
        <f t="shared" ref="R718" si="5976">SUM(AJ718+BB718)</f>
        <v>0</v>
      </c>
      <c r="S718" s="97"/>
      <c r="T718" s="97">
        <f t="shared" ref="T718" si="5977">I718*S718*$T$2/1000</f>
        <v>0</v>
      </c>
      <c r="U718" s="97"/>
      <c r="V718" s="97">
        <f t="shared" ref="V718" si="5978">I718*U718*$V$2/1000</f>
        <v>0</v>
      </c>
      <c r="W718" s="97"/>
      <c r="X718" s="97">
        <f t="shared" ref="X718" si="5979">I718*W718*$X$2/1000</f>
        <v>0</v>
      </c>
      <c r="Y718" s="97">
        <f t="shared" si="5969"/>
        <v>0</v>
      </c>
      <c r="Z718" s="97">
        <f t="shared" si="5970"/>
        <v>0</v>
      </c>
      <c r="AA718" s="97"/>
      <c r="AB718" s="97">
        <f t="shared" ref="AB718" si="5980">K718*AA718*$AB$2/1000</f>
        <v>0</v>
      </c>
      <c r="AC718" s="97"/>
      <c r="AD718" s="97">
        <f t="shared" ref="AD718" si="5981">K718*AC718*$AD$2/1000</f>
        <v>0</v>
      </c>
      <c r="AE718" s="97"/>
      <c r="AF718" s="97">
        <f t="shared" si="5423"/>
        <v>0</v>
      </c>
      <c r="AG718" s="97">
        <f t="shared" si="5971"/>
        <v>0</v>
      </c>
      <c r="AH718" s="97">
        <f t="shared" si="5972"/>
        <v>0</v>
      </c>
      <c r="AI718" s="97">
        <f t="shared" ref="AI718" si="5982">SUM(Y718+AG718)</f>
        <v>0</v>
      </c>
      <c r="AJ718" s="97">
        <f t="shared" ref="AJ718" si="5983">SUM(Z718,AH718)</f>
        <v>0</v>
      </c>
      <c r="AK718" s="97"/>
      <c r="AL718" s="97">
        <f t="shared" ref="AL718" si="5984">M718*AK718*$AL$2/1000</f>
        <v>0</v>
      </c>
      <c r="AM718" s="97"/>
      <c r="AN718" s="97">
        <f>M718*AM718*$AN$2/1000</f>
        <v>0</v>
      </c>
      <c r="AO718" s="97"/>
      <c r="AP718" s="97">
        <f t="shared" ref="AP718" si="5985">M718*AO718*$AP$2/1000</f>
        <v>0</v>
      </c>
      <c r="AQ718" s="97">
        <f t="shared" ref="AQ718" si="5986">SUM(AK718+AM718+AO718)</f>
        <v>0</v>
      </c>
      <c r="AR718" s="97">
        <f t="shared" si="5973"/>
        <v>0</v>
      </c>
      <c r="AS718" s="97"/>
      <c r="AT718" s="97">
        <f t="shared" ref="AT718" si="5987">O718*AS718*$AT$2/1000</f>
        <v>0</v>
      </c>
      <c r="AU718" s="97"/>
      <c r="AV718" s="97">
        <f t="shared" ref="AV718" si="5988">O718*AU718*$AV$2/1000</f>
        <v>0</v>
      </c>
      <c r="AW718" s="97"/>
      <c r="AX718" s="97">
        <f t="shared" ref="AX718" si="5989">O718*AW718*$AX$2/1000</f>
        <v>0</v>
      </c>
      <c r="AY718" s="97">
        <f t="shared" ref="AY718" si="5990">SUM(AS718+AU718+AW718)</f>
        <v>0</v>
      </c>
      <c r="AZ718" s="97">
        <f t="shared" ref="AZ718" si="5991">SUM(AT718+AV718+AX718)</f>
        <v>0</v>
      </c>
      <c r="BA718" s="97">
        <f t="shared" ref="BA718" si="5992">SUM(AQ718+AY718)</f>
        <v>0</v>
      </c>
      <c r="BB718" s="97">
        <f t="shared" ref="BB718" si="5993">SUM(AR718,AZ718)</f>
        <v>0</v>
      </c>
    </row>
    <row r="719" spans="1:54">
      <c r="A719" s="498">
        <v>508</v>
      </c>
      <c r="B719" s="13"/>
      <c r="C719" s="13"/>
      <c r="D719" s="13"/>
      <c r="E719" s="21" t="s">
        <v>1447</v>
      </c>
      <c r="F719" s="46"/>
      <c r="G719" s="46" t="s">
        <v>1102</v>
      </c>
      <c r="H719" s="268" t="s">
        <v>364</v>
      </c>
      <c r="I719" s="55">
        <v>4.7300000000000004</v>
      </c>
      <c r="J719" s="163"/>
      <c r="K719" s="55">
        <v>4.7300000000000004</v>
      </c>
      <c r="L719" s="163"/>
      <c r="M719" s="55">
        <v>4.7300000000000004</v>
      </c>
      <c r="N719" s="163"/>
      <c r="O719" s="55">
        <v>4.7300000000000004</v>
      </c>
      <c r="P719" s="163"/>
      <c r="Q719" s="97">
        <f t="shared" si="5903"/>
        <v>0</v>
      </c>
      <c r="R719" s="342">
        <f t="shared" si="5904"/>
        <v>0</v>
      </c>
      <c r="S719" s="97"/>
      <c r="T719" s="97">
        <f t="shared" si="5905"/>
        <v>0</v>
      </c>
      <c r="U719" s="97"/>
      <c r="V719" s="97">
        <f t="shared" si="5906"/>
        <v>0</v>
      </c>
      <c r="W719" s="97"/>
      <c r="X719" s="97">
        <f t="shared" si="5907"/>
        <v>0</v>
      </c>
      <c r="Y719" s="97">
        <f t="shared" si="5908"/>
        <v>0</v>
      </c>
      <c r="Z719" s="97">
        <f t="shared" si="5909"/>
        <v>0</v>
      </c>
      <c r="AA719" s="97"/>
      <c r="AB719" s="97">
        <f t="shared" ref="AB719" si="5994">K719*AA719*$AB$2/1000</f>
        <v>0</v>
      </c>
      <c r="AC719" s="97"/>
      <c r="AD719" s="97">
        <f t="shared" si="5911"/>
        <v>0</v>
      </c>
      <c r="AE719" s="97"/>
      <c r="AF719" s="97">
        <f t="shared" ref="AF719" si="5995">K719*AE719*$AF$2/1000</f>
        <v>0</v>
      </c>
      <c r="AG719" s="97">
        <f t="shared" si="5912"/>
        <v>0</v>
      </c>
      <c r="AH719" s="97">
        <f t="shared" si="5913"/>
        <v>0</v>
      </c>
      <c r="AI719" s="97">
        <f t="shared" si="5914"/>
        <v>0</v>
      </c>
      <c r="AJ719" s="97">
        <f t="shared" si="5915"/>
        <v>0</v>
      </c>
      <c r="AK719" s="97"/>
      <c r="AL719" s="97">
        <f t="shared" si="5916"/>
        <v>0</v>
      </c>
      <c r="AM719" s="97"/>
      <c r="AN719" s="97">
        <f>M719*AM719*$AN$2/1000</f>
        <v>0</v>
      </c>
      <c r="AO719" s="97"/>
      <c r="AP719" s="97">
        <f t="shared" si="5918"/>
        <v>0</v>
      </c>
      <c r="AQ719" s="97">
        <f t="shared" si="5919"/>
        <v>0</v>
      </c>
      <c r="AR719" s="97">
        <f t="shared" si="5920"/>
        <v>0</v>
      </c>
      <c r="AS719" s="97"/>
      <c r="AT719" s="97">
        <f t="shared" si="5921"/>
        <v>0</v>
      </c>
      <c r="AU719" s="97"/>
      <c r="AV719" s="97">
        <f t="shared" si="5922"/>
        <v>0</v>
      </c>
      <c r="AW719" s="97"/>
      <c r="AX719" s="97">
        <f t="shared" si="5923"/>
        <v>0</v>
      </c>
      <c r="AY719" s="97">
        <f t="shared" ref="AY719" si="5996">SUM(AS719+AU719+AW719)</f>
        <v>0</v>
      </c>
      <c r="AZ719" s="97">
        <f t="shared" si="5925"/>
        <v>0</v>
      </c>
      <c r="BA719" s="97">
        <f t="shared" si="5926"/>
        <v>0</v>
      </c>
      <c r="BB719" s="97">
        <f t="shared" si="5927"/>
        <v>0</v>
      </c>
    </row>
    <row r="720" spans="1:54">
      <c r="A720" s="498">
        <v>509</v>
      </c>
      <c r="B720" s="13"/>
      <c r="C720" s="13"/>
      <c r="D720" s="13"/>
      <c r="E720" s="21" t="s">
        <v>853</v>
      </c>
      <c r="F720" s="46"/>
      <c r="G720" s="46" t="s">
        <v>1105</v>
      </c>
      <c r="H720" s="268" t="s">
        <v>364</v>
      </c>
      <c r="I720" s="55">
        <v>4.7300000000000004</v>
      </c>
      <c r="J720" s="163"/>
      <c r="K720" s="55">
        <v>4.7300000000000004</v>
      </c>
      <c r="L720" s="163"/>
      <c r="M720" s="55">
        <v>4.7300000000000004</v>
      </c>
      <c r="N720" s="163"/>
      <c r="O720" s="55">
        <v>4.76</v>
      </c>
      <c r="P720" s="163"/>
      <c r="Q720" s="97">
        <f t="shared" si="5855"/>
        <v>1</v>
      </c>
      <c r="R720" s="342">
        <f t="shared" si="5856"/>
        <v>6.4636040000000001</v>
      </c>
      <c r="S720" s="97"/>
      <c r="T720" s="97">
        <f t="shared" ref="T720:T724" si="5997">I720*S720*$T$2/1000</f>
        <v>0</v>
      </c>
      <c r="U720" s="97"/>
      <c r="V720" s="97">
        <f t="shared" si="5858"/>
        <v>0</v>
      </c>
      <c r="W720" s="97"/>
      <c r="X720" s="97">
        <f t="shared" si="5859"/>
        <v>0</v>
      </c>
      <c r="Y720" s="97">
        <f t="shared" si="5860"/>
        <v>0</v>
      </c>
      <c r="Z720" s="97">
        <f t="shared" si="5861"/>
        <v>0</v>
      </c>
      <c r="AA720" s="97"/>
      <c r="AB720" s="97">
        <f t="shared" si="5862"/>
        <v>0</v>
      </c>
      <c r="AC720" s="97"/>
      <c r="AD720" s="97">
        <f t="shared" si="5863"/>
        <v>0</v>
      </c>
      <c r="AE720" s="97"/>
      <c r="AF720" s="97">
        <f t="shared" ref="AF720:AF728" si="5998">K720*AE720*$AF$2/1000</f>
        <v>0</v>
      </c>
      <c r="AG720" s="97">
        <f t="shared" si="5864"/>
        <v>0</v>
      </c>
      <c r="AH720" s="97">
        <f t="shared" si="5865"/>
        <v>0</v>
      </c>
      <c r="AI720" s="97">
        <f t="shared" si="5866"/>
        <v>0</v>
      </c>
      <c r="AJ720" s="97">
        <f t="shared" si="5867"/>
        <v>0</v>
      </c>
      <c r="AK720" s="97"/>
      <c r="AL720" s="97">
        <f t="shared" si="5868"/>
        <v>0</v>
      </c>
      <c r="AM720" s="97"/>
      <c r="AN720" s="97">
        <f t="shared" ref="AN720:AN721" si="5999">M720*AM720*$AN$2/1000</f>
        <v>0</v>
      </c>
      <c r="AO720" s="97"/>
      <c r="AP720" s="97">
        <f t="shared" si="5869"/>
        <v>0</v>
      </c>
      <c r="AQ720" s="97">
        <f t="shared" si="5870"/>
        <v>0</v>
      </c>
      <c r="AR720" s="97">
        <f t="shared" si="5871"/>
        <v>0</v>
      </c>
      <c r="AS720" s="97">
        <v>1</v>
      </c>
      <c r="AT720" s="97">
        <f t="shared" si="5872"/>
        <v>6.4636040000000001</v>
      </c>
      <c r="AU720" s="97"/>
      <c r="AV720" s="97">
        <f t="shared" si="5873"/>
        <v>0</v>
      </c>
      <c r="AW720" s="97"/>
      <c r="AX720" s="97">
        <f t="shared" si="5874"/>
        <v>0</v>
      </c>
      <c r="AY720" s="97">
        <f t="shared" si="5875"/>
        <v>1</v>
      </c>
      <c r="AZ720" s="97">
        <f t="shared" si="5876"/>
        <v>6.4636040000000001</v>
      </c>
      <c r="BA720" s="97">
        <f t="shared" si="5877"/>
        <v>1</v>
      </c>
      <c r="BB720" s="97">
        <f t="shared" si="5878"/>
        <v>6.4636040000000001</v>
      </c>
    </row>
    <row r="721" spans="1:54">
      <c r="A721" s="498">
        <v>510</v>
      </c>
      <c r="B721" s="13"/>
      <c r="C721" s="13"/>
      <c r="D721" s="13"/>
      <c r="E721" s="21" t="s">
        <v>1459</v>
      </c>
      <c r="F721" s="46"/>
      <c r="G721" s="46" t="s">
        <v>1105</v>
      </c>
      <c r="H721" s="268" t="s">
        <v>364</v>
      </c>
      <c r="I721" s="55">
        <v>4.7300000000000004</v>
      </c>
      <c r="J721" s="163"/>
      <c r="K721" s="55">
        <v>4.7300000000000004</v>
      </c>
      <c r="L721" s="163"/>
      <c r="M721" s="55">
        <v>4.7300000000000004</v>
      </c>
      <c r="N721" s="163"/>
      <c r="O721" s="55">
        <v>4.7300000000000004</v>
      </c>
      <c r="P721" s="163"/>
      <c r="Q721" s="97">
        <f t="shared" si="5855"/>
        <v>0</v>
      </c>
      <c r="R721" s="342">
        <f t="shared" si="5856"/>
        <v>0</v>
      </c>
      <c r="S721" s="97"/>
      <c r="T721" s="97">
        <f t="shared" si="5997"/>
        <v>0</v>
      </c>
      <c r="U721" s="97"/>
      <c r="V721" s="97">
        <f t="shared" si="5858"/>
        <v>0</v>
      </c>
      <c r="W721" s="97"/>
      <c r="X721" s="97">
        <f t="shared" si="5859"/>
        <v>0</v>
      </c>
      <c r="Y721" s="97">
        <f t="shared" si="5860"/>
        <v>0</v>
      </c>
      <c r="Z721" s="97">
        <f t="shared" si="5861"/>
        <v>0</v>
      </c>
      <c r="AA721" s="97"/>
      <c r="AB721" s="97">
        <f>K721*AA721*$AB$2/1000</f>
        <v>0</v>
      </c>
      <c r="AC721" s="97"/>
      <c r="AD721" s="97">
        <f t="shared" si="5863"/>
        <v>0</v>
      </c>
      <c r="AE721" s="97"/>
      <c r="AF721" s="97">
        <f t="shared" si="5998"/>
        <v>0</v>
      </c>
      <c r="AG721" s="97">
        <f t="shared" si="5864"/>
        <v>0</v>
      </c>
      <c r="AH721" s="97">
        <f t="shared" si="5865"/>
        <v>0</v>
      </c>
      <c r="AI721" s="97">
        <f t="shared" si="5866"/>
        <v>0</v>
      </c>
      <c r="AJ721" s="97">
        <f t="shared" si="5867"/>
        <v>0</v>
      </c>
      <c r="AK721" s="97"/>
      <c r="AL721" s="97">
        <f t="shared" si="5868"/>
        <v>0</v>
      </c>
      <c r="AM721" s="97"/>
      <c r="AN721" s="97">
        <f t="shared" si="5999"/>
        <v>0</v>
      </c>
      <c r="AO721" s="97"/>
      <c r="AP721" s="97">
        <f t="shared" si="5869"/>
        <v>0</v>
      </c>
      <c r="AQ721" s="97">
        <f t="shared" si="5870"/>
        <v>0</v>
      </c>
      <c r="AR721" s="97">
        <f t="shared" si="5871"/>
        <v>0</v>
      </c>
      <c r="AS721" s="97"/>
      <c r="AT721" s="97">
        <f t="shared" si="5872"/>
        <v>0</v>
      </c>
      <c r="AU721" s="97"/>
      <c r="AV721" s="97">
        <f t="shared" si="5873"/>
        <v>0</v>
      </c>
      <c r="AW721" s="97"/>
      <c r="AX721" s="97">
        <f t="shared" si="5874"/>
        <v>0</v>
      </c>
      <c r="AY721" s="97">
        <f>SUM(AS721+AU721+AW721)</f>
        <v>0</v>
      </c>
      <c r="AZ721" s="97">
        <f t="shared" si="5876"/>
        <v>0</v>
      </c>
      <c r="BA721" s="97">
        <f t="shared" si="5877"/>
        <v>0</v>
      </c>
      <c r="BB721" s="97">
        <f t="shared" si="5878"/>
        <v>0</v>
      </c>
    </row>
    <row r="722" spans="1:54">
      <c r="A722" s="498">
        <v>511</v>
      </c>
      <c r="B722" s="13"/>
      <c r="C722" s="13"/>
      <c r="D722" s="13"/>
      <c r="E722" s="21" t="s">
        <v>897</v>
      </c>
      <c r="F722" s="46"/>
      <c r="G722" s="46" t="s">
        <v>1105</v>
      </c>
      <c r="H722" s="268" t="s">
        <v>364</v>
      </c>
      <c r="I722" s="55">
        <v>4.7300000000000004</v>
      </c>
      <c r="J722" s="163"/>
      <c r="K722" s="55">
        <v>4.7300000000000004</v>
      </c>
      <c r="L722" s="163"/>
      <c r="M722" s="55">
        <v>4.7300000000000004</v>
      </c>
      <c r="N722" s="163"/>
      <c r="O722" s="55">
        <v>4.76</v>
      </c>
      <c r="P722" s="163"/>
      <c r="Q722" s="97">
        <f t="shared" ref="Q722:Q723" si="6000">SUM(AI722+BA722)</f>
        <v>3</v>
      </c>
      <c r="R722" s="342">
        <f t="shared" ref="R722:R723" si="6001">SUM(AJ722+BB722)</f>
        <v>19.293556480000003</v>
      </c>
      <c r="S722" s="97"/>
      <c r="T722" s="97">
        <f t="shared" ref="T722" si="6002">I722*S722*$T$2/1000</f>
        <v>0</v>
      </c>
      <c r="U722" s="97">
        <v>0.42</v>
      </c>
      <c r="V722" s="97">
        <f t="shared" ref="V722" si="6003">I722*U722*$V$2/1000</f>
        <v>2.6429726400000004</v>
      </c>
      <c r="W722" s="97">
        <v>0.57999999999999996</v>
      </c>
      <c r="X722" s="97">
        <f t="shared" ref="X722" si="6004">I722*W722*$X$2/1000</f>
        <v>3.6503680399999996</v>
      </c>
      <c r="Y722" s="97">
        <f t="shared" ref="Y722" si="6005">SUM(S722+U722+W722)</f>
        <v>1</v>
      </c>
      <c r="Z722" s="97">
        <f t="shared" ref="Z722" si="6006">SUM(T722+V722+X722)</f>
        <v>6.29334068</v>
      </c>
      <c r="AA722" s="97"/>
      <c r="AB722" s="97">
        <f t="shared" ref="AB722" si="6007">K722*AA722*$AB$2/1000</f>
        <v>0</v>
      </c>
      <c r="AC722" s="97">
        <v>1</v>
      </c>
      <c r="AD722" s="97">
        <f t="shared" ref="AD722" si="6008">K722*AC722*$AD$2/1000</f>
        <v>6.4783499000000013</v>
      </c>
      <c r="AE722" s="97">
        <v>1</v>
      </c>
      <c r="AF722" s="97">
        <f t="shared" ref="AF722:AF723" si="6009">K722*AE722*$AF$2/1000</f>
        <v>6.5218659000000008</v>
      </c>
      <c r="AG722" s="97">
        <f t="shared" ref="AG722" si="6010">SUM(AA722+AC722+AE722)</f>
        <v>2</v>
      </c>
      <c r="AH722" s="97">
        <f t="shared" ref="AH722" si="6011">SUM(AB722+AD722+AF722)</f>
        <v>13.000215800000003</v>
      </c>
      <c r="AI722" s="97">
        <f t="shared" ref="AI722:AI723" si="6012">SUM(Y722+AG722)</f>
        <v>3</v>
      </c>
      <c r="AJ722" s="97">
        <f t="shared" ref="AJ722:AJ723" si="6013">SUM(Z722,AH722)</f>
        <v>19.293556480000003</v>
      </c>
      <c r="AK722" s="97"/>
      <c r="AL722" s="97">
        <f t="shared" ref="AL722:AL723" si="6014">M722*AK722*$AL$2/1000</f>
        <v>0</v>
      </c>
      <c r="AM722" s="97"/>
      <c r="AN722" s="97">
        <f t="shared" ref="AN722:AN723" si="6015">M722*AM722*$AN$2/1000</f>
        <v>0</v>
      </c>
      <c r="AO722" s="97"/>
      <c r="AP722" s="97">
        <f t="shared" ref="AP722:AP723" si="6016">M722*AO722*$AP$2/1000</f>
        <v>0</v>
      </c>
      <c r="AQ722" s="97">
        <f t="shared" ref="AQ722" si="6017">SUM(AK722+AM722+AO722)</f>
        <v>0</v>
      </c>
      <c r="AR722" s="97">
        <f t="shared" ref="AR722" si="6018">SUM(AL722+AN722+AP722)</f>
        <v>0</v>
      </c>
      <c r="AS722" s="97"/>
      <c r="AT722" s="97">
        <f t="shared" ref="AT722:AT723" si="6019">O722*AS722*$AT$2/1000</f>
        <v>0</v>
      </c>
      <c r="AU722" s="97"/>
      <c r="AV722" s="97">
        <f t="shared" ref="AV722:AV723" si="6020">O722*AU722*$AV$2/1000</f>
        <v>0</v>
      </c>
      <c r="AW722" s="97"/>
      <c r="AX722" s="97">
        <f t="shared" ref="AX722:AX723" si="6021">O722*AW722*$AX$2/1000</f>
        <v>0</v>
      </c>
      <c r="AY722" s="97">
        <f t="shared" ref="AY722" si="6022">SUM(AS722+AU722+AW722)</f>
        <v>0</v>
      </c>
      <c r="AZ722" s="97">
        <f t="shared" ref="AZ722" si="6023">SUM(AT722+AV722+AX722)</f>
        <v>0</v>
      </c>
      <c r="BA722" s="97">
        <f t="shared" ref="BA722:BA723" si="6024">SUM(AQ722+AY722)</f>
        <v>0</v>
      </c>
      <c r="BB722" s="97">
        <f t="shared" ref="BB722:BB723" si="6025">SUM(AR722,AZ722)</f>
        <v>0</v>
      </c>
    </row>
    <row r="723" spans="1:54">
      <c r="B723" s="13"/>
      <c r="C723" s="13"/>
      <c r="D723" s="13"/>
      <c r="E723" s="21" t="s">
        <v>1203</v>
      </c>
      <c r="F723" s="22"/>
      <c r="G723" s="22" t="s">
        <v>1201</v>
      </c>
      <c r="H723" s="268" t="s">
        <v>364</v>
      </c>
      <c r="I723" s="55">
        <v>4.7300000000000004</v>
      </c>
      <c r="J723" s="102"/>
      <c r="K723" s="55">
        <v>4.7300000000000004</v>
      </c>
      <c r="L723" s="102"/>
      <c r="M723" s="55">
        <v>4.76</v>
      </c>
      <c r="N723" s="163"/>
      <c r="O723" s="55">
        <v>4.76</v>
      </c>
      <c r="P723" s="102"/>
      <c r="Q723" s="97">
        <f t="shared" si="6000"/>
        <v>3.15</v>
      </c>
      <c r="R723" s="342">
        <f t="shared" si="6001"/>
        <v>20.417186999999998</v>
      </c>
      <c r="S723" s="97"/>
      <c r="T723" s="97">
        <f>I723*S723*$T$2/1000</f>
        <v>0</v>
      </c>
      <c r="U723" s="97"/>
      <c r="V723" s="177">
        <f>I723*U723*$V$2/1000</f>
        <v>0</v>
      </c>
      <c r="W723" s="207"/>
      <c r="X723" s="206">
        <f>I723*W723*$X$2/1000</f>
        <v>0</v>
      </c>
      <c r="Y723" s="189">
        <f t="shared" ref="Y723" si="6026">SUM(S723+U723+W723)</f>
        <v>0</v>
      </c>
      <c r="Z723" s="177">
        <f t="shared" ref="Z723" si="6027">SUM(T723+V723+X723)</f>
        <v>0</v>
      </c>
      <c r="AA723" s="207"/>
      <c r="AB723" s="206">
        <f>K723*AA723*$AB$2/1000</f>
        <v>0</v>
      </c>
      <c r="AC723" s="207"/>
      <c r="AD723" s="177">
        <f>K723*AC723*$AD$2/1000</f>
        <v>0</v>
      </c>
      <c r="AE723" s="207"/>
      <c r="AF723" s="206">
        <f t="shared" si="6009"/>
        <v>0</v>
      </c>
      <c r="AG723" s="189">
        <f t="shared" ref="AG723" si="6028">SUM(AA723+AC723+AE723)</f>
        <v>0</v>
      </c>
      <c r="AH723" s="97">
        <f t="shared" ref="AH723" si="6029">SUM(AB723+AD723+AF723)</f>
        <v>0</v>
      </c>
      <c r="AI723" s="97">
        <f t="shared" si="6012"/>
        <v>0</v>
      </c>
      <c r="AJ723" s="177">
        <f t="shared" si="6013"/>
        <v>0</v>
      </c>
      <c r="AK723" s="207"/>
      <c r="AL723" s="177">
        <f t="shared" si="6014"/>
        <v>0</v>
      </c>
      <c r="AM723" s="245">
        <v>1.1499999999999999</v>
      </c>
      <c r="AN723" s="177">
        <f t="shared" si="6015"/>
        <v>7.4506613999999978</v>
      </c>
      <c r="AO723" s="207">
        <v>1</v>
      </c>
      <c r="AP723" s="206">
        <f t="shared" si="6016"/>
        <v>6.3421764000000005</v>
      </c>
      <c r="AQ723" s="189">
        <f>SUM(AK723+AM723+AO723)</f>
        <v>2.15</v>
      </c>
      <c r="AR723" s="97">
        <f t="shared" ref="AR723" si="6030">SUM(AL723+AN723+AP723)</f>
        <v>13.792837799999997</v>
      </c>
      <c r="AS723" s="97"/>
      <c r="AT723" s="177">
        <f t="shared" si="6019"/>
        <v>0</v>
      </c>
      <c r="AU723" s="207">
        <v>1</v>
      </c>
      <c r="AV723" s="177">
        <f t="shared" si="6020"/>
        <v>6.6243491999999993</v>
      </c>
      <c r="AW723" s="207"/>
      <c r="AX723" s="206">
        <f t="shared" si="6021"/>
        <v>0</v>
      </c>
      <c r="AY723" s="189">
        <f>SUM(AS723+AU723+AW723)</f>
        <v>1</v>
      </c>
      <c r="AZ723" s="97">
        <f t="shared" ref="AZ723" si="6031">SUM(AT723+AV723+AX723)</f>
        <v>6.6243491999999993</v>
      </c>
      <c r="BA723" s="97">
        <f t="shared" si="6024"/>
        <v>3.15</v>
      </c>
      <c r="BB723" s="97">
        <f t="shared" si="6025"/>
        <v>20.417186999999998</v>
      </c>
    </row>
    <row r="724" spans="1:54">
      <c r="A724" s="498">
        <v>512</v>
      </c>
      <c r="B724" s="13"/>
      <c r="C724" s="13"/>
      <c r="D724" s="13"/>
      <c r="E724" s="21" t="s">
        <v>854</v>
      </c>
      <c r="F724" s="46"/>
      <c r="G724" s="46" t="s">
        <v>1105</v>
      </c>
      <c r="H724" s="268" t="s">
        <v>364</v>
      </c>
      <c r="I724" s="55">
        <v>4.66</v>
      </c>
      <c r="J724" s="163"/>
      <c r="K724" s="55">
        <v>4.66</v>
      </c>
      <c r="L724" s="163"/>
      <c r="M724" s="55">
        <v>4.66</v>
      </c>
      <c r="N724" s="163"/>
      <c r="O724" s="55">
        <v>4.66</v>
      </c>
      <c r="P724" s="163"/>
      <c r="Q724" s="97">
        <f t="shared" ref="Q724:Q735" si="6032">SUM(AI724+BA724)</f>
        <v>4</v>
      </c>
      <c r="R724" s="342">
        <f t="shared" ref="R724:R735" si="6033">SUM(AJ724+BB724)</f>
        <v>25.335842160000002</v>
      </c>
      <c r="S724" s="97"/>
      <c r="T724" s="97">
        <f t="shared" si="5997"/>
        <v>0</v>
      </c>
      <c r="U724" s="97">
        <v>0.42</v>
      </c>
      <c r="V724" s="97">
        <f t="shared" ref="V724:V728" si="6034">I724*U724*$V$2/1000</f>
        <v>2.6038588800000002</v>
      </c>
      <c r="W724" s="97">
        <v>0.57999999999999996</v>
      </c>
      <c r="X724" s="97">
        <f t="shared" ref="X724:X728" si="6035">I724*W724*$X$2/1000</f>
        <v>3.5963456799999993</v>
      </c>
      <c r="Y724" s="97">
        <f t="shared" ref="Y724:Y728" si="6036">SUM(S724+U724+W724)</f>
        <v>1</v>
      </c>
      <c r="Z724" s="97">
        <f t="shared" ref="Z724:Z728" si="6037">SUM(T724+V724+X724)</f>
        <v>6.2002045599999995</v>
      </c>
      <c r="AA724" s="97"/>
      <c r="AB724" s="97">
        <f t="shared" ref="AB724:AB728" si="6038">K724*AA724*$AB$2/1000</f>
        <v>0</v>
      </c>
      <c r="AC724" s="97">
        <v>1</v>
      </c>
      <c r="AD724" s="97">
        <f t="shared" ref="AD724:AD728" si="6039">K724*AC724*$AD$2/1000</f>
        <v>6.3824758000000008</v>
      </c>
      <c r="AE724" s="97">
        <v>1</v>
      </c>
      <c r="AF724" s="97">
        <f t="shared" si="5998"/>
        <v>6.4253477999999999</v>
      </c>
      <c r="AG724" s="97">
        <f t="shared" ref="AG724:AG728" si="6040">SUM(AA724+AC724+AE724)</f>
        <v>2</v>
      </c>
      <c r="AH724" s="97">
        <f t="shared" ref="AH724:AH728" si="6041">SUM(AB724+AD724+AF724)</f>
        <v>12.807823600000001</v>
      </c>
      <c r="AI724" s="97">
        <f t="shared" ref="AI724:AI735" si="6042">SUM(Y724+AG724)</f>
        <v>3</v>
      </c>
      <c r="AJ724" s="97">
        <f t="shared" ref="AJ724:AJ735" si="6043">SUM(Z724,AH724)</f>
        <v>19.008028160000002</v>
      </c>
      <c r="AK724" s="97"/>
      <c r="AL724" s="97">
        <f t="shared" ref="AL724:AL728" si="6044">M724*AK724*$AL$2/1000</f>
        <v>0</v>
      </c>
      <c r="AM724" s="97"/>
      <c r="AN724" s="97">
        <f>M724*AM724*$AN$2/1000</f>
        <v>0</v>
      </c>
      <c r="AO724" s="97"/>
      <c r="AP724" s="97">
        <f t="shared" ref="AP724:AP728" si="6045">M724*AO724*$AP$2/1000</f>
        <v>0</v>
      </c>
      <c r="AQ724" s="97">
        <f t="shared" ref="AQ724:AQ728" si="6046">SUM(AK724+AM724+AO724)</f>
        <v>0</v>
      </c>
      <c r="AR724" s="97">
        <f t="shared" ref="AR724:AR728" si="6047">SUM(AL724+AN724+AP724)</f>
        <v>0</v>
      </c>
      <c r="AS724" s="97">
        <v>1</v>
      </c>
      <c r="AT724" s="97">
        <f t="shared" ref="AT724:AT728" si="6048">O724*AS724*$AT$2/1000</f>
        <v>6.327814</v>
      </c>
      <c r="AU724" s="97"/>
      <c r="AV724" s="97">
        <f t="shared" ref="AV724:AV728" si="6049">O724*AU724*$AV$2/1000</f>
        <v>0</v>
      </c>
      <c r="AW724" s="97"/>
      <c r="AX724" s="97">
        <f t="shared" ref="AX724:AX728" si="6050">O724*AW724*$AX$2/1000</f>
        <v>0</v>
      </c>
      <c r="AY724" s="97">
        <f t="shared" ref="AY724:AY728" si="6051">SUM(AS724+AU724+AW724)</f>
        <v>1</v>
      </c>
      <c r="AZ724" s="97">
        <f t="shared" ref="AZ724:AZ728" si="6052">SUM(AT724+AV724+AX724)</f>
        <v>6.327814</v>
      </c>
      <c r="BA724" s="97">
        <f t="shared" ref="BA724:BA735" si="6053">SUM(AQ724+AY724)</f>
        <v>1</v>
      </c>
      <c r="BB724" s="97">
        <f t="shared" ref="BB724:BB735" si="6054">SUM(AR724,AZ724)</f>
        <v>6.327814</v>
      </c>
    </row>
    <row r="725" spans="1:54">
      <c r="A725" s="498">
        <v>513</v>
      </c>
      <c r="B725" s="13"/>
      <c r="C725" s="13"/>
      <c r="D725" s="13"/>
      <c r="E725" s="63" t="s">
        <v>855</v>
      </c>
      <c r="F725" s="425"/>
      <c r="G725" s="46" t="s">
        <v>1105</v>
      </c>
      <c r="H725" s="268" t="s">
        <v>364</v>
      </c>
      <c r="I725" s="67">
        <v>2.2599999999999998</v>
      </c>
      <c r="J725" s="166"/>
      <c r="K725" s="67">
        <v>2.2599999999999998</v>
      </c>
      <c r="L725" s="166"/>
      <c r="M725" s="67">
        <v>2.2599999999999998</v>
      </c>
      <c r="N725" s="166"/>
      <c r="O725" s="67">
        <v>2.2599999999999998</v>
      </c>
      <c r="P725" s="166"/>
      <c r="Q725" s="129">
        <f t="shared" si="6032"/>
        <v>4</v>
      </c>
      <c r="R725" s="350">
        <f t="shared" si="6033"/>
        <v>12.287339759999998</v>
      </c>
      <c r="S725" s="129"/>
      <c r="T725" s="129">
        <f>I725*S725*$T$2/1000</f>
        <v>0</v>
      </c>
      <c r="U725" s="129">
        <v>0.42</v>
      </c>
      <c r="V725" s="129">
        <f t="shared" si="6034"/>
        <v>1.2628156799999999</v>
      </c>
      <c r="W725" s="129">
        <v>0.57999999999999996</v>
      </c>
      <c r="X725" s="129">
        <f t="shared" si="6035"/>
        <v>1.7441504799999996</v>
      </c>
      <c r="Y725" s="129">
        <f t="shared" si="6036"/>
        <v>1</v>
      </c>
      <c r="Z725" s="129">
        <f t="shared" si="6037"/>
        <v>3.0069661599999993</v>
      </c>
      <c r="AA725" s="129"/>
      <c r="AB725" s="129">
        <f t="shared" si="6038"/>
        <v>0</v>
      </c>
      <c r="AC725" s="129">
        <v>1</v>
      </c>
      <c r="AD725" s="129">
        <f t="shared" si="6039"/>
        <v>3.0953637999999999</v>
      </c>
      <c r="AE725" s="129">
        <v>1</v>
      </c>
      <c r="AF725" s="129">
        <f t="shared" si="5998"/>
        <v>3.1161557999999996</v>
      </c>
      <c r="AG725" s="129">
        <f t="shared" si="6040"/>
        <v>2</v>
      </c>
      <c r="AH725" s="129">
        <f t="shared" si="6041"/>
        <v>6.211519599999999</v>
      </c>
      <c r="AI725" s="129">
        <f t="shared" si="6042"/>
        <v>3</v>
      </c>
      <c r="AJ725" s="129">
        <f t="shared" si="6043"/>
        <v>9.2184857599999983</v>
      </c>
      <c r="AK725" s="129"/>
      <c r="AL725" s="129">
        <f t="shared" si="6044"/>
        <v>0</v>
      </c>
      <c r="AM725" s="129"/>
      <c r="AN725" s="129">
        <f>M725*AM725*$AN$2/1000</f>
        <v>0</v>
      </c>
      <c r="AO725" s="129"/>
      <c r="AP725" s="129">
        <f t="shared" si="6045"/>
        <v>0</v>
      </c>
      <c r="AQ725" s="129">
        <f t="shared" si="6046"/>
        <v>0</v>
      </c>
      <c r="AR725" s="129">
        <f t="shared" si="6047"/>
        <v>0</v>
      </c>
      <c r="AS725" s="129">
        <v>1</v>
      </c>
      <c r="AT725" s="129">
        <f t="shared" si="6048"/>
        <v>3.068854</v>
      </c>
      <c r="AU725" s="129"/>
      <c r="AV725" s="129">
        <f t="shared" si="6049"/>
        <v>0</v>
      </c>
      <c r="AW725" s="129"/>
      <c r="AX725" s="129">
        <f t="shared" si="6050"/>
        <v>0</v>
      </c>
      <c r="AY725" s="129">
        <f t="shared" si="6051"/>
        <v>1</v>
      </c>
      <c r="AZ725" s="129">
        <f t="shared" si="6052"/>
        <v>3.068854</v>
      </c>
      <c r="BA725" s="129">
        <f t="shared" si="6053"/>
        <v>1</v>
      </c>
      <c r="BB725" s="129">
        <f t="shared" si="6054"/>
        <v>3.068854</v>
      </c>
    </row>
    <row r="726" spans="1:54">
      <c r="A726" s="498">
        <v>503</v>
      </c>
      <c r="B726" s="13"/>
      <c r="C726" s="13"/>
      <c r="D726" s="13"/>
      <c r="E726" s="21" t="s">
        <v>1331</v>
      </c>
      <c r="F726" s="46"/>
      <c r="G726" s="430" t="s">
        <v>1102</v>
      </c>
      <c r="H726" s="287" t="s">
        <v>365</v>
      </c>
      <c r="I726" s="55">
        <v>5.76</v>
      </c>
      <c r="J726" s="163"/>
      <c r="K726" s="55">
        <v>5.76</v>
      </c>
      <c r="L726" s="163"/>
      <c r="M726" s="55">
        <v>5.76</v>
      </c>
      <c r="N726" s="163"/>
      <c r="O726" s="55">
        <v>5.76</v>
      </c>
      <c r="P726" s="163"/>
      <c r="Q726" s="97">
        <f t="shared" si="6032"/>
        <v>0</v>
      </c>
      <c r="R726" s="342">
        <f t="shared" si="6033"/>
        <v>0</v>
      </c>
      <c r="S726" s="97"/>
      <c r="T726" s="97">
        <f t="shared" ref="T726" si="6055">I726*S726*$T$2/1000</f>
        <v>0</v>
      </c>
      <c r="U726" s="97"/>
      <c r="V726" s="97">
        <f t="shared" si="6034"/>
        <v>0</v>
      </c>
      <c r="W726" s="97"/>
      <c r="X726" s="97">
        <f t="shared" si="6035"/>
        <v>0</v>
      </c>
      <c r="Y726" s="97">
        <f t="shared" si="6036"/>
        <v>0</v>
      </c>
      <c r="Z726" s="97">
        <f t="shared" si="6037"/>
        <v>0</v>
      </c>
      <c r="AA726" s="97"/>
      <c r="AB726" s="97">
        <f t="shared" si="6038"/>
        <v>0</v>
      </c>
      <c r="AC726" s="97"/>
      <c r="AD726" s="97">
        <f t="shared" si="6039"/>
        <v>0</v>
      </c>
      <c r="AE726" s="97"/>
      <c r="AF726" s="97">
        <f t="shared" si="5998"/>
        <v>0</v>
      </c>
      <c r="AG726" s="97">
        <f t="shared" si="6040"/>
        <v>0</v>
      </c>
      <c r="AH726" s="97">
        <f t="shared" si="6041"/>
        <v>0</v>
      </c>
      <c r="AI726" s="97">
        <f t="shared" si="6042"/>
        <v>0</v>
      </c>
      <c r="AJ726" s="97">
        <f t="shared" si="6043"/>
        <v>0</v>
      </c>
      <c r="AK726" s="97"/>
      <c r="AL726" s="97">
        <f t="shared" si="6044"/>
        <v>0</v>
      </c>
      <c r="AM726" s="97"/>
      <c r="AN726" s="97">
        <f>M726*AM726*$AN$2/1000</f>
        <v>0</v>
      </c>
      <c r="AO726" s="97"/>
      <c r="AP726" s="97">
        <f t="shared" si="6045"/>
        <v>0</v>
      </c>
      <c r="AQ726" s="97">
        <f t="shared" si="6046"/>
        <v>0</v>
      </c>
      <c r="AR726" s="97">
        <f t="shared" si="6047"/>
        <v>0</v>
      </c>
      <c r="AS726" s="97"/>
      <c r="AT726" s="97">
        <f t="shared" si="6048"/>
        <v>0</v>
      </c>
      <c r="AU726" s="97"/>
      <c r="AV726" s="97">
        <f t="shared" si="6049"/>
        <v>0</v>
      </c>
      <c r="AW726" s="97"/>
      <c r="AX726" s="97">
        <f t="shared" si="6050"/>
        <v>0</v>
      </c>
      <c r="AY726" s="97">
        <f t="shared" si="6051"/>
        <v>0</v>
      </c>
      <c r="AZ726" s="97">
        <f t="shared" si="6052"/>
        <v>0</v>
      </c>
      <c r="BA726" s="97">
        <f t="shared" si="6053"/>
        <v>0</v>
      </c>
      <c r="BB726" s="97">
        <f t="shared" si="6054"/>
        <v>0</v>
      </c>
    </row>
    <row r="727" spans="1:54">
      <c r="A727" s="498">
        <v>503</v>
      </c>
      <c r="B727" s="13"/>
      <c r="C727" s="13"/>
      <c r="D727" s="13"/>
      <c r="E727" s="21" t="s">
        <v>1332</v>
      </c>
      <c r="F727" s="46"/>
      <c r="G727" s="46" t="s">
        <v>1102</v>
      </c>
      <c r="H727" s="268" t="s">
        <v>366</v>
      </c>
      <c r="I727" s="55">
        <v>5.76</v>
      </c>
      <c r="J727" s="163"/>
      <c r="K727" s="55">
        <v>5.76</v>
      </c>
      <c r="L727" s="163"/>
      <c r="M727" s="55">
        <v>5.76</v>
      </c>
      <c r="N727" s="163"/>
      <c r="O727" s="55">
        <v>5.76</v>
      </c>
      <c r="P727" s="163"/>
      <c r="Q727" s="97">
        <f t="shared" ref="Q727" si="6056">SUM(AI727+BA727)</f>
        <v>1.79</v>
      </c>
      <c r="R727" s="342">
        <f t="shared" ref="R727" si="6057">SUM(AJ727+BB727)</f>
        <v>13.677901056</v>
      </c>
      <c r="S727" s="97">
        <v>0.98499999999999999</v>
      </c>
      <c r="T727" s="97">
        <f t="shared" ref="T727" si="6058">I727*S727*$T$2/1000</f>
        <v>7.499875104</v>
      </c>
      <c r="U727" s="97"/>
      <c r="V727" s="97">
        <f t="shared" ref="V727" si="6059">I727*U727*$V$2/1000</f>
        <v>0</v>
      </c>
      <c r="W727" s="97"/>
      <c r="X727" s="97">
        <f t="shared" ref="X727" si="6060">I727*W727*$X$2/1000</f>
        <v>0</v>
      </c>
      <c r="Y727" s="97">
        <f t="shared" ref="Y727" si="6061">SUM(S727+U727+W727)</f>
        <v>0.98499999999999999</v>
      </c>
      <c r="Z727" s="97">
        <f t="shared" ref="Z727" si="6062">SUM(T727+V727+X727)</f>
        <v>7.499875104</v>
      </c>
      <c r="AA727" s="97"/>
      <c r="AB727" s="97">
        <f t="shared" ref="AB727" si="6063">K727*AA727*$AB$2/1000</f>
        <v>0</v>
      </c>
      <c r="AC727" s="97"/>
      <c r="AD727" s="97">
        <f t="shared" ref="AD727" si="6064">K727*AC727*$AD$2/1000</f>
        <v>0</v>
      </c>
      <c r="AE727" s="97"/>
      <c r="AF727" s="97">
        <f t="shared" ref="AF727" si="6065">K727*AE727*$AF$2/1000</f>
        <v>0</v>
      </c>
      <c r="AG727" s="97">
        <f t="shared" ref="AG727" si="6066">SUM(AA727+AC727+AE727)</f>
        <v>0</v>
      </c>
      <c r="AH727" s="97">
        <f t="shared" ref="AH727" si="6067">SUM(AB727+AD727+AF727)</f>
        <v>0</v>
      </c>
      <c r="AI727" s="97">
        <f t="shared" ref="AI727" si="6068">SUM(Y727+AG727)</f>
        <v>0.98499999999999999</v>
      </c>
      <c r="AJ727" s="97">
        <f t="shared" ref="AJ727" si="6069">SUM(Z727,AH727)</f>
        <v>7.499875104</v>
      </c>
      <c r="AK727" s="97"/>
      <c r="AL727" s="97">
        <f t="shared" ref="AL727" si="6070">M727*AK727*$AL$2/1000</f>
        <v>0</v>
      </c>
      <c r="AM727" s="97"/>
      <c r="AN727" s="97">
        <f>M727*AM727*$AN$2/1000</f>
        <v>0</v>
      </c>
      <c r="AO727" s="97">
        <v>0.80500000000000005</v>
      </c>
      <c r="AP727" s="97">
        <f t="shared" ref="AP727" si="6071">M727*AO727*$AP$2/1000</f>
        <v>6.1780259520000005</v>
      </c>
      <c r="AQ727" s="97">
        <f t="shared" ref="AQ727" si="6072">SUM(AK727+AM727+AO727)</f>
        <v>0.80500000000000005</v>
      </c>
      <c r="AR727" s="97">
        <f t="shared" ref="AR727" si="6073">SUM(AL727+AN727+AP727)</f>
        <v>6.1780259520000005</v>
      </c>
      <c r="AS727" s="97"/>
      <c r="AT727" s="97">
        <f t="shared" ref="AT727" si="6074">O727*AS727*$AT$2/1000</f>
        <v>0</v>
      </c>
      <c r="AU727" s="97"/>
      <c r="AV727" s="97">
        <f t="shared" ref="AV727" si="6075">O727*AU727*$AV$2/1000</f>
        <v>0</v>
      </c>
      <c r="AW727" s="97"/>
      <c r="AX727" s="97">
        <f t="shared" ref="AX727" si="6076">O727*AW727*$AX$2/1000</f>
        <v>0</v>
      </c>
      <c r="AY727" s="97">
        <f t="shared" ref="AY727" si="6077">SUM(AS727+AU727+AW727)</f>
        <v>0</v>
      </c>
      <c r="AZ727" s="97">
        <f t="shared" ref="AZ727" si="6078">SUM(AT727+AV727+AX727)</f>
        <v>0</v>
      </c>
      <c r="BA727" s="97">
        <f t="shared" ref="BA727" si="6079">SUM(AQ727+AY727)</f>
        <v>0.80500000000000005</v>
      </c>
      <c r="BB727" s="97">
        <f t="shared" ref="BB727" si="6080">SUM(AR727,AZ727)</f>
        <v>6.1780259520000005</v>
      </c>
    </row>
    <row r="728" spans="1:54">
      <c r="A728" s="498">
        <v>503</v>
      </c>
      <c r="B728" s="13"/>
      <c r="C728" s="13"/>
      <c r="D728" s="13"/>
      <c r="E728" s="21" t="s">
        <v>1653</v>
      </c>
      <c r="F728" s="46"/>
      <c r="G728" s="46" t="s">
        <v>1102</v>
      </c>
      <c r="H728" s="268" t="s">
        <v>366</v>
      </c>
      <c r="I728" s="55">
        <v>4.71</v>
      </c>
      <c r="J728" s="163"/>
      <c r="K728" s="55">
        <v>4.71</v>
      </c>
      <c r="L728" s="163"/>
      <c r="M728" s="55">
        <v>4.71</v>
      </c>
      <c r="N728" s="163"/>
      <c r="O728" s="55">
        <v>4.71</v>
      </c>
      <c r="P728" s="163"/>
      <c r="Q728" s="97">
        <f t="shared" si="6032"/>
        <v>1</v>
      </c>
      <c r="R728" s="342">
        <f t="shared" si="6033"/>
        <v>6.2261019000000006</v>
      </c>
      <c r="S728" s="97">
        <v>1</v>
      </c>
      <c r="T728" s="97">
        <f t="shared" ref="T728" si="6081">I728*S728*$T$2/1000</f>
        <v>6.2261019000000006</v>
      </c>
      <c r="U728" s="97"/>
      <c r="V728" s="97">
        <f t="shared" si="6034"/>
        <v>0</v>
      </c>
      <c r="W728" s="97"/>
      <c r="X728" s="97">
        <f t="shared" si="6035"/>
        <v>0</v>
      </c>
      <c r="Y728" s="97">
        <f t="shared" si="6036"/>
        <v>1</v>
      </c>
      <c r="Z728" s="97">
        <f t="shared" si="6037"/>
        <v>6.2261019000000006</v>
      </c>
      <c r="AA728" s="97"/>
      <c r="AB728" s="97">
        <f t="shared" si="6038"/>
        <v>0</v>
      </c>
      <c r="AC728" s="97"/>
      <c r="AD728" s="97">
        <f t="shared" si="6039"/>
        <v>0</v>
      </c>
      <c r="AE728" s="97"/>
      <c r="AF728" s="97">
        <f t="shared" si="5998"/>
        <v>0</v>
      </c>
      <c r="AG728" s="97">
        <f t="shared" si="6040"/>
        <v>0</v>
      </c>
      <c r="AH728" s="97">
        <f t="shared" si="6041"/>
        <v>0</v>
      </c>
      <c r="AI728" s="97">
        <f t="shared" si="6042"/>
        <v>1</v>
      </c>
      <c r="AJ728" s="97">
        <f t="shared" si="6043"/>
        <v>6.2261019000000006</v>
      </c>
      <c r="AK728" s="97"/>
      <c r="AL728" s="97">
        <f t="shared" si="6044"/>
        <v>0</v>
      </c>
      <c r="AM728" s="97"/>
      <c r="AN728" s="97">
        <f>M728*AM728*$AN$2/1000</f>
        <v>0</v>
      </c>
      <c r="AO728" s="97"/>
      <c r="AP728" s="97">
        <f t="shared" si="6045"/>
        <v>0</v>
      </c>
      <c r="AQ728" s="97">
        <f t="shared" si="6046"/>
        <v>0</v>
      </c>
      <c r="AR728" s="97">
        <f t="shared" si="6047"/>
        <v>0</v>
      </c>
      <c r="AS728" s="97"/>
      <c r="AT728" s="97">
        <f t="shared" si="6048"/>
        <v>0</v>
      </c>
      <c r="AU728" s="97"/>
      <c r="AV728" s="97">
        <f t="shared" si="6049"/>
        <v>0</v>
      </c>
      <c r="AW728" s="97"/>
      <c r="AX728" s="97">
        <f t="shared" si="6050"/>
        <v>0</v>
      </c>
      <c r="AY728" s="97">
        <f t="shared" si="6051"/>
        <v>0</v>
      </c>
      <c r="AZ728" s="97">
        <f t="shared" si="6052"/>
        <v>0</v>
      </c>
      <c r="BA728" s="97">
        <f t="shared" si="6053"/>
        <v>0</v>
      </c>
      <c r="BB728" s="97">
        <f t="shared" si="6054"/>
        <v>0</v>
      </c>
    </row>
    <row r="729" spans="1:54">
      <c r="A729" s="498">
        <v>514</v>
      </c>
      <c r="B729" s="13"/>
      <c r="C729" s="13"/>
      <c r="D729" s="13"/>
      <c r="E729" s="21" t="s">
        <v>1135</v>
      </c>
      <c r="F729" s="46"/>
      <c r="G729" s="425" t="s">
        <v>1105</v>
      </c>
      <c r="H729" s="284" t="s">
        <v>364</v>
      </c>
      <c r="I729" s="55"/>
      <c r="J729" s="163">
        <v>8711</v>
      </c>
      <c r="K729" s="55"/>
      <c r="L729" s="163">
        <v>8711</v>
      </c>
      <c r="M729" s="55"/>
      <c r="N729" s="163">
        <v>8711</v>
      </c>
      <c r="O729" s="55"/>
      <c r="P729" s="163">
        <v>8729</v>
      </c>
      <c r="Q729" s="97">
        <f t="shared" si="6032"/>
        <v>0.34799999999999998</v>
      </c>
      <c r="R729" s="342">
        <f t="shared" si="6033"/>
        <v>3.03321</v>
      </c>
      <c r="S729" s="97">
        <v>3.5000000000000003E-2</v>
      </c>
      <c r="T729" s="97">
        <f t="shared" ref="T729:T730" si="6082">J729*S729/1000</f>
        <v>0.30488500000000007</v>
      </c>
      <c r="U729" s="97">
        <v>0.04</v>
      </c>
      <c r="V729" s="97">
        <f t="shared" ref="V729:V730" si="6083">J729*U729/1000</f>
        <v>0.34843999999999997</v>
      </c>
      <c r="W729" s="97">
        <v>6.0000000000000001E-3</v>
      </c>
      <c r="X729" s="97">
        <f t="shared" ref="X729:X730" si="6084">J729*W729/1000</f>
        <v>5.2266E-2</v>
      </c>
      <c r="Y729" s="97">
        <f t="shared" ref="Y729" si="6085">SUM(S729+U729+W729)</f>
        <v>8.1000000000000016E-2</v>
      </c>
      <c r="Z729" s="97">
        <f t="shared" ref="Z729:Z730" si="6086">SUM(T729+V729+X729)</f>
        <v>0.70559100000000008</v>
      </c>
      <c r="AA729" s="97">
        <v>0.05</v>
      </c>
      <c r="AB729" s="97">
        <f t="shared" ref="AB729:AB730" si="6087">L729*AA729/1000</f>
        <v>0.43554999999999999</v>
      </c>
      <c r="AC729" s="97">
        <v>1.4999999999999999E-2</v>
      </c>
      <c r="AD729" s="97">
        <f t="shared" ref="AD729:AD730" si="6088">L729*AC729/1000</f>
        <v>0.130665</v>
      </c>
      <c r="AE729" s="97">
        <v>2.5000000000000001E-2</v>
      </c>
      <c r="AF729" s="97">
        <f t="shared" ref="AF729:AF730" si="6089">L729*AE729/1000</f>
        <v>0.217775</v>
      </c>
      <c r="AG729" s="97">
        <f>SUM(AA729+AC729+AE729)</f>
        <v>0.09</v>
      </c>
      <c r="AH729" s="97">
        <f>SUM(AB729+AD729+AF729)</f>
        <v>0.78398999999999996</v>
      </c>
      <c r="AI729" s="97">
        <f t="shared" si="6042"/>
        <v>0.17100000000000001</v>
      </c>
      <c r="AJ729" s="97">
        <f t="shared" si="6043"/>
        <v>1.489581</v>
      </c>
      <c r="AK729" s="97"/>
      <c r="AL729" s="97">
        <f t="shared" ref="AL729:AL730" si="6090">N729*AK729/1000</f>
        <v>0</v>
      </c>
      <c r="AM729" s="97">
        <v>3.6999999999999998E-2</v>
      </c>
      <c r="AN729" s="97">
        <f t="shared" ref="AN729:AN730" si="6091">N729*AM729/1000</f>
        <v>0.32230699999999995</v>
      </c>
      <c r="AO729" s="97">
        <v>4.1000000000000002E-2</v>
      </c>
      <c r="AP729" s="97">
        <f t="shared" ref="AP729:AP730" si="6092">N729*AO729/1000</f>
        <v>0.357151</v>
      </c>
      <c r="AQ729" s="97">
        <f>SUM(AK729+AM729+AO729)</f>
        <v>7.8E-2</v>
      </c>
      <c r="AR729" s="97">
        <f>SUM(AL729+AN729+AP729)</f>
        <v>0.6794579999999999</v>
      </c>
      <c r="AS729" s="97">
        <v>0.04</v>
      </c>
      <c r="AT729" s="97">
        <f t="shared" ref="AT729:AT730" si="6093">P729*AS729/1000</f>
        <v>0.34916000000000003</v>
      </c>
      <c r="AU729" s="97">
        <v>3.3000000000000002E-2</v>
      </c>
      <c r="AV729" s="97">
        <f t="shared" ref="AV729:AV730" si="6094">P729*AU729/1000</f>
        <v>0.28805700000000001</v>
      </c>
      <c r="AW729" s="97">
        <v>2.5999999999999999E-2</v>
      </c>
      <c r="AX729" s="97">
        <f t="shared" ref="AX729:AX730" si="6095">P729*AW729/1000</f>
        <v>0.22695399999999999</v>
      </c>
      <c r="AY729" s="97">
        <f>SUM(AS729+AU729+AW729)</f>
        <v>9.9000000000000005E-2</v>
      </c>
      <c r="AZ729" s="97">
        <f>SUM(AT729+AV729+AX729)</f>
        <v>0.86417100000000002</v>
      </c>
      <c r="BA729" s="97">
        <f t="shared" si="6053"/>
        <v>0.17699999999999999</v>
      </c>
      <c r="BB729" s="97">
        <f t="shared" si="6054"/>
        <v>1.5436289999999999</v>
      </c>
    </row>
    <row r="730" spans="1:54">
      <c r="A730" s="498">
        <v>516</v>
      </c>
      <c r="B730" s="13"/>
      <c r="C730" s="13"/>
      <c r="D730" s="13"/>
      <c r="E730" s="63" t="s">
        <v>1535</v>
      </c>
      <c r="F730" s="425"/>
      <c r="G730" s="425" t="s">
        <v>1105</v>
      </c>
      <c r="H730" s="284" t="s">
        <v>364</v>
      </c>
      <c r="I730" s="67"/>
      <c r="J730" s="166">
        <v>8714</v>
      </c>
      <c r="K730" s="67"/>
      <c r="L730" s="166">
        <v>8714</v>
      </c>
      <c r="M730" s="67"/>
      <c r="N730" s="166">
        <v>8714</v>
      </c>
      <c r="O730" s="67"/>
      <c r="P730" s="166">
        <v>8732</v>
      </c>
      <c r="Q730" s="129">
        <f t="shared" ref="Q730" si="6096">SUM(AI730+BA730)</f>
        <v>92.925000000000011</v>
      </c>
      <c r="R730" s="350">
        <f t="shared" ref="R730" si="6097">SUM(AJ730+BB730)</f>
        <v>810.185382</v>
      </c>
      <c r="S730" s="129">
        <v>8.1050000000000004</v>
      </c>
      <c r="T730" s="129">
        <f t="shared" si="6082"/>
        <v>70.62697</v>
      </c>
      <c r="U730" s="129">
        <v>13.882999999999999</v>
      </c>
      <c r="V730" s="129">
        <f t="shared" si="6083"/>
        <v>120.976462</v>
      </c>
      <c r="W730" s="129">
        <v>12.492000000000001</v>
      </c>
      <c r="X730" s="129">
        <f t="shared" si="6084"/>
        <v>108.855288</v>
      </c>
      <c r="Y730" s="129">
        <f t="shared" ref="Y730" si="6098">SUM(S730+U730+W730)</f>
        <v>34.480000000000004</v>
      </c>
      <c r="Z730" s="129">
        <f t="shared" si="6086"/>
        <v>300.45871999999997</v>
      </c>
      <c r="AA730" s="129">
        <v>12.675000000000001</v>
      </c>
      <c r="AB730" s="129">
        <f t="shared" si="6087"/>
        <v>110.44995000000002</v>
      </c>
      <c r="AC730" s="129">
        <v>3.84</v>
      </c>
      <c r="AD730" s="129">
        <f t="shared" si="6088"/>
        <v>33.461760000000005</v>
      </c>
      <c r="AE730" s="129">
        <v>7.55</v>
      </c>
      <c r="AF730" s="129">
        <f t="shared" si="6089"/>
        <v>65.790700000000001</v>
      </c>
      <c r="AG730" s="129">
        <f t="shared" ref="AG730" si="6099">SUM(AA730+AC730+AE730)</f>
        <v>24.065000000000001</v>
      </c>
      <c r="AH730" s="129">
        <f t="shared" ref="AH730" si="6100">SUM(AB730+AD730+AF730)</f>
        <v>209.70241000000004</v>
      </c>
      <c r="AI730" s="129">
        <f t="shared" ref="AI730" si="6101">SUM(Y730+AG730)</f>
        <v>58.545000000000002</v>
      </c>
      <c r="AJ730" s="129">
        <f t="shared" ref="AJ730" si="6102">SUM(Z730,AH730)</f>
        <v>510.16113000000001</v>
      </c>
      <c r="AK730" s="129">
        <v>4.5149999999999997</v>
      </c>
      <c r="AL730" s="129">
        <f t="shared" si="6090"/>
        <v>39.343710000000002</v>
      </c>
      <c r="AM730" s="129">
        <v>4.508</v>
      </c>
      <c r="AN730" s="129">
        <f t="shared" si="6091"/>
        <v>39.282711999999997</v>
      </c>
      <c r="AO730" s="129">
        <v>1.083</v>
      </c>
      <c r="AP730" s="129">
        <f t="shared" si="6092"/>
        <v>9.4372619999999987</v>
      </c>
      <c r="AQ730" s="129">
        <f t="shared" ref="AQ730" si="6103">SUM(AK730+AM730+AO730)</f>
        <v>10.106</v>
      </c>
      <c r="AR730" s="129">
        <f t="shared" ref="AR730" si="6104">SUM(AL730+AN730+AP730)</f>
        <v>88.063683999999995</v>
      </c>
      <c r="AS730" s="129">
        <v>6.62</v>
      </c>
      <c r="AT730" s="129">
        <f t="shared" si="6093"/>
        <v>57.805840000000003</v>
      </c>
      <c r="AU730" s="129">
        <v>8.5350000000000001</v>
      </c>
      <c r="AV730" s="129">
        <f t="shared" si="6094"/>
        <v>74.527619999999999</v>
      </c>
      <c r="AW730" s="129">
        <v>9.1189999999999998</v>
      </c>
      <c r="AX730" s="129">
        <f t="shared" si="6095"/>
        <v>79.627107999999993</v>
      </c>
      <c r="AY730" s="129">
        <f t="shared" ref="AY730" si="6105">SUM(AS730+AU730+AW730)</f>
        <v>24.274000000000001</v>
      </c>
      <c r="AZ730" s="129">
        <f t="shared" ref="AZ730" si="6106">SUM(AT730+AV730+AX730)</f>
        <v>211.96056799999999</v>
      </c>
      <c r="BA730" s="129">
        <f t="shared" ref="BA730" si="6107">SUM(AQ730+AY730)</f>
        <v>34.380000000000003</v>
      </c>
      <c r="BB730" s="129">
        <f t="shared" ref="BB730" si="6108">SUM(AR730,AZ730)</f>
        <v>300.02425199999999</v>
      </c>
    </row>
    <row r="731" spans="1:54">
      <c r="A731" s="498">
        <v>515</v>
      </c>
      <c r="B731" s="13"/>
      <c r="C731" s="13"/>
      <c r="D731" s="13"/>
      <c r="E731" s="21" t="s">
        <v>1131</v>
      </c>
      <c r="F731" s="46"/>
      <c r="G731" s="46" t="s">
        <v>1132</v>
      </c>
      <c r="H731" s="268" t="s">
        <v>364</v>
      </c>
      <c r="I731" s="55"/>
      <c r="J731" s="163">
        <v>8750</v>
      </c>
      <c r="K731" s="55"/>
      <c r="L731" s="163">
        <v>8750</v>
      </c>
      <c r="M731" s="55"/>
      <c r="N731" s="163">
        <v>8750</v>
      </c>
      <c r="O731" s="55"/>
      <c r="P731" s="163">
        <v>8768</v>
      </c>
      <c r="Q731" s="97">
        <f t="shared" si="6032"/>
        <v>1</v>
      </c>
      <c r="R731" s="342">
        <f t="shared" si="6033"/>
        <v>8.75</v>
      </c>
      <c r="S731" s="97"/>
      <c r="T731" s="97">
        <f t="shared" ref="T731:T735" si="6109">J731*S731/1000</f>
        <v>0</v>
      </c>
      <c r="U731" s="97"/>
      <c r="V731" s="97">
        <f t="shared" ref="V731:V735" si="6110">J731*U731/1000</f>
        <v>0</v>
      </c>
      <c r="W731" s="97"/>
      <c r="X731" s="97">
        <f t="shared" ref="X731:X735" si="6111">J731*W731/1000</f>
        <v>0</v>
      </c>
      <c r="Y731" s="97">
        <f t="shared" ref="Y731" si="6112">SUM(S731+U731+W731)</f>
        <v>0</v>
      </c>
      <c r="Z731" s="97">
        <f t="shared" ref="Z731" si="6113">SUM(T731+V731+X731)</f>
        <v>0</v>
      </c>
      <c r="AA731" s="97"/>
      <c r="AB731" s="97">
        <f t="shared" ref="AB731:AB735" si="6114">L731*AA731/1000</f>
        <v>0</v>
      </c>
      <c r="AC731" s="97"/>
      <c r="AD731" s="97">
        <f t="shared" ref="AD731:AD735" si="6115">L731*AC731/1000</f>
        <v>0</v>
      </c>
      <c r="AE731" s="97"/>
      <c r="AF731" s="97">
        <f t="shared" ref="AF731:AF735" si="6116">L731*AE731/1000</f>
        <v>0</v>
      </c>
      <c r="AG731" s="97">
        <f>SUM(AA731+AC731+AE731)</f>
        <v>0</v>
      </c>
      <c r="AH731" s="97">
        <f>SUM(AB731+AD731+AF731)</f>
        <v>0</v>
      </c>
      <c r="AI731" s="97">
        <f t="shared" si="6042"/>
        <v>0</v>
      </c>
      <c r="AJ731" s="97">
        <f t="shared" si="6043"/>
        <v>0</v>
      </c>
      <c r="AK731" s="97">
        <v>1</v>
      </c>
      <c r="AL731" s="97">
        <f t="shared" ref="AL731:AL735" si="6117">N731*AK731/1000</f>
        <v>8.75</v>
      </c>
      <c r="AM731" s="97"/>
      <c r="AN731" s="97">
        <f t="shared" ref="AN731:AN735" si="6118">N731*AM731/1000</f>
        <v>0</v>
      </c>
      <c r="AO731" s="97"/>
      <c r="AP731" s="97">
        <f t="shared" ref="AP731:AP735" si="6119">N731*AO731/1000</f>
        <v>0</v>
      </c>
      <c r="AQ731" s="97">
        <f>SUM(AK731+AM731+AO731)</f>
        <v>1</v>
      </c>
      <c r="AR731" s="97">
        <f>SUM(AL731+AN731+AP731)</f>
        <v>8.75</v>
      </c>
      <c r="AS731" s="97"/>
      <c r="AT731" s="97">
        <f t="shared" ref="AT731:AT735" si="6120">P731*AS731/1000</f>
        <v>0</v>
      </c>
      <c r="AU731" s="97"/>
      <c r="AV731" s="97">
        <f t="shared" ref="AV731:AV735" si="6121">P731*AU731/1000</f>
        <v>0</v>
      </c>
      <c r="AW731" s="97"/>
      <c r="AX731" s="97">
        <f t="shared" ref="AX731:AX735" si="6122">P731*AW731/1000</f>
        <v>0</v>
      </c>
      <c r="AY731" s="97">
        <f>SUM(AS731+AU731+AW731)</f>
        <v>0</v>
      </c>
      <c r="AZ731" s="97">
        <f>SUM(AT731+AV731+AX731)</f>
        <v>0</v>
      </c>
      <c r="BA731" s="97">
        <f t="shared" si="6053"/>
        <v>1</v>
      </c>
      <c r="BB731" s="97">
        <f t="shared" si="6054"/>
        <v>8.75</v>
      </c>
    </row>
    <row r="732" spans="1:54">
      <c r="A732" s="498">
        <v>516</v>
      </c>
      <c r="B732" s="13"/>
      <c r="C732" s="13"/>
      <c r="D732" s="13"/>
      <c r="E732" s="63" t="s">
        <v>1136</v>
      </c>
      <c r="F732" s="425"/>
      <c r="G732" s="425" t="s">
        <v>1105</v>
      </c>
      <c r="H732" s="284" t="s">
        <v>364</v>
      </c>
      <c r="I732" s="67"/>
      <c r="J732" s="166">
        <v>8750</v>
      </c>
      <c r="K732" s="67"/>
      <c r="L732" s="166">
        <v>8750</v>
      </c>
      <c r="M732" s="67"/>
      <c r="N732" s="166">
        <v>8750</v>
      </c>
      <c r="O732" s="67"/>
      <c r="P732" s="166">
        <v>8768</v>
      </c>
      <c r="Q732" s="129">
        <f t="shared" si="6032"/>
        <v>0</v>
      </c>
      <c r="R732" s="350">
        <f t="shared" si="6033"/>
        <v>0</v>
      </c>
      <c r="S732" s="129"/>
      <c r="T732" s="129">
        <f t="shared" si="6109"/>
        <v>0</v>
      </c>
      <c r="U732" s="129"/>
      <c r="V732" s="129">
        <f t="shared" si="6110"/>
        <v>0</v>
      </c>
      <c r="W732" s="129"/>
      <c r="X732" s="129">
        <f t="shared" si="6111"/>
        <v>0</v>
      </c>
      <c r="Y732" s="129">
        <f t="shared" ref="Y732:Y733" si="6123">SUM(S732+U732+W732)</f>
        <v>0</v>
      </c>
      <c r="Z732" s="129">
        <f t="shared" ref="Z732:Z733" si="6124">SUM(T732+V732+X732)</f>
        <v>0</v>
      </c>
      <c r="AA732" s="129"/>
      <c r="AB732" s="129">
        <f t="shared" si="6114"/>
        <v>0</v>
      </c>
      <c r="AC732" s="129"/>
      <c r="AD732" s="129">
        <f t="shared" si="6115"/>
        <v>0</v>
      </c>
      <c r="AE732" s="129"/>
      <c r="AF732" s="129">
        <f t="shared" si="6116"/>
        <v>0</v>
      </c>
      <c r="AG732" s="129">
        <f t="shared" ref="AG732" si="6125">SUM(AA732+AC732+AE732)</f>
        <v>0</v>
      </c>
      <c r="AH732" s="129">
        <f t="shared" ref="AH732" si="6126">SUM(AB732+AD732+AF732)</f>
        <v>0</v>
      </c>
      <c r="AI732" s="129">
        <f t="shared" si="6042"/>
        <v>0</v>
      </c>
      <c r="AJ732" s="129">
        <f t="shared" si="6043"/>
        <v>0</v>
      </c>
      <c r="AK732" s="129"/>
      <c r="AL732" s="129">
        <f t="shared" si="6117"/>
        <v>0</v>
      </c>
      <c r="AM732" s="129"/>
      <c r="AN732" s="129">
        <f t="shared" si="6118"/>
        <v>0</v>
      </c>
      <c r="AO732" s="129"/>
      <c r="AP732" s="129">
        <f t="shared" si="6119"/>
        <v>0</v>
      </c>
      <c r="AQ732" s="129">
        <f t="shared" ref="AQ732:AQ733" si="6127">SUM(AK732+AM732+AO732)</f>
        <v>0</v>
      </c>
      <c r="AR732" s="129">
        <f t="shared" ref="AR732:AR733" si="6128">SUM(AL732+AN732+AP732)</f>
        <v>0</v>
      </c>
      <c r="AS732" s="129"/>
      <c r="AT732" s="129">
        <f t="shared" si="6120"/>
        <v>0</v>
      </c>
      <c r="AU732" s="129"/>
      <c r="AV732" s="129">
        <f t="shared" si="6121"/>
        <v>0</v>
      </c>
      <c r="AW732" s="129"/>
      <c r="AX732" s="129">
        <f t="shared" si="6122"/>
        <v>0</v>
      </c>
      <c r="AY732" s="129">
        <f t="shared" ref="AY732" si="6129">SUM(AS732+AU732+AW732)</f>
        <v>0</v>
      </c>
      <c r="AZ732" s="129">
        <f t="shared" ref="AZ732" si="6130">SUM(AT732+AV732+AX732)</f>
        <v>0</v>
      </c>
      <c r="BA732" s="129">
        <f t="shared" si="6053"/>
        <v>0</v>
      </c>
      <c r="BB732" s="129">
        <f t="shared" si="6054"/>
        <v>0</v>
      </c>
    </row>
    <row r="733" spans="1:54">
      <c r="A733" s="498">
        <v>517</v>
      </c>
      <c r="B733" s="13"/>
      <c r="C733" s="13"/>
      <c r="D733" s="13"/>
      <c r="E733" s="63" t="s">
        <v>1144</v>
      </c>
      <c r="F733" s="425"/>
      <c r="G733" s="425" t="s">
        <v>1105</v>
      </c>
      <c r="H733" s="284" t="s">
        <v>364</v>
      </c>
      <c r="I733" s="67"/>
      <c r="J733" s="166">
        <v>8882</v>
      </c>
      <c r="K733" s="67"/>
      <c r="L733" s="166">
        <v>8882</v>
      </c>
      <c r="M733" s="67"/>
      <c r="N733" s="166">
        <v>8882</v>
      </c>
      <c r="O733" s="67"/>
      <c r="P733" s="166">
        <v>8900</v>
      </c>
      <c r="Q733" s="129">
        <f t="shared" ref="Q733" si="6131">SUM(AI733+BA733)</f>
        <v>0.75600000000000001</v>
      </c>
      <c r="R733" s="350">
        <f t="shared" ref="R733" si="6132">SUM(AJ733+BB733)</f>
        <v>6.7150619999999996</v>
      </c>
      <c r="S733" s="129">
        <v>0.01</v>
      </c>
      <c r="T733" s="129">
        <f t="shared" ref="T733" si="6133">J733*S733/1000</f>
        <v>8.882000000000001E-2</v>
      </c>
      <c r="U733" s="129"/>
      <c r="V733" s="129">
        <f t="shared" ref="V733" si="6134">J733*U733/1000</f>
        <v>0</v>
      </c>
      <c r="W733" s="129"/>
      <c r="X733" s="129">
        <f t="shared" ref="X733" si="6135">J733*W733/1000</f>
        <v>0</v>
      </c>
      <c r="Y733" s="129">
        <f t="shared" si="6123"/>
        <v>0.01</v>
      </c>
      <c r="Z733" s="129">
        <f t="shared" si="6124"/>
        <v>8.882000000000001E-2</v>
      </c>
      <c r="AA733" s="129"/>
      <c r="AB733" s="129">
        <f t="shared" ref="AB733" si="6136">L733*AA733/1000</f>
        <v>0</v>
      </c>
      <c r="AC733" s="129"/>
      <c r="AD733" s="129">
        <f t="shared" ref="AD733" si="6137">L733*AC733/1000</f>
        <v>0</v>
      </c>
      <c r="AE733" s="129"/>
      <c r="AF733" s="129">
        <f t="shared" ref="AF733" si="6138">L733*AE733/1000</f>
        <v>0</v>
      </c>
      <c r="AG733" s="129">
        <f>SUM(AA733+AC733+AE733)</f>
        <v>0</v>
      </c>
      <c r="AH733" s="129">
        <f>SUM(AB733+AD733+AF733)</f>
        <v>0</v>
      </c>
      <c r="AI733" s="129">
        <f t="shared" ref="AI733" si="6139">SUM(Y733+AG733)</f>
        <v>0.01</v>
      </c>
      <c r="AJ733" s="129">
        <f t="shared" ref="AJ733" si="6140">SUM(Z733,AH733)</f>
        <v>8.882000000000001E-2</v>
      </c>
      <c r="AK733" s="129"/>
      <c r="AL733" s="129">
        <f t="shared" ref="AL733" si="6141">N733*AK733/1000</f>
        <v>0</v>
      </c>
      <c r="AM733" s="129">
        <v>0.73099999999999998</v>
      </c>
      <c r="AN733" s="129">
        <f t="shared" ref="AN733" si="6142">N733*AM733/1000</f>
        <v>6.4927419999999998</v>
      </c>
      <c r="AO733" s="129"/>
      <c r="AP733" s="129">
        <f t="shared" ref="AP733" si="6143">N733*AO733/1000</f>
        <v>0</v>
      </c>
      <c r="AQ733" s="129">
        <f t="shared" si="6127"/>
        <v>0.73099999999999998</v>
      </c>
      <c r="AR733" s="129">
        <f t="shared" si="6128"/>
        <v>6.4927419999999998</v>
      </c>
      <c r="AS733" s="129">
        <v>3.0000000000000001E-3</v>
      </c>
      <c r="AT733" s="129">
        <f t="shared" ref="AT733" si="6144">P733*AS733/1000</f>
        <v>2.6699999999999998E-2</v>
      </c>
      <c r="AU733" s="129">
        <v>1.2E-2</v>
      </c>
      <c r="AV733" s="129">
        <f t="shared" ref="AV733" si="6145">P733*AU733/1000</f>
        <v>0.10679999999999999</v>
      </c>
      <c r="AW733" s="129"/>
      <c r="AX733" s="129">
        <f t="shared" ref="AX733" si="6146">P733*AW733/1000</f>
        <v>0</v>
      </c>
      <c r="AY733" s="129">
        <f>SUM(AS733+AU733+AW733)</f>
        <v>1.4999999999999999E-2</v>
      </c>
      <c r="AZ733" s="129">
        <f>SUM(AT733+AV733+AX733)</f>
        <v>0.13349999999999998</v>
      </c>
      <c r="BA733" s="129">
        <f t="shared" ref="BA733" si="6147">SUM(AQ733+AY733)</f>
        <v>0.746</v>
      </c>
      <c r="BB733" s="129">
        <f t="shared" ref="BB733" si="6148">SUM(AR733,AZ733)</f>
        <v>6.6262419999999995</v>
      </c>
    </row>
    <row r="734" spans="1:54">
      <c r="A734" s="498">
        <v>517</v>
      </c>
      <c r="B734" s="13"/>
      <c r="C734" s="13"/>
      <c r="D734" s="13"/>
      <c r="E734" s="63" t="s">
        <v>1525</v>
      </c>
      <c r="F734" s="425"/>
      <c r="G734" s="425" t="s">
        <v>1105</v>
      </c>
      <c r="H734" s="284" t="s">
        <v>364</v>
      </c>
      <c r="I734" s="67"/>
      <c r="J734" s="166">
        <v>8882</v>
      </c>
      <c r="K734" s="67"/>
      <c r="L734" s="166">
        <v>8882</v>
      </c>
      <c r="M734" s="67"/>
      <c r="N734" s="166">
        <v>8882</v>
      </c>
      <c r="O734" s="67"/>
      <c r="P734" s="166">
        <v>8900</v>
      </c>
      <c r="Q734" s="129">
        <f t="shared" si="6032"/>
        <v>0</v>
      </c>
      <c r="R734" s="350">
        <f t="shared" si="6033"/>
        <v>0</v>
      </c>
      <c r="S734" s="129"/>
      <c r="T734" s="129">
        <f t="shared" si="6109"/>
        <v>0</v>
      </c>
      <c r="U734" s="129"/>
      <c r="V734" s="129">
        <f t="shared" si="6110"/>
        <v>0</v>
      </c>
      <c r="W734" s="129"/>
      <c r="X734" s="129">
        <f t="shared" si="6111"/>
        <v>0</v>
      </c>
      <c r="Y734" s="129">
        <f t="shared" ref="Y734" si="6149">SUM(S734+U734+W734)</f>
        <v>0</v>
      </c>
      <c r="Z734" s="129">
        <f t="shared" ref="Z734" si="6150">SUM(T734+V734+X734)</f>
        <v>0</v>
      </c>
      <c r="AA734" s="129"/>
      <c r="AB734" s="129">
        <f t="shared" si="6114"/>
        <v>0</v>
      </c>
      <c r="AC734" s="129"/>
      <c r="AD734" s="129">
        <f t="shared" si="6115"/>
        <v>0</v>
      </c>
      <c r="AE734" s="129"/>
      <c r="AF734" s="129">
        <f t="shared" si="6116"/>
        <v>0</v>
      </c>
      <c r="AG734" s="129">
        <f>SUM(AA734+AC734+AE734)</f>
        <v>0</v>
      </c>
      <c r="AH734" s="129">
        <f>SUM(AB734+AD734+AF734)</f>
        <v>0</v>
      </c>
      <c r="AI734" s="129">
        <f t="shared" si="6042"/>
        <v>0</v>
      </c>
      <c r="AJ734" s="129">
        <f t="shared" si="6043"/>
        <v>0</v>
      </c>
      <c r="AK734" s="129"/>
      <c r="AL734" s="129">
        <f t="shared" si="6117"/>
        <v>0</v>
      </c>
      <c r="AM734" s="129"/>
      <c r="AN734" s="129">
        <f t="shared" si="6118"/>
        <v>0</v>
      </c>
      <c r="AO734" s="129"/>
      <c r="AP734" s="129">
        <f t="shared" si="6119"/>
        <v>0</v>
      </c>
      <c r="AQ734" s="129">
        <f t="shared" ref="AQ734" si="6151">SUM(AK734+AM734+AO734)</f>
        <v>0</v>
      </c>
      <c r="AR734" s="129">
        <f t="shared" ref="AR734" si="6152">SUM(AL734+AN734+AP734)</f>
        <v>0</v>
      </c>
      <c r="AS734" s="129"/>
      <c r="AT734" s="129">
        <f t="shared" si="6120"/>
        <v>0</v>
      </c>
      <c r="AU734" s="129"/>
      <c r="AV734" s="129">
        <f t="shared" si="6121"/>
        <v>0</v>
      </c>
      <c r="AW734" s="129"/>
      <c r="AX734" s="129">
        <f t="shared" si="6122"/>
        <v>0</v>
      </c>
      <c r="AY734" s="129">
        <f>SUM(AS734+AU734+AW734)</f>
        <v>0</v>
      </c>
      <c r="AZ734" s="129">
        <f>SUM(AT734+AV734+AX734)</f>
        <v>0</v>
      </c>
      <c r="BA734" s="129">
        <f t="shared" si="6053"/>
        <v>0</v>
      </c>
      <c r="BB734" s="129">
        <f t="shared" si="6054"/>
        <v>0</v>
      </c>
    </row>
    <row r="735" spans="1:54">
      <c r="B735" s="13"/>
      <c r="C735" s="13"/>
      <c r="D735" s="13"/>
      <c r="E735" s="21" t="s">
        <v>1213</v>
      </c>
      <c r="F735" s="46"/>
      <c r="G735" s="46" t="s">
        <v>1105</v>
      </c>
      <c r="H735" s="268" t="s">
        <v>364</v>
      </c>
      <c r="I735" s="55"/>
      <c r="J735" s="163">
        <v>8750</v>
      </c>
      <c r="K735" s="55"/>
      <c r="L735" s="163">
        <v>8750</v>
      </c>
      <c r="M735" s="55"/>
      <c r="N735" s="163">
        <v>8750</v>
      </c>
      <c r="O735" s="55"/>
      <c r="P735" s="163">
        <v>8768</v>
      </c>
      <c r="Q735" s="97">
        <f t="shared" si="6032"/>
        <v>3.069</v>
      </c>
      <c r="R735" s="342">
        <f t="shared" si="6033"/>
        <v>26.858682000000002</v>
      </c>
      <c r="S735" s="97">
        <v>2.0030000000000001</v>
      </c>
      <c r="T735" s="97">
        <f t="shared" si="6109"/>
        <v>17.526250000000001</v>
      </c>
      <c r="U735" s="97">
        <v>0.501</v>
      </c>
      <c r="V735" s="97">
        <f t="shared" si="6110"/>
        <v>4.38375</v>
      </c>
      <c r="W735" s="97">
        <v>5.8000000000000003E-2</v>
      </c>
      <c r="X735" s="97">
        <f t="shared" si="6111"/>
        <v>0.50749999999999995</v>
      </c>
      <c r="Y735" s="97">
        <f t="shared" ref="Y735" si="6153">SUM(S735+U735+W735)</f>
        <v>2.5619999999999998</v>
      </c>
      <c r="Z735" s="97">
        <f t="shared" ref="Z735" si="6154">SUM(T735+V735+X735)</f>
        <v>22.4175</v>
      </c>
      <c r="AA735" s="97">
        <v>7.0000000000000001E-3</v>
      </c>
      <c r="AB735" s="97">
        <f t="shared" si="6114"/>
        <v>6.1249999999999999E-2</v>
      </c>
      <c r="AC735" s="97"/>
      <c r="AD735" s="97">
        <f t="shared" si="6115"/>
        <v>0</v>
      </c>
      <c r="AE735" s="97">
        <v>8.9999999999999993E-3</v>
      </c>
      <c r="AF735" s="97">
        <f t="shared" si="6116"/>
        <v>7.8750000000000001E-2</v>
      </c>
      <c r="AG735" s="97">
        <f t="shared" ref="AG735" si="6155">SUM(AA735+AC735+AE735)</f>
        <v>1.6E-2</v>
      </c>
      <c r="AH735" s="97">
        <f t="shared" ref="AH735" si="6156">SUM(AB735+AD735+AF735)</f>
        <v>0.14000000000000001</v>
      </c>
      <c r="AI735" s="97">
        <f t="shared" si="6042"/>
        <v>2.5779999999999998</v>
      </c>
      <c r="AJ735" s="97">
        <f t="shared" si="6043"/>
        <v>22.557500000000001</v>
      </c>
      <c r="AK735" s="97"/>
      <c r="AL735" s="97">
        <f t="shared" si="6117"/>
        <v>0</v>
      </c>
      <c r="AM735" s="97">
        <v>0.2</v>
      </c>
      <c r="AN735" s="97">
        <f t="shared" si="6118"/>
        <v>1.75</v>
      </c>
      <c r="AO735" s="97">
        <v>1.7000000000000001E-2</v>
      </c>
      <c r="AP735" s="97">
        <f t="shared" si="6119"/>
        <v>0.14874999999999999</v>
      </c>
      <c r="AQ735" s="97">
        <f>SUM(AK735+AM735+AO735)</f>
        <v>0.21700000000000003</v>
      </c>
      <c r="AR735" s="97">
        <f>SUM(AL735+AN735+AP735)</f>
        <v>1.8987499999999999</v>
      </c>
      <c r="AS735" s="97">
        <v>7.2999999999999995E-2</v>
      </c>
      <c r="AT735" s="97">
        <f t="shared" si="6120"/>
        <v>0.64006399999999997</v>
      </c>
      <c r="AU735" s="97">
        <v>0.20100000000000001</v>
      </c>
      <c r="AV735" s="97">
        <f t="shared" si="6121"/>
        <v>1.7623680000000002</v>
      </c>
      <c r="AW735" s="97"/>
      <c r="AX735" s="97">
        <f t="shared" si="6122"/>
        <v>0</v>
      </c>
      <c r="AY735" s="97">
        <f t="shared" ref="AY735" si="6157">SUM(AS735+AU735+AW735)</f>
        <v>0.27400000000000002</v>
      </c>
      <c r="AZ735" s="97">
        <f t="shared" ref="AZ735" si="6158">SUM(AT735+AV735+AX735)</f>
        <v>2.4024320000000001</v>
      </c>
      <c r="BA735" s="97">
        <f t="shared" si="6053"/>
        <v>0.49100000000000005</v>
      </c>
      <c r="BB735" s="97">
        <f t="shared" si="6054"/>
        <v>4.3011819999999998</v>
      </c>
    </row>
    <row r="736" spans="1:54">
      <c r="A736" s="498">
        <v>518</v>
      </c>
      <c r="B736" s="13"/>
      <c r="C736" s="13"/>
      <c r="D736" s="13"/>
      <c r="E736" s="90" t="s">
        <v>1184</v>
      </c>
      <c r="F736" s="430"/>
      <c r="G736" s="430" t="s">
        <v>1105</v>
      </c>
      <c r="H736" s="287" t="s">
        <v>365</v>
      </c>
      <c r="I736" s="76"/>
      <c r="J736" s="168">
        <v>11755</v>
      </c>
      <c r="K736" s="76"/>
      <c r="L736" s="168">
        <v>11755</v>
      </c>
      <c r="M736" s="76"/>
      <c r="N736" s="168">
        <v>11755</v>
      </c>
      <c r="O736" s="76"/>
      <c r="P736" s="168">
        <v>11755</v>
      </c>
      <c r="Q736" s="131">
        <f t="shared" ref="Q736" si="6159">SUM(AI736+BA736)</f>
        <v>0</v>
      </c>
      <c r="R736" s="352">
        <f t="shared" ref="R736" si="6160">SUM(AJ736+BB736)</f>
        <v>0</v>
      </c>
      <c r="S736" s="131"/>
      <c r="T736" s="131">
        <f>J736*S736/1000</f>
        <v>0</v>
      </c>
      <c r="U736" s="131"/>
      <c r="V736" s="131">
        <f t="shared" ref="V736" si="6161">J736*U736/1000</f>
        <v>0</v>
      </c>
      <c r="W736" s="131"/>
      <c r="X736" s="131">
        <f t="shared" ref="X736" si="6162">J736*W736/1000</f>
        <v>0</v>
      </c>
      <c r="Y736" s="131">
        <f t="shared" ref="Y736" si="6163">SUM(S736+U736+W736)</f>
        <v>0</v>
      </c>
      <c r="Z736" s="131">
        <f t="shared" si="5861"/>
        <v>0</v>
      </c>
      <c r="AA736" s="131"/>
      <c r="AB736" s="131">
        <f t="shared" ref="AB736" si="6164">L736*AA736/1000</f>
        <v>0</v>
      </c>
      <c r="AC736" s="131"/>
      <c r="AD736" s="131">
        <f t="shared" ref="AD736" si="6165">L736*AC736/1000</f>
        <v>0</v>
      </c>
      <c r="AE736" s="131"/>
      <c r="AF736" s="131">
        <f t="shared" ref="AF736" si="6166">L736*AE736/1000</f>
        <v>0</v>
      </c>
      <c r="AG736" s="131">
        <f t="shared" ref="AG736" si="6167">SUM(AA736+AC736+AE736)</f>
        <v>0</v>
      </c>
      <c r="AH736" s="131">
        <f t="shared" si="5865"/>
        <v>0</v>
      </c>
      <c r="AI736" s="131">
        <f t="shared" si="5866"/>
        <v>0</v>
      </c>
      <c r="AJ736" s="131">
        <f t="shared" si="5867"/>
        <v>0</v>
      </c>
      <c r="AK736" s="131"/>
      <c r="AL736" s="131">
        <f t="shared" ref="AL736" si="6168">N736*AK736/1000</f>
        <v>0</v>
      </c>
      <c r="AM736" s="131"/>
      <c r="AN736" s="131">
        <f t="shared" ref="AN736" si="6169">N736*AM736/1000</f>
        <v>0</v>
      </c>
      <c r="AO736" s="131"/>
      <c r="AP736" s="131">
        <f t="shared" ref="AP736" si="6170">N736*AO736/1000</f>
        <v>0</v>
      </c>
      <c r="AQ736" s="131">
        <f t="shared" ref="AQ736" si="6171">SUM(AK736+AM736+AO736)</f>
        <v>0</v>
      </c>
      <c r="AR736" s="131">
        <f t="shared" si="5871"/>
        <v>0</v>
      </c>
      <c r="AS736" s="131"/>
      <c r="AT736" s="131">
        <f t="shared" ref="AT736" si="6172">P736*AS736/1000</f>
        <v>0</v>
      </c>
      <c r="AU736" s="131"/>
      <c r="AV736" s="131">
        <f t="shared" ref="AV736" si="6173">P736*AU736/1000</f>
        <v>0</v>
      </c>
      <c r="AW736" s="131"/>
      <c r="AX736" s="131">
        <f t="shared" ref="AX736" si="6174">P736*AW736/1000</f>
        <v>0</v>
      </c>
      <c r="AY736" s="131">
        <f t="shared" ref="AY736" si="6175">SUM(AS736+AU736+AW736)</f>
        <v>0</v>
      </c>
      <c r="AZ736" s="131">
        <f t="shared" si="5876"/>
        <v>0</v>
      </c>
      <c r="BA736" s="131">
        <f t="shared" si="5877"/>
        <v>0</v>
      </c>
      <c r="BB736" s="131">
        <f t="shared" si="5878"/>
        <v>0</v>
      </c>
    </row>
    <row r="737" spans="1:54">
      <c r="A737" s="498">
        <v>519</v>
      </c>
      <c r="B737" s="13"/>
      <c r="C737" s="13"/>
      <c r="D737" s="13"/>
      <c r="E737" s="21" t="s">
        <v>824</v>
      </c>
      <c r="F737" s="46"/>
      <c r="G737" s="46" t="s">
        <v>1105</v>
      </c>
      <c r="H737" s="268" t="s">
        <v>365</v>
      </c>
      <c r="I737" s="55"/>
      <c r="J737" s="163">
        <v>11137</v>
      </c>
      <c r="K737" s="55"/>
      <c r="L737" s="163">
        <v>11137</v>
      </c>
      <c r="M737" s="55"/>
      <c r="N737" s="163">
        <v>11137</v>
      </c>
      <c r="O737" s="55"/>
      <c r="P737" s="163">
        <v>11137</v>
      </c>
      <c r="Q737" s="97">
        <f t="shared" ref="Q737" si="6176">SUM(AI737+BA737)</f>
        <v>0</v>
      </c>
      <c r="R737" s="342">
        <f t="shared" ref="R737" si="6177">SUM(AJ737+BB737)</f>
        <v>0</v>
      </c>
      <c r="S737" s="97"/>
      <c r="T737" s="97">
        <f t="shared" ref="T737" si="6178">J737*S737/1000</f>
        <v>0</v>
      </c>
      <c r="U737" s="97"/>
      <c r="V737" s="97">
        <f t="shared" ref="V737" si="6179">J737*U737/1000</f>
        <v>0</v>
      </c>
      <c r="W737" s="97"/>
      <c r="X737" s="97">
        <f t="shared" ref="X737" si="6180">J737*W737/1000</f>
        <v>0</v>
      </c>
      <c r="Y737" s="97">
        <f t="shared" ref="Y737" si="6181">SUM(S737+U737+W737)</f>
        <v>0</v>
      </c>
      <c r="Z737" s="97">
        <f t="shared" ref="Z737" si="6182">SUM(T737+V737+X737)</f>
        <v>0</v>
      </c>
      <c r="AA737" s="97"/>
      <c r="AB737" s="97">
        <f t="shared" ref="AB737" si="6183">L737*AA737/1000</f>
        <v>0</v>
      </c>
      <c r="AC737" s="97"/>
      <c r="AD737" s="97">
        <f t="shared" ref="AD737" si="6184">L737*AC737/1000</f>
        <v>0</v>
      </c>
      <c r="AE737" s="97"/>
      <c r="AF737" s="97">
        <f t="shared" ref="AF737" si="6185">L737*AE737/1000</f>
        <v>0</v>
      </c>
      <c r="AG737" s="97">
        <f t="shared" ref="AG737" si="6186">SUM(AA737+AC737+AE737)</f>
        <v>0</v>
      </c>
      <c r="AH737" s="97">
        <f t="shared" ref="AH737" si="6187">SUM(AB737+AD737+AF737)</f>
        <v>0</v>
      </c>
      <c r="AI737" s="97">
        <f t="shared" ref="AI737" si="6188">SUM(Y737+AG737)</f>
        <v>0</v>
      </c>
      <c r="AJ737" s="97">
        <f t="shared" ref="AJ737" si="6189">SUM(Z737,AH737)</f>
        <v>0</v>
      </c>
      <c r="AK737" s="97"/>
      <c r="AL737" s="97">
        <f t="shared" ref="AL737" si="6190">N737*AK737/1000</f>
        <v>0</v>
      </c>
      <c r="AM737" s="97"/>
      <c r="AN737" s="97">
        <f t="shared" ref="AN737" si="6191">N737*AM737/1000</f>
        <v>0</v>
      </c>
      <c r="AO737" s="97"/>
      <c r="AP737" s="97">
        <f t="shared" ref="AP737" si="6192">N737*AO737/1000</f>
        <v>0</v>
      </c>
      <c r="AQ737" s="97">
        <f t="shared" ref="AQ737" si="6193">SUM(AK737+AM737+AO737)</f>
        <v>0</v>
      </c>
      <c r="AR737" s="97">
        <f t="shared" ref="AR737" si="6194">SUM(AL737+AN737+AP737)</f>
        <v>0</v>
      </c>
      <c r="AS737" s="97"/>
      <c r="AT737" s="97">
        <f t="shared" ref="AT737" si="6195">P737*AS737/1000</f>
        <v>0</v>
      </c>
      <c r="AU737" s="97"/>
      <c r="AV737" s="97">
        <f t="shared" ref="AV737" si="6196">P737*AU737/1000</f>
        <v>0</v>
      </c>
      <c r="AW737" s="97"/>
      <c r="AX737" s="97">
        <f t="shared" ref="AX737" si="6197">P737*AW737/1000</f>
        <v>0</v>
      </c>
      <c r="AY737" s="97">
        <f t="shared" ref="AY737" si="6198">SUM(AS737+AU737+AW737)</f>
        <v>0</v>
      </c>
      <c r="AZ737" s="97">
        <f t="shared" ref="AZ737" si="6199">SUM(AT737+AV737+AX737)</f>
        <v>0</v>
      </c>
      <c r="BA737" s="97">
        <f t="shared" ref="BA737" si="6200">SUM(AQ737+AY737)</f>
        <v>0</v>
      </c>
      <c r="BB737" s="97">
        <f t="shared" ref="BB737" si="6201">SUM(AR737,AZ737)</f>
        <v>0</v>
      </c>
    </row>
    <row r="738" spans="1:54">
      <c r="A738" s="498">
        <v>520</v>
      </c>
      <c r="B738" s="13"/>
      <c r="C738" s="13"/>
      <c r="D738" s="13"/>
      <c r="E738" s="63" t="s">
        <v>825</v>
      </c>
      <c r="F738" s="425"/>
      <c r="G738" s="425" t="s">
        <v>1105</v>
      </c>
      <c r="H738" s="284" t="s">
        <v>365</v>
      </c>
      <c r="I738" s="67"/>
      <c r="J738" s="166">
        <v>8250</v>
      </c>
      <c r="K738" s="67"/>
      <c r="L738" s="166">
        <v>8250</v>
      </c>
      <c r="M738" s="67"/>
      <c r="N738" s="166">
        <v>8250</v>
      </c>
      <c r="O738" s="67"/>
      <c r="P738" s="166">
        <v>8250</v>
      </c>
      <c r="Q738" s="129">
        <f t="shared" ref="Q738:Q750" si="6202">SUM(AI738+BA738)</f>
        <v>0</v>
      </c>
      <c r="R738" s="350">
        <f t="shared" ref="R738:R750" si="6203">SUM(AJ738+BB738)</f>
        <v>0</v>
      </c>
      <c r="S738" s="129"/>
      <c r="T738" s="129">
        <f t="shared" ref="T738:T747" si="6204">J738*S738/1000</f>
        <v>0</v>
      </c>
      <c r="U738" s="129"/>
      <c r="V738" s="129">
        <f t="shared" ref="V738:V747" si="6205">J738*U738/1000</f>
        <v>0</v>
      </c>
      <c r="W738" s="129"/>
      <c r="X738" s="129">
        <f t="shared" ref="X738:X747" si="6206">J738*W738/1000</f>
        <v>0</v>
      </c>
      <c r="Y738" s="129">
        <f t="shared" ref="Y738" si="6207">SUM(S738+U738+W738)</f>
        <v>0</v>
      </c>
      <c r="Z738" s="129">
        <f t="shared" si="5861"/>
        <v>0</v>
      </c>
      <c r="AA738" s="129"/>
      <c r="AB738" s="129">
        <f t="shared" ref="AB738:AB750" si="6208">L738*AA738/1000</f>
        <v>0</v>
      </c>
      <c r="AC738" s="129"/>
      <c r="AD738" s="129">
        <f t="shared" ref="AD738:AD750" si="6209">L738*AC738/1000</f>
        <v>0</v>
      </c>
      <c r="AE738" s="129"/>
      <c r="AF738" s="129">
        <f t="shared" ref="AF738:AF750" si="6210">L738*AE738/1000</f>
        <v>0</v>
      </c>
      <c r="AG738" s="129">
        <f t="shared" ref="AG738" si="6211">SUM(AA738+AC738+AE738)</f>
        <v>0</v>
      </c>
      <c r="AH738" s="129">
        <f t="shared" si="5865"/>
        <v>0</v>
      </c>
      <c r="AI738" s="129">
        <f t="shared" si="5866"/>
        <v>0</v>
      </c>
      <c r="AJ738" s="129">
        <f t="shared" si="5867"/>
        <v>0</v>
      </c>
      <c r="AK738" s="129"/>
      <c r="AL738" s="129">
        <f t="shared" ref="AL738:AL750" si="6212">N738*AK738/1000</f>
        <v>0</v>
      </c>
      <c r="AM738" s="129"/>
      <c r="AN738" s="129">
        <f t="shared" ref="AN738:AN747" si="6213">N738*AM738/1000</f>
        <v>0</v>
      </c>
      <c r="AO738" s="129"/>
      <c r="AP738" s="129">
        <f t="shared" ref="AP738:AP747" si="6214">N738*AO738/1000</f>
        <v>0</v>
      </c>
      <c r="AQ738" s="129">
        <f t="shared" ref="AQ738" si="6215">SUM(AK738+AM738+AO738)</f>
        <v>0</v>
      </c>
      <c r="AR738" s="129">
        <f t="shared" si="5871"/>
        <v>0</v>
      </c>
      <c r="AS738" s="129"/>
      <c r="AT738" s="129">
        <f t="shared" ref="AT738:AT747" si="6216">P738*AS738/1000</f>
        <v>0</v>
      </c>
      <c r="AU738" s="129"/>
      <c r="AV738" s="129">
        <f t="shared" ref="AV738:AV747" si="6217">P738*AU738/1000</f>
        <v>0</v>
      </c>
      <c r="AW738" s="129"/>
      <c r="AX738" s="129">
        <f t="shared" ref="AX738:AX750" si="6218">P738*AW738/1000</f>
        <v>0</v>
      </c>
      <c r="AY738" s="129">
        <f t="shared" ref="AY738" si="6219">SUM(AS738+AU738+AW738)</f>
        <v>0</v>
      </c>
      <c r="AZ738" s="129">
        <f t="shared" si="5876"/>
        <v>0</v>
      </c>
      <c r="BA738" s="129">
        <f t="shared" si="5877"/>
        <v>0</v>
      </c>
      <c r="BB738" s="129">
        <f t="shared" si="5878"/>
        <v>0</v>
      </c>
    </row>
    <row r="739" spans="1:54">
      <c r="B739" s="13"/>
      <c r="C739" s="13"/>
      <c r="D739" s="13"/>
      <c r="E739" s="21" t="s">
        <v>1329</v>
      </c>
      <c r="F739" s="46"/>
      <c r="G739" s="46" t="s">
        <v>1333</v>
      </c>
      <c r="H739" s="268" t="s">
        <v>365</v>
      </c>
      <c r="I739" s="55"/>
      <c r="J739" s="163">
        <v>9904</v>
      </c>
      <c r="K739" s="55"/>
      <c r="L739" s="163">
        <v>9904</v>
      </c>
      <c r="M739" s="55"/>
      <c r="N739" s="163">
        <v>9904</v>
      </c>
      <c r="O739" s="55"/>
      <c r="P739" s="163">
        <v>9904</v>
      </c>
      <c r="Q739" s="97">
        <f t="shared" si="6202"/>
        <v>1.5000000000000001E-2</v>
      </c>
      <c r="R739" s="342">
        <f t="shared" si="6203"/>
        <v>0.14856</v>
      </c>
      <c r="S739" s="97">
        <v>3.0000000000000001E-3</v>
      </c>
      <c r="T739" s="97">
        <f t="shared" si="6204"/>
        <v>2.9711999999999999E-2</v>
      </c>
      <c r="U739" s="97"/>
      <c r="V739" s="97">
        <f t="shared" si="6205"/>
        <v>0</v>
      </c>
      <c r="W739" s="97"/>
      <c r="X739" s="97">
        <f t="shared" si="6206"/>
        <v>0</v>
      </c>
      <c r="Y739" s="97">
        <f t="shared" ref="Y739:Y740" si="6220">SUM(S739+U739+W739)</f>
        <v>3.0000000000000001E-3</v>
      </c>
      <c r="Z739" s="97">
        <f t="shared" ref="Z739:Z740" si="6221">SUM(T739+V739+X739)</f>
        <v>2.9711999999999999E-2</v>
      </c>
      <c r="AA739" s="97"/>
      <c r="AB739" s="97">
        <f t="shared" si="6208"/>
        <v>0</v>
      </c>
      <c r="AC739" s="97">
        <v>3.0000000000000001E-3</v>
      </c>
      <c r="AD739" s="97">
        <f t="shared" si="6209"/>
        <v>2.9711999999999999E-2</v>
      </c>
      <c r="AE739" s="97">
        <v>3.0000000000000001E-3</v>
      </c>
      <c r="AF739" s="97">
        <f t="shared" si="6210"/>
        <v>2.9711999999999999E-2</v>
      </c>
      <c r="AG739" s="97">
        <f t="shared" ref="AG739:AG740" si="6222">SUM(AA739+AC739+AE739)</f>
        <v>6.0000000000000001E-3</v>
      </c>
      <c r="AH739" s="97">
        <f t="shared" ref="AH739:AH740" si="6223">SUM(AB739+AD739+AF739)</f>
        <v>5.9423999999999998E-2</v>
      </c>
      <c r="AI739" s="97">
        <f t="shared" si="5866"/>
        <v>9.0000000000000011E-3</v>
      </c>
      <c r="AJ739" s="97">
        <f t="shared" si="5867"/>
        <v>8.9135999999999993E-2</v>
      </c>
      <c r="AK739" s="97"/>
      <c r="AL739" s="97">
        <f t="shared" si="6212"/>
        <v>0</v>
      </c>
      <c r="AM739" s="97"/>
      <c r="AN739" s="97">
        <f t="shared" si="6213"/>
        <v>0</v>
      </c>
      <c r="AO739" s="97"/>
      <c r="AP739" s="97">
        <f t="shared" si="6214"/>
        <v>0</v>
      </c>
      <c r="AQ739" s="97">
        <f>SUM(AK739+AM739+AO739)</f>
        <v>0</v>
      </c>
      <c r="AR739" s="97">
        <f>SUM(AL739+AN739+AP739)</f>
        <v>0</v>
      </c>
      <c r="AS739" s="97"/>
      <c r="AT739" s="97">
        <f t="shared" si="6216"/>
        <v>0</v>
      </c>
      <c r="AU739" s="97">
        <v>3.0000000000000001E-3</v>
      </c>
      <c r="AV739" s="97">
        <f t="shared" si="6217"/>
        <v>2.9711999999999999E-2</v>
      </c>
      <c r="AW739" s="97">
        <v>3.0000000000000001E-3</v>
      </c>
      <c r="AX739" s="97">
        <f t="shared" si="6218"/>
        <v>2.9711999999999999E-2</v>
      </c>
      <c r="AY739" s="97">
        <f>SUM(AS739+AU739+AW739)</f>
        <v>6.0000000000000001E-3</v>
      </c>
      <c r="AZ739" s="97">
        <f>SUM(AT739+AV739+AX739)</f>
        <v>5.9423999999999998E-2</v>
      </c>
      <c r="BA739" s="97">
        <f t="shared" si="5877"/>
        <v>6.0000000000000001E-3</v>
      </c>
      <c r="BB739" s="97">
        <f t="shared" si="5878"/>
        <v>5.9423999999999998E-2</v>
      </c>
    </row>
    <row r="740" spans="1:54">
      <c r="A740" s="498">
        <v>520</v>
      </c>
      <c r="B740" s="13"/>
      <c r="C740" s="13"/>
      <c r="D740" s="13"/>
      <c r="E740" s="21" t="s">
        <v>1421</v>
      </c>
      <c r="F740" s="46"/>
      <c r="G740" s="46" t="s">
        <v>1105</v>
      </c>
      <c r="H740" s="268" t="s">
        <v>365</v>
      </c>
      <c r="I740" s="55"/>
      <c r="J740" s="163">
        <v>10438</v>
      </c>
      <c r="K740" s="55"/>
      <c r="L740" s="163">
        <v>10438</v>
      </c>
      <c r="M740" s="55"/>
      <c r="N740" s="163">
        <v>10438</v>
      </c>
      <c r="O740" s="55"/>
      <c r="P740" s="163">
        <v>10438</v>
      </c>
      <c r="Q740" s="97">
        <f t="shared" ref="Q740" si="6224">SUM(AI740+BA740)</f>
        <v>0</v>
      </c>
      <c r="R740" s="342">
        <f t="shared" ref="R740" si="6225">SUM(AJ740+BB740)</f>
        <v>0</v>
      </c>
      <c r="S740" s="97"/>
      <c r="T740" s="97">
        <f t="shared" ref="T740" si="6226">J740*S740/1000</f>
        <v>0</v>
      </c>
      <c r="U740" s="97"/>
      <c r="V740" s="97">
        <f t="shared" ref="V740" si="6227">J740*U740/1000</f>
        <v>0</v>
      </c>
      <c r="W740" s="97"/>
      <c r="X740" s="97">
        <f t="shared" ref="X740" si="6228">J740*W740/1000</f>
        <v>0</v>
      </c>
      <c r="Y740" s="97">
        <f t="shared" si="6220"/>
        <v>0</v>
      </c>
      <c r="Z740" s="97">
        <f t="shared" si="6221"/>
        <v>0</v>
      </c>
      <c r="AA740" s="97"/>
      <c r="AB740" s="97">
        <f t="shared" ref="AB740" si="6229">L740*AA740/1000</f>
        <v>0</v>
      </c>
      <c r="AC740" s="97"/>
      <c r="AD740" s="97">
        <f t="shared" ref="AD740" si="6230">L740*AC740/1000</f>
        <v>0</v>
      </c>
      <c r="AE740" s="97"/>
      <c r="AF740" s="97">
        <f t="shared" ref="AF740" si="6231">L740*AE740/1000</f>
        <v>0</v>
      </c>
      <c r="AG740" s="97">
        <f t="shared" si="6222"/>
        <v>0</v>
      </c>
      <c r="AH740" s="97">
        <f t="shared" si="6223"/>
        <v>0</v>
      </c>
      <c r="AI740" s="97">
        <f>SUM(Y740+AG740)</f>
        <v>0</v>
      </c>
      <c r="AJ740" s="97">
        <f t="shared" ref="AJ740" si="6232">SUM(Z740,AH740)</f>
        <v>0</v>
      </c>
      <c r="AK740" s="97"/>
      <c r="AL740" s="97">
        <f t="shared" ref="AL740" si="6233">N740*AK740/1000</f>
        <v>0</v>
      </c>
      <c r="AM740" s="97"/>
      <c r="AN740" s="97">
        <f t="shared" ref="AN740" si="6234">N740*AM740/1000</f>
        <v>0</v>
      </c>
      <c r="AO740" s="97"/>
      <c r="AP740" s="97">
        <f t="shared" ref="AP740" si="6235">N740*AO740/1000</f>
        <v>0</v>
      </c>
      <c r="AQ740" s="97">
        <f t="shared" ref="AQ740" si="6236">SUM(AK740+AM740+AO740)</f>
        <v>0</v>
      </c>
      <c r="AR740" s="97">
        <f t="shared" ref="AR740" si="6237">SUM(AL740+AN740+AP740)</f>
        <v>0</v>
      </c>
      <c r="AS740" s="97"/>
      <c r="AT740" s="97">
        <f t="shared" ref="AT740" si="6238">P740*AS740/1000</f>
        <v>0</v>
      </c>
      <c r="AU740" s="97"/>
      <c r="AV740" s="97">
        <f t="shared" ref="AV740" si="6239">P740*AU740/1000</f>
        <v>0</v>
      </c>
      <c r="AW740" s="97"/>
      <c r="AX740" s="97">
        <f t="shared" ref="AX740" si="6240">P740*AW740/1000</f>
        <v>0</v>
      </c>
      <c r="AY740" s="97">
        <f t="shared" ref="AY740" si="6241">SUM(AS740+AU740+AW740)</f>
        <v>0</v>
      </c>
      <c r="AZ740" s="97">
        <f t="shared" ref="AZ740" si="6242">SUM(AT740+AV740+AX740)</f>
        <v>0</v>
      </c>
      <c r="BA740" s="97">
        <f t="shared" ref="BA740" si="6243">SUM(AQ740+AY740)</f>
        <v>0</v>
      </c>
      <c r="BB740" s="97">
        <f t="shared" ref="BB740" si="6244">SUM(AR740,AZ740)</f>
        <v>0</v>
      </c>
    </row>
    <row r="741" spans="1:54">
      <c r="B741" s="13"/>
      <c r="C741" s="13"/>
      <c r="D741" s="13"/>
      <c r="E741" s="90" t="s">
        <v>1274</v>
      </c>
      <c r="F741" s="430"/>
      <c r="G741" s="430" t="s">
        <v>1102</v>
      </c>
      <c r="H741" s="287" t="s">
        <v>365</v>
      </c>
      <c r="I741" s="76"/>
      <c r="J741" s="168">
        <v>7322</v>
      </c>
      <c r="K741" s="76"/>
      <c r="L741" s="168">
        <v>7322</v>
      </c>
      <c r="M741" s="76"/>
      <c r="N741" s="168">
        <v>7322</v>
      </c>
      <c r="O741" s="76"/>
      <c r="P741" s="168">
        <v>7322</v>
      </c>
      <c r="Q741" s="131">
        <f t="shared" ref="Q741:Q742" si="6245">SUM(AI741+BA741)</f>
        <v>4.335</v>
      </c>
      <c r="R741" s="352">
        <f t="shared" ref="R741:R743" si="6246">SUM(AJ741+BB741)</f>
        <v>31.740870000000001</v>
      </c>
      <c r="S741" s="131"/>
      <c r="T741" s="131">
        <f t="shared" ref="T741:T743" si="6247">J741*S741/1000</f>
        <v>0</v>
      </c>
      <c r="U741" s="131">
        <v>0.13100000000000001</v>
      </c>
      <c r="V741" s="131">
        <f t="shared" ref="V741:V743" si="6248">J741*U741/1000</f>
        <v>0.95918199999999998</v>
      </c>
      <c r="W741" s="131">
        <v>6.0000000000000001E-3</v>
      </c>
      <c r="X741" s="131">
        <f t="shared" ref="X741:X743" si="6249">J741*W741/1000</f>
        <v>4.3931999999999999E-2</v>
      </c>
      <c r="Y741" s="131">
        <f t="shared" ref="Y741:Y743" si="6250">SUM(S741+U741+W741)</f>
        <v>0.13700000000000001</v>
      </c>
      <c r="Z741" s="131">
        <f t="shared" ref="Z741:Z743" si="6251">SUM(T741+V741+X741)</f>
        <v>1.0031140000000001</v>
      </c>
      <c r="AA741" s="131">
        <v>6.0000000000000001E-3</v>
      </c>
      <c r="AB741" s="131">
        <f t="shared" ref="AB741:AB743" si="6252">L741*AA741/1000</f>
        <v>4.3931999999999999E-2</v>
      </c>
      <c r="AC741" s="131">
        <v>2.5999999999999999E-2</v>
      </c>
      <c r="AD741" s="131">
        <f t="shared" ref="AD741:AD743" si="6253">L741*AC741/1000</f>
        <v>0.19037199999999999</v>
      </c>
      <c r="AE741" s="131"/>
      <c r="AF741" s="131">
        <f t="shared" ref="AF741:AF743" si="6254">L741*AE741/1000</f>
        <v>0</v>
      </c>
      <c r="AG741" s="131">
        <f t="shared" ref="AG741:AG743" si="6255">SUM(AA741+AC741+AE741)</f>
        <v>3.2000000000000001E-2</v>
      </c>
      <c r="AH741" s="131">
        <f t="shared" ref="AH741:AH743" si="6256">SUM(AB741+AD741+AF741)</f>
        <v>0.23430399999999998</v>
      </c>
      <c r="AI741" s="131">
        <f t="shared" ref="AI741:AI743" si="6257">SUM(Y741+AG741)</f>
        <v>0.16900000000000001</v>
      </c>
      <c r="AJ741" s="131">
        <f t="shared" ref="AJ741:AJ743" si="6258">SUM(Z741,AH741)</f>
        <v>1.2374180000000001</v>
      </c>
      <c r="AK741" s="131">
        <v>0.19</v>
      </c>
      <c r="AL741" s="131">
        <f t="shared" ref="AL741:AL743" si="6259">N741*AK741/1000</f>
        <v>1.3911800000000001</v>
      </c>
      <c r="AM741" s="131">
        <v>0.79700000000000004</v>
      </c>
      <c r="AN741" s="131">
        <f t="shared" ref="AN741:AN743" si="6260">N741*AM741/1000</f>
        <v>5.8356339999999998</v>
      </c>
      <c r="AO741" s="131">
        <v>0.29299999999999998</v>
      </c>
      <c r="AP741" s="131">
        <f t="shared" ref="AP741:AP743" si="6261">N741*AO741/1000</f>
        <v>2.145346</v>
      </c>
      <c r="AQ741" s="131">
        <f t="shared" ref="AQ741:AQ743" si="6262">SUM(AK741+AM741+AO741)</f>
        <v>1.28</v>
      </c>
      <c r="AR741" s="131">
        <f t="shared" ref="AR741:AR743" si="6263">SUM(AL741+AN741+AP741)</f>
        <v>9.3721600000000009</v>
      </c>
      <c r="AS741" s="131">
        <v>1.0409999999999999</v>
      </c>
      <c r="AT741" s="131">
        <f t="shared" ref="AT741:AT743" si="6264">P741*AS741/1000</f>
        <v>7.6222019999999997</v>
      </c>
      <c r="AU741" s="131">
        <v>0.98799999999999999</v>
      </c>
      <c r="AV741" s="131">
        <f t="shared" ref="AV741:AV743" si="6265">P741*AU741/1000</f>
        <v>7.2341359999999995</v>
      </c>
      <c r="AW741" s="131">
        <v>0.85699999999999998</v>
      </c>
      <c r="AX741" s="131">
        <f t="shared" ref="AX741:AX743" si="6266">P741*AW741/1000</f>
        <v>6.2749540000000001</v>
      </c>
      <c r="AY741" s="131">
        <f t="shared" ref="AY741:AY743" si="6267">SUM(AS741+AU741+AW741)</f>
        <v>2.8860000000000001</v>
      </c>
      <c r="AZ741" s="131">
        <f t="shared" ref="AZ741:AZ743" si="6268">SUM(AT741+AV741+AX741)</f>
        <v>21.131291999999998</v>
      </c>
      <c r="BA741" s="131">
        <f t="shared" ref="BA741:BA743" si="6269">SUM(AQ741+AY741)</f>
        <v>4.1660000000000004</v>
      </c>
      <c r="BB741" s="131">
        <f t="shared" ref="BB741:BB743" si="6270">SUM(AR741,AZ741)</f>
        <v>30.503451999999999</v>
      </c>
    </row>
    <row r="742" spans="1:54">
      <c r="A742" s="498">
        <v>520</v>
      </c>
      <c r="B742" s="13"/>
      <c r="C742" s="13"/>
      <c r="D742" s="13"/>
      <c r="E742" s="63" t="s">
        <v>1434</v>
      </c>
      <c r="F742" s="425"/>
      <c r="G742" s="425" t="s">
        <v>1105</v>
      </c>
      <c r="H742" s="284" t="s">
        <v>365</v>
      </c>
      <c r="I742" s="67"/>
      <c r="J742" s="166">
        <v>7433</v>
      </c>
      <c r="K742" s="67"/>
      <c r="L742" s="166">
        <v>7433</v>
      </c>
      <c r="M742" s="67"/>
      <c r="N742" s="166">
        <v>7433</v>
      </c>
      <c r="O742" s="67"/>
      <c r="P742" s="166">
        <v>7433</v>
      </c>
      <c r="Q742" s="129">
        <f t="shared" si="6245"/>
        <v>0.05</v>
      </c>
      <c r="R742" s="350">
        <f t="shared" si="6246"/>
        <v>0.37165000000000004</v>
      </c>
      <c r="S742" s="129"/>
      <c r="T742" s="129">
        <f t="shared" si="6247"/>
        <v>0</v>
      </c>
      <c r="U742" s="129"/>
      <c r="V742" s="129">
        <f t="shared" si="6248"/>
        <v>0</v>
      </c>
      <c r="W742" s="129"/>
      <c r="X742" s="129">
        <f t="shared" si="6249"/>
        <v>0</v>
      </c>
      <c r="Y742" s="129">
        <f t="shared" si="6250"/>
        <v>0</v>
      </c>
      <c r="Z742" s="129">
        <f t="shared" si="6251"/>
        <v>0</v>
      </c>
      <c r="AA742" s="129"/>
      <c r="AB742" s="129">
        <f t="shared" si="6252"/>
        <v>0</v>
      </c>
      <c r="AC742" s="129">
        <v>0.05</v>
      </c>
      <c r="AD742" s="129">
        <f t="shared" si="6253"/>
        <v>0.37165000000000004</v>
      </c>
      <c r="AE742" s="129"/>
      <c r="AF742" s="129">
        <f t="shared" si="6254"/>
        <v>0</v>
      </c>
      <c r="AG742" s="129">
        <f t="shared" si="6255"/>
        <v>0.05</v>
      </c>
      <c r="AH742" s="129">
        <f t="shared" si="6256"/>
        <v>0.37165000000000004</v>
      </c>
      <c r="AI742" s="129">
        <f t="shared" si="6257"/>
        <v>0.05</v>
      </c>
      <c r="AJ742" s="129">
        <f t="shared" si="6258"/>
        <v>0.37165000000000004</v>
      </c>
      <c r="AK742" s="129"/>
      <c r="AL742" s="129">
        <f t="shared" si="6259"/>
        <v>0</v>
      </c>
      <c r="AM742" s="129"/>
      <c r="AN742" s="129">
        <f t="shared" si="6260"/>
        <v>0</v>
      </c>
      <c r="AO742" s="129"/>
      <c r="AP742" s="129">
        <f t="shared" si="6261"/>
        <v>0</v>
      </c>
      <c r="AQ742" s="129">
        <f t="shared" si="6262"/>
        <v>0</v>
      </c>
      <c r="AR742" s="129">
        <f t="shared" si="6263"/>
        <v>0</v>
      </c>
      <c r="AS742" s="129"/>
      <c r="AT742" s="129">
        <f t="shared" si="6264"/>
        <v>0</v>
      </c>
      <c r="AU742" s="129"/>
      <c r="AV742" s="129">
        <f t="shared" si="6265"/>
        <v>0</v>
      </c>
      <c r="AW742" s="129"/>
      <c r="AX742" s="129">
        <f t="shared" si="6266"/>
        <v>0</v>
      </c>
      <c r="AY742" s="129">
        <f t="shared" si="6267"/>
        <v>0</v>
      </c>
      <c r="AZ742" s="129">
        <f t="shared" si="6268"/>
        <v>0</v>
      </c>
      <c r="BA742" s="129">
        <f t="shared" si="6269"/>
        <v>0</v>
      </c>
      <c r="BB742" s="129">
        <f t="shared" si="6270"/>
        <v>0</v>
      </c>
    </row>
    <row r="743" spans="1:54" ht="12" customHeight="1">
      <c r="A743" s="498"/>
      <c r="B743" s="13"/>
      <c r="C743" s="13"/>
      <c r="D743" s="13"/>
      <c r="E743" s="21" t="s">
        <v>1289</v>
      </c>
      <c r="F743" s="46"/>
      <c r="G743" s="46" t="s">
        <v>1102</v>
      </c>
      <c r="H743" s="268" t="s">
        <v>366</v>
      </c>
      <c r="I743" s="55"/>
      <c r="J743" s="163">
        <v>8368</v>
      </c>
      <c r="K743" s="55"/>
      <c r="L743" s="163">
        <v>8368</v>
      </c>
      <c r="M743" s="55"/>
      <c r="N743" s="163">
        <v>8368</v>
      </c>
      <c r="O743" s="55"/>
      <c r="P743" s="163">
        <v>8368</v>
      </c>
      <c r="Q743" s="97">
        <f t="shared" ref="Q743" si="6271">SUM(AI743+BA743)</f>
        <v>4.0540000000000003</v>
      </c>
      <c r="R743" s="342">
        <f t="shared" si="6246"/>
        <v>33.923872000000003</v>
      </c>
      <c r="S743" s="97">
        <v>0.251</v>
      </c>
      <c r="T743" s="97">
        <f t="shared" si="6247"/>
        <v>2.100368</v>
      </c>
      <c r="U743" s="97">
        <v>0.19800000000000001</v>
      </c>
      <c r="V743" s="97">
        <f t="shared" si="6248"/>
        <v>1.6568640000000001</v>
      </c>
      <c r="W743" s="97">
        <v>0.217</v>
      </c>
      <c r="X743" s="97">
        <f t="shared" si="6249"/>
        <v>1.8158559999999999</v>
      </c>
      <c r="Y743" s="97">
        <f t="shared" si="6250"/>
        <v>0.66600000000000004</v>
      </c>
      <c r="Z743" s="97">
        <f t="shared" si="6251"/>
        <v>5.5730880000000003</v>
      </c>
      <c r="AA743" s="97">
        <v>0.377</v>
      </c>
      <c r="AB743" s="97">
        <f t="shared" si="6252"/>
        <v>3.1547359999999998</v>
      </c>
      <c r="AC743" s="97">
        <v>0.47699999999999998</v>
      </c>
      <c r="AD743" s="97">
        <f t="shared" si="6253"/>
        <v>3.9915359999999995</v>
      </c>
      <c r="AE743" s="97">
        <v>3.7999999999999999E-2</v>
      </c>
      <c r="AF743" s="97">
        <f t="shared" si="6254"/>
        <v>0.31798399999999999</v>
      </c>
      <c r="AG743" s="97">
        <f t="shared" si="6255"/>
        <v>0.89200000000000002</v>
      </c>
      <c r="AH743" s="97">
        <f t="shared" si="6256"/>
        <v>7.4642559999999998</v>
      </c>
      <c r="AI743" s="97">
        <f t="shared" si="6257"/>
        <v>1.5580000000000001</v>
      </c>
      <c r="AJ743" s="97">
        <f t="shared" si="6258"/>
        <v>13.037344000000001</v>
      </c>
      <c r="AK743" s="97">
        <v>0.52900000000000003</v>
      </c>
      <c r="AL743" s="97">
        <f t="shared" si="6259"/>
        <v>4.4266720000000008</v>
      </c>
      <c r="AM743" s="97">
        <v>0.32500000000000001</v>
      </c>
      <c r="AN743" s="97">
        <f t="shared" si="6260"/>
        <v>2.7195999999999998</v>
      </c>
      <c r="AO743" s="97">
        <v>0.40799999999999997</v>
      </c>
      <c r="AP743" s="97">
        <f t="shared" si="6261"/>
        <v>3.4141439999999998</v>
      </c>
      <c r="AQ743" s="97">
        <f t="shared" si="6262"/>
        <v>1.262</v>
      </c>
      <c r="AR743" s="97">
        <f t="shared" si="6263"/>
        <v>10.560416</v>
      </c>
      <c r="AS743" s="97">
        <v>0.60199999999999998</v>
      </c>
      <c r="AT743" s="97">
        <f t="shared" si="6264"/>
        <v>5.0375360000000002</v>
      </c>
      <c r="AU743" s="97">
        <v>0.52200000000000002</v>
      </c>
      <c r="AV743" s="97">
        <f t="shared" si="6265"/>
        <v>4.3680960000000004</v>
      </c>
      <c r="AW743" s="97">
        <v>0.11</v>
      </c>
      <c r="AX743" s="97">
        <f t="shared" si="6266"/>
        <v>0.92047999999999996</v>
      </c>
      <c r="AY743" s="97">
        <f t="shared" si="6267"/>
        <v>1.2340000000000002</v>
      </c>
      <c r="AZ743" s="97">
        <f t="shared" si="6268"/>
        <v>10.326112</v>
      </c>
      <c r="BA743" s="97">
        <f t="shared" si="6269"/>
        <v>2.4960000000000004</v>
      </c>
      <c r="BB743" s="97">
        <f t="shared" si="6270"/>
        <v>20.886527999999998</v>
      </c>
    </row>
    <row r="744" spans="1:54" ht="12" customHeight="1">
      <c r="A744" s="498"/>
      <c r="B744" s="13"/>
      <c r="C744" s="13"/>
      <c r="D744" s="13"/>
      <c r="E744" s="21" t="s">
        <v>1290</v>
      </c>
      <c r="F744" s="46"/>
      <c r="G744" s="46" t="s">
        <v>1102</v>
      </c>
      <c r="H744" s="268" t="s">
        <v>366</v>
      </c>
      <c r="I744" s="55"/>
      <c r="J744" s="163">
        <v>6999</v>
      </c>
      <c r="K744" s="55"/>
      <c r="L744" s="163">
        <v>6999</v>
      </c>
      <c r="M744" s="55"/>
      <c r="N744" s="163">
        <v>6999</v>
      </c>
      <c r="O744" s="55"/>
      <c r="P744" s="163">
        <v>6999</v>
      </c>
      <c r="Q744" s="97">
        <f t="shared" ref="Q744" si="6272">SUM(AI744+BA744)</f>
        <v>0</v>
      </c>
      <c r="R744" s="342">
        <f t="shared" ref="R744" si="6273">SUM(AJ744+BB744)</f>
        <v>0</v>
      </c>
      <c r="S744" s="97"/>
      <c r="T744" s="97">
        <f t="shared" ref="T744" si="6274">J744*S744/1000</f>
        <v>0</v>
      </c>
      <c r="U744" s="97"/>
      <c r="V744" s="97">
        <f t="shared" ref="V744" si="6275">J744*U744/1000</f>
        <v>0</v>
      </c>
      <c r="W744" s="97"/>
      <c r="X744" s="97">
        <f t="shared" ref="X744" si="6276">J744*W744/1000</f>
        <v>0</v>
      </c>
      <c r="Y744" s="97">
        <f t="shared" ref="Y744" si="6277">SUM(S744+U744+W744)</f>
        <v>0</v>
      </c>
      <c r="Z744" s="97">
        <f t="shared" ref="Z744" si="6278">SUM(T744+V744+X744)</f>
        <v>0</v>
      </c>
      <c r="AA744" s="97"/>
      <c r="AB744" s="97">
        <f t="shared" ref="AB744" si="6279">L744*AA744/1000</f>
        <v>0</v>
      </c>
      <c r="AC744" s="97"/>
      <c r="AD744" s="97">
        <f t="shared" ref="AD744" si="6280">L744*AC744/1000</f>
        <v>0</v>
      </c>
      <c r="AE744" s="97"/>
      <c r="AF744" s="97">
        <f t="shared" ref="AF744" si="6281">L744*AE744/1000</f>
        <v>0</v>
      </c>
      <c r="AG744" s="97">
        <f t="shared" ref="AG744" si="6282">SUM(AA744+AC744+AE744)</f>
        <v>0</v>
      </c>
      <c r="AH744" s="97">
        <f t="shared" ref="AH744" si="6283">SUM(AB744+AD744+AF744)</f>
        <v>0</v>
      </c>
      <c r="AI744" s="97">
        <f t="shared" ref="AI744" si="6284">SUM(Y744+AG744)</f>
        <v>0</v>
      </c>
      <c r="AJ744" s="97">
        <f t="shared" ref="AJ744" si="6285">SUM(Z744,AH744)</f>
        <v>0</v>
      </c>
      <c r="AK744" s="97"/>
      <c r="AL744" s="97">
        <f t="shared" ref="AL744" si="6286">N744*AK744/1000</f>
        <v>0</v>
      </c>
      <c r="AM744" s="97"/>
      <c r="AN744" s="97">
        <f t="shared" ref="AN744" si="6287">N744*AM744/1000</f>
        <v>0</v>
      </c>
      <c r="AO744" s="97"/>
      <c r="AP744" s="97">
        <f t="shared" ref="AP744" si="6288">N744*AO744/1000</f>
        <v>0</v>
      </c>
      <c r="AQ744" s="97">
        <f t="shared" ref="AQ744" si="6289">SUM(AK744+AM744+AO744)</f>
        <v>0</v>
      </c>
      <c r="AR744" s="97">
        <f t="shared" ref="AR744" si="6290">SUM(AL744+AN744+AP744)</f>
        <v>0</v>
      </c>
      <c r="AS744" s="97"/>
      <c r="AT744" s="97">
        <f t="shared" ref="AT744" si="6291">P744*AS744/1000</f>
        <v>0</v>
      </c>
      <c r="AU744" s="97"/>
      <c r="AV744" s="97">
        <f t="shared" ref="AV744" si="6292">P744*AU744/1000</f>
        <v>0</v>
      </c>
      <c r="AW744" s="97"/>
      <c r="AX744" s="97">
        <f t="shared" ref="AX744" si="6293">P744*AW744/1000</f>
        <v>0</v>
      </c>
      <c r="AY744" s="97">
        <f t="shared" ref="AY744" si="6294">SUM(AS744+AU744+AW744)</f>
        <v>0</v>
      </c>
      <c r="AZ744" s="97">
        <f t="shared" ref="AZ744" si="6295">SUM(AT744+AV744+AX744)</f>
        <v>0</v>
      </c>
      <c r="BA744" s="97">
        <f t="shared" ref="BA744" si="6296">SUM(AQ744+AY744)</f>
        <v>0</v>
      </c>
      <c r="BB744" s="97">
        <f t="shared" ref="BB744" si="6297">SUM(AR744,AZ744)</f>
        <v>0</v>
      </c>
    </row>
    <row r="745" spans="1:54">
      <c r="B745" s="13"/>
      <c r="C745" s="13"/>
      <c r="D745" s="13"/>
      <c r="E745" s="63" t="s">
        <v>1275</v>
      </c>
      <c r="F745" s="425"/>
      <c r="G745" s="425" t="s">
        <v>1102</v>
      </c>
      <c r="H745" s="284" t="s">
        <v>365</v>
      </c>
      <c r="I745" s="67"/>
      <c r="J745" s="166">
        <v>7188</v>
      </c>
      <c r="K745" s="67"/>
      <c r="L745" s="166">
        <v>7188</v>
      </c>
      <c r="M745" s="67"/>
      <c r="N745" s="166">
        <v>7188</v>
      </c>
      <c r="O745" s="67"/>
      <c r="P745" s="166">
        <v>7188</v>
      </c>
      <c r="Q745" s="129">
        <f t="shared" si="6202"/>
        <v>25.853999999999999</v>
      </c>
      <c r="R745" s="350">
        <f t="shared" si="6203"/>
        <v>185.83855199999999</v>
      </c>
      <c r="S745" s="129">
        <v>4.8179999999999996</v>
      </c>
      <c r="T745" s="129">
        <f t="shared" si="6204"/>
        <v>34.631783999999996</v>
      </c>
      <c r="U745" s="129">
        <v>1.881</v>
      </c>
      <c r="V745" s="129">
        <f t="shared" si="6205"/>
        <v>13.520628</v>
      </c>
      <c r="W745" s="129">
        <v>1.0820000000000001</v>
      </c>
      <c r="X745" s="129">
        <f t="shared" si="6206"/>
        <v>7.7774160000000006</v>
      </c>
      <c r="Y745" s="129">
        <f t="shared" ref="Y745:Y747" si="6298">SUM(S745+U745+W745)</f>
        <v>7.7809999999999997</v>
      </c>
      <c r="Z745" s="129">
        <f t="shared" ref="Z745:Z747" si="6299">SUM(T745+V745+X745)</f>
        <v>55.929828000000001</v>
      </c>
      <c r="AA745" s="129">
        <v>0.45</v>
      </c>
      <c r="AB745" s="129">
        <f t="shared" si="6208"/>
        <v>3.2345999999999999</v>
      </c>
      <c r="AC745" s="129">
        <v>1.2609999999999999</v>
      </c>
      <c r="AD745" s="129">
        <f t="shared" si="6209"/>
        <v>9.0640679999999989</v>
      </c>
      <c r="AE745" s="129">
        <v>1.714</v>
      </c>
      <c r="AF745" s="129">
        <f t="shared" si="6210"/>
        <v>12.320232000000001</v>
      </c>
      <c r="AG745" s="129">
        <f t="shared" ref="AG745:AG747" si="6300">SUM(AA745+AC745+AE745)</f>
        <v>3.4249999999999998</v>
      </c>
      <c r="AH745" s="129">
        <f t="shared" ref="AH745:AH747" si="6301">SUM(AB745+AD745+AF745)</f>
        <v>24.6189</v>
      </c>
      <c r="AI745" s="129">
        <f t="shared" si="5866"/>
        <v>11.206</v>
      </c>
      <c r="AJ745" s="129">
        <f t="shared" si="5867"/>
        <v>80.548727999999997</v>
      </c>
      <c r="AK745" s="129">
        <v>1.196</v>
      </c>
      <c r="AL745" s="129">
        <f t="shared" si="6212"/>
        <v>8.5968479999999996</v>
      </c>
      <c r="AM745" s="129">
        <v>2.1419999999999999</v>
      </c>
      <c r="AN745" s="129">
        <f t="shared" si="6213"/>
        <v>15.396696</v>
      </c>
      <c r="AO745" s="129">
        <v>2.5840000000000001</v>
      </c>
      <c r="AP745" s="129">
        <f t="shared" si="6214"/>
        <v>18.573792000000001</v>
      </c>
      <c r="AQ745" s="129">
        <f t="shared" ref="AQ745" si="6302">SUM(AK745+AM745+AO745)</f>
        <v>5.9220000000000006</v>
      </c>
      <c r="AR745" s="129">
        <f t="shared" ref="AR745" si="6303">SUM(AL745+AN745+AP745)</f>
        <v>42.567335999999997</v>
      </c>
      <c r="AS745" s="129">
        <v>3.972</v>
      </c>
      <c r="AT745" s="129">
        <f t="shared" si="6216"/>
        <v>28.550736000000001</v>
      </c>
      <c r="AU745" s="129">
        <v>3.7280000000000002</v>
      </c>
      <c r="AV745" s="129">
        <f t="shared" si="6217"/>
        <v>26.796864000000003</v>
      </c>
      <c r="AW745" s="129">
        <v>1.026</v>
      </c>
      <c r="AX745" s="129">
        <f t="shared" si="6218"/>
        <v>7.3748880000000003</v>
      </c>
      <c r="AY745" s="129">
        <f t="shared" ref="AY745" si="6304">SUM(AS745+AU745+AW745)</f>
        <v>8.7260000000000009</v>
      </c>
      <c r="AZ745" s="129">
        <f t="shared" ref="AZ745" si="6305">SUM(AT745+AV745+AX745)</f>
        <v>62.722487999999998</v>
      </c>
      <c r="BA745" s="129">
        <f t="shared" si="5877"/>
        <v>14.648000000000001</v>
      </c>
      <c r="BB745" s="129">
        <f t="shared" si="5878"/>
        <v>105.289824</v>
      </c>
    </row>
    <row r="746" spans="1:54">
      <c r="B746" s="13"/>
      <c r="C746" s="13"/>
      <c r="D746" s="13"/>
      <c r="E746" s="491" t="s">
        <v>1381</v>
      </c>
      <c r="F746" s="492"/>
      <c r="G746" s="492" t="s">
        <v>1101</v>
      </c>
      <c r="H746" s="493" t="s">
        <v>365</v>
      </c>
      <c r="I746" s="494"/>
      <c r="J746" s="495">
        <v>5475</v>
      </c>
      <c r="K746" s="494"/>
      <c r="L746" s="495">
        <v>5475</v>
      </c>
      <c r="M746" s="494"/>
      <c r="N746" s="495">
        <v>5475</v>
      </c>
      <c r="O746" s="494"/>
      <c r="P746" s="495">
        <v>5475</v>
      </c>
      <c r="Q746" s="496">
        <f t="shared" si="6202"/>
        <v>0</v>
      </c>
      <c r="R746" s="497">
        <f t="shared" si="6203"/>
        <v>0</v>
      </c>
      <c r="S746" s="496"/>
      <c r="T746" s="496">
        <f t="shared" si="6204"/>
        <v>0</v>
      </c>
      <c r="U746" s="496"/>
      <c r="V746" s="496">
        <f t="shared" si="6205"/>
        <v>0</v>
      </c>
      <c r="W746" s="496"/>
      <c r="X746" s="496">
        <f t="shared" si="6206"/>
        <v>0</v>
      </c>
      <c r="Y746" s="496">
        <f t="shared" si="6298"/>
        <v>0</v>
      </c>
      <c r="Z746" s="496">
        <f t="shared" si="6299"/>
        <v>0</v>
      </c>
      <c r="AA746" s="496"/>
      <c r="AB746" s="496">
        <f t="shared" si="6208"/>
        <v>0</v>
      </c>
      <c r="AC746" s="496"/>
      <c r="AD746" s="496">
        <f t="shared" si="6209"/>
        <v>0</v>
      </c>
      <c r="AE746" s="496"/>
      <c r="AF746" s="496">
        <f t="shared" si="6210"/>
        <v>0</v>
      </c>
      <c r="AG746" s="496">
        <f t="shared" si="6300"/>
        <v>0</v>
      </c>
      <c r="AH746" s="496">
        <f t="shared" si="6301"/>
        <v>0</v>
      </c>
      <c r="AI746" s="496">
        <f t="shared" si="5866"/>
        <v>0</v>
      </c>
      <c r="AJ746" s="496">
        <f t="shared" si="5867"/>
        <v>0</v>
      </c>
      <c r="AK746" s="496"/>
      <c r="AL746" s="496">
        <f t="shared" si="6212"/>
        <v>0</v>
      </c>
      <c r="AM746" s="496"/>
      <c r="AN746" s="496">
        <f t="shared" si="6213"/>
        <v>0</v>
      </c>
      <c r="AO746" s="496"/>
      <c r="AP746" s="496">
        <f t="shared" si="6214"/>
        <v>0</v>
      </c>
      <c r="AQ746" s="496">
        <f>SUM(AK746+AM746+AO746)</f>
        <v>0</v>
      </c>
      <c r="AR746" s="496">
        <f>SUM(AL746+AN746+AP746)</f>
        <v>0</v>
      </c>
      <c r="AS746" s="496"/>
      <c r="AT746" s="496">
        <f t="shared" si="6216"/>
        <v>0</v>
      </c>
      <c r="AU746" s="496"/>
      <c r="AV746" s="496">
        <f t="shared" si="6217"/>
        <v>0</v>
      </c>
      <c r="AW746" s="496"/>
      <c r="AX746" s="496">
        <f t="shared" si="6218"/>
        <v>0</v>
      </c>
      <c r="AY746" s="496">
        <f>SUM(AS746+AU746+AW746)</f>
        <v>0</v>
      </c>
      <c r="AZ746" s="496">
        <f>SUM(AT746+AV746+AX746)</f>
        <v>0</v>
      </c>
      <c r="BA746" s="496">
        <f t="shared" si="5877"/>
        <v>0</v>
      </c>
      <c r="BB746" s="496">
        <f t="shared" si="5878"/>
        <v>0</v>
      </c>
    </row>
    <row r="747" spans="1:54">
      <c r="B747" s="13"/>
      <c r="C747" s="13"/>
      <c r="D747" s="13"/>
      <c r="E747" s="491" t="s">
        <v>1330</v>
      </c>
      <c r="F747" s="492"/>
      <c r="G747" s="492" t="s">
        <v>1101</v>
      </c>
      <c r="H747" s="493" t="s">
        <v>365</v>
      </c>
      <c r="I747" s="494"/>
      <c r="J747" s="495">
        <v>7951</v>
      </c>
      <c r="K747" s="494"/>
      <c r="L747" s="495">
        <v>7951</v>
      </c>
      <c r="M747" s="494"/>
      <c r="N747" s="495">
        <v>7951</v>
      </c>
      <c r="O747" s="494"/>
      <c r="P747" s="495">
        <v>7951</v>
      </c>
      <c r="Q747" s="496">
        <f t="shared" si="6202"/>
        <v>1.3809999999999998</v>
      </c>
      <c r="R747" s="497">
        <f t="shared" si="6203"/>
        <v>10.980331</v>
      </c>
      <c r="S747" s="496">
        <v>0.122</v>
      </c>
      <c r="T747" s="496">
        <f t="shared" si="6204"/>
        <v>0.97002199999999994</v>
      </c>
      <c r="U747" s="496">
        <v>0.19400000000000001</v>
      </c>
      <c r="V747" s="496">
        <f t="shared" si="6205"/>
        <v>1.542494</v>
      </c>
      <c r="W747" s="496">
        <v>0.112</v>
      </c>
      <c r="X747" s="496">
        <f t="shared" si="6206"/>
        <v>0.89051200000000008</v>
      </c>
      <c r="Y747" s="496">
        <f t="shared" si="6298"/>
        <v>0.42799999999999999</v>
      </c>
      <c r="Z747" s="496">
        <f t="shared" si="6299"/>
        <v>3.4030279999999999</v>
      </c>
      <c r="AA747" s="496">
        <v>0.24399999999999999</v>
      </c>
      <c r="AB747" s="496">
        <f t="shared" si="6208"/>
        <v>1.9400439999999999</v>
      </c>
      <c r="AC747" s="496">
        <v>9.9000000000000005E-2</v>
      </c>
      <c r="AD747" s="496">
        <f t="shared" si="6209"/>
        <v>0.78714899999999999</v>
      </c>
      <c r="AE747" s="496">
        <v>0.17299999999999999</v>
      </c>
      <c r="AF747" s="496">
        <f t="shared" si="6210"/>
        <v>1.3755229999999998</v>
      </c>
      <c r="AG747" s="496">
        <f t="shared" si="6300"/>
        <v>0.51600000000000001</v>
      </c>
      <c r="AH747" s="496">
        <f t="shared" si="6301"/>
        <v>4.1027159999999991</v>
      </c>
      <c r="AI747" s="496">
        <f t="shared" si="5866"/>
        <v>0.94399999999999995</v>
      </c>
      <c r="AJ747" s="496">
        <f t="shared" si="5867"/>
        <v>7.5057439999999991</v>
      </c>
      <c r="AK747" s="496"/>
      <c r="AL747" s="496">
        <f t="shared" si="6212"/>
        <v>0</v>
      </c>
      <c r="AM747" s="496">
        <v>9.1999999999999998E-2</v>
      </c>
      <c r="AN747" s="496">
        <f t="shared" si="6213"/>
        <v>0.73149199999999992</v>
      </c>
      <c r="AO747" s="496"/>
      <c r="AP747" s="496">
        <f t="shared" si="6214"/>
        <v>0</v>
      </c>
      <c r="AQ747" s="496">
        <f>SUM(AK747+AM747+AO747)</f>
        <v>9.1999999999999998E-2</v>
      </c>
      <c r="AR747" s="496">
        <f>SUM(AL747+AN747+AP747)</f>
        <v>0.73149199999999992</v>
      </c>
      <c r="AS747" s="496">
        <v>0.29399999999999998</v>
      </c>
      <c r="AT747" s="496">
        <f t="shared" si="6216"/>
        <v>2.3375940000000002</v>
      </c>
      <c r="AU747" s="496"/>
      <c r="AV747" s="496">
        <f t="shared" si="6217"/>
        <v>0</v>
      </c>
      <c r="AW747" s="496">
        <v>5.0999999999999997E-2</v>
      </c>
      <c r="AX747" s="496">
        <f t="shared" si="6218"/>
        <v>0.405501</v>
      </c>
      <c r="AY747" s="496">
        <f>SUM(AS747+AU747+AW747)</f>
        <v>0.34499999999999997</v>
      </c>
      <c r="AZ747" s="496">
        <f>SUM(AT747+AV747+AX747)</f>
        <v>2.7430950000000003</v>
      </c>
      <c r="BA747" s="496">
        <f t="shared" si="5877"/>
        <v>0.43699999999999994</v>
      </c>
      <c r="BB747" s="496">
        <f t="shared" si="5878"/>
        <v>3.4745870000000001</v>
      </c>
    </row>
    <row r="748" spans="1:54">
      <c r="A748" s="498">
        <v>521</v>
      </c>
      <c r="B748" s="13"/>
      <c r="C748" s="13"/>
      <c r="D748" s="13"/>
      <c r="E748" s="13" t="s">
        <v>1185</v>
      </c>
      <c r="F748" s="23"/>
      <c r="G748" s="23" t="s">
        <v>1105</v>
      </c>
      <c r="H748" s="269" t="s">
        <v>366</v>
      </c>
      <c r="I748" s="74"/>
      <c r="J748" s="171">
        <v>13528</v>
      </c>
      <c r="K748" s="74"/>
      <c r="L748" s="171">
        <v>13528</v>
      </c>
      <c r="M748" s="74"/>
      <c r="N748" s="171">
        <v>13528</v>
      </c>
      <c r="O748" s="74"/>
      <c r="P748" s="171">
        <v>13528</v>
      </c>
      <c r="Q748" s="119">
        <f t="shared" si="6202"/>
        <v>0</v>
      </c>
      <c r="R748" s="349">
        <f t="shared" si="6203"/>
        <v>0</v>
      </c>
      <c r="S748" s="119"/>
      <c r="T748" s="119">
        <f>J748*S748/1000</f>
        <v>0</v>
      </c>
      <c r="U748" s="119"/>
      <c r="V748" s="119">
        <f>J748*U748/1000</f>
        <v>0</v>
      </c>
      <c r="W748" s="119"/>
      <c r="X748" s="119">
        <f>J748*W748/1000</f>
        <v>0</v>
      </c>
      <c r="Y748" s="119">
        <f>SUM(S748+U748+W748)</f>
        <v>0</v>
      </c>
      <c r="Z748" s="119">
        <f t="shared" si="5861"/>
        <v>0</v>
      </c>
      <c r="AA748" s="119"/>
      <c r="AB748" s="119">
        <f t="shared" si="6208"/>
        <v>0</v>
      </c>
      <c r="AC748" s="119"/>
      <c r="AD748" s="119">
        <f t="shared" si="6209"/>
        <v>0</v>
      </c>
      <c r="AE748" s="119"/>
      <c r="AF748" s="119">
        <f t="shared" si="6210"/>
        <v>0</v>
      </c>
      <c r="AG748" s="119">
        <f>SUM(AA748+AC748+AE748)</f>
        <v>0</v>
      </c>
      <c r="AH748" s="119">
        <f t="shared" si="5865"/>
        <v>0</v>
      </c>
      <c r="AI748" s="119">
        <f t="shared" si="5866"/>
        <v>0</v>
      </c>
      <c r="AJ748" s="119">
        <f t="shared" si="5867"/>
        <v>0</v>
      </c>
      <c r="AK748" s="119"/>
      <c r="AL748" s="119">
        <f t="shared" si="6212"/>
        <v>0</v>
      </c>
      <c r="AM748" s="119"/>
      <c r="AN748" s="119">
        <f>N748*AM748/1000</f>
        <v>0</v>
      </c>
      <c r="AO748" s="119"/>
      <c r="AP748" s="119">
        <f>N748*AO748/1000</f>
        <v>0</v>
      </c>
      <c r="AQ748" s="119">
        <f>SUM(AK748+AM748+AO748)</f>
        <v>0</v>
      </c>
      <c r="AR748" s="119">
        <f t="shared" si="5871"/>
        <v>0</v>
      </c>
      <c r="AS748" s="119"/>
      <c r="AT748" s="119">
        <f>P748*AS748/1000</f>
        <v>0</v>
      </c>
      <c r="AU748" s="119"/>
      <c r="AV748" s="119">
        <f>P748*AU748/1000</f>
        <v>0</v>
      </c>
      <c r="AW748" s="119"/>
      <c r="AX748" s="119">
        <f t="shared" si="6218"/>
        <v>0</v>
      </c>
      <c r="AY748" s="119">
        <f>SUM(AS748+AU748+AW748)</f>
        <v>0</v>
      </c>
      <c r="AZ748" s="119">
        <f t="shared" si="5876"/>
        <v>0</v>
      </c>
      <c r="BA748" s="119">
        <f t="shared" si="5877"/>
        <v>0</v>
      </c>
      <c r="BB748" s="119">
        <f t="shared" si="5878"/>
        <v>0</v>
      </c>
    </row>
    <row r="749" spans="1:54">
      <c r="A749" s="498">
        <v>522</v>
      </c>
      <c r="B749" s="13"/>
      <c r="C749" s="13"/>
      <c r="D749" s="13"/>
      <c r="E749" s="491" t="s">
        <v>1145</v>
      </c>
      <c r="F749" s="492"/>
      <c r="G749" s="425" t="s">
        <v>1105</v>
      </c>
      <c r="H749" s="493" t="s">
        <v>366</v>
      </c>
      <c r="I749" s="494"/>
      <c r="J749" s="495">
        <v>14646</v>
      </c>
      <c r="K749" s="494"/>
      <c r="L749" s="495">
        <v>14646</v>
      </c>
      <c r="M749" s="494"/>
      <c r="N749" s="495">
        <v>14646</v>
      </c>
      <c r="O749" s="494"/>
      <c r="P749" s="495">
        <v>14690</v>
      </c>
      <c r="Q749" s="496">
        <f t="shared" ref="Q749" si="6306">SUM(AI749+BA749)</f>
        <v>2.3920000000000003</v>
      </c>
      <c r="R749" s="497">
        <f t="shared" ref="R749" si="6307">SUM(AJ749+BB749)</f>
        <v>35.074767999999992</v>
      </c>
      <c r="S749" s="496"/>
      <c r="T749" s="496">
        <f t="shared" ref="T749" si="6308">J749*S749/1000</f>
        <v>0</v>
      </c>
      <c r="U749" s="496"/>
      <c r="V749" s="496">
        <f t="shared" ref="V749" si="6309">J749*U749/1000</f>
        <v>0</v>
      </c>
      <c r="W749" s="496"/>
      <c r="X749" s="496">
        <f t="shared" ref="X749" si="6310">J749*W749/1000</f>
        <v>0</v>
      </c>
      <c r="Y749" s="496">
        <f t="shared" ref="Y749" si="6311">SUM(S749+U749+W749)</f>
        <v>0</v>
      </c>
      <c r="Z749" s="496">
        <f t="shared" ref="Z749" si="6312">SUM(T749+V749+X749)</f>
        <v>0</v>
      </c>
      <c r="AA749" s="496">
        <v>5.6000000000000001E-2</v>
      </c>
      <c r="AB749" s="496">
        <f t="shared" ref="AB749" si="6313">L749*AA749/1000</f>
        <v>0.82017600000000002</v>
      </c>
      <c r="AC749" s="496">
        <v>5.6000000000000001E-2</v>
      </c>
      <c r="AD749" s="496">
        <f t="shared" ref="AD749" si="6314">L749*AC749/1000</f>
        <v>0.82017600000000002</v>
      </c>
      <c r="AE749" s="496">
        <v>5.6000000000000001E-2</v>
      </c>
      <c r="AF749" s="496">
        <f t="shared" ref="AF749" si="6315">L749*AE749/1000</f>
        <v>0.82017600000000002</v>
      </c>
      <c r="AG749" s="496">
        <f t="shared" ref="AG749" si="6316">SUM(AA749+AC749+AE749)</f>
        <v>0.16800000000000001</v>
      </c>
      <c r="AH749" s="496">
        <f t="shared" ref="AH749" si="6317">SUM(AB749+AD749+AF749)</f>
        <v>2.460528</v>
      </c>
      <c r="AI749" s="496">
        <f t="shared" ref="AI749" si="6318">SUM(Y749+AG749)</f>
        <v>0.16800000000000001</v>
      </c>
      <c r="AJ749" s="496">
        <f t="shared" ref="AJ749" si="6319">SUM(Z749,AH749)</f>
        <v>2.460528</v>
      </c>
      <c r="AK749" s="496">
        <v>0.16800000000000001</v>
      </c>
      <c r="AL749" s="496">
        <f t="shared" ref="AL749" si="6320">N749*AK749/1000</f>
        <v>2.460528</v>
      </c>
      <c r="AM749" s="496">
        <v>0.71199999999999997</v>
      </c>
      <c r="AN749" s="496">
        <f t="shared" ref="AN749" si="6321">N749*AM749/1000</f>
        <v>10.427951999999999</v>
      </c>
      <c r="AO749" s="496">
        <v>0.4</v>
      </c>
      <c r="AP749" s="496">
        <f t="shared" ref="AP749" si="6322">N749*AO749/1000</f>
        <v>5.8584000000000005</v>
      </c>
      <c r="AQ749" s="496">
        <f t="shared" ref="AQ749" si="6323">SUM(AK749+AM749+AO749)</f>
        <v>1.28</v>
      </c>
      <c r="AR749" s="496">
        <f t="shared" ref="AR749" si="6324">SUM(AL749+AN749+AP749)</f>
        <v>18.746880000000001</v>
      </c>
      <c r="AS749" s="496">
        <v>0.25</v>
      </c>
      <c r="AT749" s="496">
        <f t="shared" ref="AT749" si="6325">P749*AS749/1000</f>
        <v>3.6724999999999999</v>
      </c>
      <c r="AU749" s="496"/>
      <c r="AV749" s="496">
        <f t="shared" ref="AV749" si="6326">P749*AU749/1000</f>
        <v>0</v>
      </c>
      <c r="AW749" s="496">
        <v>0.69399999999999995</v>
      </c>
      <c r="AX749" s="496">
        <f t="shared" ref="AX749" si="6327">P749*AW749/1000</f>
        <v>10.194859999999998</v>
      </c>
      <c r="AY749" s="496">
        <f t="shared" ref="AY749" si="6328">SUM(AS749+AU749+AW749)</f>
        <v>0.94399999999999995</v>
      </c>
      <c r="AZ749" s="496">
        <f t="shared" ref="AZ749" si="6329">SUM(AT749+AV749+AX749)</f>
        <v>13.867359999999998</v>
      </c>
      <c r="BA749" s="496">
        <f t="shared" ref="BA749" si="6330">SUM(AQ749+AY749)</f>
        <v>2.2240000000000002</v>
      </c>
      <c r="BB749" s="496">
        <f t="shared" ref="BB749" si="6331">SUM(AR749,AZ749)</f>
        <v>32.614239999999995</v>
      </c>
    </row>
    <row r="750" spans="1:54">
      <c r="A750" s="498">
        <v>523</v>
      </c>
      <c r="B750" s="13"/>
      <c r="C750" s="13"/>
      <c r="D750" s="13"/>
      <c r="E750" s="491" t="s">
        <v>1146</v>
      </c>
      <c r="F750" s="492"/>
      <c r="G750" s="425" t="s">
        <v>1105</v>
      </c>
      <c r="H750" s="493" t="s">
        <v>366</v>
      </c>
      <c r="I750" s="494"/>
      <c r="J750" s="495">
        <v>8772</v>
      </c>
      <c r="K750" s="494"/>
      <c r="L750" s="495">
        <v>8772</v>
      </c>
      <c r="M750" s="494"/>
      <c r="N750" s="495">
        <v>8772</v>
      </c>
      <c r="O750" s="494"/>
      <c r="P750" s="495">
        <v>8772</v>
      </c>
      <c r="Q750" s="496">
        <f t="shared" si="6202"/>
        <v>0.77400000000000002</v>
      </c>
      <c r="R750" s="497">
        <f t="shared" si="6203"/>
        <v>6.7895280000000007</v>
      </c>
      <c r="S750" s="496"/>
      <c r="T750" s="496">
        <f t="shared" ref="T750" si="6332">J750*S750/1000</f>
        <v>0</v>
      </c>
      <c r="U750" s="496"/>
      <c r="V750" s="496">
        <f t="shared" ref="V750" si="6333">J750*U750/1000</f>
        <v>0</v>
      </c>
      <c r="W750" s="496"/>
      <c r="X750" s="496">
        <f t="shared" ref="X750" si="6334">J750*W750/1000</f>
        <v>0</v>
      </c>
      <c r="Y750" s="496">
        <f t="shared" ref="Y750" si="6335">SUM(S750+U750+W750)</f>
        <v>0</v>
      </c>
      <c r="Z750" s="496">
        <f t="shared" ref="Z750" si="6336">SUM(T750+V750+X750)</f>
        <v>0</v>
      </c>
      <c r="AA750" s="496">
        <v>5.6000000000000001E-2</v>
      </c>
      <c r="AB750" s="496">
        <f t="shared" si="6208"/>
        <v>0.491232</v>
      </c>
      <c r="AC750" s="496">
        <v>5.6000000000000001E-2</v>
      </c>
      <c r="AD750" s="496">
        <f t="shared" si="6209"/>
        <v>0.491232</v>
      </c>
      <c r="AE750" s="496">
        <v>5.6000000000000001E-2</v>
      </c>
      <c r="AF750" s="496">
        <f t="shared" si="6210"/>
        <v>0.491232</v>
      </c>
      <c r="AG750" s="496">
        <f t="shared" ref="AG750" si="6337">SUM(AA750+AC750+AE750)</f>
        <v>0.16800000000000001</v>
      </c>
      <c r="AH750" s="496">
        <f t="shared" ref="AH750" si="6338">SUM(AB750+AD750+AF750)</f>
        <v>1.4736959999999999</v>
      </c>
      <c r="AI750" s="496">
        <f t="shared" si="5866"/>
        <v>0.16800000000000001</v>
      </c>
      <c r="AJ750" s="496">
        <f t="shared" si="5867"/>
        <v>1.4736959999999999</v>
      </c>
      <c r="AK750" s="496">
        <v>0.16800000000000001</v>
      </c>
      <c r="AL750" s="496">
        <f t="shared" si="6212"/>
        <v>1.4736960000000001</v>
      </c>
      <c r="AM750" s="496">
        <v>0.112</v>
      </c>
      <c r="AN750" s="496">
        <f t="shared" ref="AN750" si="6339">N750*AM750/1000</f>
        <v>0.982464</v>
      </c>
      <c r="AO750" s="496">
        <v>0.1</v>
      </c>
      <c r="AP750" s="496">
        <f t="shared" ref="AP750" si="6340">N750*AO750/1000</f>
        <v>0.87720000000000009</v>
      </c>
      <c r="AQ750" s="496">
        <f t="shared" ref="AQ750" si="6341">SUM(AK750+AM750+AO750)</f>
        <v>0.38</v>
      </c>
      <c r="AR750" s="496">
        <f t="shared" ref="AR750" si="6342">SUM(AL750+AN750+AP750)</f>
        <v>3.3333600000000003</v>
      </c>
      <c r="AS750" s="496">
        <v>1E-3</v>
      </c>
      <c r="AT750" s="496">
        <f t="shared" ref="AT750" si="6343">P750*AS750/1000</f>
        <v>8.7720000000000003E-3</v>
      </c>
      <c r="AU750" s="496"/>
      <c r="AV750" s="496">
        <f t="shared" ref="AV750" si="6344">P750*AU750/1000</f>
        <v>0</v>
      </c>
      <c r="AW750" s="496">
        <v>0.22500000000000001</v>
      </c>
      <c r="AX750" s="496">
        <f t="shared" si="6218"/>
        <v>1.9737</v>
      </c>
      <c r="AY750" s="496">
        <f t="shared" ref="AY750" si="6345">SUM(AS750+AU750+AW750)</f>
        <v>0.22600000000000001</v>
      </c>
      <c r="AZ750" s="496">
        <f t="shared" ref="AZ750" si="6346">SUM(AT750+AV750+AX750)</f>
        <v>1.982472</v>
      </c>
      <c r="BA750" s="496">
        <f t="shared" si="5877"/>
        <v>0.60599999999999998</v>
      </c>
      <c r="BB750" s="496">
        <f t="shared" si="5878"/>
        <v>5.3158320000000003</v>
      </c>
    </row>
    <row r="751" spans="1:54">
      <c r="A751" s="498">
        <v>524</v>
      </c>
      <c r="B751" s="13"/>
      <c r="C751" s="13"/>
      <c r="D751" s="13"/>
      <c r="E751" s="90" t="s">
        <v>622</v>
      </c>
      <c r="F751" s="430"/>
      <c r="G751" s="430" t="s">
        <v>1105</v>
      </c>
      <c r="H751" s="287" t="s">
        <v>366</v>
      </c>
      <c r="I751" s="76"/>
      <c r="J751" s="168">
        <v>10511</v>
      </c>
      <c r="K751" s="76"/>
      <c r="L751" s="168">
        <v>10511</v>
      </c>
      <c r="M751" s="76"/>
      <c r="N751" s="168">
        <v>10511</v>
      </c>
      <c r="O751" s="76"/>
      <c r="P751" s="168">
        <v>10511</v>
      </c>
      <c r="Q751" s="131">
        <f t="shared" ref="Q751:Q752" si="6347">SUM(AI751+BA751)</f>
        <v>7.3999999999999996E-2</v>
      </c>
      <c r="R751" s="352">
        <f t="shared" ref="R751:R756" si="6348">SUM(AJ751+BB751)</f>
        <v>0.77781400000000012</v>
      </c>
      <c r="S751" s="131"/>
      <c r="T751" s="131">
        <f>J751*S751/1000</f>
        <v>0</v>
      </c>
      <c r="U751" s="131">
        <v>1.2999999999999999E-2</v>
      </c>
      <c r="V751" s="131">
        <f>J751*U751/1000</f>
        <v>0.13664300000000001</v>
      </c>
      <c r="W751" s="131"/>
      <c r="X751" s="131">
        <f>J751*W751/1000</f>
        <v>0</v>
      </c>
      <c r="Y751" s="131">
        <f>SUM(S751+U751+W751)</f>
        <v>1.2999999999999999E-2</v>
      </c>
      <c r="Z751" s="131">
        <f t="shared" ref="Z751:Z758" si="6349">SUM(T751+V751+X751)</f>
        <v>0.13664300000000001</v>
      </c>
      <c r="AA751" s="131"/>
      <c r="AB751" s="131">
        <f t="shared" ref="AB751:AB766" si="6350">L751*AA751/1000</f>
        <v>0</v>
      </c>
      <c r="AC751" s="131">
        <v>3.0000000000000001E-3</v>
      </c>
      <c r="AD751" s="131">
        <f t="shared" ref="AD751:AD766" si="6351">L751*AC751/1000</f>
        <v>3.1532999999999999E-2</v>
      </c>
      <c r="AE751" s="131">
        <v>3.0000000000000001E-3</v>
      </c>
      <c r="AF751" s="131">
        <f>L751*AE751/1000</f>
        <v>3.1532999999999999E-2</v>
      </c>
      <c r="AG751" s="131">
        <f>SUM(AA751+AC751+AE751)</f>
        <v>6.0000000000000001E-3</v>
      </c>
      <c r="AH751" s="131">
        <f t="shared" ref="AH751:AH752" si="6352">SUM(AB751+AD751+AF751)</f>
        <v>6.3065999999999997E-2</v>
      </c>
      <c r="AI751" s="131">
        <f t="shared" ref="AI751:AI756" si="6353">SUM(Y751+AG751)</f>
        <v>1.9E-2</v>
      </c>
      <c r="AJ751" s="131">
        <f t="shared" ref="AJ751:AJ756" si="6354">SUM(Z751,AH751)</f>
        <v>0.19970900000000003</v>
      </c>
      <c r="AK751" s="131"/>
      <c r="AL751" s="131">
        <f>N751*AK751/1000</f>
        <v>0</v>
      </c>
      <c r="AM751" s="131">
        <v>0.01</v>
      </c>
      <c r="AN751" s="131">
        <f>N751*AM751/1000</f>
        <v>0.10511</v>
      </c>
      <c r="AO751" s="131"/>
      <c r="AP751" s="131">
        <f>N751*AO751/1000</f>
        <v>0</v>
      </c>
      <c r="AQ751" s="131">
        <f>SUM(AK751+AM751+AO751)</f>
        <v>0.01</v>
      </c>
      <c r="AR751" s="131">
        <f t="shared" ref="AR751:AR758" si="6355">SUM(AL751+AN751+AP751)</f>
        <v>0.10511</v>
      </c>
      <c r="AS751" s="131"/>
      <c r="AT751" s="131">
        <f>P751*AS751/1000</f>
        <v>0</v>
      </c>
      <c r="AU751" s="131">
        <v>0.02</v>
      </c>
      <c r="AV751" s="131">
        <f>P751*AU751/1000</f>
        <v>0.21021999999999999</v>
      </c>
      <c r="AW751" s="131">
        <v>2.5000000000000001E-2</v>
      </c>
      <c r="AX751" s="131">
        <f t="shared" ref="AX751:AX756" si="6356">P751*AW751/1000</f>
        <v>0.26277500000000004</v>
      </c>
      <c r="AY751" s="131">
        <f>SUM(AS751+AU751+AW751)</f>
        <v>4.4999999999999998E-2</v>
      </c>
      <c r="AZ751" s="131">
        <f t="shared" ref="AZ751:AZ758" si="6357">SUM(AT751+AV751+AX751)</f>
        <v>0.47299500000000005</v>
      </c>
      <c r="BA751" s="131">
        <f t="shared" ref="BA751:BA756" si="6358">SUM(AQ751+AY751)</f>
        <v>5.5E-2</v>
      </c>
      <c r="BB751" s="131">
        <f t="shared" ref="BB751:BB756" si="6359">SUM(AR751,AZ751)</f>
        <v>0.57810500000000009</v>
      </c>
    </row>
    <row r="752" spans="1:54">
      <c r="A752" s="498">
        <v>525</v>
      </c>
      <c r="B752" s="13"/>
      <c r="C752" s="13"/>
      <c r="D752" s="13"/>
      <c r="E752" s="21" t="s">
        <v>724</v>
      </c>
      <c r="F752" s="46"/>
      <c r="G752" s="46" t="s">
        <v>1105</v>
      </c>
      <c r="H752" s="268" t="s">
        <v>366</v>
      </c>
      <c r="I752" s="55"/>
      <c r="J752" s="163">
        <v>11886</v>
      </c>
      <c r="K752" s="55"/>
      <c r="L752" s="163">
        <v>11886</v>
      </c>
      <c r="M752" s="55"/>
      <c r="N752" s="163">
        <v>11886</v>
      </c>
      <c r="O752" s="55"/>
      <c r="P752" s="163">
        <v>11886</v>
      </c>
      <c r="Q752" s="97">
        <f t="shared" si="6347"/>
        <v>6.9420000000000002</v>
      </c>
      <c r="R752" s="342">
        <f t="shared" si="6348"/>
        <v>82.51261199999999</v>
      </c>
      <c r="S752" s="97">
        <v>0.40400000000000003</v>
      </c>
      <c r="T752" s="97">
        <f t="shared" ref="T752" si="6360">J752*S752/1000</f>
        <v>4.8019440000000007</v>
      </c>
      <c r="U752" s="97">
        <v>1.175</v>
      </c>
      <c r="V752" s="97">
        <f t="shared" ref="V752" si="6361">J752*U752/1000</f>
        <v>13.966050000000001</v>
      </c>
      <c r="W752" s="97">
        <v>1</v>
      </c>
      <c r="X752" s="97">
        <f t="shared" ref="X752" si="6362">J752*W752/1000</f>
        <v>11.885999999999999</v>
      </c>
      <c r="Y752" s="97">
        <f t="shared" ref="Y752:Y758" si="6363">SUM(S752+U752+W752)</f>
        <v>2.5790000000000002</v>
      </c>
      <c r="Z752" s="97">
        <f t="shared" si="6349"/>
        <v>30.653994000000001</v>
      </c>
      <c r="AA752" s="97">
        <v>0.94499999999999995</v>
      </c>
      <c r="AB752" s="97">
        <f t="shared" si="6350"/>
        <v>11.232269999999998</v>
      </c>
      <c r="AC752" s="97">
        <v>0.156</v>
      </c>
      <c r="AD752" s="97">
        <f t="shared" si="6351"/>
        <v>1.8542159999999999</v>
      </c>
      <c r="AE752" s="97">
        <v>0.3</v>
      </c>
      <c r="AF752" s="97">
        <f t="shared" ref="AF752" si="6364">L752*AE752/1000</f>
        <v>3.5657999999999999</v>
      </c>
      <c r="AG752" s="97">
        <f t="shared" ref="AG752" si="6365">SUM(AA752+AC752+AE752)</f>
        <v>1.401</v>
      </c>
      <c r="AH752" s="97">
        <f t="shared" si="6352"/>
        <v>16.652285999999997</v>
      </c>
      <c r="AI752" s="97">
        <f t="shared" si="6353"/>
        <v>3.9800000000000004</v>
      </c>
      <c r="AJ752" s="97">
        <f t="shared" si="6354"/>
        <v>47.306280000000001</v>
      </c>
      <c r="AK752" s="97">
        <v>0.30499999999999999</v>
      </c>
      <c r="AL752" s="97">
        <f t="shared" ref="AL752" si="6366">N752*AK752/1000</f>
        <v>3.6252300000000002</v>
      </c>
      <c r="AM752" s="97">
        <v>0.70599999999999996</v>
      </c>
      <c r="AN752" s="97">
        <f t="shared" ref="AN752:AN756" si="6367">N752*AM752/1000</f>
        <v>8.3915159999999993</v>
      </c>
      <c r="AO752" s="97">
        <v>0.30299999999999999</v>
      </c>
      <c r="AP752" s="97">
        <f t="shared" ref="AP752:AP756" si="6368">N752*AO752/1000</f>
        <v>3.601458</v>
      </c>
      <c r="AQ752" s="97">
        <f t="shared" ref="AQ752:AQ758" si="6369">SUM(AK752+AM752+AO752)</f>
        <v>1.3139999999999998</v>
      </c>
      <c r="AR752" s="97">
        <f t="shared" si="6355"/>
        <v>15.618203999999999</v>
      </c>
      <c r="AS752" s="97">
        <v>0.153</v>
      </c>
      <c r="AT752" s="97">
        <f t="shared" ref="AT752:AT756" si="6370">P752*AS752/1000</f>
        <v>1.8185579999999999</v>
      </c>
      <c r="AU752" s="97">
        <v>0.89200000000000002</v>
      </c>
      <c r="AV752" s="97">
        <f t="shared" ref="AV752:AV756" si="6371">P752*AU752/1000</f>
        <v>10.602312</v>
      </c>
      <c r="AW752" s="97">
        <v>0.60299999999999998</v>
      </c>
      <c r="AX752" s="97">
        <f t="shared" si="6356"/>
        <v>7.1672579999999995</v>
      </c>
      <c r="AY752" s="97">
        <f t="shared" ref="AY752:AY758" si="6372">SUM(AS752+AU752+AW752)</f>
        <v>1.6479999999999999</v>
      </c>
      <c r="AZ752" s="97">
        <f t="shared" si="6357"/>
        <v>19.588127999999998</v>
      </c>
      <c r="BA752" s="97">
        <f t="shared" si="6358"/>
        <v>2.9619999999999997</v>
      </c>
      <c r="BB752" s="97">
        <f t="shared" si="6359"/>
        <v>35.206331999999996</v>
      </c>
    </row>
    <row r="753" spans="1:54">
      <c r="A753" s="498">
        <v>526</v>
      </c>
      <c r="B753" s="13"/>
      <c r="C753" s="13"/>
      <c r="D753" s="13"/>
      <c r="E753" s="21" t="s">
        <v>750</v>
      </c>
      <c r="F753" s="430"/>
      <c r="G753" s="430" t="s">
        <v>1105</v>
      </c>
      <c r="H753" s="287" t="s">
        <v>365</v>
      </c>
      <c r="I753" s="76"/>
      <c r="J753" s="168">
        <v>12837</v>
      </c>
      <c r="K753" s="76"/>
      <c r="L753" s="168">
        <v>12837</v>
      </c>
      <c r="M753" s="76"/>
      <c r="N753" s="168">
        <v>12837</v>
      </c>
      <c r="O753" s="76"/>
      <c r="P753" s="168">
        <v>12837</v>
      </c>
      <c r="Q753" s="131">
        <f>SUM(AI753+BA753)</f>
        <v>1.62</v>
      </c>
      <c r="R753" s="352">
        <f t="shared" ref="R753" si="6373">SUM(AJ753+BB753)</f>
        <v>20.795940000000002</v>
      </c>
      <c r="S753" s="131">
        <v>0.3</v>
      </c>
      <c r="T753" s="131">
        <f t="shared" ref="T753:T766" si="6374">J753*S753/1000</f>
        <v>3.8510999999999997</v>
      </c>
      <c r="U753" s="131">
        <v>0.31</v>
      </c>
      <c r="V753" s="131">
        <f t="shared" ref="V753:V766" si="6375">J753*U753/1000</f>
        <v>3.9794699999999996</v>
      </c>
      <c r="W753" s="131">
        <v>0.16</v>
      </c>
      <c r="X753" s="131">
        <f t="shared" ref="X753:X766" si="6376">J753*W753/1000</f>
        <v>2.0539200000000002</v>
      </c>
      <c r="Y753" s="131">
        <f t="shared" si="6363"/>
        <v>0.77</v>
      </c>
      <c r="Z753" s="131">
        <f t="shared" si="6349"/>
        <v>9.8844899999999996</v>
      </c>
      <c r="AA753" s="131">
        <v>0.2</v>
      </c>
      <c r="AB753" s="131">
        <f t="shared" ref="AB753" si="6377">L753*AA753/1000</f>
        <v>2.5674000000000001</v>
      </c>
      <c r="AC753" s="131">
        <v>0.1</v>
      </c>
      <c r="AD753" s="131">
        <f t="shared" ref="AD753" si="6378">L753*AC753/1000</f>
        <v>1.2837000000000001</v>
      </c>
      <c r="AE753" s="131">
        <v>0.2</v>
      </c>
      <c r="AF753" s="131">
        <f>L753*AE753/1000</f>
        <v>2.5674000000000001</v>
      </c>
      <c r="AG753" s="131">
        <f t="shared" ref="AG753:AH758" si="6379">SUM(AA753+AC753+AE753)</f>
        <v>0.5</v>
      </c>
      <c r="AH753" s="131">
        <f t="shared" si="6379"/>
        <v>6.4184999999999999</v>
      </c>
      <c r="AI753" s="131">
        <f t="shared" ref="AI753" si="6380">SUM(Y753+AG753)</f>
        <v>1.27</v>
      </c>
      <c r="AJ753" s="131">
        <f t="shared" ref="AJ753" si="6381">SUM(Z753,AH753)</f>
        <v>16.302990000000001</v>
      </c>
      <c r="AK753" s="131"/>
      <c r="AL753" s="131">
        <f>N753*AK753/1000</f>
        <v>0</v>
      </c>
      <c r="AM753" s="131"/>
      <c r="AN753" s="131">
        <f t="shared" ref="AN753" si="6382">N753*AM753/1000</f>
        <v>0</v>
      </c>
      <c r="AO753" s="131"/>
      <c r="AP753" s="131">
        <f t="shared" ref="AP753" si="6383">N753*AO753/1000</f>
        <v>0</v>
      </c>
      <c r="AQ753" s="131">
        <f t="shared" si="6369"/>
        <v>0</v>
      </c>
      <c r="AR753" s="131">
        <f t="shared" si="6355"/>
        <v>0</v>
      </c>
      <c r="AS753" s="131"/>
      <c r="AT753" s="131">
        <f t="shared" ref="AT753" si="6384">P753*AS753/1000</f>
        <v>0</v>
      </c>
      <c r="AU753" s="131">
        <v>0.2</v>
      </c>
      <c r="AV753" s="131">
        <f t="shared" ref="AV753" si="6385">P753*AU753/1000</f>
        <v>2.5674000000000001</v>
      </c>
      <c r="AW753" s="131">
        <v>0.15</v>
      </c>
      <c r="AX753" s="131">
        <f t="shared" ref="AX753" si="6386">P753*AW753/1000</f>
        <v>1.9255499999999999</v>
      </c>
      <c r="AY753" s="131">
        <f t="shared" si="6372"/>
        <v>0.35</v>
      </c>
      <c r="AZ753" s="131">
        <f t="shared" si="6357"/>
        <v>4.4929500000000004</v>
      </c>
      <c r="BA753" s="131">
        <f>SUM(AQ753+AY753)</f>
        <v>0.35</v>
      </c>
      <c r="BB753" s="131">
        <f t="shared" ref="BB753" si="6387">SUM(AR753,AZ753)</f>
        <v>4.4929500000000004</v>
      </c>
    </row>
    <row r="754" spans="1:54">
      <c r="A754" s="498">
        <v>527</v>
      </c>
      <c r="B754" s="13"/>
      <c r="C754" s="13"/>
      <c r="D754" s="13"/>
      <c r="E754" s="63" t="s">
        <v>1089</v>
      </c>
      <c r="F754" s="23"/>
      <c r="G754" s="425" t="s">
        <v>1102</v>
      </c>
      <c r="H754" s="269" t="s">
        <v>365</v>
      </c>
      <c r="I754" s="74"/>
      <c r="J754" s="171">
        <v>11211</v>
      </c>
      <c r="K754" s="74"/>
      <c r="L754" s="171">
        <v>11211</v>
      </c>
      <c r="M754" s="74"/>
      <c r="N754" s="171">
        <v>11211</v>
      </c>
      <c r="O754" s="74"/>
      <c r="P754" s="171">
        <v>11211</v>
      </c>
      <c r="Q754" s="119">
        <f>SUM(AI754+BA754)</f>
        <v>78.384</v>
      </c>
      <c r="R754" s="349">
        <f t="shared" si="6348"/>
        <v>878.76302399999997</v>
      </c>
      <c r="S754" s="119">
        <v>4.6189999999999998</v>
      </c>
      <c r="T754" s="119">
        <f t="shared" si="6374"/>
        <v>51.783608999999998</v>
      </c>
      <c r="U754" s="119">
        <v>5.7450000000000001</v>
      </c>
      <c r="V754" s="119">
        <f t="shared" si="6375"/>
        <v>64.407195000000002</v>
      </c>
      <c r="W754" s="119">
        <v>10.015000000000001</v>
      </c>
      <c r="X754" s="119">
        <f t="shared" si="6376"/>
        <v>112.278165</v>
      </c>
      <c r="Y754" s="119">
        <f t="shared" ref="Y754" si="6388">SUM(S754+U754+W754)</f>
        <v>20.379000000000001</v>
      </c>
      <c r="Z754" s="119">
        <f t="shared" ref="Z754" si="6389">SUM(T754+V754+X754)</f>
        <v>228.46896900000002</v>
      </c>
      <c r="AA754" s="119">
        <v>13.65</v>
      </c>
      <c r="AB754" s="119">
        <f t="shared" si="6350"/>
        <v>153.03014999999999</v>
      </c>
      <c r="AC754" s="119">
        <v>8.8089999999999993</v>
      </c>
      <c r="AD754" s="119">
        <f t="shared" si="6351"/>
        <v>98.757698999999988</v>
      </c>
      <c r="AE754" s="119">
        <v>4.101</v>
      </c>
      <c r="AF754" s="119">
        <f>L754*AE754/1000</f>
        <v>45.976311000000003</v>
      </c>
      <c r="AG754" s="119">
        <f t="shared" si="6379"/>
        <v>26.56</v>
      </c>
      <c r="AH754" s="119">
        <f t="shared" si="6379"/>
        <v>297.76416</v>
      </c>
      <c r="AI754" s="119">
        <f t="shared" si="6353"/>
        <v>46.939</v>
      </c>
      <c r="AJ754" s="119">
        <f t="shared" si="6354"/>
        <v>526.23312899999996</v>
      </c>
      <c r="AK754" s="119">
        <v>2.867</v>
      </c>
      <c r="AL754" s="119">
        <f>N754*AK754/1000</f>
        <v>32.141936999999999</v>
      </c>
      <c r="AM754" s="119">
        <v>5.1390000000000002</v>
      </c>
      <c r="AN754" s="119">
        <f t="shared" si="6367"/>
        <v>57.613329000000007</v>
      </c>
      <c r="AO754" s="119">
        <v>3.319</v>
      </c>
      <c r="AP754" s="119">
        <f t="shared" si="6368"/>
        <v>37.209309000000005</v>
      </c>
      <c r="AQ754" s="119">
        <f t="shared" ref="AQ754" si="6390">SUM(AK754+AM754+AO754)</f>
        <v>11.324999999999999</v>
      </c>
      <c r="AR754" s="119">
        <f t="shared" ref="AR754" si="6391">SUM(AL754+AN754+AP754)</f>
        <v>126.96457500000001</v>
      </c>
      <c r="AS754" s="119">
        <v>4.9740000000000002</v>
      </c>
      <c r="AT754" s="119">
        <f t="shared" si="6370"/>
        <v>55.763514000000001</v>
      </c>
      <c r="AU754" s="119">
        <v>7.9690000000000003</v>
      </c>
      <c r="AV754" s="119">
        <f t="shared" si="6371"/>
        <v>89.340458999999996</v>
      </c>
      <c r="AW754" s="119">
        <v>7.1769999999999996</v>
      </c>
      <c r="AX754" s="119">
        <f t="shared" si="6356"/>
        <v>80.461346999999989</v>
      </c>
      <c r="AY754" s="119">
        <f t="shared" ref="AY754" si="6392">SUM(AS754+AU754+AW754)</f>
        <v>20.12</v>
      </c>
      <c r="AZ754" s="119">
        <f t="shared" ref="AZ754" si="6393">SUM(AT754+AV754+AX754)</f>
        <v>225.56531999999999</v>
      </c>
      <c r="BA754" s="119">
        <f t="shared" si="6358"/>
        <v>31.445</v>
      </c>
      <c r="BB754" s="119">
        <f t="shared" si="6359"/>
        <v>352.52989500000001</v>
      </c>
    </row>
    <row r="755" spans="1:54">
      <c r="A755" s="498">
        <v>528</v>
      </c>
      <c r="B755" s="13"/>
      <c r="C755" s="13"/>
      <c r="D755" s="13"/>
      <c r="E755" s="21" t="s">
        <v>1118</v>
      </c>
      <c r="F755" s="46"/>
      <c r="G755" s="46" t="s">
        <v>1115</v>
      </c>
      <c r="H755" s="268" t="s">
        <v>1119</v>
      </c>
      <c r="I755" s="55"/>
      <c r="J755" s="163">
        <v>18110</v>
      </c>
      <c r="K755" s="55"/>
      <c r="L755" s="163">
        <v>18110</v>
      </c>
      <c r="M755" s="55"/>
      <c r="N755" s="163">
        <v>18110</v>
      </c>
      <c r="O755" s="55"/>
      <c r="P755" s="163">
        <v>18110</v>
      </c>
      <c r="Q755" s="97">
        <f t="shared" ref="Q755:Q756" si="6394">SUM(AI755+BA755)</f>
        <v>6.774</v>
      </c>
      <c r="R755" s="342">
        <f t="shared" si="6348"/>
        <v>122.67714000000001</v>
      </c>
      <c r="S755" s="97">
        <v>0.60499999999999998</v>
      </c>
      <c r="T755" s="97">
        <f t="shared" si="6374"/>
        <v>10.95655</v>
      </c>
      <c r="U755" s="97">
        <v>0.46899999999999997</v>
      </c>
      <c r="V755" s="97">
        <f t="shared" si="6375"/>
        <v>8.4935899999999993</v>
      </c>
      <c r="W755" s="97">
        <v>0.83</v>
      </c>
      <c r="X755" s="97">
        <f t="shared" si="6376"/>
        <v>15.0313</v>
      </c>
      <c r="Y755" s="97">
        <f t="shared" ref="Y755:Y756" si="6395">SUM(S755+U755+W755)</f>
        <v>1.9039999999999999</v>
      </c>
      <c r="Z755" s="97">
        <f t="shared" ref="Z755:Z756" si="6396">SUM(T755+V755+X755)</f>
        <v>34.481439999999999</v>
      </c>
      <c r="AA755" s="97">
        <v>1.6</v>
      </c>
      <c r="AB755" s="97">
        <f t="shared" si="6350"/>
        <v>28.975999999999999</v>
      </c>
      <c r="AC755" s="97">
        <v>1.26</v>
      </c>
      <c r="AD755" s="97">
        <f t="shared" si="6351"/>
        <v>22.8186</v>
      </c>
      <c r="AE755" s="97">
        <v>5.0000000000000001E-3</v>
      </c>
      <c r="AF755" s="97">
        <f t="shared" ref="AF755:AF756" si="6397">L755*AE755/1000</f>
        <v>9.0549999999999992E-2</v>
      </c>
      <c r="AG755" s="97">
        <f>SUM(AA755+AC755+AE755)</f>
        <v>2.8650000000000002</v>
      </c>
      <c r="AH755" s="97">
        <f>SUM(AB755+AD755+AF755)</f>
        <v>51.885150000000003</v>
      </c>
      <c r="AI755" s="97">
        <f t="shared" si="6353"/>
        <v>4.7690000000000001</v>
      </c>
      <c r="AJ755" s="97">
        <f t="shared" si="6354"/>
        <v>86.366590000000002</v>
      </c>
      <c r="AK755" s="97">
        <v>0.30499999999999999</v>
      </c>
      <c r="AL755" s="97">
        <f t="shared" ref="AL755:AL756" si="6398">N755*AK755/1000</f>
        <v>5.5235500000000002</v>
      </c>
      <c r="AM755" s="97">
        <v>0.60499999999999998</v>
      </c>
      <c r="AN755" s="97">
        <f t="shared" si="6367"/>
        <v>10.95655</v>
      </c>
      <c r="AO755" s="97">
        <v>0.30499999999999999</v>
      </c>
      <c r="AP755" s="97">
        <f t="shared" si="6368"/>
        <v>5.5235500000000002</v>
      </c>
      <c r="AQ755" s="97">
        <f t="shared" ref="AQ755" si="6399">SUM(AK755+AM755+AO755)</f>
        <v>1.2149999999999999</v>
      </c>
      <c r="AR755" s="97">
        <f t="shared" ref="AR755" si="6400">SUM(AL755+AN755+AP755)</f>
        <v>22.00365</v>
      </c>
      <c r="AS755" s="97">
        <v>0.05</v>
      </c>
      <c r="AT755" s="97">
        <f t="shared" si="6370"/>
        <v>0.90549999999999997</v>
      </c>
      <c r="AU755" s="97">
        <v>0.08</v>
      </c>
      <c r="AV755" s="97">
        <f t="shared" si="6371"/>
        <v>1.4487999999999999</v>
      </c>
      <c r="AW755" s="97">
        <v>0.66</v>
      </c>
      <c r="AX755" s="97">
        <f t="shared" si="6356"/>
        <v>11.9526</v>
      </c>
      <c r="AY755" s="97">
        <f>SUM(AS755+AU755+AW755)</f>
        <v>0.79</v>
      </c>
      <c r="AZ755" s="97">
        <f>SUM(AT755+AV755+AX755)</f>
        <v>14.306900000000001</v>
      </c>
      <c r="BA755" s="97">
        <f t="shared" si="6358"/>
        <v>2.0049999999999999</v>
      </c>
      <c r="BB755" s="97">
        <f t="shared" si="6359"/>
        <v>36.310549999999999</v>
      </c>
    </row>
    <row r="756" spans="1:54">
      <c r="B756" s="13"/>
      <c r="C756" s="13"/>
      <c r="D756" s="13"/>
      <c r="E756" s="491" t="s">
        <v>2354</v>
      </c>
      <c r="F756" s="492"/>
      <c r="G756" s="492" t="s">
        <v>1101</v>
      </c>
      <c r="H756" s="493" t="s">
        <v>365</v>
      </c>
      <c r="I756" s="494"/>
      <c r="J756" s="495"/>
      <c r="K756" s="494"/>
      <c r="L756" s="495"/>
      <c r="M756" s="494"/>
      <c r="N756" s="495"/>
      <c r="O756" s="494"/>
      <c r="P756" s="495">
        <v>16426</v>
      </c>
      <c r="Q756" s="496">
        <f t="shared" si="6394"/>
        <v>0.70499999999999996</v>
      </c>
      <c r="R756" s="497">
        <f t="shared" si="6348"/>
        <v>11.58033</v>
      </c>
      <c r="S756" s="496"/>
      <c r="T756" s="496">
        <f t="shared" si="6374"/>
        <v>0</v>
      </c>
      <c r="U756" s="496"/>
      <c r="V756" s="496">
        <f t="shared" si="6375"/>
        <v>0</v>
      </c>
      <c r="W756" s="496"/>
      <c r="X756" s="496">
        <f t="shared" si="6376"/>
        <v>0</v>
      </c>
      <c r="Y756" s="496">
        <f t="shared" si="6395"/>
        <v>0</v>
      </c>
      <c r="Z756" s="496">
        <f t="shared" si="6396"/>
        <v>0</v>
      </c>
      <c r="AA756" s="496"/>
      <c r="AB756" s="496">
        <f t="shared" si="6350"/>
        <v>0</v>
      </c>
      <c r="AC756" s="496"/>
      <c r="AD756" s="496">
        <f t="shared" si="6351"/>
        <v>0</v>
      </c>
      <c r="AE756" s="496"/>
      <c r="AF756" s="496">
        <f t="shared" si="6397"/>
        <v>0</v>
      </c>
      <c r="AG756" s="496">
        <f t="shared" ref="AG756" si="6401">SUM(AA756+AC756+AE756)</f>
        <v>0</v>
      </c>
      <c r="AH756" s="496">
        <f t="shared" ref="AH756" si="6402">SUM(AB756+AD756+AF756)</f>
        <v>0</v>
      </c>
      <c r="AI756" s="496">
        <f t="shared" si="6353"/>
        <v>0</v>
      </c>
      <c r="AJ756" s="496">
        <f t="shared" si="6354"/>
        <v>0</v>
      </c>
      <c r="AK756" s="496"/>
      <c r="AL756" s="496">
        <f t="shared" si="6398"/>
        <v>0</v>
      </c>
      <c r="AM756" s="496"/>
      <c r="AN756" s="496">
        <f t="shared" si="6367"/>
        <v>0</v>
      </c>
      <c r="AO756" s="496"/>
      <c r="AP756" s="496">
        <f t="shared" si="6368"/>
        <v>0</v>
      </c>
      <c r="AQ756" s="496">
        <f>SUM(AK756+AM756+AO756)</f>
        <v>0</v>
      </c>
      <c r="AR756" s="496">
        <f>SUM(AL756+AN756+AP756)</f>
        <v>0</v>
      </c>
      <c r="AS756" s="496"/>
      <c r="AT756" s="496">
        <f t="shared" si="6370"/>
        <v>0</v>
      </c>
      <c r="AU756" s="496">
        <v>0.1</v>
      </c>
      <c r="AV756" s="496">
        <f t="shared" si="6371"/>
        <v>1.6426000000000001</v>
      </c>
      <c r="AW756" s="496">
        <v>0.60499999999999998</v>
      </c>
      <c r="AX756" s="496">
        <f t="shared" si="6356"/>
        <v>9.9377300000000002</v>
      </c>
      <c r="AY756" s="496">
        <f>SUM(AS756+AU756+AW756)</f>
        <v>0.70499999999999996</v>
      </c>
      <c r="AZ756" s="496">
        <f>SUM(AT756+AV756+AX756)</f>
        <v>11.58033</v>
      </c>
      <c r="BA756" s="496">
        <f t="shared" si="6358"/>
        <v>0.70499999999999996</v>
      </c>
      <c r="BB756" s="496">
        <f t="shared" si="6359"/>
        <v>11.58033</v>
      </c>
    </row>
    <row r="757" spans="1:54">
      <c r="A757" s="498">
        <v>529</v>
      </c>
      <c r="B757" s="13"/>
      <c r="C757" s="13"/>
      <c r="D757" s="13"/>
      <c r="E757" s="13" t="s">
        <v>1090</v>
      </c>
      <c r="F757" s="23"/>
      <c r="G757" s="23" t="s">
        <v>1102</v>
      </c>
      <c r="H757" s="269" t="s">
        <v>365</v>
      </c>
      <c r="I757" s="74"/>
      <c r="J757" s="171">
        <v>2733</v>
      </c>
      <c r="K757" s="74"/>
      <c r="L757" s="171">
        <v>2733</v>
      </c>
      <c r="M757" s="74"/>
      <c r="N757" s="171">
        <v>2733</v>
      </c>
      <c r="O757" s="74"/>
      <c r="P757" s="171">
        <v>2733</v>
      </c>
      <c r="Q757" s="119">
        <f>SUM(AI757+BA757)</f>
        <v>5.81</v>
      </c>
      <c r="R757" s="349">
        <f t="shared" ref="R757:R761" si="6403">SUM(AJ757+BB757)</f>
        <v>15.878730000000001</v>
      </c>
      <c r="S757" s="119"/>
      <c r="T757" s="119">
        <f t="shared" si="6374"/>
        <v>0</v>
      </c>
      <c r="U757" s="119"/>
      <c r="V757" s="119">
        <f t="shared" si="6375"/>
        <v>0</v>
      </c>
      <c r="W757" s="119">
        <v>1.3</v>
      </c>
      <c r="X757" s="119">
        <f t="shared" si="6376"/>
        <v>3.5529000000000002</v>
      </c>
      <c r="Y757" s="119">
        <f t="shared" si="6363"/>
        <v>1.3</v>
      </c>
      <c r="Z757" s="119">
        <f t="shared" si="6349"/>
        <v>3.5529000000000002</v>
      </c>
      <c r="AA757" s="119"/>
      <c r="AB757" s="119">
        <f t="shared" ref="AB757:AB761" si="6404">L757*AA757/1000</f>
        <v>0</v>
      </c>
      <c r="AC757" s="119"/>
      <c r="AD757" s="119">
        <f t="shared" ref="AD757:AD761" si="6405">L757*AC757/1000</f>
        <v>0</v>
      </c>
      <c r="AE757" s="119"/>
      <c r="AF757" s="119">
        <f>L757*AE757/1000</f>
        <v>0</v>
      </c>
      <c r="AG757" s="119">
        <f t="shared" si="6379"/>
        <v>0</v>
      </c>
      <c r="AH757" s="119">
        <f t="shared" si="6379"/>
        <v>0</v>
      </c>
      <c r="AI757" s="119">
        <f>SUM(Y757+AG757)</f>
        <v>1.3</v>
      </c>
      <c r="AJ757" s="119">
        <f t="shared" ref="AJ757:AJ761" si="6406">SUM(Z757,AH757)</f>
        <v>3.5529000000000002</v>
      </c>
      <c r="AK757" s="119">
        <v>1.51</v>
      </c>
      <c r="AL757" s="119">
        <f>N757*AK757/1000</f>
        <v>4.12683</v>
      </c>
      <c r="AM757" s="119"/>
      <c r="AN757" s="119">
        <f t="shared" ref="AN757:AN761" si="6407">N757*AM757/1000</f>
        <v>0</v>
      </c>
      <c r="AO757" s="119"/>
      <c r="AP757" s="119">
        <f t="shared" ref="AP757:AP761" si="6408">N757*AO757/1000</f>
        <v>0</v>
      </c>
      <c r="AQ757" s="119">
        <f t="shared" si="6369"/>
        <v>1.51</v>
      </c>
      <c r="AR757" s="119">
        <f t="shared" si="6355"/>
        <v>4.12683</v>
      </c>
      <c r="AS757" s="119"/>
      <c r="AT757" s="119">
        <f t="shared" ref="AT757:AT761" si="6409">P757*AS757/1000</f>
        <v>0</v>
      </c>
      <c r="AU757" s="119">
        <v>1.5</v>
      </c>
      <c r="AV757" s="119">
        <f t="shared" ref="AV757:AV761" si="6410">P757*AU757/1000</f>
        <v>4.0994999999999999</v>
      </c>
      <c r="AW757" s="119">
        <v>1.5</v>
      </c>
      <c r="AX757" s="119">
        <f t="shared" ref="AX757:AX761" si="6411">P757*AW757/1000</f>
        <v>4.0994999999999999</v>
      </c>
      <c r="AY757" s="119">
        <f t="shared" si="6372"/>
        <v>3</v>
      </c>
      <c r="AZ757" s="119">
        <f t="shared" si="6357"/>
        <v>8.1989999999999998</v>
      </c>
      <c r="BA757" s="119">
        <f>SUM(AQ757+AY757)</f>
        <v>4.51</v>
      </c>
      <c r="BB757" s="119">
        <f t="shared" ref="BB757:BB761" si="6412">SUM(AR757,AZ757)</f>
        <v>12.32583</v>
      </c>
    </row>
    <row r="758" spans="1:54">
      <c r="B758" s="13"/>
      <c r="C758" s="13"/>
      <c r="D758" s="13"/>
      <c r="E758" s="21" t="s">
        <v>1547</v>
      </c>
      <c r="F758" s="46"/>
      <c r="G758" s="46" t="s">
        <v>1102</v>
      </c>
      <c r="H758" s="268" t="s">
        <v>365</v>
      </c>
      <c r="I758" s="55"/>
      <c r="J758" s="163">
        <v>2733</v>
      </c>
      <c r="K758" s="55"/>
      <c r="L758" s="163">
        <v>2733</v>
      </c>
      <c r="M758" s="55"/>
      <c r="N758" s="163">
        <v>2733</v>
      </c>
      <c r="O758" s="55"/>
      <c r="P758" s="163">
        <v>2733</v>
      </c>
      <c r="Q758" s="97">
        <f t="shared" ref="Q758" si="6413">SUM(AI758+BA758)</f>
        <v>77.072000000000003</v>
      </c>
      <c r="R758" s="342">
        <f t="shared" si="6403"/>
        <v>210.637776</v>
      </c>
      <c r="S758" s="97">
        <v>7.8</v>
      </c>
      <c r="T758" s="97">
        <f t="shared" si="6374"/>
        <v>21.317399999999999</v>
      </c>
      <c r="U758" s="97">
        <v>7.8</v>
      </c>
      <c r="V758" s="97">
        <f t="shared" si="6375"/>
        <v>21.317399999999999</v>
      </c>
      <c r="W758" s="97">
        <v>13.584</v>
      </c>
      <c r="X758" s="97">
        <f t="shared" si="6376"/>
        <v>37.125072000000003</v>
      </c>
      <c r="Y758" s="97">
        <f t="shared" si="6363"/>
        <v>29.183999999999997</v>
      </c>
      <c r="Z758" s="97">
        <f t="shared" si="6349"/>
        <v>79.759872000000001</v>
      </c>
      <c r="AA758" s="97">
        <v>8.4120000000000008</v>
      </c>
      <c r="AB758" s="97">
        <f t="shared" si="6404"/>
        <v>22.989996000000001</v>
      </c>
      <c r="AC758" s="97">
        <v>6.76</v>
      </c>
      <c r="AD758" s="97">
        <f t="shared" si="6405"/>
        <v>18.475079999999998</v>
      </c>
      <c r="AE758" s="97">
        <v>7.8</v>
      </c>
      <c r="AF758" s="97">
        <f t="shared" ref="AF758" si="6414">L758*AE758/1000</f>
        <v>21.317399999999999</v>
      </c>
      <c r="AG758" s="97">
        <f t="shared" si="6379"/>
        <v>22.972000000000001</v>
      </c>
      <c r="AH758" s="97">
        <f t="shared" si="6379"/>
        <v>62.782475999999996</v>
      </c>
      <c r="AI758" s="97">
        <f t="shared" ref="AI758" si="6415">SUM(Y758+AG758)</f>
        <v>52.155999999999999</v>
      </c>
      <c r="AJ758" s="97">
        <f t="shared" si="6406"/>
        <v>142.542348</v>
      </c>
      <c r="AK758" s="97"/>
      <c r="AL758" s="97">
        <f t="shared" ref="AL758" si="6416">N758*AK758/1000</f>
        <v>0</v>
      </c>
      <c r="AM758" s="97">
        <v>5.9359999999999999</v>
      </c>
      <c r="AN758" s="97">
        <f t="shared" si="6407"/>
        <v>16.223088000000001</v>
      </c>
      <c r="AO758" s="97"/>
      <c r="AP758" s="97">
        <f t="shared" si="6408"/>
        <v>0</v>
      </c>
      <c r="AQ758" s="97">
        <f t="shared" si="6369"/>
        <v>5.9359999999999999</v>
      </c>
      <c r="AR758" s="97">
        <f t="shared" si="6355"/>
        <v>16.223088000000001</v>
      </c>
      <c r="AS758" s="97">
        <v>4.68</v>
      </c>
      <c r="AT758" s="97">
        <f t="shared" si="6409"/>
        <v>12.790439999999998</v>
      </c>
      <c r="AU758" s="97">
        <v>9.16</v>
      </c>
      <c r="AV758" s="97">
        <f t="shared" si="6410"/>
        <v>25.034279999999999</v>
      </c>
      <c r="AW758" s="97">
        <v>5.14</v>
      </c>
      <c r="AX758" s="97">
        <f t="shared" si="6411"/>
        <v>14.047619999999998</v>
      </c>
      <c r="AY758" s="97">
        <f t="shared" si="6372"/>
        <v>18.98</v>
      </c>
      <c r="AZ758" s="97">
        <f t="shared" si="6357"/>
        <v>51.872339999999994</v>
      </c>
      <c r="BA758" s="97">
        <f t="shared" ref="BA758" si="6417">SUM(AQ758+AY758)</f>
        <v>24.916</v>
      </c>
      <c r="BB758" s="97">
        <f t="shared" si="6412"/>
        <v>68.095427999999998</v>
      </c>
    </row>
    <row r="759" spans="1:54">
      <c r="B759" s="13"/>
      <c r="C759" s="13"/>
      <c r="D759" s="13"/>
      <c r="E759" s="21" t="s">
        <v>1186</v>
      </c>
      <c r="F759" s="46"/>
      <c r="G759" s="46" t="s">
        <v>1102</v>
      </c>
      <c r="H759" s="268" t="s">
        <v>365</v>
      </c>
      <c r="I759" s="55"/>
      <c r="J759" s="163">
        <v>23814</v>
      </c>
      <c r="K759" s="55"/>
      <c r="L759" s="163">
        <v>23814</v>
      </c>
      <c r="M759" s="55"/>
      <c r="N759" s="163">
        <v>23814</v>
      </c>
      <c r="O759" s="55"/>
      <c r="P759" s="163">
        <v>23814</v>
      </c>
      <c r="Q759" s="97">
        <f t="shared" ref="Q759" si="6418">SUM(AI759+BA759)</f>
        <v>1.887</v>
      </c>
      <c r="R759" s="342">
        <f t="shared" si="6403"/>
        <v>44.937018000000002</v>
      </c>
      <c r="S759" s="97"/>
      <c r="T759" s="97">
        <f t="shared" si="6374"/>
        <v>0</v>
      </c>
      <c r="U759" s="97"/>
      <c r="V759" s="97">
        <f t="shared" si="6375"/>
        <v>0</v>
      </c>
      <c r="W759" s="97"/>
      <c r="X759" s="97">
        <f t="shared" si="6376"/>
        <v>0</v>
      </c>
      <c r="Y759" s="97">
        <f t="shared" ref="Y759" si="6419">SUM(S759+U759+W759)</f>
        <v>0</v>
      </c>
      <c r="Z759" s="97">
        <f t="shared" ref="Z759" si="6420">SUM(T759+V759+X759)</f>
        <v>0</v>
      </c>
      <c r="AA759" s="97">
        <v>0.3</v>
      </c>
      <c r="AB759" s="97">
        <f t="shared" si="6404"/>
        <v>7.1441999999999997</v>
      </c>
      <c r="AC759" s="97">
        <v>2.8000000000000001E-2</v>
      </c>
      <c r="AD759" s="97">
        <f t="shared" si="6405"/>
        <v>0.66679200000000005</v>
      </c>
      <c r="AE759" s="97">
        <v>0.27600000000000002</v>
      </c>
      <c r="AF759" s="97">
        <f t="shared" ref="AF759" si="6421">L759*AE759/1000</f>
        <v>6.5726640000000005</v>
      </c>
      <c r="AG759" s="97">
        <f t="shared" ref="AG759" si="6422">SUM(AA759+AC759+AE759)</f>
        <v>0.60400000000000009</v>
      </c>
      <c r="AH759" s="97">
        <f t="shared" ref="AH759" si="6423">SUM(AB759+AD759+AF759)</f>
        <v>14.383656</v>
      </c>
      <c r="AI759" s="97">
        <f t="shared" ref="AI759" si="6424">SUM(Y759+AG759)</f>
        <v>0.60400000000000009</v>
      </c>
      <c r="AJ759" s="97">
        <f t="shared" si="6406"/>
        <v>14.383656</v>
      </c>
      <c r="AK759" s="97">
        <v>1.28</v>
      </c>
      <c r="AL759" s="97">
        <f t="shared" ref="AL759" si="6425">N759*AK759/1000</f>
        <v>30.481920000000002</v>
      </c>
      <c r="AM759" s="97">
        <v>3.0000000000000001E-3</v>
      </c>
      <c r="AN759" s="97">
        <f t="shared" si="6407"/>
        <v>7.1442000000000005E-2</v>
      </c>
      <c r="AO759" s="97"/>
      <c r="AP759" s="97">
        <f t="shared" si="6408"/>
        <v>0</v>
      </c>
      <c r="AQ759" s="97">
        <f t="shared" ref="AQ759" si="6426">SUM(AK759+AM759+AO759)</f>
        <v>1.2829999999999999</v>
      </c>
      <c r="AR759" s="97">
        <f t="shared" ref="AR759" si="6427">SUM(AL759+AN759+AP759)</f>
        <v>30.553362000000003</v>
      </c>
      <c r="AS759" s="97"/>
      <c r="AT759" s="97">
        <f t="shared" si="6409"/>
        <v>0</v>
      </c>
      <c r="AU759" s="97"/>
      <c r="AV759" s="97">
        <f t="shared" si="6410"/>
        <v>0</v>
      </c>
      <c r="AW759" s="97"/>
      <c r="AX759" s="97">
        <f t="shared" si="6411"/>
        <v>0</v>
      </c>
      <c r="AY759" s="97">
        <f t="shared" ref="AY759" si="6428">SUM(AS759+AU759+AW759)</f>
        <v>0</v>
      </c>
      <c r="AZ759" s="97">
        <f t="shared" ref="AZ759" si="6429">SUM(AT759+AV759+AX759)</f>
        <v>0</v>
      </c>
      <c r="BA759" s="97">
        <f t="shared" ref="BA759" si="6430">SUM(AQ759+AY759)</f>
        <v>1.2829999999999999</v>
      </c>
      <c r="BB759" s="97">
        <f t="shared" si="6412"/>
        <v>30.553362000000003</v>
      </c>
    </row>
    <row r="760" spans="1:54">
      <c r="B760" s="13"/>
      <c r="C760" s="13"/>
      <c r="D760" s="13"/>
      <c r="E760" s="21" t="s">
        <v>1187</v>
      </c>
      <c r="F760" s="46"/>
      <c r="G760" s="46" t="s">
        <v>1102</v>
      </c>
      <c r="H760" s="268" t="s">
        <v>365</v>
      </c>
      <c r="I760" s="55"/>
      <c r="J760" s="163">
        <v>12241</v>
      </c>
      <c r="K760" s="55"/>
      <c r="L760" s="163">
        <v>12241</v>
      </c>
      <c r="M760" s="55"/>
      <c r="N760" s="163">
        <v>12241</v>
      </c>
      <c r="O760" s="55"/>
      <c r="P760" s="163">
        <v>12241</v>
      </c>
      <c r="Q760" s="97">
        <f t="shared" ref="Q760" si="6431">SUM(AI760+BA760)</f>
        <v>1.8889999999999998</v>
      </c>
      <c r="R760" s="342">
        <f t="shared" ref="R760" si="6432">SUM(AJ760+BB760)</f>
        <v>23.123249000000001</v>
      </c>
      <c r="S760" s="97"/>
      <c r="T760" s="97">
        <f t="shared" ref="T760" si="6433">J760*S760/1000</f>
        <v>0</v>
      </c>
      <c r="U760" s="97"/>
      <c r="V760" s="97">
        <f t="shared" ref="V760" si="6434">J760*U760/1000</f>
        <v>0</v>
      </c>
      <c r="W760" s="97"/>
      <c r="X760" s="97">
        <f t="shared" ref="X760" si="6435">J760*W760/1000</f>
        <v>0</v>
      </c>
      <c r="Y760" s="97">
        <f t="shared" ref="Y760" si="6436">SUM(S760+U760+W760)</f>
        <v>0</v>
      </c>
      <c r="Z760" s="97">
        <f t="shared" ref="Z760" si="6437">SUM(T760+V760+X760)</f>
        <v>0</v>
      </c>
      <c r="AA760" s="97">
        <v>0.3</v>
      </c>
      <c r="AB760" s="97">
        <f t="shared" ref="AB760" si="6438">L760*AA760/1000</f>
        <v>3.6722999999999999</v>
      </c>
      <c r="AC760" s="97">
        <v>2.8000000000000001E-2</v>
      </c>
      <c r="AD760" s="97">
        <f t="shared" ref="AD760" si="6439">L760*AC760/1000</f>
        <v>0.342748</v>
      </c>
      <c r="AE760" s="97">
        <v>0.27200000000000002</v>
      </c>
      <c r="AF760" s="97">
        <f t="shared" ref="AF760" si="6440">L760*AE760/1000</f>
        <v>3.3295520000000001</v>
      </c>
      <c r="AG760" s="97">
        <f t="shared" ref="AG760" si="6441">SUM(AA760+AC760+AE760)</f>
        <v>0.60000000000000009</v>
      </c>
      <c r="AH760" s="97">
        <f t="shared" ref="AH760" si="6442">SUM(AB760+AD760+AF760)</f>
        <v>7.3445999999999998</v>
      </c>
      <c r="AI760" s="97">
        <f t="shared" ref="AI760" si="6443">SUM(Y760+AG760)</f>
        <v>0.60000000000000009</v>
      </c>
      <c r="AJ760" s="97">
        <f t="shared" ref="AJ760" si="6444">SUM(Z760,AH760)</f>
        <v>7.3445999999999998</v>
      </c>
      <c r="AK760" s="97">
        <v>1.2829999999999999</v>
      </c>
      <c r="AL760" s="97">
        <f t="shared" ref="AL760" si="6445">N760*AK760/1000</f>
        <v>15.705202999999999</v>
      </c>
      <c r="AM760" s="97">
        <v>3.0000000000000001E-3</v>
      </c>
      <c r="AN760" s="97">
        <f t="shared" ref="AN760" si="6446">N760*AM760/1000</f>
        <v>3.6722999999999999E-2</v>
      </c>
      <c r="AO760" s="97"/>
      <c r="AP760" s="97">
        <f t="shared" ref="AP760" si="6447">N760*AO760/1000</f>
        <v>0</v>
      </c>
      <c r="AQ760" s="97">
        <f t="shared" ref="AQ760" si="6448">SUM(AK760+AM760+AO760)</f>
        <v>1.2859999999999998</v>
      </c>
      <c r="AR760" s="97">
        <f t="shared" ref="AR760" si="6449">SUM(AL760+AN760+AP760)</f>
        <v>15.741925999999999</v>
      </c>
      <c r="AS760" s="97">
        <v>3.0000000000000001E-3</v>
      </c>
      <c r="AT760" s="97">
        <f t="shared" ref="AT760" si="6450">P760*AS760/1000</f>
        <v>3.6722999999999999E-2</v>
      </c>
      <c r="AU760" s="97"/>
      <c r="AV760" s="97">
        <f t="shared" ref="AV760" si="6451">P760*AU760/1000</f>
        <v>0</v>
      </c>
      <c r="AW760" s="97"/>
      <c r="AX760" s="97">
        <f t="shared" ref="AX760" si="6452">P760*AW760/1000</f>
        <v>0</v>
      </c>
      <c r="AY760" s="97">
        <f t="shared" ref="AY760" si="6453">SUM(AS760+AU760+AW760)</f>
        <v>3.0000000000000001E-3</v>
      </c>
      <c r="AZ760" s="97">
        <f t="shared" ref="AZ760" si="6454">SUM(AT760+AV760+AX760)</f>
        <v>3.6722999999999999E-2</v>
      </c>
      <c r="BA760" s="97">
        <f t="shared" ref="BA760" si="6455">SUM(AQ760+AY760)</f>
        <v>1.2889999999999997</v>
      </c>
      <c r="BB760" s="97">
        <f t="shared" ref="BB760" si="6456">SUM(AR760,AZ760)</f>
        <v>15.778649</v>
      </c>
    </row>
    <row r="761" spans="1:54">
      <c r="B761" s="13"/>
      <c r="C761" s="13"/>
      <c r="D761" s="13"/>
      <c r="E761" s="21" t="s">
        <v>1188</v>
      </c>
      <c r="F761" s="46"/>
      <c r="G761" s="46" t="s">
        <v>1102</v>
      </c>
      <c r="H761" s="268" t="s">
        <v>365</v>
      </c>
      <c r="I761" s="55"/>
      <c r="J761" s="163">
        <v>2059</v>
      </c>
      <c r="K761" s="55"/>
      <c r="L761" s="163">
        <v>2059</v>
      </c>
      <c r="M761" s="55"/>
      <c r="N761" s="163">
        <v>2059</v>
      </c>
      <c r="O761" s="55"/>
      <c r="P761" s="163">
        <v>2059</v>
      </c>
      <c r="Q761" s="97">
        <f t="shared" ref="Q761" si="6457">SUM(AI761+BA761)</f>
        <v>1.8800000000000001</v>
      </c>
      <c r="R761" s="342">
        <f t="shared" si="6403"/>
        <v>3.8709199999999999</v>
      </c>
      <c r="S761" s="97"/>
      <c r="T761" s="97">
        <f t="shared" si="6374"/>
        <v>0</v>
      </c>
      <c r="U761" s="97"/>
      <c r="V761" s="97">
        <f t="shared" si="6375"/>
        <v>0</v>
      </c>
      <c r="W761" s="97"/>
      <c r="X761" s="97">
        <f t="shared" si="6376"/>
        <v>0</v>
      </c>
      <c r="Y761" s="97">
        <f t="shared" ref="Y761" si="6458">SUM(S761+U761+W761)</f>
        <v>0</v>
      </c>
      <c r="Z761" s="97">
        <f t="shared" ref="Z761" si="6459">SUM(T761+V761+X761)</f>
        <v>0</v>
      </c>
      <c r="AA761" s="97">
        <v>0.3</v>
      </c>
      <c r="AB761" s="97">
        <f t="shared" si="6404"/>
        <v>0.61769999999999992</v>
      </c>
      <c r="AC761" s="97">
        <v>2.8000000000000001E-2</v>
      </c>
      <c r="AD761" s="97">
        <f t="shared" si="6405"/>
        <v>5.7652000000000002E-2</v>
      </c>
      <c r="AE761" s="97">
        <v>0.27200000000000002</v>
      </c>
      <c r="AF761" s="97">
        <f t="shared" ref="AF761" si="6460">L761*AE761/1000</f>
        <v>0.56004799999999999</v>
      </c>
      <c r="AG761" s="97">
        <f t="shared" ref="AG761" si="6461">SUM(AA761+AC761+AE761)</f>
        <v>0.60000000000000009</v>
      </c>
      <c r="AH761" s="97">
        <f t="shared" ref="AH761" si="6462">SUM(AB761+AD761+AF761)</f>
        <v>1.2353999999999998</v>
      </c>
      <c r="AI761" s="97">
        <f t="shared" ref="AI761" si="6463">SUM(Y761+AG761)</f>
        <v>0.60000000000000009</v>
      </c>
      <c r="AJ761" s="97">
        <f t="shared" si="6406"/>
        <v>1.2353999999999998</v>
      </c>
      <c r="AK761" s="97">
        <v>1.28</v>
      </c>
      <c r="AL761" s="97">
        <f t="shared" ref="AL761" si="6464">N761*AK761/1000</f>
        <v>2.6355200000000001</v>
      </c>
      <c r="AM761" s="97"/>
      <c r="AN761" s="97">
        <f t="shared" si="6407"/>
        <v>0</v>
      </c>
      <c r="AO761" s="97"/>
      <c r="AP761" s="97">
        <f t="shared" si="6408"/>
        <v>0</v>
      </c>
      <c r="AQ761" s="97">
        <f t="shared" ref="AQ761" si="6465">SUM(AK761+AM761+AO761)</f>
        <v>1.28</v>
      </c>
      <c r="AR761" s="97">
        <f t="shared" ref="AR761" si="6466">SUM(AL761+AN761+AP761)</f>
        <v>2.6355200000000001</v>
      </c>
      <c r="AS761" s="97"/>
      <c r="AT761" s="97">
        <f t="shared" si="6409"/>
        <v>0</v>
      </c>
      <c r="AU761" s="97"/>
      <c r="AV761" s="97">
        <f t="shared" si="6410"/>
        <v>0</v>
      </c>
      <c r="AW761" s="97"/>
      <c r="AX761" s="97">
        <f t="shared" si="6411"/>
        <v>0</v>
      </c>
      <c r="AY761" s="97">
        <f t="shared" ref="AY761" si="6467">SUM(AS761+AU761+AW761)</f>
        <v>0</v>
      </c>
      <c r="AZ761" s="97">
        <f t="shared" ref="AZ761" si="6468">SUM(AT761+AV761+AX761)</f>
        <v>0</v>
      </c>
      <c r="BA761" s="97">
        <f t="shared" ref="BA761" si="6469">SUM(AQ761+AY761)</f>
        <v>1.28</v>
      </c>
      <c r="BB761" s="97">
        <f t="shared" si="6412"/>
        <v>2.6355200000000001</v>
      </c>
    </row>
    <row r="762" spans="1:54">
      <c r="A762" s="498">
        <v>530</v>
      </c>
      <c r="B762" s="13"/>
      <c r="C762" s="13"/>
      <c r="D762" s="13"/>
      <c r="E762" s="13" t="s">
        <v>488</v>
      </c>
      <c r="F762" s="23"/>
      <c r="G762" s="23" t="s">
        <v>1105</v>
      </c>
      <c r="H762" s="269" t="s">
        <v>366</v>
      </c>
      <c r="I762" s="74"/>
      <c r="J762" s="171">
        <v>8962</v>
      </c>
      <c r="K762" s="74"/>
      <c r="L762" s="171">
        <v>8962</v>
      </c>
      <c r="M762" s="74"/>
      <c r="N762" s="171">
        <v>8962</v>
      </c>
      <c r="O762" s="74"/>
      <c r="P762" s="171">
        <v>8962</v>
      </c>
      <c r="Q762" s="119">
        <f t="shared" si="5810"/>
        <v>6.0000000000000001E-3</v>
      </c>
      <c r="R762" s="349">
        <f t="shared" si="5811"/>
        <v>5.3772E-2</v>
      </c>
      <c r="S762" s="119"/>
      <c r="T762" s="119">
        <f t="shared" si="6374"/>
        <v>0</v>
      </c>
      <c r="U762" s="119"/>
      <c r="V762" s="119">
        <f t="shared" si="6375"/>
        <v>0</v>
      </c>
      <c r="W762" s="119"/>
      <c r="X762" s="119">
        <f t="shared" si="6376"/>
        <v>0</v>
      </c>
      <c r="Y762" s="119">
        <f>SUM(S762+U762+W762)</f>
        <v>0</v>
      </c>
      <c r="Z762" s="119">
        <f t="shared" si="5816"/>
        <v>0</v>
      </c>
      <c r="AA762" s="119"/>
      <c r="AB762" s="119">
        <f t="shared" si="6350"/>
        <v>0</v>
      </c>
      <c r="AC762" s="119"/>
      <c r="AD762" s="119">
        <f t="shared" si="6351"/>
        <v>0</v>
      </c>
      <c r="AE762" s="119"/>
      <c r="AF762" s="119">
        <f t="shared" ref="AF762:AF764" si="6470">L762*AE762/1000</f>
        <v>0</v>
      </c>
      <c r="AG762" s="119">
        <f>SUM(AA762+AC762+AE762)</f>
        <v>0</v>
      </c>
      <c r="AH762" s="119">
        <f t="shared" si="5819"/>
        <v>0</v>
      </c>
      <c r="AI762" s="119">
        <f t="shared" si="5820"/>
        <v>0</v>
      </c>
      <c r="AJ762" s="119">
        <f t="shared" si="5821"/>
        <v>0</v>
      </c>
      <c r="AK762" s="119"/>
      <c r="AL762" s="119">
        <f t="shared" ref="AL762:AL763" si="6471">N762*AK762/1000</f>
        <v>0</v>
      </c>
      <c r="AM762" s="119"/>
      <c r="AN762" s="119">
        <f>N762*AM762/1000</f>
        <v>0</v>
      </c>
      <c r="AO762" s="119">
        <v>3.0000000000000001E-3</v>
      </c>
      <c r="AP762" s="119">
        <f>N762*AO762/1000</f>
        <v>2.6886E-2</v>
      </c>
      <c r="AQ762" s="119">
        <f>SUM(AK762+AM762+AO762)</f>
        <v>3.0000000000000001E-3</v>
      </c>
      <c r="AR762" s="119">
        <f t="shared" si="5826"/>
        <v>2.6886E-2</v>
      </c>
      <c r="AS762" s="119">
        <v>3.0000000000000001E-3</v>
      </c>
      <c r="AT762" s="119">
        <f>P762*AS762/1000</f>
        <v>2.6886E-2</v>
      </c>
      <c r="AU762" s="119"/>
      <c r="AV762" s="119">
        <f>P762*AU762/1000</f>
        <v>0</v>
      </c>
      <c r="AW762" s="119"/>
      <c r="AX762" s="119">
        <f t="shared" ref="AX762:AX763" si="6472">P762*AW762/1000</f>
        <v>0</v>
      </c>
      <c r="AY762" s="119">
        <f>SUM(AS762+AU762+AW762)</f>
        <v>3.0000000000000001E-3</v>
      </c>
      <c r="AZ762" s="119">
        <f t="shared" si="5830"/>
        <v>2.6886E-2</v>
      </c>
      <c r="BA762" s="119">
        <f t="shared" si="5831"/>
        <v>6.0000000000000001E-3</v>
      </c>
      <c r="BB762" s="119">
        <f t="shared" si="5832"/>
        <v>5.3772E-2</v>
      </c>
    </row>
    <row r="763" spans="1:54">
      <c r="B763" s="13"/>
      <c r="C763" s="13"/>
      <c r="D763" s="13"/>
      <c r="E763" s="21" t="s">
        <v>1271</v>
      </c>
      <c r="F763" s="46"/>
      <c r="G763" s="46" t="s">
        <v>1102</v>
      </c>
      <c r="H763" s="268" t="s">
        <v>365</v>
      </c>
      <c r="I763" s="55"/>
      <c r="J763" s="163">
        <v>15357</v>
      </c>
      <c r="K763" s="55"/>
      <c r="L763" s="163">
        <v>15357</v>
      </c>
      <c r="M763" s="55"/>
      <c r="N763" s="163">
        <v>15357</v>
      </c>
      <c r="O763" s="55"/>
      <c r="P763" s="163">
        <v>15357</v>
      </c>
      <c r="Q763" s="97">
        <f t="shared" si="5810"/>
        <v>0.875</v>
      </c>
      <c r="R763" s="342">
        <f t="shared" si="5811"/>
        <v>13.437374999999999</v>
      </c>
      <c r="S763" s="97"/>
      <c r="T763" s="97">
        <f t="shared" si="6374"/>
        <v>0</v>
      </c>
      <c r="U763" s="97"/>
      <c r="V763" s="97">
        <f t="shared" si="6375"/>
        <v>0</v>
      </c>
      <c r="W763" s="97"/>
      <c r="X763" s="97">
        <f t="shared" si="6376"/>
        <v>0</v>
      </c>
      <c r="Y763" s="97">
        <f t="shared" ref="Y763" si="6473">SUM(S763+U763+W763)</f>
        <v>0</v>
      </c>
      <c r="Z763" s="97">
        <f t="shared" ref="Z763" si="6474">SUM(T763+V763+X763)</f>
        <v>0</v>
      </c>
      <c r="AA763" s="97"/>
      <c r="AB763" s="97">
        <f t="shared" si="6350"/>
        <v>0</v>
      </c>
      <c r="AC763" s="97"/>
      <c r="AD763" s="97">
        <f t="shared" si="6351"/>
        <v>0</v>
      </c>
      <c r="AE763" s="97">
        <v>0.47</v>
      </c>
      <c r="AF763" s="97">
        <f t="shared" si="6470"/>
        <v>7.2177899999999999</v>
      </c>
      <c r="AG763" s="97">
        <f t="shared" ref="AG763" si="6475">SUM(AA763+AC763+AE763)</f>
        <v>0.47</v>
      </c>
      <c r="AH763" s="97">
        <f t="shared" ref="AH763" si="6476">SUM(AB763+AD763+AF763)</f>
        <v>7.2177899999999999</v>
      </c>
      <c r="AI763" s="97">
        <f t="shared" si="5820"/>
        <v>0.47</v>
      </c>
      <c r="AJ763" s="97">
        <f t="shared" si="5821"/>
        <v>7.2177899999999999</v>
      </c>
      <c r="AK763" s="97">
        <v>0.16</v>
      </c>
      <c r="AL763" s="97">
        <f t="shared" si="6471"/>
        <v>2.4571199999999997</v>
      </c>
      <c r="AM763" s="97">
        <v>4.4999999999999998E-2</v>
      </c>
      <c r="AN763" s="97">
        <f t="shared" ref="AN763" si="6477">N763*AM763/1000</f>
        <v>0.69106499999999993</v>
      </c>
      <c r="AO763" s="97"/>
      <c r="AP763" s="97">
        <f t="shared" ref="AP763" si="6478">N763*AO763/1000</f>
        <v>0</v>
      </c>
      <c r="AQ763" s="97">
        <f t="shared" ref="AQ763" si="6479">SUM(AK763+AM763+AO763)</f>
        <v>0.20500000000000002</v>
      </c>
      <c r="AR763" s="97">
        <f t="shared" ref="AR763" si="6480">SUM(AL763+AN763+AP763)</f>
        <v>3.1481849999999998</v>
      </c>
      <c r="AS763" s="97">
        <v>0.1</v>
      </c>
      <c r="AT763" s="97">
        <f t="shared" ref="AT763" si="6481">P763*AS763/1000</f>
        <v>1.5357000000000001</v>
      </c>
      <c r="AU763" s="97">
        <v>0.1</v>
      </c>
      <c r="AV763" s="97">
        <f t="shared" ref="AV763" si="6482">P763*AU763/1000</f>
        <v>1.5357000000000001</v>
      </c>
      <c r="AW763" s="97"/>
      <c r="AX763" s="97">
        <f t="shared" si="6472"/>
        <v>0</v>
      </c>
      <c r="AY763" s="97">
        <f t="shared" ref="AY763" si="6483">SUM(AS763+AU763+AW763)</f>
        <v>0.2</v>
      </c>
      <c r="AZ763" s="97">
        <f>SUM(AT763+AV763+AX763)</f>
        <v>3.0714000000000001</v>
      </c>
      <c r="BA763" s="97">
        <f t="shared" si="5831"/>
        <v>0.40500000000000003</v>
      </c>
      <c r="BB763" s="97">
        <f t="shared" si="5832"/>
        <v>6.2195850000000004</v>
      </c>
    </row>
    <row r="764" spans="1:54">
      <c r="A764" s="498">
        <v>531</v>
      </c>
      <c r="B764" s="13"/>
      <c r="C764" s="13"/>
      <c r="D764" s="13"/>
      <c r="E764" s="90" t="s">
        <v>539</v>
      </c>
      <c r="F764" s="430"/>
      <c r="G764" s="430" t="s">
        <v>1105</v>
      </c>
      <c r="H764" s="287" t="s">
        <v>366</v>
      </c>
      <c r="I764" s="76"/>
      <c r="J764" s="168">
        <v>17150</v>
      </c>
      <c r="K764" s="76"/>
      <c r="L764" s="168">
        <v>17150</v>
      </c>
      <c r="M764" s="76"/>
      <c r="N764" s="168">
        <v>17150</v>
      </c>
      <c r="O764" s="76"/>
      <c r="P764" s="168">
        <v>17150</v>
      </c>
      <c r="Q764" s="131">
        <f t="shared" ref="Q764" si="6484">SUM(AI764+BA764)</f>
        <v>6.1449999999999996</v>
      </c>
      <c r="R764" s="352">
        <f t="shared" ref="R764" si="6485">SUM(AJ764+BB764)</f>
        <v>105.38674999999999</v>
      </c>
      <c r="S764" s="131">
        <v>1.2</v>
      </c>
      <c r="T764" s="131">
        <f t="shared" si="6374"/>
        <v>20.58</v>
      </c>
      <c r="U764" s="131"/>
      <c r="V764" s="131">
        <f t="shared" si="6375"/>
        <v>0</v>
      </c>
      <c r="W764" s="131"/>
      <c r="X764" s="131">
        <f t="shared" si="6376"/>
        <v>0</v>
      </c>
      <c r="Y764" s="131">
        <f>SUM(S764+U764+W764)</f>
        <v>1.2</v>
      </c>
      <c r="Z764" s="131">
        <f t="shared" ref="Z764:Z765" si="6486">SUM(T764+V764+X764)</f>
        <v>20.58</v>
      </c>
      <c r="AA764" s="131">
        <v>1.345</v>
      </c>
      <c r="AB764" s="131">
        <f t="shared" si="6350"/>
        <v>23.066749999999999</v>
      </c>
      <c r="AC764" s="131"/>
      <c r="AD764" s="131">
        <f t="shared" si="6351"/>
        <v>0</v>
      </c>
      <c r="AE764" s="131">
        <v>1.2</v>
      </c>
      <c r="AF764" s="131">
        <f t="shared" si="6470"/>
        <v>20.58</v>
      </c>
      <c r="AG764" s="131">
        <f>SUM(AA764+AC764+AE764)</f>
        <v>2.5449999999999999</v>
      </c>
      <c r="AH764" s="131">
        <f t="shared" ref="AH764:AH765" si="6487">SUM(AB764+AD764+AF764)</f>
        <v>43.646749999999997</v>
      </c>
      <c r="AI764" s="131">
        <f t="shared" ref="AI764:AI765" si="6488">SUM(Y764+AG764)</f>
        <v>3.7450000000000001</v>
      </c>
      <c r="AJ764" s="131">
        <f t="shared" ref="AJ764:AJ765" si="6489">SUM(Z764,AH764)</f>
        <v>64.226749999999996</v>
      </c>
      <c r="AK764" s="131"/>
      <c r="AL764" s="131">
        <f t="shared" ref="AL764:AL765" si="6490">N764*AK764/1000</f>
        <v>0</v>
      </c>
      <c r="AM764" s="131">
        <v>1.2</v>
      </c>
      <c r="AN764" s="131">
        <f>N764*AM764/1000</f>
        <v>20.58</v>
      </c>
      <c r="AO764" s="131"/>
      <c r="AP764" s="131">
        <f t="shared" ref="AP764" si="6491">N764*AO764/1000</f>
        <v>0</v>
      </c>
      <c r="AQ764" s="131">
        <f>SUM(AK764+AM764+AO764)</f>
        <v>1.2</v>
      </c>
      <c r="AR764" s="131">
        <f t="shared" ref="AR764:AR765" si="6492">SUM(AL764+AN764+AP764)</f>
        <v>20.58</v>
      </c>
      <c r="AS764" s="131"/>
      <c r="AT764" s="131">
        <f>P764*AS764/1000</f>
        <v>0</v>
      </c>
      <c r="AU764" s="131">
        <v>1.2</v>
      </c>
      <c r="AV764" s="131">
        <f>P764*AU764/1000</f>
        <v>20.58</v>
      </c>
      <c r="AW764" s="131"/>
      <c r="AX764" s="131">
        <f t="shared" ref="AX764:AX765" si="6493">P764*AW764/1000</f>
        <v>0</v>
      </c>
      <c r="AY764" s="131">
        <f>SUM(AS764+AU764+AW764)</f>
        <v>1.2</v>
      </c>
      <c r="AZ764" s="131">
        <f t="shared" ref="AZ764:AZ765" si="6494">SUM(AT764+AV764+AX764)</f>
        <v>20.58</v>
      </c>
      <c r="BA764" s="131">
        <f t="shared" ref="BA764:BA765" si="6495">SUM(AQ764+AY764)</f>
        <v>2.4</v>
      </c>
      <c r="BB764" s="131">
        <f t="shared" ref="BB764:BB765" si="6496">SUM(AR764,AZ764)</f>
        <v>41.16</v>
      </c>
    </row>
    <row r="765" spans="1:54">
      <c r="A765" s="498">
        <v>532</v>
      </c>
      <c r="B765" s="13"/>
      <c r="C765" s="13"/>
      <c r="D765" s="13"/>
      <c r="E765" s="21" t="s">
        <v>538</v>
      </c>
      <c r="F765" s="46"/>
      <c r="G765" s="46" t="s">
        <v>1105</v>
      </c>
      <c r="H765" s="268" t="s">
        <v>367</v>
      </c>
      <c r="I765" s="55"/>
      <c r="J765" s="163">
        <v>19232</v>
      </c>
      <c r="K765" s="55"/>
      <c r="L765" s="163">
        <v>19232</v>
      </c>
      <c r="M765" s="55"/>
      <c r="N765" s="163">
        <v>19232</v>
      </c>
      <c r="O765" s="55"/>
      <c r="P765" s="163">
        <v>19232</v>
      </c>
      <c r="Q765" s="97">
        <f t="shared" ref="Q765" si="6497">SUM(AI765+BA765)</f>
        <v>9.3640000000000008</v>
      </c>
      <c r="R765" s="342">
        <f t="shared" ref="R765" si="6498">SUM(AJ765+BB765)</f>
        <v>180.088448</v>
      </c>
      <c r="S765" s="97">
        <v>1.542</v>
      </c>
      <c r="T765" s="97">
        <f t="shared" si="6374"/>
        <v>29.655744000000002</v>
      </c>
      <c r="U765" s="97">
        <v>1.0349999999999999</v>
      </c>
      <c r="V765" s="97">
        <f t="shared" si="6375"/>
        <v>19.90512</v>
      </c>
      <c r="W765" s="97">
        <v>1.3160000000000001</v>
      </c>
      <c r="X765" s="97">
        <f t="shared" si="6376"/>
        <v>25.309312000000002</v>
      </c>
      <c r="Y765" s="97">
        <f>SUM(S765+U765+W765)</f>
        <v>3.8929999999999998</v>
      </c>
      <c r="Z765" s="97">
        <f t="shared" si="6486"/>
        <v>74.870176000000001</v>
      </c>
      <c r="AA765" s="97">
        <v>1.012</v>
      </c>
      <c r="AB765" s="97">
        <f t="shared" ref="AB765" si="6499">L765*AA765/1000</f>
        <v>19.462783999999999</v>
      </c>
      <c r="AC765" s="97">
        <v>1.841</v>
      </c>
      <c r="AD765" s="97">
        <f t="shared" ref="AD765" si="6500">L765*AC765/1000</f>
        <v>35.406112</v>
      </c>
      <c r="AE765" s="97">
        <v>1.4E-2</v>
      </c>
      <c r="AF765" s="97">
        <f>L765*AE765/1000</f>
        <v>0.26924799999999999</v>
      </c>
      <c r="AG765" s="97">
        <f>SUM(AA765+AC765+AE765)</f>
        <v>2.8669999999999995</v>
      </c>
      <c r="AH765" s="97">
        <f t="shared" si="6487"/>
        <v>55.138143999999997</v>
      </c>
      <c r="AI765" s="97">
        <f t="shared" si="6488"/>
        <v>6.76</v>
      </c>
      <c r="AJ765" s="97">
        <f t="shared" si="6489"/>
        <v>130.00832</v>
      </c>
      <c r="AK765" s="97">
        <v>0.216</v>
      </c>
      <c r="AL765" s="97">
        <f t="shared" si="6490"/>
        <v>4.1541120000000005</v>
      </c>
      <c r="AM765" s="97">
        <v>0.11700000000000001</v>
      </c>
      <c r="AN765" s="97">
        <f>N765*AM765/1000</f>
        <v>2.2501440000000001</v>
      </c>
      <c r="AO765" s="97">
        <v>0.22500000000000001</v>
      </c>
      <c r="AP765" s="122">
        <f>N765*AO765/1000</f>
        <v>4.3271999999999995</v>
      </c>
      <c r="AQ765" s="97">
        <f>SUM(AK765+AM765+AO765)</f>
        <v>0.55800000000000005</v>
      </c>
      <c r="AR765" s="97">
        <f t="shared" si="6492"/>
        <v>10.731456</v>
      </c>
      <c r="AS765" s="97">
        <v>1.2050000000000001</v>
      </c>
      <c r="AT765" s="97">
        <f>P765*AS765/1000</f>
        <v>23.17456</v>
      </c>
      <c r="AU765" s="97">
        <v>0.81</v>
      </c>
      <c r="AV765" s="97">
        <f>P765*AU765/1000</f>
        <v>15.577920000000002</v>
      </c>
      <c r="AW765" s="97">
        <v>3.1E-2</v>
      </c>
      <c r="AX765" s="97">
        <f t="shared" si="6493"/>
        <v>0.59619200000000006</v>
      </c>
      <c r="AY765" s="97">
        <f>SUM(AS765+AU765+AW765)</f>
        <v>2.0460000000000003</v>
      </c>
      <c r="AZ765" s="97">
        <f t="shared" si="6494"/>
        <v>39.348672000000008</v>
      </c>
      <c r="BA765" s="97">
        <f t="shared" si="6495"/>
        <v>2.6040000000000001</v>
      </c>
      <c r="BB765" s="97">
        <f t="shared" si="6496"/>
        <v>50.080128000000009</v>
      </c>
    </row>
    <row r="766" spans="1:54">
      <c r="A766" s="498">
        <v>533</v>
      </c>
      <c r="B766" s="13"/>
      <c r="C766" s="13"/>
      <c r="D766" s="13"/>
      <c r="E766" s="24" t="s">
        <v>873</v>
      </c>
      <c r="F766" s="371"/>
      <c r="G766" s="371" t="s">
        <v>1105</v>
      </c>
      <c r="H766" s="285" t="s">
        <v>367</v>
      </c>
      <c r="I766" s="80"/>
      <c r="J766" s="172">
        <v>19600</v>
      </c>
      <c r="K766" s="80"/>
      <c r="L766" s="172">
        <v>19600</v>
      </c>
      <c r="M766" s="80"/>
      <c r="N766" s="172">
        <v>19600</v>
      </c>
      <c r="O766" s="80"/>
      <c r="P766" s="172">
        <v>19600</v>
      </c>
      <c r="Q766" s="134">
        <f t="shared" si="4388"/>
        <v>1.2240000000000002</v>
      </c>
      <c r="R766" s="347">
        <f t="shared" si="4389"/>
        <v>23.990400000000001</v>
      </c>
      <c r="S766" s="134"/>
      <c r="T766" s="134">
        <f t="shared" si="6374"/>
        <v>0</v>
      </c>
      <c r="U766" s="134">
        <v>2E-3</v>
      </c>
      <c r="V766" s="134">
        <f t="shared" si="6375"/>
        <v>3.9200000000000006E-2</v>
      </c>
      <c r="W766" s="134">
        <v>0.14399999999999999</v>
      </c>
      <c r="X766" s="134">
        <f t="shared" si="6376"/>
        <v>2.8223999999999996</v>
      </c>
      <c r="Y766" s="134">
        <f>SUM(S766+U766+W766)</f>
        <v>0.14599999999999999</v>
      </c>
      <c r="Z766" s="134">
        <f t="shared" si="4394"/>
        <v>2.8615999999999997</v>
      </c>
      <c r="AA766" s="134">
        <v>0.112</v>
      </c>
      <c r="AB766" s="134">
        <f t="shared" si="6350"/>
        <v>2.1952000000000003</v>
      </c>
      <c r="AC766" s="134">
        <v>0.19400000000000001</v>
      </c>
      <c r="AD766" s="134">
        <f t="shared" si="6351"/>
        <v>3.8024</v>
      </c>
      <c r="AE766" s="134"/>
      <c r="AF766" s="134">
        <f>L766*AE766/1000</f>
        <v>0</v>
      </c>
      <c r="AG766" s="134">
        <f>SUM(AA766+AC766+AE766)</f>
        <v>0.30599999999999999</v>
      </c>
      <c r="AH766" s="134">
        <f t="shared" si="4398"/>
        <v>5.9976000000000003</v>
      </c>
      <c r="AI766" s="134">
        <f t="shared" si="4399"/>
        <v>0.45199999999999996</v>
      </c>
      <c r="AJ766" s="134">
        <f t="shared" si="4400"/>
        <v>8.8591999999999995</v>
      </c>
      <c r="AK766" s="134">
        <v>0.16500000000000001</v>
      </c>
      <c r="AL766" s="134">
        <f t="shared" ref="AL766" si="6501">N766*AK766/1000</f>
        <v>3.234</v>
      </c>
      <c r="AM766" s="134">
        <v>3.7999999999999999E-2</v>
      </c>
      <c r="AN766" s="134">
        <f>N766*AM766/1000</f>
        <v>0.74479999999999991</v>
      </c>
      <c r="AO766" s="134">
        <v>6.4000000000000001E-2</v>
      </c>
      <c r="AP766" s="131">
        <f>N766*AO766/1000</f>
        <v>1.2544000000000002</v>
      </c>
      <c r="AQ766" s="134">
        <f>SUM(AK766+AM766+AO766)</f>
        <v>0.26700000000000002</v>
      </c>
      <c r="AR766" s="134">
        <f t="shared" si="4405"/>
        <v>5.2332000000000001</v>
      </c>
      <c r="AS766" s="134">
        <v>2.9000000000000001E-2</v>
      </c>
      <c r="AT766" s="134">
        <f>P766*AS766/1000</f>
        <v>0.56840000000000002</v>
      </c>
      <c r="AU766" s="134">
        <v>0.27500000000000002</v>
      </c>
      <c r="AV766" s="134">
        <f>P766*AU766/1000</f>
        <v>5.39</v>
      </c>
      <c r="AW766" s="134">
        <v>0.20100000000000001</v>
      </c>
      <c r="AX766" s="134">
        <f t="shared" ref="AX766" si="6502">P766*AW766/1000</f>
        <v>3.9396000000000004</v>
      </c>
      <c r="AY766" s="134">
        <f>SUM(AS766+AU766+AW766)</f>
        <v>0.50500000000000012</v>
      </c>
      <c r="AZ766" s="134">
        <f t="shared" si="4409"/>
        <v>9.8979999999999997</v>
      </c>
      <c r="BA766" s="134">
        <f t="shared" si="4410"/>
        <v>0.77200000000000013</v>
      </c>
      <c r="BB766" s="134">
        <f t="shared" si="4411"/>
        <v>15.1312</v>
      </c>
    </row>
    <row r="767" spans="1:54">
      <c r="A767" s="498">
        <v>534</v>
      </c>
      <c r="B767" s="13"/>
      <c r="C767" s="23"/>
      <c r="D767" s="71"/>
      <c r="E767" s="329" t="s">
        <v>337</v>
      </c>
      <c r="F767" s="236"/>
      <c r="G767" s="236"/>
      <c r="H767" s="269"/>
      <c r="I767" s="74"/>
      <c r="J767" s="115"/>
      <c r="K767" s="74"/>
      <c r="L767" s="171"/>
      <c r="M767" s="74"/>
      <c r="N767" s="171"/>
      <c r="O767" s="152"/>
      <c r="P767" s="171"/>
      <c r="Q767" s="123">
        <f t="shared" ref="Q767:BB767" si="6503">SUM(Q670:Q766)</f>
        <v>713.06299999999987</v>
      </c>
      <c r="R767" s="123">
        <f t="shared" si="6503"/>
        <v>5386.3565443790012</v>
      </c>
      <c r="S767" s="123">
        <f t="shared" si="6503"/>
        <v>55.160999999999994</v>
      </c>
      <c r="T767" s="123">
        <f t="shared" si="6503"/>
        <v>418.81558653859997</v>
      </c>
      <c r="U767" s="123">
        <f t="shared" si="6503"/>
        <v>49.49499999999999</v>
      </c>
      <c r="V767" s="123">
        <f t="shared" si="6503"/>
        <v>374.95858372000004</v>
      </c>
      <c r="W767" s="123">
        <f t="shared" si="6503"/>
        <v>61.597999999999992</v>
      </c>
      <c r="X767" s="123">
        <f t="shared" si="6503"/>
        <v>449.8528192</v>
      </c>
      <c r="Y767" s="123">
        <f t="shared" si="6503"/>
        <v>166.25399999999999</v>
      </c>
      <c r="Z767" s="123">
        <f t="shared" si="6503"/>
        <v>1243.6269894586001</v>
      </c>
      <c r="AA767" s="123">
        <f t="shared" si="6503"/>
        <v>61.241999999999997</v>
      </c>
      <c r="AB767" s="123">
        <f t="shared" si="6503"/>
        <v>521.83492042720013</v>
      </c>
      <c r="AC767" s="123">
        <f t="shared" si="6503"/>
        <v>47.841999999999999</v>
      </c>
      <c r="AD767" s="123">
        <f t="shared" si="6503"/>
        <v>382.09586225099997</v>
      </c>
      <c r="AE767" s="123">
        <f t="shared" si="6503"/>
        <v>62.240999999999993</v>
      </c>
      <c r="AF767" s="123">
        <f t="shared" si="6503"/>
        <v>439.91960141640004</v>
      </c>
      <c r="AG767" s="123">
        <f t="shared" si="6503"/>
        <v>171.32500000000002</v>
      </c>
      <c r="AH767" s="123">
        <f t="shared" si="6503"/>
        <v>1343.8503840945998</v>
      </c>
      <c r="AI767" s="123">
        <f t="shared" si="6503"/>
        <v>337.57900000000006</v>
      </c>
      <c r="AJ767" s="123">
        <f t="shared" si="6503"/>
        <v>2587.4773735531994</v>
      </c>
      <c r="AK767" s="123">
        <f t="shared" si="6503"/>
        <v>71.217000000000013</v>
      </c>
      <c r="AL767" s="123">
        <f t="shared" si="6503"/>
        <v>532.94471048480023</v>
      </c>
      <c r="AM767" s="123">
        <f t="shared" si="6503"/>
        <v>77.580000000000013</v>
      </c>
      <c r="AN767" s="123">
        <f t="shared" si="6503"/>
        <v>568.7668966680003</v>
      </c>
      <c r="AO767" s="123">
        <f t="shared" si="6503"/>
        <v>45.709000000000003</v>
      </c>
      <c r="AP767" s="123">
        <f t="shared" si="6503"/>
        <v>337.4210882887001</v>
      </c>
      <c r="AQ767" s="123">
        <f t="shared" si="6503"/>
        <v>194.50599999999997</v>
      </c>
      <c r="AR767" s="123">
        <f t="shared" si="6503"/>
        <v>1439.1326954414999</v>
      </c>
      <c r="AS767" s="123">
        <f t="shared" si="6503"/>
        <v>50.947999999999986</v>
      </c>
      <c r="AT767" s="123">
        <f t="shared" si="6503"/>
        <v>373.86885887400007</v>
      </c>
      <c r="AU767" s="123">
        <f t="shared" si="6503"/>
        <v>58.579000000000022</v>
      </c>
      <c r="AV767" s="123">
        <f t="shared" si="6503"/>
        <v>444.78586501150005</v>
      </c>
      <c r="AW767" s="123">
        <f t="shared" si="6503"/>
        <v>71.451000000000008</v>
      </c>
      <c r="AX767" s="123">
        <f t="shared" si="6503"/>
        <v>541.09175149880002</v>
      </c>
      <c r="AY767" s="123">
        <f t="shared" si="6503"/>
        <v>180.97799999999989</v>
      </c>
      <c r="AZ767" s="123">
        <f t="shared" si="6503"/>
        <v>1359.7464753843001</v>
      </c>
      <c r="BA767" s="123">
        <f t="shared" si="6503"/>
        <v>375.48399999999981</v>
      </c>
      <c r="BB767" s="123">
        <f t="shared" si="6503"/>
        <v>2798.8791708258009</v>
      </c>
    </row>
    <row r="768" spans="1:54">
      <c r="A768" s="498">
        <v>535</v>
      </c>
      <c r="B768" s="13"/>
      <c r="C768" s="13"/>
      <c r="D768" s="53" t="s">
        <v>228</v>
      </c>
      <c r="E768" s="31" t="s">
        <v>1068</v>
      </c>
      <c r="F768" s="314"/>
      <c r="G768" s="314" t="s">
        <v>1105</v>
      </c>
      <c r="H768" s="274" t="s">
        <v>365</v>
      </c>
      <c r="I768" s="62"/>
      <c r="J768" s="164">
        <v>4310</v>
      </c>
      <c r="K768" s="62"/>
      <c r="L768" s="164">
        <v>4310</v>
      </c>
      <c r="M768" s="62"/>
      <c r="N768" s="164">
        <v>4310</v>
      </c>
      <c r="O768" s="62"/>
      <c r="P768" s="164">
        <v>4310</v>
      </c>
      <c r="Q768" s="122">
        <f t="shared" ref="Q768:R770" si="6504">SUM(AI768+BA768)</f>
        <v>0</v>
      </c>
      <c r="R768" s="346">
        <f t="shared" si="6504"/>
        <v>0</v>
      </c>
      <c r="S768" s="122"/>
      <c r="T768" s="122">
        <f>J768*S768/1000</f>
        <v>0</v>
      </c>
      <c r="U768" s="122"/>
      <c r="V768" s="122">
        <f>J768*U768/1000</f>
        <v>0</v>
      </c>
      <c r="W768" s="122"/>
      <c r="X768" s="122">
        <f>J768*W768/1000</f>
        <v>0</v>
      </c>
      <c r="Y768" s="122">
        <f t="shared" ref="Y768:Z770" si="6505">SUM(S768+U768+W768)</f>
        <v>0</v>
      </c>
      <c r="Z768" s="122">
        <f t="shared" si="6505"/>
        <v>0</v>
      </c>
      <c r="AA768" s="122"/>
      <c r="AB768" s="122">
        <f>L768*AA768/1000</f>
        <v>0</v>
      </c>
      <c r="AC768" s="122"/>
      <c r="AD768" s="122">
        <f>L768*AC768/1000</f>
        <v>0</v>
      </c>
      <c r="AE768" s="122"/>
      <c r="AF768" s="122">
        <f>L768*AE768/1000</f>
        <v>0</v>
      </c>
      <c r="AG768" s="122">
        <f t="shared" ref="AG768:AH770" si="6506">SUM(AA768+AC768+AE768)</f>
        <v>0</v>
      </c>
      <c r="AH768" s="122">
        <f t="shared" si="6506"/>
        <v>0</v>
      </c>
      <c r="AI768" s="122">
        <f>SUM(Y768+AG768)</f>
        <v>0</v>
      </c>
      <c r="AJ768" s="122">
        <f>SUM(Z768,AH768)</f>
        <v>0</v>
      </c>
      <c r="AK768" s="122"/>
      <c r="AL768" s="122">
        <f>N768*AK768/1000</f>
        <v>0</v>
      </c>
      <c r="AM768" s="122"/>
      <c r="AN768" s="122">
        <f>N768*AM768/1000</f>
        <v>0</v>
      </c>
      <c r="AO768" s="122"/>
      <c r="AP768" s="122">
        <f>N768*AO768/1000</f>
        <v>0</v>
      </c>
      <c r="AQ768" s="122">
        <f t="shared" ref="AQ768:AR770" si="6507">SUM(AK768+AM768+AO768)</f>
        <v>0</v>
      </c>
      <c r="AR768" s="122">
        <f t="shared" si="6507"/>
        <v>0</v>
      </c>
      <c r="AS768" s="122"/>
      <c r="AT768" s="122">
        <f>P768*AS768/1000</f>
        <v>0</v>
      </c>
      <c r="AU768" s="122"/>
      <c r="AV768" s="122">
        <f>P768*AU768/1000</f>
        <v>0</v>
      </c>
      <c r="AW768" s="122"/>
      <c r="AX768" s="122">
        <f>P768*AW768/1000</f>
        <v>0</v>
      </c>
      <c r="AY768" s="122">
        <f t="shared" ref="AY768:AZ770" si="6508">SUM(AS768+AU768+AW768)</f>
        <v>0</v>
      </c>
      <c r="AZ768" s="122">
        <f t="shared" si="6508"/>
        <v>0</v>
      </c>
      <c r="BA768" s="122">
        <f>SUM(AQ768+AY768)</f>
        <v>0</v>
      </c>
      <c r="BB768" s="122">
        <f>SUM(AR768,AZ768)</f>
        <v>0</v>
      </c>
    </row>
    <row r="769" spans="1:54">
      <c r="A769" s="498">
        <v>536</v>
      </c>
      <c r="B769" s="13"/>
      <c r="C769" s="13"/>
      <c r="D769" s="13"/>
      <c r="E769" s="21" t="s">
        <v>282</v>
      </c>
      <c r="F769" s="46"/>
      <c r="G769" s="46" t="s">
        <v>1105</v>
      </c>
      <c r="H769" s="268" t="s">
        <v>365</v>
      </c>
      <c r="I769" s="55"/>
      <c r="J769" s="163">
        <v>3824</v>
      </c>
      <c r="K769" s="55"/>
      <c r="L769" s="163">
        <v>3824</v>
      </c>
      <c r="M769" s="55"/>
      <c r="N769" s="163">
        <v>3824</v>
      </c>
      <c r="O769" s="55"/>
      <c r="P769" s="163">
        <v>3824</v>
      </c>
      <c r="Q769" s="97">
        <f t="shared" si="6504"/>
        <v>0</v>
      </c>
      <c r="R769" s="342">
        <f t="shared" si="6504"/>
        <v>0</v>
      </c>
      <c r="S769" s="97"/>
      <c r="T769" s="97">
        <f>J769*S769/1000</f>
        <v>0</v>
      </c>
      <c r="U769" s="97"/>
      <c r="V769" s="97">
        <f>J769*U769/1000</f>
        <v>0</v>
      </c>
      <c r="W769" s="97"/>
      <c r="X769" s="97">
        <f>J769*W769/1000</f>
        <v>0</v>
      </c>
      <c r="Y769" s="97">
        <f t="shared" si="6505"/>
        <v>0</v>
      </c>
      <c r="Z769" s="97">
        <f t="shared" si="6505"/>
        <v>0</v>
      </c>
      <c r="AA769" s="97"/>
      <c r="AB769" s="97">
        <f>L769*AA769/1000</f>
        <v>0</v>
      </c>
      <c r="AC769" s="97"/>
      <c r="AD769" s="97">
        <f>L769*AC769/1000</f>
        <v>0</v>
      </c>
      <c r="AE769" s="97"/>
      <c r="AF769" s="97">
        <f>L769*AE769/1000</f>
        <v>0</v>
      </c>
      <c r="AG769" s="97">
        <f t="shared" si="6506"/>
        <v>0</v>
      </c>
      <c r="AH769" s="97">
        <f t="shared" si="6506"/>
        <v>0</v>
      </c>
      <c r="AI769" s="97">
        <f>SUM(Y769+AG769)</f>
        <v>0</v>
      </c>
      <c r="AJ769" s="97">
        <f>SUM(Z769,AH769)</f>
        <v>0</v>
      </c>
      <c r="AK769" s="97"/>
      <c r="AL769" s="97">
        <f>N769*AK769/1000</f>
        <v>0</v>
      </c>
      <c r="AM769" s="97"/>
      <c r="AN769" s="97">
        <f>N769*AM769/1000</f>
        <v>0</v>
      </c>
      <c r="AO769" s="97"/>
      <c r="AP769" s="97">
        <f>N769*AO769/1000</f>
        <v>0</v>
      </c>
      <c r="AQ769" s="97">
        <f t="shared" si="6507"/>
        <v>0</v>
      </c>
      <c r="AR769" s="97">
        <f t="shared" si="6507"/>
        <v>0</v>
      </c>
      <c r="AS769" s="97"/>
      <c r="AT769" s="97">
        <f>P769*AS769/1000</f>
        <v>0</v>
      </c>
      <c r="AU769" s="97"/>
      <c r="AV769" s="97">
        <f>P769*AU769/1000</f>
        <v>0</v>
      </c>
      <c r="AW769" s="97"/>
      <c r="AX769" s="97">
        <f>P769*AW769/1000</f>
        <v>0</v>
      </c>
      <c r="AY769" s="97">
        <f t="shared" si="6508"/>
        <v>0</v>
      </c>
      <c r="AZ769" s="97">
        <f t="shared" si="6508"/>
        <v>0</v>
      </c>
      <c r="BA769" s="97">
        <f>SUM(AQ769+AY769)</f>
        <v>0</v>
      </c>
      <c r="BB769" s="97">
        <f>SUM(AR769,AZ769)</f>
        <v>0</v>
      </c>
    </row>
    <row r="770" spans="1:54">
      <c r="A770" s="498">
        <v>537</v>
      </c>
      <c r="B770" s="13"/>
      <c r="C770" s="13"/>
      <c r="D770" s="13"/>
      <c r="E770" s="51" t="s">
        <v>283</v>
      </c>
      <c r="F770" s="65"/>
      <c r="G770" s="65" t="s">
        <v>1105</v>
      </c>
      <c r="H770" s="275" t="s">
        <v>365</v>
      </c>
      <c r="I770" s="58"/>
      <c r="J770" s="167">
        <v>4810</v>
      </c>
      <c r="K770" s="58"/>
      <c r="L770" s="167">
        <v>4810</v>
      </c>
      <c r="M770" s="58"/>
      <c r="N770" s="167">
        <v>4810</v>
      </c>
      <c r="O770" s="58"/>
      <c r="P770" s="167">
        <v>4810</v>
      </c>
      <c r="Q770" s="95">
        <f t="shared" si="6504"/>
        <v>0</v>
      </c>
      <c r="R770" s="343">
        <f t="shared" si="6504"/>
        <v>0</v>
      </c>
      <c r="S770" s="95"/>
      <c r="T770" s="95">
        <f>J770*S770/1000</f>
        <v>0</v>
      </c>
      <c r="U770" s="95"/>
      <c r="V770" s="95">
        <f>J770*U770/1000</f>
        <v>0</v>
      </c>
      <c r="W770" s="95"/>
      <c r="X770" s="95">
        <f>J770*W770/1000</f>
        <v>0</v>
      </c>
      <c r="Y770" s="95">
        <f t="shared" si="6505"/>
        <v>0</v>
      </c>
      <c r="Z770" s="95">
        <f t="shared" si="6505"/>
        <v>0</v>
      </c>
      <c r="AA770" s="95"/>
      <c r="AB770" s="95">
        <f>L770*AA770/1000</f>
        <v>0</v>
      </c>
      <c r="AC770" s="95"/>
      <c r="AD770" s="95">
        <f>L770*AC770/1000</f>
        <v>0</v>
      </c>
      <c r="AE770" s="95"/>
      <c r="AF770" s="95">
        <f>L770*AE770/1000</f>
        <v>0</v>
      </c>
      <c r="AG770" s="95">
        <f t="shared" si="6506"/>
        <v>0</v>
      </c>
      <c r="AH770" s="95">
        <f t="shared" si="6506"/>
        <v>0</v>
      </c>
      <c r="AI770" s="95">
        <f>SUM(Y770+AG770)</f>
        <v>0</v>
      </c>
      <c r="AJ770" s="95">
        <f>SUM(Z770,AH770)</f>
        <v>0</v>
      </c>
      <c r="AK770" s="95"/>
      <c r="AL770" s="95">
        <f>N770*AK770/1000</f>
        <v>0</v>
      </c>
      <c r="AM770" s="95"/>
      <c r="AN770" s="95">
        <f>N770*AM770/1000</f>
        <v>0</v>
      </c>
      <c r="AO770" s="95"/>
      <c r="AP770" s="95">
        <f>N770*AO770/1000</f>
        <v>0</v>
      </c>
      <c r="AQ770" s="95">
        <f t="shared" si="6507"/>
        <v>0</v>
      </c>
      <c r="AR770" s="95">
        <f t="shared" si="6507"/>
        <v>0</v>
      </c>
      <c r="AS770" s="95"/>
      <c r="AT770" s="95">
        <f>P770*AS770/1000</f>
        <v>0</v>
      </c>
      <c r="AU770" s="95"/>
      <c r="AV770" s="95">
        <f>P770*AU770/1000</f>
        <v>0</v>
      </c>
      <c r="AW770" s="95"/>
      <c r="AX770" s="95">
        <f>P770*AW770/1000</f>
        <v>0</v>
      </c>
      <c r="AY770" s="95">
        <f t="shared" si="6508"/>
        <v>0</v>
      </c>
      <c r="AZ770" s="95">
        <f t="shared" si="6508"/>
        <v>0</v>
      </c>
      <c r="BA770" s="95">
        <f>SUM(AQ770+AY770)</f>
        <v>0</v>
      </c>
      <c r="BB770" s="95">
        <f>SUM(AR770,AZ770)</f>
        <v>0</v>
      </c>
    </row>
    <row r="771" spans="1:54">
      <c r="A771" s="498">
        <v>538</v>
      </c>
      <c r="B771" s="13"/>
      <c r="C771" s="23"/>
      <c r="D771" s="71"/>
      <c r="E771" s="328" t="s">
        <v>337</v>
      </c>
      <c r="F771" s="236"/>
      <c r="G771" s="236"/>
      <c r="H771" s="269"/>
      <c r="I771" s="74"/>
      <c r="J771" s="115"/>
      <c r="K771" s="74"/>
      <c r="L771" s="171"/>
      <c r="M771" s="74"/>
      <c r="N771" s="171"/>
      <c r="O771" s="152"/>
      <c r="P771" s="171"/>
      <c r="Q771" s="123">
        <f>SUM(Q768:Q770)</f>
        <v>0</v>
      </c>
      <c r="R771" s="123">
        <f t="shared" ref="R771:BB771" si="6509">SUM(R768:R770)</f>
        <v>0</v>
      </c>
      <c r="S771" s="123">
        <f>SUM(S768:S770)</f>
        <v>0</v>
      </c>
      <c r="T771" s="123">
        <f t="shared" si="6509"/>
        <v>0</v>
      </c>
      <c r="U771" s="123">
        <f t="shared" si="6509"/>
        <v>0</v>
      </c>
      <c r="V771" s="123">
        <f t="shared" si="6509"/>
        <v>0</v>
      </c>
      <c r="W771" s="123">
        <f t="shared" si="6509"/>
        <v>0</v>
      </c>
      <c r="X771" s="123">
        <f t="shared" si="6509"/>
        <v>0</v>
      </c>
      <c r="Y771" s="123">
        <f t="shared" si="6509"/>
        <v>0</v>
      </c>
      <c r="Z771" s="123">
        <f t="shared" si="6509"/>
        <v>0</v>
      </c>
      <c r="AA771" s="123">
        <f>SUM(AA768:AA770)</f>
        <v>0</v>
      </c>
      <c r="AB771" s="123">
        <f t="shared" si="6509"/>
        <v>0</v>
      </c>
      <c r="AC771" s="123">
        <f t="shared" si="6509"/>
        <v>0</v>
      </c>
      <c r="AD771" s="123">
        <f t="shared" si="6509"/>
        <v>0</v>
      </c>
      <c r="AE771" s="123">
        <f t="shared" si="6509"/>
        <v>0</v>
      </c>
      <c r="AF771" s="123">
        <f t="shared" si="6509"/>
        <v>0</v>
      </c>
      <c r="AG771" s="123">
        <f t="shared" si="6509"/>
        <v>0</v>
      </c>
      <c r="AH771" s="123">
        <f t="shared" si="6509"/>
        <v>0</v>
      </c>
      <c r="AI771" s="123">
        <f t="shared" si="6509"/>
        <v>0</v>
      </c>
      <c r="AJ771" s="123">
        <f t="shared" si="6509"/>
        <v>0</v>
      </c>
      <c r="AK771" s="123">
        <f t="shared" si="6509"/>
        <v>0</v>
      </c>
      <c r="AL771" s="123">
        <f t="shared" si="6509"/>
        <v>0</v>
      </c>
      <c r="AM771" s="123">
        <f t="shared" si="6509"/>
        <v>0</v>
      </c>
      <c r="AN771" s="123">
        <f t="shared" si="6509"/>
        <v>0</v>
      </c>
      <c r="AO771" s="123">
        <f t="shared" si="6509"/>
        <v>0</v>
      </c>
      <c r="AP771" s="123">
        <f t="shared" si="6509"/>
        <v>0</v>
      </c>
      <c r="AQ771" s="123">
        <f t="shared" si="6509"/>
        <v>0</v>
      </c>
      <c r="AR771" s="123">
        <f t="shared" si="6509"/>
        <v>0</v>
      </c>
      <c r="AS771" s="123">
        <f t="shared" si="6509"/>
        <v>0</v>
      </c>
      <c r="AT771" s="123">
        <f t="shared" si="6509"/>
        <v>0</v>
      </c>
      <c r="AU771" s="123">
        <f t="shared" si="6509"/>
        <v>0</v>
      </c>
      <c r="AV771" s="123">
        <f t="shared" si="6509"/>
        <v>0</v>
      </c>
      <c r="AW771" s="123">
        <f t="shared" si="6509"/>
        <v>0</v>
      </c>
      <c r="AX771" s="123">
        <f t="shared" si="6509"/>
        <v>0</v>
      </c>
      <c r="AY771" s="123">
        <f t="shared" si="6509"/>
        <v>0</v>
      </c>
      <c r="AZ771" s="123">
        <f t="shared" si="6509"/>
        <v>0</v>
      </c>
      <c r="BA771" s="123">
        <f t="shared" si="6509"/>
        <v>0</v>
      </c>
      <c r="BB771" s="123">
        <f t="shared" si="6509"/>
        <v>0</v>
      </c>
    </row>
    <row r="772" spans="1:54" ht="12.75" customHeight="1">
      <c r="A772" s="498">
        <v>539</v>
      </c>
      <c r="B772" s="26"/>
      <c r="C772" s="27" t="s">
        <v>135</v>
      </c>
      <c r="D772" s="28"/>
      <c r="E772" s="39"/>
      <c r="F772" s="89"/>
      <c r="G772" s="89"/>
      <c r="H772" s="280"/>
      <c r="I772" s="75"/>
      <c r="J772" s="30"/>
      <c r="K772" s="75"/>
      <c r="L772" s="30"/>
      <c r="M772" s="75"/>
      <c r="N772" s="30"/>
      <c r="O772" s="75"/>
      <c r="P772" s="30"/>
      <c r="Q772" s="126">
        <f t="shared" ref="Q772:BB772" si="6510">Q771+Q767+Q669+Q644</f>
        <v>2647.4680000000008</v>
      </c>
      <c r="R772" s="126">
        <f t="shared" si="6510"/>
        <v>37428.145223379004</v>
      </c>
      <c r="S772" s="126">
        <f t="shared" si="6510"/>
        <v>187.89999999999998</v>
      </c>
      <c r="T772" s="126">
        <f t="shared" si="6510"/>
        <v>2707.0072855385997</v>
      </c>
      <c r="U772" s="126">
        <f t="shared" si="6510"/>
        <v>192.23700000000002</v>
      </c>
      <c r="V772" s="126">
        <f t="shared" si="6510"/>
        <v>2669.5761987200003</v>
      </c>
      <c r="W772" s="126">
        <f t="shared" si="6510"/>
        <v>228.15699999999998</v>
      </c>
      <c r="X772" s="126">
        <f t="shared" si="6510"/>
        <v>3246.2505402000002</v>
      </c>
      <c r="Y772" s="126">
        <f t="shared" si="6510"/>
        <v>608.29399999999987</v>
      </c>
      <c r="Z772" s="126">
        <f t="shared" si="6510"/>
        <v>8622.8340244585997</v>
      </c>
      <c r="AA772" s="126">
        <f t="shared" si="6510"/>
        <v>252.99599999999998</v>
      </c>
      <c r="AB772" s="126">
        <f t="shared" si="6510"/>
        <v>3806.1453304272004</v>
      </c>
      <c r="AC772" s="126">
        <f t="shared" si="6510"/>
        <v>239.75399999999999</v>
      </c>
      <c r="AD772" s="126">
        <f t="shared" si="6510"/>
        <v>3943.890658250999</v>
      </c>
      <c r="AE772" s="126">
        <f t="shared" si="6510"/>
        <v>223.12700000000001</v>
      </c>
      <c r="AF772" s="126">
        <f t="shared" si="6510"/>
        <v>3179.9106944163996</v>
      </c>
      <c r="AG772" s="126">
        <f t="shared" si="6510"/>
        <v>715.87699999999995</v>
      </c>
      <c r="AH772" s="126">
        <f t="shared" si="6510"/>
        <v>10929.9466830946</v>
      </c>
      <c r="AI772" s="126">
        <f t="shared" si="6510"/>
        <v>1324.1710000000003</v>
      </c>
      <c r="AJ772" s="126">
        <f t="shared" si="6510"/>
        <v>19552.780707553196</v>
      </c>
      <c r="AK772" s="126">
        <f t="shared" si="6510"/>
        <v>230.05200000000002</v>
      </c>
      <c r="AL772" s="126">
        <f t="shared" si="6510"/>
        <v>3319.6867044848009</v>
      </c>
      <c r="AM772" s="126">
        <f t="shared" si="6510"/>
        <v>239.25600000000003</v>
      </c>
      <c r="AN772" s="126">
        <f t="shared" si="6510"/>
        <v>3180.5923016680013</v>
      </c>
      <c r="AO772" s="126">
        <f t="shared" si="6510"/>
        <v>190.15500000000003</v>
      </c>
      <c r="AP772" s="126">
        <f t="shared" si="6510"/>
        <v>2696.0939322886998</v>
      </c>
      <c r="AQ772" s="126">
        <f t="shared" si="6510"/>
        <v>659.46299999999997</v>
      </c>
      <c r="AR772" s="126">
        <f t="shared" si="6510"/>
        <v>9196.3729384415019</v>
      </c>
      <c r="AS772" s="126">
        <f t="shared" si="6510"/>
        <v>224.62299999999999</v>
      </c>
      <c r="AT772" s="126">
        <f t="shared" si="6510"/>
        <v>3246.6343158740001</v>
      </c>
      <c r="AU772" s="126">
        <f t="shared" si="6510"/>
        <v>218.80900000000003</v>
      </c>
      <c r="AV772" s="126">
        <f t="shared" si="6510"/>
        <v>2655.6284080115001</v>
      </c>
      <c r="AW772" s="126">
        <f t="shared" si="6510"/>
        <v>220.40200000000002</v>
      </c>
      <c r="AX772" s="126">
        <f t="shared" si="6510"/>
        <v>2776.7288534988002</v>
      </c>
      <c r="AY772" s="126">
        <f t="shared" si="6510"/>
        <v>663.83399999999983</v>
      </c>
      <c r="AZ772" s="126">
        <f t="shared" si="6510"/>
        <v>8678.9915773842986</v>
      </c>
      <c r="BA772" s="126">
        <f t="shared" si="6510"/>
        <v>1323.2969999999998</v>
      </c>
      <c r="BB772" s="126">
        <f t="shared" si="6510"/>
        <v>17875.3645158258</v>
      </c>
    </row>
    <row r="773" spans="1:54">
      <c r="A773" s="498">
        <v>540</v>
      </c>
      <c r="B773" s="13"/>
      <c r="C773" s="13" t="s">
        <v>136</v>
      </c>
      <c r="D773" s="13" t="s">
        <v>285</v>
      </c>
      <c r="E773" s="31" t="s">
        <v>1288</v>
      </c>
      <c r="F773" s="314"/>
      <c r="G773" s="314" t="s">
        <v>1106</v>
      </c>
      <c r="H773" s="274" t="s">
        <v>365</v>
      </c>
      <c r="I773" s="62"/>
      <c r="J773" s="164">
        <v>5559</v>
      </c>
      <c r="K773" s="62"/>
      <c r="L773" s="164">
        <v>5559</v>
      </c>
      <c r="M773" s="62"/>
      <c r="N773" s="164">
        <v>5559</v>
      </c>
      <c r="O773" s="62"/>
      <c r="P773" s="164">
        <v>5559</v>
      </c>
      <c r="Q773" s="122">
        <f t="shared" ref="Q773" si="6511">SUM(AI773+BA773)</f>
        <v>1.5589999999999999</v>
      </c>
      <c r="R773" s="346">
        <f t="shared" ref="R773" si="6512">SUM(AJ773+BB773)</f>
        <v>8.6664809999999992</v>
      </c>
      <c r="S773" s="122">
        <v>0.20200000000000001</v>
      </c>
      <c r="T773" s="122">
        <f t="shared" ref="T773:T786" si="6513">J773*S773/1000</f>
        <v>1.1229180000000001</v>
      </c>
      <c r="U773" s="122">
        <v>0.3</v>
      </c>
      <c r="V773" s="122">
        <f t="shared" ref="V773:V786" si="6514">J773*U773/1000</f>
        <v>1.6677</v>
      </c>
      <c r="W773" s="122">
        <v>0.48099999999999998</v>
      </c>
      <c r="X773" s="122">
        <f t="shared" ref="X773:X786" si="6515">J773*W773/1000</f>
        <v>2.6738789999999999</v>
      </c>
      <c r="Y773" s="122">
        <f t="shared" ref="Y773" si="6516">SUM(S773+U773+W773)</f>
        <v>0.98299999999999998</v>
      </c>
      <c r="Z773" s="122">
        <f t="shared" ref="Z773" si="6517">SUM(T773+V773+X773)</f>
        <v>5.4644969999999997</v>
      </c>
      <c r="AA773" s="122"/>
      <c r="AB773" s="122">
        <f t="shared" ref="AB773:AB786" si="6518">L773*AA773/1000</f>
        <v>0</v>
      </c>
      <c r="AC773" s="122"/>
      <c r="AD773" s="122">
        <f t="shared" ref="AD773:AD786" si="6519">L773*AC773/1000</f>
        <v>0</v>
      </c>
      <c r="AE773" s="122"/>
      <c r="AF773" s="122">
        <f>L773*AE773/1000</f>
        <v>0</v>
      </c>
      <c r="AG773" s="122">
        <f t="shared" ref="AG773" si="6520">SUM(AA773+AC773+AE773)</f>
        <v>0</v>
      </c>
      <c r="AH773" s="122">
        <f t="shared" ref="AH773" si="6521">SUM(AB773+AD773+AF773)</f>
        <v>0</v>
      </c>
      <c r="AI773" s="122">
        <f t="shared" ref="AI773" si="6522">SUM(Y773+AG773)</f>
        <v>0.98299999999999998</v>
      </c>
      <c r="AJ773" s="122">
        <f t="shared" ref="AJ773" si="6523">SUM(Z773,AH773)</f>
        <v>5.4644969999999997</v>
      </c>
      <c r="AK773" s="122">
        <v>0.57599999999999996</v>
      </c>
      <c r="AL773" s="122">
        <f t="shared" ref="AL773" si="6524">N773*AK773/1000</f>
        <v>3.2019839999999999</v>
      </c>
      <c r="AM773" s="122"/>
      <c r="AN773" s="122">
        <f t="shared" ref="AN773" si="6525">N773*AM773/1000</f>
        <v>0</v>
      </c>
      <c r="AO773" s="122"/>
      <c r="AP773" s="122">
        <f t="shared" ref="AP773" si="6526">N773*AO773/1000</f>
        <v>0</v>
      </c>
      <c r="AQ773" s="122">
        <f t="shared" ref="AQ773" si="6527">SUM(AK773+AM773+AO773)</f>
        <v>0.57599999999999996</v>
      </c>
      <c r="AR773" s="122">
        <f t="shared" ref="AR773" si="6528">SUM(AL773+AN773+AP773)</f>
        <v>3.2019839999999999</v>
      </c>
      <c r="AS773" s="122"/>
      <c r="AT773" s="122">
        <f t="shared" ref="AT773" si="6529">P773*AS773/1000</f>
        <v>0</v>
      </c>
      <c r="AU773" s="122"/>
      <c r="AV773" s="122">
        <f t="shared" ref="AV773" si="6530">P773*AU773/1000</f>
        <v>0</v>
      </c>
      <c r="AW773" s="122"/>
      <c r="AX773" s="122">
        <f t="shared" ref="AX773" si="6531">P773*AW773/1000</f>
        <v>0</v>
      </c>
      <c r="AY773" s="122">
        <f t="shared" ref="AY773" si="6532">SUM(AS773+AU773+AW773)</f>
        <v>0</v>
      </c>
      <c r="AZ773" s="122">
        <f t="shared" ref="AZ773" si="6533">SUM(AT773+AV773+AX773)</f>
        <v>0</v>
      </c>
      <c r="BA773" s="122">
        <f t="shared" ref="BA773" si="6534">SUM(AQ773+AY773)</f>
        <v>0.57599999999999996</v>
      </c>
      <c r="BB773" s="122">
        <f t="shared" ref="BB773" si="6535">SUM(AR773,AZ773)</f>
        <v>3.2019839999999999</v>
      </c>
    </row>
    <row r="774" spans="1:54">
      <c r="A774" s="498">
        <v>541</v>
      </c>
      <c r="B774" s="13"/>
      <c r="C774" s="13"/>
      <c r="D774" s="13"/>
      <c r="E774" s="21" t="s">
        <v>1069</v>
      </c>
      <c r="F774" s="46"/>
      <c r="G774" s="46" t="s">
        <v>1106</v>
      </c>
      <c r="H774" s="268" t="s">
        <v>365</v>
      </c>
      <c r="I774" s="55"/>
      <c r="J774" s="163">
        <v>5559</v>
      </c>
      <c r="K774" s="55"/>
      <c r="L774" s="163">
        <v>5559</v>
      </c>
      <c r="M774" s="55"/>
      <c r="N774" s="163">
        <v>5559</v>
      </c>
      <c r="O774" s="55"/>
      <c r="P774" s="163">
        <v>5559</v>
      </c>
      <c r="Q774" s="97">
        <f t="shared" ref="Q774:Q786" si="6536">SUM(AI774+BA774)</f>
        <v>0.41799999999999998</v>
      </c>
      <c r="R774" s="342">
        <f t="shared" ref="R774:R786" si="6537">SUM(AJ774+BB774)</f>
        <v>2.3236619999999997</v>
      </c>
      <c r="S774" s="97">
        <v>0.05</v>
      </c>
      <c r="T774" s="97">
        <f t="shared" si="6513"/>
        <v>0.27794999999999997</v>
      </c>
      <c r="U774" s="97">
        <v>2.4E-2</v>
      </c>
      <c r="V774" s="97">
        <f t="shared" si="6514"/>
        <v>0.13341600000000001</v>
      </c>
      <c r="W774" s="97">
        <v>0.05</v>
      </c>
      <c r="X774" s="97">
        <f t="shared" si="6515"/>
        <v>0.27794999999999997</v>
      </c>
      <c r="Y774" s="97">
        <f t="shared" ref="Y774:Y786" si="6538">SUM(S774+U774+W774)</f>
        <v>0.12400000000000001</v>
      </c>
      <c r="Z774" s="97">
        <f t="shared" ref="Z774:Z786" si="6539">SUM(T774+V774+X774)</f>
        <v>0.68931600000000004</v>
      </c>
      <c r="AA774" s="97">
        <v>2.4E-2</v>
      </c>
      <c r="AB774" s="97">
        <f t="shared" si="6518"/>
        <v>0.13341600000000001</v>
      </c>
      <c r="AC774" s="97"/>
      <c r="AD774" s="97">
        <f t="shared" si="6519"/>
        <v>0</v>
      </c>
      <c r="AE774" s="97">
        <v>0.15</v>
      </c>
      <c r="AF774" s="97">
        <f t="shared" ref="AF774:AF785" si="6540">L774*AE774/1000</f>
        <v>0.83384999999999998</v>
      </c>
      <c r="AG774" s="97">
        <f t="shared" ref="AG774:AG786" si="6541">SUM(AA774+AC774+AE774)</f>
        <v>0.17399999999999999</v>
      </c>
      <c r="AH774" s="97">
        <f t="shared" ref="AH774:AH786" si="6542">SUM(AB774+AD774+AF774)</f>
        <v>0.96726599999999996</v>
      </c>
      <c r="AI774" s="97">
        <f t="shared" ref="AI774:AI786" si="6543">SUM(Y774+AG774)</f>
        <v>0.29799999999999999</v>
      </c>
      <c r="AJ774" s="97">
        <f t="shared" ref="AJ774:AJ786" si="6544">SUM(Z774,AH774)</f>
        <v>1.656582</v>
      </c>
      <c r="AK774" s="97"/>
      <c r="AL774" s="97">
        <f t="shared" ref="AL774:AL785" si="6545">N774*AK774/1000</f>
        <v>0</v>
      </c>
      <c r="AM774" s="97">
        <v>0.12</v>
      </c>
      <c r="AN774" s="97">
        <f t="shared" ref="AN774:AN786" si="6546">N774*AM774/1000</f>
        <v>0.6670799999999999</v>
      </c>
      <c r="AO774" s="97"/>
      <c r="AP774" s="97">
        <f t="shared" ref="AP774" si="6547">N774*AO774/1000</f>
        <v>0</v>
      </c>
      <c r="AQ774" s="97">
        <f t="shared" ref="AQ774:AQ786" si="6548">SUM(AK774+AM774+AO774)</f>
        <v>0.12</v>
      </c>
      <c r="AR774" s="97">
        <f t="shared" ref="AR774:AR786" si="6549">SUM(AL774+AN774+AP774)</f>
        <v>0.6670799999999999</v>
      </c>
      <c r="AS774" s="97"/>
      <c r="AT774" s="97">
        <f t="shared" ref="AT774:AT786" si="6550">P774*AS774/1000</f>
        <v>0</v>
      </c>
      <c r="AU774" s="97"/>
      <c r="AV774" s="97">
        <f t="shared" ref="AV774:AV786" si="6551">P774*AU774/1000</f>
        <v>0</v>
      </c>
      <c r="AW774" s="97"/>
      <c r="AX774" s="97">
        <f t="shared" ref="AX774:AX786" si="6552">P774*AW774/1000</f>
        <v>0</v>
      </c>
      <c r="AY774" s="97">
        <f t="shared" ref="AY774:AY786" si="6553">SUM(AS774+AU774+AW774)</f>
        <v>0</v>
      </c>
      <c r="AZ774" s="97">
        <f t="shared" ref="AZ774:AZ786" si="6554">SUM(AT774+AV774+AX774)</f>
        <v>0</v>
      </c>
      <c r="BA774" s="97">
        <f t="shared" ref="BA774:BA786" si="6555">SUM(AQ774+AY774)</f>
        <v>0.12</v>
      </c>
      <c r="BB774" s="97">
        <f t="shared" ref="BB774:BB786" si="6556">SUM(AR774,AZ774)</f>
        <v>0.6670799999999999</v>
      </c>
    </row>
    <row r="775" spans="1:54">
      <c r="A775" s="498">
        <v>542</v>
      </c>
      <c r="B775" s="13"/>
      <c r="C775" s="13"/>
      <c r="D775" s="13"/>
      <c r="E775" s="63" t="s">
        <v>1070</v>
      </c>
      <c r="F775" s="425"/>
      <c r="G775" s="425" t="s">
        <v>1106</v>
      </c>
      <c r="H775" s="284" t="s">
        <v>365</v>
      </c>
      <c r="I775" s="67"/>
      <c r="J775" s="166">
        <v>4850</v>
      </c>
      <c r="K775" s="67"/>
      <c r="L775" s="166">
        <v>4850</v>
      </c>
      <c r="M775" s="67"/>
      <c r="N775" s="166">
        <v>4850</v>
      </c>
      <c r="O775" s="67"/>
      <c r="P775" s="166">
        <v>4850</v>
      </c>
      <c r="Q775" s="129">
        <f t="shared" ref="Q775:Q776" si="6557">SUM(AI775+BA775)</f>
        <v>0</v>
      </c>
      <c r="R775" s="350">
        <f t="shared" si="6537"/>
        <v>0</v>
      </c>
      <c r="S775" s="129"/>
      <c r="T775" s="129">
        <f t="shared" si="6513"/>
        <v>0</v>
      </c>
      <c r="U775" s="129"/>
      <c r="V775" s="129">
        <f t="shared" si="6514"/>
        <v>0</v>
      </c>
      <c r="W775" s="129"/>
      <c r="X775" s="129">
        <f t="shared" si="6515"/>
        <v>0</v>
      </c>
      <c r="Y775" s="129">
        <f t="shared" si="6538"/>
        <v>0</v>
      </c>
      <c r="Z775" s="129">
        <f t="shared" si="6539"/>
        <v>0</v>
      </c>
      <c r="AA775" s="129"/>
      <c r="AB775" s="129">
        <f t="shared" si="6518"/>
        <v>0</v>
      </c>
      <c r="AC775" s="129"/>
      <c r="AD775" s="129">
        <f t="shared" si="6519"/>
        <v>0</v>
      </c>
      <c r="AE775" s="129"/>
      <c r="AF775" s="129">
        <f t="shared" si="6540"/>
        <v>0</v>
      </c>
      <c r="AG775" s="129">
        <f t="shared" si="6541"/>
        <v>0</v>
      </c>
      <c r="AH775" s="129">
        <f t="shared" si="6542"/>
        <v>0</v>
      </c>
      <c r="AI775" s="129">
        <f t="shared" si="6543"/>
        <v>0</v>
      </c>
      <c r="AJ775" s="129">
        <f t="shared" si="6544"/>
        <v>0</v>
      </c>
      <c r="AK775" s="129"/>
      <c r="AL775" s="129">
        <f t="shared" si="6545"/>
        <v>0</v>
      </c>
      <c r="AM775" s="129"/>
      <c r="AN775" s="129">
        <f t="shared" si="6546"/>
        <v>0</v>
      </c>
      <c r="AO775" s="129"/>
      <c r="AP775" s="129">
        <f>N775*AO775/1000</f>
        <v>0</v>
      </c>
      <c r="AQ775" s="129">
        <f t="shared" si="6548"/>
        <v>0</v>
      </c>
      <c r="AR775" s="129">
        <f t="shared" si="6549"/>
        <v>0</v>
      </c>
      <c r="AS775" s="129"/>
      <c r="AT775" s="129">
        <f t="shared" si="6550"/>
        <v>0</v>
      </c>
      <c r="AU775" s="129"/>
      <c r="AV775" s="129">
        <f t="shared" si="6551"/>
        <v>0</v>
      </c>
      <c r="AW775" s="129"/>
      <c r="AX775" s="129">
        <f t="shared" si="6552"/>
        <v>0</v>
      </c>
      <c r="AY775" s="129">
        <f t="shared" si="6553"/>
        <v>0</v>
      </c>
      <c r="AZ775" s="129">
        <f t="shared" si="6554"/>
        <v>0</v>
      </c>
      <c r="BA775" s="129">
        <f t="shared" si="6555"/>
        <v>0</v>
      </c>
      <c r="BB775" s="129">
        <f t="shared" si="6556"/>
        <v>0</v>
      </c>
    </row>
    <row r="776" spans="1:54">
      <c r="A776" s="498">
        <v>543</v>
      </c>
      <c r="B776" s="13"/>
      <c r="C776" s="13"/>
      <c r="D776" s="13"/>
      <c r="E776" s="21" t="s">
        <v>1139</v>
      </c>
      <c r="F776" s="46"/>
      <c r="G776" s="46" t="s">
        <v>1106</v>
      </c>
      <c r="H776" s="268" t="s">
        <v>365</v>
      </c>
      <c r="I776" s="55"/>
      <c r="J776" s="163">
        <v>5604</v>
      </c>
      <c r="K776" s="55"/>
      <c r="L776" s="163">
        <v>5604</v>
      </c>
      <c r="M776" s="55"/>
      <c r="N776" s="163">
        <v>5604</v>
      </c>
      <c r="O776" s="55"/>
      <c r="P776" s="163">
        <v>5604</v>
      </c>
      <c r="Q776" s="97">
        <f t="shared" si="6557"/>
        <v>26.746000000000002</v>
      </c>
      <c r="R776" s="342">
        <f t="shared" si="6537"/>
        <v>149.88458399999999</v>
      </c>
      <c r="S776" s="97">
        <v>1.3340000000000001</v>
      </c>
      <c r="T776" s="97">
        <f t="shared" si="6513"/>
        <v>7.4757360000000004</v>
      </c>
      <c r="U776" s="97">
        <v>2.2090000000000001</v>
      </c>
      <c r="V776" s="97">
        <f t="shared" si="6514"/>
        <v>12.379236000000001</v>
      </c>
      <c r="W776" s="97">
        <v>2.48</v>
      </c>
      <c r="X776" s="97">
        <f t="shared" si="6515"/>
        <v>13.897920000000001</v>
      </c>
      <c r="Y776" s="97">
        <f t="shared" ref="Y776:Y777" si="6558">SUM(S776+U776+W776)</f>
        <v>6.0229999999999997</v>
      </c>
      <c r="Z776" s="97">
        <f t="shared" ref="Z776:Z777" si="6559">SUM(T776+V776+X776)</f>
        <v>33.752892000000003</v>
      </c>
      <c r="AA776" s="97">
        <v>3.2389999999999999</v>
      </c>
      <c r="AB776" s="97">
        <f t="shared" si="6518"/>
        <v>18.151356</v>
      </c>
      <c r="AC776" s="97">
        <v>1.4390000000000001</v>
      </c>
      <c r="AD776" s="97">
        <f t="shared" si="6519"/>
        <v>8.0641560000000005</v>
      </c>
      <c r="AE776" s="97">
        <v>2.0230000000000001</v>
      </c>
      <c r="AF776" s="97">
        <f t="shared" si="6540"/>
        <v>11.336892000000002</v>
      </c>
      <c r="AG776" s="97">
        <f>SUM(AA776+AC776+AE776)</f>
        <v>6.7010000000000005</v>
      </c>
      <c r="AH776" s="97">
        <f>SUM(AB776+AD776+AF776)</f>
        <v>37.552404000000003</v>
      </c>
      <c r="AI776" s="97">
        <f t="shared" si="6543"/>
        <v>12.724</v>
      </c>
      <c r="AJ776" s="97">
        <f t="shared" si="6544"/>
        <v>71.305295999999998</v>
      </c>
      <c r="AK776" s="97">
        <v>2.2650000000000001</v>
      </c>
      <c r="AL776" s="97">
        <f t="shared" si="6545"/>
        <v>12.693060000000001</v>
      </c>
      <c r="AM776" s="97">
        <v>2.484</v>
      </c>
      <c r="AN776" s="97">
        <f t="shared" si="6546"/>
        <v>13.920335999999999</v>
      </c>
      <c r="AO776" s="97">
        <v>1.4370000000000001</v>
      </c>
      <c r="AP776" s="97">
        <f t="shared" ref="AP776" si="6560">N776*AO776/1000</f>
        <v>8.0529480000000007</v>
      </c>
      <c r="AQ776" s="97">
        <f>SUM(AK776+AM776+AO776)</f>
        <v>6.1860000000000008</v>
      </c>
      <c r="AR776" s="97">
        <f>SUM(AL776+AN776+AP776)</f>
        <v>34.666344000000002</v>
      </c>
      <c r="AS776" s="97">
        <v>0.70599999999999996</v>
      </c>
      <c r="AT776" s="97">
        <f t="shared" si="6550"/>
        <v>3.9564240000000002</v>
      </c>
      <c r="AU776" s="97">
        <v>2.7850000000000001</v>
      </c>
      <c r="AV776" s="97">
        <f t="shared" si="6551"/>
        <v>15.607140000000001</v>
      </c>
      <c r="AW776" s="97">
        <v>4.3449999999999998</v>
      </c>
      <c r="AX776" s="97">
        <f t="shared" si="6552"/>
        <v>24.349379999999996</v>
      </c>
      <c r="AY776" s="97">
        <f>SUM(AS776+AU776+AW776)</f>
        <v>7.8360000000000003</v>
      </c>
      <c r="AZ776" s="97">
        <f>SUM(AT776+AV776+AX776)</f>
        <v>43.912943999999996</v>
      </c>
      <c r="BA776" s="97">
        <f t="shared" si="6555"/>
        <v>14.022000000000002</v>
      </c>
      <c r="BB776" s="97">
        <f t="shared" si="6556"/>
        <v>78.579287999999991</v>
      </c>
    </row>
    <row r="777" spans="1:54">
      <c r="A777" s="498">
        <v>542</v>
      </c>
      <c r="B777" s="13"/>
      <c r="C777" s="13"/>
      <c r="D777" s="13"/>
      <c r="E777" s="21" t="s">
        <v>1218</v>
      </c>
      <c r="F777" s="46"/>
      <c r="G777" s="46" t="s">
        <v>1106</v>
      </c>
      <c r="H777" s="268" t="s">
        <v>365</v>
      </c>
      <c r="I777" s="55"/>
      <c r="J777" s="163">
        <v>5671</v>
      </c>
      <c r="K777" s="55"/>
      <c r="L777" s="163">
        <v>5671</v>
      </c>
      <c r="M777" s="55"/>
      <c r="N777" s="163">
        <v>5671</v>
      </c>
      <c r="O777" s="55"/>
      <c r="P777" s="163">
        <v>5671</v>
      </c>
      <c r="Q777" s="97">
        <f t="shared" ref="Q777" si="6561">SUM(AI777+BA777)</f>
        <v>3.323</v>
      </c>
      <c r="R777" s="342">
        <f t="shared" ref="R777" si="6562">SUM(AJ777+BB777)</f>
        <v>18.844732999999998</v>
      </c>
      <c r="S777" s="97"/>
      <c r="T777" s="97">
        <f t="shared" ref="T777" si="6563">J777*S777/1000</f>
        <v>0</v>
      </c>
      <c r="U777" s="97"/>
      <c r="V777" s="97">
        <f t="shared" ref="V777" si="6564">J777*U777/1000</f>
        <v>0</v>
      </c>
      <c r="W777" s="97">
        <v>8.8999999999999996E-2</v>
      </c>
      <c r="X777" s="97">
        <f t="shared" ref="X777" si="6565">J777*W777/1000</f>
        <v>0.50471900000000003</v>
      </c>
      <c r="Y777" s="97">
        <f t="shared" si="6558"/>
        <v>8.8999999999999996E-2</v>
      </c>
      <c r="Z777" s="97">
        <f t="shared" si="6559"/>
        <v>0.50471900000000003</v>
      </c>
      <c r="AA777" s="97">
        <v>0.498</v>
      </c>
      <c r="AB777" s="97">
        <f t="shared" ref="AB777" si="6566">L777*AA777/1000</f>
        <v>2.8241579999999997</v>
      </c>
      <c r="AC777" s="97">
        <v>0.57599999999999996</v>
      </c>
      <c r="AD777" s="97">
        <f t="shared" ref="AD777" si="6567">L777*AC777/1000</f>
        <v>3.2664959999999996</v>
      </c>
      <c r="AE777" s="97"/>
      <c r="AF777" s="97">
        <f t="shared" ref="AF777" si="6568">L777*AE777/1000</f>
        <v>0</v>
      </c>
      <c r="AG777" s="97">
        <f t="shared" ref="AG777" si="6569">SUM(AA777+AC777+AE777)</f>
        <v>1.0739999999999998</v>
      </c>
      <c r="AH777" s="97">
        <f t="shared" ref="AH777" si="6570">SUM(AB777+AD777+AF777)</f>
        <v>6.0906539999999989</v>
      </c>
      <c r="AI777" s="97">
        <f t="shared" ref="AI777" si="6571">SUM(Y777+AG777)</f>
        <v>1.1629999999999998</v>
      </c>
      <c r="AJ777" s="97">
        <f t="shared" ref="AJ777" si="6572">SUM(Z777,AH777)</f>
        <v>6.5953729999999986</v>
      </c>
      <c r="AK777" s="97">
        <v>0.51</v>
      </c>
      <c r="AL777" s="97">
        <f t="shared" ref="AL777" si="6573">N777*AK777/1000</f>
        <v>2.8922099999999999</v>
      </c>
      <c r="AM777" s="97">
        <v>8.5000000000000006E-2</v>
      </c>
      <c r="AN777" s="97">
        <f t="shared" ref="AN777" si="6574">N777*AM777/1000</f>
        <v>0.48203500000000005</v>
      </c>
      <c r="AO777" s="97">
        <v>0.22800000000000001</v>
      </c>
      <c r="AP777" s="97">
        <f>N777*AO777/1000</f>
        <v>1.292988</v>
      </c>
      <c r="AQ777" s="97">
        <f t="shared" ref="AQ777" si="6575">SUM(AK777+AM777+AO777)</f>
        <v>0.82299999999999995</v>
      </c>
      <c r="AR777" s="97">
        <f t="shared" ref="AR777" si="6576">SUM(AL777+AN777+AP777)</f>
        <v>4.6672330000000004</v>
      </c>
      <c r="AS777" s="97"/>
      <c r="AT777" s="97">
        <f t="shared" ref="AT777" si="6577">P777*AS777/1000</f>
        <v>0</v>
      </c>
      <c r="AU777" s="97">
        <v>0.82099999999999995</v>
      </c>
      <c r="AV777" s="97">
        <f t="shared" ref="AV777" si="6578">P777*AU777/1000</f>
        <v>4.6558909999999996</v>
      </c>
      <c r="AW777" s="97">
        <v>0.51600000000000001</v>
      </c>
      <c r="AX777" s="97">
        <f t="shared" ref="AX777" si="6579">P777*AW777/1000</f>
        <v>2.9262359999999998</v>
      </c>
      <c r="AY777" s="97">
        <f t="shared" ref="AY777" si="6580">SUM(AS777+AU777+AW777)</f>
        <v>1.337</v>
      </c>
      <c r="AZ777" s="97">
        <f t="shared" ref="AZ777" si="6581">SUM(AT777+AV777+AX777)</f>
        <v>7.5821269999999998</v>
      </c>
      <c r="BA777" s="97">
        <f t="shared" ref="BA777" si="6582">SUM(AQ777+AY777)</f>
        <v>2.16</v>
      </c>
      <c r="BB777" s="97">
        <f t="shared" ref="BB777" si="6583">SUM(AR777,AZ777)</f>
        <v>12.249359999999999</v>
      </c>
    </row>
    <row r="778" spans="1:54">
      <c r="A778" s="498">
        <v>544</v>
      </c>
      <c r="B778" s="13"/>
      <c r="C778" s="13"/>
      <c r="D778" s="13"/>
      <c r="E778" s="13" t="s">
        <v>1071</v>
      </c>
      <c r="F778" s="23"/>
      <c r="G778" s="23" t="s">
        <v>1106</v>
      </c>
      <c r="H778" s="269" t="s">
        <v>365</v>
      </c>
      <c r="I778" s="74"/>
      <c r="J778" s="171">
        <v>1605</v>
      </c>
      <c r="K778" s="74"/>
      <c r="L778" s="171">
        <v>1605</v>
      </c>
      <c r="M778" s="74"/>
      <c r="N778" s="171">
        <v>1605</v>
      </c>
      <c r="O778" s="74"/>
      <c r="P778" s="171">
        <v>1605</v>
      </c>
      <c r="Q778" s="119">
        <f>SUM(AI778+BA778)</f>
        <v>1.3560000000000001</v>
      </c>
      <c r="R778" s="349">
        <f t="shared" ref="R778:R779" si="6584">SUM(AJ778+BB778)</f>
        <v>2.17638</v>
      </c>
      <c r="S778" s="119">
        <v>0.16200000000000001</v>
      </c>
      <c r="T778" s="119">
        <f t="shared" si="6513"/>
        <v>0.26000999999999996</v>
      </c>
      <c r="U778" s="119">
        <v>0.3</v>
      </c>
      <c r="V778" s="119">
        <f t="shared" si="6514"/>
        <v>0.48149999999999998</v>
      </c>
      <c r="W778" s="119">
        <v>0.501</v>
      </c>
      <c r="X778" s="119">
        <f t="shared" si="6515"/>
        <v>0.80410500000000007</v>
      </c>
      <c r="Y778" s="119">
        <f t="shared" ref="Y778" si="6585">SUM(S778+U778+W778)</f>
        <v>0.96299999999999997</v>
      </c>
      <c r="Z778" s="119">
        <f t="shared" ref="Z778" si="6586">SUM(T778+V778+X778)</f>
        <v>1.545615</v>
      </c>
      <c r="AA778" s="119">
        <v>2.5000000000000001E-2</v>
      </c>
      <c r="AB778" s="119">
        <f t="shared" si="6518"/>
        <v>4.0125000000000001E-2</v>
      </c>
      <c r="AC778" s="119">
        <v>7.1999999999999995E-2</v>
      </c>
      <c r="AD778" s="119">
        <f t="shared" si="6519"/>
        <v>0.11555999999999998</v>
      </c>
      <c r="AE778" s="119">
        <v>0.105</v>
      </c>
      <c r="AF778" s="119">
        <f>L778*AE778/1000</f>
        <v>0.16852500000000001</v>
      </c>
      <c r="AG778" s="119">
        <f t="shared" ref="AG778" si="6587">SUM(AA778+AC778+AE778)</f>
        <v>0.20200000000000001</v>
      </c>
      <c r="AH778" s="119">
        <f t="shared" ref="AH778" si="6588">SUM(AB778+AD778+AF778)</f>
        <v>0.32421</v>
      </c>
      <c r="AI778" s="119">
        <f t="shared" ref="AI778:AI779" si="6589">SUM(Y778+AG778)</f>
        <v>1.165</v>
      </c>
      <c r="AJ778" s="119">
        <f t="shared" ref="AJ778:AJ779" si="6590">SUM(Z778,AH778)</f>
        <v>1.8698250000000001</v>
      </c>
      <c r="AK778" s="119"/>
      <c r="AL778" s="119">
        <f t="shared" ref="AL778:AL779" si="6591">N778*AK778/1000</f>
        <v>0</v>
      </c>
      <c r="AM778" s="119">
        <v>0.125</v>
      </c>
      <c r="AN778" s="119">
        <f t="shared" ref="AN778:AN779" si="6592">N778*AM778/1000</f>
        <v>0.200625</v>
      </c>
      <c r="AO778" s="119"/>
      <c r="AP778" s="119">
        <f t="shared" ref="AP778:AP779" si="6593">N778*AO778/1000</f>
        <v>0</v>
      </c>
      <c r="AQ778" s="119">
        <f t="shared" ref="AQ778" si="6594">SUM(AK778+AM778+AO778)</f>
        <v>0.125</v>
      </c>
      <c r="AR778" s="119">
        <f t="shared" ref="AR778" si="6595">SUM(AL778+AN778+AP778)</f>
        <v>0.200625</v>
      </c>
      <c r="AS778" s="119">
        <v>3.5999999999999997E-2</v>
      </c>
      <c r="AT778" s="119">
        <f t="shared" ref="AT778:AT779" si="6596">P778*AS778/1000</f>
        <v>5.7779999999999991E-2</v>
      </c>
      <c r="AU778" s="119"/>
      <c r="AV778" s="119">
        <f t="shared" ref="AV778:AV779" si="6597">P778*AU778/1000</f>
        <v>0</v>
      </c>
      <c r="AW778" s="119">
        <v>0.03</v>
      </c>
      <c r="AX778" s="119">
        <f t="shared" ref="AX778:AX779" si="6598">P778*AW778/1000</f>
        <v>4.8149999999999998E-2</v>
      </c>
      <c r="AY778" s="119">
        <f t="shared" ref="AY778" si="6599">SUM(AS778+AU778+AW778)</f>
        <v>6.6000000000000003E-2</v>
      </c>
      <c r="AZ778" s="119">
        <f t="shared" ref="AZ778" si="6600">SUM(AT778+AV778+AX778)</f>
        <v>0.10593</v>
      </c>
      <c r="BA778" s="119">
        <f t="shared" ref="BA778:BA779" si="6601">SUM(AQ778+AY778)</f>
        <v>0.191</v>
      </c>
      <c r="BB778" s="119">
        <f t="shared" ref="BB778:BB779" si="6602">SUM(AR778,AZ778)</f>
        <v>0.30655500000000002</v>
      </c>
    </row>
    <row r="779" spans="1:54">
      <c r="A779" s="498">
        <v>545</v>
      </c>
      <c r="B779" s="13"/>
      <c r="C779" s="13"/>
      <c r="D779" s="13"/>
      <c r="E779" s="491" t="s">
        <v>1152</v>
      </c>
      <c r="F779" s="492"/>
      <c r="G779" s="492" t="s">
        <v>1189</v>
      </c>
      <c r="H779" s="493" t="s">
        <v>365</v>
      </c>
      <c r="I779" s="494"/>
      <c r="J779" s="495">
        <v>5700</v>
      </c>
      <c r="K779" s="494"/>
      <c r="L779" s="495">
        <v>5700</v>
      </c>
      <c r="M779" s="494"/>
      <c r="N779" s="495">
        <v>5700</v>
      </c>
      <c r="O779" s="494"/>
      <c r="P779" s="495">
        <v>5700</v>
      </c>
      <c r="Q779" s="496">
        <f t="shared" ref="Q779" si="6603">SUM(AI779+BA779)</f>
        <v>1.63</v>
      </c>
      <c r="R779" s="497">
        <f t="shared" si="6584"/>
        <v>9.2910000000000004</v>
      </c>
      <c r="S779" s="496"/>
      <c r="T779" s="496">
        <f t="shared" si="6513"/>
        <v>0</v>
      </c>
      <c r="U779" s="496">
        <v>7.1999999999999995E-2</v>
      </c>
      <c r="V779" s="496">
        <f t="shared" si="6514"/>
        <v>0.41039999999999999</v>
      </c>
      <c r="W779" s="496"/>
      <c r="X779" s="496">
        <f t="shared" si="6515"/>
        <v>0</v>
      </c>
      <c r="Y779" s="496">
        <f t="shared" ref="Y779" si="6604">SUM(S779+U779+W779)</f>
        <v>7.1999999999999995E-2</v>
      </c>
      <c r="Z779" s="496">
        <f t="shared" ref="Z779" si="6605">SUM(T779+V779+X779)</f>
        <v>0.41039999999999999</v>
      </c>
      <c r="AA779" s="496">
        <v>0.192</v>
      </c>
      <c r="AB779" s="496">
        <f t="shared" si="6518"/>
        <v>1.0944</v>
      </c>
      <c r="AC779" s="496">
        <v>0.216</v>
      </c>
      <c r="AD779" s="496">
        <f t="shared" si="6519"/>
        <v>1.2312000000000001</v>
      </c>
      <c r="AE779" s="496">
        <v>0.14399999999999999</v>
      </c>
      <c r="AF779" s="496">
        <f t="shared" ref="AF779" si="6606">L779*AE779/1000</f>
        <v>0.82079999999999997</v>
      </c>
      <c r="AG779" s="496">
        <f>SUM(AA779+AC779+AE779)</f>
        <v>0.55200000000000005</v>
      </c>
      <c r="AH779" s="496">
        <f>SUM(AB779+AD779+AF779)</f>
        <v>3.1463999999999999</v>
      </c>
      <c r="AI779" s="496">
        <f t="shared" si="6589"/>
        <v>0.624</v>
      </c>
      <c r="AJ779" s="496">
        <f t="shared" si="6590"/>
        <v>3.5568</v>
      </c>
      <c r="AK779" s="496"/>
      <c r="AL779" s="496">
        <f t="shared" si="6591"/>
        <v>0</v>
      </c>
      <c r="AM779" s="496">
        <v>0.33</v>
      </c>
      <c r="AN779" s="496">
        <f t="shared" si="6592"/>
        <v>1.881</v>
      </c>
      <c r="AO779" s="496">
        <v>0.14399999999999999</v>
      </c>
      <c r="AP779" s="496">
        <f t="shared" si="6593"/>
        <v>0.82079999999999997</v>
      </c>
      <c r="AQ779" s="496">
        <f>SUM(AK779+AM779+AO779)</f>
        <v>0.47399999999999998</v>
      </c>
      <c r="AR779" s="496">
        <f>SUM(AL779+AN779+AP779)</f>
        <v>2.7018</v>
      </c>
      <c r="AS779" s="496">
        <v>0.1</v>
      </c>
      <c r="AT779" s="496">
        <f t="shared" si="6596"/>
        <v>0.56999999999999995</v>
      </c>
      <c r="AU779" s="496">
        <v>0.28799999999999998</v>
      </c>
      <c r="AV779" s="496">
        <f t="shared" si="6597"/>
        <v>1.6415999999999999</v>
      </c>
      <c r="AW779" s="496">
        <v>0.14399999999999999</v>
      </c>
      <c r="AX779" s="496">
        <f t="shared" si="6598"/>
        <v>0.82079999999999997</v>
      </c>
      <c r="AY779" s="496">
        <f>SUM(AS779+AU779+AW779)</f>
        <v>0.53200000000000003</v>
      </c>
      <c r="AZ779" s="496">
        <f>SUM(AT779+AV779+AX779)</f>
        <v>3.0324</v>
      </c>
      <c r="BA779" s="496">
        <f t="shared" si="6601"/>
        <v>1.006</v>
      </c>
      <c r="BB779" s="496">
        <f t="shared" si="6602"/>
        <v>5.7341999999999995</v>
      </c>
    </row>
    <row r="780" spans="1:54">
      <c r="A780" s="498">
        <v>546</v>
      </c>
      <c r="B780" s="13"/>
      <c r="C780" s="13"/>
      <c r="D780" s="13"/>
      <c r="E780" s="13" t="s">
        <v>230</v>
      </c>
      <c r="F780" s="23"/>
      <c r="G780" s="23" t="s">
        <v>1106</v>
      </c>
      <c r="H780" s="269" t="s">
        <v>365</v>
      </c>
      <c r="I780" s="74"/>
      <c r="J780" s="171">
        <v>5559</v>
      </c>
      <c r="K780" s="74"/>
      <c r="L780" s="171">
        <v>5559</v>
      </c>
      <c r="M780" s="74"/>
      <c r="N780" s="171">
        <v>5559</v>
      </c>
      <c r="O780" s="74"/>
      <c r="P780" s="171">
        <v>5559</v>
      </c>
      <c r="Q780" s="119">
        <f t="shared" ref="Q780" si="6607">SUM(AI780+BA780)</f>
        <v>5.2949999999999999</v>
      </c>
      <c r="R780" s="349">
        <f t="shared" si="6537"/>
        <v>29.434905000000001</v>
      </c>
      <c r="S780" s="119">
        <v>0.96</v>
      </c>
      <c r="T780" s="119">
        <f t="shared" si="6513"/>
        <v>5.3366399999999992</v>
      </c>
      <c r="U780" s="119">
        <v>2.12</v>
      </c>
      <c r="V780" s="119">
        <f t="shared" si="6514"/>
        <v>11.785080000000001</v>
      </c>
      <c r="W780" s="119"/>
      <c r="X780" s="119">
        <f t="shared" si="6515"/>
        <v>0</v>
      </c>
      <c r="Y780" s="119">
        <f t="shared" ref="Y780:Y782" si="6608">SUM(S780+U780+W780)</f>
        <v>3.08</v>
      </c>
      <c r="Z780" s="119">
        <f t="shared" si="6539"/>
        <v>17.12172</v>
      </c>
      <c r="AA780" s="119">
        <v>0.44</v>
      </c>
      <c r="AB780" s="119">
        <f t="shared" si="6518"/>
        <v>2.4459599999999999</v>
      </c>
      <c r="AC780" s="119">
        <v>1.62</v>
      </c>
      <c r="AD780" s="119">
        <f t="shared" si="6519"/>
        <v>9.0055800000000001</v>
      </c>
      <c r="AE780" s="119">
        <v>0.155</v>
      </c>
      <c r="AF780" s="119">
        <f>L780*AE780/1000</f>
        <v>0.86164499999999999</v>
      </c>
      <c r="AG780" s="119">
        <f t="shared" si="6541"/>
        <v>2.2149999999999999</v>
      </c>
      <c r="AH780" s="119">
        <f t="shared" si="6542"/>
        <v>12.313184999999999</v>
      </c>
      <c r="AI780" s="119">
        <f t="shared" si="6543"/>
        <v>5.2949999999999999</v>
      </c>
      <c r="AJ780" s="119">
        <f t="shared" si="6544"/>
        <v>29.434905000000001</v>
      </c>
      <c r="AK780" s="119"/>
      <c r="AL780" s="119">
        <f t="shared" si="6545"/>
        <v>0</v>
      </c>
      <c r="AM780" s="119"/>
      <c r="AN780" s="119">
        <f t="shared" si="6546"/>
        <v>0</v>
      </c>
      <c r="AO780" s="119"/>
      <c r="AP780" s="119">
        <f t="shared" ref="AP780:AP781" si="6609">N780*AO780/1000</f>
        <v>0</v>
      </c>
      <c r="AQ780" s="119">
        <f t="shared" si="6548"/>
        <v>0</v>
      </c>
      <c r="AR780" s="119">
        <f t="shared" si="6549"/>
        <v>0</v>
      </c>
      <c r="AS780" s="119"/>
      <c r="AT780" s="119">
        <f t="shared" si="6550"/>
        <v>0</v>
      </c>
      <c r="AU780" s="119"/>
      <c r="AV780" s="119">
        <f t="shared" si="6551"/>
        <v>0</v>
      </c>
      <c r="AW780" s="119"/>
      <c r="AX780" s="119">
        <f t="shared" si="6552"/>
        <v>0</v>
      </c>
      <c r="AY780" s="119">
        <f t="shared" si="6553"/>
        <v>0</v>
      </c>
      <c r="AZ780" s="119">
        <f t="shared" si="6554"/>
        <v>0</v>
      </c>
      <c r="BA780" s="119">
        <f t="shared" si="6555"/>
        <v>0</v>
      </c>
      <c r="BB780" s="119">
        <f t="shared" si="6556"/>
        <v>0</v>
      </c>
    </row>
    <row r="781" spans="1:54">
      <c r="A781" s="498">
        <v>547</v>
      </c>
      <c r="B781" s="13"/>
      <c r="C781" s="13"/>
      <c r="D781" s="13"/>
      <c r="E781" s="491" t="s">
        <v>1072</v>
      </c>
      <c r="F781" s="492"/>
      <c r="G781" s="492" t="s">
        <v>1106</v>
      </c>
      <c r="H781" s="493" t="s">
        <v>365</v>
      </c>
      <c r="I781" s="494"/>
      <c r="J781" s="495">
        <v>4850</v>
      </c>
      <c r="K781" s="494"/>
      <c r="L781" s="495">
        <v>4850</v>
      </c>
      <c r="M781" s="494"/>
      <c r="N781" s="495">
        <v>4850</v>
      </c>
      <c r="O781" s="494"/>
      <c r="P781" s="495">
        <v>4850</v>
      </c>
      <c r="Q781" s="496">
        <f>SUM(AI781+BA781)</f>
        <v>123.39700000000001</v>
      </c>
      <c r="R781" s="497">
        <f t="shared" si="6537"/>
        <v>598.47545000000014</v>
      </c>
      <c r="S781" s="496">
        <v>8.0289999999999999</v>
      </c>
      <c r="T781" s="496">
        <f t="shared" ref="T781:T784" si="6610">J781*S781/1000</f>
        <v>38.940649999999998</v>
      </c>
      <c r="U781" s="496">
        <v>23.448</v>
      </c>
      <c r="V781" s="496">
        <f t="shared" ref="V781:V784" si="6611">J781*U781/1000</f>
        <v>113.72280000000001</v>
      </c>
      <c r="W781" s="496">
        <v>17.760000000000002</v>
      </c>
      <c r="X781" s="496">
        <f t="shared" ref="X781:X784" si="6612">J781*W781/1000</f>
        <v>86.13600000000001</v>
      </c>
      <c r="Y781" s="496">
        <f t="shared" si="6608"/>
        <v>49.237000000000002</v>
      </c>
      <c r="Z781" s="496">
        <f t="shared" si="6539"/>
        <v>238.79945000000004</v>
      </c>
      <c r="AA781" s="496">
        <v>12.263</v>
      </c>
      <c r="AB781" s="496">
        <f t="shared" ref="AB781:AB784" si="6613">L781*AA781/1000</f>
        <v>59.475550000000005</v>
      </c>
      <c r="AC781" s="496">
        <v>3.577</v>
      </c>
      <c r="AD781" s="496">
        <f t="shared" ref="AD781:AD784" si="6614">L781*AC781/1000</f>
        <v>17.34845</v>
      </c>
      <c r="AE781" s="496">
        <v>5.04</v>
      </c>
      <c r="AF781" s="496">
        <f>L781*AE781/1000</f>
        <v>24.443999999999999</v>
      </c>
      <c r="AG781" s="496">
        <f t="shared" si="6541"/>
        <v>20.88</v>
      </c>
      <c r="AH781" s="496">
        <f t="shared" si="6542"/>
        <v>101.26800000000001</v>
      </c>
      <c r="AI781" s="496">
        <f t="shared" si="6543"/>
        <v>70.117000000000004</v>
      </c>
      <c r="AJ781" s="496">
        <f t="shared" si="6544"/>
        <v>340.06745000000006</v>
      </c>
      <c r="AK781" s="496"/>
      <c r="AL781" s="496">
        <f t="shared" si="6545"/>
        <v>0</v>
      </c>
      <c r="AM781" s="496">
        <v>10.8</v>
      </c>
      <c r="AN781" s="496">
        <f t="shared" si="6546"/>
        <v>52.38</v>
      </c>
      <c r="AO781" s="496">
        <v>15.84</v>
      </c>
      <c r="AP781" s="496">
        <f t="shared" si="6609"/>
        <v>76.823999999999998</v>
      </c>
      <c r="AQ781" s="496">
        <f t="shared" si="6548"/>
        <v>26.64</v>
      </c>
      <c r="AR781" s="496">
        <f t="shared" si="6549"/>
        <v>129.20400000000001</v>
      </c>
      <c r="AS781" s="496">
        <v>3.984</v>
      </c>
      <c r="AT781" s="496">
        <f t="shared" si="6550"/>
        <v>19.322400000000002</v>
      </c>
      <c r="AU781" s="496">
        <v>9.6959999999999997</v>
      </c>
      <c r="AV781" s="496">
        <f t="shared" si="6551"/>
        <v>47.025599999999997</v>
      </c>
      <c r="AW781" s="496">
        <v>12.96</v>
      </c>
      <c r="AX781" s="496">
        <f t="shared" si="6552"/>
        <v>62.856000000000009</v>
      </c>
      <c r="AY781" s="496">
        <f t="shared" si="6553"/>
        <v>26.64</v>
      </c>
      <c r="AZ781" s="496">
        <f t="shared" si="6554"/>
        <v>129.20400000000001</v>
      </c>
      <c r="BA781" s="496">
        <f t="shared" si="6555"/>
        <v>53.28</v>
      </c>
      <c r="BB781" s="496">
        <f t="shared" si="6556"/>
        <v>258.40800000000002</v>
      </c>
    </row>
    <row r="782" spans="1:54">
      <c r="A782" s="498">
        <v>542</v>
      </c>
      <c r="B782" s="13"/>
      <c r="C782" s="13"/>
      <c r="D782" s="13"/>
      <c r="E782" s="491" t="s">
        <v>1219</v>
      </c>
      <c r="F782" s="492"/>
      <c r="G782" s="492" t="s">
        <v>1106</v>
      </c>
      <c r="H782" s="493" t="s">
        <v>365</v>
      </c>
      <c r="I782" s="494"/>
      <c r="J782" s="495">
        <v>5806</v>
      </c>
      <c r="K782" s="494"/>
      <c r="L782" s="495">
        <v>5806</v>
      </c>
      <c r="M782" s="494"/>
      <c r="N782" s="495">
        <v>5806</v>
      </c>
      <c r="O782" s="494"/>
      <c r="P782" s="495">
        <v>5806</v>
      </c>
      <c r="Q782" s="496">
        <f t="shared" ref="Q782" si="6615">SUM(AI782+BA782)</f>
        <v>1.0089999999999999</v>
      </c>
      <c r="R782" s="497">
        <f t="shared" ref="R782" si="6616">SUM(AJ782+BB782)</f>
        <v>5.8582540000000005</v>
      </c>
      <c r="S782" s="496">
        <v>6.7000000000000004E-2</v>
      </c>
      <c r="T782" s="496">
        <f t="shared" si="6610"/>
        <v>0.38900200000000001</v>
      </c>
      <c r="U782" s="496"/>
      <c r="V782" s="496">
        <f t="shared" si="6611"/>
        <v>0</v>
      </c>
      <c r="W782" s="496">
        <v>7.4999999999999997E-2</v>
      </c>
      <c r="X782" s="496">
        <f t="shared" si="6612"/>
        <v>0.43545</v>
      </c>
      <c r="Y782" s="496">
        <f t="shared" si="6608"/>
        <v>0.14200000000000002</v>
      </c>
      <c r="Z782" s="496">
        <f t="shared" ref="Z782" si="6617">SUM(T782+V782+X782)</f>
        <v>0.82445199999999996</v>
      </c>
      <c r="AA782" s="496">
        <v>0.16600000000000001</v>
      </c>
      <c r="AB782" s="496">
        <f t="shared" si="6613"/>
        <v>0.9637960000000001</v>
      </c>
      <c r="AC782" s="496">
        <v>8.9999999999999993E-3</v>
      </c>
      <c r="AD782" s="496">
        <f t="shared" si="6614"/>
        <v>5.2253999999999995E-2</v>
      </c>
      <c r="AE782" s="496">
        <v>0.28999999999999998</v>
      </c>
      <c r="AF782" s="496">
        <f t="shared" ref="AF782" si="6618">L782*AE782/1000</f>
        <v>1.6837399999999998</v>
      </c>
      <c r="AG782" s="496">
        <f t="shared" ref="AG782" si="6619">SUM(AA782+AC782+AE782)</f>
        <v>0.46499999999999997</v>
      </c>
      <c r="AH782" s="496">
        <f t="shared" ref="AH782" si="6620">SUM(AB782+AD782+AF782)</f>
        <v>2.6997900000000001</v>
      </c>
      <c r="AI782" s="496">
        <f t="shared" ref="AI782" si="6621">SUM(Y782+AG782)</f>
        <v>0.60699999999999998</v>
      </c>
      <c r="AJ782" s="496">
        <f t="shared" ref="AJ782" si="6622">SUM(Z782,AH782)</f>
        <v>3.5242420000000001</v>
      </c>
      <c r="AK782" s="496">
        <v>0.05</v>
      </c>
      <c r="AL782" s="496">
        <f t="shared" ref="AL782" si="6623">N782*AK782/1000</f>
        <v>0.2903</v>
      </c>
      <c r="AM782" s="496">
        <v>6.4000000000000001E-2</v>
      </c>
      <c r="AN782" s="496">
        <f t="shared" ref="AN782" si="6624">N782*AM782/1000</f>
        <v>0.37158400000000003</v>
      </c>
      <c r="AO782" s="496">
        <v>0.16</v>
      </c>
      <c r="AP782" s="496">
        <f>N782*AO782/1000</f>
        <v>0.92896000000000001</v>
      </c>
      <c r="AQ782" s="496">
        <f t="shared" ref="AQ782" si="6625">SUM(AK782+AM782+AO782)</f>
        <v>0.27400000000000002</v>
      </c>
      <c r="AR782" s="496">
        <f t="shared" ref="AR782" si="6626">SUM(AL782+AN782+AP782)</f>
        <v>1.5908440000000001</v>
      </c>
      <c r="AS782" s="496">
        <v>6.4000000000000001E-2</v>
      </c>
      <c r="AT782" s="496">
        <f t="shared" ref="AT782" si="6627">P782*AS782/1000</f>
        <v>0.37158400000000003</v>
      </c>
      <c r="AU782" s="496">
        <v>6.4000000000000001E-2</v>
      </c>
      <c r="AV782" s="496">
        <f t="shared" ref="AV782" si="6628">P782*AU782/1000</f>
        <v>0.37158400000000003</v>
      </c>
      <c r="AW782" s="496"/>
      <c r="AX782" s="496">
        <f t="shared" ref="AX782" si="6629">P782*AW782/1000</f>
        <v>0</v>
      </c>
      <c r="AY782" s="496">
        <f t="shared" ref="AY782" si="6630">SUM(AS782+AU782+AW782)</f>
        <v>0.128</v>
      </c>
      <c r="AZ782" s="496">
        <f t="shared" ref="AZ782" si="6631">SUM(AT782+AV782+AX782)</f>
        <v>0.74316800000000005</v>
      </c>
      <c r="BA782" s="496">
        <f t="shared" ref="BA782" si="6632">SUM(AQ782+AY782)</f>
        <v>0.40200000000000002</v>
      </c>
      <c r="BB782" s="496">
        <f t="shared" ref="BB782" si="6633">SUM(AR782,AZ782)</f>
        <v>2.3340120000000004</v>
      </c>
    </row>
    <row r="783" spans="1:54">
      <c r="A783" s="498">
        <v>548</v>
      </c>
      <c r="B783" s="13"/>
      <c r="C783" s="13"/>
      <c r="D783" s="13"/>
      <c r="E783" s="13" t="s">
        <v>1073</v>
      </c>
      <c r="F783" s="23"/>
      <c r="G783" s="23" t="s">
        <v>1106</v>
      </c>
      <c r="H783" s="269" t="s">
        <v>365</v>
      </c>
      <c r="I783" s="74"/>
      <c r="J783" s="171">
        <v>4850</v>
      </c>
      <c r="K783" s="74"/>
      <c r="L783" s="171">
        <v>4850</v>
      </c>
      <c r="M783" s="74"/>
      <c r="N783" s="171">
        <v>4850</v>
      </c>
      <c r="O783" s="74"/>
      <c r="P783" s="171">
        <v>4850</v>
      </c>
      <c r="Q783" s="119">
        <f>SUM(AI783+BA783)</f>
        <v>19.440000000000001</v>
      </c>
      <c r="R783" s="349">
        <f t="shared" ref="R783:R784" si="6634">SUM(AJ783+BB783)</f>
        <v>94.28400000000002</v>
      </c>
      <c r="S783" s="119"/>
      <c r="T783" s="119">
        <f t="shared" si="6610"/>
        <v>0</v>
      </c>
      <c r="U783" s="119"/>
      <c r="V783" s="119">
        <f t="shared" si="6611"/>
        <v>0</v>
      </c>
      <c r="W783" s="119">
        <v>6.48</v>
      </c>
      <c r="X783" s="119">
        <f t="shared" si="6612"/>
        <v>31.428000000000004</v>
      </c>
      <c r="Y783" s="119">
        <f t="shared" ref="Y783" si="6635">SUM(S783+U783+W783)</f>
        <v>6.48</v>
      </c>
      <c r="Z783" s="119">
        <f t="shared" ref="Z783" si="6636">SUM(T783+V783+X783)</f>
        <v>31.428000000000004</v>
      </c>
      <c r="AA783" s="119"/>
      <c r="AB783" s="119">
        <f t="shared" si="6613"/>
        <v>0</v>
      </c>
      <c r="AC783" s="119"/>
      <c r="AD783" s="119">
        <f t="shared" si="6614"/>
        <v>0</v>
      </c>
      <c r="AE783" s="119">
        <v>3.24</v>
      </c>
      <c r="AF783" s="119">
        <f>L783*AE783/1000</f>
        <v>15.714000000000002</v>
      </c>
      <c r="AG783" s="119">
        <f t="shared" ref="AG783" si="6637">SUM(AA783+AC783+AE783)</f>
        <v>3.24</v>
      </c>
      <c r="AH783" s="119">
        <f t="shared" ref="AH783" si="6638">SUM(AB783+AD783+AF783)</f>
        <v>15.714000000000002</v>
      </c>
      <c r="AI783" s="119">
        <f t="shared" ref="AI783:AI784" si="6639">SUM(Y783+AG783)</f>
        <v>9.7200000000000006</v>
      </c>
      <c r="AJ783" s="119">
        <f t="shared" ref="AJ783:AJ784" si="6640">SUM(Z783,AH783)</f>
        <v>47.14200000000001</v>
      </c>
      <c r="AK783" s="119"/>
      <c r="AL783" s="119">
        <f t="shared" ref="AL783:AL784" si="6641">N783*AK783/1000</f>
        <v>0</v>
      </c>
      <c r="AM783" s="119">
        <v>3.24</v>
      </c>
      <c r="AN783" s="119">
        <f t="shared" ref="AN783:AN784" si="6642">N783*AM783/1000</f>
        <v>15.714000000000002</v>
      </c>
      <c r="AO783" s="119"/>
      <c r="AP783" s="119">
        <f t="shared" ref="AP783:AP784" si="6643">N783*AO783/1000</f>
        <v>0</v>
      </c>
      <c r="AQ783" s="119">
        <f t="shared" ref="AQ783" si="6644">SUM(AK783+AM783+AO783)</f>
        <v>3.24</v>
      </c>
      <c r="AR783" s="119">
        <f t="shared" ref="AR783" si="6645">SUM(AL783+AN783+AP783)</f>
        <v>15.714000000000002</v>
      </c>
      <c r="AS783" s="119">
        <v>3.24</v>
      </c>
      <c r="AT783" s="119">
        <f t="shared" ref="AT783:AT784" si="6646">P783*AS783/1000</f>
        <v>15.714000000000002</v>
      </c>
      <c r="AU783" s="119"/>
      <c r="AV783" s="119">
        <f t="shared" ref="AV783:AV784" si="6647">P783*AU783/1000</f>
        <v>0</v>
      </c>
      <c r="AW783" s="119">
        <v>3.24</v>
      </c>
      <c r="AX783" s="119">
        <f t="shared" ref="AX783:AX784" si="6648">P783*AW783/1000</f>
        <v>15.714000000000002</v>
      </c>
      <c r="AY783" s="119">
        <f t="shared" ref="AY783" si="6649">SUM(AS783+AU783+AW783)</f>
        <v>6.48</v>
      </c>
      <c r="AZ783" s="119">
        <f t="shared" ref="AZ783" si="6650">SUM(AT783+AV783+AX783)</f>
        <v>31.428000000000004</v>
      </c>
      <c r="BA783" s="119">
        <f t="shared" ref="BA783:BA784" si="6651">SUM(AQ783+AY783)</f>
        <v>9.7200000000000006</v>
      </c>
      <c r="BB783" s="119">
        <f t="shared" ref="BB783:BB784" si="6652">SUM(AR783,AZ783)</f>
        <v>47.14200000000001</v>
      </c>
    </row>
    <row r="784" spans="1:54">
      <c r="A784" s="498">
        <v>549</v>
      </c>
      <c r="B784" s="13"/>
      <c r="C784" s="13"/>
      <c r="D784" s="13"/>
      <c r="E784" s="491" t="s">
        <v>1153</v>
      </c>
      <c r="F784" s="492"/>
      <c r="G784" s="492" t="s">
        <v>1101</v>
      </c>
      <c r="H784" s="493" t="s">
        <v>365</v>
      </c>
      <c r="I784" s="494"/>
      <c r="J784" s="495">
        <v>5720</v>
      </c>
      <c r="K784" s="494"/>
      <c r="L784" s="495">
        <v>5720</v>
      </c>
      <c r="M784" s="494"/>
      <c r="N784" s="495">
        <v>5720</v>
      </c>
      <c r="O784" s="494"/>
      <c r="P784" s="495">
        <v>5720</v>
      </c>
      <c r="Q784" s="496">
        <f t="shared" ref="Q784" si="6653">SUM(AI784+BA784)</f>
        <v>12.795999999999999</v>
      </c>
      <c r="R784" s="497">
        <f t="shared" si="6634"/>
        <v>73.193119999999993</v>
      </c>
      <c r="S784" s="496">
        <v>1.8720000000000001</v>
      </c>
      <c r="T784" s="496">
        <f t="shared" si="6610"/>
        <v>10.707840000000001</v>
      </c>
      <c r="U784" s="496">
        <v>1.028</v>
      </c>
      <c r="V784" s="496">
        <f t="shared" si="6611"/>
        <v>5.8801600000000001</v>
      </c>
      <c r="W784" s="496">
        <v>0.57199999999999995</v>
      </c>
      <c r="X784" s="496">
        <f t="shared" si="6612"/>
        <v>3.2718399999999996</v>
      </c>
      <c r="Y784" s="496">
        <f t="shared" ref="Y784" si="6654">SUM(S784+U784+W784)</f>
        <v>3.4720000000000004</v>
      </c>
      <c r="Z784" s="496">
        <f t="shared" ref="Z784" si="6655">SUM(T784+V784+X784)</f>
        <v>19.859840000000002</v>
      </c>
      <c r="AA784" s="496">
        <v>3.64</v>
      </c>
      <c r="AB784" s="496">
        <f t="shared" si="6613"/>
        <v>20.820799999999998</v>
      </c>
      <c r="AC784" s="496">
        <v>3.4239999999999999</v>
      </c>
      <c r="AD784" s="496">
        <f t="shared" si="6614"/>
        <v>19.585279999999997</v>
      </c>
      <c r="AE784" s="496">
        <v>2.2599999999999998</v>
      </c>
      <c r="AF784" s="496">
        <f t="shared" ref="AF784" si="6656">L784*AE784/1000</f>
        <v>12.927199999999999</v>
      </c>
      <c r="AG784" s="496">
        <f>SUM(AA784+AC784+AE784)</f>
        <v>9.3239999999999998</v>
      </c>
      <c r="AH784" s="496">
        <f>SUM(AB784+AD784+AF784)</f>
        <v>53.333279999999995</v>
      </c>
      <c r="AI784" s="496">
        <f t="shared" si="6639"/>
        <v>12.795999999999999</v>
      </c>
      <c r="AJ784" s="496">
        <f t="shared" si="6640"/>
        <v>73.193119999999993</v>
      </c>
      <c r="AK784" s="496"/>
      <c r="AL784" s="496">
        <f t="shared" si="6641"/>
        <v>0</v>
      </c>
      <c r="AM784" s="496"/>
      <c r="AN784" s="496">
        <f t="shared" si="6642"/>
        <v>0</v>
      </c>
      <c r="AO784" s="496"/>
      <c r="AP784" s="496">
        <f t="shared" si="6643"/>
        <v>0</v>
      </c>
      <c r="AQ784" s="496">
        <f>SUM(AK784+AM784+AO784)</f>
        <v>0</v>
      </c>
      <c r="AR784" s="496">
        <f>SUM(AL784+AN784+AP784)</f>
        <v>0</v>
      </c>
      <c r="AS784" s="496"/>
      <c r="AT784" s="496">
        <f t="shared" si="6646"/>
        <v>0</v>
      </c>
      <c r="AU784" s="496"/>
      <c r="AV784" s="496">
        <f t="shared" si="6647"/>
        <v>0</v>
      </c>
      <c r="AW784" s="496"/>
      <c r="AX784" s="496">
        <f t="shared" si="6648"/>
        <v>0</v>
      </c>
      <c r="AY784" s="496">
        <f>SUM(AS784+AU784+AW784)</f>
        <v>0</v>
      </c>
      <c r="AZ784" s="496">
        <f>SUM(AT784+AV784+AX784)</f>
        <v>0</v>
      </c>
      <c r="BA784" s="496">
        <f t="shared" si="6651"/>
        <v>0</v>
      </c>
      <c r="BB784" s="496">
        <f t="shared" si="6652"/>
        <v>0</v>
      </c>
    </row>
    <row r="785" spans="1:54">
      <c r="A785" s="498">
        <v>550</v>
      </c>
      <c r="B785" s="13"/>
      <c r="C785" s="13"/>
      <c r="D785" s="13"/>
      <c r="E785" s="491" t="s">
        <v>1074</v>
      </c>
      <c r="F785" s="492"/>
      <c r="G785" s="492" t="s">
        <v>1106</v>
      </c>
      <c r="H785" s="493" t="s">
        <v>365</v>
      </c>
      <c r="I785" s="494"/>
      <c r="J785" s="495">
        <v>4850</v>
      </c>
      <c r="K785" s="494"/>
      <c r="L785" s="495">
        <v>4850</v>
      </c>
      <c r="M785" s="494"/>
      <c r="N785" s="495">
        <v>4850</v>
      </c>
      <c r="O785" s="494"/>
      <c r="P785" s="495">
        <v>4850</v>
      </c>
      <c r="Q785" s="496">
        <f t="shared" si="6536"/>
        <v>9.7200000000000006</v>
      </c>
      <c r="R785" s="497">
        <f t="shared" si="6537"/>
        <v>47.14200000000001</v>
      </c>
      <c r="S785" s="496"/>
      <c r="T785" s="496">
        <f t="shared" si="6513"/>
        <v>0</v>
      </c>
      <c r="U785" s="496"/>
      <c r="V785" s="496">
        <f t="shared" si="6514"/>
        <v>0</v>
      </c>
      <c r="W785" s="496">
        <v>3.24</v>
      </c>
      <c r="X785" s="496">
        <f t="shared" si="6515"/>
        <v>15.714000000000002</v>
      </c>
      <c r="Y785" s="496">
        <f t="shared" si="6538"/>
        <v>3.24</v>
      </c>
      <c r="Z785" s="496">
        <f t="shared" si="6539"/>
        <v>15.714000000000002</v>
      </c>
      <c r="AA785" s="496"/>
      <c r="AB785" s="496">
        <f t="shared" si="6518"/>
        <v>0</v>
      </c>
      <c r="AC785" s="496"/>
      <c r="AD785" s="496">
        <f t="shared" si="6519"/>
        <v>0</v>
      </c>
      <c r="AE785" s="496"/>
      <c r="AF785" s="496">
        <f t="shared" si="6540"/>
        <v>0</v>
      </c>
      <c r="AG785" s="496">
        <f t="shared" si="6541"/>
        <v>0</v>
      </c>
      <c r="AH785" s="496">
        <f t="shared" si="6542"/>
        <v>0</v>
      </c>
      <c r="AI785" s="496">
        <f t="shared" si="6543"/>
        <v>3.24</v>
      </c>
      <c r="AJ785" s="496">
        <f t="shared" si="6544"/>
        <v>15.714000000000002</v>
      </c>
      <c r="AK785" s="496"/>
      <c r="AL785" s="496">
        <f t="shared" si="6545"/>
        <v>0</v>
      </c>
      <c r="AM785" s="496"/>
      <c r="AN785" s="496">
        <f t="shared" si="6546"/>
        <v>0</v>
      </c>
      <c r="AO785" s="496">
        <v>3.24</v>
      </c>
      <c r="AP785" s="496">
        <f>N785*AO785/1000</f>
        <v>15.714000000000002</v>
      </c>
      <c r="AQ785" s="496">
        <f t="shared" si="6548"/>
        <v>3.24</v>
      </c>
      <c r="AR785" s="496">
        <f t="shared" si="6549"/>
        <v>15.714000000000002</v>
      </c>
      <c r="AS785" s="496"/>
      <c r="AT785" s="496">
        <f t="shared" si="6550"/>
        <v>0</v>
      </c>
      <c r="AU785" s="496">
        <v>3.24</v>
      </c>
      <c r="AV785" s="496">
        <f t="shared" si="6551"/>
        <v>15.714000000000002</v>
      </c>
      <c r="AW785" s="496"/>
      <c r="AX785" s="496">
        <f t="shared" si="6552"/>
        <v>0</v>
      </c>
      <c r="AY785" s="496">
        <f t="shared" si="6553"/>
        <v>3.24</v>
      </c>
      <c r="AZ785" s="496">
        <f t="shared" si="6554"/>
        <v>15.714000000000002</v>
      </c>
      <c r="BA785" s="496">
        <f t="shared" si="6555"/>
        <v>6.48</v>
      </c>
      <c r="BB785" s="496">
        <f t="shared" si="6556"/>
        <v>31.428000000000004</v>
      </c>
    </row>
    <row r="786" spans="1:54">
      <c r="A786" s="498">
        <v>551</v>
      </c>
      <c r="B786" s="13"/>
      <c r="C786" s="13"/>
      <c r="D786" s="24"/>
      <c r="E786" s="24" t="s">
        <v>1075</v>
      </c>
      <c r="F786" s="371"/>
      <c r="G786" s="371" t="s">
        <v>1106</v>
      </c>
      <c r="H786" s="285" t="s">
        <v>365</v>
      </c>
      <c r="I786" s="80"/>
      <c r="J786" s="172">
        <v>1395</v>
      </c>
      <c r="K786" s="80"/>
      <c r="L786" s="172">
        <v>1395</v>
      </c>
      <c r="M786" s="80"/>
      <c r="N786" s="172">
        <v>1395</v>
      </c>
      <c r="O786" s="80"/>
      <c r="P786" s="172">
        <v>1254</v>
      </c>
      <c r="Q786" s="134">
        <f t="shared" si="6536"/>
        <v>159.69999999999999</v>
      </c>
      <c r="R786" s="347">
        <f t="shared" si="6537"/>
        <v>217.109916</v>
      </c>
      <c r="S786" s="134">
        <v>7.9240000000000004</v>
      </c>
      <c r="T786" s="134">
        <f t="shared" si="6513"/>
        <v>11.053980000000001</v>
      </c>
      <c r="U786" s="134">
        <v>24.192</v>
      </c>
      <c r="V786" s="134">
        <f t="shared" si="6514"/>
        <v>33.747840000000004</v>
      </c>
      <c r="W786" s="134">
        <v>30.506</v>
      </c>
      <c r="X786" s="134">
        <f t="shared" si="6515"/>
        <v>42.555870000000006</v>
      </c>
      <c r="Y786" s="134">
        <f t="shared" si="6538"/>
        <v>62.622</v>
      </c>
      <c r="Z786" s="134">
        <f t="shared" si="6539"/>
        <v>87.357690000000019</v>
      </c>
      <c r="AA786" s="134">
        <v>7.0579999999999998</v>
      </c>
      <c r="AB786" s="134">
        <f t="shared" si="6518"/>
        <v>9.8459099999999999</v>
      </c>
      <c r="AC786" s="134">
        <v>3.456</v>
      </c>
      <c r="AD786" s="134">
        <f t="shared" si="6519"/>
        <v>4.8211199999999996</v>
      </c>
      <c r="AE786" s="134">
        <v>10.368</v>
      </c>
      <c r="AF786" s="134">
        <f>L786*AE786/1000</f>
        <v>14.46336</v>
      </c>
      <c r="AG786" s="134">
        <f t="shared" si="6541"/>
        <v>20.881999999999998</v>
      </c>
      <c r="AH786" s="134">
        <f t="shared" si="6542"/>
        <v>29.130389999999998</v>
      </c>
      <c r="AI786" s="134">
        <f t="shared" si="6543"/>
        <v>83.503999999999991</v>
      </c>
      <c r="AJ786" s="134">
        <f t="shared" si="6544"/>
        <v>116.48808000000002</v>
      </c>
      <c r="AK786" s="134">
        <v>10.368</v>
      </c>
      <c r="AL786" s="134">
        <f>N786*AK786/1000</f>
        <v>14.46336</v>
      </c>
      <c r="AM786" s="134">
        <v>3.456</v>
      </c>
      <c r="AN786" s="134">
        <f t="shared" si="6546"/>
        <v>4.8211199999999996</v>
      </c>
      <c r="AO786" s="134">
        <v>22.148</v>
      </c>
      <c r="AP786" s="134">
        <f>N786*AO786/1000</f>
        <v>30.896459999999998</v>
      </c>
      <c r="AQ786" s="134">
        <f t="shared" si="6548"/>
        <v>35.972000000000001</v>
      </c>
      <c r="AR786" s="134">
        <f t="shared" si="6549"/>
        <v>50.180939999999993</v>
      </c>
      <c r="AS786" s="134">
        <v>6.6239999999999997</v>
      </c>
      <c r="AT786" s="134">
        <f t="shared" si="6550"/>
        <v>8.3064959999999992</v>
      </c>
      <c r="AU786" s="134">
        <v>13.824</v>
      </c>
      <c r="AV786" s="134">
        <f t="shared" si="6551"/>
        <v>17.335296</v>
      </c>
      <c r="AW786" s="134">
        <v>19.776</v>
      </c>
      <c r="AX786" s="134">
        <f t="shared" si="6552"/>
        <v>24.799104</v>
      </c>
      <c r="AY786" s="134">
        <f t="shared" si="6553"/>
        <v>40.224000000000004</v>
      </c>
      <c r="AZ786" s="134">
        <f t="shared" si="6554"/>
        <v>50.440895999999995</v>
      </c>
      <c r="BA786" s="134">
        <f t="shared" si="6555"/>
        <v>76.195999999999998</v>
      </c>
      <c r="BB786" s="134">
        <f t="shared" si="6556"/>
        <v>100.62183599999999</v>
      </c>
    </row>
    <row r="787" spans="1:54">
      <c r="A787" s="498">
        <v>552</v>
      </c>
      <c r="B787" s="26"/>
      <c r="C787" s="27" t="s">
        <v>135</v>
      </c>
      <c r="D787" s="28"/>
      <c r="E787" s="28"/>
      <c r="F787" s="92"/>
      <c r="G787" s="92"/>
      <c r="H787" s="272"/>
      <c r="I787" s="73"/>
      <c r="J787" s="118"/>
      <c r="K787" s="73"/>
      <c r="L787" s="174"/>
      <c r="M787" s="73"/>
      <c r="N787" s="174"/>
      <c r="O787" s="151"/>
      <c r="P787" s="118"/>
      <c r="Q787" s="121">
        <f t="shared" ref="Q787:BB787" si="6657">SUM(Q773:Q786)</f>
        <v>366.38900000000001</v>
      </c>
      <c r="R787" s="121">
        <f t="shared" si="6657"/>
        <v>1256.6844850000002</v>
      </c>
      <c r="S787" s="121">
        <f t="shared" si="6657"/>
        <v>20.6</v>
      </c>
      <c r="T787" s="121">
        <f t="shared" si="6657"/>
        <v>75.564725999999993</v>
      </c>
      <c r="U787" s="121">
        <f t="shared" si="6657"/>
        <v>53.692999999999998</v>
      </c>
      <c r="V787" s="121">
        <f t="shared" si="6657"/>
        <v>180.20813199999998</v>
      </c>
      <c r="W787" s="121">
        <f t="shared" si="6657"/>
        <v>62.234000000000002</v>
      </c>
      <c r="X787" s="121">
        <f t="shared" si="6657"/>
        <v>197.69973300000001</v>
      </c>
      <c r="Y787" s="121">
        <f t="shared" si="6657"/>
        <v>136.52699999999999</v>
      </c>
      <c r="Z787" s="121">
        <f t="shared" si="6657"/>
        <v>453.47259100000008</v>
      </c>
      <c r="AA787" s="121">
        <f t="shared" si="6657"/>
        <v>27.545000000000002</v>
      </c>
      <c r="AB787" s="121">
        <f t="shared" si="6657"/>
        <v>115.79547100000002</v>
      </c>
      <c r="AC787" s="121">
        <f t="shared" si="6657"/>
        <v>14.388999999999999</v>
      </c>
      <c r="AD787" s="121">
        <f t="shared" si="6657"/>
        <v>63.490095999999994</v>
      </c>
      <c r="AE787" s="121">
        <f t="shared" si="6657"/>
        <v>23.774999999999999</v>
      </c>
      <c r="AF787" s="121">
        <f t="shared" si="6657"/>
        <v>83.254012000000003</v>
      </c>
      <c r="AG787" s="121">
        <f t="shared" si="6657"/>
        <v>65.709000000000003</v>
      </c>
      <c r="AH787" s="121">
        <f t="shared" si="6657"/>
        <v>262.539579</v>
      </c>
      <c r="AI787" s="121">
        <f t="shared" si="6657"/>
        <v>202.23599999999999</v>
      </c>
      <c r="AJ787" s="121">
        <f t="shared" si="6657"/>
        <v>716.0121700000002</v>
      </c>
      <c r="AK787" s="121">
        <f t="shared" si="6657"/>
        <v>13.769</v>
      </c>
      <c r="AL787" s="121">
        <f t="shared" si="6657"/>
        <v>33.540914000000001</v>
      </c>
      <c r="AM787" s="121">
        <f t="shared" si="6657"/>
        <v>20.704000000000001</v>
      </c>
      <c r="AN787" s="121">
        <f t="shared" si="6657"/>
        <v>90.437779999999989</v>
      </c>
      <c r="AO787" s="121">
        <f t="shared" si="6657"/>
        <v>43.197000000000003</v>
      </c>
      <c r="AP787" s="121">
        <f t="shared" si="6657"/>
        <v>134.53015600000001</v>
      </c>
      <c r="AQ787" s="121">
        <f t="shared" si="6657"/>
        <v>77.670000000000016</v>
      </c>
      <c r="AR787" s="121">
        <f t="shared" si="6657"/>
        <v>258.50885000000005</v>
      </c>
      <c r="AS787" s="121">
        <f t="shared" si="6657"/>
        <v>14.753999999999998</v>
      </c>
      <c r="AT787" s="121">
        <f t="shared" si="6657"/>
        <v>48.298683999999994</v>
      </c>
      <c r="AU787" s="121">
        <f t="shared" si="6657"/>
        <v>30.717999999999996</v>
      </c>
      <c r="AV787" s="121">
        <f t="shared" si="6657"/>
        <v>102.35111099999999</v>
      </c>
      <c r="AW787" s="121">
        <f t="shared" si="6657"/>
        <v>41.010999999999996</v>
      </c>
      <c r="AX787" s="121">
        <f t="shared" si="6657"/>
        <v>131.51366999999999</v>
      </c>
      <c r="AY787" s="121">
        <f t="shared" si="6657"/>
        <v>86.483000000000004</v>
      </c>
      <c r="AZ787" s="121">
        <f t="shared" si="6657"/>
        <v>282.16346499999997</v>
      </c>
      <c r="BA787" s="121">
        <f t="shared" si="6657"/>
        <v>164.15300000000002</v>
      </c>
      <c r="BB787" s="121">
        <f t="shared" si="6657"/>
        <v>540.67231500000003</v>
      </c>
    </row>
    <row r="788" spans="1:54" ht="12" customHeight="1">
      <c r="A788" s="498">
        <v>555</v>
      </c>
      <c r="B788" s="13"/>
      <c r="C788" s="13" t="s">
        <v>1695</v>
      </c>
      <c r="D788" s="13" t="s">
        <v>1696</v>
      </c>
      <c r="E788" s="31" t="s">
        <v>1747</v>
      </c>
      <c r="F788" s="22"/>
      <c r="G788" s="22" t="s">
        <v>1106</v>
      </c>
      <c r="H788" s="268" t="s">
        <v>901</v>
      </c>
      <c r="I788" s="55">
        <v>56.96</v>
      </c>
      <c r="J788" s="163"/>
      <c r="K788" s="55">
        <v>56.96</v>
      </c>
      <c r="L788" s="102"/>
      <c r="M788" s="55">
        <v>56.96</v>
      </c>
      <c r="N788" s="163"/>
      <c r="O788" s="55">
        <v>57.79</v>
      </c>
      <c r="P788" s="163"/>
      <c r="Q788" s="97">
        <f t="shared" ref="Q788:Q795" si="6658">SUM(AI788+BA788)</f>
        <v>24.080000000000002</v>
      </c>
      <c r="R788" s="342">
        <f t="shared" ref="R788:R795" si="6659">SUM(AJ788+BB788)</f>
        <v>1893.634364048</v>
      </c>
      <c r="S788" s="97"/>
      <c r="T788" s="97">
        <f t="shared" ref="T788:T795" si="6660">I788*S788*$T$2/1000</f>
        <v>0</v>
      </c>
      <c r="U788" s="97"/>
      <c r="V788" s="177">
        <f t="shared" ref="V788:V795" si="6661">I788*U788*$V$2/1000</f>
        <v>0</v>
      </c>
      <c r="W788" s="207">
        <v>0.56000000000000005</v>
      </c>
      <c r="X788" s="206">
        <f t="shared" ref="X788:X795" si="6662">I788*W788*$X$2/1000</f>
        <v>42.442946560000003</v>
      </c>
      <c r="Y788" s="189">
        <f t="shared" ref="Y788:Y795" si="6663">SUM(S788+U788+W788)</f>
        <v>0.56000000000000005</v>
      </c>
      <c r="Z788" s="177">
        <f t="shared" ref="Z788:Z795" si="6664">SUM(T788+V788+X788)</f>
        <v>42.442946560000003</v>
      </c>
      <c r="AA788" s="207"/>
      <c r="AB788" s="462">
        <f t="shared" ref="AB788:AB795" si="6665">K788*AA788*$AB$2/1000</f>
        <v>0</v>
      </c>
      <c r="AC788" s="207"/>
      <c r="AD788" s="177">
        <f t="shared" ref="AD788:AD795" si="6666">K788*AC788*$AD$2/1000</f>
        <v>0</v>
      </c>
      <c r="AE788" s="207"/>
      <c r="AF788" s="206">
        <f t="shared" ref="AF788:AF795" si="6667">K788*AE788*$AF$2/1000</f>
        <v>0</v>
      </c>
      <c r="AG788" s="189">
        <f t="shared" ref="AG788:AG795" si="6668">SUM(AA788+AC788+AE788)</f>
        <v>0</v>
      </c>
      <c r="AH788" s="177">
        <f t="shared" ref="AH788:AH795" si="6669">SUM(AB788+AD788+AF788)</f>
        <v>0</v>
      </c>
      <c r="AI788" s="97">
        <f t="shared" ref="AI788:AI795" si="6670">SUM(Y788+AG788)</f>
        <v>0.56000000000000005</v>
      </c>
      <c r="AJ788" s="97">
        <f t="shared" ref="AJ788:AJ795" si="6671">SUM(Z788,AH788)</f>
        <v>42.442946560000003</v>
      </c>
      <c r="AK788" s="189"/>
      <c r="AL788" s="177">
        <f t="shared" ref="AL788:AL795" si="6672">M788*AK788*$AL$2/1000</f>
        <v>0</v>
      </c>
      <c r="AM788" s="245"/>
      <c r="AN788" s="177">
        <f t="shared" ref="AN788:AN795" si="6673">M788*AM788*$AN$2/1000</f>
        <v>0</v>
      </c>
      <c r="AO788" s="207">
        <v>8.9600000000000009</v>
      </c>
      <c r="AP788" s="206">
        <f t="shared" ref="AP788:AP795" si="6674">M788*AO788*$AP$2/1000</f>
        <v>680.00069222400009</v>
      </c>
      <c r="AQ788" s="189">
        <f t="shared" ref="AQ788:AQ795" si="6675">SUM(AK788+AM788+AO788)</f>
        <v>8.9600000000000009</v>
      </c>
      <c r="AR788" s="97">
        <f t="shared" ref="AR788:AR795" si="6676">SUM(AL788+AN788+AP788)</f>
        <v>680.00069222400009</v>
      </c>
      <c r="AS788" s="97">
        <v>4.4800000000000004</v>
      </c>
      <c r="AT788" s="177">
        <f t="shared" ref="AT788:AT795" si="6677">O788*AS788*$AT$2/1000</f>
        <v>351.55922368000006</v>
      </c>
      <c r="AU788" s="207">
        <v>4.4800000000000004</v>
      </c>
      <c r="AV788" s="177">
        <f t="shared" ref="AV788:AV795" si="6678">O788*AU788*$AV$2/1000</f>
        <v>360.30224966399999</v>
      </c>
      <c r="AW788" s="207">
        <v>5.6</v>
      </c>
      <c r="AX788" s="206">
        <f t="shared" ref="AX788:AX795" si="6679">O788*AW788*$AX$2/1000</f>
        <v>459.32925191999993</v>
      </c>
      <c r="AY788" s="189">
        <f t="shared" ref="AY788:AY795" si="6680">SUM(AS788+AU788+AW788)</f>
        <v>14.56</v>
      </c>
      <c r="AZ788" s="97">
        <f t="shared" ref="AZ788:AZ795" si="6681">SUM(AT788+AV788+AX788)</f>
        <v>1171.1907252639999</v>
      </c>
      <c r="BA788" s="97">
        <f t="shared" ref="BA788:BA795" si="6682">SUM(AQ788+AY788)</f>
        <v>23.520000000000003</v>
      </c>
      <c r="BB788" s="97">
        <f t="shared" ref="BB788:BB795" si="6683">SUM(AR788,AZ788)</f>
        <v>1851.1914174879998</v>
      </c>
    </row>
    <row r="789" spans="1:54" ht="12" customHeight="1">
      <c r="A789" s="498">
        <v>555</v>
      </c>
      <c r="B789" s="13"/>
      <c r="C789" s="13"/>
      <c r="D789" s="13"/>
      <c r="E789" s="51" t="s">
        <v>1748</v>
      </c>
      <c r="F789" s="22"/>
      <c r="G789" s="22" t="s">
        <v>1106</v>
      </c>
      <c r="H789" s="268" t="s">
        <v>901</v>
      </c>
      <c r="I789" s="55">
        <v>56.49</v>
      </c>
      <c r="J789" s="163"/>
      <c r="K789" s="55">
        <v>56.49</v>
      </c>
      <c r="L789" s="102"/>
      <c r="M789" s="55">
        <v>56.49</v>
      </c>
      <c r="N789" s="163"/>
      <c r="O789" s="55">
        <v>57.63</v>
      </c>
      <c r="P789" s="163"/>
      <c r="Q789" s="97">
        <f t="shared" si="6658"/>
        <v>0.56000000000000005</v>
      </c>
      <c r="R789" s="342">
        <f t="shared" si="6659"/>
        <v>42.092732640000001</v>
      </c>
      <c r="S789" s="97"/>
      <c r="T789" s="97">
        <f t="shared" si="6660"/>
        <v>0</v>
      </c>
      <c r="U789" s="97"/>
      <c r="V789" s="177">
        <f t="shared" si="6661"/>
        <v>0</v>
      </c>
      <c r="W789" s="207">
        <v>0.56000000000000005</v>
      </c>
      <c r="X789" s="206">
        <f t="shared" si="6662"/>
        <v>42.092732640000001</v>
      </c>
      <c r="Y789" s="189">
        <f t="shared" si="6663"/>
        <v>0.56000000000000005</v>
      </c>
      <c r="Z789" s="177">
        <f t="shared" si="6664"/>
        <v>42.092732640000001</v>
      </c>
      <c r="AA789" s="207"/>
      <c r="AB789" s="462">
        <f t="shared" si="6665"/>
        <v>0</v>
      </c>
      <c r="AC789" s="207"/>
      <c r="AD789" s="177">
        <f t="shared" si="6666"/>
        <v>0</v>
      </c>
      <c r="AE789" s="207"/>
      <c r="AF789" s="206">
        <f t="shared" si="6667"/>
        <v>0</v>
      </c>
      <c r="AG789" s="189">
        <f t="shared" si="6668"/>
        <v>0</v>
      </c>
      <c r="AH789" s="177">
        <f t="shared" si="6669"/>
        <v>0</v>
      </c>
      <c r="AI789" s="97">
        <f t="shared" si="6670"/>
        <v>0.56000000000000005</v>
      </c>
      <c r="AJ789" s="97">
        <f t="shared" si="6671"/>
        <v>42.092732640000001</v>
      </c>
      <c r="AK789" s="189"/>
      <c r="AL789" s="177">
        <f t="shared" si="6672"/>
        <v>0</v>
      </c>
      <c r="AM789" s="245"/>
      <c r="AN789" s="177">
        <f t="shared" si="6673"/>
        <v>0</v>
      </c>
      <c r="AO789" s="207"/>
      <c r="AP789" s="206">
        <f t="shared" si="6674"/>
        <v>0</v>
      </c>
      <c r="AQ789" s="189">
        <f t="shared" si="6675"/>
        <v>0</v>
      </c>
      <c r="AR789" s="97">
        <f t="shared" si="6676"/>
        <v>0</v>
      </c>
      <c r="AS789" s="97"/>
      <c r="AT789" s="177">
        <f t="shared" si="6677"/>
        <v>0</v>
      </c>
      <c r="AU789" s="207"/>
      <c r="AV789" s="177">
        <f t="shared" si="6678"/>
        <v>0</v>
      </c>
      <c r="AW789" s="207"/>
      <c r="AX789" s="206">
        <f t="shared" si="6679"/>
        <v>0</v>
      </c>
      <c r="AY789" s="189">
        <f t="shared" si="6680"/>
        <v>0</v>
      </c>
      <c r="AZ789" s="97">
        <f t="shared" si="6681"/>
        <v>0</v>
      </c>
      <c r="BA789" s="97">
        <f t="shared" si="6682"/>
        <v>0</v>
      </c>
      <c r="BB789" s="97">
        <f t="shared" si="6683"/>
        <v>0</v>
      </c>
    </row>
    <row r="790" spans="1:54" ht="12" customHeight="1">
      <c r="A790" s="498">
        <v>555</v>
      </c>
      <c r="B790" s="13"/>
      <c r="C790" s="13"/>
      <c r="D790" s="13" t="s">
        <v>1824</v>
      </c>
      <c r="E790" s="51" t="s">
        <v>1820</v>
      </c>
      <c r="F790" s="22"/>
      <c r="G790" s="22" t="s">
        <v>1106</v>
      </c>
      <c r="H790" s="268" t="s">
        <v>901</v>
      </c>
      <c r="I790" s="55"/>
      <c r="J790" s="163"/>
      <c r="K790" s="55"/>
      <c r="L790" s="102"/>
      <c r="M790" s="55">
        <v>79.656871029049285</v>
      </c>
      <c r="N790" s="163"/>
      <c r="O790" s="55">
        <v>79.656871029049285</v>
      </c>
      <c r="P790" s="163"/>
      <c r="Q790" s="97">
        <f t="shared" si="6658"/>
        <v>8.3000000000000004E-2</v>
      </c>
      <c r="R790" s="342">
        <f t="shared" si="6659"/>
        <v>9.10098311557838</v>
      </c>
      <c r="S790" s="97"/>
      <c r="T790" s="97">
        <f t="shared" si="6660"/>
        <v>0</v>
      </c>
      <c r="U790" s="97"/>
      <c r="V790" s="177">
        <f t="shared" si="6661"/>
        <v>0</v>
      </c>
      <c r="W790" s="207"/>
      <c r="X790" s="206">
        <f t="shared" si="6662"/>
        <v>0</v>
      </c>
      <c r="Y790" s="189">
        <f t="shared" si="6663"/>
        <v>0</v>
      </c>
      <c r="Z790" s="177">
        <f t="shared" si="6664"/>
        <v>0</v>
      </c>
      <c r="AA790" s="207"/>
      <c r="AB790" s="462">
        <f t="shared" si="6665"/>
        <v>0</v>
      </c>
      <c r="AC790" s="207"/>
      <c r="AD790" s="177">
        <f t="shared" si="6666"/>
        <v>0</v>
      </c>
      <c r="AE790" s="207"/>
      <c r="AF790" s="206">
        <f t="shared" si="6667"/>
        <v>0</v>
      </c>
      <c r="AG790" s="189">
        <f t="shared" si="6668"/>
        <v>0</v>
      </c>
      <c r="AH790" s="177">
        <f t="shared" si="6669"/>
        <v>0</v>
      </c>
      <c r="AI790" s="97">
        <f t="shared" si="6670"/>
        <v>0</v>
      </c>
      <c r="AJ790" s="97">
        <f t="shared" si="6671"/>
        <v>0</v>
      </c>
      <c r="AK790" s="189"/>
      <c r="AL790" s="177">
        <f t="shared" si="6672"/>
        <v>0</v>
      </c>
      <c r="AM790" s="245">
        <v>4.2000000000000003E-2</v>
      </c>
      <c r="AN790" s="177">
        <f t="shared" si="6673"/>
        <v>4.5536806206208373</v>
      </c>
      <c r="AO790" s="207"/>
      <c r="AP790" s="206">
        <f t="shared" si="6674"/>
        <v>0</v>
      </c>
      <c r="AQ790" s="189">
        <f t="shared" si="6675"/>
        <v>4.2000000000000003E-2</v>
      </c>
      <c r="AR790" s="97">
        <f t="shared" si="6676"/>
        <v>4.5536806206208373</v>
      </c>
      <c r="AS790" s="97"/>
      <c r="AT790" s="177">
        <f t="shared" si="6677"/>
        <v>0</v>
      </c>
      <c r="AU790" s="207">
        <v>0.04</v>
      </c>
      <c r="AV790" s="177">
        <f t="shared" si="6678"/>
        <v>4.4342431081998814</v>
      </c>
      <c r="AW790" s="207">
        <v>1E-3</v>
      </c>
      <c r="AX790" s="206">
        <f t="shared" si="6679"/>
        <v>0.1130593867576605</v>
      </c>
      <c r="AY790" s="189">
        <f t="shared" si="6680"/>
        <v>4.1000000000000002E-2</v>
      </c>
      <c r="AZ790" s="97">
        <f t="shared" si="6681"/>
        <v>4.5473024949575418</v>
      </c>
      <c r="BA790" s="97">
        <f t="shared" si="6682"/>
        <v>8.3000000000000004E-2</v>
      </c>
      <c r="BB790" s="97">
        <f t="shared" si="6683"/>
        <v>9.10098311557838</v>
      </c>
    </row>
    <row r="791" spans="1:54" ht="12" customHeight="1">
      <c r="A791" s="498">
        <v>555</v>
      </c>
      <c r="B791" s="13"/>
      <c r="C791" s="13"/>
      <c r="D791" s="13"/>
      <c r="E791" s="51" t="s">
        <v>1821</v>
      </c>
      <c r="F791" s="22"/>
      <c r="G791" s="22" t="s">
        <v>1106</v>
      </c>
      <c r="H791" s="268" t="s">
        <v>901</v>
      </c>
      <c r="I791" s="55"/>
      <c r="J791" s="163"/>
      <c r="K791" s="55"/>
      <c r="L791" s="102"/>
      <c r="M791" s="55">
        <v>79.656871029049285</v>
      </c>
      <c r="N791" s="163"/>
      <c r="O791" s="55">
        <v>79.656871029049285</v>
      </c>
      <c r="P791" s="163"/>
      <c r="Q791" s="97">
        <f t="shared" si="6658"/>
        <v>8.3000000000000004E-2</v>
      </c>
      <c r="R791" s="342">
        <f t="shared" si="6659"/>
        <v>9.10098311557838</v>
      </c>
      <c r="S791" s="97"/>
      <c r="T791" s="97">
        <f t="shared" si="6660"/>
        <v>0</v>
      </c>
      <c r="U791" s="97"/>
      <c r="V791" s="177">
        <f t="shared" si="6661"/>
        <v>0</v>
      </c>
      <c r="W791" s="207"/>
      <c r="X791" s="206">
        <f t="shared" si="6662"/>
        <v>0</v>
      </c>
      <c r="Y791" s="189">
        <f t="shared" si="6663"/>
        <v>0</v>
      </c>
      <c r="Z791" s="177">
        <f t="shared" si="6664"/>
        <v>0</v>
      </c>
      <c r="AA791" s="207"/>
      <c r="AB791" s="462">
        <f t="shared" si="6665"/>
        <v>0</v>
      </c>
      <c r="AC791" s="207"/>
      <c r="AD791" s="177">
        <f t="shared" si="6666"/>
        <v>0</v>
      </c>
      <c r="AE791" s="207"/>
      <c r="AF791" s="206">
        <f t="shared" si="6667"/>
        <v>0</v>
      </c>
      <c r="AG791" s="189">
        <f t="shared" si="6668"/>
        <v>0</v>
      </c>
      <c r="AH791" s="177">
        <f t="shared" si="6669"/>
        <v>0</v>
      </c>
      <c r="AI791" s="97">
        <f t="shared" si="6670"/>
        <v>0</v>
      </c>
      <c r="AJ791" s="97">
        <f t="shared" si="6671"/>
        <v>0</v>
      </c>
      <c r="AK791" s="189"/>
      <c r="AL791" s="177">
        <f t="shared" si="6672"/>
        <v>0</v>
      </c>
      <c r="AM791" s="245">
        <v>4.2000000000000003E-2</v>
      </c>
      <c r="AN791" s="177">
        <f t="shared" si="6673"/>
        <v>4.5536806206208373</v>
      </c>
      <c r="AO791" s="207"/>
      <c r="AP791" s="206">
        <f t="shared" si="6674"/>
        <v>0</v>
      </c>
      <c r="AQ791" s="189">
        <f t="shared" si="6675"/>
        <v>4.2000000000000003E-2</v>
      </c>
      <c r="AR791" s="97">
        <f t="shared" si="6676"/>
        <v>4.5536806206208373</v>
      </c>
      <c r="AS791" s="97"/>
      <c r="AT791" s="177">
        <f t="shared" si="6677"/>
        <v>0</v>
      </c>
      <c r="AU791" s="207">
        <v>0.04</v>
      </c>
      <c r="AV791" s="177">
        <f t="shared" si="6678"/>
        <v>4.4342431081998814</v>
      </c>
      <c r="AW791" s="207">
        <v>1E-3</v>
      </c>
      <c r="AX791" s="206">
        <f t="shared" si="6679"/>
        <v>0.1130593867576605</v>
      </c>
      <c r="AY791" s="189">
        <f t="shared" si="6680"/>
        <v>4.1000000000000002E-2</v>
      </c>
      <c r="AZ791" s="97">
        <f t="shared" si="6681"/>
        <v>4.5473024949575418</v>
      </c>
      <c r="BA791" s="97">
        <f t="shared" si="6682"/>
        <v>8.3000000000000004E-2</v>
      </c>
      <c r="BB791" s="97">
        <f t="shared" si="6683"/>
        <v>9.10098311557838</v>
      </c>
    </row>
    <row r="792" spans="1:54" ht="12" customHeight="1">
      <c r="A792" s="498">
        <v>555</v>
      </c>
      <c r="B792" s="13"/>
      <c r="C792" s="13"/>
      <c r="D792" s="13" t="s">
        <v>1825</v>
      </c>
      <c r="E792" s="21" t="s">
        <v>2370</v>
      </c>
      <c r="F792" s="22"/>
      <c r="G792" s="22" t="s">
        <v>1106</v>
      </c>
      <c r="H792" s="268" t="s">
        <v>901</v>
      </c>
      <c r="I792" s="55"/>
      <c r="J792" s="163"/>
      <c r="K792" s="55"/>
      <c r="L792" s="163"/>
      <c r="M792" s="55"/>
      <c r="N792" s="163"/>
      <c r="O792" s="55">
        <v>116.58</v>
      </c>
      <c r="P792" s="163"/>
      <c r="Q792" s="97">
        <f t="shared" ref="Q792" si="6684">SUM(AI792+BA792)</f>
        <v>1E-3</v>
      </c>
      <c r="R792" s="342">
        <f t="shared" ref="R792" si="6685">SUM(AJ792+BB792)</f>
        <v>0.1654654914</v>
      </c>
      <c r="S792" s="97"/>
      <c r="T792" s="97">
        <f t="shared" ref="T792" si="6686">I792*S792*$T$2/1000</f>
        <v>0</v>
      </c>
      <c r="U792" s="97"/>
      <c r="V792" s="177">
        <f t="shared" ref="V792" si="6687">I792*U792*$V$2/1000</f>
        <v>0</v>
      </c>
      <c r="W792" s="207"/>
      <c r="X792" s="206">
        <f t="shared" ref="X792" si="6688">I792*W792*$X$2/1000</f>
        <v>0</v>
      </c>
      <c r="Y792" s="189">
        <f t="shared" ref="Y792" si="6689">SUM(S792+U792+W792)</f>
        <v>0</v>
      </c>
      <c r="Z792" s="177">
        <f>SUM(T792+V792+X792)</f>
        <v>0</v>
      </c>
      <c r="AA792" s="207"/>
      <c r="AB792" s="462">
        <f>K792*AA792*$AB$2/1000</f>
        <v>0</v>
      </c>
      <c r="AC792" s="207"/>
      <c r="AD792" s="177">
        <f t="shared" ref="AD792" si="6690">K792*AC792*$AD$2/1000</f>
        <v>0</v>
      </c>
      <c r="AE792" s="207"/>
      <c r="AF792" s="206">
        <f>K792*AE792*$AF$2/1000</f>
        <v>0</v>
      </c>
      <c r="AG792" s="189">
        <f t="shared" ref="AG792" si="6691">SUM(AA792+AC792+AE792)</f>
        <v>0</v>
      </c>
      <c r="AH792" s="177">
        <f>SUM(AB792+AD792+AF792)</f>
        <v>0</v>
      </c>
      <c r="AI792" s="97">
        <f t="shared" ref="AI792" si="6692">SUM(Y792+AG792)</f>
        <v>0</v>
      </c>
      <c r="AJ792" s="97">
        <f t="shared" ref="AJ792" si="6693">SUM(Z792,AH792)</f>
        <v>0</v>
      </c>
      <c r="AK792" s="189"/>
      <c r="AL792" s="177">
        <f t="shared" ref="AL792" si="6694">M792*AK792*$AL$2/1000</f>
        <v>0</v>
      </c>
      <c r="AM792" s="245"/>
      <c r="AN792" s="177">
        <f t="shared" ref="AN792" si="6695">M792*AM792*$AN$2/1000</f>
        <v>0</v>
      </c>
      <c r="AO792" s="207"/>
      <c r="AP792" s="206">
        <f t="shared" ref="AP792" si="6696">M792*AO792*$AP$2/1000</f>
        <v>0</v>
      </c>
      <c r="AQ792" s="189">
        <f t="shared" ref="AQ792" si="6697">SUM(AK792+AM792+AO792)</f>
        <v>0</v>
      </c>
      <c r="AR792" s="97">
        <f t="shared" ref="AR792" si="6698">SUM(AL792+AN792+AP792)</f>
        <v>0</v>
      </c>
      <c r="AS792" s="97"/>
      <c r="AT792" s="177">
        <f>O792*AS792*$AT$2/1000</f>
        <v>0</v>
      </c>
      <c r="AU792" s="207"/>
      <c r="AV792" s="177">
        <f t="shared" ref="AV792" si="6699">O792*AU792*$AV$2/1000</f>
        <v>0</v>
      </c>
      <c r="AW792" s="207">
        <v>1E-3</v>
      </c>
      <c r="AX792" s="206">
        <f t="shared" ref="AX792" si="6700">O792*AW792*$AX$2/1000</f>
        <v>0.1654654914</v>
      </c>
      <c r="AY792" s="189">
        <f t="shared" ref="AY792" si="6701">SUM(AS792+AU792+AW792)</f>
        <v>1E-3</v>
      </c>
      <c r="AZ792" s="97">
        <f t="shared" ref="AZ792" si="6702">SUM(AT792+AV792+AX792)</f>
        <v>0.1654654914</v>
      </c>
      <c r="BA792" s="97">
        <f t="shared" ref="BA792" si="6703">SUM(AQ792+AY792)</f>
        <v>1E-3</v>
      </c>
      <c r="BB792" s="97">
        <f t="shared" ref="BB792" si="6704">SUM(AR792,AZ792)</f>
        <v>0.1654654914</v>
      </c>
    </row>
    <row r="793" spans="1:54" ht="12" customHeight="1">
      <c r="A793" s="498">
        <v>555</v>
      </c>
      <c r="B793" s="13"/>
      <c r="C793" s="13"/>
      <c r="D793" s="13"/>
      <c r="E793" s="21" t="s">
        <v>2371</v>
      </c>
      <c r="F793" s="22"/>
      <c r="G793" s="22" t="s">
        <v>1106</v>
      </c>
      <c r="H793" s="268" t="s">
        <v>901</v>
      </c>
      <c r="I793" s="55"/>
      <c r="J793" s="163"/>
      <c r="K793" s="55"/>
      <c r="L793" s="163"/>
      <c r="M793" s="55"/>
      <c r="N793" s="163"/>
      <c r="O793" s="55">
        <v>116.58</v>
      </c>
      <c r="P793" s="163"/>
      <c r="Q793" s="97">
        <f t="shared" ref="Q793" si="6705">SUM(AI793+BA793)</f>
        <v>1E-3</v>
      </c>
      <c r="R793" s="342">
        <f t="shared" si="6659"/>
        <v>0.1654654914</v>
      </c>
      <c r="S793" s="97"/>
      <c r="T793" s="97">
        <f t="shared" si="6660"/>
        <v>0</v>
      </c>
      <c r="U793" s="97"/>
      <c r="V793" s="177">
        <f t="shared" si="6661"/>
        <v>0</v>
      </c>
      <c r="W793" s="207"/>
      <c r="X793" s="206">
        <f t="shared" si="6662"/>
        <v>0</v>
      </c>
      <c r="Y793" s="189">
        <f t="shared" si="6663"/>
        <v>0</v>
      </c>
      <c r="Z793" s="177">
        <f>SUM(T793+V793+X793)</f>
        <v>0</v>
      </c>
      <c r="AA793" s="207"/>
      <c r="AB793" s="462">
        <f>K793*AA793*$AB$2/1000</f>
        <v>0</v>
      </c>
      <c r="AC793" s="207"/>
      <c r="AD793" s="177">
        <f t="shared" si="6666"/>
        <v>0</v>
      </c>
      <c r="AE793" s="207"/>
      <c r="AF793" s="206">
        <f>K793*AE793*$AF$2/1000</f>
        <v>0</v>
      </c>
      <c r="AG793" s="189">
        <f t="shared" si="6668"/>
        <v>0</v>
      </c>
      <c r="AH793" s="177">
        <f>SUM(AB793+AD793+AF793)</f>
        <v>0</v>
      </c>
      <c r="AI793" s="97">
        <f t="shared" si="6670"/>
        <v>0</v>
      </c>
      <c r="AJ793" s="97">
        <f t="shared" si="6671"/>
        <v>0</v>
      </c>
      <c r="AK793" s="189"/>
      <c r="AL793" s="177">
        <f t="shared" si="6672"/>
        <v>0</v>
      </c>
      <c r="AM793" s="245"/>
      <c r="AN793" s="177">
        <f t="shared" si="6673"/>
        <v>0</v>
      </c>
      <c r="AO793" s="207"/>
      <c r="AP793" s="206">
        <f t="shared" si="6674"/>
        <v>0</v>
      </c>
      <c r="AQ793" s="189">
        <f t="shared" si="6675"/>
        <v>0</v>
      </c>
      <c r="AR793" s="97">
        <f t="shared" si="6676"/>
        <v>0</v>
      </c>
      <c r="AS793" s="97"/>
      <c r="AT793" s="177">
        <f>O793*AS793*$AT$2/1000</f>
        <v>0</v>
      </c>
      <c r="AU793" s="207"/>
      <c r="AV793" s="177">
        <f t="shared" si="6678"/>
        <v>0</v>
      </c>
      <c r="AW793" s="207">
        <v>1E-3</v>
      </c>
      <c r="AX793" s="206">
        <f t="shared" si="6679"/>
        <v>0.1654654914</v>
      </c>
      <c r="AY793" s="189">
        <f t="shared" si="6680"/>
        <v>1E-3</v>
      </c>
      <c r="AZ793" s="97">
        <f t="shared" si="6681"/>
        <v>0.1654654914</v>
      </c>
      <c r="BA793" s="97">
        <f t="shared" si="6682"/>
        <v>1E-3</v>
      </c>
      <c r="BB793" s="97">
        <f t="shared" si="6683"/>
        <v>0.1654654914</v>
      </c>
    </row>
    <row r="794" spans="1:54" ht="12" customHeight="1">
      <c r="A794" s="498">
        <v>555</v>
      </c>
      <c r="B794" s="13"/>
      <c r="C794" s="13"/>
      <c r="D794" s="13"/>
      <c r="E794" s="51" t="s">
        <v>1822</v>
      </c>
      <c r="F794" s="22"/>
      <c r="G794" s="22" t="s">
        <v>1106</v>
      </c>
      <c r="H794" s="268" t="s">
        <v>901</v>
      </c>
      <c r="I794" s="55"/>
      <c r="J794" s="163"/>
      <c r="K794" s="55"/>
      <c r="L794" s="102"/>
      <c r="M794" s="55">
        <v>119.09936105176739</v>
      </c>
      <c r="N794" s="163"/>
      <c r="O794" s="55">
        <v>119.09936105176739</v>
      </c>
      <c r="P794" s="163"/>
      <c r="Q794" s="97">
        <f t="shared" si="6658"/>
        <v>0.10200000000000001</v>
      </c>
      <c r="R794" s="342">
        <f t="shared" si="6659"/>
        <v>16.81916412798617</v>
      </c>
      <c r="S794" s="97"/>
      <c r="T794" s="97">
        <f t="shared" si="6660"/>
        <v>0</v>
      </c>
      <c r="U794" s="97"/>
      <c r="V794" s="177">
        <f t="shared" si="6661"/>
        <v>0</v>
      </c>
      <c r="W794" s="207"/>
      <c r="X794" s="206">
        <f t="shared" si="6662"/>
        <v>0</v>
      </c>
      <c r="Y794" s="189">
        <f t="shared" si="6663"/>
        <v>0</v>
      </c>
      <c r="Z794" s="177">
        <f t="shared" si="6664"/>
        <v>0</v>
      </c>
      <c r="AA794" s="207"/>
      <c r="AB794" s="462">
        <f t="shared" si="6665"/>
        <v>0</v>
      </c>
      <c r="AC794" s="207"/>
      <c r="AD794" s="177">
        <f t="shared" si="6666"/>
        <v>0</v>
      </c>
      <c r="AE794" s="207"/>
      <c r="AF794" s="206">
        <f t="shared" si="6667"/>
        <v>0</v>
      </c>
      <c r="AG794" s="189">
        <f t="shared" si="6668"/>
        <v>0</v>
      </c>
      <c r="AH794" s="177">
        <f t="shared" si="6669"/>
        <v>0</v>
      </c>
      <c r="AI794" s="97">
        <f t="shared" si="6670"/>
        <v>0</v>
      </c>
      <c r="AJ794" s="97">
        <f t="shared" si="6671"/>
        <v>0</v>
      </c>
      <c r="AK794" s="189"/>
      <c r="AL794" s="177">
        <f t="shared" si="6672"/>
        <v>0</v>
      </c>
      <c r="AM794" s="245">
        <v>4.2000000000000003E-2</v>
      </c>
      <c r="AN794" s="177">
        <f t="shared" si="6673"/>
        <v>6.8084578937575451</v>
      </c>
      <c r="AO794" s="207"/>
      <c r="AP794" s="206">
        <f t="shared" si="6674"/>
        <v>0</v>
      </c>
      <c r="AQ794" s="189">
        <f t="shared" si="6675"/>
        <v>4.2000000000000003E-2</v>
      </c>
      <c r="AR794" s="97">
        <f t="shared" si="6676"/>
        <v>6.8084578937575451</v>
      </c>
      <c r="AS794" s="97"/>
      <c r="AT794" s="177">
        <f t="shared" si="6677"/>
        <v>0</v>
      </c>
      <c r="AU794" s="207">
        <v>0.04</v>
      </c>
      <c r="AV794" s="177">
        <f t="shared" si="6678"/>
        <v>6.6298803117965255</v>
      </c>
      <c r="AW794" s="207">
        <v>0.02</v>
      </c>
      <c r="AX794" s="206">
        <f t="shared" si="6679"/>
        <v>3.3808259224321002</v>
      </c>
      <c r="AY794" s="189">
        <f t="shared" si="6680"/>
        <v>0.06</v>
      </c>
      <c r="AZ794" s="97">
        <f t="shared" si="6681"/>
        <v>10.010706234228625</v>
      </c>
      <c r="BA794" s="97">
        <f t="shared" si="6682"/>
        <v>0.10200000000000001</v>
      </c>
      <c r="BB794" s="97">
        <f t="shared" si="6683"/>
        <v>16.81916412798617</v>
      </c>
    </row>
    <row r="795" spans="1:54" ht="12" customHeight="1">
      <c r="A795" s="498">
        <v>555</v>
      </c>
      <c r="B795" s="13"/>
      <c r="C795" s="13"/>
      <c r="D795" s="24"/>
      <c r="E795" s="51" t="s">
        <v>1823</v>
      </c>
      <c r="F795" s="22"/>
      <c r="G795" s="22" t="s">
        <v>1106</v>
      </c>
      <c r="H795" s="268" t="s">
        <v>901</v>
      </c>
      <c r="I795" s="55"/>
      <c r="J795" s="163"/>
      <c r="K795" s="55"/>
      <c r="L795" s="102"/>
      <c r="M795" s="55">
        <v>119.09936105176739</v>
      </c>
      <c r="N795" s="163"/>
      <c r="O795" s="55">
        <v>119.09936105176739</v>
      </c>
      <c r="P795" s="163"/>
      <c r="Q795" s="97">
        <f t="shared" si="6658"/>
        <v>8.2000000000000003E-2</v>
      </c>
      <c r="R795" s="342">
        <f t="shared" si="6659"/>
        <v>13.438338205554071</v>
      </c>
      <c r="S795" s="97"/>
      <c r="T795" s="97">
        <f t="shared" si="6660"/>
        <v>0</v>
      </c>
      <c r="U795" s="97"/>
      <c r="V795" s="177">
        <f t="shared" si="6661"/>
        <v>0</v>
      </c>
      <c r="W795" s="207"/>
      <c r="X795" s="206">
        <f t="shared" si="6662"/>
        <v>0</v>
      </c>
      <c r="Y795" s="189">
        <f t="shared" si="6663"/>
        <v>0</v>
      </c>
      <c r="Z795" s="177">
        <f t="shared" si="6664"/>
        <v>0</v>
      </c>
      <c r="AA795" s="207"/>
      <c r="AB795" s="462">
        <f t="shared" si="6665"/>
        <v>0</v>
      </c>
      <c r="AC795" s="207"/>
      <c r="AD795" s="177">
        <f t="shared" si="6666"/>
        <v>0</v>
      </c>
      <c r="AE795" s="207"/>
      <c r="AF795" s="206">
        <f t="shared" si="6667"/>
        <v>0</v>
      </c>
      <c r="AG795" s="189">
        <f t="shared" si="6668"/>
        <v>0</v>
      </c>
      <c r="AH795" s="177">
        <f t="shared" si="6669"/>
        <v>0</v>
      </c>
      <c r="AI795" s="97">
        <f t="shared" si="6670"/>
        <v>0</v>
      </c>
      <c r="AJ795" s="97">
        <f t="shared" si="6671"/>
        <v>0</v>
      </c>
      <c r="AK795" s="189"/>
      <c r="AL795" s="177">
        <f t="shared" si="6672"/>
        <v>0</v>
      </c>
      <c r="AM795" s="245">
        <v>4.2000000000000003E-2</v>
      </c>
      <c r="AN795" s="177">
        <f t="shared" si="6673"/>
        <v>6.8084578937575451</v>
      </c>
      <c r="AO795" s="207"/>
      <c r="AP795" s="206">
        <f t="shared" si="6674"/>
        <v>0</v>
      </c>
      <c r="AQ795" s="189">
        <f t="shared" si="6675"/>
        <v>4.2000000000000003E-2</v>
      </c>
      <c r="AR795" s="97">
        <f t="shared" si="6676"/>
        <v>6.8084578937575451</v>
      </c>
      <c r="AS795" s="97"/>
      <c r="AT795" s="177">
        <f t="shared" si="6677"/>
        <v>0</v>
      </c>
      <c r="AU795" s="207">
        <v>0.04</v>
      </c>
      <c r="AV795" s="177">
        <f t="shared" si="6678"/>
        <v>6.6298803117965255</v>
      </c>
      <c r="AW795" s="207"/>
      <c r="AX795" s="206">
        <f t="shared" si="6679"/>
        <v>0</v>
      </c>
      <c r="AY795" s="189">
        <f t="shared" si="6680"/>
        <v>0.04</v>
      </c>
      <c r="AZ795" s="97">
        <f t="shared" si="6681"/>
        <v>6.6298803117965255</v>
      </c>
      <c r="BA795" s="97">
        <f t="shared" si="6682"/>
        <v>8.2000000000000003E-2</v>
      </c>
      <c r="BB795" s="97">
        <f t="shared" si="6683"/>
        <v>13.438338205554071</v>
      </c>
    </row>
    <row r="796" spans="1:54">
      <c r="A796" s="498">
        <v>552</v>
      </c>
      <c r="B796" s="26"/>
      <c r="C796" s="27" t="s">
        <v>135</v>
      </c>
      <c r="D796" s="28"/>
      <c r="E796" s="28"/>
      <c r="F796" s="92"/>
      <c r="G796" s="92"/>
      <c r="H796" s="272"/>
      <c r="I796" s="73"/>
      <c r="J796" s="118"/>
      <c r="K796" s="73"/>
      <c r="L796" s="174"/>
      <c r="M796" s="73"/>
      <c r="N796" s="174"/>
      <c r="O796" s="151"/>
      <c r="P796" s="118"/>
      <c r="Q796" s="121">
        <f>SUM(Q788:Q795)</f>
        <v>24.992000000000001</v>
      </c>
      <c r="R796" s="121">
        <f>SUM(R788:R795)</f>
        <v>1984.517496235497</v>
      </c>
      <c r="S796" s="121">
        <f>SUM(S788:S795)</f>
        <v>0</v>
      </c>
      <c r="T796" s="121">
        <f>SUM(T788:T795)</f>
        <v>0</v>
      </c>
      <c r="U796" s="121">
        <f t="shared" ref="U796:V796" si="6706">SUM(U788:U795)</f>
        <v>0</v>
      </c>
      <c r="V796" s="121">
        <f t="shared" si="6706"/>
        <v>0</v>
      </c>
      <c r="W796" s="121">
        <f>SUM(W788:W795)</f>
        <v>1.1200000000000001</v>
      </c>
      <c r="X796" s="121">
        <f>SUM(X788:X795)</f>
        <v>84.535679200000004</v>
      </c>
      <c r="Y796" s="121">
        <f>SUM(Y788:Y795)</f>
        <v>1.1200000000000001</v>
      </c>
      <c r="Z796" s="121">
        <f t="shared" ref="Z796:BB796" si="6707">SUM(Z788:Z795)</f>
        <v>84.535679200000004</v>
      </c>
      <c r="AA796" s="121">
        <f t="shared" si="6707"/>
        <v>0</v>
      </c>
      <c r="AB796" s="121">
        <f t="shared" si="6707"/>
        <v>0</v>
      </c>
      <c r="AC796" s="121">
        <f t="shared" si="6707"/>
        <v>0</v>
      </c>
      <c r="AD796" s="121">
        <f t="shared" si="6707"/>
        <v>0</v>
      </c>
      <c r="AE796" s="121">
        <f t="shared" si="6707"/>
        <v>0</v>
      </c>
      <c r="AF796" s="121">
        <f t="shared" si="6707"/>
        <v>0</v>
      </c>
      <c r="AG796" s="121">
        <f t="shared" si="6707"/>
        <v>0</v>
      </c>
      <c r="AH796" s="121">
        <f t="shared" si="6707"/>
        <v>0</v>
      </c>
      <c r="AI796" s="121">
        <f t="shared" si="6707"/>
        <v>1.1200000000000001</v>
      </c>
      <c r="AJ796" s="121">
        <f t="shared" si="6707"/>
        <v>84.535679200000004</v>
      </c>
      <c r="AK796" s="121">
        <f t="shared" si="6707"/>
        <v>0</v>
      </c>
      <c r="AL796" s="121">
        <f t="shared" si="6707"/>
        <v>0</v>
      </c>
      <c r="AM796" s="121">
        <f t="shared" si="6707"/>
        <v>0.16800000000000001</v>
      </c>
      <c r="AN796" s="121">
        <f t="shared" si="6707"/>
        <v>22.724277028756767</v>
      </c>
      <c r="AO796" s="121">
        <f t="shared" si="6707"/>
        <v>8.9600000000000009</v>
      </c>
      <c r="AP796" s="121">
        <f t="shared" si="6707"/>
        <v>680.00069222400009</v>
      </c>
      <c r="AQ796" s="121">
        <f t="shared" si="6707"/>
        <v>9.1280000000000001</v>
      </c>
      <c r="AR796" s="121">
        <f t="shared" si="6707"/>
        <v>702.72496925275698</v>
      </c>
      <c r="AS796" s="121">
        <f t="shared" si="6707"/>
        <v>4.4800000000000004</v>
      </c>
      <c r="AT796" s="121">
        <f t="shared" si="6707"/>
        <v>351.55922368000006</v>
      </c>
      <c r="AU796" s="121">
        <f t="shared" si="6707"/>
        <v>4.6400000000000006</v>
      </c>
      <c r="AV796" s="121">
        <f t="shared" si="6707"/>
        <v>382.4304965039928</v>
      </c>
      <c r="AW796" s="121">
        <f t="shared" si="6707"/>
        <v>5.6240000000000006</v>
      </c>
      <c r="AX796" s="121">
        <f t="shared" si="6707"/>
        <v>463.26712759874738</v>
      </c>
      <c r="AY796" s="121">
        <f t="shared" si="6707"/>
        <v>14.744</v>
      </c>
      <c r="AZ796" s="121">
        <f t="shared" si="6707"/>
        <v>1197.2568477827404</v>
      </c>
      <c r="BA796" s="121">
        <f t="shared" si="6707"/>
        <v>23.872000000000003</v>
      </c>
      <c r="BB796" s="121">
        <f t="shared" si="6707"/>
        <v>1899.981817035497</v>
      </c>
    </row>
    <row r="797" spans="1:54">
      <c r="A797" s="498">
        <v>553</v>
      </c>
      <c r="B797" s="59" t="s">
        <v>156</v>
      </c>
      <c r="C797" s="60"/>
      <c r="D797" s="60"/>
      <c r="E797" s="60"/>
      <c r="F797" s="60"/>
      <c r="G797" s="60"/>
      <c r="H797" s="282"/>
      <c r="I797" s="61"/>
      <c r="J797" s="104"/>
      <c r="K797" s="61"/>
      <c r="L797" s="61"/>
      <c r="M797" s="61"/>
      <c r="N797" s="61"/>
      <c r="O797" s="146"/>
      <c r="P797" s="104"/>
      <c r="Q797" s="127">
        <f>SUM(Q787,Q772,Q796)</f>
        <v>3038.8490000000011</v>
      </c>
      <c r="R797" s="127">
        <f>SUM(R787,R772,R796)</f>
        <v>40669.347204614496</v>
      </c>
      <c r="S797" s="127">
        <f>SUM(S787,S772,S796)</f>
        <v>208.49999999999997</v>
      </c>
      <c r="T797" s="127">
        <f t="shared" ref="T797:BB797" si="6708">SUM(T787,T772,T796)</f>
        <v>2782.5720115385998</v>
      </c>
      <c r="U797" s="127">
        <f t="shared" si="6708"/>
        <v>245.93</v>
      </c>
      <c r="V797" s="127">
        <f t="shared" si="6708"/>
        <v>2849.7843307200001</v>
      </c>
      <c r="W797" s="127">
        <f t="shared" si="6708"/>
        <v>291.51099999999997</v>
      </c>
      <c r="X797" s="127">
        <f t="shared" si="6708"/>
        <v>3528.4859524000003</v>
      </c>
      <c r="Y797" s="127">
        <f t="shared" si="6708"/>
        <v>745.94099999999992</v>
      </c>
      <c r="Z797" s="127">
        <f t="shared" si="6708"/>
        <v>9160.8422946585997</v>
      </c>
      <c r="AA797" s="127">
        <f t="shared" si="6708"/>
        <v>280.541</v>
      </c>
      <c r="AB797" s="127">
        <f t="shared" si="6708"/>
        <v>3921.9408014272003</v>
      </c>
      <c r="AC797" s="127">
        <f t="shared" si="6708"/>
        <v>254.143</v>
      </c>
      <c r="AD797" s="127">
        <f t="shared" si="6708"/>
        <v>4007.380754250999</v>
      </c>
      <c r="AE797" s="127">
        <f t="shared" si="6708"/>
        <v>246.90200000000002</v>
      </c>
      <c r="AF797" s="127">
        <f t="shared" si="6708"/>
        <v>3263.1647064163994</v>
      </c>
      <c r="AG797" s="127">
        <f t="shared" si="6708"/>
        <v>781.58600000000001</v>
      </c>
      <c r="AH797" s="127">
        <f t="shared" si="6708"/>
        <v>11192.486262094601</v>
      </c>
      <c r="AI797" s="127">
        <f t="shared" si="6708"/>
        <v>1527.527</v>
      </c>
      <c r="AJ797" s="127">
        <f t="shared" si="6708"/>
        <v>20353.328556753197</v>
      </c>
      <c r="AK797" s="127">
        <f t="shared" si="6708"/>
        <v>243.82100000000003</v>
      </c>
      <c r="AL797" s="127">
        <f t="shared" si="6708"/>
        <v>3353.227618484801</v>
      </c>
      <c r="AM797" s="127">
        <f t="shared" si="6708"/>
        <v>260.12800000000004</v>
      </c>
      <c r="AN797" s="127">
        <f t="shared" si="6708"/>
        <v>3293.7543586967581</v>
      </c>
      <c r="AO797" s="127">
        <f t="shared" si="6708"/>
        <v>242.31200000000004</v>
      </c>
      <c r="AP797" s="127">
        <f t="shared" si="6708"/>
        <v>3510.6247805126995</v>
      </c>
      <c r="AQ797" s="127">
        <f t="shared" si="6708"/>
        <v>746.26100000000008</v>
      </c>
      <c r="AR797" s="127">
        <f t="shared" si="6708"/>
        <v>10157.606757694259</v>
      </c>
      <c r="AS797" s="127">
        <f t="shared" si="6708"/>
        <v>243.85699999999997</v>
      </c>
      <c r="AT797" s="127">
        <f t="shared" si="6708"/>
        <v>3646.4922235539998</v>
      </c>
      <c r="AU797" s="127">
        <f t="shared" si="6708"/>
        <v>254.16700000000003</v>
      </c>
      <c r="AV797" s="127">
        <f t="shared" si="6708"/>
        <v>3140.4100155154929</v>
      </c>
      <c r="AW797" s="127">
        <f t="shared" si="6708"/>
        <v>267.03700000000003</v>
      </c>
      <c r="AX797" s="127">
        <f t="shared" si="6708"/>
        <v>3371.5096510975472</v>
      </c>
      <c r="AY797" s="127">
        <f t="shared" si="6708"/>
        <v>765.06099999999981</v>
      </c>
      <c r="AZ797" s="127">
        <f t="shared" si="6708"/>
        <v>10158.411890167039</v>
      </c>
      <c r="BA797" s="127">
        <f t="shared" si="6708"/>
        <v>1511.3219999999999</v>
      </c>
      <c r="BB797" s="127">
        <f t="shared" si="6708"/>
        <v>20316.018647861296</v>
      </c>
    </row>
    <row r="798" spans="1:54" ht="12" customHeight="1">
      <c r="A798" s="498">
        <v>554</v>
      </c>
      <c r="B798" s="13" t="s">
        <v>898</v>
      </c>
      <c r="C798" s="13" t="s">
        <v>899</v>
      </c>
      <c r="D798" s="13" t="s">
        <v>900</v>
      </c>
      <c r="E798" s="31" t="s">
        <v>1076</v>
      </c>
      <c r="F798" s="32"/>
      <c r="G798" s="32" t="s">
        <v>1107</v>
      </c>
      <c r="H798" s="274" t="s">
        <v>901</v>
      </c>
      <c r="I798" s="62">
        <v>18.13</v>
      </c>
      <c r="J798" s="164"/>
      <c r="K798" s="62">
        <v>18.13</v>
      </c>
      <c r="L798" s="164"/>
      <c r="M798" s="62">
        <v>18.13</v>
      </c>
      <c r="N798" s="164"/>
      <c r="O798" s="62">
        <v>18.13</v>
      </c>
      <c r="P798" s="164"/>
      <c r="Q798" s="122">
        <f t="shared" ref="Q798:R800" si="6709">SUM(AI798+BA798)</f>
        <v>0</v>
      </c>
      <c r="R798" s="346">
        <f t="shared" si="6709"/>
        <v>0</v>
      </c>
      <c r="S798" s="122"/>
      <c r="T798" s="122">
        <f t="shared" ref="T798:T800" si="6710">I798*S798*$T$2/1000</f>
        <v>0</v>
      </c>
      <c r="U798" s="122"/>
      <c r="V798" s="180">
        <f t="shared" ref="V798:V800" si="6711">I798*U798*$V$2/1000</f>
        <v>0</v>
      </c>
      <c r="W798" s="212"/>
      <c r="X798" s="213">
        <f t="shared" ref="X798:X800" si="6712">I798*W798*$X$2/1000</f>
        <v>0</v>
      </c>
      <c r="Y798" s="191">
        <f t="shared" ref="Y798:Z800" si="6713">SUM(S798+U798+W798)</f>
        <v>0</v>
      </c>
      <c r="Z798" s="180">
        <f t="shared" si="6713"/>
        <v>0</v>
      </c>
      <c r="AA798" s="212"/>
      <c r="AB798" s="440">
        <f>K798*AA798*$AB$2/1000</f>
        <v>0</v>
      </c>
      <c r="AC798" s="212"/>
      <c r="AD798" s="180">
        <f t="shared" ref="AD798:AD800" si="6714">K798*AC798*$AD$2/1000</f>
        <v>0</v>
      </c>
      <c r="AE798" s="212"/>
      <c r="AF798" s="213">
        <f>K798*AE798*$AF$2/1000</f>
        <v>0</v>
      </c>
      <c r="AG798" s="191">
        <f t="shared" ref="AG798:AH800" si="6715">SUM(AA798+AC798+AE798)</f>
        <v>0</v>
      </c>
      <c r="AH798" s="180">
        <f t="shared" si="6715"/>
        <v>0</v>
      </c>
      <c r="AI798" s="122">
        <f t="shared" ref="AI798:AI806" si="6716">SUM(Y798+AG798)</f>
        <v>0</v>
      </c>
      <c r="AJ798" s="122">
        <f t="shared" ref="AJ798:AJ806" si="6717">SUM(Z798,AH798)</f>
        <v>0</v>
      </c>
      <c r="AK798" s="191"/>
      <c r="AL798" s="180">
        <f t="shared" ref="AL798:AL800" si="6718">M798*AK798*$AL$2/1000</f>
        <v>0</v>
      </c>
      <c r="AM798" s="248"/>
      <c r="AN798" s="180">
        <f t="shared" ref="AN798:AN800" si="6719">M798*AM798*$AN$2/1000</f>
        <v>0</v>
      </c>
      <c r="AO798" s="212"/>
      <c r="AP798" s="213">
        <f t="shared" ref="AP798:AP800" si="6720">M798*AO798*$AP$2/1000</f>
        <v>0</v>
      </c>
      <c r="AQ798" s="191">
        <f t="shared" ref="AQ798:AR800" si="6721">SUM(AK798+AM798+AO798)</f>
        <v>0</v>
      </c>
      <c r="AR798" s="122">
        <f t="shared" si="6721"/>
        <v>0</v>
      </c>
      <c r="AS798" s="122"/>
      <c r="AT798" s="180">
        <f t="shared" ref="AT798" si="6722">O798*AS798*$AT$2/1000</f>
        <v>0</v>
      </c>
      <c r="AU798" s="212"/>
      <c r="AV798" s="180">
        <f t="shared" ref="AV798:AV800" si="6723">O798*AU798*$AV$2/1000</f>
        <v>0</v>
      </c>
      <c r="AW798" s="212"/>
      <c r="AX798" s="213">
        <f t="shared" ref="AX798:AX800" si="6724">O798*AW798*$AX$2/1000</f>
        <v>0</v>
      </c>
      <c r="AY798" s="191">
        <f t="shared" ref="AY798:AZ798" si="6725">SUM(AS798+AU798+AW798)</f>
        <v>0</v>
      </c>
      <c r="AZ798" s="122">
        <f t="shared" si="6725"/>
        <v>0</v>
      </c>
      <c r="BA798" s="122">
        <f t="shared" ref="BA798" si="6726">SUM(AQ798+AY798)</f>
        <v>0</v>
      </c>
      <c r="BB798" s="122">
        <f t="shared" ref="BB798:BB806" si="6727">SUM(AR798,AZ798)</f>
        <v>0</v>
      </c>
    </row>
    <row r="799" spans="1:54" ht="12" customHeight="1">
      <c r="A799" s="498">
        <v>555</v>
      </c>
      <c r="B799" s="13"/>
      <c r="C799" s="13"/>
      <c r="D799" s="13"/>
      <c r="E799" s="21" t="s">
        <v>1077</v>
      </c>
      <c r="F799" s="22"/>
      <c r="G799" s="22" t="s">
        <v>1107</v>
      </c>
      <c r="H799" s="268" t="s">
        <v>901</v>
      </c>
      <c r="I799" s="55">
        <v>18.13</v>
      </c>
      <c r="J799" s="163"/>
      <c r="K799" s="55">
        <v>18.13</v>
      </c>
      <c r="L799" s="163"/>
      <c r="M799" s="55">
        <v>18.13</v>
      </c>
      <c r="N799" s="163"/>
      <c r="O799" s="55">
        <v>18.13</v>
      </c>
      <c r="P799" s="163"/>
      <c r="Q799" s="97">
        <f t="shared" si="6709"/>
        <v>0</v>
      </c>
      <c r="R799" s="342">
        <f t="shared" si="6709"/>
        <v>0</v>
      </c>
      <c r="S799" s="97"/>
      <c r="T799" s="97">
        <f t="shared" si="6710"/>
        <v>0</v>
      </c>
      <c r="U799" s="97"/>
      <c r="V799" s="177">
        <f t="shared" si="6711"/>
        <v>0</v>
      </c>
      <c r="W799" s="207"/>
      <c r="X799" s="206">
        <f t="shared" si="6712"/>
        <v>0</v>
      </c>
      <c r="Y799" s="189">
        <f t="shared" si="6713"/>
        <v>0</v>
      </c>
      <c r="Z799" s="177">
        <f t="shared" si="6713"/>
        <v>0</v>
      </c>
      <c r="AA799" s="207"/>
      <c r="AB799" s="462">
        <f>K799*AA799*$AB$2/1000</f>
        <v>0</v>
      </c>
      <c r="AC799" s="207"/>
      <c r="AD799" s="177">
        <f t="shared" si="6714"/>
        <v>0</v>
      </c>
      <c r="AE799" s="207"/>
      <c r="AF799" s="206">
        <f>K799*AE799*$AF$2/1000</f>
        <v>0</v>
      </c>
      <c r="AG799" s="189">
        <f t="shared" si="6715"/>
        <v>0</v>
      </c>
      <c r="AH799" s="177">
        <f t="shared" si="6715"/>
        <v>0</v>
      </c>
      <c r="AI799" s="97">
        <f t="shared" si="6716"/>
        <v>0</v>
      </c>
      <c r="AJ799" s="97">
        <f t="shared" si="6717"/>
        <v>0</v>
      </c>
      <c r="AK799" s="189"/>
      <c r="AL799" s="177">
        <f t="shared" si="6718"/>
        <v>0</v>
      </c>
      <c r="AM799" s="245"/>
      <c r="AN799" s="177">
        <f t="shared" si="6719"/>
        <v>0</v>
      </c>
      <c r="AO799" s="207"/>
      <c r="AP799" s="206">
        <f t="shared" si="6720"/>
        <v>0</v>
      </c>
      <c r="AQ799" s="189">
        <f t="shared" si="6721"/>
        <v>0</v>
      </c>
      <c r="AR799" s="97">
        <f t="shared" si="6721"/>
        <v>0</v>
      </c>
      <c r="AS799" s="97"/>
      <c r="AT799" s="177">
        <f>O799*AS799*$AT$2/1000</f>
        <v>0</v>
      </c>
      <c r="AU799" s="207"/>
      <c r="AV799" s="177">
        <f t="shared" si="6723"/>
        <v>0</v>
      </c>
      <c r="AW799" s="207"/>
      <c r="AX799" s="206">
        <f t="shared" si="6724"/>
        <v>0</v>
      </c>
      <c r="AY799" s="189">
        <f t="shared" ref="AY799:AY808" si="6728">SUM(AS799+AU799+AW799)</f>
        <v>0</v>
      </c>
      <c r="AZ799" s="97">
        <f t="shared" ref="AZ799:AZ800" si="6729">SUM(AT799+AV799+AX799)</f>
        <v>0</v>
      </c>
      <c r="BA799" s="97">
        <f t="shared" ref="BA799:BA806" si="6730">SUM(AQ799+AY799)</f>
        <v>0</v>
      </c>
      <c r="BB799" s="97">
        <f t="shared" si="6727"/>
        <v>0</v>
      </c>
    </row>
    <row r="800" spans="1:54" ht="12" customHeight="1">
      <c r="A800" s="498">
        <v>556</v>
      </c>
      <c r="B800" s="13"/>
      <c r="C800" s="13"/>
      <c r="D800" s="13"/>
      <c r="E800" s="21" t="s">
        <v>1078</v>
      </c>
      <c r="F800" s="22"/>
      <c r="G800" s="22" t="s">
        <v>1103</v>
      </c>
      <c r="H800" s="268" t="s">
        <v>901</v>
      </c>
      <c r="I800" s="55">
        <v>16.100000000000001</v>
      </c>
      <c r="J800" s="163"/>
      <c r="K800" s="55">
        <v>16.100000000000001</v>
      </c>
      <c r="L800" s="163"/>
      <c r="M800" s="55">
        <v>16.100000000000001</v>
      </c>
      <c r="N800" s="163"/>
      <c r="O800" s="55">
        <v>16.100000000000001</v>
      </c>
      <c r="P800" s="163"/>
      <c r="Q800" s="97">
        <f t="shared" si="6709"/>
        <v>0</v>
      </c>
      <c r="R800" s="342">
        <f t="shared" si="6709"/>
        <v>0</v>
      </c>
      <c r="S800" s="97"/>
      <c r="T800" s="97">
        <f t="shared" si="6710"/>
        <v>0</v>
      </c>
      <c r="U800" s="97"/>
      <c r="V800" s="177">
        <f t="shared" si="6711"/>
        <v>0</v>
      </c>
      <c r="W800" s="207"/>
      <c r="X800" s="206">
        <f t="shared" si="6712"/>
        <v>0</v>
      </c>
      <c r="Y800" s="189">
        <f t="shared" si="6713"/>
        <v>0</v>
      </c>
      <c r="Z800" s="177">
        <f t="shared" si="6713"/>
        <v>0</v>
      </c>
      <c r="AA800" s="207"/>
      <c r="AB800" s="462">
        <f>K800*AA800*$AB$2/1000</f>
        <v>0</v>
      </c>
      <c r="AC800" s="207"/>
      <c r="AD800" s="177">
        <f t="shared" si="6714"/>
        <v>0</v>
      </c>
      <c r="AE800" s="207"/>
      <c r="AF800" s="206">
        <f>K800*AE800*$AF$2/1000</f>
        <v>0</v>
      </c>
      <c r="AG800" s="189">
        <f t="shared" si="6715"/>
        <v>0</v>
      </c>
      <c r="AH800" s="177">
        <f t="shared" si="6715"/>
        <v>0</v>
      </c>
      <c r="AI800" s="97">
        <f t="shared" si="6716"/>
        <v>0</v>
      </c>
      <c r="AJ800" s="97">
        <f t="shared" si="6717"/>
        <v>0</v>
      </c>
      <c r="AK800" s="189"/>
      <c r="AL800" s="177">
        <f t="shared" si="6718"/>
        <v>0</v>
      </c>
      <c r="AM800" s="245"/>
      <c r="AN800" s="177">
        <f t="shared" si="6719"/>
        <v>0</v>
      </c>
      <c r="AO800" s="207"/>
      <c r="AP800" s="206">
        <f t="shared" si="6720"/>
        <v>0</v>
      </c>
      <c r="AQ800" s="189">
        <f t="shared" si="6721"/>
        <v>0</v>
      </c>
      <c r="AR800" s="97">
        <f t="shared" si="6721"/>
        <v>0</v>
      </c>
      <c r="AS800" s="97"/>
      <c r="AT800" s="177">
        <f>O800*AS800*$AT$2/1000</f>
        <v>0</v>
      </c>
      <c r="AU800" s="207"/>
      <c r="AV800" s="177">
        <f t="shared" si="6723"/>
        <v>0</v>
      </c>
      <c r="AW800" s="207"/>
      <c r="AX800" s="206">
        <f t="shared" si="6724"/>
        <v>0</v>
      </c>
      <c r="AY800" s="189">
        <f t="shared" si="6728"/>
        <v>0</v>
      </c>
      <c r="AZ800" s="97">
        <f t="shared" si="6729"/>
        <v>0</v>
      </c>
      <c r="BA800" s="97">
        <f t="shared" si="6730"/>
        <v>0</v>
      </c>
      <c r="BB800" s="97">
        <f t="shared" si="6727"/>
        <v>0</v>
      </c>
    </row>
    <row r="801" spans="1:54" ht="12" customHeight="1">
      <c r="A801" s="498">
        <v>555</v>
      </c>
      <c r="B801" s="13"/>
      <c r="C801" s="13"/>
      <c r="D801" s="13"/>
      <c r="E801" s="21" t="s">
        <v>1481</v>
      </c>
      <c r="F801" s="22"/>
      <c r="G801" s="22" t="s">
        <v>1106</v>
      </c>
      <c r="H801" s="268" t="s">
        <v>901</v>
      </c>
      <c r="I801" s="55">
        <v>11.3004</v>
      </c>
      <c r="J801" s="163"/>
      <c r="K801" s="55">
        <v>11.3004</v>
      </c>
      <c r="L801" s="163"/>
      <c r="M801" s="55">
        <v>11.3004</v>
      </c>
      <c r="N801" s="163"/>
      <c r="O801" s="55">
        <v>11.3004</v>
      </c>
      <c r="P801" s="163"/>
      <c r="Q801" s="97">
        <f t="shared" ref="Q801:Q802" si="6731">SUM(AI801+BA801)</f>
        <v>0</v>
      </c>
      <c r="R801" s="342">
        <f t="shared" ref="R801:R802" si="6732">SUM(AJ801+BB801)</f>
        <v>0</v>
      </c>
      <c r="S801" s="97"/>
      <c r="T801" s="97">
        <f t="shared" ref="T801:T802" si="6733">I801*S801*$T$2/1000</f>
        <v>0</v>
      </c>
      <c r="U801" s="97"/>
      <c r="V801" s="177">
        <f t="shared" ref="V801:V802" si="6734">I801*U801*$V$2/1000</f>
        <v>0</v>
      </c>
      <c r="W801" s="207"/>
      <c r="X801" s="206">
        <f t="shared" ref="X801:X802" si="6735">I801*W801*$X$2/1000</f>
        <v>0</v>
      </c>
      <c r="Y801" s="189">
        <f t="shared" ref="Y801:Y802" si="6736">SUM(S801+U801+W801)</f>
        <v>0</v>
      </c>
      <c r="Z801" s="177">
        <f>SUM(T801+V801+X801)</f>
        <v>0</v>
      </c>
      <c r="AA801" s="207"/>
      <c r="AB801" s="462">
        <f>K801*AA801*$AB$2/1000</f>
        <v>0</v>
      </c>
      <c r="AC801" s="207"/>
      <c r="AD801" s="177">
        <f t="shared" ref="AD801:AD802" si="6737">K801*AC801*$AD$2/1000</f>
        <v>0</v>
      </c>
      <c r="AE801" s="207"/>
      <c r="AF801" s="206">
        <f>K801*AE801*$AF$2/1000</f>
        <v>0</v>
      </c>
      <c r="AG801" s="189">
        <f t="shared" ref="AG801:AG802" si="6738">SUM(AA801+AC801+AE801)</f>
        <v>0</v>
      </c>
      <c r="AH801" s="177">
        <f>SUM(AB801+AD801+AF801)</f>
        <v>0</v>
      </c>
      <c r="AI801" s="97">
        <f t="shared" si="6716"/>
        <v>0</v>
      </c>
      <c r="AJ801" s="97">
        <f t="shared" si="6717"/>
        <v>0</v>
      </c>
      <c r="AK801" s="189"/>
      <c r="AL801" s="177">
        <f t="shared" ref="AL801:AL802" si="6739">M801*AK801*$AL$2/1000</f>
        <v>0</v>
      </c>
      <c r="AM801" s="245"/>
      <c r="AN801" s="177">
        <f t="shared" ref="AN801:AN802" si="6740">M801*AM801*$AN$2/1000</f>
        <v>0</v>
      </c>
      <c r="AO801" s="207"/>
      <c r="AP801" s="206">
        <f t="shared" ref="AP801:AP802" si="6741">M801*AO801*$AP$2/1000</f>
        <v>0</v>
      </c>
      <c r="AQ801" s="189">
        <f t="shared" ref="AQ801:AQ802" si="6742">SUM(AK801+AM801+AO801)</f>
        <v>0</v>
      </c>
      <c r="AR801" s="97">
        <f t="shared" ref="AR801" si="6743">SUM(AL801+AN801+AP801)</f>
        <v>0</v>
      </c>
      <c r="AS801" s="97"/>
      <c r="AT801" s="177">
        <f>O801*AS801*$AT$2/1000</f>
        <v>0</v>
      </c>
      <c r="AU801" s="207"/>
      <c r="AV801" s="177">
        <f t="shared" ref="AV801:AV802" si="6744">O801*AU801*$AV$2/1000</f>
        <v>0</v>
      </c>
      <c r="AW801" s="207"/>
      <c r="AX801" s="206">
        <f t="shared" ref="AX801:AX802" si="6745">O801*AW801*$AX$2/1000</f>
        <v>0</v>
      </c>
      <c r="AY801" s="189">
        <f t="shared" ref="AY801:AY802" si="6746">SUM(AS801+AU801+AW801)</f>
        <v>0</v>
      </c>
      <c r="AZ801" s="97">
        <f t="shared" ref="AZ801:AZ802" si="6747">SUM(AT801+AV801+AX801)</f>
        <v>0</v>
      </c>
      <c r="BA801" s="97">
        <f t="shared" si="6730"/>
        <v>0</v>
      </c>
      <c r="BB801" s="97">
        <f t="shared" si="6727"/>
        <v>0</v>
      </c>
    </row>
    <row r="802" spans="1:54" ht="12" customHeight="1">
      <c r="A802" s="498">
        <v>555</v>
      </c>
      <c r="B802" s="13"/>
      <c r="C802" s="13"/>
      <c r="D802" s="13"/>
      <c r="E802" s="21" t="s">
        <v>1522</v>
      </c>
      <c r="F802" s="22"/>
      <c r="G802" s="22" t="s">
        <v>1106</v>
      </c>
      <c r="H802" s="268" t="s">
        <v>901</v>
      </c>
      <c r="I802" s="55">
        <v>14.73</v>
      </c>
      <c r="J802" s="163"/>
      <c r="K802" s="55">
        <v>14.73</v>
      </c>
      <c r="L802" s="163"/>
      <c r="M802" s="55">
        <v>14.73</v>
      </c>
      <c r="N802" s="163"/>
      <c r="O802" s="55">
        <v>14.73</v>
      </c>
      <c r="P802" s="163"/>
      <c r="Q802" s="97">
        <f t="shared" si="6731"/>
        <v>0</v>
      </c>
      <c r="R802" s="342">
        <f t="shared" si="6732"/>
        <v>0</v>
      </c>
      <c r="S802" s="97"/>
      <c r="T802" s="97">
        <f t="shared" si="6733"/>
        <v>0</v>
      </c>
      <c r="U802" s="97"/>
      <c r="V802" s="177">
        <f t="shared" si="6734"/>
        <v>0</v>
      </c>
      <c r="W802" s="207"/>
      <c r="X802" s="206">
        <f t="shared" si="6735"/>
        <v>0</v>
      </c>
      <c r="Y802" s="189">
        <f t="shared" si="6736"/>
        <v>0</v>
      </c>
      <c r="Z802" s="177">
        <f t="shared" ref="Z802" si="6748">SUM(T802+V802+X802)</f>
        <v>0</v>
      </c>
      <c r="AA802" s="207"/>
      <c r="AB802" s="462">
        <f>K802*AA802*$AB$2/1000</f>
        <v>0</v>
      </c>
      <c r="AC802" s="207"/>
      <c r="AD802" s="177">
        <f t="shared" si="6737"/>
        <v>0</v>
      </c>
      <c r="AE802" s="207"/>
      <c r="AF802" s="206">
        <f>K802*AE802*$AF$2/1000</f>
        <v>0</v>
      </c>
      <c r="AG802" s="189">
        <f t="shared" si="6738"/>
        <v>0</v>
      </c>
      <c r="AH802" s="177">
        <f t="shared" ref="AH802" si="6749">SUM(AB802+AD802+AF802)</f>
        <v>0</v>
      </c>
      <c r="AI802" s="97">
        <f t="shared" ref="AI802" si="6750">SUM(Y802+AG802)</f>
        <v>0</v>
      </c>
      <c r="AJ802" s="97">
        <f t="shared" ref="AJ802" si="6751">SUM(Z802,AH802)</f>
        <v>0</v>
      </c>
      <c r="AK802" s="189"/>
      <c r="AL802" s="177">
        <f t="shared" si="6739"/>
        <v>0</v>
      </c>
      <c r="AM802" s="245"/>
      <c r="AN802" s="177">
        <f t="shared" si="6740"/>
        <v>0</v>
      </c>
      <c r="AO802" s="207"/>
      <c r="AP802" s="206">
        <f t="shared" si="6741"/>
        <v>0</v>
      </c>
      <c r="AQ802" s="189">
        <f t="shared" si="6742"/>
        <v>0</v>
      </c>
      <c r="AR802" s="97">
        <f t="shared" ref="AR802" si="6752">SUM(AL802+AN802+AP802)</f>
        <v>0</v>
      </c>
      <c r="AS802" s="97"/>
      <c r="AT802" s="177">
        <f>O802*AS802*$AT$2/1000</f>
        <v>0</v>
      </c>
      <c r="AU802" s="207"/>
      <c r="AV802" s="177">
        <f t="shared" si="6744"/>
        <v>0</v>
      </c>
      <c r="AW802" s="207"/>
      <c r="AX802" s="206">
        <f t="shared" si="6745"/>
        <v>0</v>
      </c>
      <c r="AY802" s="189">
        <f t="shared" si="6746"/>
        <v>0</v>
      </c>
      <c r="AZ802" s="97">
        <f t="shared" si="6747"/>
        <v>0</v>
      </c>
      <c r="BA802" s="97">
        <f t="shared" si="6730"/>
        <v>0</v>
      </c>
      <c r="BB802" s="97">
        <f t="shared" ref="BB802" si="6753">SUM(AR802,AZ802)</f>
        <v>0</v>
      </c>
    </row>
    <row r="803" spans="1:54">
      <c r="B803" s="13"/>
      <c r="C803" s="13"/>
      <c r="D803" s="13"/>
      <c r="E803" s="21" t="s">
        <v>1321</v>
      </c>
      <c r="F803" s="46"/>
      <c r="G803" s="46" t="s">
        <v>1102</v>
      </c>
      <c r="H803" s="268" t="s">
        <v>368</v>
      </c>
      <c r="I803" s="55"/>
      <c r="J803" s="163">
        <v>3801</v>
      </c>
      <c r="K803" s="55"/>
      <c r="L803" s="163">
        <v>3801</v>
      </c>
      <c r="M803" s="55"/>
      <c r="N803" s="163">
        <v>3801</v>
      </c>
      <c r="O803" s="55"/>
      <c r="P803" s="163">
        <v>3801</v>
      </c>
      <c r="Q803" s="97">
        <f>SUM(AI803+BA803)</f>
        <v>0</v>
      </c>
      <c r="R803" s="342">
        <f>SUM(AJ803+BB803)</f>
        <v>0</v>
      </c>
      <c r="S803" s="97"/>
      <c r="T803" s="97">
        <f>J803*S803/1000</f>
        <v>0</v>
      </c>
      <c r="U803" s="97"/>
      <c r="V803" s="97">
        <f>J803*U803/1000</f>
        <v>0</v>
      </c>
      <c r="W803" s="97"/>
      <c r="X803" s="97">
        <f>J803*W803/1000</f>
        <v>0</v>
      </c>
      <c r="Y803" s="97">
        <f>SUM(S803+U803+W803)</f>
        <v>0</v>
      </c>
      <c r="Z803" s="97">
        <f>SUM(T803+V803+X803)</f>
        <v>0</v>
      </c>
      <c r="AA803" s="97"/>
      <c r="AB803" s="97">
        <f>L803*AA803/1000</f>
        <v>0</v>
      </c>
      <c r="AC803" s="97"/>
      <c r="AD803" s="97">
        <f>L803*AC803/1000</f>
        <v>0</v>
      </c>
      <c r="AE803" s="97"/>
      <c r="AF803" s="97">
        <f>L803*AE803/1000</f>
        <v>0</v>
      </c>
      <c r="AG803" s="97">
        <f>SUM(AA803+AC803+AE803)</f>
        <v>0</v>
      </c>
      <c r="AH803" s="97">
        <f>SUM(AB803+AD803+AF803)</f>
        <v>0</v>
      </c>
      <c r="AI803" s="97">
        <f>SUM(Y803+AG803)</f>
        <v>0</v>
      </c>
      <c r="AJ803" s="97">
        <f>SUM(Z803,AH803)</f>
        <v>0</v>
      </c>
      <c r="AK803" s="97"/>
      <c r="AL803" s="97">
        <f>N803*AK803/1000</f>
        <v>0</v>
      </c>
      <c r="AM803" s="97"/>
      <c r="AN803" s="97">
        <f>N803*AM803/1000</f>
        <v>0</v>
      </c>
      <c r="AO803" s="97"/>
      <c r="AP803" s="97">
        <f>N803*AO803/1000</f>
        <v>0</v>
      </c>
      <c r="AQ803" s="97">
        <f>SUM(AK803+AM803+AO803)</f>
        <v>0</v>
      </c>
      <c r="AR803" s="97">
        <f>SUM(AL803+AN803+AP803)</f>
        <v>0</v>
      </c>
      <c r="AS803" s="97"/>
      <c r="AT803" s="97">
        <f>P803*AS803/1000</f>
        <v>0</v>
      </c>
      <c r="AU803" s="97"/>
      <c r="AV803" s="97">
        <f>P803*AU803/1000</f>
        <v>0</v>
      </c>
      <c r="AW803" s="97"/>
      <c r="AX803" s="97">
        <f>P803*AW803/1000</f>
        <v>0</v>
      </c>
      <c r="AY803" s="97">
        <f>SUM(AS803+AU803+AW803)</f>
        <v>0</v>
      </c>
      <c r="AZ803" s="97">
        <f>SUM(AT803+AV803+AX803)</f>
        <v>0</v>
      </c>
      <c r="BA803" s="97">
        <f>SUM(AQ803+AY803)</f>
        <v>0</v>
      </c>
      <c r="BB803" s="97">
        <f>SUM(AR803,AZ803)</f>
        <v>0</v>
      </c>
    </row>
    <row r="804" spans="1:54">
      <c r="B804" s="13"/>
      <c r="C804" s="13"/>
      <c r="D804" s="13"/>
      <c r="E804" s="21" t="s">
        <v>1752</v>
      </c>
      <c r="F804" s="46"/>
      <c r="G804" s="46" t="s">
        <v>1102</v>
      </c>
      <c r="H804" s="268" t="s">
        <v>368</v>
      </c>
      <c r="I804" s="55"/>
      <c r="J804" s="163"/>
      <c r="K804" s="55"/>
      <c r="L804" s="163">
        <v>3783</v>
      </c>
      <c r="M804" s="55"/>
      <c r="N804" s="163">
        <v>3783</v>
      </c>
      <c r="O804" s="55"/>
      <c r="P804" s="163">
        <v>3783</v>
      </c>
      <c r="Q804" s="97">
        <f t="shared" ref="Q804:R806" si="6754">SUM(AI804+BA804)</f>
        <v>6.48</v>
      </c>
      <c r="R804" s="342">
        <f t="shared" si="6754"/>
        <v>24.513840000000002</v>
      </c>
      <c r="S804" s="97"/>
      <c r="T804" s="97">
        <f>J804*S804/1000</f>
        <v>0</v>
      </c>
      <c r="U804" s="97"/>
      <c r="V804" s="97">
        <f>J804*U804/1000</f>
        <v>0</v>
      </c>
      <c r="W804" s="97"/>
      <c r="X804" s="97">
        <f>J804*W804/1000</f>
        <v>0</v>
      </c>
      <c r="Y804" s="97">
        <f t="shared" ref="Y804:Z806" si="6755">SUM(S804+U804+W804)</f>
        <v>0</v>
      </c>
      <c r="Z804" s="97">
        <f t="shared" si="6755"/>
        <v>0</v>
      </c>
      <c r="AA804" s="97">
        <v>1</v>
      </c>
      <c r="AB804" s="97">
        <f>L804*AA804/1000</f>
        <v>3.7829999999999999</v>
      </c>
      <c r="AC804" s="97">
        <v>1.1599999999999999</v>
      </c>
      <c r="AD804" s="97">
        <f>L804*AC804/1000</f>
        <v>4.38828</v>
      </c>
      <c r="AE804" s="97"/>
      <c r="AF804" s="97">
        <f>L804*AE804/1000</f>
        <v>0</v>
      </c>
      <c r="AG804" s="97">
        <f t="shared" ref="AG804:AH806" si="6756">SUM(AA804+AC804+AE804)</f>
        <v>2.16</v>
      </c>
      <c r="AH804" s="97">
        <f t="shared" si="6756"/>
        <v>8.1712799999999994</v>
      </c>
      <c r="AI804" s="97">
        <f>SUM(Y804+AG804)</f>
        <v>2.16</v>
      </c>
      <c r="AJ804" s="97">
        <f t="shared" ref="AJ804:AJ805" si="6757">SUM(Z804,AH804)</f>
        <v>8.1712799999999994</v>
      </c>
      <c r="AK804" s="97">
        <v>1.08</v>
      </c>
      <c r="AL804" s="97">
        <f>N804*AK804/1000</f>
        <v>4.0856400000000006</v>
      </c>
      <c r="AM804" s="97"/>
      <c r="AN804" s="97">
        <f>N804*AM804/1000</f>
        <v>0</v>
      </c>
      <c r="AO804" s="97">
        <v>1.08</v>
      </c>
      <c r="AP804" s="97">
        <f>N804*AO804/1000</f>
        <v>4.0856400000000006</v>
      </c>
      <c r="AQ804" s="97">
        <f t="shared" ref="AQ804:AR806" si="6758">SUM(AK804+AM804+AO804)</f>
        <v>2.16</v>
      </c>
      <c r="AR804" s="97">
        <f t="shared" si="6758"/>
        <v>8.1712800000000012</v>
      </c>
      <c r="AS804" s="97"/>
      <c r="AT804" s="97">
        <f t="shared" ref="AT804:AT812" si="6759">P804*AS804/1000</f>
        <v>0</v>
      </c>
      <c r="AU804" s="97"/>
      <c r="AV804" s="97">
        <f t="shared" ref="AV804:AV812" si="6760">P804*AU804/1000</f>
        <v>0</v>
      </c>
      <c r="AW804" s="97">
        <v>2.16</v>
      </c>
      <c r="AX804" s="97">
        <f t="shared" ref="AX804:AX812" si="6761">P804*AW804/1000</f>
        <v>8.1712800000000012</v>
      </c>
      <c r="AY804" s="97">
        <f t="shared" ref="AY804:AZ806" si="6762">SUM(AS804+AU804+AW804)</f>
        <v>2.16</v>
      </c>
      <c r="AZ804" s="97">
        <f t="shared" si="6762"/>
        <v>8.1712800000000012</v>
      </c>
      <c r="BA804" s="97">
        <f>SUM(AQ804+AY804)</f>
        <v>4.32</v>
      </c>
      <c r="BB804" s="97">
        <f t="shared" ref="BB804:BB805" si="6763">SUM(AR804,AZ804)</f>
        <v>16.342560000000002</v>
      </c>
    </row>
    <row r="805" spans="1:54">
      <c r="B805" s="13"/>
      <c r="C805" s="13"/>
      <c r="D805" s="13"/>
      <c r="E805" s="21" t="s">
        <v>2368</v>
      </c>
      <c r="F805" s="46"/>
      <c r="G805" s="46" t="s">
        <v>1102</v>
      </c>
      <c r="H805" s="268" t="s">
        <v>368</v>
      </c>
      <c r="I805" s="55"/>
      <c r="J805" s="163"/>
      <c r="K805" s="55"/>
      <c r="L805" s="163"/>
      <c r="M805" s="55"/>
      <c r="N805" s="163"/>
      <c r="O805" s="55"/>
      <c r="P805" s="163">
        <v>5419</v>
      </c>
      <c r="Q805" s="97">
        <f t="shared" ref="Q805" si="6764">SUM(AI805+BA805)</f>
        <v>0.3</v>
      </c>
      <c r="R805" s="342">
        <f t="shared" ref="R805" si="6765">SUM(AJ805+BB805)</f>
        <v>1.6257000000000001</v>
      </c>
      <c r="S805" s="97"/>
      <c r="T805" s="97">
        <f>J805*S805/1000</f>
        <v>0</v>
      </c>
      <c r="U805" s="97"/>
      <c r="V805" s="97">
        <f>J805*U805/1000</f>
        <v>0</v>
      </c>
      <c r="W805" s="97"/>
      <c r="X805" s="97">
        <f>J805*W805/1000</f>
        <v>0</v>
      </c>
      <c r="Y805" s="97">
        <f t="shared" ref="Y805" si="6766">SUM(S805+U805+W805)</f>
        <v>0</v>
      </c>
      <c r="Z805" s="97">
        <f t="shared" ref="Z805" si="6767">SUM(T805+V805+X805)</f>
        <v>0</v>
      </c>
      <c r="AA805" s="97"/>
      <c r="AB805" s="97">
        <f>L805*AA805/1000</f>
        <v>0</v>
      </c>
      <c r="AC805" s="97"/>
      <c r="AD805" s="97">
        <f>L805*AC805/1000</f>
        <v>0</v>
      </c>
      <c r="AE805" s="97"/>
      <c r="AF805" s="97">
        <f>L805*AE805/1000</f>
        <v>0</v>
      </c>
      <c r="AG805" s="97">
        <f t="shared" ref="AG805" si="6768">SUM(AA805+AC805+AE805)</f>
        <v>0</v>
      </c>
      <c r="AH805" s="97">
        <f t="shared" ref="AH805" si="6769">SUM(AB805+AD805+AF805)</f>
        <v>0</v>
      </c>
      <c r="AI805" s="97">
        <f t="shared" ref="AI805" si="6770">SUM(Y805+AG805)</f>
        <v>0</v>
      </c>
      <c r="AJ805" s="97">
        <f t="shared" si="6757"/>
        <v>0</v>
      </c>
      <c r="AK805" s="97"/>
      <c r="AL805" s="97">
        <f>N805*AK805/1000</f>
        <v>0</v>
      </c>
      <c r="AM805" s="97"/>
      <c r="AN805" s="97">
        <f>N805*AM805/1000</f>
        <v>0</v>
      </c>
      <c r="AO805" s="97"/>
      <c r="AP805" s="97">
        <f>N805*AO805/1000</f>
        <v>0</v>
      </c>
      <c r="AQ805" s="97">
        <f t="shared" ref="AQ805" si="6771">SUM(AK805+AM805+AO805)</f>
        <v>0</v>
      </c>
      <c r="AR805" s="97">
        <f t="shared" ref="AR805" si="6772">SUM(AL805+AN805+AP805)</f>
        <v>0</v>
      </c>
      <c r="AS805" s="97"/>
      <c r="AT805" s="97">
        <f t="shared" ref="AT805" si="6773">P805*AS805/1000</f>
        <v>0</v>
      </c>
      <c r="AU805" s="97"/>
      <c r="AV805" s="97">
        <f t="shared" ref="AV805" si="6774">P805*AU805/1000</f>
        <v>0</v>
      </c>
      <c r="AW805" s="97">
        <v>0.3</v>
      </c>
      <c r="AX805" s="97">
        <f t="shared" ref="AX805" si="6775">P805*AW805/1000</f>
        <v>1.6257000000000001</v>
      </c>
      <c r="AY805" s="97">
        <f t="shared" ref="AY805" si="6776">SUM(AS805+AU805+AW805)</f>
        <v>0.3</v>
      </c>
      <c r="AZ805" s="97">
        <f t="shared" ref="AZ805" si="6777">SUM(AT805+AV805+AX805)</f>
        <v>1.6257000000000001</v>
      </c>
      <c r="BA805" s="97">
        <f t="shared" ref="BA805" si="6778">SUM(AQ805+AY805)</f>
        <v>0.3</v>
      </c>
      <c r="BB805" s="97">
        <f t="shared" si="6763"/>
        <v>1.6257000000000001</v>
      </c>
    </row>
    <row r="806" spans="1:54">
      <c r="B806" s="13"/>
      <c r="C806" s="13"/>
      <c r="D806" s="13"/>
      <c r="E806" s="21" t="s">
        <v>2369</v>
      </c>
      <c r="F806" s="46"/>
      <c r="G806" s="46" t="s">
        <v>1102</v>
      </c>
      <c r="H806" s="268" t="s">
        <v>368</v>
      </c>
      <c r="I806" s="55"/>
      <c r="J806" s="163"/>
      <c r="K806" s="55"/>
      <c r="L806" s="163"/>
      <c r="M806" s="55"/>
      <c r="N806" s="163"/>
      <c r="O806" s="55"/>
      <c r="P806" s="163">
        <v>5388</v>
      </c>
      <c r="Q806" s="97">
        <f t="shared" si="6754"/>
        <v>0.36</v>
      </c>
      <c r="R806" s="342">
        <f t="shared" si="6754"/>
        <v>1.9396799999999998</v>
      </c>
      <c r="S806" s="97"/>
      <c r="T806" s="97">
        <f>J806*S806/1000</f>
        <v>0</v>
      </c>
      <c r="U806" s="97"/>
      <c r="V806" s="97">
        <f>J806*U806/1000</f>
        <v>0</v>
      </c>
      <c r="W806" s="97"/>
      <c r="X806" s="97">
        <f>J806*W806/1000</f>
        <v>0</v>
      </c>
      <c r="Y806" s="97">
        <f t="shared" si="6755"/>
        <v>0</v>
      </c>
      <c r="Z806" s="97">
        <f t="shared" si="6755"/>
        <v>0</v>
      </c>
      <c r="AA806" s="97"/>
      <c r="AB806" s="97">
        <f>L806*AA806/1000</f>
        <v>0</v>
      </c>
      <c r="AC806" s="97"/>
      <c r="AD806" s="97">
        <f>L806*AC806/1000</f>
        <v>0</v>
      </c>
      <c r="AE806" s="97"/>
      <c r="AF806" s="97">
        <f>L806*AE806/1000</f>
        <v>0</v>
      </c>
      <c r="AG806" s="97">
        <f t="shared" si="6756"/>
        <v>0</v>
      </c>
      <c r="AH806" s="97">
        <f t="shared" si="6756"/>
        <v>0</v>
      </c>
      <c r="AI806" s="97">
        <f t="shared" si="6716"/>
        <v>0</v>
      </c>
      <c r="AJ806" s="97">
        <f t="shared" si="6717"/>
        <v>0</v>
      </c>
      <c r="AK806" s="97"/>
      <c r="AL806" s="97">
        <f>N806*AK806/1000</f>
        <v>0</v>
      </c>
      <c r="AM806" s="97"/>
      <c r="AN806" s="97">
        <f>N806*AM806/1000</f>
        <v>0</v>
      </c>
      <c r="AO806" s="97"/>
      <c r="AP806" s="97">
        <f>N806*AO806/1000</f>
        <v>0</v>
      </c>
      <c r="AQ806" s="97">
        <f t="shared" si="6758"/>
        <v>0</v>
      </c>
      <c r="AR806" s="97">
        <f t="shared" si="6758"/>
        <v>0</v>
      </c>
      <c r="AS806" s="97"/>
      <c r="AT806" s="97">
        <f t="shared" si="6759"/>
        <v>0</v>
      </c>
      <c r="AU806" s="97"/>
      <c r="AV806" s="97">
        <f t="shared" si="6760"/>
        <v>0</v>
      </c>
      <c r="AW806" s="97">
        <v>0.36</v>
      </c>
      <c r="AX806" s="97">
        <f t="shared" si="6761"/>
        <v>1.9396799999999998</v>
      </c>
      <c r="AY806" s="97">
        <f t="shared" si="6762"/>
        <v>0.36</v>
      </c>
      <c r="AZ806" s="97">
        <f t="shared" si="6762"/>
        <v>1.9396799999999998</v>
      </c>
      <c r="BA806" s="97">
        <f t="shared" si="6730"/>
        <v>0.36</v>
      </c>
      <c r="BB806" s="97">
        <f t="shared" si="6727"/>
        <v>1.9396799999999998</v>
      </c>
    </row>
    <row r="807" spans="1:54">
      <c r="A807" s="498">
        <v>559</v>
      </c>
      <c r="B807" s="13"/>
      <c r="C807" s="13"/>
      <c r="D807" s="13"/>
      <c r="E807" s="63" t="s">
        <v>1122</v>
      </c>
      <c r="F807" s="425"/>
      <c r="G807" s="425" t="s">
        <v>1102</v>
      </c>
      <c r="H807" s="284" t="s">
        <v>1124</v>
      </c>
      <c r="I807" s="67"/>
      <c r="J807" s="166">
        <v>2802</v>
      </c>
      <c r="K807" s="67"/>
      <c r="L807" s="166">
        <v>2802</v>
      </c>
      <c r="M807" s="67"/>
      <c r="N807" s="166">
        <v>2784</v>
      </c>
      <c r="O807" s="67"/>
      <c r="P807" s="166">
        <v>2784</v>
      </c>
      <c r="Q807" s="129">
        <f>SUM(AI807+BA807)</f>
        <v>2.88</v>
      </c>
      <c r="R807" s="350">
        <f t="shared" ref="R807:R811" si="6779">SUM(AJ807+BB807)</f>
        <v>8.0179200000000002</v>
      </c>
      <c r="S807" s="129"/>
      <c r="T807" s="129">
        <f t="shared" ref="T807:T811" si="6780">J807*S807/1000</f>
        <v>0</v>
      </c>
      <c r="U807" s="129"/>
      <c r="V807" s="129">
        <f t="shared" ref="V807:V811" si="6781">J807*U807/1000</f>
        <v>0</v>
      </c>
      <c r="W807" s="129"/>
      <c r="X807" s="129">
        <f t="shared" ref="X807:X811" si="6782">J807*W807/1000</f>
        <v>0</v>
      </c>
      <c r="Y807" s="129">
        <f>SUM(S807+U807+W807)</f>
        <v>0</v>
      </c>
      <c r="Z807" s="129">
        <f t="shared" ref="Z807" si="6783">SUM(T807+V807+X807)</f>
        <v>0</v>
      </c>
      <c r="AA807" s="129"/>
      <c r="AB807" s="129">
        <f>L807*AA807/1000</f>
        <v>0</v>
      </c>
      <c r="AC807" s="129"/>
      <c r="AD807" s="129">
        <f t="shared" ref="AD807:AD811" si="6784">L807*AC807/1000</f>
        <v>0</v>
      </c>
      <c r="AE807" s="129"/>
      <c r="AF807" s="129">
        <f t="shared" ref="AF807:AF811" si="6785">L807*AE807/1000</f>
        <v>0</v>
      </c>
      <c r="AG807" s="129">
        <f t="shared" ref="AG807:AH807" si="6786">SUM(AA807+AC807+AE807)</f>
        <v>0</v>
      </c>
      <c r="AH807" s="129">
        <f t="shared" si="6786"/>
        <v>0</v>
      </c>
      <c r="AI807" s="129">
        <f t="shared" ref="AI807:AI811" si="6787">SUM(Y807+AG807)</f>
        <v>0</v>
      </c>
      <c r="AJ807" s="129">
        <f t="shared" ref="AJ807:AJ811" si="6788">SUM(Z807,AH807)</f>
        <v>0</v>
      </c>
      <c r="AK807" s="129">
        <v>2.88</v>
      </c>
      <c r="AL807" s="129">
        <f t="shared" ref="AL807:AL811" si="6789">N807*AK807/1000</f>
        <v>8.0179200000000002</v>
      </c>
      <c r="AM807" s="129"/>
      <c r="AN807" s="129">
        <f t="shared" ref="AN807:AN811" si="6790">N807*AM807/1000</f>
        <v>0</v>
      </c>
      <c r="AO807" s="129"/>
      <c r="AP807" s="129">
        <f t="shared" ref="AP807:AP811" si="6791">N807*AO807/1000</f>
        <v>0</v>
      </c>
      <c r="AQ807" s="129">
        <f t="shared" ref="AQ807:AR807" si="6792">SUM(AK807+AM807+AO807)</f>
        <v>2.88</v>
      </c>
      <c r="AR807" s="129">
        <f t="shared" si="6792"/>
        <v>8.0179200000000002</v>
      </c>
      <c r="AS807" s="129"/>
      <c r="AT807" s="129">
        <f t="shared" si="6759"/>
        <v>0</v>
      </c>
      <c r="AU807" s="129"/>
      <c r="AV807" s="129">
        <f t="shared" si="6760"/>
        <v>0</v>
      </c>
      <c r="AW807" s="129"/>
      <c r="AX807" s="129">
        <f t="shared" si="6761"/>
        <v>0</v>
      </c>
      <c r="AY807" s="129">
        <f t="shared" si="6728"/>
        <v>0</v>
      </c>
      <c r="AZ807" s="129">
        <f t="shared" ref="AZ807" si="6793">SUM(AT807+AV807+AX807)</f>
        <v>0</v>
      </c>
      <c r="BA807" s="129">
        <f t="shared" ref="BA807:BA811" si="6794">SUM(AQ807+AY807)</f>
        <v>2.88</v>
      </c>
      <c r="BB807" s="129">
        <f t="shared" ref="BB807:BB811" si="6795">SUM(AR807,AZ807)</f>
        <v>8.0179200000000002</v>
      </c>
    </row>
    <row r="808" spans="1:54">
      <c r="B808" s="13"/>
      <c r="C808" s="13"/>
      <c r="D808" s="13"/>
      <c r="E808" s="21" t="s">
        <v>1282</v>
      </c>
      <c r="F808" s="46"/>
      <c r="G808" s="46" t="s">
        <v>1102</v>
      </c>
      <c r="H808" s="268" t="s">
        <v>1124</v>
      </c>
      <c r="I808" s="55"/>
      <c r="J808" s="163">
        <v>2802</v>
      </c>
      <c r="K808" s="55"/>
      <c r="L808" s="163">
        <v>2784</v>
      </c>
      <c r="M808" s="55"/>
      <c r="N808" s="163">
        <v>2784</v>
      </c>
      <c r="O808" s="55"/>
      <c r="P808" s="163">
        <v>2769</v>
      </c>
      <c r="Q808" s="97">
        <f t="shared" ref="Q808" si="6796">SUM(AI808+BA808)</f>
        <v>407.4</v>
      </c>
      <c r="R808" s="342">
        <f t="shared" ref="R808" si="6797">SUM(AJ808+BB808)</f>
        <v>1134.4791599999999</v>
      </c>
      <c r="S808" s="97">
        <v>15</v>
      </c>
      <c r="T808" s="97">
        <f t="shared" ref="T808" si="6798">J808*S808/1000</f>
        <v>42.03</v>
      </c>
      <c r="U808" s="97">
        <v>34.92</v>
      </c>
      <c r="V808" s="97">
        <f t="shared" ref="V808" si="6799">J808*U808/1000</f>
        <v>97.84584000000001</v>
      </c>
      <c r="W808" s="97">
        <v>32.4</v>
      </c>
      <c r="X808" s="97">
        <f t="shared" ref="X808" si="6800">J808*W808/1000</f>
        <v>90.784800000000004</v>
      </c>
      <c r="Y808" s="97">
        <f t="shared" ref="Y808" si="6801">SUM(S808+U808+W808)</f>
        <v>82.32</v>
      </c>
      <c r="Z808" s="97">
        <f t="shared" ref="Z808" si="6802">SUM(T808+V808+X808)</f>
        <v>230.66064</v>
      </c>
      <c r="AA808" s="97">
        <v>33.119999999999997</v>
      </c>
      <c r="AB808" s="97">
        <f t="shared" ref="AB808" si="6803">L808*AA808/1000</f>
        <v>92.206079999999986</v>
      </c>
      <c r="AC808" s="97">
        <v>39.6</v>
      </c>
      <c r="AD808" s="97">
        <f t="shared" ref="AD808" si="6804">L808*AC808/1000</f>
        <v>110.24640000000001</v>
      </c>
      <c r="AE808" s="97">
        <v>51.12</v>
      </c>
      <c r="AF808" s="97">
        <f t="shared" ref="AF808" si="6805">L808*AE808/1000</f>
        <v>142.31807999999998</v>
      </c>
      <c r="AG808" s="97">
        <f t="shared" ref="AG808" si="6806">SUM(AA808+AC808+AE808)</f>
        <v>123.84</v>
      </c>
      <c r="AH808" s="97">
        <f t="shared" ref="AH808" si="6807">SUM(AB808+AD808+AF808)</f>
        <v>344.77055999999993</v>
      </c>
      <c r="AI808" s="97">
        <f t="shared" ref="AI808" si="6808">SUM(Y808+AG808)</f>
        <v>206.16</v>
      </c>
      <c r="AJ808" s="97">
        <f t="shared" ref="AJ808" si="6809">SUM(Z808,AH808)</f>
        <v>575.43119999999999</v>
      </c>
      <c r="AK808" s="97">
        <v>40.32</v>
      </c>
      <c r="AL808" s="97">
        <f t="shared" ref="AL808" si="6810">N808*AK808/1000</f>
        <v>112.25088000000001</v>
      </c>
      <c r="AM808" s="97">
        <v>41.76</v>
      </c>
      <c r="AN808" s="97">
        <f t="shared" ref="AN808" si="6811">N808*AM808/1000</f>
        <v>116.25984</v>
      </c>
      <c r="AO808" s="97">
        <v>38.880000000000003</v>
      </c>
      <c r="AP808" s="97">
        <f t="shared" ref="AP808" si="6812">N808*AO808/1000</f>
        <v>108.24192000000001</v>
      </c>
      <c r="AQ808" s="97">
        <f t="shared" ref="AQ808" si="6813">SUM(AK808+AM808+AO808)</f>
        <v>120.96000000000001</v>
      </c>
      <c r="AR808" s="97">
        <f t="shared" ref="AR808" si="6814">SUM(AL808+AN808+AP808)</f>
        <v>336.75263999999999</v>
      </c>
      <c r="AS808" s="97">
        <v>28.08</v>
      </c>
      <c r="AT808" s="97">
        <f t="shared" si="6759"/>
        <v>77.753519999999995</v>
      </c>
      <c r="AU808" s="97">
        <v>27.36</v>
      </c>
      <c r="AV808" s="97">
        <f t="shared" si="6760"/>
        <v>75.759839999999997</v>
      </c>
      <c r="AW808" s="97">
        <v>24.84</v>
      </c>
      <c r="AX808" s="97">
        <f t="shared" si="6761"/>
        <v>68.781960000000012</v>
      </c>
      <c r="AY808" s="97">
        <f t="shared" si="6728"/>
        <v>80.28</v>
      </c>
      <c r="AZ808" s="97">
        <f>SUM(AT808+AV808+AX808)</f>
        <v>222.29532</v>
      </c>
      <c r="BA808" s="97">
        <f t="shared" ref="BA808" si="6815">SUM(AQ808+AY808)</f>
        <v>201.24</v>
      </c>
      <c r="BB808" s="97">
        <f t="shared" ref="BB808" si="6816">SUM(AR808,AZ808)</f>
        <v>559.04795999999999</v>
      </c>
    </row>
    <row r="809" spans="1:54">
      <c r="B809" s="13"/>
      <c r="C809" s="13"/>
      <c r="D809" s="13"/>
      <c r="E809" s="21" t="s">
        <v>1433</v>
      </c>
      <c r="F809" s="46"/>
      <c r="G809" s="46" t="s">
        <v>1102</v>
      </c>
      <c r="H809" s="268" t="s">
        <v>368</v>
      </c>
      <c r="I809" s="55"/>
      <c r="J809" s="163">
        <v>3061</v>
      </c>
      <c r="K809" s="55"/>
      <c r="L809" s="163">
        <v>3032</v>
      </c>
      <c r="M809" s="55"/>
      <c r="N809" s="163">
        <v>3032</v>
      </c>
      <c r="O809" s="55"/>
      <c r="P809" s="163">
        <v>2877</v>
      </c>
      <c r="Q809" s="97">
        <f>SUM(AI809+BA809)</f>
        <v>212.04000000000002</v>
      </c>
      <c r="R809" s="342">
        <f>SUM(AJ809+BB809)</f>
        <v>636.66107999999997</v>
      </c>
      <c r="S809" s="97"/>
      <c r="T809" s="97">
        <f>J809*S809/1000</f>
        <v>0</v>
      </c>
      <c r="U809" s="97">
        <v>5.4</v>
      </c>
      <c r="V809" s="97">
        <f>J809*U809/1000</f>
        <v>16.529400000000003</v>
      </c>
      <c r="W809" s="97">
        <v>19.8</v>
      </c>
      <c r="X809" s="97">
        <f>J809*W809/1000</f>
        <v>60.607800000000005</v>
      </c>
      <c r="Y809" s="97">
        <f>SUM(S809+U809+W809)</f>
        <v>25.200000000000003</v>
      </c>
      <c r="Z809" s="97">
        <f>SUM(T809+V809+X809)</f>
        <v>77.137200000000007</v>
      </c>
      <c r="AA809" s="97">
        <v>18</v>
      </c>
      <c r="AB809" s="97">
        <f>L809*AA809/1000</f>
        <v>54.576000000000001</v>
      </c>
      <c r="AC809" s="97">
        <v>45</v>
      </c>
      <c r="AD809" s="97">
        <f>L809*AC809/1000</f>
        <v>136.44</v>
      </c>
      <c r="AE809" s="97">
        <v>27</v>
      </c>
      <c r="AF809" s="97">
        <f>L809*AE809/1000</f>
        <v>81.864000000000004</v>
      </c>
      <c r="AG809" s="97">
        <f>SUM(AA809+AC809+AE809)</f>
        <v>90</v>
      </c>
      <c r="AH809" s="97">
        <f>SUM(AB809+AD809+AF809)</f>
        <v>272.88</v>
      </c>
      <c r="AI809" s="97">
        <f>SUM(Y809+AG809)</f>
        <v>115.2</v>
      </c>
      <c r="AJ809" s="97">
        <f>SUM(Z809,AH809)</f>
        <v>350.0172</v>
      </c>
      <c r="AK809" s="97">
        <v>27</v>
      </c>
      <c r="AL809" s="97">
        <f>N809*AK809/1000</f>
        <v>81.864000000000004</v>
      </c>
      <c r="AM809" s="97">
        <v>17.64</v>
      </c>
      <c r="AN809" s="97">
        <f>N809*AM809/1000</f>
        <v>53.484480000000005</v>
      </c>
      <c r="AO809" s="97">
        <v>7.2</v>
      </c>
      <c r="AP809" s="97">
        <f>N809*AO809/1000</f>
        <v>21.830400000000001</v>
      </c>
      <c r="AQ809" s="97">
        <f>SUM(AK809+AM809+AO809)</f>
        <v>51.84</v>
      </c>
      <c r="AR809" s="97">
        <f>SUM(AL809+AN809+AP809)</f>
        <v>157.17887999999999</v>
      </c>
      <c r="AS809" s="97">
        <v>29.88</v>
      </c>
      <c r="AT809" s="97">
        <f t="shared" si="6759"/>
        <v>85.964759999999998</v>
      </c>
      <c r="AU809" s="97"/>
      <c r="AV809" s="97">
        <f t="shared" si="6760"/>
        <v>0</v>
      </c>
      <c r="AW809" s="97">
        <v>15.12</v>
      </c>
      <c r="AX809" s="97">
        <f t="shared" si="6761"/>
        <v>43.500239999999998</v>
      </c>
      <c r="AY809" s="97">
        <f>SUM(AS809+AU809+AW809)</f>
        <v>45</v>
      </c>
      <c r="AZ809" s="97">
        <f>SUM(AT809+AV809+AX809)</f>
        <v>129.465</v>
      </c>
      <c r="BA809" s="97">
        <f>SUM(AQ809+AY809)</f>
        <v>96.84</v>
      </c>
      <c r="BB809" s="97">
        <f>SUM(AR809,AZ809)</f>
        <v>286.64387999999997</v>
      </c>
    </row>
    <row r="810" spans="1:54">
      <c r="B810" s="13"/>
      <c r="C810" s="13"/>
      <c r="D810" s="13"/>
      <c r="E810" s="90" t="s">
        <v>1262</v>
      </c>
      <c r="F810" s="430"/>
      <c r="G810" s="430" t="s">
        <v>1283</v>
      </c>
      <c r="H810" s="287" t="s">
        <v>1284</v>
      </c>
      <c r="I810" s="76"/>
      <c r="J810" s="168">
        <v>3027</v>
      </c>
      <c r="K810" s="76"/>
      <c r="L810" s="168">
        <v>3027</v>
      </c>
      <c r="M810" s="76"/>
      <c r="N810" s="168">
        <v>3027</v>
      </c>
      <c r="O810" s="76"/>
      <c r="P810" s="168">
        <v>3027</v>
      </c>
      <c r="Q810" s="131">
        <f t="shared" ref="Q810:Q811" si="6817">SUM(AI810+BA810)</f>
        <v>0</v>
      </c>
      <c r="R810" s="352">
        <f t="shared" si="6779"/>
        <v>0</v>
      </c>
      <c r="S810" s="131"/>
      <c r="T810" s="131">
        <f t="shared" si="6780"/>
        <v>0</v>
      </c>
      <c r="U810" s="131"/>
      <c r="V810" s="131">
        <f t="shared" si="6781"/>
        <v>0</v>
      </c>
      <c r="W810" s="131"/>
      <c r="X810" s="131">
        <f t="shared" si="6782"/>
        <v>0</v>
      </c>
      <c r="Y810" s="131">
        <f t="shared" ref="Y810:Y811" si="6818">SUM(S810+U810+W810)</f>
        <v>0</v>
      </c>
      <c r="Z810" s="131">
        <f t="shared" ref="Z810:Z811" si="6819">SUM(T810+V810+X810)</f>
        <v>0</v>
      </c>
      <c r="AA810" s="131"/>
      <c r="AB810" s="131">
        <f t="shared" ref="AB810" si="6820">L810*AA810/1000</f>
        <v>0</v>
      </c>
      <c r="AC810" s="131"/>
      <c r="AD810" s="131">
        <f t="shared" si="6784"/>
        <v>0</v>
      </c>
      <c r="AE810" s="131"/>
      <c r="AF810" s="131">
        <f t="shared" si="6785"/>
        <v>0</v>
      </c>
      <c r="AG810" s="131">
        <f t="shared" ref="AG810:AG811" si="6821">SUM(AA810+AC810+AE810)</f>
        <v>0</v>
      </c>
      <c r="AH810" s="131">
        <f t="shared" ref="AH810:AH811" si="6822">SUM(AB810+AD810+AF810)</f>
        <v>0</v>
      </c>
      <c r="AI810" s="131">
        <f t="shared" si="6787"/>
        <v>0</v>
      </c>
      <c r="AJ810" s="131">
        <f t="shared" si="6788"/>
        <v>0</v>
      </c>
      <c r="AK810" s="131"/>
      <c r="AL810" s="131">
        <f t="shared" si="6789"/>
        <v>0</v>
      </c>
      <c r="AM810" s="131"/>
      <c r="AN810" s="131">
        <f t="shared" si="6790"/>
        <v>0</v>
      </c>
      <c r="AO810" s="131"/>
      <c r="AP810" s="131">
        <f t="shared" si="6791"/>
        <v>0</v>
      </c>
      <c r="AQ810" s="131">
        <f t="shared" ref="AQ810:AQ811" si="6823">SUM(AK810+AM810+AO810)</f>
        <v>0</v>
      </c>
      <c r="AR810" s="131">
        <f t="shared" ref="AR810:AR811" si="6824">SUM(AL810+AN810+AP810)</f>
        <v>0</v>
      </c>
      <c r="AS810" s="131"/>
      <c r="AT810" s="131">
        <f t="shared" si="6759"/>
        <v>0</v>
      </c>
      <c r="AU810" s="131"/>
      <c r="AV810" s="131">
        <f t="shared" si="6760"/>
        <v>0</v>
      </c>
      <c r="AW810" s="131"/>
      <c r="AX810" s="131">
        <f t="shared" si="6761"/>
        <v>0</v>
      </c>
      <c r="AY810" s="131">
        <f t="shared" ref="AY810:AY811" si="6825">SUM(AS810+AU810+AW810)</f>
        <v>0</v>
      </c>
      <c r="AZ810" s="131">
        <f t="shared" ref="AZ810:AZ811" si="6826">SUM(AT810+AV810+AX810)</f>
        <v>0</v>
      </c>
      <c r="BA810" s="131">
        <f t="shared" si="6794"/>
        <v>0</v>
      </c>
      <c r="BB810" s="131">
        <f t="shared" si="6795"/>
        <v>0</v>
      </c>
    </row>
    <row r="811" spans="1:54">
      <c r="A811" s="498">
        <v>559</v>
      </c>
      <c r="B811" s="13"/>
      <c r="C811" s="13"/>
      <c r="D811" s="13"/>
      <c r="E811" s="21" t="s">
        <v>1232</v>
      </c>
      <c r="F811" s="46"/>
      <c r="G811" s="46" t="s">
        <v>1102</v>
      </c>
      <c r="H811" s="268" t="s">
        <v>1124</v>
      </c>
      <c r="I811" s="55"/>
      <c r="J811" s="163">
        <v>5315</v>
      </c>
      <c r="K811" s="55"/>
      <c r="L811" s="163">
        <v>5286</v>
      </c>
      <c r="M811" s="55"/>
      <c r="N811" s="163">
        <v>5286</v>
      </c>
      <c r="O811" s="55"/>
      <c r="P811" s="163">
        <v>5131</v>
      </c>
      <c r="Q811" s="97">
        <f t="shared" si="6817"/>
        <v>35.56</v>
      </c>
      <c r="R811" s="342">
        <f t="shared" si="6779"/>
        <v>185.86215999999999</v>
      </c>
      <c r="S811" s="97"/>
      <c r="T811" s="97">
        <f t="shared" si="6780"/>
        <v>0</v>
      </c>
      <c r="U811" s="97"/>
      <c r="V811" s="97">
        <f t="shared" si="6781"/>
        <v>0</v>
      </c>
      <c r="W811" s="97"/>
      <c r="X811" s="97">
        <f t="shared" si="6782"/>
        <v>0</v>
      </c>
      <c r="Y811" s="97">
        <f t="shared" si="6818"/>
        <v>0</v>
      </c>
      <c r="Z811" s="97">
        <f t="shared" si="6819"/>
        <v>0</v>
      </c>
      <c r="AA811" s="97">
        <v>1.96</v>
      </c>
      <c r="AB811" s="97">
        <f>L811*AA811/1000</f>
        <v>10.36056</v>
      </c>
      <c r="AC811" s="97">
        <v>4</v>
      </c>
      <c r="AD811" s="97">
        <f t="shared" si="6784"/>
        <v>21.143999999999998</v>
      </c>
      <c r="AE811" s="97">
        <v>4</v>
      </c>
      <c r="AF811" s="97">
        <f t="shared" si="6785"/>
        <v>21.143999999999998</v>
      </c>
      <c r="AG811" s="97">
        <f t="shared" si="6821"/>
        <v>9.9600000000000009</v>
      </c>
      <c r="AH811" s="97">
        <f t="shared" si="6822"/>
        <v>52.648559999999996</v>
      </c>
      <c r="AI811" s="97">
        <f t="shared" si="6787"/>
        <v>9.9600000000000009</v>
      </c>
      <c r="AJ811" s="97">
        <f t="shared" si="6788"/>
        <v>52.648559999999996</v>
      </c>
      <c r="AK811" s="97">
        <v>4</v>
      </c>
      <c r="AL811" s="97">
        <f t="shared" si="6789"/>
        <v>21.143999999999998</v>
      </c>
      <c r="AM811" s="97"/>
      <c r="AN811" s="97">
        <f t="shared" si="6790"/>
        <v>0</v>
      </c>
      <c r="AO811" s="97">
        <v>8</v>
      </c>
      <c r="AP811" s="97">
        <f t="shared" si="6791"/>
        <v>42.287999999999997</v>
      </c>
      <c r="AQ811" s="97">
        <f t="shared" si="6823"/>
        <v>12</v>
      </c>
      <c r="AR811" s="97">
        <f t="shared" si="6824"/>
        <v>63.431999999999995</v>
      </c>
      <c r="AS811" s="97">
        <v>5.6</v>
      </c>
      <c r="AT811" s="97">
        <f t="shared" si="6759"/>
        <v>28.733599999999999</v>
      </c>
      <c r="AU811" s="97">
        <v>4.8</v>
      </c>
      <c r="AV811" s="97">
        <f t="shared" si="6760"/>
        <v>24.628799999999998</v>
      </c>
      <c r="AW811" s="97">
        <v>3.2</v>
      </c>
      <c r="AX811" s="97">
        <f t="shared" si="6761"/>
        <v>16.4192</v>
      </c>
      <c r="AY811" s="97">
        <f t="shared" si="6825"/>
        <v>13.599999999999998</v>
      </c>
      <c r="AZ811" s="97">
        <f t="shared" si="6826"/>
        <v>69.781599999999997</v>
      </c>
      <c r="BA811" s="97">
        <f t="shared" si="6794"/>
        <v>25.599999999999998</v>
      </c>
      <c r="BB811" s="97">
        <f t="shared" si="6795"/>
        <v>133.21359999999999</v>
      </c>
    </row>
    <row r="812" spans="1:54">
      <c r="A812" s="498">
        <v>559</v>
      </c>
      <c r="B812" s="24"/>
      <c r="C812" s="24"/>
      <c r="D812" s="24"/>
      <c r="E812" s="24" t="s">
        <v>1552</v>
      </c>
      <c r="F812" s="371"/>
      <c r="G812" s="371" t="s">
        <v>1123</v>
      </c>
      <c r="H812" s="285" t="s">
        <v>1124</v>
      </c>
      <c r="I812" s="80"/>
      <c r="J812" s="172">
        <v>2670</v>
      </c>
      <c r="K812" s="80"/>
      <c r="L812" s="172">
        <v>2670</v>
      </c>
      <c r="M812" s="80"/>
      <c r="N812" s="172">
        <v>2670</v>
      </c>
      <c r="O812" s="80"/>
      <c r="P812" s="172">
        <v>2670</v>
      </c>
      <c r="Q812" s="134">
        <f t="shared" ref="Q812" si="6827">SUM(AI812+BA812)</f>
        <v>65.28</v>
      </c>
      <c r="R812" s="347">
        <f t="shared" ref="R812" si="6828">SUM(AJ812+BB812)</f>
        <v>174.29759999999999</v>
      </c>
      <c r="S812" s="134"/>
      <c r="T812" s="134">
        <f t="shared" ref="T812" si="6829">J812*S812/1000</f>
        <v>0</v>
      </c>
      <c r="U812" s="134">
        <v>2.3039999999999998</v>
      </c>
      <c r="V812" s="134">
        <f t="shared" ref="V812" si="6830">J812*U812/1000</f>
        <v>6.1516799999999998</v>
      </c>
      <c r="W812" s="134">
        <v>12.288</v>
      </c>
      <c r="X812" s="134">
        <f t="shared" ref="X812" si="6831">J812*W812/1000</f>
        <v>32.808959999999999</v>
      </c>
      <c r="Y812" s="134">
        <f t="shared" ref="Y812" si="6832">SUM(S812+U812+W812)</f>
        <v>14.592000000000001</v>
      </c>
      <c r="Z812" s="134">
        <f t="shared" ref="Z812" si="6833">SUM(T812+V812+X812)</f>
        <v>38.960639999999998</v>
      </c>
      <c r="AA812" s="134">
        <v>9.984</v>
      </c>
      <c r="AB812" s="134">
        <f>L812*AA812/1000</f>
        <v>26.65728</v>
      </c>
      <c r="AC812" s="134">
        <v>12.288</v>
      </c>
      <c r="AD812" s="134">
        <f t="shared" ref="AD812" si="6834">L812*AC812/1000</f>
        <v>32.808959999999999</v>
      </c>
      <c r="AE812" s="134"/>
      <c r="AF812" s="134">
        <f t="shared" ref="AF812" si="6835">L812*AE812/1000</f>
        <v>0</v>
      </c>
      <c r="AG812" s="134">
        <f t="shared" ref="AG812" si="6836">SUM(AA812+AC812+AE812)</f>
        <v>22.271999999999998</v>
      </c>
      <c r="AH812" s="134">
        <f t="shared" ref="AH812" si="6837">SUM(AB812+AD812+AF812)</f>
        <v>59.466239999999999</v>
      </c>
      <c r="AI812" s="134">
        <f t="shared" ref="AI812" si="6838">SUM(Y812+AG812)</f>
        <v>36.863999999999997</v>
      </c>
      <c r="AJ812" s="134">
        <f t="shared" ref="AJ812" si="6839">SUM(Z812,AH812)</f>
        <v>98.426879999999997</v>
      </c>
      <c r="AK812" s="134">
        <v>9.2159999999999993</v>
      </c>
      <c r="AL812" s="134">
        <f t="shared" ref="AL812" si="6840">N812*AK812/1000</f>
        <v>24.606719999999999</v>
      </c>
      <c r="AM812" s="134"/>
      <c r="AN812" s="134">
        <f t="shared" ref="AN812" si="6841">N812*AM812/1000</f>
        <v>0</v>
      </c>
      <c r="AO812" s="134">
        <v>3.84</v>
      </c>
      <c r="AP812" s="134">
        <f t="shared" ref="AP812" si="6842">N812*AO812/1000</f>
        <v>10.252799999999999</v>
      </c>
      <c r="AQ812" s="134">
        <f t="shared" ref="AQ812" si="6843">SUM(AK812+AM812+AO812)</f>
        <v>13.055999999999999</v>
      </c>
      <c r="AR812" s="134">
        <f t="shared" ref="AR812" si="6844">SUM(AL812+AN812+AP812)</f>
        <v>34.859519999999996</v>
      </c>
      <c r="AS812" s="134">
        <v>4.6079999999999997</v>
      </c>
      <c r="AT812" s="134">
        <f t="shared" si="6759"/>
        <v>12.30336</v>
      </c>
      <c r="AU812" s="134">
        <v>7.68</v>
      </c>
      <c r="AV812" s="134">
        <f t="shared" si="6760"/>
        <v>20.505599999999998</v>
      </c>
      <c r="AW812" s="134">
        <v>3.0720000000000001</v>
      </c>
      <c r="AX812" s="134">
        <f t="shared" si="6761"/>
        <v>8.2022399999999998</v>
      </c>
      <c r="AY812" s="134">
        <f t="shared" ref="AY812" si="6845">SUM(AS812+AU812+AW812)</f>
        <v>15.36</v>
      </c>
      <c r="AZ812" s="134">
        <f t="shared" ref="AZ812" si="6846">SUM(AT812+AV812+AX812)</f>
        <v>41.011200000000002</v>
      </c>
      <c r="BA812" s="134">
        <f t="shared" ref="BA812" si="6847">SUM(AQ812+AY812)</f>
        <v>28.415999999999997</v>
      </c>
      <c r="BB812" s="134">
        <f t="shared" ref="BB812" si="6848">SUM(AR812,AZ812)</f>
        <v>75.870720000000006</v>
      </c>
    </row>
    <row r="813" spans="1:54">
      <c r="A813" s="498">
        <v>560</v>
      </c>
      <c r="B813" s="59" t="s">
        <v>902</v>
      </c>
      <c r="C813" s="60"/>
      <c r="D813" s="60"/>
      <c r="E813" s="60"/>
      <c r="F813" s="60"/>
      <c r="G813" s="60"/>
      <c r="H813" s="282"/>
      <c r="I813" s="78"/>
      <c r="J813" s="104"/>
      <c r="K813" s="78"/>
      <c r="L813" s="61"/>
      <c r="M813" s="78"/>
      <c r="N813" s="61"/>
      <c r="O813" s="78"/>
      <c r="P813" s="61"/>
      <c r="Q813" s="127">
        <f>SUM(Q798:Q812)</f>
        <v>730.3</v>
      </c>
      <c r="R813" s="127">
        <f>SUM(R798:R812)</f>
        <v>2167.39714</v>
      </c>
      <c r="S813" s="127">
        <f>SUM(S798:S812)</f>
        <v>15</v>
      </c>
      <c r="T813" s="127">
        <f>SUM(T798:T812)</f>
        <v>42.03</v>
      </c>
      <c r="U813" s="127">
        <f>SUM(U798:U812)</f>
        <v>42.624000000000002</v>
      </c>
      <c r="V813" s="127">
        <f>SUM(V798:V812)</f>
        <v>120.52692000000002</v>
      </c>
      <c r="W813" s="127">
        <f>SUM(W798:W812)</f>
        <v>64.488</v>
      </c>
      <c r="X813" s="127">
        <f>SUM(X798:X812)</f>
        <v>184.20156000000003</v>
      </c>
      <c r="Y813" s="127">
        <f>SUM(Y798:Y812)</f>
        <v>122.11199999999999</v>
      </c>
      <c r="Z813" s="127">
        <f>SUM(Z798:Z812)</f>
        <v>346.75848000000002</v>
      </c>
      <c r="AA813" s="127">
        <f>SUM(AA798:AA812)</f>
        <v>64.063999999999993</v>
      </c>
      <c r="AB813" s="127">
        <f>SUM(AB798:AB812)</f>
        <v>187.58292</v>
      </c>
      <c r="AC813" s="127">
        <f>SUM(AC798:AC812)</f>
        <v>102.04799999999999</v>
      </c>
      <c r="AD813" s="127">
        <f>SUM(AD798:AD812)</f>
        <v>305.02764000000002</v>
      </c>
      <c r="AE813" s="127">
        <f>SUM(AE798:AE812)</f>
        <v>82.12</v>
      </c>
      <c r="AF813" s="127">
        <f>SUM(AF798:AF812)</f>
        <v>245.32607999999999</v>
      </c>
      <c r="AG813" s="127">
        <f>SUM(AG798:AG812)</f>
        <v>248.232</v>
      </c>
      <c r="AH813" s="127">
        <f>SUM(AH798:AH812)</f>
        <v>737.9366399999999</v>
      </c>
      <c r="AI813" s="127">
        <f>SUM(AI798:AI812)</f>
        <v>370.34399999999994</v>
      </c>
      <c r="AJ813" s="127">
        <f>SUM(AJ798:AJ812)</f>
        <v>1084.6951200000001</v>
      </c>
      <c r="AK813" s="127">
        <f>SUM(AK798:AK812)</f>
        <v>84.495999999999995</v>
      </c>
      <c r="AL813" s="127">
        <f>SUM(AL798:AL812)</f>
        <v>251.96916000000002</v>
      </c>
      <c r="AM813" s="127">
        <f>SUM(AM798:AM812)</f>
        <v>59.4</v>
      </c>
      <c r="AN813" s="127">
        <f>SUM(AN798:AN812)</f>
        <v>169.74432000000002</v>
      </c>
      <c r="AO813" s="127">
        <f>SUM(AO798:AO812)</f>
        <v>59</v>
      </c>
      <c r="AP813" s="127">
        <f>SUM(AP798:AP812)</f>
        <v>186.69876000000002</v>
      </c>
      <c r="AQ813" s="127">
        <f>SUM(AQ798:AQ812)</f>
        <v>202.89600000000004</v>
      </c>
      <c r="AR813" s="127">
        <f>SUM(AR798:AR812)</f>
        <v>608.41223999999988</v>
      </c>
      <c r="AS813" s="127">
        <f>SUM(AS798:AS812)</f>
        <v>68.167999999999992</v>
      </c>
      <c r="AT813" s="127">
        <f>SUM(AT798:AT812)</f>
        <v>204.75523999999999</v>
      </c>
      <c r="AU813" s="127">
        <f>SUM(AU798:AU812)</f>
        <v>39.839999999999996</v>
      </c>
      <c r="AV813" s="127">
        <f>SUM(AV798:AV812)</f>
        <v>120.89424</v>
      </c>
      <c r="AW813" s="127">
        <f>SUM(AW798:AW812)</f>
        <v>49.052000000000007</v>
      </c>
      <c r="AX813" s="127">
        <f>SUM(AX798:AX812)</f>
        <v>148.6403</v>
      </c>
      <c r="AY813" s="127">
        <f>SUM(AY798:AY812)</f>
        <v>157.06</v>
      </c>
      <c r="AZ813" s="127">
        <f>SUM(AZ798:AZ812)</f>
        <v>474.28978000000006</v>
      </c>
      <c r="BA813" s="127">
        <f>SUM(BA798:BA812)</f>
        <v>359.95600000000007</v>
      </c>
      <c r="BB813" s="127">
        <f>SUM(BB798:BB812)</f>
        <v>1082.7020199999997</v>
      </c>
    </row>
    <row r="814" spans="1:54">
      <c r="A814" s="498">
        <v>569</v>
      </c>
      <c r="B814" s="13" t="s">
        <v>231</v>
      </c>
      <c r="C814" s="23"/>
      <c r="D814" s="13"/>
      <c r="E814" s="21" t="s">
        <v>540</v>
      </c>
      <c r="F814" s="22"/>
      <c r="G814" s="430" t="s">
        <v>1105</v>
      </c>
      <c r="H814" s="287" t="s">
        <v>365</v>
      </c>
      <c r="I814" s="55">
        <v>5.96</v>
      </c>
      <c r="J814" s="102"/>
      <c r="K814" s="55">
        <v>5.96</v>
      </c>
      <c r="L814" s="102"/>
      <c r="M814" s="55">
        <v>5.96</v>
      </c>
      <c r="N814" s="163"/>
      <c r="O814" s="55">
        <v>5.96</v>
      </c>
      <c r="P814" s="102"/>
      <c r="Q814" s="97">
        <f t="shared" ref="Q814:Q869" si="6849">SUM(AI814+BA814)</f>
        <v>0</v>
      </c>
      <c r="R814" s="342">
        <f t="shared" ref="R814:R869" si="6850">SUM(AJ814+BB814)</f>
        <v>0</v>
      </c>
      <c r="S814" s="97"/>
      <c r="T814" s="97">
        <f>I814*S814*$T$2/1000</f>
        <v>0</v>
      </c>
      <c r="U814" s="97"/>
      <c r="V814" s="97">
        <f>I814*U814*$V$2/1000</f>
        <v>0</v>
      </c>
      <c r="W814" s="207"/>
      <c r="X814" s="97">
        <f>I814*W814*$X$2/1000</f>
        <v>0</v>
      </c>
      <c r="Y814" s="189">
        <f t="shared" ref="Y814:Y863" si="6851">SUM(S814+U814+W814)</f>
        <v>0</v>
      </c>
      <c r="Z814" s="177">
        <f t="shared" ref="Z814:Z869" si="6852">SUM(T814+V814+X814)</f>
        <v>0</v>
      </c>
      <c r="AA814" s="207"/>
      <c r="AB814" s="206">
        <f>K814*AA814*$AB$2/1000</f>
        <v>0</v>
      </c>
      <c r="AC814" s="207"/>
      <c r="AD814" s="206">
        <f>K814*AC814*$AD$2/1000</f>
        <v>0</v>
      </c>
      <c r="AE814" s="207"/>
      <c r="AF814" s="206">
        <f>K814*AE814*$AF$2/1000</f>
        <v>0</v>
      </c>
      <c r="AG814" s="189">
        <f t="shared" ref="AG814:AG863" si="6853">SUM(AA814+AC814+AE814)</f>
        <v>0</v>
      </c>
      <c r="AH814" s="97">
        <f>SUM(AB814+AD814+AF814)</f>
        <v>0</v>
      </c>
      <c r="AI814" s="97">
        <f t="shared" ref="AI814:AI869" si="6854">SUM(Y814+AG814)</f>
        <v>0</v>
      </c>
      <c r="AJ814" s="177">
        <f t="shared" ref="AJ814:AJ869" si="6855">SUM(Z814,AH814)</f>
        <v>0</v>
      </c>
      <c r="AK814" s="207"/>
      <c r="AL814" s="177">
        <f t="shared" ref="AL814:AL819" si="6856">M814*AK814*$AL$2/1000</f>
        <v>0</v>
      </c>
      <c r="AM814" s="245"/>
      <c r="AN814" s="177">
        <f>M814*AM814*$AN$2/1000</f>
        <v>0</v>
      </c>
      <c r="AO814" s="207"/>
      <c r="AP814" s="215">
        <f>M814*AO814*$AP$2/1000</f>
        <v>0</v>
      </c>
      <c r="AQ814" s="189">
        <f t="shared" ref="AQ814:AQ863" si="6857">SUM(AK814+AM814+AO814)</f>
        <v>0</v>
      </c>
      <c r="AR814" s="97">
        <f t="shared" ref="AR814:AR869" si="6858">SUM(AL814+AN814+AP814)</f>
        <v>0</v>
      </c>
      <c r="AS814" s="97"/>
      <c r="AT814" s="177">
        <f>O814*AS814*$AT$2/1000</f>
        <v>0</v>
      </c>
      <c r="AU814" s="207"/>
      <c r="AV814" s="177">
        <f>O814*AU814*$AV$2/1000</f>
        <v>0</v>
      </c>
      <c r="AW814" s="207"/>
      <c r="AX814" s="177">
        <f>O814*AW814*$AX$2/1000</f>
        <v>0</v>
      </c>
      <c r="AY814" s="245">
        <f t="shared" ref="AY814:AY863" si="6859">SUM(AS814+AU814+AW814)</f>
        <v>0</v>
      </c>
      <c r="AZ814" s="97">
        <f t="shared" ref="AZ814:AZ869" si="6860">SUM(AT814+AV814+AX814)</f>
        <v>0</v>
      </c>
      <c r="BA814" s="97">
        <f t="shared" ref="BA814:BA869" si="6861">SUM(AQ814+AY814)</f>
        <v>0</v>
      </c>
      <c r="BB814" s="97">
        <f t="shared" ref="BB814:BB869" si="6862">SUM(AR814,AZ814)</f>
        <v>0</v>
      </c>
    </row>
    <row r="815" spans="1:54">
      <c r="A815" s="498">
        <v>570</v>
      </c>
      <c r="B815" s="13"/>
      <c r="C815" s="13"/>
      <c r="D815" s="13"/>
      <c r="E815" s="63" t="s">
        <v>623</v>
      </c>
      <c r="F815" s="64"/>
      <c r="G815" s="430" t="s">
        <v>1105</v>
      </c>
      <c r="H815" s="287" t="s">
        <v>365</v>
      </c>
      <c r="I815" s="67">
        <v>4.8600000000000003</v>
      </c>
      <c r="J815" s="107"/>
      <c r="K815" s="67">
        <v>4.8600000000000003</v>
      </c>
      <c r="L815" s="107"/>
      <c r="M815" s="67">
        <v>4.8600000000000003</v>
      </c>
      <c r="N815" s="166"/>
      <c r="O815" s="67">
        <v>4.8600000000000003</v>
      </c>
      <c r="P815" s="107"/>
      <c r="Q815" s="129">
        <f t="shared" ref="Q815" si="6863">SUM(AI815+BA815)</f>
        <v>0</v>
      </c>
      <c r="R815" s="350">
        <f t="shared" ref="R815" si="6864">SUM(AJ815+BB815)</f>
        <v>0</v>
      </c>
      <c r="S815" s="129"/>
      <c r="T815" s="97">
        <f t="shared" ref="T815:T816" si="6865">I815*S815*$T$2/1000</f>
        <v>0</v>
      </c>
      <c r="U815" s="129"/>
      <c r="V815" s="97">
        <f t="shared" ref="V815" si="6866">I815*U815*$V$2/1000</f>
        <v>0</v>
      </c>
      <c r="W815" s="222"/>
      <c r="X815" s="97">
        <f t="shared" ref="X815:X816" si="6867">I815*W815*$X$2/1000</f>
        <v>0</v>
      </c>
      <c r="Y815" s="197">
        <f>SUM(S815+U815+W815)</f>
        <v>0</v>
      </c>
      <c r="Z815" s="184">
        <f t="shared" ref="Z815" si="6868">SUM(T815+V815+X815)</f>
        <v>0</v>
      </c>
      <c r="AA815" s="222"/>
      <c r="AB815" s="206">
        <f t="shared" ref="AB815:AB816" si="6869">K815*AA815*$AB$2/1000</f>
        <v>0</v>
      </c>
      <c r="AC815" s="222"/>
      <c r="AD815" s="206">
        <f t="shared" ref="AD815:AD816" si="6870">K815*AC815*$AD$2/1000</f>
        <v>0</v>
      </c>
      <c r="AE815" s="222"/>
      <c r="AF815" s="206">
        <f t="shared" ref="AF815:AF816" si="6871">K815*AE815*$AF$2/1000</f>
        <v>0</v>
      </c>
      <c r="AG815" s="197">
        <f>SUM(AA815+AC815+AE815)</f>
        <v>0</v>
      </c>
      <c r="AH815" s="129">
        <f t="shared" ref="AH815" si="6872">SUM(AB815+AD815+AF815)</f>
        <v>0</v>
      </c>
      <c r="AI815" s="129">
        <f t="shared" ref="AI815" si="6873">SUM(Y815+AG815)</f>
        <v>0</v>
      </c>
      <c r="AJ815" s="184">
        <f t="shared" ref="AJ815" si="6874">SUM(Z815,AH815)</f>
        <v>0</v>
      </c>
      <c r="AK815" s="222"/>
      <c r="AL815" s="177">
        <f t="shared" si="6856"/>
        <v>0</v>
      </c>
      <c r="AM815" s="253"/>
      <c r="AN815" s="177">
        <f t="shared" ref="AN815:AN816" si="6875">M815*AM815*$AN$2/1000</f>
        <v>0</v>
      </c>
      <c r="AO815" s="222"/>
      <c r="AP815" s="215">
        <f t="shared" ref="AP815:AP816" si="6876">M815*AO815*$AP$2/1000</f>
        <v>0</v>
      </c>
      <c r="AQ815" s="197">
        <f>SUM(AK815+AM815+AO815)</f>
        <v>0</v>
      </c>
      <c r="AR815" s="129">
        <f t="shared" ref="AR815" si="6877">SUM(AL815+AN815+AP815)</f>
        <v>0</v>
      </c>
      <c r="AS815" s="129"/>
      <c r="AT815" s="177">
        <f>O815*AS815*$AT$2/1000</f>
        <v>0</v>
      </c>
      <c r="AU815" s="222"/>
      <c r="AV815" s="177">
        <f t="shared" ref="AV815:AV816" si="6878">O815*AU815*$AV$2/1000</f>
        <v>0</v>
      </c>
      <c r="AW815" s="222"/>
      <c r="AX815" s="177">
        <f t="shared" ref="AX815:AX816" si="6879">O815*AW815*$AX$2/1000</f>
        <v>0</v>
      </c>
      <c r="AY815" s="253">
        <f>SUM(AS815+AU815+AW815)</f>
        <v>0</v>
      </c>
      <c r="AZ815" s="129">
        <f t="shared" ref="AZ815" si="6880">SUM(AT815+AV815+AX815)</f>
        <v>0</v>
      </c>
      <c r="BA815" s="129">
        <f t="shared" ref="BA815" si="6881">SUM(AQ815+AY815)</f>
        <v>0</v>
      </c>
      <c r="BB815" s="129">
        <f t="shared" ref="BB815" si="6882">SUM(AR815,AZ815)</f>
        <v>0</v>
      </c>
    </row>
    <row r="816" spans="1:54">
      <c r="A816" s="498">
        <v>571</v>
      </c>
      <c r="B816" s="13"/>
      <c r="C816" s="23"/>
      <c r="D816" s="13"/>
      <c r="E816" s="63" t="s">
        <v>624</v>
      </c>
      <c r="F816" s="64"/>
      <c r="G816" s="430" t="s">
        <v>1105</v>
      </c>
      <c r="H816" s="287" t="s">
        <v>365</v>
      </c>
      <c r="I816" s="67">
        <v>5.96</v>
      </c>
      <c r="J816" s="107"/>
      <c r="K816" s="67">
        <v>5.96</v>
      </c>
      <c r="L816" s="107"/>
      <c r="M816" s="67">
        <v>5.96</v>
      </c>
      <c r="N816" s="166"/>
      <c r="O816" s="67">
        <v>5.96</v>
      </c>
      <c r="P816" s="107"/>
      <c r="Q816" s="129">
        <f t="shared" si="6849"/>
        <v>0</v>
      </c>
      <c r="R816" s="350">
        <f t="shared" si="6850"/>
        <v>0</v>
      </c>
      <c r="S816" s="129"/>
      <c r="T816" s="97">
        <f t="shared" si="6865"/>
        <v>0</v>
      </c>
      <c r="U816" s="129"/>
      <c r="V816" s="97">
        <f>I816*U816*$V$2/1000</f>
        <v>0</v>
      </c>
      <c r="W816" s="222"/>
      <c r="X816" s="97">
        <f t="shared" si="6867"/>
        <v>0</v>
      </c>
      <c r="Y816" s="197">
        <f t="shared" si="6851"/>
        <v>0</v>
      </c>
      <c r="Z816" s="184">
        <f t="shared" si="6852"/>
        <v>0</v>
      </c>
      <c r="AA816" s="222"/>
      <c r="AB816" s="206">
        <f t="shared" si="6869"/>
        <v>0</v>
      </c>
      <c r="AC816" s="222"/>
      <c r="AD816" s="206">
        <f t="shared" si="6870"/>
        <v>0</v>
      </c>
      <c r="AE816" s="222"/>
      <c r="AF816" s="206">
        <f t="shared" si="6871"/>
        <v>0</v>
      </c>
      <c r="AG816" s="197">
        <f t="shared" si="6853"/>
        <v>0</v>
      </c>
      <c r="AH816" s="129">
        <f>SUM(AB816+AD816+AF816)</f>
        <v>0</v>
      </c>
      <c r="AI816" s="129">
        <f t="shared" si="6854"/>
        <v>0</v>
      </c>
      <c r="AJ816" s="184">
        <f t="shared" si="6855"/>
        <v>0</v>
      </c>
      <c r="AK816" s="222"/>
      <c r="AL816" s="177">
        <f t="shared" si="6856"/>
        <v>0</v>
      </c>
      <c r="AM816" s="253"/>
      <c r="AN816" s="177">
        <f t="shared" si="6875"/>
        <v>0</v>
      </c>
      <c r="AO816" s="222"/>
      <c r="AP816" s="215">
        <f t="shared" si="6876"/>
        <v>0</v>
      </c>
      <c r="AQ816" s="197">
        <f t="shared" si="6857"/>
        <v>0</v>
      </c>
      <c r="AR816" s="129">
        <f t="shared" si="6858"/>
        <v>0</v>
      </c>
      <c r="AS816" s="129"/>
      <c r="AT816" s="177">
        <f t="shared" ref="AT816" si="6883">O816*AS816*$AT$2/1000</f>
        <v>0</v>
      </c>
      <c r="AU816" s="222"/>
      <c r="AV816" s="177">
        <f t="shared" si="6878"/>
        <v>0</v>
      </c>
      <c r="AW816" s="222"/>
      <c r="AX816" s="177">
        <f t="shared" si="6879"/>
        <v>0</v>
      </c>
      <c r="AY816" s="253">
        <f t="shared" si="6859"/>
        <v>0</v>
      </c>
      <c r="AZ816" s="129">
        <f t="shared" si="6860"/>
        <v>0</v>
      </c>
      <c r="BA816" s="129">
        <f t="shared" si="6861"/>
        <v>0</v>
      </c>
      <c r="BB816" s="129">
        <f t="shared" si="6862"/>
        <v>0</v>
      </c>
    </row>
    <row r="817" spans="1:54">
      <c r="A817" s="498">
        <v>570</v>
      </c>
      <c r="B817" s="13"/>
      <c r="C817" s="13"/>
      <c r="D817" s="13"/>
      <c r="E817" s="63" t="s">
        <v>1592</v>
      </c>
      <c r="F817" s="64"/>
      <c r="G817" s="430" t="s">
        <v>1105</v>
      </c>
      <c r="H817" s="287" t="s">
        <v>365</v>
      </c>
      <c r="I817" s="67">
        <v>8.27</v>
      </c>
      <c r="J817" s="107"/>
      <c r="K817" s="67">
        <v>8.27</v>
      </c>
      <c r="L817" s="107"/>
      <c r="M817" s="67">
        <v>8.27</v>
      </c>
      <c r="N817" s="166"/>
      <c r="O817" s="67">
        <v>8.27</v>
      </c>
      <c r="P817" s="107"/>
      <c r="Q817" s="129">
        <f t="shared" ref="Q817:Q819" si="6884">SUM(AI817+BA817)</f>
        <v>0</v>
      </c>
      <c r="R817" s="350">
        <f t="shared" ref="R817:R819" si="6885">SUM(AJ817+BB817)</f>
        <v>0</v>
      </c>
      <c r="S817" s="129"/>
      <c r="T817" s="97">
        <f t="shared" ref="T817:T819" si="6886">I817*S817*$T$2/1000</f>
        <v>0</v>
      </c>
      <c r="U817" s="129"/>
      <c r="V817" s="97">
        <f t="shared" ref="V817" si="6887">I817*U817*$V$2/1000</f>
        <v>0</v>
      </c>
      <c r="W817" s="222"/>
      <c r="X817" s="97">
        <f t="shared" ref="X817:X819" si="6888">I817*W817*$X$2/1000</f>
        <v>0</v>
      </c>
      <c r="Y817" s="197">
        <f>SUM(S817+U817+W817)</f>
        <v>0</v>
      </c>
      <c r="Z817" s="184">
        <f t="shared" ref="Z817:Z819" si="6889">SUM(T817+V817+X817)</f>
        <v>0</v>
      </c>
      <c r="AA817" s="222"/>
      <c r="AB817" s="206">
        <f t="shared" ref="AB817:AB819" si="6890">K817*AA817*$AB$2/1000</f>
        <v>0</v>
      </c>
      <c r="AC817" s="222"/>
      <c r="AD817" s="206">
        <f t="shared" ref="AD817:AD819" si="6891">K817*AC817*$AD$2/1000</f>
        <v>0</v>
      </c>
      <c r="AE817" s="222"/>
      <c r="AF817" s="206">
        <f t="shared" ref="AF817:AF819" si="6892">K817*AE817*$AF$2/1000</f>
        <v>0</v>
      </c>
      <c r="AG817" s="197">
        <f>SUM(AA817+AC817+AE817)</f>
        <v>0</v>
      </c>
      <c r="AH817" s="129">
        <f t="shared" ref="AH817" si="6893">SUM(AB817+AD817+AF817)</f>
        <v>0</v>
      </c>
      <c r="AI817" s="129">
        <f t="shared" ref="AI817:AI819" si="6894">SUM(Y817+AG817)</f>
        <v>0</v>
      </c>
      <c r="AJ817" s="184">
        <f t="shared" ref="AJ817:AJ819" si="6895">SUM(Z817,AH817)</f>
        <v>0</v>
      </c>
      <c r="AK817" s="222"/>
      <c r="AL817" s="177">
        <f t="shared" si="6856"/>
        <v>0</v>
      </c>
      <c r="AM817" s="253"/>
      <c r="AN817" s="177">
        <f t="shared" ref="AN817:AN819" si="6896">M817*AM817*$AN$2/1000</f>
        <v>0</v>
      </c>
      <c r="AO817" s="222"/>
      <c r="AP817" s="215">
        <f t="shared" ref="AP817:AP819" si="6897">M817*AO817*$AP$2/1000</f>
        <v>0</v>
      </c>
      <c r="AQ817" s="197">
        <f>SUM(AK817+AM817+AO817)</f>
        <v>0</v>
      </c>
      <c r="AR817" s="129">
        <f t="shared" ref="AR817:AR819" si="6898">SUM(AL817+AN817+AP817)</f>
        <v>0</v>
      </c>
      <c r="AS817" s="129"/>
      <c r="AT817" s="177">
        <f>O817*AS817*$AT$2/1000</f>
        <v>0</v>
      </c>
      <c r="AU817" s="222"/>
      <c r="AV817" s="177">
        <f t="shared" ref="AV817:AV819" si="6899">O817*AU817*$AV$2/1000</f>
        <v>0</v>
      </c>
      <c r="AW817" s="222"/>
      <c r="AX817" s="177">
        <f t="shared" ref="AX817:AX819" si="6900">O817*AW817*$AX$2/1000</f>
        <v>0</v>
      </c>
      <c r="AY817" s="253">
        <f>SUM(AS817+AU817+AW817)</f>
        <v>0</v>
      </c>
      <c r="AZ817" s="129">
        <f t="shared" ref="AZ817:AZ819" si="6901">SUM(AT817+AV817+AX817)</f>
        <v>0</v>
      </c>
      <c r="BA817" s="129">
        <f t="shared" ref="BA817:BA819" si="6902">SUM(AQ817+AY817)</f>
        <v>0</v>
      </c>
      <c r="BB817" s="129">
        <f t="shared" ref="BB817:BB819" si="6903">SUM(AR817,AZ817)</f>
        <v>0</v>
      </c>
    </row>
    <row r="818" spans="1:54">
      <c r="A818" s="498">
        <v>570</v>
      </c>
      <c r="B818" s="13"/>
      <c r="C818" s="13"/>
      <c r="D818" s="13"/>
      <c r="E818" s="63" t="s">
        <v>1593</v>
      </c>
      <c r="F818" s="64"/>
      <c r="G818" s="430" t="s">
        <v>1105</v>
      </c>
      <c r="H818" s="287" t="s">
        <v>365</v>
      </c>
      <c r="I818" s="67">
        <v>6.03</v>
      </c>
      <c r="J818" s="107"/>
      <c r="K818" s="67">
        <v>6.03</v>
      </c>
      <c r="L818" s="107"/>
      <c r="M818" s="67">
        <v>6.03</v>
      </c>
      <c r="N818" s="166"/>
      <c r="O818" s="67">
        <v>6.03</v>
      </c>
      <c r="P818" s="107"/>
      <c r="Q818" s="129">
        <f t="shared" ref="Q818" si="6904">SUM(AI818+BA818)</f>
        <v>0</v>
      </c>
      <c r="R818" s="350">
        <f t="shared" ref="R818" si="6905">SUM(AJ818+BB818)</f>
        <v>0</v>
      </c>
      <c r="S818" s="129"/>
      <c r="T818" s="97">
        <f t="shared" ref="T818" si="6906">I818*S818*$T$2/1000</f>
        <v>0</v>
      </c>
      <c r="U818" s="129"/>
      <c r="V818" s="97">
        <f t="shared" ref="V818" si="6907">I818*U818*$V$2/1000</f>
        <v>0</v>
      </c>
      <c r="W818" s="222"/>
      <c r="X818" s="97">
        <f t="shared" ref="X818" si="6908">I818*W818*$X$2/1000</f>
        <v>0</v>
      </c>
      <c r="Y818" s="197">
        <f>SUM(S818+U818+W818)</f>
        <v>0</v>
      </c>
      <c r="Z818" s="184">
        <f t="shared" ref="Z818" si="6909">SUM(T818+V818+X818)</f>
        <v>0</v>
      </c>
      <c r="AA818" s="222"/>
      <c r="AB818" s="206">
        <f t="shared" ref="AB818" si="6910">K818*AA818*$AB$2/1000</f>
        <v>0</v>
      </c>
      <c r="AC818" s="222"/>
      <c r="AD818" s="206">
        <f t="shared" ref="AD818" si="6911">K818*AC818*$AD$2/1000</f>
        <v>0</v>
      </c>
      <c r="AE818" s="222"/>
      <c r="AF818" s="206">
        <f t="shared" ref="AF818" si="6912">K818*AE818*$AF$2/1000</f>
        <v>0</v>
      </c>
      <c r="AG818" s="197">
        <f>SUM(AA818+AC818+AE818)</f>
        <v>0</v>
      </c>
      <c r="AH818" s="129">
        <f t="shared" ref="AH818" si="6913">SUM(AB818+AD818+AF818)</f>
        <v>0</v>
      </c>
      <c r="AI818" s="129">
        <f t="shared" ref="AI818" si="6914">SUM(Y818+AG818)</f>
        <v>0</v>
      </c>
      <c r="AJ818" s="184">
        <f t="shared" ref="AJ818" si="6915">SUM(Z818,AH818)</f>
        <v>0</v>
      </c>
      <c r="AK818" s="222"/>
      <c r="AL818" s="177">
        <f t="shared" ref="AL818" si="6916">M818*AK818*$AL$2/1000</f>
        <v>0</v>
      </c>
      <c r="AM818" s="253"/>
      <c r="AN818" s="177">
        <f t="shared" ref="AN818" si="6917">M818*AM818*$AN$2/1000</f>
        <v>0</v>
      </c>
      <c r="AO818" s="222"/>
      <c r="AP818" s="215">
        <f t="shared" ref="AP818" si="6918">M818*AO818*$AP$2/1000</f>
        <v>0</v>
      </c>
      <c r="AQ818" s="197">
        <f>SUM(AK818+AM818+AO818)</f>
        <v>0</v>
      </c>
      <c r="AR818" s="129">
        <f t="shared" ref="AR818" si="6919">SUM(AL818+AN818+AP818)</f>
        <v>0</v>
      </c>
      <c r="AS818" s="129"/>
      <c r="AT818" s="177">
        <f>O818*AS818*$AT$2/1000</f>
        <v>0</v>
      </c>
      <c r="AU818" s="222"/>
      <c r="AV818" s="177">
        <f t="shared" ref="AV818" si="6920">O818*AU818*$AV$2/1000</f>
        <v>0</v>
      </c>
      <c r="AW818" s="222"/>
      <c r="AX818" s="177">
        <f t="shared" ref="AX818" si="6921">O818*AW818*$AX$2/1000</f>
        <v>0</v>
      </c>
      <c r="AY818" s="253">
        <f>SUM(AS818+AU818+AW818)</f>
        <v>0</v>
      </c>
      <c r="AZ818" s="129">
        <f t="shared" ref="AZ818" si="6922">SUM(AT818+AV818+AX818)</f>
        <v>0</v>
      </c>
      <c r="BA818" s="129">
        <f t="shared" ref="BA818" si="6923">SUM(AQ818+AY818)</f>
        <v>0</v>
      </c>
      <c r="BB818" s="129">
        <f t="shared" ref="BB818" si="6924">SUM(AR818,AZ818)</f>
        <v>0</v>
      </c>
    </row>
    <row r="819" spans="1:54">
      <c r="A819" s="498">
        <v>571</v>
      </c>
      <c r="B819" s="13"/>
      <c r="C819" s="23"/>
      <c r="D819" s="13"/>
      <c r="E819" s="63" t="s">
        <v>1594</v>
      </c>
      <c r="F819" s="64"/>
      <c r="G819" s="430" t="s">
        <v>1105</v>
      </c>
      <c r="H819" s="287" t="s">
        <v>365</v>
      </c>
      <c r="I819" s="67">
        <v>11.09</v>
      </c>
      <c r="J819" s="107"/>
      <c r="K819" s="67">
        <v>11.09</v>
      </c>
      <c r="L819" s="107"/>
      <c r="M819" s="67">
        <v>11.09</v>
      </c>
      <c r="N819" s="166"/>
      <c r="O819" s="67">
        <v>11.09</v>
      </c>
      <c r="P819" s="107"/>
      <c r="Q819" s="129">
        <f t="shared" si="6884"/>
        <v>0</v>
      </c>
      <c r="R819" s="350">
        <f t="shared" si="6885"/>
        <v>0</v>
      </c>
      <c r="S819" s="129"/>
      <c r="T819" s="97">
        <f t="shared" si="6886"/>
        <v>0</v>
      </c>
      <c r="U819" s="129"/>
      <c r="V819" s="97">
        <f>I819*U819*$V$2/1000</f>
        <v>0</v>
      </c>
      <c r="W819" s="222"/>
      <c r="X819" s="97">
        <f t="shared" si="6888"/>
        <v>0</v>
      </c>
      <c r="Y819" s="197">
        <f t="shared" ref="Y819" si="6925">SUM(S819+U819+W819)</f>
        <v>0</v>
      </c>
      <c r="Z819" s="184">
        <f t="shared" si="6889"/>
        <v>0</v>
      </c>
      <c r="AA819" s="222"/>
      <c r="AB819" s="206">
        <f t="shared" si="6890"/>
        <v>0</v>
      </c>
      <c r="AC819" s="222"/>
      <c r="AD819" s="206">
        <f t="shared" si="6891"/>
        <v>0</v>
      </c>
      <c r="AE819" s="222"/>
      <c r="AF819" s="206">
        <f t="shared" si="6892"/>
        <v>0</v>
      </c>
      <c r="AG819" s="197">
        <f t="shared" ref="AG819" si="6926">SUM(AA819+AC819+AE819)</f>
        <v>0</v>
      </c>
      <c r="AH819" s="129">
        <f>SUM(AB819+AD819+AF819)</f>
        <v>0</v>
      </c>
      <c r="AI819" s="129">
        <f t="shared" si="6894"/>
        <v>0</v>
      </c>
      <c r="AJ819" s="184">
        <f t="shared" si="6895"/>
        <v>0</v>
      </c>
      <c r="AK819" s="222"/>
      <c r="AL819" s="177">
        <f t="shared" si="6856"/>
        <v>0</v>
      </c>
      <c r="AM819" s="253"/>
      <c r="AN819" s="177">
        <f t="shared" si="6896"/>
        <v>0</v>
      </c>
      <c r="AO819" s="222"/>
      <c r="AP819" s="215">
        <f t="shared" si="6897"/>
        <v>0</v>
      </c>
      <c r="AQ819" s="197">
        <f t="shared" ref="AQ819" si="6927">SUM(AK819+AM819+AO819)</f>
        <v>0</v>
      </c>
      <c r="AR819" s="129">
        <f t="shared" si="6898"/>
        <v>0</v>
      </c>
      <c r="AS819" s="129"/>
      <c r="AT819" s="177">
        <f t="shared" ref="AT819" si="6928">O819*AS819*$AT$2/1000</f>
        <v>0</v>
      </c>
      <c r="AU819" s="222"/>
      <c r="AV819" s="177">
        <f t="shared" si="6899"/>
        <v>0</v>
      </c>
      <c r="AW819" s="222"/>
      <c r="AX819" s="177">
        <f t="shared" si="6900"/>
        <v>0</v>
      </c>
      <c r="AY819" s="253">
        <f t="shared" ref="AY819" si="6929">SUM(AS819+AU819+AW819)</f>
        <v>0</v>
      </c>
      <c r="AZ819" s="129">
        <f t="shared" si="6901"/>
        <v>0</v>
      </c>
      <c r="BA819" s="129">
        <f t="shared" si="6902"/>
        <v>0</v>
      </c>
      <c r="BB819" s="129">
        <f t="shared" si="6903"/>
        <v>0</v>
      </c>
    </row>
    <row r="820" spans="1:54">
      <c r="A820" s="498">
        <v>572</v>
      </c>
      <c r="B820" s="13"/>
      <c r="C820" s="13"/>
      <c r="D820" s="13"/>
      <c r="E820" s="63" t="s">
        <v>1616</v>
      </c>
      <c r="F820" s="64"/>
      <c r="G820" s="430" t="s">
        <v>1105</v>
      </c>
      <c r="H820" s="287" t="s">
        <v>365</v>
      </c>
      <c r="I820" s="67">
        <v>11.67</v>
      </c>
      <c r="J820" s="107"/>
      <c r="K820" s="67">
        <v>11.67</v>
      </c>
      <c r="L820" s="107"/>
      <c r="M820" s="67">
        <v>11.67</v>
      </c>
      <c r="N820" s="166"/>
      <c r="O820" s="67">
        <v>11.67</v>
      </c>
      <c r="P820" s="107"/>
      <c r="Q820" s="129">
        <f>SUM(AI820+BA820)</f>
        <v>0</v>
      </c>
      <c r="R820" s="350">
        <f>SUM(AJ820+BB820)</f>
        <v>0</v>
      </c>
      <c r="S820" s="129"/>
      <c r="T820" s="97">
        <f>I820*S820*$T$2/1000</f>
        <v>0</v>
      </c>
      <c r="U820" s="129"/>
      <c r="V820" s="97">
        <f>I820*U820*$V$2/1000</f>
        <v>0</v>
      </c>
      <c r="W820" s="222"/>
      <c r="X820" s="97">
        <f>I820*W820*$X$2/1000</f>
        <v>0</v>
      </c>
      <c r="Y820" s="197">
        <f>SUM(S820+U820+W820)</f>
        <v>0</v>
      </c>
      <c r="Z820" s="184">
        <f>SUM(T820+V820+X820)</f>
        <v>0</v>
      </c>
      <c r="AA820" s="222"/>
      <c r="AB820" s="206">
        <f>K820*AA820*$AB$2/1000</f>
        <v>0</v>
      </c>
      <c r="AC820" s="222"/>
      <c r="AD820" s="206">
        <f>K820*AC820*$AD$2/1000</f>
        <v>0</v>
      </c>
      <c r="AE820" s="222"/>
      <c r="AF820" s="206">
        <f>K820*AE820*$AF$2/1000</f>
        <v>0</v>
      </c>
      <c r="AG820" s="197">
        <f>SUM(AA820+AC820+AE820)</f>
        <v>0</v>
      </c>
      <c r="AH820" s="129">
        <f>SUM(AB820+AD820+AF820)</f>
        <v>0</v>
      </c>
      <c r="AI820" s="129">
        <f>SUM(Y820+AG820)</f>
        <v>0</v>
      </c>
      <c r="AJ820" s="184">
        <f>SUM(Z820,AH820)</f>
        <v>0</v>
      </c>
      <c r="AK820" s="222"/>
      <c r="AL820" s="177">
        <f>M820*AK820*$AL$2/1000</f>
        <v>0</v>
      </c>
      <c r="AM820" s="253"/>
      <c r="AN820" s="177">
        <f>M820*AM820*$AN$2/1000</f>
        <v>0</v>
      </c>
      <c r="AO820" s="222"/>
      <c r="AP820" s="215">
        <f>M820*AO820*$AP$2/1000</f>
        <v>0</v>
      </c>
      <c r="AQ820" s="197">
        <f>SUM(AK820+AM820+AO820)</f>
        <v>0</v>
      </c>
      <c r="AR820" s="129">
        <f>SUM(AL820+AN820+AP820)</f>
        <v>0</v>
      </c>
      <c r="AS820" s="129"/>
      <c r="AT820" s="177">
        <f>O820*AS820*$AT$2/1000</f>
        <v>0</v>
      </c>
      <c r="AU820" s="222"/>
      <c r="AV820" s="177">
        <f>O820*AU820*$AV$2/1000</f>
        <v>0</v>
      </c>
      <c r="AW820" s="222"/>
      <c r="AX820" s="177">
        <f>O820*AW820*$AX$2/1000</f>
        <v>0</v>
      </c>
      <c r="AY820" s="253">
        <f>SUM(AS820+AU820+AW820)</f>
        <v>0</v>
      </c>
      <c r="AZ820" s="129">
        <f>SUM(AT820+AV820+AX820)</f>
        <v>0</v>
      </c>
      <c r="BA820" s="129">
        <f>SUM(AQ820+AY820)</f>
        <v>0</v>
      </c>
      <c r="BB820" s="129">
        <f>SUM(AR820,AZ820)</f>
        <v>0</v>
      </c>
    </row>
    <row r="821" spans="1:54">
      <c r="A821" s="498">
        <v>573</v>
      </c>
      <c r="B821" s="13"/>
      <c r="C821" s="13"/>
      <c r="D821" s="13"/>
      <c r="E821" s="63" t="s">
        <v>625</v>
      </c>
      <c r="F821" s="425"/>
      <c r="G821" s="430" t="s">
        <v>1105</v>
      </c>
      <c r="H821" s="287" t="s">
        <v>365</v>
      </c>
      <c r="I821" s="148"/>
      <c r="J821" s="166">
        <v>4830</v>
      </c>
      <c r="K821" s="148"/>
      <c r="L821" s="166">
        <v>4830</v>
      </c>
      <c r="M821" s="67"/>
      <c r="N821" s="166">
        <v>4830</v>
      </c>
      <c r="O821" s="148"/>
      <c r="P821" s="166">
        <v>4830</v>
      </c>
      <c r="Q821" s="129">
        <f t="shared" si="6849"/>
        <v>0</v>
      </c>
      <c r="R821" s="350">
        <f t="shared" si="6850"/>
        <v>0</v>
      </c>
      <c r="S821" s="129"/>
      <c r="T821" s="129">
        <f t="shared" ref="T821:T824" si="6930">J821*S821/1000</f>
        <v>0</v>
      </c>
      <c r="U821" s="129"/>
      <c r="V821" s="184">
        <f t="shared" ref="V821:V823" si="6931">J821*U821/1000</f>
        <v>0</v>
      </c>
      <c r="W821" s="222"/>
      <c r="X821" s="223">
        <f t="shared" ref="X821:X823" si="6932">J821*W821/1000</f>
        <v>0</v>
      </c>
      <c r="Y821" s="197">
        <f t="shared" si="6851"/>
        <v>0</v>
      </c>
      <c r="Z821" s="184">
        <f t="shared" si="6852"/>
        <v>0</v>
      </c>
      <c r="AA821" s="222"/>
      <c r="AB821" s="223">
        <f t="shared" ref="AB821:AB823" si="6933">L821*AA821/1000</f>
        <v>0</v>
      </c>
      <c r="AC821" s="222"/>
      <c r="AD821" s="184">
        <f t="shared" ref="AD821:AD823" si="6934">L821*AC821/1000</f>
        <v>0</v>
      </c>
      <c r="AE821" s="222"/>
      <c r="AF821" s="206">
        <f t="shared" ref="AF821:AF823" si="6935">L821*AE821/1000</f>
        <v>0</v>
      </c>
      <c r="AG821" s="197">
        <f>SUM(AA821+AC821+AE821)</f>
        <v>0</v>
      </c>
      <c r="AH821" s="129">
        <f>SUM(AB821+AD821+AF821)</f>
        <v>0</v>
      </c>
      <c r="AI821" s="129">
        <f t="shared" si="6854"/>
        <v>0</v>
      </c>
      <c r="AJ821" s="184">
        <f t="shared" si="6855"/>
        <v>0</v>
      </c>
      <c r="AK821" s="222"/>
      <c r="AL821" s="184">
        <f t="shared" ref="AL821" si="6936">N821*AK821/1000</f>
        <v>0</v>
      </c>
      <c r="AM821" s="253"/>
      <c r="AN821" s="184">
        <f t="shared" ref="AN821:AN823" si="6937">N821*AM821/1000</f>
        <v>0</v>
      </c>
      <c r="AO821" s="222"/>
      <c r="AP821" s="223">
        <f t="shared" ref="AP821:AP823" si="6938">N821*AO821/1000</f>
        <v>0</v>
      </c>
      <c r="AQ821" s="197">
        <f>SUM(AK821+AM821+AO821)</f>
        <v>0</v>
      </c>
      <c r="AR821" s="129">
        <f t="shared" si="6858"/>
        <v>0</v>
      </c>
      <c r="AS821" s="129"/>
      <c r="AT821" s="184">
        <f>P821*AS821/1000</f>
        <v>0</v>
      </c>
      <c r="AU821" s="222"/>
      <c r="AV821" s="184">
        <f t="shared" ref="AV821:AV824" si="6939">P821*AU821/1000</f>
        <v>0</v>
      </c>
      <c r="AW821" s="222"/>
      <c r="AX821" s="184">
        <f t="shared" ref="AX821:AX824" si="6940">P821*AW821/1000</f>
        <v>0</v>
      </c>
      <c r="AY821" s="253">
        <f t="shared" si="6859"/>
        <v>0</v>
      </c>
      <c r="AZ821" s="129">
        <f t="shared" si="6860"/>
        <v>0</v>
      </c>
      <c r="BA821" s="129">
        <f t="shared" si="6861"/>
        <v>0</v>
      </c>
      <c r="BB821" s="129">
        <f t="shared" si="6862"/>
        <v>0</v>
      </c>
    </row>
    <row r="822" spans="1:54">
      <c r="A822" s="498">
        <v>574</v>
      </c>
      <c r="B822" s="13"/>
      <c r="C822" s="13"/>
      <c r="D822" s="13"/>
      <c r="E822" s="63" t="s">
        <v>423</v>
      </c>
      <c r="F822" s="425"/>
      <c r="G822" s="430" t="s">
        <v>1105</v>
      </c>
      <c r="H822" s="287" t="s">
        <v>365</v>
      </c>
      <c r="I822" s="148"/>
      <c r="J822" s="166">
        <v>4830</v>
      </c>
      <c r="K822" s="148"/>
      <c r="L822" s="166">
        <v>4830</v>
      </c>
      <c r="M822" s="67"/>
      <c r="N822" s="166">
        <v>4830</v>
      </c>
      <c r="O822" s="148"/>
      <c r="P822" s="166">
        <v>4830</v>
      </c>
      <c r="Q822" s="129">
        <f>SUM(AI822+BA822)</f>
        <v>0</v>
      </c>
      <c r="R822" s="350">
        <f t="shared" ref="R822" si="6941">SUM(AJ822+BB822)</f>
        <v>0</v>
      </c>
      <c r="S822" s="129"/>
      <c r="T822" s="129">
        <f t="shared" si="6930"/>
        <v>0</v>
      </c>
      <c r="U822" s="129"/>
      <c r="V822" s="184">
        <f t="shared" ref="V822" si="6942">J822*U822/1000</f>
        <v>0</v>
      </c>
      <c r="W822" s="222"/>
      <c r="X822" s="223">
        <f t="shared" ref="X822" si="6943">J822*W822/1000</f>
        <v>0</v>
      </c>
      <c r="Y822" s="197">
        <f>SUM(S822+U822+W822)</f>
        <v>0</v>
      </c>
      <c r="Z822" s="184">
        <f t="shared" ref="Z822" si="6944">SUM(T822+V822+X822)</f>
        <v>0</v>
      </c>
      <c r="AA822" s="222"/>
      <c r="AB822" s="223">
        <f t="shared" ref="AB822" si="6945">L822*AA822/1000</f>
        <v>0</v>
      </c>
      <c r="AC822" s="222"/>
      <c r="AD822" s="184">
        <f t="shared" ref="AD822" si="6946">L822*AC822/1000</f>
        <v>0</v>
      </c>
      <c r="AE822" s="222"/>
      <c r="AF822" s="206">
        <f t="shared" si="6935"/>
        <v>0</v>
      </c>
      <c r="AG822" s="197">
        <f>SUM(AA822+AC822+AE822)</f>
        <v>0</v>
      </c>
      <c r="AH822" s="129">
        <f t="shared" ref="AH822" si="6947">SUM(AB822+AD822+AF822)</f>
        <v>0</v>
      </c>
      <c r="AI822" s="129">
        <f t="shared" ref="AI822" si="6948">SUM(Y822+AG822)</f>
        <v>0</v>
      </c>
      <c r="AJ822" s="184">
        <f t="shared" ref="AJ822" si="6949">SUM(Z822,AH822)</f>
        <v>0</v>
      </c>
      <c r="AK822" s="222"/>
      <c r="AL822" s="184">
        <f t="shared" ref="AL822" si="6950">N822*AK822/1000</f>
        <v>0</v>
      </c>
      <c r="AM822" s="253"/>
      <c r="AN822" s="184">
        <f t="shared" ref="AN822" si="6951">N822*AM822/1000</f>
        <v>0</v>
      </c>
      <c r="AO822" s="222"/>
      <c r="AP822" s="223">
        <f t="shared" ref="AP822" si="6952">N822*AO822/1000</f>
        <v>0</v>
      </c>
      <c r="AQ822" s="197">
        <f>SUM(AK822+AM822+AO822)</f>
        <v>0</v>
      </c>
      <c r="AR822" s="129">
        <f t="shared" ref="AR822" si="6953">SUM(AL822+AN822+AP822)</f>
        <v>0</v>
      </c>
      <c r="AS822" s="129"/>
      <c r="AT822" s="184">
        <f>P822*AS822/1000</f>
        <v>0</v>
      </c>
      <c r="AU822" s="222"/>
      <c r="AV822" s="184">
        <f t="shared" si="6939"/>
        <v>0</v>
      </c>
      <c r="AW822" s="222"/>
      <c r="AX822" s="184">
        <f t="shared" si="6940"/>
        <v>0</v>
      </c>
      <c r="AY822" s="253">
        <f>SUM(AS822+AU822+AW822)</f>
        <v>0</v>
      </c>
      <c r="AZ822" s="129">
        <f t="shared" ref="AZ822" si="6954">SUM(AT822+AV822+AX822)</f>
        <v>0</v>
      </c>
      <c r="BA822" s="129">
        <f t="shared" ref="BA822" si="6955">SUM(AQ822+AY822)</f>
        <v>0</v>
      </c>
      <c r="BB822" s="129">
        <f t="shared" ref="BB822" si="6956">SUM(AR822,AZ822)</f>
        <v>0</v>
      </c>
    </row>
    <row r="823" spans="1:54">
      <c r="A823" s="498">
        <v>575</v>
      </c>
      <c r="B823" s="13"/>
      <c r="C823" s="13"/>
      <c r="D823" s="13"/>
      <c r="E823" s="21" t="s">
        <v>232</v>
      </c>
      <c r="F823" s="46"/>
      <c r="G823" s="430" t="s">
        <v>1105</v>
      </c>
      <c r="H823" s="287" t="s">
        <v>365</v>
      </c>
      <c r="I823" s="143"/>
      <c r="J823" s="163">
        <v>5190</v>
      </c>
      <c r="K823" s="143"/>
      <c r="L823" s="163">
        <v>5190</v>
      </c>
      <c r="M823" s="55"/>
      <c r="N823" s="163">
        <v>5190</v>
      </c>
      <c r="O823" s="143"/>
      <c r="P823" s="163">
        <v>5190</v>
      </c>
      <c r="Q823" s="97">
        <f t="shared" si="6849"/>
        <v>0</v>
      </c>
      <c r="R823" s="342">
        <f t="shared" si="6850"/>
        <v>0</v>
      </c>
      <c r="S823" s="97"/>
      <c r="T823" s="97">
        <f t="shared" si="6930"/>
        <v>0</v>
      </c>
      <c r="U823" s="97"/>
      <c r="V823" s="177">
        <f t="shared" si="6931"/>
        <v>0</v>
      </c>
      <c r="W823" s="207"/>
      <c r="X823" s="206">
        <f t="shared" si="6932"/>
        <v>0</v>
      </c>
      <c r="Y823" s="189">
        <f t="shared" si="6851"/>
        <v>0</v>
      </c>
      <c r="Z823" s="177">
        <f t="shared" si="6852"/>
        <v>0</v>
      </c>
      <c r="AA823" s="207"/>
      <c r="AB823" s="206">
        <f t="shared" si="6933"/>
        <v>0</v>
      </c>
      <c r="AC823" s="207"/>
      <c r="AD823" s="177">
        <f t="shared" si="6934"/>
        <v>0</v>
      </c>
      <c r="AE823" s="207"/>
      <c r="AF823" s="206">
        <f t="shared" si="6935"/>
        <v>0</v>
      </c>
      <c r="AG823" s="189">
        <f t="shared" si="6853"/>
        <v>0</v>
      </c>
      <c r="AH823" s="97">
        <f>SUM(AB823+AD823+AF823)</f>
        <v>0</v>
      </c>
      <c r="AI823" s="97">
        <f t="shared" si="6854"/>
        <v>0</v>
      </c>
      <c r="AJ823" s="177">
        <f t="shared" si="6855"/>
        <v>0</v>
      </c>
      <c r="AK823" s="207"/>
      <c r="AL823" s="177">
        <f>N823*AK823/1000</f>
        <v>0</v>
      </c>
      <c r="AM823" s="245"/>
      <c r="AN823" s="177">
        <f t="shared" si="6937"/>
        <v>0</v>
      </c>
      <c r="AO823" s="207"/>
      <c r="AP823" s="206">
        <f t="shared" si="6938"/>
        <v>0</v>
      </c>
      <c r="AQ823" s="189">
        <f t="shared" si="6857"/>
        <v>0</v>
      </c>
      <c r="AR823" s="97">
        <f t="shared" si="6858"/>
        <v>0</v>
      </c>
      <c r="AS823" s="97"/>
      <c r="AT823" s="177">
        <f t="shared" ref="AT823" si="6957">P823*AS823/1000</f>
        <v>0</v>
      </c>
      <c r="AU823" s="207"/>
      <c r="AV823" s="177">
        <f t="shared" si="6939"/>
        <v>0</v>
      </c>
      <c r="AW823" s="207"/>
      <c r="AX823" s="177">
        <f t="shared" si="6940"/>
        <v>0</v>
      </c>
      <c r="AY823" s="245">
        <f t="shared" si="6859"/>
        <v>0</v>
      </c>
      <c r="AZ823" s="97">
        <f t="shared" si="6860"/>
        <v>0</v>
      </c>
      <c r="BA823" s="97">
        <f t="shared" si="6861"/>
        <v>0</v>
      </c>
      <c r="BB823" s="97">
        <f t="shared" si="6862"/>
        <v>0</v>
      </c>
    </row>
    <row r="824" spans="1:54">
      <c r="A824" s="498">
        <v>576</v>
      </c>
      <c r="B824" s="13"/>
      <c r="C824" s="13"/>
      <c r="D824" s="13"/>
      <c r="E824" s="21" t="s">
        <v>422</v>
      </c>
      <c r="F824" s="46"/>
      <c r="G824" s="430" t="s">
        <v>1105</v>
      </c>
      <c r="H824" s="287" t="s">
        <v>365</v>
      </c>
      <c r="I824" s="143"/>
      <c r="J824" s="163">
        <v>5190</v>
      </c>
      <c r="K824" s="143"/>
      <c r="L824" s="163">
        <v>5190</v>
      </c>
      <c r="M824" s="55"/>
      <c r="N824" s="163">
        <v>5190</v>
      </c>
      <c r="O824" s="143"/>
      <c r="P824" s="163">
        <v>5190</v>
      </c>
      <c r="Q824" s="97">
        <f>SUM(AI824+BA824)</f>
        <v>0</v>
      </c>
      <c r="R824" s="342">
        <f t="shared" ref="R824:R827" si="6958">SUM(AJ824+BB824)</f>
        <v>0</v>
      </c>
      <c r="S824" s="97"/>
      <c r="T824" s="97">
        <f t="shared" si="6930"/>
        <v>0</v>
      </c>
      <c r="U824" s="97"/>
      <c r="V824" s="177">
        <f t="shared" ref="V824:V825" si="6959">J824*U824/1000</f>
        <v>0</v>
      </c>
      <c r="W824" s="207"/>
      <c r="X824" s="206">
        <f t="shared" ref="X824:X825" si="6960">J824*W824/1000</f>
        <v>0</v>
      </c>
      <c r="Y824" s="189">
        <f>SUM(S824+U824+W824)</f>
        <v>0</v>
      </c>
      <c r="Z824" s="177">
        <f t="shared" ref="Z824:Z825" si="6961">SUM(T824+V824+X824)</f>
        <v>0</v>
      </c>
      <c r="AA824" s="207"/>
      <c r="AB824" s="206">
        <f t="shared" ref="AB824:AB825" si="6962">L824*AA824/1000</f>
        <v>0</v>
      </c>
      <c r="AC824" s="207"/>
      <c r="AD824" s="177">
        <f t="shared" ref="AD824:AD825" si="6963">L824*AC824/1000</f>
        <v>0</v>
      </c>
      <c r="AE824" s="207"/>
      <c r="AF824" s="209">
        <f>L824*AE824/1000</f>
        <v>0</v>
      </c>
      <c r="AG824" s="189">
        <f t="shared" ref="AG824" si="6964">SUM(AA824+AC824+AE824)</f>
        <v>0</v>
      </c>
      <c r="AH824" s="97">
        <f t="shared" ref="AH824" si="6965">SUM(AB824+AD824+AF824)</f>
        <v>0</v>
      </c>
      <c r="AI824" s="97">
        <f t="shared" ref="AI824:AI827" si="6966">SUM(Y824+AG824)</f>
        <v>0</v>
      </c>
      <c r="AJ824" s="177">
        <f t="shared" ref="AJ824:AJ827" si="6967">SUM(Z824,AH824)</f>
        <v>0</v>
      </c>
      <c r="AK824" s="207"/>
      <c r="AL824" s="177">
        <f>N824*AK824/1000</f>
        <v>0</v>
      </c>
      <c r="AM824" s="245"/>
      <c r="AN824" s="177">
        <f t="shared" ref="AN824:AN825" si="6968">N824*AM824/1000</f>
        <v>0</v>
      </c>
      <c r="AO824" s="207"/>
      <c r="AP824" s="206">
        <f t="shared" ref="AP824:AP825" si="6969">N824*AO824/1000</f>
        <v>0</v>
      </c>
      <c r="AQ824" s="189">
        <f t="shared" ref="AQ824" si="6970">SUM(AK824+AM824+AO824)</f>
        <v>0</v>
      </c>
      <c r="AR824" s="97">
        <f t="shared" ref="AR824:AR825" si="6971">SUM(AL824+AN824+AP824)</f>
        <v>0</v>
      </c>
      <c r="AS824" s="97"/>
      <c r="AT824" s="177">
        <f>P824*AS824/1000</f>
        <v>0</v>
      </c>
      <c r="AU824" s="207"/>
      <c r="AV824" s="177">
        <f t="shared" si="6939"/>
        <v>0</v>
      </c>
      <c r="AW824" s="207"/>
      <c r="AX824" s="177">
        <f t="shared" si="6940"/>
        <v>0</v>
      </c>
      <c r="AY824" s="245">
        <f t="shared" ref="AY824" si="6972">SUM(AS824+AU824+AW824)</f>
        <v>0</v>
      </c>
      <c r="AZ824" s="97">
        <f t="shared" ref="AZ824:AZ825" si="6973">SUM(AT824+AV824+AX824)</f>
        <v>0</v>
      </c>
      <c r="BA824" s="97">
        <f t="shared" ref="BA824:BA827" si="6974">SUM(AQ824+AY824)</f>
        <v>0</v>
      </c>
      <c r="BB824" s="97">
        <f t="shared" ref="BB824:BB827" si="6975">SUM(AR824,AZ824)</f>
        <v>0</v>
      </c>
    </row>
    <row r="825" spans="1:54">
      <c r="A825" s="498">
        <v>575</v>
      </c>
      <c r="B825" s="13"/>
      <c r="C825" s="13"/>
      <c r="D825" s="13"/>
      <c r="E825" s="21" t="s">
        <v>1409</v>
      </c>
      <c r="F825" s="46"/>
      <c r="G825" s="430" t="s">
        <v>1105</v>
      </c>
      <c r="H825" s="287" t="s">
        <v>365</v>
      </c>
      <c r="I825" s="143"/>
      <c r="J825" s="163">
        <v>18360</v>
      </c>
      <c r="K825" s="143"/>
      <c r="L825" s="163">
        <v>18360</v>
      </c>
      <c r="M825" s="55"/>
      <c r="N825" s="163">
        <v>18360</v>
      </c>
      <c r="O825" s="143"/>
      <c r="P825" s="163">
        <v>18360</v>
      </c>
      <c r="Q825" s="97">
        <f t="shared" ref="Q825" si="6976">SUM(AI825+BA825)</f>
        <v>0</v>
      </c>
      <c r="R825" s="342">
        <f t="shared" si="6958"/>
        <v>0</v>
      </c>
      <c r="S825" s="97"/>
      <c r="T825" s="97">
        <f t="shared" ref="T825:T826" si="6977">J825*S825/1000</f>
        <v>0</v>
      </c>
      <c r="U825" s="97"/>
      <c r="V825" s="177">
        <f t="shared" si="6959"/>
        <v>0</v>
      </c>
      <c r="W825" s="207"/>
      <c r="X825" s="206">
        <f t="shared" si="6960"/>
        <v>0</v>
      </c>
      <c r="Y825" s="189">
        <f t="shared" ref="Y825" si="6978">SUM(S825+U825+W825)</f>
        <v>0</v>
      </c>
      <c r="Z825" s="177">
        <f t="shared" si="6961"/>
        <v>0</v>
      </c>
      <c r="AA825" s="207"/>
      <c r="AB825" s="206">
        <f t="shared" si="6962"/>
        <v>0</v>
      </c>
      <c r="AC825" s="207"/>
      <c r="AD825" s="177">
        <f t="shared" si="6963"/>
        <v>0</v>
      </c>
      <c r="AE825" s="207"/>
      <c r="AF825" s="206">
        <f t="shared" ref="AF825" si="6979">L825*AE825/1000</f>
        <v>0</v>
      </c>
      <c r="AG825" s="189">
        <f t="shared" ref="AG825" si="6980">SUM(AA825+AC825+AE825)</f>
        <v>0</v>
      </c>
      <c r="AH825" s="97">
        <f t="shared" ref="AH825" si="6981">SUM(AB825+AD825+AF825)</f>
        <v>0</v>
      </c>
      <c r="AI825" s="97">
        <f t="shared" si="6966"/>
        <v>0</v>
      </c>
      <c r="AJ825" s="177">
        <f t="shared" si="6967"/>
        <v>0</v>
      </c>
      <c r="AK825" s="207"/>
      <c r="AL825" s="177">
        <f>N825*AK825/1000</f>
        <v>0</v>
      </c>
      <c r="AM825" s="245"/>
      <c r="AN825" s="177">
        <f t="shared" si="6968"/>
        <v>0</v>
      </c>
      <c r="AO825" s="207"/>
      <c r="AP825" s="206">
        <f t="shared" si="6969"/>
        <v>0</v>
      </c>
      <c r="AQ825" s="189">
        <f t="shared" ref="AQ825" si="6982">SUM(AK825+AM825+AO825)</f>
        <v>0</v>
      </c>
      <c r="AR825" s="97">
        <f t="shared" si="6971"/>
        <v>0</v>
      </c>
      <c r="AS825" s="97"/>
      <c r="AT825" s="177">
        <f t="shared" ref="AT825" si="6983">P825*AS825/1000</f>
        <v>0</v>
      </c>
      <c r="AU825" s="207"/>
      <c r="AV825" s="177">
        <f t="shared" ref="AV825:AV826" si="6984">P825*AU825/1000</f>
        <v>0</v>
      </c>
      <c r="AW825" s="207"/>
      <c r="AX825" s="177">
        <f t="shared" ref="AX825:AX826" si="6985">P825*AW825/1000</f>
        <v>0</v>
      </c>
      <c r="AY825" s="245">
        <f t="shared" ref="AY825" si="6986">SUM(AS825+AU825+AW825)</f>
        <v>0</v>
      </c>
      <c r="AZ825" s="97">
        <f t="shared" si="6973"/>
        <v>0</v>
      </c>
      <c r="BA825" s="97">
        <f t="shared" si="6974"/>
        <v>0</v>
      </c>
      <c r="BB825" s="97">
        <f t="shared" si="6975"/>
        <v>0</v>
      </c>
    </row>
    <row r="826" spans="1:54">
      <c r="A826" s="498">
        <v>576</v>
      </c>
      <c r="B826" s="13"/>
      <c r="C826" s="13"/>
      <c r="D826" s="13"/>
      <c r="E826" s="21" t="s">
        <v>1410</v>
      </c>
      <c r="F826" s="46"/>
      <c r="G826" s="430" t="s">
        <v>1105</v>
      </c>
      <c r="H826" s="287" t="s">
        <v>365</v>
      </c>
      <c r="I826" s="143"/>
      <c r="J826" s="163">
        <v>18360</v>
      </c>
      <c r="K826" s="143"/>
      <c r="L826" s="163">
        <v>18360</v>
      </c>
      <c r="M826" s="55"/>
      <c r="N826" s="163">
        <v>18360</v>
      </c>
      <c r="O826" s="143"/>
      <c r="P826" s="163">
        <v>18360</v>
      </c>
      <c r="Q826" s="97">
        <f>SUM(AI826+BA826)</f>
        <v>0</v>
      </c>
      <c r="R826" s="342">
        <f t="shared" ref="R826" si="6987">SUM(AJ826+BB826)</f>
        <v>0</v>
      </c>
      <c r="S826" s="97"/>
      <c r="T826" s="97">
        <f t="shared" si="6977"/>
        <v>0</v>
      </c>
      <c r="U826" s="97"/>
      <c r="V826" s="177">
        <f t="shared" ref="V826" si="6988">J826*U826/1000</f>
        <v>0</v>
      </c>
      <c r="W826" s="207"/>
      <c r="X826" s="206">
        <f t="shared" ref="X826" si="6989">J826*W826/1000</f>
        <v>0</v>
      </c>
      <c r="Y826" s="189">
        <f>SUM(S826+U826+W826)</f>
        <v>0</v>
      </c>
      <c r="Z826" s="177">
        <f t="shared" ref="Z826" si="6990">SUM(T826+V826+X826)</f>
        <v>0</v>
      </c>
      <c r="AA826" s="207"/>
      <c r="AB826" s="206">
        <f t="shared" ref="AB826" si="6991">L826*AA826/1000</f>
        <v>0</v>
      </c>
      <c r="AC826" s="207"/>
      <c r="AD826" s="177">
        <f t="shared" ref="AD826" si="6992">L826*AC826/1000</f>
        <v>0</v>
      </c>
      <c r="AE826" s="207"/>
      <c r="AF826" s="209">
        <f>L826*AE826/1000</f>
        <v>0</v>
      </c>
      <c r="AG826" s="189">
        <f t="shared" ref="AG826" si="6993">SUM(AA826+AC826+AE826)</f>
        <v>0</v>
      </c>
      <c r="AH826" s="97">
        <f t="shared" ref="AH826" si="6994">SUM(AB826+AD826+AF826)</f>
        <v>0</v>
      </c>
      <c r="AI826" s="97">
        <f t="shared" ref="AI826" si="6995">SUM(Y826+AG826)</f>
        <v>0</v>
      </c>
      <c r="AJ826" s="177">
        <f t="shared" ref="AJ826" si="6996">SUM(Z826,AH826)</f>
        <v>0</v>
      </c>
      <c r="AK826" s="207"/>
      <c r="AL826" s="177">
        <f>N826*AK826/1000</f>
        <v>0</v>
      </c>
      <c r="AM826" s="245"/>
      <c r="AN826" s="177">
        <f t="shared" ref="AN826" si="6997">N826*AM826/1000</f>
        <v>0</v>
      </c>
      <c r="AO826" s="207"/>
      <c r="AP826" s="206">
        <f t="shared" ref="AP826" si="6998">N826*AO826/1000</f>
        <v>0</v>
      </c>
      <c r="AQ826" s="189">
        <f t="shared" ref="AQ826" si="6999">SUM(AK826+AM826+AO826)</f>
        <v>0</v>
      </c>
      <c r="AR826" s="97">
        <f t="shared" ref="AR826" si="7000">SUM(AL826+AN826+AP826)</f>
        <v>0</v>
      </c>
      <c r="AS826" s="97"/>
      <c r="AT826" s="177">
        <f>P826*AS826/1000</f>
        <v>0</v>
      </c>
      <c r="AU826" s="207"/>
      <c r="AV826" s="177">
        <f t="shared" si="6984"/>
        <v>0</v>
      </c>
      <c r="AW826" s="207"/>
      <c r="AX826" s="177">
        <f t="shared" si="6985"/>
        <v>0</v>
      </c>
      <c r="AY826" s="245">
        <f t="shared" ref="AY826" si="7001">SUM(AS826+AU826+AW826)</f>
        <v>0</v>
      </c>
      <c r="AZ826" s="97">
        <f t="shared" ref="AZ826" si="7002">SUM(AT826+AV826+AX826)</f>
        <v>0</v>
      </c>
      <c r="BA826" s="97">
        <f t="shared" ref="BA826" si="7003">SUM(AQ826+AY826)</f>
        <v>0</v>
      </c>
      <c r="BB826" s="97">
        <f t="shared" ref="BB826" si="7004">SUM(AR826,AZ826)</f>
        <v>0</v>
      </c>
    </row>
    <row r="827" spans="1:54">
      <c r="B827" s="13"/>
      <c r="C827" s="13"/>
      <c r="D827" s="13"/>
      <c r="E827" s="21" t="s">
        <v>1199</v>
      </c>
      <c r="F827" s="22"/>
      <c r="G827" s="46" t="s">
        <v>1102</v>
      </c>
      <c r="H827" s="287" t="s">
        <v>365</v>
      </c>
      <c r="I827" s="55">
        <v>8.27</v>
      </c>
      <c r="J827" s="102"/>
      <c r="K827" s="55">
        <v>8.27</v>
      </c>
      <c r="L827" s="102"/>
      <c r="M827" s="55">
        <v>8.27</v>
      </c>
      <c r="N827" s="163"/>
      <c r="O827" s="55">
        <v>8.27</v>
      </c>
      <c r="P827" s="102"/>
      <c r="Q827" s="97">
        <f t="shared" ref="Q827" si="7005">SUM(AI827+BA827)</f>
        <v>0</v>
      </c>
      <c r="R827" s="342">
        <f t="shared" si="6958"/>
        <v>0</v>
      </c>
      <c r="S827" s="97"/>
      <c r="T827" s="97">
        <f t="shared" ref="T827:T833" si="7006">I827*S827*$T$2/1000</f>
        <v>0</v>
      </c>
      <c r="U827" s="97"/>
      <c r="V827" s="177">
        <f t="shared" ref="V827:V833" si="7007">I827*U827*$V$2/1000</f>
        <v>0</v>
      </c>
      <c r="W827" s="207"/>
      <c r="X827" s="206">
        <f t="shared" ref="X827:X833" si="7008">I827*W827*$X$2/1000</f>
        <v>0</v>
      </c>
      <c r="Y827" s="189">
        <f t="shared" ref="Y827" si="7009">SUM(S827+U827+W827)</f>
        <v>0</v>
      </c>
      <c r="Z827" s="177">
        <f t="shared" ref="Z827" si="7010">SUM(T827+V827+X827)</f>
        <v>0</v>
      </c>
      <c r="AA827" s="207"/>
      <c r="AB827" s="206">
        <f t="shared" ref="AB827:AB833" si="7011">K827*AA827*$AB$2/1000</f>
        <v>0</v>
      </c>
      <c r="AC827" s="207"/>
      <c r="AD827" s="177">
        <f t="shared" ref="AD827:AD833" si="7012">K827*AC827*$AD$2/1000</f>
        <v>0</v>
      </c>
      <c r="AE827" s="207"/>
      <c r="AF827" s="206">
        <f t="shared" ref="AF827" si="7013">K827*AE827*$AF$2/1000</f>
        <v>0</v>
      </c>
      <c r="AG827" s="189">
        <f>SUM(AA827+AC827+AE827)</f>
        <v>0</v>
      </c>
      <c r="AH827" s="97">
        <f t="shared" ref="AH827" si="7014">SUM(AB827+AD827+AF827)</f>
        <v>0</v>
      </c>
      <c r="AI827" s="97">
        <f t="shared" si="6966"/>
        <v>0</v>
      </c>
      <c r="AJ827" s="177">
        <f t="shared" si="6967"/>
        <v>0</v>
      </c>
      <c r="AK827" s="207"/>
      <c r="AL827" s="177">
        <f>M827*AK827*$AL$2/1000</f>
        <v>0</v>
      </c>
      <c r="AM827" s="245"/>
      <c r="AN827" s="177">
        <f t="shared" ref="AN827" si="7015">M827*AM827*$AN$2/1000</f>
        <v>0</v>
      </c>
      <c r="AO827" s="207"/>
      <c r="AP827" s="206">
        <f t="shared" ref="AP827" si="7016">M827*AO827*$AP$2/1000</f>
        <v>0</v>
      </c>
      <c r="AQ827" s="189">
        <f>SUM(AK827+AM827+AO827)</f>
        <v>0</v>
      </c>
      <c r="AR827" s="97">
        <f t="shared" ref="AR827" si="7017">SUM(AL827+AN827+AP827)</f>
        <v>0</v>
      </c>
      <c r="AS827" s="97"/>
      <c r="AT827" s="177">
        <f t="shared" ref="AT827" si="7018">O827*AS827*$AT$2/1000</f>
        <v>0</v>
      </c>
      <c r="AU827" s="207"/>
      <c r="AV827" s="177">
        <f t="shared" ref="AV827" si="7019">O827*AU827*$AV$2/1000</f>
        <v>0</v>
      </c>
      <c r="AW827" s="207"/>
      <c r="AX827" s="177">
        <f t="shared" ref="AX827" si="7020">O827*AW827*$AX$2/1000</f>
        <v>0</v>
      </c>
      <c r="AY827" s="245">
        <f>SUM(AS827+AU827+AW827)</f>
        <v>0</v>
      </c>
      <c r="AZ827" s="97">
        <f t="shared" ref="AZ827" si="7021">SUM(AT827+AV827+AX827)</f>
        <v>0</v>
      </c>
      <c r="BA827" s="97">
        <f t="shared" si="6974"/>
        <v>0</v>
      </c>
      <c r="BB827" s="97">
        <f t="shared" si="6975"/>
        <v>0</v>
      </c>
    </row>
    <row r="828" spans="1:54">
      <c r="A828" s="498">
        <v>578</v>
      </c>
      <c r="B828" s="13"/>
      <c r="C828" s="13"/>
      <c r="D828" s="13"/>
      <c r="E828" s="21" t="s">
        <v>819</v>
      </c>
      <c r="F828" s="22"/>
      <c r="G828" s="430" t="s">
        <v>1105</v>
      </c>
      <c r="H828" s="268" t="s">
        <v>366</v>
      </c>
      <c r="I828" s="55">
        <v>5.38</v>
      </c>
      <c r="J828" s="102"/>
      <c r="K828" s="55">
        <v>5.38</v>
      </c>
      <c r="L828" s="102"/>
      <c r="M828" s="55">
        <v>5.38</v>
      </c>
      <c r="N828" s="163"/>
      <c r="O828" s="55">
        <v>5.38</v>
      </c>
      <c r="P828" s="102"/>
      <c r="Q828" s="97">
        <f t="shared" si="6849"/>
        <v>0</v>
      </c>
      <c r="R828" s="342">
        <f t="shared" si="6850"/>
        <v>0</v>
      </c>
      <c r="S828" s="97"/>
      <c r="T828" s="97">
        <f t="shared" si="7006"/>
        <v>0</v>
      </c>
      <c r="U828" s="97"/>
      <c r="V828" s="177">
        <f t="shared" si="7007"/>
        <v>0</v>
      </c>
      <c r="W828" s="207"/>
      <c r="X828" s="206">
        <f t="shared" si="7008"/>
        <v>0</v>
      </c>
      <c r="Y828" s="189">
        <f t="shared" si="6851"/>
        <v>0</v>
      </c>
      <c r="Z828" s="177">
        <f t="shared" si="6852"/>
        <v>0</v>
      </c>
      <c r="AA828" s="207"/>
      <c r="AB828" s="206">
        <f t="shared" si="7011"/>
        <v>0</v>
      </c>
      <c r="AC828" s="207"/>
      <c r="AD828" s="177">
        <f t="shared" si="7012"/>
        <v>0</v>
      </c>
      <c r="AE828" s="207"/>
      <c r="AF828" s="206">
        <f t="shared" ref="AF828:AF833" si="7022">K828*AE828*$AF$2/1000</f>
        <v>0</v>
      </c>
      <c r="AG828" s="189">
        <f t="shared" si="6853"/>
        <v>0</v>
      </c>
      <c r="AH828" s="97">
        <f>SUM(AB828+AD828+AF828)</f>
        <v>0</v>
      </c>
      <c r="AI828" s="97">
        <f t="shared" si="6854"/>
        <v>0</v>
      </c>
      <c r="AJ828" s="177">
        <f t="shared" si="6855"/>
        <v>0</v>
      </c>
      <c r="AK828" s="207"/>
      <c r="AL828" s="177">
        <f>M828*AK828*$AL$2/1000</f>
        <v>0</v>
      </c>
      <c r="AM828" s="245"/>
      <c r="AN828" s="177">
        <f t="shared" ref="AN828:AN833" si="7023">M828*AM828*$AN$2/1000</f>
        <v>0</v>
      </c>
      <c r="AO828" s="207"/>
      <c r="AP828" s="206">
        <f t="shared" ref="AP828:AP833" si="7024">M828*AO828*$AP$2/1000</f>
        <v>0</v>
      </c>
      <c r="AQ828" s="189">
        <f t="shared" si="6857"/>
        <v>0</v>
      </c>
      <c r="AR828" s="97">
        <f t="shared" si="6858"/>
        <v>0</v>
      </c>
      <c r="AS828" s="97"/>
      <c r="AT828" s="177">
        <f>O828*AS828*$AT$2/1000</f>
        <v>0</v>
      </c>
      <c r="AU828" s="207"/>
      <c r="AV828" s="177">
        <f t="shared" ref="AV828:AV833" si="7025">O828*AU828*$AV$2/1000</f>
        <v>0</v>
      </c>
      <c r="AW828" s="207"/>
      <c r="AX828" s="206">
        <f t="shared" ref="AX828:AX833" si="7026">O828*AW828*$AX$2/1000</f>
        <v>0</v>
      </c>
      <c r="AY828" s="189">
        <f t="shared" si="6859"/>
        <v>0</v>
      </c>
      <c r="AZ828" s="97">
        <f t="shared" si="6860"/>
        <v>0</v>
      </c>
      <c r="BA828" s="97">
        <f t="shared" si="6861"/>
        <v>0</v>
      </c>
      <c r="BB828" s="97">
        <f t="shared" si="6862"/>
        <v>0</v>
      </c>
    </row>
    <row r="829" spans="1:54">
      <c r="A829" s="498">
        <v>578</v>
      </c>
      <c r="B829" s="13"/>
      <c r="C829" s="13"/>
      <c r="D829" s="13"/>
      <c r="E829" s="21" t="s">
        <v>1615</v>
      </c>
      <c r="F829" s="22"/>
      <c r="G829" s="430" t="s">
        <v>1105</v>
      </c>
      <c r="H829" s="268" t="s">
        <v>366</v>
      </c>
      <c r="I829" s="55">
        <v>5.38</v>
      </c>
      <c r="J829" s="102"/>
      <c r="K829" s="55">
        <v>5.38</v>
      </c>
      <c r="L829" s="102"/>
      <c r="M829" s="55">
        <v>5.38</v>
      </c>
      <c r="N829" s="163"/>
      <c r="O829" s="55">
        <v>5.38</v>
      </c>
      <c r="P829" s="102"/>
      <c r="Q829" s="97">
        <f t="shared" ref="Q829" si="7027">SUM(AI829+BA829)</f>
        <v>0</v>
      </c>
      <c r="R829" s="342">
        <f t="shared" ref="R829" si="7028">SUM(AJ829+BB829)</f>
        <v>0</v>
      </c>
      <c r="S829" s="97"/>
      <c r="T829" s="97">
        <f t="shared" ref="T829" si="7029">I829*S829*$T$2/1000</f>
        <v>0</v>
      </c>
      <c r="U829" s="97"/>
      <c r="V829" s="177">
        <f t="shared" ref="V829" si="7030">I829*U829*$V$2/1000</f>
        <v>0</v>
      </c>
      <c r="W829" s="207"/>
      <c r="X829" s="206">
        <f t="shared" ref="X829" si="7031">I829*W829*$X$2/1000</f>
        <v>0</v>
      </c>
      <c r="Y829" s="189">
        <f t="shared" ref="Y829" si="7032">SUM(S829+U829+W829)</f>
        <v>0</v>
      </c>
      <c r="Z829" s="177">
        <f t="shared" ref="Z829" si="7033">SUM(T829+V829+X829)</f>
        <v>0</v>
      </c>
      <c r="AA829" s="207"/>
      <c r="AB829" s="206">
        <f t="shared" ref="AB829" si="7034">K829*AA829*$AB$2/1000</f>
        <v>0</v>
      </c>
      <c r="AC829" s="207"/>
      <c r="AD829" s="177">
        <f t="shared" ref="AD829" si="7035">K829*AC829*$AD$2/1000</f>
        <v>0</v>
      </c>
      <c r="AE829" s="207"/>
      <c r="AF829" s="206">
        <f t="shared" ref="AF829" si="7036">K829*AE829*$AF$2/1000</f>
        <v>0</v>
      </c>
      <c r="AG829" s="189">
        <f t="shared" ref="AG829" si="7037">SUM(AA829+AC829+AE829)</f>
        <v>0</v>
      </c>
      <c r="AH829" s="97">
        <f t="shared" ref="AH829" si="7038">SUM(AB829+AD829+AF829)</f>
        <v>0</v>
      </c>
      <c r="AI829" s="97">
        <f t="shared" ref="AI829" si="7039">SUM(Y829+AG829)</f>
        <v>0</v>
      </c>
      <c r="AJ829" s="177">
        <f t="shared" ref="AJ829" si="7040">SUM(Z829,AH829)</f>
        <v>0</v>
      </c>
      <c r="AK829" s="207"/>
      <c r="AL829" s="177">
        <f>M829*AK829*$AL$2/1000</f>
        <v>0</v>
      </c>
      <c r="AM829" s="245"/>
      <c r="AN829" s="177">
        <f t="shared" ref="AN829" si="7041">M829*AM829*$AN$2/1000</f>
        <v>0</v>
      </c>
      <c r="AO829" s="207"/>
      <c r="AP829" s="206">
        <f t="shared" si="7024"/>
        <v>0</v>
      </c>
      <c r="AQ829" s="189">
        <f t="shared" ref="AQ829" si="7042">SUM(AK829+AM829+AO829)</f>
        <v>0</v>
      </c>
      <c r="AR829" s="97">
        <f t="shared" ref="AR829" si="7043">SUM(AL829+AN829+AP829)</f>
        <v>0</v>
      </c>
      <c r="AS829" s="97"/>
      <c r="AT829" s="177">
        <f>O829*AS829*$AT$2/1000</f>
        <v>0</v>
      </c>
      <c r="AU829" s="207"/>
      <c r="AV829" s="177">
        <f t="shared" ref="AV829" si="7044">O829*AU829*$AV$2/1000</f>
        <v>0</v>
      </c>
      <c r="AW829" s="207"/>
      <c r="AX829" s="206">
        <f t="shared" ref="AX829" si="7045">O829*AW829*$AX$2/1000</f>
        <v>0</v>
      </c>
      <c r="AY829" s="189">
        <f t="shared" ref="AY829" si="7046">SUM(AS829+AU829+AW829)</f>
        <v>0</v>
      </c>
      <c r="AZ829" s="97">
        <f t="shared" ref="AZ829" si="7047">SUM(AT829+AV829+AX829)</f>
        <v>0</v>
      </c>
      <c r="BA829" s="97">
        <f t="shared" ref="BA829" si="7048">SUM(AQ829+AY829)</f>
        <v>0</v>
      </c>
      <c r="BB829" s="97">
        <f t="shared" ref="BB829" si="7049">SUM(AR829,AZ829)</f>
        <v>0</v>
      </c>
    </row>
    <row r="830" spans="1:54">
      <c r="A830" s="498">
        <v>579</v>
      </c>
      <c r="B830" s="13"/>
      <c r="C830" s="23"/>
      <c r="D830" s="13"/>
      <c r="E830" s="21" t="s">
        <v>626</v>
      </c>
      <c r="F830" s="22"/>
      <c r="G830" s="430" t="s">
        <v>1105</v>
      </c>
      <c r="H830" s="268" t="s">
        <v>367</v>
      </c>
      <c r="I830" s="55">
        <v>5.76</v>
      </c>
      <c r="J830" s="102"/>
      <c r="K830" s="55">
        <v>5.76</v>
      </c>
      <c r="L830" s="102"/>
      <c r="M830" s="55">
        <v>5.76</v>
      </c>
      <c r="N830" s="163"/>
      <c r="O830" s="55">
        <v>5.76</v>
      </c>
      <c r="P830" s="102"/>
      <c r="Q830" s="97">
        <f t="shared" si="6849"/>
        <v>0</v>
      </c>
      <c r="R830" s="342">
        <f t="shared" si="6850"/>
        <v>0</v>
      </c>
      <c r="S830" s="97"/>
      <c r="T830" s="97">
        <f t="shared" si="7006"/>
        <v>0</v>
      </c>
      <c r="U830" s="97"/>
      <c r="V830" s="177">
        <f t="shared" si="7007"/>
        <v>0</v>
      </c>
      <c r="W830" s="207"/>
      <c r="X830" s="206">
        <f t="shared" si="7008"/>
        <v>0</v>
      </c>
      <c r="Y830" s="189">
        <f t="shared" si="6851"/>
        <v>0</v>
      </c>
      <c r="Z830" s="177">
        <f t="shared" si="6852"/>
        <v>0</v>
      </c>
      <c r="AA830" s="207"/>
      <c r="AB830" s="206">
        <f t="shared" si="7011"/>
        <v>0</v>
      </c>
      <c r="AC830" s="207"/>
      <c r="AD830" s="177">
        <f t="shared" si="7012"/>
        <v>0</v>
      </c>
      <c r="AE830" s="207"/>
      <c r="AF830" s="206">
        <f t="shared" si="7022"/>
        <v>0</v>
      </c>
      <c r="AG830" s="189">
        <f t="shared" si="6853"/>
        <v>0</v>
      </c>
      <c r="AH830" s="97">
        <f t="shared" ref="AH830:AH869" si="7050">SUM(AB830+AD830+AF830)</f>
        <v>0</v>
      </c>
      <c r="AI830" s="97">
        <f t="shared" si="6854"/>
        <v>0</v>
      </c>
      <c r="AJ830" s="177">
        <f t="shared" si="6855"/>
        <v>0</v>
      </c>
      <c r="AK830" s="207"/>
      <c r="AL830" s="177">
        <f t="shared" ref="AL830" si="7051">M830*AK830*$AL$2/1000</f>
        <v>0</v>
      </c>
      <c r="AM830" s="245"/>
      <c r="AN830" s="177">
        <f t="shared" si="7023"/>
        <v>0</v>
      </c>
      <c r="AO830" s="207"/>
      <c r="AP830" s="206">
        <f t="shared" si="7024"/>
        <v>0</v>
      </c>
      <c r="AQ830" s="189">
        <f t="shared" si="6857"/>
        <v>0</v>
      </c>
      <c r="AR830" s="97">
        <f t="shared" si="6858"/>
        <v>0</v>
      </c>
      <c r="AS830" s="97"/>
      <c r="AT830" s="177">
        <f t="shared" ref="AT830:AT831" si="7052">O830*AS830*$AT$2/1000</f>
        <v>0</v>
      </c>
      <c r="AU830" s="207"/>
      <c r="AV830" s="177">
        <f t="shared" si="7025"/>
        <v>0</v>
      </c>
      <c r="AW830" s="207"/>
      <c r="AX830" s="206">
        <f t="shared" si="7026"/>
        <v>0</v>
      </c>
      <c r="AY830" s="189">
        <f t="shared" si="6859"/>
        <v>0</v>
      </c>
      <c r="AZ830" s="97">
        <f t="shared" si="6860"/>
        <v>0</v>
      </c>
      <c r="BA830" s="97">
        <f t="shared" si="6861"/>
        <v>0</v>
      </c>
      <c r="BB830" s="97">
        <f t="shared" si="6862"/>
        <v>0</v>
      </c>
    </row>
    <row r="831" spans="1:54">
      <c r="A831" s="498">
        <v>580</v>
      </c>
      <c r="B831" s="13"/>
      <c r="C831" s="23"/>
      <c r="D831" s="13"/>
      <c r="E831" s="523" t="s">
        <v>233</v>
      </c>
      <c r="F831" s="524"/>
      <c r="G831" s="525" t="s">
        <v>1105</v>
      </c>
      <c r="H831" s="526" t="s">
        <v>366</v>
      </c>
      <c r="I831" s="504">
        <v>5.76</v>
      </c>
      <c r="J831" s="527"/>
      <c r="K831" s="504">
        <v>5.76</v>
      </c>
      <c r="L831" s="527"/>
      <c r="M831" s="504">
        <v>5.76</v>
      </c>
      <c r="N831" s="505"/>
      <c r="O831" s="504">
        <v>5.76</v>
      </c>
      <c r="P831" s="527"/>
      <c r="Q831" s="528">
        <f t="shared" si="6849"/>
        <v>0</v>
      </c>
      <c r="R831" s="529">
        <f t="shared" si="6850"/>
        <v>0</v>
      </c>
      <c r="S831" s="528"/>
      <c r="T831" s="528">
        <f t="shared" si="7006"/>
        <v>0</v>
      </c>
      <c r="U831" s="528"/>
      <c r="V831" s="530">
        <f t="shared" si="7007"/>
        <v>0</v>
      </c>
      <c r="W831" s="531"/>
      <c r="X831" s="532">
        <f t="shared" si="7008"/>
        <v>0</v>
      </c>
      <c r="Y831" s="533">
        <f t="shared" si="6851"/>
        <v>0</v>
      </c>
      <c r="Z831" s="530">
        <f t="shared" si="6852"/>
        <v>0</v>
      </c>
      <c r="AA831" s="531"/>
      <c r="AB831" s="532">
        <f t="shared" si="7011"/>
        <v>0</v>
      </c>
      <c r="AC831" s="531"/>
      <c r="AD831" s="530">
        <f t="shared" si="7012"/>
        <v>0</v>
      </c>
      <c r="AE831" s="531"/>
      <c r="AF831" s="532">
        <f t="shared" si="7022"/>
        <v>0</v>
      </c>
      <c r="AG831" s="533">
        <f t="shared" si="6853"/>
        <v>0</v>
      </c>
      <c r="AH831" s="528">
        <f t="shared" si="7050"/>
        <v>0</v>
      </c>
      <c r="AI831" s="528">
        <f t="shared" si="6854"/>
        <v>0</v>
      </c>
      <c r="AJ831" s="530">
        <f t="shared" si="6855"/>
        <v>0</v>
      </c>
      <c r="AK831" s="531"/>
      <c r="AL831" s="530">
        <f>M831*AK831*$AL$2/1000</f>
        <v>0</v>
      </c>
      <c r="AM831" s="534"/>
      <c r="AN831" s="530">
        <f t="shared" si="7023"/>
        <v>0</v>
      </c>
      <c r="AO831" s="531"/>
      <c r="AP831" s="532">
        <f t="shared" si="7024"/>
        <v>0</v>
      </c>
      <c r="AQ831" s="533">
        <f t="shared" si="6857"/>
        <v>0</v>
      </c>
      <c r="AR831" s="528">
        <f t="shared" si="6858"/>
        <v>0</v>
      </c>
      <c r="AS831" s="528"/>
      <c r="AT831" s="530">
        <f t="shared" si="7052"/>
        <v>0</v>
      </c>
      <c r="AU831" s="531"/>
      <c r="AV831" s="530">
        <f t="shared" si="7025"/>
        <v>0</v>
      </c>
      <c r="AW831" s="531"/>
      <c r="AX831" s="532">
        <f t="shared" si="7026"/>
        <v>0</v>
      </c>
      <c r="AY831" s="533">
        <f t="shared" si="6859"/>
        <v>0</v>
      </c>
      <c r="AZ831" s="528">
        <f t="shared" si="6860"/>
        <v>0</v>
      </c>
      <c r="BA831" s="528">
        <f t="shared" si="6861"/>
        <v>0</v>
      </c>
      <c r="BB831" s="528">
        <f t="shared" si="6862"/>
        <v>0</v>
      </c>
    </row>
    <row r="832" spans="1:54">
      <c r="A832" s="498">
        <v>578</v>
      </c>
      <c r="B832" s="13"/>
      <c r="C832" s="13"/>
      <c r="D832" s="13"/>
      <c r="E832" s="90" t="s">
        <v>1553</v>
      </c>
      <c r="F832" s="91"/>
      <c r="G832" s="430" t="s">
        <v>1105</v>
      </c>
      <c r="H832" s="287" t="s">
        <v>366</v>
      </c>
      <c r="I832" s="76">
        <v>5.77</v>
      </c>
      <c r="J832" s="112"/>
      <c r="K832" s="76">
        <v>5.77</v>
      </c>
      <c r="L832" s="112"/>
      <c r="M832" s="76">
        <v>5.77</v>
      </c>
      <c r="N832" s="168"/>
      <c r="O832" s="76">
        <v>5.77</v>
      </c>
      <c r="P832" s="112"/>
      <c r="Q832" s="131">
        <f t="shared" ref="Q832" si="7053">SUM(AI832+BA832)</f>
        <v>7.4</v>
      </c>
      <c r="R832" s="352">
        <f t="shared" ref="R832" si="7054">SUM(AJ832+BB832)</f>
        <v>57.631429319999995</v>
      </c>
      <c r="S832" s="131"/>
      <c r="T832" s="131">
        <f t="shared" si="7006"/>
        <v>0</v>
      </c>
      <c r="U832" s="131"/>
      <c r="V832" s="185">
        <f t="shared" si="7007"/>
        <v>0</v>
      </c>
      <c r="W832" s="224">
        <v>3.7</v>
      </c>
      <c r="X832" s="225">
        <f t="shared" si="7008"/>
        <v>28.406979399999997</v>
      </c>
      <c r="Y832" s="198">
        <f t="shared" ref="Y832" si="7055">SUM(S832+U832+W832)</f>
        <v>3.7</v>
      </c>
      <c r="Z832" s="185">
        <f t="shared" ref="Z832" si="7056">SUM(T832+V832+X832)</f>
        <v>28.406979399999997</v>
      </c>
      <c r="AA832" s="224">
        <v>2.5</v>
      </c>
      <c r="AB832" s="225">
        <f t="shared" si="7011"/>
        <v>19.677430999999999</v>
      </c>
      <c r="AC832" s="224"/>
      <c r="AD832" s="185">
        <f t="shared" si="7012"/>
        <v>0</v>
      </c>
      <c r="AE832" s="224">
        <v>1.2</v>
      </c>
      <c r="AF832" s="225">
        <f t="shared" ref="AF832" si="7057">K832*AE832*$AF$2/1000</f>
        <v>9.5470189199999993</v>
      </c>
      <c r="AG832" s="198">
        <f t="shared" ref="AG832" si="7058">SUM(AA832+AC832+AE832)</f>
        <v>3.7</v>
      </c>
      <c r="AH832" s="131">
        <f>SUM(AB832+AD832+AF832)</f>
        <v>29.224449919999998</v>
      </c>
      <c r="AI832" s="131">
        <f t="shared" ref="AI832" si="7059">SUM(Y832+AG832)</f>
        <v>7.4</v>
      </c>
      <c r="AJ832" s="185">
        <f t="shared" ref="AJ832" si="7060">SUM(Z832,AH832)</f>
        <v>57.631429319999995</v>
      </c>
      <c r="AK832" s="224"/>
      <c r="AL832" s="185">
        <f>M832*AK832*$AL$2/1000</f>
        <v>0</v>
      </c>
      <c r="AM832" s="254"/>
      <c r="AN832" s="185">
        <f t="shared" ref="AN832" si="7061">M832*AM832*$AN$2/1000</f>
        <v>0</v>
      </c>
      <c r="AO832" s="224"/>
      <c r="AP832" s="225">
        <f t="shared" si="7024"/>
        <v>0</v>
      </c>
      <c r="AQ832" s="198">
        <f t="shared" ref="AQ832" si="7062">SUM(AK832+AM832+AO832)</f>
        <v>0</v>
      </c>
      <c r="AR832" s="131">
        <f t="shared" ref="AR832" si="7063">SUM(AL832+AN832+AP832)</f>
        <v>0</v>
      </c>
      <c r="AS832" s="131"/>
      <c r="AT832" s="185">
        <f>O832*AS832*$AT$2/1000</f>
        <v>0</v>
      </c>
      <c r="AU832" s="224"/>
      <c r="AV832" s="185">
        <f t="shared" ref="AV832" si="7064">O832*AU832*$AV$2/1000</f>
        <v>0</v>
      </c>
      <c r="AW832" s="224"/>
      <c r="AX832" s="225">
        <f t="shared" ref="AX832" si="7065">O832*AW832*$AX$2/1000</f>
        <v>0</v>
      </c>
      <c r="AY832" s="198">
        <f t="shared" ref="AY832" si="7066">SUM(AS832+AU832+AW832)</f>
        <v>0</v>
      </c>
      <c r="AZ832" s="131">
        <f t="shared" ref="AZ832" si="7067">SUM(AT832+AV832+AX832)</f>
        <v>0</v>
      </c>
      <c r="BA832" s="131">
        <f t="shared" ref="BA832" si="7068">SUM(AQ832+AY832)</f>
        <v>0</v>
      </c>
      <c r="BB832" s="131">
        <f t="shared" ref="BB832" si="7069">SUM(AR832,AZ832)</f>
        <v>0</v>
      </c>
    </row>
    <row r="833" spans="1:54">
      <c r="A833" s="498">
        <v>578</v>
      </c>
      <c r="B833" s="13"/>
      <c r="C833" s="13"/>
      <c r="D833" s="13"/>
      <c r="E833" s="51" t="s">
        <v>1554</v>
      </c>
      <c r="F833" s="22"/>
      <c r="G833" s="430" t="s">
        <v>1105</v>
      </c>
      <c r="H833" s="268" t="s">
        <v>366</v>
      </c>
      <c r="I833" s="55">
        <v>5.77</v>
      </c>
      <c r="J833" s="102"/>
      <c r="K833" s="55">
        <v>5.77</v>
      </c>
      <c r="L833" s="102"/>
      <c r="M833" s="55">
        <v>5.77</v>
      </c>
      <c r="N833" s="163"/>
      <c r="O833" s="55">
        <v>5.77</v>
      </c>
      <c r="P833" s="102"/>
      <c r="Q833" s="97">
        <f t="shared" si="6849"/>
        <v>3.1559999999999997</v>
      </c>
      <c r="R833" s="342">
        <f t="shared" si="6850"/>
        <v>25.0685282556</v>
      </c>
      <c r="S833" s="97"/>
      <c r="T833" s="97">
        <f t="shared" si="7006"/>
        <v>0</v>
      </c>
      <c r="U833" s="97"/>
      <c r="V833" s="177">
        <f t="shared" si="7007"/>
        <v>0</v>
      </c>
      <c r="W833" s="207"/>
      <c r="X833" s="206">
        <f t="shared" si="7008"/>
        <v>0</v>
      </c>
      <c r="Y833" s="189">
        <f t="shared" si="6851"/>
        <v>0</v>
      </c>
      <c r="Z833" s="177">
        <f t="shared" si="6852"/>
        <v>0</v>
      </c>
      <c r="AA833" s="207"/>
      <c r="AB833" s="206">
        <f t="shared" si="7011"/>
        <v>0</v>
      </c>
      <c r="AC833" s="207">
        <v>0.75600000000000001</v>
      </c>
      <c r="AD833" s="177">
        <f t="shared" si="7012"/>
        <v>5.9744904156</v>
      </c>
      <c r="AE833" s="207">
        <v>2.4</v>
      </c>
      <c r="AF833" s="206">
        <f t="shared" si="7022"/>
        <v>19.094037839999999</v>
      </c>
      <c r="AG833" s="189">
        <f t="shared" si="6853"/>
        <v>3.1559999999999997</v>
      </c>
      <c r="AH833" s="97">
        <f t="shared" si="7050"/>
        <v>25.0685282556</v>
      </c>
      <c r="AI833" s="97">
        <f t="shared" si="6854"/>
        <v>3.1559999999999997</v>
      </c>
      <c r="AJ833" s="177">
        <f t="shared" si="6855"/>
        <v>25.0685282556</v>
      </c>
      <c r="AK833" s="207"/>
      <c r="AL833" s="177">
        <f>M833*AK833*$AL$2/1000</f>
        <v>0</v>
      </c>
      <c r="AM833" s="245"/>
      <c r="AN833" s="177">
        <f t="shared" si="7023"/>
        <v>0</v>
      </c>
      <c r="AO833" s="207"/>
      <c r="AP833" s="206">
        <f t="shared" si="7024"/>
        <v>0</v>
      </c>
      <c r="AQ833" s="189">
        <f t="shared" si="6857"/>
        <v>0</v>
      </c>
      <c r="AR833" s="97">
        <f t="shared" si="6858"/>
        <v>0</v>
      </c>
      <c r="AS833" s="97"/>
      <c r="AT833" s="177">
        <f>O833*AS833*$AT$2/1000</f>
        <v>0</v>
      </c>
      <c r="AU833" s="207"/>
      <c r="AV833" s="177">
        <f t="shared" si="7025"/>
        <v>0</v>
      </c>
      <c r="AW833" s="207"/>
      <c r="AX833" s="206">
        <f t="shared" si="7026"/>
        <v>0</v>
      </c>
      <c r="AY833" s="189">
        <f t="shared" si="6859"/>
        <v>0</v>
      </c>
      <c r="AZ833" s="97">
        <f t="shared" si="6860"/>
        <v>0</v>
      </c>
      <c r="BA833" s="97">
        <f t="shared" si="6861"/>
        <v>0</v>
      </c>
      <c r="BB833" s="97">
        <f t="shared" si="6862"/>
        <v>0</v>
      </c>
    </row>
    <row r="834" spans="1:54">
      <c r="A834" s="498">
        <v>581</v>
      </c>
      <c r="B834" s="13"/>
      <c r="C834" s="23"/>
      <c r="D834" s="71"/>
      <c r="E834" s="328" t="s">
        <v>337</v>
      </c>
      <c r="F834" s="56"/>
      <c r="G834" s="56"/>
      <c r="H834" s="281"/>
      <c r="I834" s="57"/>
      <c r="J834" s="117"/>
      <c r="K834" s="57"/>
      <c r="L834" s="173"/>
      <c r="M834" s="57"/>
      <c r="N834" s="173"/>
      <c r="O834" s="144"/>
      <c r="P834" s="173"/>
      <c r="Q834" s="126">
        <f>SUM(Q814:Q833)</f>
        <v>10.556000000000001</v>
      </c>
      <c r="R834" s="126">
        <f>SUM(R815:R833)</f>
        <v>82.699957575599996</v>
      </c>
      <c r="S834" s="126">
        <f t="shared" ref="S834:BB834" si="7070">SUM(S814:S833)</f>
        <v>0</v>
      </c>
      <c r="T834" s="126">
        <f t="shared" si="7070"/>
        <v>0</v>
      </c>
      <c r="U834" s="126">
        <f t="shared" si="7070"/>
        <v>0</v>
      </c>
      <c r="V834" s="126">
        <f t="shared" si="7070"/>
        <v>0</v>
      </c>
      <c r="W834" s="126">
        <f t="shared" si="7070"/>
        <v>3.7</v>
      </c>
      <c r="X834" s="126">
        <f t="shared" si="7070"/>
        <v>28.406979399999997</v>
      </c>
      <c r="Y834" s="126">
        <f t="shared" si="7070"/>
        <v>3.7</v>
      </c>
      <c r="Z834" s="126">
        <f t="shared" si="7070"/>
        <v>28.406979399999997</v>
      </c>
      <c r="AA834" s="126">
        <f t="shared" si="7070"/>
        <v>2.5</v>
      </c>
      <c r="AB834" s="126">
        <f t="shared" si="7070"/>
        <v>19.677430999999999</v>
      </c>
      <c r="AC834" s="126">
        <f t="shared" si="7070"/>
        <v>0.75600000000000001</v>
      </c>
      <c r="AD834" s="126">
        <f t="shared" si="7070"/>
        <v>5.9744904156</v>
      </c>
      <c r="AE834" s="126">
        <f t="shared" si="7070"/>
        <v>3.5999999999999996</v>
      </c>
      <c r="AF834" s="126">
        <f t="shared" si="7070"/>
        <v>28.641056759999998</v>
      </c>
      <c r="AG834" s="126">
        <f t="shared" si="7070"/>
        <v>6.8559999999999999</v>
      </c>
      <c r="AH834" s="126">
        <f t="shared" si="7070"/>
        <v>54.292978175599998</v>
      </c>
      <c r="AI834" s="126">
        <f t="shared" si="7070"/>
        <v>10.556000000000001</v>
      </c>
      <c r="AJ834" s="126">
        <f t="shared" si="7070"/>
        <v>82.699957575599996</v>
      </c>
      <c r="AK834" s="126">
        <f t="shared" si="7070"/>
        <v>0</v>
      </c>
      <c r="AL834" s="126">
        <f t="shared" si="7070"/>
        <v>0</v>
      </c>
      <c r="AM834" s="126">
        <f t="shared" si="7070"/>
        <v>0</v>
      </c>
      <c r="AN834" s="126">
        <f t="shared" si="7070"/>
        <v>0</v>
      </c>
      <c r="AO834" s="126">
        <f t="shared" si="7070"/>
        <v>0</v>
      </c>
      <c r="AP834" s="126">
        <f t="shared" si="7070"/>
        <v>0</v>
      </c>
      <c r="AQ834" s="126">
        <f t="shared" si="7070"/>
        <v>0</v>
      </c>
      <c r="AR834" s="126">
        <f t="shared" si="7070"/>
        <v>0</v>
      </c>
      <c r="AS834" s="126">
        <f t="shared" si="7070"/>
        <v>0</v>
      </c>
      <c r="AT834" s="126">
        <f t="shared" si="7070"/>
        <v>0</v>
      </c>
      <c r="AU834" s="126">
        <f t="shared" si="7070"/>
        <v>0</v>
      </c>
      <c r="AV834" s="126">
        <f t="shared" si="7070"/>
        <v>0</v>
      </c>
      <c r="AW834" s="126">
        <f t="shared" si="7070"/>
        <v>0</v>
      </c>
      <c r="AX834" s="126">
        <f t="shared" si="7070"/>
        <v>0</v>
      </c>
      <c r="AY834" s="126">
        <f t="shared" si="7070"/>
        <v>0</v>
      </c>
      <c r="AZ834" s="126">
        <f t="shared" si="7070"/>
        <v>0</v>
      </c>
      <c r="BA834" s="126">
        <f t="shared" si="7070"/>
        <v>0</v>
      </c>
      <c r="BB834" s="126">
        <f t="shared" si="7070"/>
        <v>0</v>
      </c>
    </row>
    <row r="835" spans="1:54">
      <c r="A835" s="498">
        <v>582</v>
      </c>
      <c r="B835" s="13"/>
      <c r="C835" s="23"/>
      <c r="D835" s="13" t="s">
        <v>598</v>
      </c>
      <c r="E835" s="21" t="s">
        <v>820</v>
      </c>
      <c r="F835" s="22" t="s">
        <v>234</v>
      </c>
      <c r="G835" s="22" t="s">
        <v>1105</v>
      </c>
      <c r="H835" s="268" t="s">
        <v>365</v>
      </c>
      <c r="I835" s="55"/>
      <c r="J835" s="102">
        <v>4730</v>
      </c>
      <c r="K835" s="55"/>
      <c r="L835" s="102">
        <v>4730</v>
      </c>
      <c r="M835" s="55"/>
      <c r="N835" s="102">
        <v>4730</v>
      </c>
      <c r="O835" s="62"/>
      <c r="P835" s="102">
        <v>4730</v>
      </c>
      <c r="Q835" s="97">
        <f t="shared" ref="Q835:Q840" si="7071">SUM(AI835+BA835)</f>
        <v>0</v>
      </c>
      <c r="R835" s="342">
        <f t="shared" ref="R835:R840" si="7072">SUM(AJ835+BB835)</f>
        <v>0</v>
      </c>
      <c r="S835" s="97"/>
      <c r="T835" s="97">
        <f t="shared" ref="T835:T840" si="7073">J835*S835/1000</f>
        <v>0</v>
      </c>
      <c r="U835" s="97"/>
      <c r="V835" s="177">
        <f t="shared" ref="V835:V840" si="7074">J835*U835/1000</f>
        <v>0</v>
      </c>
      <c r="W835" s="207"/>
      <c r="X835" s="206">
        <f t="shared" ref="X835:X840" si="7075">J835*W835/1000</f>
        <v>0</v>
      </c>
      <c r="Y835" s="189">
        <f t="shared" ref="Y835:Y840" si="7076">SUM(S835+U835+W835)</f>
        <v>0</v>
      </c>
      <c r="Z835" s="177">
        <f t="shared" ref="Z835:Z840" si="7077">SUM(T835+V835+X835)</f>
        <v>0</v>
      </c>
      <c r="AA835" s="207"/>
      <c r="AB835" s="206">
        <f t="shared" ref="AB835:AB840" si="7078">L835*AA835/1000</f>
        <v>0</v>
      </c>
      <c r="AC835" s="207"/>
      <c r="AD835" s="177">
        <f t="shared" ref="AD835:AD840" si="7079">L835*AC835/1000</f>
        <v>0</v>
      </c>
      <c r="AE835" s="207"/>
      <c r="AF835" s="213">
        <f t="shared" ref="AF835:AF862" si="7080">L835*AE835/1000</f>
        <v>0</v>
      </c>
      <c r="AG835" s="189">
        <f t="shared" ref="AG835:AG840" si="7081">SUM(AA835+AC835+AE835)</f>
        <v>0</v>
      </c>
      <c r="AH835" s="97">
        <f t="shared" ref="AH835:AH840" si="7082">SUM(AB835+AD835+AF835)</f>
        <v>0</v>
      </c>
      <c r="AI835" s="97">
        <f t="shared" ref="AI835:AI840" si="7083">SUM(Y835+AG835)</f>
        <v>0</v>
      </c>
      <c r="AJ835" s="177">
        <f t="shared" ref="AJ835:AJ840" si="7084">SUM(Z835,AH835)</f>
        <v>0</v>
      </c>
      <c r="AK835" s="207"/>
      <c r="AL835" s="177">
        <f t="shared" ref="AL835:AL840" si="7085">N835*AK835/1000</f>
        <v>0</v>
      </c>
      <c r="AM835" s="245"/>
      <c r="AN835" s="177">
        <f t="shared" ref="AN835:AN836" si="7086">N835*AM835/1000</f>
        <v>0</v>
      </c>
      <c r="AO835" s="207"/>
      <c r="AP835" s="206">
        <f>N835*AO835/1000</f>
        <v>0</v>
      </c>
      <c r="AQ835" s="189">
        <f t="shared" ref="AQ835:AQ840" si="7087">SUM(AK835+AM835+AO835)</f>
        <v>0</v>
      </c>
      <c r="AR835" s="97">
        <f t="shared" ref="AR835:AR840" si="7088">SUM(AL835+AN835+AP835)</f>
        <v>0</v>
      </c>
      <c r="AS835" s="97"/>
      <c r="AT835" s="177">
        <f t="shared" ref="AT835:AT863" si="7089">P835*AS835/1000</f>
        <v>0</v>
      </c>
      <c r="AU835" s="207"/>
      <c r="AV835" s="177">
        <f t="shared" ref="AV835:AV846" si="7090">P835*AU835/1000</f>
        <v>0</v>
      </c>
      <c r="AW835" s="207"/>
      <c r="AX835" s="206">
        <f t="shared" ref="AX835:AX863" si="7091">P835*AW835/1000</f>
        <v>0</v>
      </c>
      <c r="AY835" s="189">
        <f t="shared" ref="AY835:AY840" si="7092">SUM(AS835+AU835+AW835)</f>
        <v>0</v>
      </c>
      <c r="AZ835" s="97">
        <f t="shared" ref="AZ835:AZ840" si="7093">SUM(AT835+AV835+AX835)</f>
        <v>0</v>
      </c>
      <c r="BA835" s="97">
        <f t="shared" ref="BA835:BA840" si="7094">SUM(AQ835+AY835)</f>
        <v>0</v>
      </c>
      <c r="BB835" s="97">
        <f t="shared" ref="BB835:BB840" si="7095">SUM(AR835,AZ835)</f>
        <v>0</v>
      </c>
    </row>
    <row r="836" spans="1:54">
      <c r="A836" s="498">
        <v>583</v>
      </c>
      <c r="B836" s="13"/>
      <c r="C836" s="23"/>
      <c r="D836" s="13"/>
      <c r="E836" s="21" t="s">
        <v>236</v>
      </c>
      <c r="F836" s="22" t="s">
        <v>234</v>
      </c>
      <c r="G836" s="22" t="s">
        <v>1105</v>
      </c>
      <c r="H836" s="268" t="s">
        <v>365</v>
      </c>
      <c r="I836" s="55"/>
      <c r="J836" s="102">
        <v>4730</v>
      </c>
      <c r="K836" s="55"/>
      <c r="L836" s="102">
        <v>4730</v>
      </c>
      <c r="M836" s="55"/>
      <c r="N836" s="102">
        <v>4730</v>
      </c>
      <c r="O836" s="55"/>
      <c r="P836" s="102">
        <v>4730</v>
      </c>
      <c r="Q836" s="97">
        <f t="shared" si="7071"/>
        <v>0</v>
      </c>
      <c r="R836" s="342">
        <f t="shared" si="7072"/>
        <v>0</v>
      </c>
      <c r="S836" s="97"/>
      <c r="T836" s="97">
        <f t="shared" si="7073"/>
        <v>0</v>
      </c>
      <c r="U836" s="97"/>
      <c r="V836" s="177">
        <f t="shared" si="7074"/>
        <v>0</v>
      </c>
      <c r="W836" s="207"/>
      <c r="X836" s="206">
        <f t="shared" si="7075"/>
        <v>0</v>
      </c>
      <c r="Y836" s="189">
        <f t="shared" si="7076"/>
        <v>0</v>
      </c>
      <c r="Z836" s="177">
        <f t="shared" si="7077"/>
        <v>0</v>
      </c>
      <c r="AA836" s="207"/>
      <c r="AB836" s="206">
        <f t="shared" si="7078"/>
        <v>0</v>
      </c>
      <c r="AC836" s="207"/>
      <c r="AD836" s="177">
        <f t="shared" si="7079"/>
        <v>0</v>
      </c>
      <c r="AE836" s="207"/>
      <c r="AF836" s="206">
        <f t="shared" si="7080"/>
        <v>0</v>
      </c>
      <c r="AG836" s="189">
        <f t="shared" si="7081"/>
        <v>0</v>
      </c>
      <c r="AH836" s="97">
        <f t="shared" si="7082"/>
        <v>0</v>
      </c>
      <c r="AI836" s="97">
        <f t="shared" si="7083"/>
        <v>0</v>
      </c>
      <c r="AJ836" s="177">
        <f t="shared" si="7084"/>
        <v>0</v>
      </c>
      <c r="AK836" s="207"/>
      <c r="AL836" s="177">
        <f t="shared" si="7085"/>
        <v>0</v>
      </c>
      <c r="AM836" s="245"/>
      <c r="AN836" s="177">
        <f t="shared" si="7086"/>
        <v>0</v>
      </c>
      <c r="AO836" s="207"/>
      <c r="AP836" s="206">
        <f t="shared" ref="AP836:AP837" si="7096">N836*AO836/1000</f>
        <v>0</v>
      </c>
      <c r="AQ836" s="189">
        <f t="shared" si="7087"/>
        <v>0</v>
      </c>
      <c r="AR836" s="97">
        <f t="shared" si="7088"/>
        <v>0</v>
      </c>
      <c r="AS836" s="97"/>
      <c r="AT836" s="177">
        <f t="shared" si="7089"/>
        <v>0</v>
      </c>
      <c r="AU836" s="207"/>
      <c r="AV836" s="177">
        <f t="shared" si="7090"/>
        <v>0</v>
      </c>
      <c r="AW836" s="207"/>
      <c r="AX836" s="206">
        <f t="shared" si="7091"/>
        <v>0</v>
      </c>
      <c r="AY836" s="189">
        <f t="shared" si="7092"/>
        <v>0</v>
      </c>
      <c r="AZ836" s="97">
        <f t="shared" si="7093"/>
        <v>0</v>
      </c>
      <c r="BA836" s="97">
        <f t="shared" si="7094"/>
        <v>0</v>
      </c>
      <c r="BB836" s="97">
        <f t="shared" si="7095"/>
        <v>0</v>
      </c>
    </row>
    <row r="837" spans="1:54">
      <c r="A837" s="498">
        <v>584</v>
      </c>
      <c r="B837" s="13"/>
      <c r="C837" s="23"/>
      <c r="D837" s="13"/>
      <c r="E837" s="21" t="s">
        <v>237</v>
      </c>
      <c r="F837" s="22" t="s">
        <v>234</v>
      </c>
      <c r="G837" s="22" t="s">
        <v>1105</v>
      </c>
      <c r="H837" s="268" t="s">
        <v>366</v>
      </c>
      <c r="I837" s="55"/>
      <c r="J837" s="102">
        <v>4730</v>
      </c>
      <c r="K837" s="55"/>
      <c r="L837" s="102">
        <v>4730</v>
      </c>
      <c r="M837" s="55"/>
      <c r="N837" s="102">
        <v>4730</v>
      </c>
      <c r="O837" s="55"/>
      <c r="P837" s="102">
        <v>4730</v>
      </c>
      <c r="Q837" s="97">
        <f t="shared" si="7071"/>
        <v>0</v>
      </c>
      <c r="R837" s="342">
        <f t="shared" si="7072"/>
        <v>0</v>
      </c>
      <c r="S837" s="97"/>
      <c r="T837" s="97">
        <f t="shared" si="7073"/>
        <v>0</v>
      </c>
      <c r="U837" s="97"/>
      <c r="V837" s="177">
        <f t="shared" si="7074"/>
        <v>0</v>
      </c>
      <c r="W837" s="207"/>
      <c r="X837" s="206">
        <f t="shared" si="7075"/>
        <v>0</v>
      </c>
      <c r="Y837" s="189">
        <f t="shared" si="7076"/>
        <v>0</v>
      </c>
      <c r="Z837" s="177">
        <f t="shared" si="7077"/>
        <v>0</v>
      </c>
      <c r="AA837" s="207"/>
      <c r="AB837" s="206">
        <f t="shared" si="7078"/>
        <v>0</v>
      </c>
      <c r="AC837" s="207"/>
      <c r="AD837" s="177">
        <f t="shared" si="7079"/>
        <v>0</v>
      </c>
      <c r="AE837" s="207"/>
      <c r="AF837" s="206">
        <f t="shared" si="7080"/>
        <v>0</v>
      </c>
      <c r="AG837" s="189">
        <f t="shared" si="7081"/>
        <v>0</v>
      </c>
      <c r="AH837" s="97">
        <f t="shared" si="7082"/>
        <v>0</v>
      </c>
      <c r="AI837" s="97">
        <f t="shared" si="7083"/>
        <v>0</v>
      </c>
      <c r="AJ837" s="177">
        <f t="shared" si="7084"/>
        <v>0</v>
      </c>
      <c r="AK837" s="207"/>
      <c r="AL837" s="177">
        <f t="shared" si="7085"/>
        <v>0</v>
      </c>
      <c r="AM837" s="245"/>
      <c r="AN837" s="177">
        <f>N837*AM837/1000</f>
        <v>0</v>
      </c>
      <c r="AO837" s="207"/>
      <c r="AP837" s="206">
        <f t="shared" si="7096"/>
        <v>0</v>
      </c>
      <c r="AQ837" s="189">
        <f t="shared" si="7087"/>
        <v>0</v>
      </c>
      <c r="AR837" s="97">
        <f t="shared" si="7088"/>
        <v>0</v>
      </c>
      <c r="AS837" s="97"/>
      <c r="AT837" s="177">
        <f t="shared" si="7089"/>
        <v>0</v>
      </c>
      <c r="AU837" s="207"/>
      <c r="AV837" s="177">
        <f t="shared" si="7090"/>
        <v>0</v>
      </c>
      <c r="AW837" s="207"/>
      <c r="AX837" s="206">
        <f t="shared" si="7091"/>
        <v>0</v>
      </c>
      <c r="AY837" s="189">
        <f t="shared" si="7092"/>
        <v>0</v>
      </c>
      <c r="AZ837" s="97">
        <f t="shared" si="7093"/>
        <v>0</v>
      </c>
      <c r="BA837" s="97">
        <f t="shared" si="7094"/>
        <v>0</v>
      </c>
      <c r="BB837" s="97">
        <f t="shared" si="7095"/>
        <v>0</v>
      </c>
    </row>
    <row r="838" spans="1:54">
      <c r="A838" s="498">
        <v>585</v>
      </c>
      <c r="B838" s="13"/>
      <c r="C838" s="23"/>
      <c r="D838" s="13"/>
      <c r="E838" s="21" t="s">
        <v>238</v>
      </c>
      <c r="F838" s="22" t="s">
        <v>234</v>
      </c>
      <c r="G838" s="22" t="s">
        <v>1105</v>
      </c>
      <c r="H838" s="268" t="s">
        <v>366</v>
      </c>
      <c r="I838" s="55"/>
      <c r="J838" s="102">
        <v>4730</v>
      </c>
      <c r="K838" s="55"/>
      <c r="L838" s="102">
        <v>4730</v>
      </c>
      <c r="M838" s="55"/>
      <c r="N838" s="102">
        <v>4730</v>
      </c>
      <c r="O838" s="55"/>
      <c r="P838" s="102">
        <v>4730</v>
      </c>
      <c r="Q838" s="97">
        <f t="shared" si="7071"/>
        <v>0</v>
      </c>
      <c r="R838" s="342">
        <f t="shared" si="7072"/>
        <v>0</v>
      </c>
      <c r="S838" s="97"/>
      <c r="T838" s="97">
        <f t="shared" si="7073"/>
        <v>0</v>
      </c>
      <c r="U838" s="97"/>
      <c r="V838" s="177">
        <f t="shared" si="7074"/>
        <v>0</v>
      </c>
      <c r="W838" s="207"/>
      <c r="X838" s="206">
        <f t="shared" si="7075"/>
        <v>0</v>
      </c>
      <c r="Y838" s="189">
        <f t="shared" si="7076"/>
        <v>0</v>
      </c>
      <c r="Z838" s="177">
        <f t="shared" si="7077"/>
        <v>0</v>
      </c>
      <c r="AA838" s="207"/>
      <c r="AB838" s="206">
        <f t="shared" si="7078"/>
        <v>0</v>
      </c>
      <c r="AC838" s="207"/>
      <c r="AD838" s="177">
        <f t="shared" si="7079"/>
        <v>0</v>
      </c>
      <c r="AE838" s="207"/>
      <c r="AF838" s="206">
        <f t="shared" si="7080"/>
        <v>0</v>
      </c>
      <c r="AG838" s="189">
        <f t="shared" si="7081"/>
        <v>0</v>
      </c>
      <c r="AH838" s="97">
        <f t="shared" si="7082"/>
        <v>0</v>
      </c>
      <c r="AI838" s="97">
        <f t="shared" si="7083"/>
        <v>0</v>
      </c>
      <c r="AJ838" s="177">
        <f t="shared" si="7084"/>
        <v>0</v>
      </c>
      <c r="AK838" s="207"/>
      <c r="AL838" s="177">
        <f t="shared" si="7085"/>
        <v>0</v>
      </c>
      <c r="AM838" s="245"/>
      <c r="AN838" s="177">
        <f t="shared" ref="AN838:AN840" si="7097">N838*AM838/1000</f>
        <v>0</v>
      </c>
      <c r="AO838" s="207"/>
      <c r="AP838" s="206">
        <f>N838*AO838/1000</f>
        <v>0</v>
      </c>
      <c r="AQ838" s="189">
        <f t="shared" si="7087"/>
        <v>0</v>
      </c>
      <c r="AR838" s="97">
        <f t="shared" si="7088"/>
        <v>0</v>
      </c>
      <c r="AS838" s="97"/>
      <c r="AT838" s="177">
        <f t="shared" si="7089"/>
        <v>0</v>
      </c>
      <c r="AU838" s="207"/>
      <c r="AV838" s="177">
        <f t="shared" si="7090"/>
        <v>0</v>
      </c>
      <c r="AW838" s="207"/>
      <c r="AX838" s="206">
        <f>P838*AW838/1000</f>
        <v>0</v>
      </c>
      <c r="AY838" s="189">
        <f t="shared" si="7092"/>
        <v>0</v>
      </c>
      <c r="AZ838" s="97">
        <f t="shared" si="7093"/>
        <v>0</v>
      </c>
      <c r="BA838" s="97">
        <f t="shared" si="7094"/>
        <v>0</v>
      </c>
      <c r="BB838" s="97">
        <f t="shared" si="7095"/>
        <v>0</v>
      </c>
    </row>
    <row r="839" spans="1:54">
      <c r="A839" s="498">
        <v>586</v>
      </c>
      <c r="B839" s="13"/>
      <c r="C839" s="23"/>
      <c r="D839" s="13"/>
      <c r="E839" s="90" t="s">
        <v>331</v>
      </c>
      <c r="F839" s="91" t="s">
        <v>234</v>
      </c>
      <c r="G839" s="91" t="s">
        <v>1105</v>
      </c>
      <c r="H839" s="287" t="s">
        <v>366</v>
      </c>
      <c r="I839" s="76"/>
      <c r="J839" s="102">
        <v>4730</v>
      </c>
      <c r="K839" s="76"/>
      <c r="L839" s="102">
        <v>4730</v>
      </c>
      <c r="M839" s="76"/>
      <c r="N839" s="102">
        <v>4730</v>
      </c>
      <c r="O839" s="76"/>
      <c r="P839" s="102">
        <v>4730</v>
      </c>
      <c r="Q839" s="131">
        <f t="shared" si="7071"/>
        <v>0</v>
      </c>
      <c r="R839" s="352">
        <f t="shared" si="7072"/>
        <v>0</v>
      </c>
      <c r="S839" s="131"/>
      <c r="T839" s="131">
        <f t="shared" si="7073"/>
        <v>0</v>
      </c>
      <c r="U839" s="131"/>
      <c r="V839" s="185">
        <f t="shared" si="7074"/>
        <v>0</v>
      </c>
      <c r="W839" s="224"/>
      <c r="X839" s="225">
        <f t="shared" si="7075"/>
        <v>0</v>
      </c>
      <c r="Y839" s="198">
        <f t="shared" si="7076"/>
        <v>0</v>
      </c>
      <c r="Z839" s="185">
        <f t="shared" si="7077"/>
        <v>0</v>
      </c>
      <c r="AA839" s="224"/>
      <c r="AB839" s="225">
        <f t="shared" si="7078"/>
        <v>0</v>
      </c>
      <c r="AC839" s="224"/>
      <c r="AD839" s="185">
        <f t="shared" si="7079"/>
        <v>0</v>
      </c>
      <c r="AE839" s="224"/>
      <c r="AF839" s="206">
        <f t="shared" si="7080"/>
        <v>0</v>
      </c>
      <c r="AG839" s="198">
        <f t="shared" si="7081"/>
        <v>0</v>
      </c>
      <c r="AH839" s="131">
        <f t="shared" si="7082"/>
        <v>0</v>
      </c>
      <c r="AI839" s="131">
        <f t="shared" si="7083"/>
        <v>0</v>
      </c>
      <c r="AJ839" s="185">
        <f t="shared" si="7084"/>
        <v>0</v>
      </c>
      <c r="AK839" s="224"/>
      <c r="AL839" s="185">
        <f t="shared" si="7085"/>
        <v>0</v>
      </c>
      <c r="AM839" s="254"/>
      <c r="AN839" s="185">
        <f t="shared" si="7097"/>
        <v>0</v>
      </c>
      <c r="AO839" s="224"/>
      <c r="AP839" s="225">
        <f t="shared" ref="AP839:AP840" si="7098">N839*AO839/1000</f>
        <v>0</v>
      </c>
      <c r="AQ839" s="198">
        <f t="shared" si="7087"/>
        <v>0</v>
      </c>
      <c r="AR839" s="131">
        <f t="shared" si="7088"/>
        <v>0</v>
      </c>
      <c r="AS839" s="131"/>
      <c r="AT839" s="185">
        <f t="shared" si="7089"/>
        <v>0</v>
      </c>
      <c r="AU839" s="224"/>
      <c r="AV839" s="185">
        <f t="shared" si="7090"/>
        <v>0</v>
      </c>
      <c r="AW839" s="224"/>
      <c r="AX839" s="225">
        <f t="shared" ref="AX839:AX840" si="7099">P839*AW839/1000</f>
        <v>0</v>
      </c>
      <c r="AY839" s="198">
        <f t="shared" si="7092"/>
        <v>0</v>
      </c>
      <c r="AZ839" s="131">
        <f t="shared" si="7093"/>
        <v>0</v>
      </c>
      <c r="BA839" s="131">
        <f t="shared" si="7094"/>
        <v>0</v>
      </c>
      <c r="BB839" s="131">
        <f t="shared" si="7095"/>
        <v>0</v>
      </c>
    </row>
    <row r="840" spans="1:54" ht="12.75" customHeight="1">
      <c r="A840" s="498">
        <v>587</v>
      </c>
      <c r="B840" s="13"/>
      <c r="C840" s="23"/>
      <c r="D840" s="13"/>
      <c r="E840" s="90" t="s">
        <v>332</v>
      </c>
      <c r="F840" s="91" t="s">
        <v>234</v>
      </c>
      <c r="G840" s="91" t="s">
        <v>1105</v>
      </c>
      <c r="H840" s="287" t="s">
        <v>366</v>
      </c>
      <c r="I840" s="76"/>
      <c r="J840" s="102">
        <v>4730</v>
      </c>
      <c r="K840" s="76"/>
      <c r="L840" s="102">
        <v>4730</v>
      </c>
      <c r="M840" s="76"/>
      <c r="N840" s="102">
        <v>4730</v>
      </c>
      <c r="O840" s="76"/>
      <c r="P840" s="102">
        <v>4730</v>
      </c>
      <c r="Q840" s="131">
        <f t="shared" si="7071"/>
        <v>0</v>
      </c>
      <c r="R840" s="352">
        <f t="shared" si="7072"/>
        <v>0</v>
      </c>
      <c r="S840" s="131"/>
      <c r="T840" s="131">
        <f t="shared" si="7073"/>
        <v>0</v>
      </c>
      <c r="U840" s="131"/>
      <c r="V840" s="185">
        <f t="shared" si="7074"/>
        <v>0</v>
      </c>
      <c r="W840" s="224"/>
      <c r="X840" s="225">
        <f t="shared" si="7075"/>
        <v>0</v>
      </c>
      <c r="Y840" s="198">
        <f t="shared" si="7076"/>
        <v>0</v>
      </c>
      <c r="Z840" s="185">
        <f t="shared" si="7077"/>
        <v>0</v>
      </c>
      <c r="AA840" s="224"/>
      <c r="AB840" s="225">
        <f t="shared" si="7078"/>
        <v>0</v>
      </c>
      <c r="AC840" s="224"/>
      <c r="AD840" s="185">
        <f t="shared" si="7079"/>
        <v>0</v>
      </c>
      <c r="AE840" s="224"/>
      <c r="AF840" s="206">
        <f t="shared" si="7080"/>
        <v>0</v>
      </c>
      <c r="AG840" s="198">
        <f t="shared" si="7081"/>
        <v>0</v>
      </c>
      <c r="AH840" s="131">
        <f t="shared" si="7082"/>
        <v>0</v>
      </c>
      <c r="AI840" s="131">
        <f t="shared" si="7083"/>
        <v>0</v>
      </c>
      <c r="AJ840" s="185">
        <f t="shared" si="7084"/>
        <v>0</v>
      </c>
      <c r="AK840" s="224"/>
      <c r="AL840" s="185">
        <f t="shared" si="7085"/>
        <v>0</v>
      </c>
      <c r="AM840" s="254"/>
      <c r="AN840" s="185">
        <f t="shared" si="7097"/>
        <v>0</v>
      </c>
      <c r="AO840" s="224"/>
      <c r="AP840" s="225">
        <f t="shared" si="7098"/>
        <v>0</v>
      </c>
      <c r="AQ840" s="198">
        <f t="shared" si="7087"/>
        <v>0</v>
      </c>
      <c r="AR840" s="131">
        <f t="shared" si="7088"/>
        <v>0</v>
      </c>
      <c r="AS840" s="131"/>
      <c r="AT840" s="185">
        <f t="shared" si="7089"/>
        <v>0</v>
      </c>
      <c r="AU840" s="224"/>
      <c r="AV840" s="185">
        <f t="shared" si="7090"/>
        <v>0</v>
      </c>
      <c r="AW840" s="224"/>
      <c r="AX840" s="225">
        <f t="shared" si="7099"/>
        <v>0</v>
      </c>
      <c r="AY840" s="198">
        <f t="shared" si="7092"/>
        <v>0</v>
      </c>
      <c r="AZ840" s="131">
        <f t="shared" si="7093"/>
        <v>0</v>
      </c>
      <c r="BA840" s="131">
        <f t="shared" si="7094"/>
        <v>0</v>
      </c>
      <c r="BB840" s="131">
        <f t="shared" si="7095"/>
        <v>0</v>
      </c>
    </row>
    <row r="841" spans="1:54">
      <c r="A841" s="498">
        <v>588</v>
      </c>
      <c r="B841" s="13"/>
      <c r="C841" s="23"/>
      <c r="D841" s="13"/>
      <c r="E841" s="21" t="s">
        <v>428</v>
      </c>
      <c r="F841" s="22" t="s">
        <v>234</v>
      </c>
      <c r="G841" s="22" t="s">
        <v>1105</v>
      </c>
      <c r="H841" s="268" t="s">
        <v>365</v>
      </c>
      <c r="I841" s="55"/>
      <c r="J841" s="102">
        <v>4250</v>
      </c>
      <c r="K841" s="55"/>
      <c r="L841" s="102">
        <v>4250</v>
      </c>
      <c r="M841" s="55"/>
      <c r="N841" s="102">
        <v>4250</v>
      </c>
      <c r="O841" s="55"/>
      <c r="P841" s="102">
        <v>4250</v>
      </c>
      <c r="Q841" s="97">
        <f t="shared" si="6849"/>
        <v>0</v>
      </c>
      <c r="R841" s="342">
        <f t="shared" si="6850"/>
        <v>0</v>
      </c>
      <c r="S841" s="97"/>
      <c r="T841" s="97">
        <f t="shared" ref="T841:T863" si="7100">J841*S841/1000</f>
        <v>0</v>
      </c>
      <c r="U841" s="97"/>
      <c r="V841" s="177">
        <f t="shared" ref="V841:V863" si="7101">J841*U841/1000</f>
        <v>0</v>
      </c>
      <c r="W841" s="97"/>
      <c r="X841" s="206">
        <f t="shared" ref="X841:X863" si="7102">J841*W841/1000</f>
        <v>0</v>
      </c>
      <c r="Y841" s="189">
        <f t="shared" si="6851"/>
        <v>0</v>
      </c>
      <c r="Z841" s="177">
        <f t="shared" si="6852"/>
        <v>0</v>
      </c>
      <c r="AA841" s="97"/>
      <c r="AB841" s="206">
        <f t="shared" ref="AB841:AB863" si="7103">L841*AA841/1000</f>
        <v>0</v>
      </c>
      <c r="AC841" s="97"/>
      <c r="AD841" s="177">
        <f t="shared" ref="AD841:AD863" si="7104">L841*AC841/1000</f>
        <v>0</v>
      </c>
      <c r="AE841" s="97"/>
      <c r="AF841" s="206">
        <f t="shared" si="7080"/>
        <v>0</v>
      </c>
      <c r="AG841" s="189">
        <f t="shared" si="6853"/>
        <v>0</v>
      </c>
      <c r="AH841" s="97">
        <f t="shared" si="7050"/>
        <v>0</v>
      </c>
      <c r="AI841" s="97">
        <f t="shared" si="6854"/>
        <v>0</v>
      </c>
      <c r="AJ841" s="177">
        <f t="shared" si="6855"/>
        <v>0</v>
      </c>
      <c r="AK841" s="97"/>
      <c r="AL841" s="177">
        <f t="shared" ref="AL841:AL863" si="7105">N841*AK841/1000</f>
        <v>0</v>
      </c>
      <c r="AM841" s="97"/>
      <c r="AN841" s="177">
        <f t="shared" ref="AN841:AN863" si="7106">N841*AM841/1000</f>
        <v>0</v>
      </c>
      <c r="AO841" s="207"/>
      <c r="AP841" s="206">
        <f>N841*AO841/1000</f>
        <v>0</v>
      </c>
      <c r="AQ841" s="189">
        <f t="shared" si="6857"/>
        <v>0</v>
      </c>
      <c r="AR841" s="97">
        <f t="shared" si="6858"/>
        <v>0</v>
      </c>
      <c r="AS841" s="97"/>
      <c r="AT841" s="177">
        <f t="shared" si="7089"/>
        <v>0</v>
      </c>
      <c r="AU841" s="207"/>
      <c r="AV841" s="177">
        <f t="shared" si="7090"/>
        <v>0</v>
      </c>
      <c r="AW841" s="207"/>
      <c r="AX841" s="206">
        <f t="shared" si="7091"/>
        <v>0</v>
      </c>
      <c r="AY841" s="189">
        <f t="shared" si="6859"/>
        <v>0</v>
      </c>
      <c r="AZ841" s="97">
        <f t="shared" si="6860"/>
        <v>0</v>
      </c>
      <c r="BA841" s="97">
        <f t="shared" si="6861"/>
        <v>0</v>
      </c>
      <c r="BB841" s="97">
        <f t="shared" si="6862"/>
        <v>0</v>
      </c>
    </row>
    <row r="842" spans="1:54">
      <c r="A842" s="498">
        <v>589</v>
      </c>
      <c r="B842" s="13"/>
      <c r="C842" s="23"/>
      <c r="D842" s="13"/>
      <c r="E842" s="21" t="s">
        <v>429</v>
      </c>
      <c r="F842" s="22" t="s">
        <v>234</v>
      </c>
      <c r="G842" s="22" t="s">
        <v>1105</v>
      </c>
      <c r="H842" s="268" t="s">
        <v>365</v>
      </c>
      <c r="I842" s="55"/>
      <c r="J842" s="102">
        <v>4320</v>
      </c>
      <c r="K842" s="55"/>
      <c r="L842" s="102">
        <v>4320</v>
      </c>
      <c r="M842" s="55"/>
      <c r="N842" s="102">
        <v>4320</v>
      </c>
      <c r="O842" s="55"/>
      <c r="P842" s="102">
        <v>4320</v>
      </c>
      <c r="Q842" s="97">
        <f t="shared" si="6849"/>
        <v>0</v>
      </c>
      <c r="R842" s="342">
        <f t="shared" si="6850"/>
        <v>0</v>
      </c>
      <c r="S842" s="97"/>
      <c r="T842" s="97">
        <f t="shared" si="7100"/>
        <v>0</v>
      </c>
      <c r="U842" s="97"/>
      <c r="V842" s="177">
        <f t="shared" si="7101"/>
        <v>0</v>
      </c>
      <c r="W842" s="97"/>
      <c r="X842" s="206">
        <f t="shared" si="7102"/>
        <v>0</v>
      </c>
      <c r="Y842" s="189">
        <f t="shared" si="6851"/>
        <v>0</v>
      </c>
      <c r="Z842" s="177">
        <f t="shared" si="6852"/>
        <v>0</v>
      </c>
      <c r="AA842" s="97"/>
      <c r="AB842" s="206">
        <f t="shared" si="7103"/>
        <v>0</v>
      </c>
      <c r="AC842" s="97"/>
      <c r="AD842" s="177">
        <f t="shared" si="7104"/>
        <v>0</v>
      </c>
      <c r="AE842" s="97"/>
      <c r="AF842" s="206">
        <f t="shared" si="7080"/>
        <v>0</v>
      </c>
      <c r="AG842" s="189">
        <f t="shared" si="6853"/>
        <v>0</v>
      </c>
      <c r="AH842" s="97">
        <f t="shared" si="7050"/>
        <v>0</v>
      </c>
      <c r="AI842" s="97">
        <f t="shared" si="6854"/>
        <v>0</v>
      </c>
      <c r="AJ842" s="177">
        <f t="shared" si="6855"/>
        <v>0</v>
      </c>
      <c r="AK842" s="97"/>
      <c r="AL842" s="177">
        <f t="shared" si="7105"/>
        <v>0</v>
      </c>
      <c r="AM842" s="97"/>
      <c r="AN842" s="177">
        <f t="shared" si="7106"/>
        <v>0</v>
      </c>
      <c r="AO842" s="207"/>
      <c r="AP842" s="206">
        <f t="shared" ref="AP842:AP863" si="7107">N842*AO842/1000</f>
        <v>0</v>
      </c>
      <c r="AQ842" s="189">
        <f t="shared" si="6857"/>
        <v>0</v>
      </c>
      <c r="AR842" s="97">
        <f t="shared" si="6858"/>
        <v>0</v>
      </c>
      <c r="AS842" s="97"/>
      <c r="AT842" s="177">
        <f t="shared" si="7089"/>
        <v>0</v>
      </c>
      <c r="AU842" s="207"/>
      <c r="AV842" s="177">
        <f t="shared" si="7090"/>
        <v>0</v>
      </c>
      <c r="AW842" s="207"/>
      <c r="AX842" s="206">
        <f t="shared" si="7091"/>
        <v>0</v>
      </c>
      <c r="AY842" s="189">
        <f t="shared" si="6859"/>
        <v>0</v>
      </c>
      <c r="AZ842" s="97">
        <f t="shared" si="6860"/>
        <v>0</v>
      </c>
      <c r="BA842" s="97">
        <f t="shared" si="6861"/>
        <v>0</v>
      </c>
      <c r="BB842" s="97">
        <f t="shared" si="6862"/>
        <v>0</v>
      </c>
    </row>
    <row r="843" spans="1:54">
      <c r="A843" s="498">
        <v>590</v>
      </c>
      <c r="B843" s="13"/>
      <c r="C843" s="23"/>
      <c r="D843" s="13"/>
      <c r="E843" s="21" t="s">
        <v>430</v>
      </c>
      <c r="F843" s="22" t="s">
        <v>234</v>
      </c>
      <c r="G843" s="22" t="s">
        <v>1105</v>
      </c>
      <c r="H843" s="268" t="s">
        <v>366</v>
      </c>
      <c r="I843" s="55"/>
      <c r="J843" s="102">
        <v>4250</v>
      </c>
      <c r="K843" s="55"/>
      <c r="L843" s="102">
        <v>4250</v>
      </c>
      <c r="M843" s="55"/>
      <c r="N843" s="102">
        <v>4250</v>
      </c>
      <c r="O843" s="55"/>
      <c r="P843" s="102">
        <v>4250</v>
      </c>
      <c r="Q843" s="97">
        <f t="shared" si="6849"/>
        <v>0</v>
      </c>
      <c r="R843" s="342">
        <f t="shared" si="6850"/>
        <v>0</v>
      </c>
      <c r="S843" s="97"/>
      <c r="T843" s="97">
        <f>J843*S843/1000</f>
        <v>0</v>
      </c>
      <c r="U843" s="97"/>
      <c r="V843" s="177">
        <f t="shared" si="7101"/>
        <v>0</v>
      </c>
      <c r="W843" s="97"/>
      <c r="X843" s="206">
        <f t="shared" si="7102"/>
        <v>0</v>
      </c>
      <c r="Y843" s="189">
        <f t="shared" si="6851"/>
        <v>0</v>
      </c>
      <c r="Z843" s="177">
        <f t="shared" si="6852"/>
        <v>0</v>
      </c>
      <c r="AA843" s="97"/>
      <c r="AB843" s="206">
        <f t="shared" si="7103"/>
        <v>0</v>
      </c>
      <c r="AC843" s="97"/>
      <c r="AD843" s="177">
        <f t="shared" si="7104"/>
        <v>0</v>
      </c>
      <c r="AE843" s="97"/>
      <c r="AF843" s="206">
        <f t="shared" si="7080"/>
        <v>0</v>
      </c>
      <c r="AG843" s="189">
        <f t="shared" si="6853"/>
        <v>0</v>
      </c>
      <c r="AH843" s="97">
        <f t="shared" si="7050"/>
        <v>0</v>
      </c>
      <c r="AI843" s="97">
        <f t="shared" si="6854"/>
        <v>0</v>
      </c>
      <c r="AJ843" s="177">
        <f t="shared" si="6855"/>
        <v>0</v>
      </c>
      <c r="AK843" s="97"/>
      <c r="AL843" s="177">
        <f t="shared" si="7105"/>
        <v>0</v>
      </c>
      <c r="AM843" s="97"/>
      <c r="AN843" s="177">
        <f>N843*AM843/1000</f>
        <v>0</v>
      </c>
      <c r="AO843" s="207"/>
      <c r="AP843" s="206">
        <f t="shared" si="7107"/>
        <v>0</v>
      </c>
      <c r="AQ843" s="189">
        <f t="shared" si="6857"/>
        <v>0</v>
      </c>
      <c r="AR843" s="97">
        <f t="shared" si="6858"/>
        <v>0</v>
      </c>
      <c r="AS843" s="97"/>
      <c r="AT843" s="177">
        <f t="shared" si="7089"/>
        <v>0</v>
      </c>
      <c r="AU843" s="207"/>
      <c r="AV843" s="177">
        <f t="shared" si="7090"/>
        <v>0</v>
      </c>
      <c r="AW843" s="207"/>
      <c r="AX843" s="206">
        <f t="shared" si="7091"/>
        <v>0</v>
      </c>
      <c r="AY843" s="189">
        <f t="shared" si="6859"/>
        <v>0</v>
      </c>
      <c r="AZ843" s="97">
        <f t="shared" si="6860"/>
        <v>0</v>
      </c>
      <c r="BA843" s="97">
        <f t="shared" si="6861"/>
        <v>0</v>
      </c>
      <c r="BB843" s="97">
        <f t="shared" si="6862"/>
        <v>0</v>
      </c>
    </row>
    <row r="844" spans="1:54" ht="12.75" customHeight="1">
      <c r="A844" s="498">
        <v>591</v>
      </c>
      <c r="B844" s="13"/>
      <c r="C844" s="23"/>
      <c r="D844" s="13"/>
      <c r="E844" s="21" t="s">
        <v>431</v>
      </c>
      <c r="F844" s="22" t="s">
        <v>234</v>
      </c>
      <c r="G844" s="22" t="s">
        <v>1105</v>
      </c>
      <c r="H844" s="268" t="s">
        <v>366</v>
      </c>
      <c r="I844" s="55"/>
      <c r="J844" s="102">
        <v>4320</v>
      </c>
      <c r="K844" s="55"/>
      <c r="L844" s="102">
        <v>4320</v>
      </c>
      <c r="M844" s="55"/>
      <c r="N844" s="102">
        <v>4320</v>
      </c>
      <c r="O844" s="55"/>
      <c r="P844" s="102">
        <v>4320</v>
      </c>
      <c r="Q844" s="97">
        <f t="shared" si="6849"/>
        <v>0</v>
      </c>
      <c r="R844" s="342">
        <f t="shared" si="6850"/>
        <v>0</v>
      </c>
      <c r="S844" s="97"/>
      <c r="T844" s="97">
        <f t="shared" si="7100"/>
        <v>0</v>
      </c>
      <c r="U844" s="97"/>
      <c r="V844" s="177">
        <f t="shared" si="7101"/>
        <v>0</v>
      </c>
      <c r="W844" s="97"/>
      <c r="X844" s="206">
        <f t="shared" si="7102"/>
        <v>0</v>
      </c>
      <c r="Y844" s="189">
        <f t="shared" si="6851"/>
        <v>0</v>
      </c>
      <c r="Z844" s="177">
        <f t="shared" si="6852"/>
        <v>0</v>
      </c>
      <c r="AA844" s="97"/>
      <c r="AB844" s="206">
        <f t="shared" si="7103"/>
        <v>0</v>
      </c>
      <c r="AC844" s="97"/>
      <c r="AD844" s="177">
        <f t="shared" si="7104"/>
        <v>0</v>
      </c>
      <c r="AE844" s="97"/>
      <c r="AF844" s="206">
        <f t="shared" si="7080"/>
        <v>0</v>
      </c>
      <c r="AG844" s="189">
        <f t="shared" si="6853"/>
        <v>0</v>
      </c>
      <c r="AH844" s="97">
        <f t="shared" si="7050"/>
        <v>0</v>
      </c>
      <c r="AI844" s="97">
        <f t="shared" si="6854"/>
        <v>0</v>
      </c>
      <c r="AJ844" s="177">
        <f t="shared" si="6855"/>
        <v>0</v>
      </c>
      <c r="AK844" s="97"/>
      <c r="AL844" s="177">
        <f t="shared" si="7105"/>
        <v>0</v>
      </c>
      <c r="AM844" s="97"/>
      <c r="AN844" s="177">
        <f t="shared" si="7106"/>
        <v>0</v>
      </c>
      <c r="AO844" s="207"/>
      <c r="AP844" s="206">
        <f>N844*AO844/1000</f>
        <v>0</v>
      </c>
      <c r="AQ844" s="189">
        <f t="shared" si="6857"/>
        <v>0</v>
      </c>
      <c r="AR844" s="97">
        <f t="shared" si="6858"/>
        <v>0</v>
      </c>
      <c r="AS844" s="97"/>
      <c r="AT844" s="177">
        <f t="shared" si="7089"/>
        <v>0</v>
      </c>
      <c r="AU844" s="207"/>
      <c r="AV844" s="177">
        <f t="shared" si="7090"/>
        <v>0</v>
      </c>
      <c r="AW844" s="207"/>
      <c r="AX844" s="206">
        <f>P844*AW844/1000</f>
        <v>0</v>
      </c>
      <c r="AY844" s="189">
        <f t="shared" si="6859"/>
        <v>0</v>
      </c>
      <c r="AZ844" s="97">
        <f t="shared" si="6860"/>
        <v>0</v>
      </c>
      <c r="BA844" s="97">
        <f t="shared" si="6861"/>
        <v>0</v>
      </c>
      <c r="BB844" s="97">
        <f t="shared" si="6862"/>
        <v>0</v>
      </c>
    </row>
    <row r="845" spans="1:54" ht="12" customHeight="1">
      <c r="A845" s="498">
        <v>592</v>
      </c>
      <c r="B845" s="13"/>
      <c r="C845" s="23"/>
      <c r="D845" s="13"/>
      <c r="E845" s="90" t="s">
        <v>432</v>
      </c>
      <c r="F845" s="91" t="s">
        <v>234</v>
      </c>
      <c r="G845" s="91" t="s">
        <v>1105</v>
      </c>
      <c r="H845" s="287" t="s">
        <v>366</v>
      </c>
      <c r="I845" s="76"/>
      <c r="J845" s="112">
        <v>4320</v>
      </c>
      <c r="K845" s="76"/>
      <c r="L845" s="112">
        <v>4320</v>
      </c>
      <c r="M845" s="76"/>
      <c r="N845" s="112">
        <v>4320</v>
      </c>
      <c r="O845" s="76"/>
      <c r="P845" s="112">
        <v>4320</v>
      </c>
      <c r="Q845" s="131">
        <f t="shared" si="6849"/>
        <v>0</v>
      </c>
      <c r="R845" s="352">
        <f t="shared" si="6850"/>
        <v>0</v>
      </c>
      <c r="S845" s="131"/>
      <c r="T845" s="131">
        <f t="shared" si="7100"/>
        <v>0</v>
      </c>
      <c r="U845" s="131"/>
      <c r="V845" s="185">
        <f t="shared" si="7101"/>
        <v>0</v>
      </c>
      <c r="W845" s="131"/>
      <c r="X845" s="225">
        <f t="shared" si="7102"/>
        <v>0</v>
      </c>
      <c r="Y845" s="198">
        <f t="shared" si="6851"/>
        <v>0</v>
      </c>
      <c r="Z845" s="185">
        <f t="shared" si="6852"/>
        <v>0</v>
      </c>
      <c r="AA845" s="131"/>
      <c r="AB845" s="225">
        <f t="shared" si="7103"/>
        <v>0</v>
      </c>
      <c r="AC845" s="131"/>
      <c r="AD845" s="185">
        <f t="shared" si="7104"/>
        <v>0</v>
      </c>
      <c r="AE845" s="131"/>
      <c r="AF845" s="206">
        <f t="shared" si="7080"/>
        <v>0</v>
      </c>
      <c r="AG845" s="198">
        <f t="shared" si="6853"/>
        <v>0</v>
      </c>
      <c r="AH845" s="131">
        <f t="shared" si="7050"/>
        <v>0</v>
      </c>
      <c r="AI845" s="131">
        <f t="shared" si="6854"/>
        <v>0</v>
      </c>
      <c r="AJ845" s="185">
        <f t="shared" si="6855"/>
        <v>0</v>
      </c>
      <c r="AK845" s="131"/>
      <c r="AL845" s="185">
        <f t="shared" si="7105"/>
        <v>0</v>
      </c>
      <c r="AM845" s="131"/>
      <c r="AN845" s="185">
        <f t="shared" si="7106"/>
        <v>0</v>
      </c>
      <c r="AO845" s="224"/>
      <c r="AP845" s="225">
        <f t="shared" si="7107"/>
        <v>0</v>
      </c>
      <c r="AQ845" s="198">
        <f t="shared" si="6857"/>
        <v>0</v>
      </c>
      <c r="AR845" s="131">
        <f t="shared" si="6858"/>
        <v>0</v>
      </c>
      <c r="AS845" s="131"/>
      <c r="AT845" s="185">
        <f t="shared" si="7089"/>
        <v>0</v>
      </c>
      <c r="AU845" s="224"/>
      <c r="AV845" s="185">
        <f t="shared" si="7090"/>
        <v>0</v>
      </c>
      <c r="AW845" s="224"/>
      <c r="AX845" s="225">
        <f t="shared" ref="AX845:AX862" si="7108">P845*AW845/1000</f>
        <v>0</v>
      </c>
      <c r="AY845" s="198">
        <f t="shared" si="6859"/>
        <v>0</v>
      </c>
      <c r="AZ845" s="131">
        <f t="shared" si="6860"/>
        <v>0</v>
      </c>
      <c r="BA845" s="131">
        <f t="shared" si="6861"/>
        <v>0</v>
      </c>
      <c r="BB845" s="131">
        <f t="shared" si="6862"/>
        <v>0</v>
      </c>
    </row>
    <row r="846" spans="1:54">
      <c r="A846" s="498">
        <v>593</v>
      </c>
      <c r="B846" s="13"/>
      <c r="C846" s="23"/>
      <c r="D846" s="13"/>
      <c r="E846" s="90" t="s">
        <v>433</v>
      </c>
      <c r="F846" s="91" t="s">
        <v>234</v>
      </c>
      <c r="G846" s="91" t="s">
        <v>1105</v>
      </c>
      <c r="H846" s="287" t="s">
        <v>366</v>
      </c>
      <c r="I846" s="76"/>
      <c r="J846" s="112">
        <v>4320</v>
      </c>
      <c r="K846" s="76"/>
      <c r="L846" s="112">
        <v>4320</v>
      </c>
      <c r="M846" s="76"/>
      <c r="N846" s="112">
        <v>4320</v>
      </c>
      <c r="O846" s="76"/>
      <c r="P846" s="112">
        <v>4320</v>
      </c>
      <c r="Q846" s="131">
        <f t="shared" si="6849"/>
        <v>0</v>
      </c>
      <c r="R846" s="352">
        <f t="shared" si="6850"/>
        <v>0</v>
      </c>
      <c r="S846" s="131"/>
      <c r="T846" s="131">
        <f t="shared" si="7100"/>
        <v>0</v>
      </c>
      <c r="U846" s="131"/>
      <c r="V846" s="185">
        <f t="shared" si="7101"/>
        <v>0</v>
      </c>
      <c r="W846" s="131"/>
      <c r="X846" s="225">
        <f t="shared" si="7102"/>
        <v>0</v>
      </c>
      <c r="Y846" s="198">
        <f t="shared" ref="Y846:Y862" si="7109">SUM(S846+U846+W846)</f>
        <v>0</v>
      </c>
      <c r="Z846" s="185">
        <f t="shared" ref="Z846:Z862" si="7110">SUM(T846+V846+X846)</f>
        <v>0</v>
      </c>
      <c r="AA846" s="131"/>
      <c r="AB846" s="225">
        <f t="shared" si="7103"/>
        <v>0</v>
      </c>
      <c r="AC846" s="131"/>
      <c r="AD846" s="185">
        <f t="shared" si="7104"/>
        <v>0</v>
      </c>
      <c r="AE846" s="131"/>
      <c r="AF846" s="206">
        <f t="shared" si="7080"/>
        <v>0</v>
      </c>
      <c r="AG846" s="198">
        <f t="shared" ref="AG846:AG862" si="7111">SUM(AA846+AC846+AE846)</f>
        <v>0</v>
      </c>
      <c r="AH846" s="131">
        <f t="shared" ref="AH846:AH862" si="7112">SUM(AB846+AD846+AF846)</f>
        <v>0</v>
      </c>
      <c r="AI846" s="131">
        <f t="shared" ref="AI846:AI862" si="7113">SUM(Y846+AG846)</f>
        <v>0</v>
      </c>
      <c r="AJ846" s="185">
        <f t="shared" ref="AJ846:AJ862" si="7114">SUM(Z846,AH846)</f>
        <v>0</v>
      </c>
      <c r="AK846" s="131"/>
      <c r="AL846" s="185">
        <f t="shared" ref="AL846:AL853" si="7115">N846*AK846/1000</f>
        <v>0</v>
      </c>
      <c r="AM846" s="131"/>
      <c r="AN846" s="185">
        <f t="shared" ref="AN846:AN862" si="7116">N846*AM846/1000</f>
        <v>0</v>
      </c>
      <c r="AO846" s="224"/>
      <c r="AP846" s="225">
        <f t="shared" ref="AP846:AP862" si="7117">N846*AO846/1000</f>
        <v>0</v>
      </c>
      <c r="AQ846" s="198">
        <f t="shared" ref="AQ846:AQ862" si="7118">SUM(AK846+AM846+AO846)</f>
        <v>0</v>
      </c>
      <c r="AR846" s="131">
        <f t="shared" ref="AR846:AR862" si="7119">SUM(AL846+AN846+AP846)</f>
        <v>0</v>
      </c>
      <c r="AS846" s="131"/>
      <c r="AT846" s="185">
        <f t="shared" si="7089"/>
        <v>0</v>
      </c>
      <c r="AU846" s="224"/>
      <c r="AV846" s="185">
        <f t="shared" si="7090"/>
        <v>0</v>
      </c>
      <c r="AW846" s="224"/>
      <c r="AX846" s="225">
        <f t="shared" si="7108"/>
        <v>0</v>
      </c>
      <c r="AY846" s="198">
        <f t="shared" ref="AY846:AY862" si="7120">SUM(AS846+AU846+AW846)</f>
        <v>0</v>
      </c>
      <c r="AZ846" s="131">
        <f t="shared" ref="AZ846:AZ862" si="7121">SUM(AT846+AV846+AX846)</f>
        <v>0</v>
      </c>
      <c r="BA846" s="131">
        <f t="shared" ref="BA846:BA862" si="7122">SUM(AQ846+AY846)</f>
        <v>0</v>
      </c>
      <c r="BB846" s="131">
        <f t="shared" ref="BB846:BB862" si="7123">SUM(AR846,AZ846)</f>
        <v>0</v>
      </c>
    </row>
    <row r="847" spans="1:54">
      <c r="A847" s="498">
        <v>594</v>
      </c>
      <c r="B847" s="13"/>
      <c r="C847" s="23"/>
      <c r="D847" s="13"/>
      <c r="E847" s="21" t="s">
        <v>434</v>
      </c>
      <c r="F847" s="22" t="s">
        <v>234</v>
      </c>
      <c r="G847" s="22" t="s">
        <v>1105</v>
      </c>
      <c r="H847" s="268" t="s">
        <v>366</v>
      </c>
      <c r="I847" s="55"/>
      <c r="J847" s="102">
        <v>3990</v>
      </c>
      <c r="K847" s="55"/>
      <c r="L847" s="102">
        <v>3990</v>
      </c>
      <c r="M847" s="55"/>
      <c r="N847" s="102">
        <v>3990</v>
      </c>
      <c r="O847" s="55"/>
      <c r="P847" s="102">
        <v>3990</v>
      </c>
      <c r="Q847" s="97">
        <f t="shared" ref="Q847:Q853" si="7124">SUM(AI847+BA847)</f>
        <v>0</v>
      </c>
      <c r="R847" s="342">
        <f t="shared" ref="R847:R853" si="7125">SUM(AJ847+BB847)</f>
        <v>0</v>
      </c>
      <c r="S847" s="97"/>
      <c r="T847" s="97">
        <f t="shared" ref="T847:T853" si="7126">J847*S847/1000</f>
        <v>0</v>
      </c>
      <c r="U847" s="97"/>
      <c r="V847" s="177">
        <f t="shared" ref="V847:V853" si="7127">J847*U847/1000</f>
        <v>0</v>
      </c>
      <c r="W847" s="97"/>
      <c r="X847" s="206">
        <f t="shared" ref="X847:X853" si="7128">J847*W847/1000</f>
        <v>0</v>
      </c>
      <c r="Y847" s="189">
        <f t="shared" si="7109"/>
        <v>0</v>
      </c>
      <c r="Z847" s="177">
        <f t="shared" si="7110"/>
        <v>0</v>
      </c>
      <c r="AA847" s="97"/>
      <c r="AB847" s="206">
        <f t="shared" ref="AB847:AB853" si="7129">L847*AA847/1000</f>
        <v>0</v>
      </c>
      <c r="AC847" s="97"/>
      <c r="AD847" s="177">
        <f t="shared" ref="AD847:AD853" si="7130">L847*AC847/1000</f>
        <v>0</v>
      </c>
      <c r="AE847" s="97"/>
      <c r="AF847" s="206">
        <f t="shared" si="7080"/>
        <v>0</v>
      </c>
      <c r="AG847" s="189">
        <f t="shared" si="7111"/>
        <v>0</v>
      </c>
      <c r="AH847" s="97">
        <f t="shared" si="7112"/>
        <v>0</v>
      </c>
      <c r="AI847" s="97">
        <f t="shared" si="7113"/>
        <v>0</v>
      </c>
      <c r="AJ847" s="177">
        <f t="shared" si="7114"/>
        <v>0</v>
      </c>
      <c r="AK847" s="97"/>
      <c r="AL847" s="177">
        <f t="shared" si="7115"/>
        <v>0</v>
      </c>
      <c r="AM847" s="97"/>
      <c r="AN847" s="177">
        <f t="shared" si="7116"/>
        <v>0</v>
      </c>
      <c r="AO847" s="207"/>
      <c r="AP847" s="206">
        <f t="shared" si="7117"/>
        <v>0</v>
      </c>
      <c r="AQ847" s="189">
        <f t="shared" si="7118"/>
        <v>0</v>
      </c>
      <c r="AR847" s="97">
        <f t="shared" si="7119"/>
        <v>0</v>
      </c>
      <c r="AS847" s="97"/>
      <c r="AT847" s="177">
        <f t="shared" ref="AT847:AT853" si="7131">P847*AS847/1000</f>
        <v>0</v>
      </c>
      <c r="AU847" s="207"/>
      <c r="AV847" s="177">
        <f>P847*AU847/1000</f>
        <v>0</v>
      </c>
      <c r="AW847" s="207"/>
      <c r="AX847" s="206">
        <f t="shared" si="7108"/>
        <v>0</v>
      </c>
      <c r="AY847" s="189">
        <f t="shared" si="7120"/>
        <v>0</v>
      </c>
      <c r="AZ847" s="97">
        <f t="shared" si="7121"/>
        <v>0</v>
      </c>
      <c r="BA847" s="97">
        <f t="shared" si="7122"/>
        <v>0</v>
      </c>
      <c r="BB847" s="97">
        <f t="shared" si="7123"/>
        <v>0</v>
      </c>
    </row>
    <row r="848" spans="1:54" ht="12.75" customHeight="1">
      <c r="A848" s="498">
        <v>595</v>
      </c>
      <c r="B848" s="13"/>
      <c r="C848" s="23"/>
      <c r="D848" s="13"/>
      <c r="E848" s="90" t="s">
        <v>821</v>
      </c>
      <c r="F848" s="91" t="s">
        <v>234</v>
      </c>
      <c r="G848" s="91" t="s">
        <v>1105</v>
      </c>
      <c r="H848" s="287" t="s">
        <v>366</v>
      </c>
      <c r="I848" s="76"/>
      <c r="J848" s="112">
        <v>4090</v>
      </c>
      <c r="K848" s="76"/>
      <c r="L848" s="112">
        <v>4090</v>
      </c>
      <c r="M848" s="76"/>
      <c r="N848" s="112">
        <v>4090</v>
      </c>
      <c r="O848" s="76"/>
      <c r="P848" s="112">
        <v>4090</v>
      </c>
      <c r="Q848" s="131">
        <f t="shared" si="7124"/>
        <v>0</v>
      </c>
      <c r="R848" s="352">
        <f t="shared" si="7125"/>
        <v>0</v>
      </c>
      <c r="S848" s="131"/>
      <c r="T848" s="131">
        <f t="shared" si="7126"/>
        <v>0</v>
      </c>
      <c r="U848" s="131"/>
      <c r="V848" s="185">
        <f t="shared" si="7127"/>
        <v>0</v>
      </c>
      <c r="W848" s="224"/>
      <c r="X848" s="225">
        <f t="shared" si="7128"/>
        <v>0</v>
      </c>
      <c r="Y848" s="198">
        <f t="shared" ref="Y848" si="7132">SUM(S848+U848+W848)</f>
        <v>0</v>
      </c>
      <c r="Z848" s="185">
        <f t="shared" si="7110"/>
        <v>0</v>
      </c>
      <c r="AA848" s="224"/>
      <c r="AB848" s="225">
        <f t="shared" si="7129"/>
        <v>0</v>
      </c>
      <c r="AC848" s="224"/>
      <c r="AD848" s="185">
        <f t="shared" si="7130"/>
        <v>0</v>
      </c>
      <c r="AE848" s="224"/>
      <c r="AF848" s="225">
        <f t="shared" ref="AF848:AF849" si="7133">L848*AE848/1000</f>
        <v>0</v>
      </c>
      <c r="AG848" s="198">
        <f t="shared" si="7111"/>
        <v>0</v>
      </c>
      <c r="AH848" s="131">
        <f t="shared" si="7112"/>
        <v>0</v>
      </c>
      <c r="AI848" s="131">
        <f t="shared" si="7113"/>
        <v>0</v>
      </c>
      <c r="AJ848" s="185">
        <f t="shared" si="7114"/>
        <v>0</v>
      </c>
      <c r="AK848" s="224"/>
      <c r="AL848" s="185">
        <f t="shared" si="7115"/>
        <v>0</v>
      </c>
      <c r="AM848" s="254"/>
      <c r="AN848" s="185">
        <f t="shared" si="7116"/>
        <v>0</v>
      </c>
      <c r="AO848" s="224"/>
      <c r="AP848" s="225">
        <f t="shared" si="7117"/>
        <v>0</v>
      </c>
      <c r="AQ848" s="198">
        <f t="shared" si="7118"/>
        <v>0</v>
      </c>
      <c r="AR848" s="131">
        <f t="shared" si="7119"/>
        <v>0</v>
      </c>
      <c r="AS848" s="131"/>
      <c r="AT848" s="185">
        <f t="shared" si="7131"/>
        <v>0</v>
      </c>
      <c r="AU848" s="224"/>
      <c r="AV848" s="185">
        <f t="shared" ref="AV848:AV849" si="7134">P848*AU848/1000</f>
        <v>0</v>
      </c>
      <c r="AW848" s="224"/>
      <c r="AX848" s="225">
        <f t="shared" si="7108"/>
        <v>0</v>
      </c>
      <c r="AY848" s="198">
        <f t="shared" si="7120"/>
        <v>0</v>
      </c>
      <c r="AZ848" s="131">
        <f t="shared" si="7121"/>
        <v>0</v>
      </c>
      <c r="BA848" s="131">
        <f t="shared" si="7122"/>
        <v>0</v>
      </c>
      <c r="BB848" s="131">
        <f t="shared" si="7123"/>
        <v>0</v>
      </c>
    </row>
    <row r="849" spans="1:54" ht="12.75" customHeight="1">
      <c r="A849" s="498">
        <v>596</v>
      </c>
      <c r="B849" s="13"/>
      <c r="C849" s="23"/>
      <c r="D849" s="13"/>
      <c r="E849" s="90" t="s">
        <v>844</v>
      </c>
      <c r="F849" s="91" t="s">
        <v>234</v>
      </c>
      <c r="G849" s="91" t="s">
        <v>1105</v>
      </c>
      <c r="H849" s="287" t="s">
        <v>366</v>
      </c>
      <c r="I849" s="76"/>
      <c r="J849" s="102">
        <v>4090</v>
      </c>
      <c r="K849" s="76"/>
      <c r="L849" s="102">
        <v>4090</v>
      </c>
      <c r="M849" s="76"/>
      <c r="N849" s="102">
        <v>4090</v>
      </c>
      <c r="O849" s="76"/>
      <c r="P849" s="102">
        <v>4090</v>
      </c>
      <c r="Q849" s="131">
        <f t="shared" si="7124"/>
        <v>0</v>
      </c>
      <c r="R849" s="352">
        <f t="shared" si="7125"/>
        <v>0</v>
      </c>
      <c r="S849" s="131"/>
      <c r="T849" s="131">
        <f t="shared" si="7126"/>
        <v>0</v>
      </c>
      <c r="U849" s="131"/>
      <c r="V849" s="185">
        <f t="shared" si="7127"/>
        <v>0</v>
      </c>
      <c r="W849" s="224"/>
      <c r="X849" s="225">
        <f t="shared" si="7128"/>
        <v>0</v>
      </c>
      <c r="Y849" s="198">
        <f t="shared" ref="Y849" si="7135">SUM(S849+U849+W849)</f>
        <v>0</v>
      </c>
      <c r="Z849" s="185">
        <f t="shared" si="7110"/>
        <v>0</v>
      </c>
      <c r="AA849" s="224"/>
      <c r="AB849" s="225">
        <f t="shared" si="7129"/>
        <v>0</v>
      </c>
      <c r="AC849" s="224"/>
      <c r="AD849" s="185">
        <f t="shared" si="7130"/>
        <v>0</v>
      </c>
      <c r="AE849" s="224"/>
      <c r="AF849" s="206">
        <f t="shared" si="7133"/>
        <v>0</v>
      </c>
      <c r="AG849" s="198">
        <f t="shared" si="7111"/>
        <v>0</v>
      </c>
      <c r="AH849" s="131">
        <f t="shared" si="7112"/>
        <v>0</v>
      </c>
      <c r="AI849" s="131">
        <f t="shared" si="7113"/>
        <v>0</v>
      </c>
      <c r="AJ849" s="185">
        <f t="shared" si="7114"/>
        <v>0</v>
      </c>
      <c r="AK849" s="224"/>
      <c r="AL849" s="185">
        <f t="shared" si="7115"/>
        <v>0</v>
      </c>
      <c r="AM849" s="254"/>
      <c r="AN849" s="185">
        <f t="shared" si="7116"/>
        <v>0</v>
      </c>
      <c r="AO849" s="224"/>
      <c r="AP849" s="225">
        <f t="shared" si="7117"/>
        <v>0</v>
      </c>
      <c r="AQ849" s="198">
        <f t="shared" si="7118"/>
        <v>0</v>
      </c>
      <c r="AR849" s="131">
        <f t="shared" si="7119"/>
        <v>0</v>
      </c>
      <c r="AS849" s="131"/>
      <c r="AT849" s="185">
        <f t="shared" si="7131"/>
        <v>0</v>
      </c>
      <c r="AU849" s="224"/>
      <c r="AV849" s="185">
        <f t="shared" si="7134"/>
        <v>0</v>
      </c>
      <c r="AW849" s="224"/>
      <c r="AX849" s="225">
        <f t="shared" si="7108"/>
        <v>0</v>
      </c>
      <c r="AY849" s="198">
        <f t="shared" si="7120"/>
        <v>0</v>
      </c>
      <c r="AZ849" s="131">
        <f t="shared" si="7121"/>
        <v>0</v>
      </c>
      <c r="BA849" s="131">
        <f t="shared" si="7122"/>
        <v>0</v>
      </c>
      <c r="BB849" s="131">
        <f t="shared" si="7123"/>
        <v>0</v>
      </c>
    </row>
    <row r="850" spans="1:54" ht="12.75" customHeight="1">
      <c r="A850" s="498">
        <v>597</v>
      </c>
      <c r="B850" s="13"/>
      <c r="C850" s="23"/>
      <c r="D850" s="13"/>
      <c r="E850" s="90" t="s">
        <v>822</v>
      </c>
      <c r="F850" s="91" t="s">
        <v>234</v>
      </c>
      <c r="G850" s="91" t="s">
        <v>1105</v>
      </c>
      <c r="H850" s="287" t="s">
        <v>366</v>
      </c>
      <c r="I850" s="76"/>
      <c r="J850" s="102">
        <v>4090</v>
      </c>
      <c r="K850" s="76"/>
      <c r="L850" s="102">
        <v>4090</v>
      </c>
      <c r="M850" s="76"/>
      <c r="N850" s="102">
        <v>4090</v>
      </c>
      <c r="O850" s="76"/>
      <c r="P850" s="102">
        <v>4090</v>
      </c>
      <c r="Q850" s="131">
        <f>SUM(AI850+BA850)</f>
        <v>0</v>
      </c>
      <c r="R850" s="352">
        <f t="shared" ref="R850:R852" si="7136">SUM(AJ850+BB850)</f>
        <v>0</v>
      </c>
      <c r="S850" s="131"/>
      <c r="T850" s="131">
        <f t="shared" ref="T850:T852" si="7137">J850*S850/1000</f>
        <v>0</v>
      </c>
      <c r="U850" s="131"/>
      <c r="V850" s="185">
        <f t="shared" ref="V850:V852" si="7138">J850*U850/1000</f>
        <v>0</v>
      </c>
      <c r="W850" s="224"/>
      <c r="X850" s="225">
        <f t="shared" ref="X850:X852" si="7139">J850*W850/1000</f>
        <v>0</v>
      </c>
      <c r="Y850" s="198">
        <f t="shared" ref="Y850:Y852" si="7140">SUM(S850+U850+W850)</f>
        <v>0</v>
      </c>
      <c r="Z850" s="185">
        <f t="shared" ref="Z850:Z852" si="7141">SUM(T850+V850+X850)</f>
        <v>0</v>
      </c>
      <c r="AA850" s="224"/>
      <c r="AB850" s="225">
        <f t="shared" ref="AB850:AB852" si="7142">L850*AA850/1000</f>
        <v>0</v>
      </c>
      <c r="AC850" s="224"/>
      <c r="AD850" s="185">
        <f t="shared" ref="AD850:AD852" si="7143">L850*AC850/1000</f>
        <v>0</v>
      </c>
      <c r="AE850" s="224"/>
      <c r="AF850" s="206">
        <f t="shared" si="7080"/>
        <v>0</v>
      </c>
      <c r="AG850" s="198">
        <f t="shared" ref="AG850:AG852" si="7144">SUM(AA850+AC850+AE850)</f>
        <v>0</v>
      </c>
      <c r="AH850" s="131">
        <f t="shared" ref="AH850:AH852" si="7145">SUM(AB850+AD850+AF850)</f>
        <v>0</v>
      </c>
      <c r="AI850" s="131">
        <f t="shared" ref="AI850:AI852" si="7146">SUM(Y850+AG850)</f>
        <v>0</v>
      </c>
      <c r="AJ850" s="185">
        <f t="shared" ref="AJ850:AJ852" si="7147">SUM(Z850,AH850)</f>
        <v>0</v>
      </c>
      <c r="AK850" s="224"/>
      <c r="AL850" s="185">
        <f t="shared" ref="AL850:AL852" si="7148">N850*AK850/1000</f>
        <v>0</v>
      </c>
      <c r="AM850" s="254"/>
      <c r="AN850" s="185">
        <f t="shared" ref="AN850:AN852" si="7149">N850*AM850/1000</f>
        <v>0</v>
      </c>
      <c r="AO850" s="224"/>
      <c r="AP850" s="225">
        <f t="shared" ref="AP850:AP852" si="7150">N850*AO850/1000</f>
        <v>0</v>
      </c>
      <c r="AQ850" s="198">
        <f t="shared" ref="AQ850:AQ852" si="7151">SUM(AK850+AM850+AO850)</f>
        <v>0</v>
      </c>
      <c r="AR850" s="131">
        <f t="shared" ref="AR850:AR852" si="7152">SUM(AL850+AN850+AP850)</f>
        <v>0</v>
      </c>
      <c r="AS850" s="131"/>
      <c r="AT850" s="185">
        <f t="shared" ref="AT850:AT852" si="7153">P850*AS850/1000</f>
        <v>0</v>
      </c>
      <c r="AU850" s="224"/>
      <c r="AV850" s="185">
        <f t="shared" ref="AV850:AV852" si="7154">P850*AU850/1000</f>
        <v>0</v>
      </c>
      <c r="AW850" s="224"/>
      <c r="AX850" s="225">
        <f t="shared" ref="AX850:AX852" si="7155">P850*AW850/1000</f>
        <v>0</v>
      </c>
      <c r="AY850" s="198">
        <f t="shared" ref="AY850:AY852" si="7156">SUM(AS850+AU850+AW850)</f>
        <v>0</v>
      </c>
      <c r="AZ850" s="131">
        <f t="shared" ref="AZ850:AZ852" si="7157">SUM(AT850+AV850+AX850)</f>
        <v>0</v>
      </c>
      <c r="BA850" s="131">
        <f t="shared" ref="BA850:BA852" si="7158">SUM(AQ850+AY850)</f>
        <v>0</v>
      </c>
      <c r="BB850" s="131">
        <f t="shared" ref="BB850:BB852" si="7159">SUM(AR850,AZ850)</f>
        <v>0</v>
      </c>
    </row>
    <row r="851" spans="1:54" ht="12.75" customHeight="1">
      <c r="A851" s="498">
        <v>598</v>
      </c>
      <c r="B851" s="13"/>
      <c r="C851" s="23"/>
      <c r="D851" s="13"/>
      <c r="E851" s="90" t="s">
        <v>845</v>
      </c>
      <c r="F851" s="91" t="s">
        <v>234</v>
      </c>
      <c r="G851" s="91" t="s">
        <v>1105</v>
      </c>
      <c r="H851" s="287" t="s">
        <v>366</v>
      </c>
      <c r="I851" s="76"/>
      <c r="J851" s="102">
        <v>4090</v>
      </c>
      <c r="K851" s="76"/>
      <c r="L851" s="102">
        <v>4090</v>
      </c>
      <c r="M851" s="76"/>
      <c r="N851" s="102">
        <v>4090</v>
      </c>
      <c r="O851" s="76"/>
      <c r="P851" s="102">
        <v>4090</v>
      </c>
      <c r="Q851" s="131">
        <f t="shared" ref="Q851" si="7160">SUM(AI851+BA851)</f>
        <v>0</v>
      </c>
      <c r="R851" s="352">
        <f t="shared" si="7136"/>
        <v>0</v>
      </c>
      <c r="S851" s="131"/>
      <c r="T851" s="131">
        <f t="shared" si="7137"/>
        <v>0</v>
      </c>
      <c r="U851" s="131"/>
      <c r="V851" s="185">
        <f t="shared" si="7138"/>
        <v>0</v>
      </c>
      <c r="W851" s="224"/>
      <c r="X851" s="225">
        <f t="shared" si="7139"/>
        <v>0</v>
      </c>
      <c r="Y851" s="198">
        <f t="shared" ref="Y851" si="7161">SUM(S851+U851+W851)</f>
        <v>0</v>
      </c>
      <c r="Z851" s="185">
        <f t="shared" si="7141"/>
        <v>0</v>
      </c>
      <c r="AA851" s="224"/>
      <c r="AB851" s="225">
        <f t="shared" si="7142"/>
        <v>0</v>
      </c>
      <c r="AC851" s="224"/>
      <c r="AD851" s="185">
        <f t="shared" si="7143"/>
        <v>0</v>
      </c>
      <c r="AE851" s="224"/>
      <c r="AF851" s="206">
        <f t="shared" si="7080"/>
        <v>0</v>
      </c>
      <c r="AG851" s="198">
        <f t="shared" si="7144"/>
        <v>0</v>
      </c>
      <c r="AH851" s="131">
        <f t="shared" si="7145"/>
        <v>0</v>
      </c>
      <c r="AI851" s="131">
        <f t="shared" si="7146"/>
        <v>0</v>
      </c>
      <c r="AJ851" s="185">
        <f t="shared" si="7147"/>
        <v>0</v>
      </c>
      <c r="AK851" s="224"/>
      <c r="AL851" s="185">
        <f t="shared" si="7148"/>
        <v>0</v>
      </c>
      <c r="AM851" s="254"/>
      <c r="AN851" s="185">
        <f t="shared" si="7149"/>
        <v>0</v>
      </c>
      <c r="AO851" s="224"/>
      <c r="AP851" s="225">
        <f t="shared" si="7150"/>
        <v>0</v>
      </c>
      <c r="AQ851" s="198">
        <f t="shared" si="7151"/>
        <v>0</v>
      </c>
      <c r="AR851" s="131">
        <f t="shared" si="7152"/>
        <v>0</v>
      </c>
      <c r="AS851" s="131"/>
      <c r="AT851" s="185">
        <f t="shared" si="7153"/>
        <v>0</v>
      </c>
      <c r="AU851" s="224"/>
      <c r="AV851" s="185">
        <f t="shared" si="7154"/>
        <v>0</v>
      </c>
      <c r="AW851" s="224"/>
      <c r="AX851" s="225">
        <f t="shared" si="7155"/>
        <v>0</v>
      </c>
      <c r="AY851" s="198">
        <f t="shared" si="7156"/>
        <v>0</v>
      </c>
      <c r="AZ851" s="131">
        <f t="shared" si="7157"/>
        <v>0</v>
      </c>
      <c r="BA851" s="131">
        <f t="shared" si="7158"/>
        <v>0</v>
      </c>
      <c r="BB851" s="131">
        <f t="shared" si="7159"/>
        <v>0</v>
      </c>
    </row>
    <row r="852" spans="1:54" ht="12.75" customHeight="1">
      <c r="A852" s="498">
        <v>599</v>
      </c>
      <c r="B852" s="13"/>
      <c r="C852" s="23"/>
      <c r="D852" s="13"/>
      <c r="E852" s="51" t="s">
        <v>823</v>
      </c>
      <c r="F852" s="91" t="s">
        <v>234</v>
      </c>
      <c r="G852" s="91" t="s">
        <v>1105</v>
      </c>
      <c r="H852" s="287" t="s">
        <v>366</v>
      </c>
      <c r="I852" s="76"/>
      <c r="J852" s="102">
        <v>4090</v>
      </c>
      <c r="K852" s="76"/>
      <c r="L852" s="102">
        <v>4090</v>
      </c>
      <c r="M852" s="76"/>
      <c r="N852" s="102">
        <v>4090</v>
      </c>
      <c r="O852" s="76"/>
      <c r="P852" s="102">
        <v>4090</v>
      </c>
      <c r="Q852" s="131">
        <f t="shared" ref="Q852" si="7162">SUM(AI852+BA852)</f>
        <v>0</v>
      </c>
      <c r="R852" s="352">
        <f t="shared" si="7136"/>
        <v>0</v>
      </c>
      <c r="S852" s="131"/>
      <c r="T852" s="131">
        <f t="shared" si="7137"/>
        <v>0</v>
      </c>
      <c r="U852" s="131"/>
      <c r="V852" s="185">
        <f t="shared" si="7138"/>
        <v>0</v>
      </c>
      <c r="W852" s="224"/>
      <c r="X852" s="225">
        <f t="shared" si="7139"/>
        <v>0</v>
      </c>
      <c r="Y852" s="198">
        <f t="shared" si="7140"/>
        <v>0</v>
      </c>
      <c r="Z852" s="185">
        <f t="shared" si="7141"/>
        <v>0</v>
      </c>
      <c r="AA852" s="224"/>
      <c r="AB852" s="225">
        <f t="shared" si="7142"/>
        <v>0</v>
      </c>
      <c r="AC852" s="224"/>
      <c r="AD852" s="185">
        <f t="shared" si="7143"/>
        <v>0</v>
      </c>
      <c r="AE852" s="224"/>
      <c r="AF852" s="206">
        <f t="shared" si="7080"/>
        <v>0</v>
      </c>
      <c r="AG852" s="198">
        <f t="shared" si="7144"/>
        <v>0</v>
      </c>
      <c r="AH852" s="131">
        <f t="shared" si="7145"/>
        <v>0</v>
      </c>
      <c r="AI852" s="131">
        <f t="shared" si="7146"/>
        <v>0</v>
      </c>
      <c r="AJ852" s="185">
        <f t="shared" si="7147"/>
        <v>0</v>
      </c>
      <c r="AK852" s="224"/>
      <c r="AL852" s="185">
        <f t="shared" si="7148"/>
        <v>0</v>
      </c>
      <c r="AM852" s="254"/>
      <c r="AN852" s="185">
        <f t="shared" si="7149"/>
        <v>0</v>
      </c>
      <c r="AO852" s="224"/>
      <c r="AP852" s="225">
        <f t="shared" si="7150"/>
        <v>0</v>
      </c>
      <c r="AQ852" s="198">
        <f t="shared" si="7151"/>
        <v>0</v>
      </c>
      <c r="AR852" s="131">
        <f t="shared" si="7152"/>
        <v>0</v>
      </c>
      <c r="AS852" s="131"/>
      <c r="AT852" s="185">
        <f t="shared" si="7153"/>
        <v>0</v>
      </c>
      <c r="AU852" s="224"/>
      <c r="AV852" s="185">
        <f t="shared" si="7154"/>
        <v>0</v>
      </c>
      <c r="AW852" s="224"/>
      <c r="AX852" s="225">
        <f t="shared" si="7155"/>
        <v>0</v>
      </c>
      <c r="AY852" s="198">
        <f t="shared" si="7156"/>
        <v>0</v>
      </c>
      <c r="AZ852" s="131">
        <f t="shared" si="7157"/>
        <v>0</v>
      </c>
      <c r="BA852" s="131">
        <f t="shared" si="7158"/>
        <v>0</v>
      </c>
      <c r="BB852" s="131">
        <f t="shared" si="7159"/>
        <v>0</v>
      </c>
    </row>
    <row r="853" spans="1:54" ht="12.75" customHeight="1">
      <c r="A853" s="498">
        <v>600</v>
      </c>
      <c r="B853" s="13"/>
      <c r="C853" s="23"/>
      <c r="D853" s="13"/>
      <c r="E853" s="51" t="s">
        <v>827</v>
      </c>
      <c r="F853" s="91" t="s">
        <v>234</v>
      </c>
      <c r="G853" s="91" t="s">
        <v>1105</v>
      </c>
      <c r="H853" s="287" t="s">
        <v>366</v>
      </c>
      <c r="I853" s="76"/>
      <c r="J853" s="102">
        <v>4090</v>
      </c>
      <c r="K853" s="76"/>
      <c r="L853" s="102">
        <v>4090</v>
      </c>
      <c r="M853" s="76"/>
      <c r="N853" s="102">
        <v>4090</v>
      </c>
      <c r="O853" s="80"/>
      <c r="P853" s="102">
        <v>4090</v>
      </c>
      <c r="Q853" s="131">
        <f t="shared" si="7124"/>
        <v>0</v>
      </c>
      <c r="R853" s="352">
        <f t="shared" si="7125"/>
        <v>0</v>
      </c>
      <c r="S853" s="131"/>
      <c r="T853" s="131">
        <f t="shared" si="7126"/>
        <v>0</v>
      </c>
      <c r="U853" s="131"/>
      <c r="V853" s="185">
        <f t="shared" si="7127"/>
        <v>0</v>
      </c>
      <c r="W853" s="224"/>
      <c r="X853" s="225">
        <f t="shared" si="7128"/>
        <v>0</v>
      </c>
      <c r="Y853" s="198">
        <f t="shared" ref="Y853" si="7163">SUM(S853+U853+W853)</f>
        <v>0</v>
      </c>
      <c r="Z853" s="185">
        <f t="shared" si="7110"/>
        <v>0</v>
      </c>
      <c r="AA853" s="224"/>
      <c r="AB853" s="225">
        <f t="shared" si="7129"/>
        <v>0</v>
      </c>
      <c r="AC853" s="224"/>
      <c r="AD853" s="185">
        <f t="shared" si="7130"/>
        <v>0</v>
      </c>
      <c r="AE853" s="224"/>
      <c r="AF853" s="209">
        <f t="shared" ref="AF853" si="7164">L853*AE853/1000</f>
        <v>0</v>
      </c>
      <c r="AG853" s="198">
        <f t="shared" si="7111"/>
        <v>0</v>
      </c>
      <c r="AH853" s="131">
        <f t="shared" si="7112"/>
        <v>0</v>
      </c>
      <c r="AI853" s="131">
        <f t="shared" si="7113"/>
        <v>0</v>
      </c>
      <c r="AJ853" s="185">
        <f t="shared" si="7114"/>
        <v>0</v>
      </c>
      <c r="AK853" s="224"/>
      <c r="AL853" s="185">
        <f t="shared" si="7115"/>
        <v>0</v>
      </c>
      <c r="AM853" s="254"/>
      <c r="AN853" s="185">
        <f t="shared" si="7116"/>
        <v>0</v>
      </c>
      <c r="AO853" s="224"/>
      <c r="AP853" s="225">
        <f t="shared" si="7117"/>
        <v>0</v>
      </c>
      <c r="AQ853" s="198">
        <f t="shared" si="7118"/>
        <v>0</v>
      </c>
      <c r="AR853" s="131">
        <f t="shared" si="7119"/>
        <v>0</v>
      </c>
      <c r="AS853" s="131"/>
      <c r="AT853" s="185">
        <f t="shared" si="7131"/>
        <v>0</v>
      </c>
      <c r="AU853" s="224"/>
      <c r="AV853" s="185">
        <f t="shared" ref="AV853" si="7165">P853*AU853/1000</f>
        <v>0</v>
      </c>
      <c r="AW853" s="224"/>
      <c r="AX853" s="225">
        <f t="shared" si="7108"/>
        <v>0</v>
      </c>
      <c r="AY853" s="198">
        <f t="shared" si="7120"/>
        <v>0</v>
      </c>
      <c r="AZ853" s="131">
        <f t="shared" si="7121"/>
        <v>0</v>
      </c>
      <c r="BA853" s="131">
        <f t="shared" si="7122"/>
        <v>0</v>
      </c>
      <c r="BB853" s="131">
        <f t="shared" si="7123"/>
        <v>0</v>
      </c>
    </row>
    <row r="854" spans="1:54">
      <c r="A854" s="498">
        <v>601</v>
      </c>
      <c r="B854" s="13"/>
      <c r="C854" s="23"/>
      <c r="D854" s="71"/>
      <c r="E854" s="328" t="s">
        <v>337</v>
      </c>
      <c r="F854" s="56"/>
      <c r="G854" s="56"/>
      <c r="H854" s="281"/>
      <c r="I854" s="57"/>
      <c r="J854" s="117"/>
      <c r="K854" s="57"/>
      <c r="L854" s="173"/>
      <c r="M854" s="57"/>
      <c r="N854" s="173"/>
      <c r="O854" s="144"/>
      <c r="P854" s="173"/>
      <c r="Q854" s="126">
        <f>SUM(Q835:Q853)</f>
        <v>0</v>
      </c>
      <c r="R854" s="126">
        <f>SUM(R835:R853)</f>
        <v>0</v>
      </c>
      <c r="S854" s="126">
        <f>SUM(S835:S853)</f>
        <v>0</v>
      </c>
      <c r="T854" s="126">
        <f t="shared" ref="T854:V854" si="7166">SUM(T835:T853)</f>
        <v>0</v>
      </c>
      <c r="U854" s="126">
        <f>SUM(U835:U853)</f>
        <v>0</v>
      </c>
      <c r="V854" s="126">
        <f t="shared" si="7166"/>
        <v>0</v>
      </c>
      <c r="W854" s="126">
        <f>SUM(W835:W853)</f>
        <v>0</v>
      </c>
      <c r="X854" s="126">
        <f t="shared" ref="X854:BB854" si="7167">SUM(X835:X853)</f>
        <v>0</v>
      </c>
      <c r="Y854" s="126">
        <f t="shared" si="7167"/>
        <v>0</v>
      </c>
      <c r="Z854" s="126">
        <f t="shared" si="7167"/>
        <v>0</v>
      </c>
      <c r="AA854" s="126">
        <f t="shared" si="7167"/>
        <v>0</v>
      </c>
      <c r="AB854" s="126">
        <f t="shared" si="7167"/>
        <v>0</v>
      </c>
      <c r="AC854" s="126">
        <f t="shared" si="7167"/>
        <v>0</v>
      </c>
      <c r="AD854" s="126">
        <f t="shared" si="7167"/>
        <v>0</v>
      </c>
      <c r="AE854" s="126">
        <f t="shared" si="7167"/>
        <v>0</v>
      </c>
      <c r="AF854" s="126">
        <f t="shared" si="7167"/>
        <v>0</v>
      </c>
      <c r="AG854" s="126">
        <f t="shared" si="7167"/>
        <v>0</v>
      </c>
      <c r="AH854" s="126">
        <f t="shared" si="7167"/>
        <v>0</v>
      </c>
      <c r="AI854" s="126">
        <f t="shared" si="7167"/>
        <v>0</v>
      </c>
      <c r="AJ854" s="126">
        <f t="shared" si="7167"/>
        <v>0</v>
      </c>
      <c r="AK854" s="126">
        <f t="shared" si="7167"/>
        <v>0</v>
      </c>
      <c r="AL854" s="126">
        <f t="shared" si="7167"/>
        <v>0</v>
      </c>
      <c r="AM854" s="126">
        <f t="shared" si="7167"/>
        <v>0</v>
      </c>
      <c r="AN854" s="126">
        <f t="shared" si="7167"/>
        <v>0</v>
      </c>
      <c r="AO854" s="126">
        <f t="shared" si="7167"/>
        <v>0</v>
      </c>
      <c r="AP854" s="126">
        <f t="shared" si="7167"/>
        <v>0</v>
      </c>
      <c r="AQ854" s="126">
        <f t="shared" si="7167"/>
        <v>0</v>
      </c>
      <c r="AR854" s="126">
        <f t="shared" si="7167"/>
        <v>0</v>
      </c>
      <c r="AS854" s="126">
        <f>SUM(AS835:AS853)</f>
        <v>0</v>
      </c>
      <c r="AT854" s="126">
        <f t="shared" si="7167"/>
        <v>0</v>
      </c>
      <c r="AU854" s="126">
        <f t="shared" si="7167"/>
        <v>0</v>
      </c>
      <c r="AV854" s="126">
        <f t="shared" si="7167"/>
        <v>0</v>
      </c>
      <c r="AW854" s="126">
        <f t="shared" si="7167"/>
        <v>0</v>
      </c>
      <c r="AX854" s="126">
        <f t="shared" si="7167"/>
        <v>0</v>
      </c>
      <c r="AY854" s="126">
        <f t="shared" si="7167"/>
        <v>0</v>
      </c>
      <c r="AZ854" s="126">
        <f t="shared" si="7167"/>
        <v>0</v>
      </c>
      <c r="BA854" s="126">
        <f>SUM(BA835:BA853)</f>
        <v>0</v>
      </c>
      <c r="BB854" s="126">
        <f t="shared" si="7167"/>
        <v>0</v>
      </c>
    </row>
    <row r="855" spans="1:54">
      <c r="A855" s="498">
        <v>602</v>
      </c>
      <c r="B855" s="13"/>
      <c r="C855" s="13"/>
      <c r="D855" s="13" t="s">
        <v>554</v>
      </c>
      <c r="E855" s="13" t="s">
        <v>571</v>
      </c>
      <c r="F855" s="236" t="s">
        <v>554</v>
      </c>
      <c r="G855" s="430" t="s">
        <v>1105</v>
      </c>
      <c r="H855" s="269" t="s">
        <v>365</v>
      </c>
      <c r="I855" s="76"/>
      <c r="J855" s="112">
        <v>10090</v>
      </c>
      <c r="K855" s="76"/>
      <c r="L855" s="112">
        <v>10090</v>
      </c>
      <c r="M855" s="76"/>
      <c r="N855" s="164">
        <v>10090</v>
      </c>
      <c r="O855" s="154"/>
      <c r="P855" s="164">
        <v>10090</v>
      </c>
      <c r="Q855" s="119">
        <f t="shared" ref="Q855:R857" si="7168">SUM(AI855+BA855)</f>
        <v>0</v>
      </c>
      <c r="R855" s="348">
        <f t="shared" si="7168"/>
        <v>0</v>
      </c>
      <c r="S855" s="128"/>
      <c r="T855" s="128">
        <f>J855*S855/1000</f>
        <v>0</v>
      </c>
      <c r="U855" s="128"/>
      <c r="V855" s="183">
        <f>J855*U855/1000</f>
        <v>0</v>
      </c>
      <c r="W855" s="220"/>
      <c r="X855" s="221">
        <f>J855*W855/1000</f>
        <v>0</v>
      </c>
      <c r="Y855" s="196">
        <f>SUM(S855+U855+W855)</f>
        <v>0</v>
      </c>
      <c r="Z855" s="183">
        <f>SUM(T855+V855+X855)</f>
        <v>0</v>
      </c>
      <c r="AA855" s="220"/>
      <c r="AB855" s="221">
        <f>L855*AA855/1000</f>
        <v>0</v>
      </c>
      <c r="AC855" s="220"/>
      <c r="AD855" s="183">
        <f>L855*AC855/1000</f>
        <v>0</v>
      </c>
      <c r="AE855" s="220"/>
      <c r="AF855" s="213">
        <f>L855*AE855/1000</f>
        <v>0</v>
      </c>
      <c r="AG855" s="196">
        <f>SUM(AA855+AC855+AE855)</f>
        <v>0</v>
      </c>
      <c r="AH855" s="128">
        <f>SUM(AB855+AD855+AF855)</f>
        <v>0</v>
      </c>
      <c r="AI855" s="128">
        <f>SUM(Y855+AG855)</f>
        <v>0</v>
      </c>
      <c r="AJ855" s="183">
        <f>SUM(Z855,AH855)</f>
        <v>0</v>
      </c>
      <c r="AK855" s="220"/>
      <c r="AL855" s="183">
        <f t="shared" ref="AL855:AL860" si="7169">N855*AK855/1000</f>
        <v>0</v>
      </c>
      <c r="AM855" s="252"/>
      <c r="AN855" s="183">
        <f>N855*AM855/1000</f>
        <v>0</v>
      </c>
      <c r="AO855" s="220"/>
      <c r="AP855" s="221">
        <f>N855*AO855/1000</f>
        <v>0</v>
      </c>
      <c r="AQ855" s="196">
        <f>SUM(AK855+AM855+AO855)</f>
        <v>0</v>
      </c>
      <c r="AR855" s="128">
        <f>SUM(AL855+AN855+AP855)</f>
        <v>0</v>
      </c>
      <c r="AS855" s="128"/>
      <c r="AT855" s="183">
        <f>P855*AS855/1000</f>
        <v>0</v>
      </c>
      <c r="AU855" s="220"/>
      <c r="AV855" s="183">
        <f>P855*AU855/1000</f>
        <v>0</v>
      </c>
      <c r="AW855" s="220"/>
      <c r="AX855" s="221">
        <f>P855*AW855/1000</f>
        <v>0</v>
      </c>
      <c r="AY855" s="196">
        <f>SUM(AS855+AU855+AW855)</f>
        <v>0</v>
      </c>
      <c r="AZ855" s="128">
        <f>SUM(AT855+AV855+AX855)</f>
        <v>0</v>
      </c>
      <c r="BA855" s="128">
        <f>SUM(AQ855+AY855)</f>
        <v>0</v>
      </c>
      <c r="BB855" s="128">
        <f>SUM(AR855,AZ855)</f>
        <v>0</v>
      </c>
    </row>
    <row r="856" spans="1:54">
      <c r="A856" s="498">
        <v>603</v>
      </c>
      <c r="B856" s="13"/>
      <c r="C856" s="13"/>
      <c r="D856" s="13"/>
      <c r="E856" s="21" t="s">
        <v>321</v>
      </c>
      <c r="F856" s="232" t="s">
        <v>554</v>
      </c>
      <c r="G856" s="430" t="s">
        <v>1105</v>
      </c>
      <c r="H856" s="268" t="s">
        <v>365</v>
      </c>
      <c r="I856" s="55"/>
      <c r="J856" s="102">
        <v>10090</v>
      </c>
      <c r="K856" s="55"/>
      <c r="L856" s="102">
        <v>10090</v>
      </c>
      <c r="M856" s="55"/>
      <c r="N856" s="163">
        <v>10090</v>
      </c>
      <c r="O856" s="143"/>
      <c r="P856" s="163">
        <v>10090</v>
      </c>
      <c r="Q856" s="97">
        <f t="shared" si="7168"/>
        <v>0</v>
      </c>
      <c r="R856" s="342">
        <f t="shared" si="7168"/>
        <v>0</v>
      </c>
      <c r="S856" s="97"/>
      <c r="T856" s="97">
        <f>J856*S856/1000</f>
        <v>0</v>
      </c>
      <c r="U856" s="97"/>
      <c r="V856" s="177">
        <f>J856*U856/1000</f>
        <v>0</v>
      </c>
      <c r="W856" s="207"/>
      <c r="X856" s="206">
        <f>J856*W856/1000</f>
        <v>0</v>
      </c>
      <c r="Y856" s="189">
        <f t="shared" ref="Y856" si="7170">SUM(S856+U856+W856)</f>
        <v>0</v>
      </c>
      <c r="Z856" s="177">
        <f t="shared" ref="Z856" si="7171">SUM(T856+V856+X856)</f>
        <v>0</v>
      </c>
      <c r="AA856" s="207"/>
      <c r="AB856" s="206">
        <f>L856*AA856/1000</f>
        <v>0</v>
      </c>
      <c r="AC856" s="207"/>
      <c r="AD856" s="177">
        <f>L856*AC856/1000</f>
        <v>0</v>
      </c>
      <c r="AE856" s="207"/>
      <c r="AF856" s="206">
        <f>L856*AE856/1000</f>
        <v>0</v>
      </c>
      <c r="AG856" s="189">
        <f t="shared" ref="AG856" si="7172">SUM(AA856+AC856+AE856)</f>
        <v>0</v>
      </c>
      <c r="AH856" s="97">
        <f t="shared" ref="AH856" si="7173">SUM(AB856+AD856+AF856)</f>
        <v>0</v>
      </c>
      <c r="AI856" s="97">
        <f t="shared" ref="AI856" si="7174">SUM(Y856+AG856)</f>
        <v>0</v>
      </c>
      <c r="AJ856" s="177">
        <f t="shared" ref="AJ856" si="7175">SUM(Z856,AH856)</f>
        <v>0</v>
      </c>
      <c r="AK856" s="207"/>
      <c r="AL856" s="177">
        <f t="shared" si="7169"/>
        <v>0</v>
      </c>
      <c r="AM856" s="245"/>
      <c r="AN856" s="177">
        <f t="shared" ref="AN856" si="7176">N856*AM856/1000</f>
        <v>0</v>
      </c>
      <c r="AO856" s="207"/>
      <c r="AP856" s="206">
        <f t="shared" ref="AP856" si="7177">N856*AO856/1000</f>
        <v>0</v>
      </c>
      <c r="AQ856" s="189">
        <f t="shared" ref="AQ856" si="7178">SUM(AK856+AM856+AO856)</f>
        <v>0</v>
      </c>
      <c r="AR856" s="97">
        <f t="shared" ref="AR856" si="7179">SUM(AL856+AN856+AP856)</f>
        <v>0</v>
      </c>
      <c r="AS856" s="97"/>
      <c r="AT856" s="177">
        <f>P856*AS856/1000</f>
        <v>0</v>
      </c>
      <c r="AU856" s="207"/>
      <c r="AV856" s="177">
        <f>P856*AU856/1000</f>
        <v>0</v>
      </c>
      <c r="AW856" s="207"/>
      <c r="AX856" s="206">
        <f>P856*AW856/1000</f>
        <v>0</v>
      </c>
      <c r="AY856" s="189">
        <f t="shared" ref="AY856" si="7180">SUM(AS856+AU856+AW856)</f>
        <v>0</v>
      </c>
      <c r="AZ856" s="97">
        <f t="shared" ref="AZ856" si="7181">SUM(AT856+AV856+AX856)</f>
        <v>0</v>
      </c>
      <c r="BA856" s="97">
        <f t="shared" ref="BA856" si="7182">SUM(AQ856+AY856)</f>
        <v>0</v>
      </c>
      <c r="BB856" s="97">
        <f t="shared" ref="BB856" si="7183">SUM(AR856,AZ856)</f>
        <v>0</v>
      </c>
    </row>
    <row r="857" spans="1:54">
      <c r="A857" s="498">
        <v>604</v>
      </c>
      <c r="B857" s="13"/>
      <c r="C857" s="13"/>
      <c r="D857" s="13"/>
      <c r="E857" s="21" t="s">
        <v>330</v>
      </c>
      <c r="F857" s="232" t="s">
        <v>554</v>
      </c>
      <c r="G857" s="430" t="s">
        <v>1105</v>
      </c>
      <c r="H857" s="268" t="s">
        <v>365</v>
      </c>
      <c r="I857" s="55"/>
      <c r="J857" s="102">
        <v>10090</v>
      </c>
      <c r="K857" s="55"/>
      <c r="L857" s="102">
        <v>10090</v>
      </c>
      <c r="M857" s="55"/>
      <c r="N857" s="163">
        <v>10090</v>
      </c>
      <c r="O857" s="143"/>
      <c r="P857" s="163">
        <v>10090</v>
      </c>
      <c r="Q857" s="97">
        <f t="shared" si="7168"/>
        <v>0</v>
      </c>
      <c r="R857" s="342">
        <f t="shared" si="7168"/>
        <v>0</v>
      </c>
      <c r="S857" s="97"/>
      <c r="T857" s="97">
        <f>J857*S857/1000</f>
        <v>0</v>
      </c>
      <c r="U857" s="97"/>
      <c r="V857" s="177">
        <f>J857*U857/1000</f>
        <v>0</v>
      </c>
      <c r="W857" s="207"/>
      <c r="X857" s="206">
        <f>J857*W857/1000</f>
        <v>0</v>
      </c>
      <c r="Y857" s="189">
        <f>SUM(S857+U857+W857)</f>
        <v>0</v>
      </c>
      <c r="Z857" s="177">
        <f>SUM(T857+V857+X857)</f>
        <v>0</v>
      </c>
      <c r="AA857" s="207"/>
      <c r="AB857" s="206">
        <f>L857*AA857/1000</f>
        <v>0</v>
      </c>
      <c r="AC857" s="207"/>
      <c r="AD857" s="177">
        <f>L857*AC857/1000</f>
        <v>0</v>
      </c>
      <c r="AE857" s="207"/>
      <c r="AF857" s="206">
        <f>L857*AE857/1000</f>
        <v>0</v>
      </c>
      <c r="AG857" s="189">
        <f>SUM(AA857+AC857+AE857)</f>
        <v>0</v>
      </c>
      <c r="AH857" s="97">
        <f>SUM(AB857+AD857+AF857)</f>
        <v>0</v>
      </c>
      <c r="AI857" s="97">
        <f>SUM(Y857+AG857)</f>
        <v>0</v>
      </c>
      <c r="AJ857" s="177">
        <f>SUM(Z857,AH857)</f>
        <v>0</v>
      </c>
      <c r="AK857" s="207"/>
      <c r="AL857" s="177">
        <f t="shared" si="7169"/>
        <v>0</v>
      </c>
      <c r="AM857" s="245"/>
      <c r="AN857" s="177">
        <f>N857*AM857/1000</f>
        <v>0</v>
      </c>
      <c r="AO857" s="207"/>
      <c r="AP857" s="206">
        <f t="shared" ref="AP857" si="7184">N857*AO857/1000</f>
        <v>0</v>
      </c>
      <c r="AQ857" s="189">
        <f>SUM(AK857+AM857+AO857)</f>
        <v>0</v>
      </c>
      <c r="AR857" s="97">
        <f>SUM(AL857+AN857+AP857)</f>
        <v>0</v>
      </c>
      <c r="AS857" s="97"/>
      <c r="AT857" s="177">
        <f>P857*AS857/1000</f>
        <v>0</v>
      </c>
      <c r="AU857" s="207"/>
      <c r="AV857" s="177">
        <f>P857*AU857/1000</f>
        <v>0</v>
      </c>
      <c r="AW857" s="207"/>
      <c r="AX857" s="206">
        <f>P857*AW857/1000</f>
        <v>0</v>
      </c>
      <c r="AY857" s="189">
        <f>SUM(AS857+AU857+AW857)</f>
        <v>0</v>
      </c>
      <c r="AZ857" s="97">
        <f>SUM(AT857+AV857+AX857)</f>
        <v>0</v>
      </c>
      <c r="BA857" s="97">
        <f>SUM(AQ857+AY857)</f>
        <v>0</v>
      </c>
      <c r="BB857" s="97">
        <f>SUM(AR857,AZ857)</f>
        <v>0</v>
      </c>
    </row>
    <row r="858" spans="1:54">
      <c r="A858" s="498">
        <v>605</v>
      </c>
      <c r="B858" s="13"/>
      <c r="C858" s="13"/>
      <c r="D858" s="13"/>
      <c r="E858" s="21" t="s">
        <v>572</v>
      </c>
      <c r="F858" s="232" t="s">
        <v>235</v>
      </c>
      <c r="G858" s="430" t="s">
        <v>1105</v>
      </c>
      <c r="H858" s="268" t="s">
        <v>365</v>
      </c>
      <c r="I858" s="55"/>
      <c r="J858" s="102">
        <v>5550</v>
      </c>
      <c r="K858" s="55"/>
      <c r="L858" s="102">
        <v>5550</v>
      </c>
      <c r="M858" s="55"/>
      <c r="N858" s="163">
        <v>5550</v>
      </c>
      <c r="O858" s="143"/>
      <c r="P858" s="163">
        <v>5550</v>
      </c>
      <c r="Q858" s="97">
        <f t="shared" ref="Q858:Q859" si="7185">SUM(AI858+BA858)</f>
        <v>0</v>
      </c>
      <c r="R858" s="342">
        <f t="shared" ref="R858:R859" si="7186">SUM(AJ858+BB858)</f>
        <v>0</v>
      </c>
      <c r="S858" s="97"/>
      <c r="T858" s="97">
        <f t="shared" ref="T858:T859" si="7187">J858*S858/1000</f>
        <v>0</v>
      </c>
      <c r="U858" s="97"/>
      <c r="V858" s="177">
        <f t="shared" ref="V858:V859" si="7188">J858*U858/1000</f>
        <v>0</v>
      </c>
      <c r="W858" s="207"/>
      <c r="X858" s="206">
        <f t="shared" ref="X858:X859" si="7189">J858*W858/1000</f>
        <v>0</v>
      </c>
      <c r="Y858" s="189">
        <f t="shared" ref="Y858:Y859" si="7190">SUM(S858+U858+W858)</f>
        <v>0</v>
      </c>
      <c r="Z858" s="177">
        <f t="shared" ref="Z858:Z859" si="7191">SUM(T858+V858+X858)</f>
        <v>0</v>
      </c>
      <c r="AA858" s="207"/>
      <c r="AB858" s="206">
        <f t="shared" ref="AB858:AB859" si="7192">L858*AA858/1000</f>
        <v>0</v>
      </c>
      <c r="AC858" s="207"/>
      <c r="AD858" s="177">
        <f t="shared" ref="AD858:AD859" si="7193">L858*AC858/1000</f>
        <v>0</v>
      </c>
      <c r="AE858" s="207"/>
      <c r="AF858" s="206">
        <f>L858*AE858/1000</f>
        <v>0</v>
      </c>
      <c r="AG858" s="189">
        <f t="shared" ref="AG858:AG859" si="7194">SUM(AA858+AC858+AE858)</f>
        <v>0</v>
      </c>
      <c r="AH858" s="97">
        <f t="shared" ref="AH858:AH859" si="7195">SUM(AB858+AD858+AF858)</f>
        <v>0</v>
      </c>
      <c r="AI858" s="97">
        <f t="shared" ref="AI858:AI859" si="7196">SUM(Y858+AG858)</f>
        <v>0</v>
      </c>
      <c r="AJ858" s="177">
        <f t="shared" ref="AJ858:AJ859" si="7197">SUM(Z858,AH858)</f>
        <v>0</v>
      </c>
      <c r="AK858" s="207"/>
      <c r="AL858" s="177">
        <f t="shared" si="7169"/>
        <v>0</v>
      </c>
      <c r="AM858" s="245"/>
      <c r="AN858" s="177">
        <f t="shared" ref="AN858:AN859" si="7198">N858*AM858/1000</f>
        <v>0</v>
      </c>
      <c r="AO858" s="207"/>
      <c r="AP858" s="206">
        <f t="shared" ref="AP858" si="7199">N858*AO858/1000</f>
        <v>0</v>
      </c>
      <c r="AQ858" s="189">
        <f t="shared" ref="AQ858:AQ859" si="7200">SUM(AK858+AM858+AO858)</f>
        <v>0</v>
      </c>
      <c r="AR858" s="97">
        <f t="shared" ref="AR858:AR859" si="7201">SUM(AL858+AN858+AP858)</f>
        <v>0</v>
      </c>
      <c r="AS858" s="97"/>
      <c r="AT858" s="177">
        <f t="shared" ref="AT858:AT859" si="7202">P858*AS858/1000</f>
        <v>0</v>
      </c>
      <c r="AU858" s="207"/>
      <c r="AV858" s="177">
        <f t="shared" ref="AV858:AV859" si="7203">P858*AU858/1000</f>
        <v>0</v>
      </c>
      <c r="AW858" s="207"/>
      <c r="AX858" s="206">
        <f t="shared" ref="AX858:AX859" si="7204">P858*AW858/1000</f>
        <v>0</v>
      </c>
      <c r="AY858" s="189">
        <f t="shared" ref="AY858:AY859" si="7205">SUM(AS858+AU858+AW858)</f>
        <v>0</v>
      </c>
      <c r="AZ858" s="97">
        <f t="shared" ref="AZ858:AZ859" si="7206">SUM(AT858+AV858+AX858)</f>
        <v>0</v>
      </c>
      <c r="BA858" s="97">
        <f t="shared" ref="BA858:BA859" si="7207">SUM(AQ858+AY858)</f>
        <v>0</v>
      </c>
      <c r="BB858" s="97">
        <f t="shared" ref="BB858:BB859" si="7208">SUM(AR858,AZ858)</f>
        <v>0</v>
      </c>
    </row>
    <row r="859" spans="1:54">
      <c r="A859" s="498">
        <v>606</v>
      </c>
      <c r="B859" s="13"/>
      <c r="C859" s="23"/>
      <c r="D859" s="13"/>
      <c r="E859" s="21" t="s">
        <v>580</v>
      </c>
      <c r="F859" s="22" t="s">
        <v>234</v>
      </c>
      <c r="G859" s="22" t="s">
        <v>1105</v>
      </c>
      <c r="H859" s="268" t="s">
        <v>365</v>
      </c>
      <c r="I859" s="55"/>
      <c r="J859" s="102">
        <v>5660</v>
      </c>
      <c r="K859" s="55"/>
      <c r="L859" s="102">
        <v>5660</v>
      </c>
      <c r="M859" s="55"/>
      <c r="N859" s="163">
        <v>5660</v>
      </c>
      <c r="O859" s="143"/>
      <c r="P859" s="163">
        <v>5660</v>
      </c>
      <c r="Q859" s="97">
        <f t="shared" si="7185"/>
        <v>0</v>
      </c>
      <c r="R859" s="342">
        <f t="shared" si="7186"/>
        <v>0</v>
      </c>
      <c r="S859" s="97"/>
      <c r="T859" s="97">
        <f t="shared" si="7187"/>
        <v>0</v>
      </c>
      <c r="U859" s="97"/>
      <c r="V859" s="177">
        <f t="shared" si="7188"/>
        <v>0</v>
      </c>
      <c r="W859" s="207"/>
      <c r="X859" s="206">
        <f t="shared" si="7189"/>
        <v>0</v>
      </c>
      <c r="Y859" s="189">
        <f t="shared" si="7190"/>
        <v>0</v>
      </c>
      <c r="Z859" s="177">
        <f t="shared" si="7191"/>
        <v>0</v>
      </c>
      <c r="AA859" s="207"/>
      <c r="AB859" s="206">
        <f t="shared" si="7192"/>
        <v>0</v>
      </c>
      <c r="AC859" s="207"/>
      <c r="AD859" s="177">
        <f t="shared" si="7193"/>
        <v>0</v>
      </c>
      <c r="AE859" s="207"/>
      <c r="AF859" s="206">
        <f t="shared" ref="AF859" si="7209">L859*AE859/1000</f>
        <v>0</v>
      </c>
      <c r="AG859" s="189">
        <f t="shared" si="7194"/>
        <v>0</v>
      </c>
      <c r="AH859" s="97">
        <f t="shared" si="7195"/>
        <v>0</v>
      </c>
      <c r="AI859" s="97">
        <f t="shared" si="7196"/>
        <v>0</v>
      </c>
      <c r="AJ859" s="177">
        <f t="shared" si="7197"/>
        <v>0</v>
      </c>
      <c r="AK859" s="207"/>
      <c r="AL859" s="177">
        <f t="shared" si="7169"/>
        <v>0</v>
      </c>
      <c r="AM859" s="245"/>
      <c r="AN859" s="177">
        <f t="shared" si="7198"/>
        <v>0</v>
      </c>
      <c r="AO859" s="207"/>
      <c r="AP859" s="206">
        <f>N859*AO859/1000</f>
        <v>0</v>
      </c>
      <c r="AQ859" s="189">
        <f t="shared" si="7200"/>
        <v>0</v>
      </c>
      <c r="AR859" s="97">
        <f t="shared" si="7201"/>
        <v>0</v>
      </c>
      <c r="AS859" s="97"/>
      <c r="AT859" s="177">
        <f t="shared" si="7202"/>
        <v>0</v>
      </c>
      <c r="AU859" s="207"/>
      <c r="AV859" s="177">
        <f t="shared" si="7203"/>
        <v>0</v>
      </c>
      <c r="AW859" s="207"/>
      <c r="AX859" s="206">
        <f t="shared" si="7204"/>
        <v>0</v>
      </c>
      <c r="AY859" s="189">
        <f t="shared" si="7205"/>
        <v>0</v>
      </c>
      <c r="AZ859" s="97">
        <f t="shared" si="7206"/>
        <v>0</v>
      </c>
      <c r="BA859" s="97">
        <f t="shared" si="7207"/>
        <v>0</v>
      </c>
      <c r="BB859" s="97">
        <f t="shared" si="7208"/>
        <v>0</v>
      </c>
    </row>
    <row r="860" spans="1:54">
      <c r="A860" s="498">
        <v>607</v>
      </c>
      <c r="B860" s="13"/>
      <c r="C860" s="23"/>
      <c r="D860" s="13"/>
      <c r="E860" s="21" t="s">
        <v>739</v>
      </c>
      <c r="F860" s="37" t="s">
        <v>554</v>
      </c>
      <c r="G860" s="64" t="s">
        <v>1105</v>
      </c>
      <c r="H860" s="268" t="s">
        <v>365</v>
      </c>
      <c r="I860" s="55"/>
      <c r="J860" s="102">
        <v>5660</v>
      </c>
      <c r="K860" s="55"/>
      <c r="L860" s="102">
        <v>5660</v>
      </c>
      <c r="M860" s="55"/>
      <c r="N860" s="163">
        <v>5660</v>
      </c>
      <c r="O860" s="143"/>
      <c r="P860" s="163">
        <v>5660</v>
      </c>
      <c r="Q860" s="97">
        <f>SUM(AI860+BA860)</f>
        <v>0</v>
      </c>
      <c r="R860" s="342">
        <f t="shared" ref="R860" si="7210">SUM(AJ860+BB860)</f>
        <v>0</v>
      </c>
      <c r="S860" s="97"/>
      <c r="T860" s="97">
        <f t="shared" ref="T860" si="7211">J860*S860/1000</f>
        <v>0</v>
      </c>
      <c r="U860" s="97"/>
      <c r="V860" s="177">
        <f t="shared" ref="V860" si="7212">J860*U860/1000</f>
        <v>0</v>
      </c>
      <c r="W860" s="207"/>
      <c r="X860" s="206">
        <f t="shared" ref="X860" si="7213">J860*W860/1000</f>
        <v>0</v>
      </c>
      <c r="Y860" s="189">
        <f t="shared" ref="Y860" si="7214">SUM(S860+U860+W860)</f>
        <v>0</v>
      </c>
      <c r="Z860" s="177">
        <f t="shared" ref="Z860" si="7215">SUM(T860+V860+X860)</f>
        <v>0</v>
      </c>
      <c r="AA860" s="207"/>
      <c r="AB860" s="206">
        <f t="shared" ref="AB860" si="7216">L860*AA860/1000</f>
        <v>0</v>
      </c>
      <c r="AC860" s="207"/>
      <c r="AD860" s="177">
        <f t="shared" ref="AD860" si="7217">L860*AC860/1000</f>
        <v>0</v>
      </c>
      <c r="AE860" s="207"/>
      <c r="AF860" s="436">
        <f t="shared" ref="AF860" si="7218">L860*AE860/1000</f>
        <v>0</v>
      </c>
      <c r="AG860" s="189">
        <f t="shared" ref="AG860" si="7219">SUM(AA860+AC860+AE860)</f>
        <v>0</v>
      </c>
      <c r="AH860" s="97">
        <f t="shared" ref="AH860" si="7220">SUM(AB860+AD860+AF860)</f>
        <v>0</v>
      </c>
      <c r="AI860" s="97">
        <f t="shared" ref="AI860" si="7221">SUM(Y860+AG860)</f>
        <v>0</v>
      </c>
      <c r="AJ860" s="177">
        <f t="shared" ref="AJ860" si="7222">SUM(Z860,AH860)</f>
        <v>0</v>
      </c>
      <c r="AK860" s="207"/>
      <c r="AL860" s="177">
        <f t="shared" si="7169"/>
        <v>0</v>
      </c>
      <c r="AM860" s="245"/>
      <c r="AN860" s="177">
        <f t="shared" ref="AN860" si="7223">N860*AM860/1000</f>
        <v>0</v>
      </c>
      <c r="AO860" s="207"/>
      <c r="AP860" s="206">
        <f>N860*AO860/1000</f>
        <v>0</v>
      </c>
      <c r="AQ860" s="189">
        <f t="shared" ref="AQ860" si="7224">SUM(AK860+AM860+AO860)</f>
        <v>0</v>
      </c>
      <c r="AR860" s="97">
        <f t="shared" ref="AR860" si="7225">SUM(AL860+AN860+AP860)</f>
        <v>0</v>
      </c>
      <c r="AS860" s="97"/>
      <c r="AT860" s="177">
        <f t="shared" ref="AT860" si="7226">P860*AS860/1000</f>
        <v>0</v>
      </c>
      <c r="AU860" s="207"/>
      <c r="AV860" s="177">
        <f t="shared" ref="AV860" si="7227">P860*AU860/1000</f>
        <v>0</v>
      </c>
      <c r="AW860" s="207"/>
      <c r="AX860" s="206">
        <f t="shared" ref="AX860" si="7228">P860*AW860/1000</f>
        <v>0</v>
      </c>
      <c r="AY860" s="189">
        <f t="shared" ref="AY860" si="7229">SUM(AS860+AU860+AW860)</f>
        <v>0</v>
      </c>
      <c r="AZ860" s="97">
        <f t="shared" ref="AZ860" si="7230">SUM(AT860+AV860+AX860)</f>
        <v>0</v>
      </c>
      <c r="BA860" s="97">
        <f t="shared" ref="BA860" si="7231">SUM(AQ860+AY860)</f>
        <v>0</v>
      </c>
      <c r="BB860" s="97">
        <f t="shared" ref="BB860" si="7232">SUM(AR860,AZ860)</f>
        <v>0</v>
      </c>
    </row>
    <row r="861" spans="1:54">
      <c r="A861" s="498">
        <v>608</v>
      </c>
      <c r="B861" s="13"/>
      <c r="C861" s="23"/>
      <c r="D861" s="13"/>
      <c r="E861" s="21" t="s">
        <v>627</v>
      </c>
      <c r="F861" s="22" t="s">
        <v>554</v>
      </c>
      <c r="G861" s="22" t="s">
        <v>1105</v>
      </c>
      <c r="H861" s="268" t="s">
        <v>366</v>
      </c>
      <c r="I861" s="55"/>
      <c r="J861" s="102">
        <v>7920</v>
      </c>
      <c r="K861" s="55"/>
      <c r="L861" s="102">
        <v>7920</v>
      </c>
      <c r="M861" s="55"/>
      <c r="N861" s="102">
        <v>7920</v>
      </c>
      <c r="O861" s="55"/>
      <c r="P861" s="102">
        <v>7920</v>
      </c>
      <c r="Q861" s="97">
        <f t="shared" si="6849"/>
        <v>0</v>
      </c>
      <c r="R861" s="342">
        <f t="shared" si="6850"/>
        <v>0</v>
      </c>
      <c r="S861" s="97"/>
      <c r="T861" s="97">
        <f t="shared" si="7100"/>
        <v>0</v>
      </c>
      <c r="U861" s="97"/>
      <c r="V861" s="177">
        <f t="shared" si="7101"/>
        <v>0</v>
      </c>
      <c r="W861" s="97"/>
      <c r="X861" s="206">
        <f t="shared" si="7102"/>
        <v>0</v>
      </c>
      <c r="Y861" s="189">
        <f t="shared" ref="Y861" si="7233">SUM(S861+U861+W861)</f>
        <v>0</v>
      </c>
      <c r="Z861" s="177">
        <f t="shared" ref="Z861" si="7234">SUM(T861+V861+X861)</f>
        <v>0</v>
      </c>
      <c r="AA861" s="97"/>
      <c r="AB861" s="206">
        <f t="shared" si="7103"/>
        <v>0</v>
      </c>
      <c r="AC861" s="97"/>
      <c r="AD861" s="177">
        <f t="shared" si="7104"/>
        <v>0</v>
      </c>
      <c r="AE861" s="97"/>
      <c r="AF861" s="225">
        <f t="shared" si="7080"/>
        <v>0</v>
      </c>
      <c r="AG861" s="189">
        <f t="shared" ref="AG861" si="7235">SUM(AA861+AC861+AE861)</f>
        <v>0</v>
      </c>
      <c r="AH861" s="97">
        <f t="shared" ref="AH861" si="7236">SUM(AB861+AD861+AF861)</f>
        <v>0</v>
      </c>
      <c r="AI861" s="97">
        <f t="shared" ref="AI861" si="7237">SUM(Y861+AG861)</f>
        <v>0</v>
      </c>
      <c r="AJ861" s="177">
        <f t="shared" ref="AJ861" si="7238">SUM(Z861,AH861)</f>
        <v>0</v>
      </c>
      <c r="AK861" s="97"/>
      <c r="AL861" s="177">
        <f t="shared" ref="AL861" si="7239">N861*AK861/1000</f>
        <v>0</v>
      </c>
      <c r="AM861" s="97"/>
      <c r="AN861" s="177">
        <f t="shared" ref="AN861" si="7240">N861*AM861/1000</f>
        <v>0</v>
      </c>
      <c r="AO861" s="207"/>
      <c r="AP861" s="206">
        <f t="shared" ref="AP861" si="7241">N861*AO861/1000</f>
        <v>0</v>
      </c>
      <c r="AQ861" s="189">
        <f t="shared" ref="AQ861" si="7242">SUM(AK861+AM861+AO861)</f>
        <v>0</v>
      </c>
      <c r="AR861" s="97">
        <f t="shared" ref="AR861" si="7243">SUM(AL861+AN861+AP861)</f>
        <v>0</v>
      </c>
      <c r="AS861" s="97"/>
      <c r="AT861" s="177">
        <f t="shared" si="7089"/>
        <v>0</v>
      </c>
      <c r="AU861" s="207"/>
      <c r="AV861" s="177">
        <f>P861*AU861/1000</f>
        <v>0</v>
      </c>
      <c r="AW861" s="207"/>
      <c r="AX861" s="206">
        <f t="shared" ref="AX861" si="7244">P861*AW861/1000</f>
        <v>0</v>
      </c>
      <c r="AY861" s="189">
        <f t="shared" ref="AY861" si="7245">SUM(AS861+AU861+AW861)</f>
        <v>0</v>
      </c>
      <c r="AZ861" s="97">
        <f t="shared" ref="AZ861" si="7246">SUM(AT861+AV861+AX861)</f>
        <v>0</v>
      </c>
      <c r="BA861" s="97">
        <f t="shared" ref="BA861" si="7247">SUM(AQ861+AY861)</f>
        <v>0</v>
      </c>
      <c r="BB861" s="97">
        <f t="shared" ref="BB861" si="7248">SUM(AR861,AZ861)</f>
        <v>0</v>
      </c>
    </row>
    <row r="862" spans="1:54">
      <c r="A862" s="498">
        <v>609</v>
      </c>
      <c r="B862" s="13"/>
      <c r="C862" s="23"/>
      <c r="D862" s="13"/>
      <c r="E862" s="21" t="s">
        <v>552</v>
      </c>
      <c r="F862" s="22" t="s">
        <v>554</v>
      </c>
      <c r="G862" s="22" t="s">
        <v>1105</v>
      </c>
      <c r="H862" s="268" t="s">
        <v>366</v>
      </c>
      <c r="I862" s="55"/>
      <c r="J862" s="102">
        <v>7920</v>
      </c>
      <c r="K862" s="55"/>
      <c r="L862" s="102">
        <v>7920</v>
      </c>
      <c r="M862" s="55"/>
      <c r="N862" s="102">
        <v>7920</v>
      </c>
      <c r="O862" s="55"/>
      <c r="P862" s="102">
        <v>7920</v>
      </c>
      <c r="Q862" s="97">
        <f t="shared" ref="Q862" si="7249">SUM(AI862+BA862)</f>
        <v>0</v>
      </c>
      <c r="R862" s="342">
        <f t="shared" ref="R862" si="7250">SUM(AJ862+BB862)</f>
        <v>0</v>
      </c>
      <c r="S862" s="97"/>
      <c r="T862" s="97">
        <f t="shared" ref="T862" si="7251">J862*S862/1000</f>
        <v>0</v>
      </c>
      <c r="U862" s="97"/>
      <c r="V862" s="177">
        <f t="shared" ref="V862" si="7252">J862*U862/1000</f>
        <v>0</v>
      </c>
      <c r="W862" s="97"/>
      <c r="X862" s="206">
        <f t="shared" ref="X862" si="7253">J862*W862/1000</f>
        <v>0</v>
      </c>
      <c r="Y862" s="189">
        <f t="shared" si="7109"/>
        <v>0</v>
      </c>
      <c r="Z862" s="177">
        <f t="shared" si="7110"/>
        <v>0</v>
      </c>
      <c r="AA862" s="97"/>
      <c r="AB862" s="206">
        <f t="shared" ref="AB862" si="7254">L862*AA862/1000</f>
        <v>0</v>
      </c>
      <c r="AC862" s="97"/>
      <c r="AD862" s="177">
        <f t="shared" ref="AD862" si="7255">L862*AC862/1000</f>
        <v>0</v>
      </c>
      <c r="AE862" s="97"/>
      <c r="AF862" s="206">
        <f t="shared" si="7080"/>
        <v>0</v>
      </c>
      <c r="AG862" s="189">
        <f t="shared" si="7111"/>
        <v>0</v>
      </c>
      <c r="AH862" s="97">
        <f t="shared" si="7112"/>
        <v>0</v>
      </c>
      <c r="AI862" s="97">
        <f t="shared" si="7113"/>
        <v>0</v>
      </c>
      <c r="AJ862" s="177">
        <f t="shared" si="7114"/>
        <v>0</v>
      </c>
      <c r="AK862" s="97"/>
      <c r="AL862" s="177">
        <f>N862*AK862/1000</f>
        <v>0</v>
      </c>
      <c r="AM862" s="97"/>
      <c r="AN862" s="177">
        <f t="shared" si="7116"/>
        <v>0</v>
      </c>
      <c r="AO862" s="207"/>
      <c r="AP862" s="206">
        <f t="shared" si="7117"/>
        <v>0</v>
      </c>
      <c r="AQ862" s="189">
        <f t="shared" si="7118"/>
        <v>0</v>
      </c>
      <c r="AR862" s="97">
        <f t="shared" si="7119"/>
        <v>0</v>
      </c>
      <c r="AS862" s="97"/>
      <c r="AT862" s="177">
        <f t="shared" ref="AT862" si="7256">P862*AS862/1000</f>
        <v>0</v>
      </c>
      <c r="AU862" s="207"/>
      <c r="AV862" s="177">
        <f>P862*AU862/1000</f>
        <v>0</v>
      </c>
      <c r="AW862" s="207"/>
      <c r="AX862" s="206">
        <f t="shared" si="7108"/>
        <v>0</v>
      </c>
      <c r="AY862" s="189">
        <f t="shared" si="7120"/>
        <v>0</v>
      </c>
      <c r="AZ862" s="97">
        <f t="shared" si="7121"/>
        <v>0</v>
      </c>
      <c r="BA862" s="97">
        <f t="shared" si="7122"/>
        <v>0</v>
      </c>
      <c r="BB862" s="97">
        <f t="shared" si="7123"/>
        <v>0</v>
      </c>
    </row>
    <row r="863" spans="1:54">
      <c r="A863" s="498">
        <v>610</v>
      </c>
      <c r="B863" s="13"/>
      <c r="C863" s="23"/>
      <c r="D863" s="13"/>
      <c r="E863" s="24" t="s">
        <v>553</v>
      </c>
      <c r="F863" s="84" t="s">
        <v>554</v>
      </c>
      <c r="G863" s="84" t="s">
        <v>1105</v>
      </c>
      <c r="H863" s="285" t="s">
        <v>366</v>
      </c>
      <c r="I863" s="80"/>
      <c r="J863" s="116">
        <v>7920</v>
      </c>
      <c r="K863" s="80"/>
      <c r="L863" s="116">
        <v>7920</v>
      </c>
      <c r="M863" s="80"/>
      <c r="N863" s="116">
        <v>7920</v>
      </c>
      <c r="O863" s="80"/>
      <c r="P863" s="116">
        <v>7920</v>
      </c>
      <c r="Q863" s="134">
        <f t="shared" si="6849"/>
        <v>0</v>
      </c>
      <c r="R863" s="347">
        <f t="shared" si="6850"/>
        <v>0</v>
      </c>
      <c r="S863" s="134"/>
      <c r="T863" s="134">
        <f t="shared" si="7100"/>
        <v>0</v>
      </c>
      <c r="U863" s="134"/>
      <c r="V863" s="187">
        <f t="shared" si="7101"/>
        <v>0</v>
      </c>
      <c r="W863" s="134"/>
      <c r="X863" s="374">
        <f t="shared" si="7102"/>
        <v>0</v>
      </c>
      <c r="Y863" s="200">
        <f t="shared" si="6851"/>
        <v>0</v>
      </c>
      <c r="Z863" s="187">
        <f t="shared" si="6852"/>
        <v>0</v>
      </c>
      <c r="AA863" s="134"/>
      <c r="AB863" s="374">
        <f t="shared" si="7103"/>
        <v>0</v>
      </c>
      <c r="AC863" s="134"/>
      <c r="AD863" s="187">
        <f t="shared" si="7104"/>
        <v>0</v>
      </c>
      <c r="AE863" s="134"/>
      <c r="AF863" s="215">
        <f>L863*AE863/1000</f>
        <v>0</v>
      </c>
      <c r="AG863" s="200">
        <f t="shared" si="6853"/>
        <v>0</v>
      </c>
      <c r="AH863" s="134">
        <f t="shared" si="7050"/>
        <v>0</v>
      </c>
      <c r="AI863" s="134">
        <f t="shared" si="6854"/>
        <v>0</v>
      </c>
      <c r="AJ863" s="187">
        <f t="shared" si="6855"/>
        <v>0</v>
      </c>
      <c r="AK863" s="134"/>
      <c r="AL863" s="187">
        <f t="shared" si="7105"/>
        <v>0</v>
      </c>
      <c r="AM863" s="134"/>
      <c r="AN863" s="187">
        <f t="shared" si="7106"/>
        <v>0</v>
      </c>
      <c r="AO863" s="373"/>
      <c r="AP863" s="374">
        <f t="shared" si="7107"/>
        <v>0</v>
      </c>
      <c r="AQ863" s="200">
        <f t="shared" si="6857"/>
        <v>0</v>
      </c>
      <c r="AR863" s="134">
        <f t="shared" si="6858"/>
        <v>0</v>
      </c>
      <c r="AS863" s="134"/>
      <c r="AT863" s="187">
        <f t="shared" si="7089"/>
        <v>0</v>
      </c>
      <c r="AU863" s="373"/>
      <c r="AV863" s="187">
        <f>P863*AU863/1000</f>
        <v>0</v>
      </c>
      <c r="AW863" s="373"/>
      <c r="AX863" s="374">
        <f t="shared" si="7091"/>
        <v>0</v>
      </c>
      <c r="AY863" s="200">
        <f t="shared" si="6859"/>
        <v>0</v>
      </c>
      <c r="AZ863" s="134">
        <f t="shared" si="6860"/>
        <v>0</v>
      </c>
      <c r="BA863" s="134">
        <f t="shared" si="6861"/>
        <v>0</v>
      </c>
      <c r="BB863" s="134">
        <f t="shared" si="6862"/>
        <v>0</v>
      </c>
    </row>
    <row r="864" spans="1:54">
      <c r="A864" s="498">
        <v>611</v>
      </c>
      <c r="B864" s="13"/>
      <c r="C864" s="236"/>
      <c r="D864" s="412"/>
      <c r="E864" s="329" t="s">
        <v>337</v>
      </c>
      <c r="F864" s="236"/>
      <c r="G864" s="236"/>
      <c r="H864" s="269"/>
      <c r="I864" s="74"/>
      <c r="J864" s="115"/>
      <c r="K864" s="74"/>
      <c r="L864" s="171"/>
      <c r="M864" s="74"/>
      <c r="N864" s="171"/>
      <c r="O864" s="152"/>
      <c r="P864" s="115"/>
      <c r="Q864" s="123">
        <f>SUM(Q855:Q863)</f>
        <v>0</v>
      </c>
      <c r="R864" s="123">
        <f>SUM(R855:R863)</f>
        <v>0</v>
      </c>
      <c r="S864" s="123">
        <f>SUM(S855:S863)</f>
        <v>0</v>
      </c>
      <c r="T864" s="123">
        <f t="shared" ref="T864:BB864" si="7257">SUM(T855:T863)</f>
        <v>0</v>
      </c>
      <c r="U864" s="123">
        <f t="shared" si="7257"/>
        <v>0</v>
      </c>
      <c r="V864" s="123">
        <f t="shared" si="7257"/>
        <v>0</v>
      </c>
      <c r="W864" s="123">
        <f t="shared" si="7257"/>
        <v>0</v>
      </c>
      <c r="X864" s="123">
        <f t="shared" si="7257"/>
        <v>0</v>
      </c>
      <c r="Y864" s="123">
        <f t="shared" si="7257"/>
        <v>0</v>
      </c>
      <c r="Z864" s="123">
        <f t="shared" si="7257"/>
        <v>0</v>
      </c>
      <c r="AA864" s="123">
        <f>SUM(AA855:AA863)</f>
        <v>0</v>
      </c>
      <c r="AB864" s="123">
        <f t="shared" si="7257"/>
        <v>0</v>
      </c>
      <c r="AC864" s="123">
        <f t="shared" si="7257"/>
        <v>0</v>
      </c>
      <c r="AD864" s="123">
        <f t="shared" si="7257"/>
        <v>0</v>
      </c>
      <c r="AE864" s="123">
        <f t="shared" si="7257"/>
        <v>0</v>
      </c>
      <c r="AF864" s="123">
        <f t="shared" si="7257"/>
        <v>0</v>
      </c>
      <c r="AG864" s="123">
        <f t="shared" si="7257"/>
        <v>0</v>
      </c>
      <c r="AH864" s="123">
        <f t="shared" si="7257"/>
        <v>0</v>
      </c>
      <c r="AI864" s="123">
        <f>SUM(AI855:AI863)</f>
        <v>0</v>
      </c>
      <c r="AJ864" s="123">
        <f t="shared" si="7257"/>
        <v>0</v>
      </c>
      <c r="AK864" s="123">
        <f>SUM(AK855:AK863)</f>
        <v>0</v>
      </c>
      <c r="AL864" s="123">
        <f t="shared" si="7257"/>
        <v>0</v>
      </c>
      <c r="AM864" s="123">
        <f t="shared" si="7257"/>
        <v>0</v>
      </c>
      <c r="AN864" s="123">
        <f t="shared" si="7257"/>
        <v>0</v>
      </c>
      <c r="AO864" s="123">
        <f t="shared" si="7257"/>
        <v>0</v>
      </c>
      <c r="AP864" s="123">
        <f t="shared" si="7257"/>
        <v>0</v>
      </c>
      <c r="AQ864" s="123">
        <f t="shared" si="7257"/>
        <v>0</v>
      </c>
      <c r="AR864" s="123">
        <f t="shared" si="7257"/>
        <v>0</v>
      </c>
      <c r="AS864" s="123">
        <f t="shared" si="7257"/>
        <v>0</v>
      </c>
      <c r="AT864" s="123">
        <f t="shared" si="7257"/>
        <v>0</v>
      </c>
      <c r="AU864" s="123">
        <f t="shared" si="7257"/>
        <v>0</v>
      </c>
      <c r="AV864" s="123">
        <f t="shared" si="7257"/>
        <v>0</v>
      </c>
      <c r="AW864" s="123">
        <f t="shared" si="7257"/>
        <v>0</v>
      </c>
      <c r="AX864" s="123">
        <f t="shared" si="7257"/>
        <v>0</v>
      </c>
      <c r="AY864" s="123">
        <f t="shared" si="7257"/>
        <v>0</v>
      </c>
      <c r="AZ864" s="123">
        <f t="shared" si="7257"/>
        <v>0</v>
      </c>
      <c r="BA864" s="123">
        <f t="shared" si="7257"/>
        <v>0</v>
      </c>
      <c r="BB864" s="123">
        <f t="shared" si="7257"/>
        <v>0</v>
      </c>
    </row>
    <row r="865" spans="1:54">
      <c r="A865" s="498">
        <v>612</v>
      </c>
      <c r="B865" s="13"/>
      <c r="C865" s="236"/>
      <c r="D865" s="53" t="s">
        <v>341</v>
      </c>
      <c r="E865" s="53" t="s">
        <v>628</v>
      </c>
      <c r="F865" s="413"/>
      <c r="G865" s="413" t="s">
        <v>1105</v>
      </c>
      <c r="H865" s="283" t="s">
        <v>366</v>
      </c>
      <c r="I865" s="54">
        <v>25.35</v>
      </c>
      <c r="J865" s="114"/>
      <c r="K865" s="54">
        <v>25.35</v>
      </c>
      <c r="L865" s="170"/>
      <c r="M865" s="54">
        <v>25.35</v>
      </c>
      <c r="N865" s="170"/>
      <c r="O865" s="54">
        <v>25.35</v>
      </c>
      <c r="P865" s="114"/>
      <c r="Q865" s="128">
        <f t="shared" ref="Q865" si="7258">SUM(AI865+BA865)</f>
        <v>0</v>
      </c>
      <c r="R865" s="348">
        <f t="shared" si="6850"/>
        <v>0</v>
      </c>
      <c r="S865" s="128"/>
      <c r="T865" s="128">
        <f t="shared" ref="T865:T866" si="7259">I865*S865*$T$2/1000</f>
        <v>0</v>
      </c>
      <c r="U865" s="128"/>
      <c r="V865" s="183">
        <f t="shared" ref="V865:V866" si="7260">I865*U865*$V$2/1000</f>
        <v>0</v>
      </c>
      <c r="W865" s="220"/>
      <c r="X865" s="221">
        <f t="shared" ref="X865:X866" si="7261">I865*W865*$X$2/1000</f>
        <v>0</v>
      </c>
      <c r="Y865" s="196">
        <f t="shared" ref="Y865" si="7262">SUM(S865+U865+W865)</f>
        <v>0</v>
      </c>
      <c r="Z865" s="183">
        <f t="shared" si="6852"/>
        <v>0</v>
      </c>
      <c r="AA865" s="220"/>
      <c r="AB865" s="221">
        <f t="shared" ref="AB865:AB866" si="7263">K865*AA865*$AB$2/1000</f>
        <v>0</v>
      </c>
      <c r="AC865" s="220"/>
      <c r="AD865" s="183">
        <f t="shared" ref="AD865:AD866" si="7264">K865*AC865*$AD$2/1000</f>
        <v>0</v>
      </c>
      <c r="AE865" s="220"/>
      <c r="AF865" s="213">
        <f>K865*AE865*$AF$2/1000</f>
        <v>0</v>
      </c>
      <c r="AG865" s="196">
        <f t="shared" ref="AG865:AG868" si="7265">SUM(AA865+AC865+AE865)</f>
        <v>0</v>
      </c>
      <c r="AH865" s="128">
        <f t="shared" si="7050"/>
        <v>0</v>
      </c>
      <c r="AI865" s="128">
        <f t="shared" si="6854"/>
        <v>0</v>
      </c>
      <c r="AJ865" s="183">
        <f t="shared" si="6855"/>
        <v>0</v>
      </c>
      <c r="AK865" s="220"/>
      <c r="AL865" s="183">
        <f>M865*AK865*$AL$2/1000</f>
        <v>0</v>
      </c>
      <c r="AM865" s="252"/>
      <c r="AN865" s="183">
        <f t="shared" ref="AN865:AN869" si="7266">M865*AM865*$AN$2/1000</f>
        <v>0</v>
      </c>
      <c r="AO865" s="220"/>
      <c r="AP865" s="221">
        <f t="shared" ref="AP865" si="7267">M865*AO865*$AP$2/1000</f>
        <v>0</v>
      </c>
      <c r="AQ865" s="196">
        <f t="shared" ref="AQ865:AQ869" si="7268">SUM(AK865+AM865+AO865)</f>
        <v>0</v>
      </c>
      <c r="AR865" s="128">
        <f t="shared" si="6858"/>
        <v>0</v>
      </c>
      <c r="AS865" s="128"/>
      <c r="AT865" s="183">
        <f t="shared" ref="AT865:AT866" si="7269">O865*AS865*$AT$2/1000</f>
        <v>0</v>
      </c>
      <c r="AU865" s="220"/>
      <c r="AV865" s="183">
        <f t="shared" ref="AV865:AV866" si="7270">O865*AU865*$AV$2/1000</f>
        <v>0</v>
      </c>
      <c r="AW865" s="220"/>
      <c r="AX865" s="221">
        <f t="shared" ref="AX865:AX866" si="7271">O865*AW865*$AX$2/1000</f>
        <v>0</v>
      </c>
      <c r="AY865" s="196">
        <f t="shared" ref="AY865" si="7272">SUM(AS865+AU865+AW865)</f>
        <v>0</v>
      </c>
      <c r="AZ865" s="128">
        <f t="shared" si="6860"/>
        <v>0</v>
      </c>
      <c r="BA865" s="128">
        <f t="shared" si="6861"/>
        <v>0</v>
      </c>
      <c r="BB865" s="128">
        <f t="shared" si="6862"/>
        <v>0</v>
      </c>
    </row>
    <row r="866" spans="1:54">
      <c r="A866" s="498">
        <v>613</v>
      </c>
      <c r="B866" s="13"/>
      <c r="C866" s="236"/>
      <c r="D866" s="13"/>
      <c r="E866" s="260" t="s">
        <v>342</v>
      </c>
      <c r="F866" s="261"/>
      <c r="G866" s="261" t="s">
        <v>1105</v>
      </c>
      <c r="H866" s="277" t="s">
        <v>366</v>
      </c>
      <c r="I866" s="264">
        <v>26.85</v>
      </c>
      <c r="J866" s="265"/>
      <c r="K866" s="264">
        <v>26.85</v>
      </c>
      <c r="L866" s="266"/>
      <c r="M866" s="264">
        <v>26.85</v>
      </c>
      <c r="N866" s="266"/>
      <c r="O866" s="264">
        <v>26.85</v>
      </c>
      <c r="P866" s="266"/>
      <c r="Q866" s="129">
        <f t="shared" ref="Q866" si="7273">SUM(AI866+BA866)</f>
        <v>0</v>
      </c>
      <c r="R866" s="350">
        <f t="shared" ref="R866" si="7274">SUM(AJ866+BB866)</f>
        <v>0</v>
      </c>
      <c r="S866" s="129"/>
      <c r="T866" s="129">
        <f t="shared" si="7259"/>
        <v>0</v>
      </c>
      <c r="U866" s="129"/>
      <c r="V866" s="184">
        <f t="shared" si="7260"/>
        <v>0</v>
      </c>
      <c r="W866" s="222"/>
      <c r="X866" s="223">
        <f t="shared" si="7261"/>
        <v>0</v>
      </c>
      <c r="Y866" s="197">
        <f>SUM(S866+U866+W866)</f>
        <v>0</v>
      </c>
      <c r="Z866" s="184">
        <f t="shared" ref="Z866" si="7275">SUM(T866+V866+X866)</f>
        <v>0</v>
      </c>
      <c r="AA866" s="222"/>
      <c r="AB866" s="223">
        <f t="shared" si="7263"/>
        <v>0</v>
      </c>
      <c r="AC866" s="222"/>
      <c r="AD866" s="184">
        <f t="shared" si="7264"/>
        <v>0</v>
      </c>
      <c r="AE866" s="222"/>
      <c r="AF866" s="206">
        <f t="shared" ref="AF866" si="7276">K866*AE866*$AF$2/1000</f>
        <v>0</v>
      </c>
      <c r="AG866" s="197">
        <f t="shared" ref="AG866" si="7277">SUM(AA866+AC866+AE866)</f>
        <v>0</v>
      </c>
      <c r="AH866" s="129">
        <f>SUM(AB866+AD866+AF866)</f>
        <v>0</v>
      </c>
      <c r="AI866" s="129">
        <f t="shared" ref="AI866" si="7278">SUM(Y866+AG866)</f>
        <v>0</v>
      </c>
      <c r="AJ866" s="184">
        <f t="shared" ref="AJ866" si="7279">SUM(Z866,AH866)</f>
        <v>0</v>
      </c>
      <c r="AK866" s="222"/>
      <c r="AL866" s="184">
        <f t="shared" ref="AL866" si="7280">M866*AK866*$AL$2/1000</f>
        <v>0</v>
      </c>
      <c r="AM866" s="253"/>
      <c r="AN866" s="184">
        <f t="shared" ref="AN866" si="7281">M866*AM866*$AN$2/1000</f>
        <v>0</v>
      </c>
      <c r="AO866" s="222"/>
      <c r="AP866" s="223">
        <f>M866*AO866*$AP$2/1000</f>
        <v>0</v>
      </c>
      <c r="AQ866" s="197">
        <f t="shared" ref="AQ866" si="7282">SUM(AK866+AM866+AO866)</f>
        <v>0</v>
      </c>
      <c r="AR866" s="129">
        <f t="shared" ref="AR866" si="7283">SUM(AL866+AN866+AP866)</f>
        <v>0</v>
      </c>
      <c r="AS866" s="129"/>
      <c r="AT866" s="184">
        <f t="shared" si="7269"/>
        <v>0</v>
      </c>
      <c r="AU866" s="222"/>
      <c r="AV866" s="184">
        <f t="shared" si="7270"/>
        <v>0</v>
      </c>
      <c r="AW866" s="222"/>
      <c r="AX866" s="223">
        <f t="shared" si="7271"/>
        <v>0</v>
      </c>
      <c r="AY866" s="197">
        <f>SUM(AS866+AU866+AW866)</f>
        <v>0</v>
      </c>
      <c r="AZ866" s="129">
        <f t="shared" ref="AZ866" si="7284">SUM(AT866+AV866+AX866)</f>
        <v>0</v>
      </c>
      <c r="BA866" s="129">
        <f t="shared" ref="BA866" si="7285">SUM(AQ866+AY866)</f>
        <v>0</v>
      </c>
      <c r="BB866" s="129">
        <f t="shared" ref="BB866" si="7286">SUM(AR866,AZ866)</f>
        <v>0</v>
      </c>
    </row>
    <row r="867" spans="1:54">
      <c r="A867" s="498">
        <v>614</v>
      </c>
      <c r="B867" s="13"/>
      <c r="C867" s="236"/>
      <c r="D867" s="13"/>
      <c r="E867" s="260" t="s">
        <v>343</v>
      </c>
      <c r="F867" s="261"/>
      <c r="G867" s="261" t="s">
        <v>1105</v>
      </c>
      <c r="H867" s="277" t="s">
        <v>367</v>
      </c>
      <c r="I867" s="264">
        <v>26.85</v>
      </c>
      <c r="J867" s="265"/>
      <c r="K867" s="264">
        <v>26.85</v>
      </c>
      <c r="L867" s="266"/>
      <c r="M867" s="264">
        <v>26.85</v>
      </c>
      <c r="N867" s="266"/>
      <c r="O867" s="264">
        <v>26.85</v>
      </c>
      <c r="P867" s="266"/>
      <c r="Q867" s="129">
        <f t="shared" si="6849"/>
        <v>0</v>
      </c>
      <c r="R867" s="350">
        <f t="shared" si="6850"/>
        <v>0</v>
      </c>
      <c r="S867" s="129"/>
      <c r="T867" s="129">
        <f t="shared" ref="T867:T869" si="7287">I867*S867*$T$2/1000</f>
        <v>0</v>
      </c>
      <c r="U867" s="129"/>
      <c r="V867" s="184">
        <f t="shared" ref="V867:V868" si="7288">I867*U867*$V$2/1000</f>
        <v>0</v>
      </c>
      <c r="W867" s="222"/>
      <c r="X867" s="223">
        <f t="shared" ref="X867:X869" si="7289">I867*W867*$X$2/1000</f>
        <v>0</v>
      </c>
      <c r="Y867" s="197">
        <f t="shared" ref="Y867:Y869" si="7290">SUM(S867+U867+W867)</f>
        <v>0</v>
      </c>
      <c r="Z867" s="184">
        <f t="shared" si="6852"/>
        <v>0</v>
      </c>
      <c r="AA867" s="222"/>
      <c r="AB867" s="223">
        <f t="shared" ref="AB867:AB869" si="7291">K867*AA867*$AB$2/1000</f>
        <v>0</v>
      </c>
      <c r="AC867" s="222"/>
      <c r="AD867" s="184">
        <f t="shared" ref="AD867:AD869" si="7292">K867*AC867*$AD$2/1000</f>
        <v>0</v>
      </c>
      <c r="AE867" s="222"/>
      <c r="AF867" s="206">
        <f t="shared" ref="AF867:AF869" si="7293">K867*AE867*$AF$2/1000</f>
        <v>0</v>
      </c>
      <c r="AG867" s="197">
        <f t="shared" si="7265"/>
        <v>0</v>
      </c>
      <c r="AH867" s="129">
        <f t="shared" si="7050"/>
        <v>0</v>
      </c>
      <c r="AI867" s="129">
        <f t="shared" si="6854"/>
        <v>0</v>
      </c>
      <c r="AJ867" s="184">
        <f t="shared" si="6855"/>
        <v>0</v>
      </c>
      <c r="AK867" s="222"/>
      <c r="AL867" s="184">
        <f t="shared" ref="AL867" si="7294">M867*AK867*$AL$2/1000</f>
        <v>0</v>
      </c>
      <c r="AM867" s="253"/>
      <c r="AN867" s="184">
        <f t="shared" si="7266"/>
        <v>0</v>
      </c>
      <c r="AO867" s="222"/>
      <c r="AP867" s="223">
        <f t="shared" ref="AP867:AP869" si="7295">M867*AO867*$AP$2/1000</f>
        <v>0</v>
      </c>
      <c r="AQ867" s="197">
        <f t="shared" si="7268"/>
        <v>0</v>
      </c>
      <c r="AR867" s="129">
        <f t="shared" si="6858"/>
        <v>0</v>
      </c>
      <c r="AS867" s="129"/>
      <c r="AT867" s="184">
        <f t="shared" ref="AT867:AT869" si="7296">O867*AS867*$AT$2/1000</f>
        <v>0</v>
      </c>
      <c r="AU867" s="222"/>
      <c r="AV867" s="184">
        <f t="shared" ref="AV867:AV869" si="7297">O867*AU867*$AV$2/1000</f>
        <v>0</v>
      </c>
      <c r="AW867" s="222"/>
      <c r="AX867" s="223">
        <f t="shared" ref="AX867:AX869" si="7298">O867*AW867*$AX$2/1000</f>
        <v>0</v>
      </c>
      <c r="AY867" s="197">
        <f t="shared" ref="AY867:AY869" si="7299">SUM(AS867+AU867+AW867)</f>
        <v>0</v>
      </c>
      <c r="AZ867" s="129">
        <f t="shared" si="6860"/>
        <v>0</v>
      </c>
      <c r="BA867" s="129">
        <f t="shared" si="6861"/>
        <v>0</v>
      </c>
      <c r="BB867" s="129">
        <f t="shared" si="6862"/>
        <v>0</v>
      </c>
    </row>
    <row r="868" spans="1:54">
      <c r="A868" s="498">
        <v>615</v>
      </c>
      <c r="B868" s="13"/>
      <c r="C868" s="236"/>
      <c r="D868" s="13"/>
      <c r="E868" s="90" t="s">
        <v>344</v>
      </c>
      <c r="F868" s="430"/>
      <c r="G868" s="430" t="s">
        <v>1105</v>
      </c>
      <c r="H868" s="287" t="s">
        <v>365</v>
      </c>
      <c r="I868" s="76">
        <v>29.17</v>
      </c>
      <c r="J868" s="112"/>
      <c r="K868" s="76">
        <v>29.17</v>
      </c>
      <c r="L868" s="168"/>
      <c r="M868" s="76">
        <v>29.17</v>
      </c>
      <c r="N868" s="168"/>
      <c r="O868" s="76">
        <v>29.17</v>
      </c>
      <c r="P868" s="112"/>
      <c r="Q868" s="97">
        <f t="shared" si="6849"/>
        <v>0</v>
      </c>
      <c r="R868" s="342">
        <f t="shared" si="6850"/>
        <v>0</v>
      </c>
      <c r="S868" s="97"/>
      <c r="T868" s="97">
        <f t="shared" si="7287"/>
        <v>0</v>
      </c>
      <c r="U868" s="97"/>
      <c r="V868" s="177">
        <f t="shared" si="7288"/>
        <v>0</v>
      </c>
      <c r="W868" s="207"/>
      <c r="X868" s="206">
        <f t="shared" si="7289"/>
        <v>0</v>
      </c>
      <c r="Y868" s="189">
        <f t="shared" si="7290"/>
        <v>0</v>
      </c>
      <c r="Z868" s="177">
        <f t="shared" si="6852"/>
        <v>0</v>
      </c>
      <c r="AA868" s="207"/>
      <c r="AB868" s="206">
        <f t="shared" si="7291"/>
        <v>0</v>
      </c>
      <c r="AC868" s="207"/>
      <c r="AD868" s="177">
        <f t="shared" si="7292"/>
        <v>0</v>
      </c>
      <c r="AE868" s="207"/>
      <c r="AF868" s="225">
        <f t="shared" si="7293"/>
        <v>0</v>
      </c>
      <c r="AG868" s="189">
        <f t="shared" si="7265"/>
        <v>0</v>
      </c>
      <c r="AH868" s="97">
        <f t="shared" si="7050"/>
        <v>0</v>
      </c>
      <c r="AI868" s="97">
        <f t="shared" si="6854"/>
        <v>0</v>
      </c>
      <c r="AJ868" s="177">
        <f t="shared" si="6855"/>
        <v>0</v>
      </c>
      <c r="AK868" s="207"/>
      <c r="AL868" s="177">
        <f t="shared" ref="AL868:AL877" si="7300">M868*AK868*$AL$2/1000</f>
        <v>0</v>
      </c>
      <c r="AM868" s="245"/>
      <c r="AN868" s="177">
        <f t="shared" si="7266"/>
        <v>0</v>
      </c>
      <c r="AO868" s="207"/>
      <c r="AP868" s="206">
        <f t="shared" si="7295"/>
        <v>0</v>
      </c>
      <c r="AQ868" s="189">
        <f t="shared" si="7268"/>
        <v>0</v>
      </c>
      <c r="AR868" s="97">
        <f t="shared" si="6858"/>
        <v>0</v>
      </c>
      <c r="AS868" s="97"/>
      <c r="AT868" s="177">
        <f t="shared" si="7296"/>
        <v>0</v>
      </c>
      <c r="AU868" s="207"/>
      <c r="AV868" s="177">
        <f t="shared" si="7297"/>
        <v>0</v>
      </c>
      <c r="AW868" s="207"/>
      <c r="AX868" s="206">
        <f t="shared" si="7298"/>
        <v>0</v>
      </c>
      <c r="AY868" s="189">
        <f t="shared" si="7299"/>
        <v>0</v>
      </c>
      <c r="AZ868" s="97">
        <f t="shared" si="6860"/>
        <v>0</v>
      </c>
      <c r="BA868" s="97">
        <f t="shared" si="6861"/>
        <v>0</v>
      </c>
      <c r="BB868" s="97">
        <f t="shared" si="6862"/>
        <v>0</v>
      </c>
    </row>
    <row r="869" spans="1:54">
      <c r="A869" s="498">
        <v>616</v>
      </c>
      <c r="B869" s="13"/>
      <c r="C869" s="23"/>
      <c r="D869" s="13" t="s">
        <v>972</v>
      </c>
      <c r="E869" s="21" t="s">
        <v>1013</v>
      </c>
      <c r="F869" s="22"/>
      <c r="G869" s="91" t="s">
        <v>1105</v>
      </c>
      <c r="H869" s="287" t="s">
        <v>365</v>
      </c>
      <c r="I869" s="55">
        <v>3.78</v>
      </c>
      <c r="J869" s="102"/>
      <c r="K869" s="55">
        <v>3.78</v>
      </c>
      <c r="L869" s="163"/>
      <c r="M869" s="55">
        <v>3.78</v>
      </c>
      <c r="N869" s="163"/>
      <c r="O869" s="55">
        <v>3.78</v>
      </c>
      <c r="P869" s="102"/>
      <c r="Q869" s="97">
        <f t="shared" si="6849"/>
        <v>0</v>
      </c>
      <c r="R869" s="342">
        <f t="shared" si="6850"/>
        <v>0</v>
      </c>
      <c r="S869" s="97"/>
      <c r="T869" s="97">
        <f t="shared" si="7287"/>
        <v>0</v>
      </c>
      <c r="U869" s="97"/>
      <c r="V869" s="97">
        <f>I869*U869*$V$2/1000</f>
        <v>0</v>
      </c>
      <c r="W869" s="207"/>
      <c r="X869" s="97">
        <f t="shared" si="7289"/>
        <v>0</v>
      </c>
      <c r="Y869" s="189">
        <f t="shared" si="7290"/>
        <v>0</v>
      </c>
      <c r="Z869" s="177">
        <f t="shared" si="6852"/>
        <v>0</v>
      </c>
      <c r="AA869" s="207"/>
      <c r="AB869" s="206">
        <f t="shared" si="7291"/>
        <v>0</v>
      </c>
      <c r="AC869" s="207"/>
      <c r="AD869" s="206">
        <f t="shared" si="7292"/>
        <v>0</v>
      </c>
      <c r="AE869" s="207"/>
      <c r="AF869" s="206">
        <f t="shared" si="7293"/>
        <v>0</v>
      </c>
      <c r="AG869" s="189">
        <f t="shared" ref="AG869" si="7301">SUM(AA869+AC869+AE869)</f>
        <v>0</v>
      </c>
      <c r="AH869" s="97">
        <f t="shared" si="7050"/>
        <v>0</v>
      </c>
      <c r="AI869" s="97">
        <f t="shared" si="6854"/>
        <v>0</v>
      </c>
      <c r="AJ869" s="177">
        <f t="shared" si="6855"/>
        <v>0</v>
      </c>
      <c r="AK869" s="207"/>
      <c r="AL869" s="177">
        <f t="shared" si="7300"/>
        <v>0</v>
      </c>
      <c r="AM869" s="245"/>
      <c r="AN869" s="177">
        <f t="shared" si="7266"/>
        <v>0</v>
      </c>
      <c r="AO869" s="207"/>
      <c r="AP869" s="206">
        <f t="shared" si="7295"/>
        <v>0</v>
      </c>
      <c r="AQ869" s="189">
        <f t="shared" si="7268"/>
        <v>0</v>
      </c>
      <c r="AR869" s="97">
        <f t="shared" si="6858"/>
        <v>0</v>
      </c>
      <c r="AS869" s="97"/>
      <c r="AT869" s="177">
        <f t="shared" si="7296"/>
        <v>0</v>
      </c>
      <c r="AU869" s="207"/>
      <c r="AV869" s="177">
        <f t="shared" si="7297"/>
        <v>0</v>
      </c>
      <c r="AW869" s="207"/>
      <c r="AX869" s="445">
        <f t="shared" si="7298"/>
        <v>0</v>
      </c>
      <c r="AY869" s="189">
        <f t="shared" si="7299"/>
        <v>0</v>
      </c>
      <c r="AZ869" s="97">
        <f t="shared" si="6860"/>
        <v>0</v>
      </c>
      <c r="BA869" s="97">
        <f t="shared" si="6861"/>
        <v>0</v>
      </c>
      <c r="BB869" s="97">
        <f t="shared" si="6862"/>
        <v>0</v>
      </c>
    </row>
    <row r="870" spans="1:54">
      <c r="A870" s="498">
        <v>617</v>
      </c>
      <c r="B870" s="13"/>
      <c r="C870" s="23"/>
      <c r="D870" s="13"/>
      <c r="E870" s="13" t="s">
        <v>973</v>
      </c>
      <c r="F870" s="91"/>
      <c r="G870" s="91" t="s">
        <v>1105</v>
      </c>
      <c r="H870" s="287" t="s">
        <v>365</v>
      </c>
      <c r="I870" s="55">
        <v>3.78</v>
      </c>
      <c r="J870" s="112"/>
      <c r="K870" s="55">
        <v>3.78</v>
      </c>
      <c r="L870" s="168"/>
      <c r="M870" s="55">
        <v>3.78</v>
      </c>
      <c r="N870" s="168"/>
      <c r="O870" s="55">
        <v>3.78</v>
      </c>
      <c r="P870" s="112"/>
      <c r="Q870" s="131">
        <f t="shared" ref="Q870:Q878" si="7302">SUM(AI870+BA870)</f>
        <v>0</v>
      </c>
      <c r="R870" s="352">
        <f t="shared" ref="R870:R878" si="7303">SUM(AJ870+BB870)</f>
        <v>0</v>
      </c>
      <c r="S870" s="131"/>
      <c r="T870" s="131">
        <f>I870*S870*$T$2/1000</f>
        <v>0</v>
      </c>
      <c r="U870" s="131"/>
      <c r="V870" s="131">
        <f>I870*U870*$V$2/1000</f>
        <v>0</v>
      </c>
      <c r="W870" s="224"/>
      <c r="X870" s="131">
        <f>I870*W870*$X$2/1000</f>
        <v>0</v>
      </c>
      <c r="Y870" s="198">
        <f t="shared" ref="Y870:Y871" si="7304">SUM(S870+U870+W870)</f>
        <v>0</v>
      </c>
      <c r="Z870" s="185">
        <f t="shared" ref="Z870:Z878" si="7305">SUM(T870+V870+X870)</f>
        <v>0</v>
      </c>
      <c r="AA870" s="224"/>
      <c r="AB870" s="225">
        <f>K870*AA870*$AB$2/1000</f>
        <v>0</v>
      </c>
      <c r="AC870" s="224"/>
      <c r="AD870" s="225">
        <f>K870*AC870*$AD$2/1000</f>
        <v>0</v>
      </c>
      <c r="AE870" s="224"/>
      <c r="AF870" s="225">
        <f>K870*AE870*$AF$2/1000</f>
        <v>0</v>
      </c>
      <c r="AG870" s="198">
        <f t="shared" ref="AG870" si="7306">SUM(AA870+AC870+AE870)</f>
        <v>0</v>
      </c>
      <c r="AH870" s="131">
        <f>SUM(AB870+AD870+AF870)</f>
        <v>0</v>
      </c>
      <c r="AI870" s="131">
        <f t="shared" ref="AI870:AI878" si="7307">SUM(Y870+AG870)</f>
        <v>0</v>
      </c>
      <c r="AJ870" s="185">
        <f t="shared" ref="AJ870:AJ878" si="7308">SUM(Z870,AH870)</f>
        <v>0</v>
      </c>
      <c r="AK870" s="224"/>
      <c r="AL870" s="185">
        <f t="shared" si="7300"/>
        <v>0</v>
      </c>
      <c r="AM870" s="254"/>
      <c r="AN870" s="185">
        <f>M870*AM870*$AN$2/1000</f>
        <v>0</v>
      </c>
      <c r="AO870" s="224"/>
      <c r="AP870" s="374">
        <f>M870*AO870*$AP$2/1000</f>
        <v>0</v>
      </c>
      <c r="AQ870" s="198">
        <f>SUM(AK870+AM870+AO870)</f>
        <v>0</v>
      </c>
      <c r="AR870" s="131">
        <f t="shared" ref="AR870:AR878" si="7309">SUM(AL870+AN870+AP870)</f>
        <v>0</v>
      </c>
      <c r="AS870" s="131"/>
      <c r="AT870" s="185">
        <f>O870*AS870*$AT$2/1000</f>
        <v>0</v>
      </c>
      <c r="AU870" s="224"/>
      <c r="AV870" s="185">
        <f>O870*AU870*$AV$2/1000</f>
        <v>0</v>
      </c>
      <c r="AW870" s="224"/>
      <c r="AX870" s="445">
        <f>O870*AW870*$AX$2/1000</f>
        <v>0</v>
      </c>
      <c r="AY870" s="198">
        <f>SUM(AS870+AU870+AW870)</f>
        <v>0</v>
      </c>
      <c r="AZ870" s="131">
        <f t="shared" ref="AZ870:AZ878" si="7310">SUM(AT870+AV870+AX870)</f>
        <v>0</v>
      </c>
      <c r="BA870" s="131">
        <f t="shared" ref="BA870:BA878" si="7311">SUM(AQ870+AY870)</f>
        <v>0</v>
      </c>
      <c r="BB870" s="131">
        <f t="shared" ref="BB870:BB878" si="7312">SUM(AR870,AZ870)</f>
        <v>0</v>
      </c>
    </row>
    <row r="871" spans="1:54">
      <c r="A871" s="498">
        <v>618</v>
      </c>
      <c r="B871" s="13"/>
      <c r="C871" s="23"/>
      <c r="D871" s="13"/>
      <c r="E871" s="63" t="s">
        <v>1014</v>
      </c>
      <c r="F871" s="22"/>
      <c r="G871" s="91" t="s">
        <v>1105</v>
      </c>
      <c r="H871" s="287" t="s">
        <v>365</v>
      </c>
      <c r="I871" s="55">
        <v>3.78</v>
      </c>
      <c r="J871" s="102"/>
      <c r="K871" s="55">
        <v>3.78</v>
      </c>
      <c r="L871" s="163"/>
      <c r="M871" s="55">
        <v>3.78</v>
      </c>
      <c r="N871" s="163"/>
      <c r="O871" s="55">
        <v>3.78</v>
      </c>
      <c r="P871" s="102"/>
      <c r="Q871" s="97">
        <f t="shared" ref="Q871" si="7313">SUM(AI871+BA871)</f>
        <v>0</v>
      </c>
      <c r="R871" s="342">
        <f t="shared" ref="R871" si="7314">SUM(AJ871+BB871)</f>
        <v>0</v>
      </c>
      <c r="S871" s="97"/>
      <c r="T871" s="97">
        <f t="shared" ref="T871" si="7315">I871*S871*$T$2/1000</f>
        <v>0</v>
      </c>
      <c r="U871" s="97"/>
      <c r="V871" s="97">
        <f>I871*U871*$V$2/1000</f>
        <v>0</v>
      </c>
      <c r="W871" s="207"/>
      <c r="X871" s="97">
        <f t="shared" ref="X871" si="7316">I871*W871*$X$2/1000</f>
        <v>0</v>
      </c>
      <c r="Y871" s="189">
        <f t="shared" si="7304"/>
        <v>0</v>
      </c>
      <c r="Z871" s="177">
        <f>SUM(T871+V871+X871)</f>
        <v>0</v>
      </c>
      <c r="AA871" s="207"/>
      <c r="AB871" s="206">
        <f t="shared" ref="AB871" si="7317">K871*AA871*$AB$2/1000</f>
        <v>0</v>
      </c>
      <c r="AC871" s="207"/>
      <c r="AD871" s="206">
        <f t="shared" ref="AD871" si="7318">K871*AC871*$AD$2/1000</f>
        <v>0</v>
      </c>
      <c r="AE871" s="207"/>
      <c r="AF871" s="206">
        <f t="shared" ref="AF871" si="7319">K871*AE871*$AF$2/1000</f>
        <v>0</v>
      </c>
      <c r="AG871" s="189">
        <f t="shared" ref="AG871" si="7320">SUM(AA871+AC871+AE871)</f>
        <v>0</v>
      </c>
      <c r="AH871" s="97">
        <f t="shared" ref="AH871" si="7321">SUM(AB871+AD871+AF871)</f>
        <v>0</v>
      </c>
      <c r="AI871" s="97">
        <f t="shared" ref="AI871" si="7322">SUM(Y871+AG871)</f>
        <v>0</v>
      </c>
      <c r="AJ871" s="177">
        <f t="shared" ref="AJ871" si="7323">SUM(Z871,AH871)</f>
        <v>0</v>
      </c>
      <c r="AK871" s="207"/>
      <c r="AL871" s="177">
        <f t="shared" si="7300"/>
        <v>0</v>
      </c>
      <c r="AM871" s="245"/>
      <c r="AN871" s="177">
        <f t="shared" ref="AN871" si="7324">M871*AM871*$AN$2/1000</f>
        <v>0</v>
      </c>
      <c r="AO871" s="207"/>
      <c r="AP871" s="206">
        <f t="shared" ref="AP871" si="7325">M871*AO871*$AP$2/1000</f>
        <v>0</v>
      </c>
      <c r="AQ871" s="189">
        <f t="shared" ref="AQ871" si="7326">SUM(AK871+AM871+AO871)</f>
        <v>0</v>
      </c>
      <c r="AR871" s="97">
        <f t="shared" ref="AR871" si="7327">SUM(AL871+AN871+AP871)</f>
        <v>0</v>
      </c>
      <c r="AS871" s="97"/>
      <c r="AT871" s="177">
        <f t="shared" ref="AT871" si="7328">O871*AS871*$AT$2/1000</f>
        <v>0</v>
      </c>
      <c r="AU871" s="207"/>
      <c r="AV871" s="177">
        <f t="shared" ref="AV871" si="7329">O871*AU871*$AV$2/1000</f>
        <v>0</v>
      </c>
      <c r="AW871" s="207"/>
      <c r="AX871" s="445">
        <f t="shared" ref="AX871" si="7330">O871*AW871*$AX$2/1000</f>
        <v>0</v>
      </c>
      <c r="AY871" s="189">
        <f t="shared" ref="AY871" si="7331">SUM(AS871+AU871+AW871)</f>
        <v>0</v>
      </c>
      <c r="AZ871" s="97">
        <f t="shared" ref="AZ871" si="7332">SUM(AT871+AV871+AX871)</f>
        <v>0</v>
      </c>
      <c r="BA871" s="97">
        <f t="shared" ref="BA871" si="7333">SUM(AQ871+AY871)</f>
        <v>0</v>
      </c>
      <c r="BB871" s="97">
        <f t="shared" ref="BB871" si="7334">SUM(AR871,AZ871)</f>
        <v>0</v>
      </c>
    </row>
    <row r="872" spans="1:54">
      <c r="A872" s="498">
        <v>619</v>
      </c>
      <c r="B872" s="13"/>
      <c r="C872" s="13"/>
      <c r="D872" s="13"/>
      <c r="E872" s="359" t="s">
        <v>974</v>
      </c>
      <c r="F872" s="64"/>
      <c r="G872" s="91" t="s">
        <v>1105</v>
      </c>
      <c r="H872" s="287" t="s">
        <v>365</v>
      </c>
      <c r="I872" s="55">
        <v>3.78</v>
      </c>
      <c r="J872" s="107"/>
      <c r="K872" s="55">
        <v>3.78</v>
      </c>
      <c r="L872" s="166"/>
      <c r="M872" s="55">
        <v>3.78</v>
      </c>
      <c r="N872" s="166"/>
      <c r="O872" s="55">
        <v>3.78</v>
      </c>
      <c r="P872" s="107"/>
      <c r="Q872" s="129">
        <f t="shared" ref="Q872" si="7335">SUM(AI872+BA872)</f>
        <v>0</v>
      </c>
      <c r="R872" s="350">
        <f t="shared" ref="R872" si="7336">SUM(AJ872+BB872)</f>
        <v>0</v>
      </c>
      <c r="S872" s="129"/>
      <c r="T872" s="97">
        <f t="shared" ref="T872" si="7337">I872*S872*$T$2/1000</f>
        <v>0</v>
      </c>
      <c r="U872" s="129"/>
      <c r="V872" s="97">
        <f t="shared" ref="V872" si="7338">I872*U872*$V$2/1000</f>
        <v>0</v>
      </c>
      <c r="W872" s="222"/>
      <c r="X872" s="97">
        <f t="shared" ref="X872" si="7339">I872*W872*$X$2/1000</f>
        <v>0</v>
      </c>
      <c r="Y872" s="197">
        <f>SUM(S872+U872+W872)</f>
        <v>0</v>
      </c>
      <c r="Z872" s="184">
        <f t="shared" ref="Z872" si="7340">SUM(T872+V872+X872)</f>
        <v>0</v>
      </c>
      <c r="AA872" s="222"/>
      <c r="AB872" s="206">
        <f t="shared" ref="AB872" si="7341">K872*AA872*$AB$2/1000</f>
        <v>0</v>
      </c>
      <c r="AC872" s="222"/>
      <c r="AD872" s="206">
        <f t="shared" ref="AD872" si="7342">K872*AC872*$AD$2/1000</f>
        <v>0</v>
      </c>
      <c r="AE872" s="222"/>
      <c r="AF872" s="206">
        <f t="shared" ref="AF872" si="7343">K872*AE872*$AF$2/1000</f>
        <v>0</v>
      </c>
      <c r="AG872" s="197">
        <f>SUM(AA872+AC872+AE872)</f>
        <v>0</v>
      </c>
      <c r="AH872" s="129">
        <f t="shared" ref="AH872" si="7344">SUM(AB872+AD872+AF872)</f>
        <v>0</v>
      </c>
      <c r="AI872" s="129">
        <f t="shared" ref="AI872" si="7345">SUM(Y872+AG872)</f>
        <v>0</v>
      </c>
      <c r="AJ872" s="184">
        <f t="shared" ref="AJ872" si="7346">SUM(Z872,AH872)</f>
        <v>0</v>
      </c>
      <c r="AK872" s="222"/>
      <c r="AL872" s="177">
        <f t="shared" si="7300"/>
        <v>0</v>
      </c>
      <c r="AM872" s="253"/>
      <c r="AN872" s="177">
        <f t="shared" ref="AN872" si="7347">M872*AM872*$AN$2/1000</f>
        <v>0</v>
      </c>
      <c r="AO872" s="222"/>
      <c r="AP872" s="215">
        <f>M872*AO872*$AP$2/1000</f>
        <v>0</v>
      </c>
      <c r="AQ872" s="197">
        <f>SUM(AK872+AM872+AO872)</f>
        <v>0</v>
      </c>
      <c r="AR872" s="129">
        <f t="shared" ref="AR872" si="7348">SUM(AL872+AN872+AP872)</f>
        <v>0</v>
      </c>
      <c r="AS872" s="129"/>
      <c r="AT872" s="177">
        <f>O872*AS872*$AT$2/1000</f>
        <v>0</v>
      </c>
      <c r="AU872" s="222"/>
      <c r="AV872" s="177">
        <f t="shared" ref="AV872" si="7349">O872*AU872*$AV$2/1000</f>
        <v>0</v>
      </c>
      <c r="AW872" s="222"/>
      <c r="AX872" s="445">
        <f t="shared" ref="AX872" si="7350">O872*AW872*$AX$2/1000</f>
        <v>0</v>
      </c>
      <c r="AY872" s="197">
        <f>SUM(AS872+AU872+AW872)</f>
        <v>0</v>
      </c>
      <c r="AZ872" s="129">
        <f t="shared" ref="AZ872" si="7351">SUM(AT872+AV872+AX872)</f>
        <v>0</v>
      </c>
      <c r="BA872" s="129">
        <f t="shared" ref="BA872" si="7352">SUM(AQ872+AY872)</f>
        <v>0</v>
      </c>
      <c r="BB872" s="129">
        <f t="shared" ref="BB872" si="7353">SUM(AR872,AZ872)</f>
        <v>0</v>
      </c>
    </row>
    <row r="873" spans="1:54">
      <c r="A873" s="498">
        <v>620</v>
      </c>
      <c r="B873" s="13"/>
      <c r="C873" s="13"/>
      <c r="D873" s="13"/>
      <c r="E873" s="90" t="s">
        <v>975</v>
      </c>
      <c r="F873" s="64"/>
      <c r="G873" s="91" t="s">
        <v>1105</v>
      </c>
      <c r="H873" s="287" t="s">
        <v>365</v>
      </c>
      <c r="I873" s="55">
        <v>3.78</v>
      </c>
      <c r="J873" s="107"/>
      <c r="K873" s="55">
        <v>3.78</v>
      </c>
      <c r="L873" s="166"/>
      <c r="M873" s="55">
        <v>3.78</v>
      </c>
      <c r="N873" s="166"/>
      <c r="O873" s="55">
        <v>3.78</v>
      </c>
      <c r="P873" s="107"/>
      <c r="Q873" s="129">
        <f t="shared" si="7302"/>
        <v>0</v>
      </c>
      <c r="R873" s="350">
        <f t="shared" si="7303"/>
        <v>0</v>
      </c>
      <c r="S873" s="129"/>
      <c r="T873" s="97">
        <f t="shared" ref="T873:T878" si="7354">I873*S873*$T$2/1000</f>
        <v>0</v>
      </c>
      <c r="U873" s="129"/>
      <c r="V873" s="97">
        <f t="shared" ref="V873" si="7355">I873*U873*$V$2/1000</f>
        <v>0</v>
      </c>
      <c r="W873" s="222"/>
      <c r="X873" s="97">
        <f t="shared" ref="X873:X878" si="7356">I873*W873*$X$2/1000</f>
        <v>0</v>
      </c>
      <c r="Y873" s="197">
        <f>SUM(S873+U873+W873)</f>
        <v>0</v>
      </c>
      <c r="Z873" s="184">
        <f t="shared" si="7305"/>
        <v>0</v>
      </c>
      <c r="AA873" s="222"/>
      <c r="AB873" s="206">
        <f t="shared" ref="AB873:AB878" si="7357">K873*AA873*$AB$2/1000</f>
        <v>0</v>
      </c>
      <c r="AC873" s="222"/>
      <c r="AD873" s="206">
        <f t="shared" ref="AD873:AD878" si="7358">K873*AC873*$AD$2/1000</f>
        <v>0</v>
      </c>
      <c r="AE873" s="222"/>
      <c r="AF873" s="206">
        <f t="shared" ref="AF873:AF878" si="7359">K873*AE873*$AF$2/1000</f>
        <v>0</v>
      </c>
      <c r="AG873" s="197">
        <f>SUM(AA873+AC873+AE873)</f>
        <v>0</v>
      </c>
      <c r="AH873" s="129">
        <f t="shared" ref="AH873:AH876" si="7360">SUM(AB873+AD873+AF873)</f>
        <v>0</v>
      </c>
      <c r="AI873" s="129">
        <f t="shared" si="7307"/>
        <v>0</v>
      </c>
      <c r="AJ873" s="184">
        <f t="shared" si="7308"/>
        <v>0</v>
      </c>
      <c r="AK873" s="222"/>
      <c r="AL873" s="177">
        <f t="shared" si="7300"/>
        <v>0</v>
      </c>
      <c r="AM873" s="253"/>
      <c r="AN873" s="177">
        <f t="shared" ref="AN873:AN878" si="7361">M873*AM873*$AN$2/1000</f>
        <v>0</v>
      </c>
      <c r="AO873" s="222"/>
      <c r="AP873" s="215">
        <f t="shared" ref="AP873:AP878" si="7362">M873*AO873*$AP$2/1000</f>
        <v>0</v>
      </c>
      <c r="AQ873" s="197">
        <f>SUM(AK873+AM873+AO873)</f>
        <v>0</v>
      </c>
      <c r="AR873" s="129">
        <f t="shared" si="7309"/>
        <v>0</v>
      </c>
      <c r="AS873" s="129"/>
      <c r="AT873" s="177">
        <f>O873*AS873*$AT$2/1000</f>
        <v>0</v>
      </c>
      <c r="AU873" s="222"/>
      <c r="AV873" s="177">
        <f t="shared" ref="AV873:AV878" si="7363">O873*AU873*$AV$2/1000</f>
        <v>0</v>
      </c>
      <c r="AW873" s="222"/>
      <c r="AX873" s="445">
        <f t="shared" ref="AX873:AX878" si="7364">O873*AW873*$AX$2/1000</f>
        <v>0</v>
      </c>
      <c r="AY873" s="197">
        <f>SUM(AS873+AU873+AW873)</f>
        <v>0</v>
      </c>
      <c r="AZ873" s="129">
        <f t="shared" si="7310"/>
        <v>0</v>
      </c>
      <c r="BA873" s="129">
        <f t="shared" si="7311"/>
        <v>0</v>
      </c>
      <c r="BB873" s="129">
        <f t="shared" si="7312"/>
        <v>0</v>
      </c>
    </row>
    <row r="874" spans="1:54">
      <c r="A874" s="498">
        <v>621</v>
      </c>
      <c r="B874" s="13"/>
      <c r="C874" s="23"/>
      <c r="D874" s="13"/>
      <c r="E874" s="21" t="s">
        <v>976</v>
      </c>
      <c r="F874" s="22"/>
      <c r="G874" s="22" t="s">
        <v>1105</v>
      </c>
      <c r="H874" s="268" t="s">
        <v>365</v>
      </c>
      <c r="I874" s="55">
        <v>3.78</v>
      </c>
      <c r="J874" s="102"/>
      <c r="K874" s="55">
        <v>3.78</v>
      </c>
      <c r="L874" s="163"/>
      <c r="M874" s="55">
        <v>3.78</v>
      </c>
      <c r="N874" s="163"/>
      <c r="O874" s="55">
        <v>3.78</v>
      </c>
      <c r="P874" s="163"/>
      <c r="Q874" s="129">
        <f t="shared" ref="Q874" si="7365">SUM(AI874+BA874)</f>
        <v>0</v>
      </c>
      <c r="R874" s="350">
        <f t="shared" ref="R874" si="7366">SUM(AJ874+BB874)</f>
        <v>0</v>
      </c>
      <c r="S874" s="129"/>
      <c r="T874" s="129">
        <f t="shared" ref="T874" si="7367">I874*S874*$T$2/1000</f>
        <v>0</v>
      </c>
      <c r="U874" s="129"/>
      <c r="V874" s="129">
        <f>I874*U874*$V$2/1000</f>
        <v>0</v>
      </c>
      <c r="W874" s="222"/>
      <c r="X874" s="129">
        <f t="shared" ref="X874" si="7368">I874*W874*$X$2/1000</f>
        <v>0</v>
      </c>
      <c r="Y874" s="197">
        <f t="shared" ref="Y874" si="7369">SUM(S874+U874+W874)</f>
        <v>0</v>
      </c>
      <c r="Z874" s="184">
        <f t="shared" ref="Z874" si="7370">SUM(T874+V874+X874)</f>
        <v>0</v>
      </c>
      <c r="AA874" s="222"/>
      <c r="AB874" s="223">
        <f t="shared" ref="AB874" si="7371">K874*AA874*$AB$2/1000</f>
        <v>0</v>
      </c>
      <c r="AC874" s="222"/>
      <c r="AD874" s="223">
        <f t="shared" ref="AD874" si="7372">K874*AC874*$AD$2/1000</f>
        <v>0</v>
      </c>
      <c r="AE874" s="222"/>
      <c r="AF874" s="223">
        <f t="shared" ref="AF874" si="7373">K874*AE874*$AF$2/1000</f>
        <v>0</v>
      </c>
      <c r="AG874" s="197">
        <f t="shared" ref="AG874" si="7374">SUM(AA874+AC874+AE874)</f>
        <v>0</v>
      </c>
      <c r="AH874" s="129">
        <f t="shared" ref="AH874" si="7375">SUM(AB874+AD874+AF874)</f>
        <v>0</v>
      </c>
      <c r="AI874" s="129">
        <f t="shared" ref="AI874" si="7376">SUM(Y874+AG874)</f>
        <v>0</v>
      </c>
      <c r="AJ874" s="184">
        <f t="shared" ref="AJ874" si="7377">SUM(Z874,AH874)</f>
        <v>0</v>
      </c>
      <c r="AK874" s="222"/>
      <c r="AL874" s="184">
        <f t="shared" ref="AL874" si="7378">M874*AK874*$AL$2/1000</f>
        <v>0</v>
      </c>
      <c r="AM874" s="253"/>
      <c r="AN874" s="184">
        <f t="shared" ref="AN874" si="7379">M874*AM874*$AN$2/1000</f>
        <v>0</v>
      </c>
      <c r="AO874" s="222"/>
      <c r="AP874" s="223">
        <f t="shared" ref="AP874" si="7380">M874*AO874*$AP$2/1000</f>
        <v>0</v>
      </c>
      <c r="AQ874" s="197">
        <f t="shared" ref="AQ874" si="7381">SUM(AK874+AM874+AO874)</f>
        <v>0</v>
      </c>
      <c r="AR874" s="129">
        <f t="shared" ref="AR874" si="7382">SUM(AL874+AN874+AP874)</f>
        <v>0</v>
      </c>
      <c r="AS874" s="129"/>
      <c r="AT874" s="184">
        <f t="shared" ref="AT874" si="7383">O874*AS874*$AT$2/1000</f>
        <v>0</v>
      </c>
      <c r="AU874" s="222"/>
      <c r="AV874" s="184">
        <f t="shared" ref="AV874" si="7384">O874*AU874*$AV$2/1000</f>
        <v>0</v>
      </c>
      <c r="AW874" s="222"/>
      <c r="AX874" s="471">
        <f t="shared" ref="AX874" si="7385">O874*AW874*$AX$2/1000</f>
        <v>0</v>
      </c>
      <c r="AY874" s="197">
        <f t="shared" ref="AY874" si="7386">SUM(AS874+AU874+AW874)</f>
        <v>0</v>
      </c>
      <c r="AZ874" s="129">
        <f t="shared" ref="AZ874" si="7387">SUM(AT874+AV874+AX874)</f>
        <v>0</v>
      </c>
      <c r="BA874" s="129">
        <f t="shared" ref="BA874" si="7388">SUM(AQ874+AY874)</f>
        <v>0</v>
      </c>
      <c r="BB874" s="129">
        <f t="shared" ref="BB874" si="7389">SUM(AR874,AZ874)</f>
        <v>0</v>
      </c>
    </row>
    <row r="875" spans="1:54">
      <c r="A875" s="498">
        <v>621</v>
      </c>
      <c r="B875" s="13"/>
      <c r="C875" s="23"/>
      <c r="D875" s="13"/>
      <c r="E875" s="21" t="s">
        <v>1576</v>
      </c>
      <c r="F875" s="22"/>
      <c r="G875" s="22" t="s">
        <v>1105</v>
      </c>
      <c r="H875" s="268" t="s">
        <v>365</v>
      </c>
      <c r="I875" s="55">
        <v>4.1900000000000004</v>
      </c>
      <c r="J875" s="102"/>
      <c r="K875" s="55">
        <v>4.1900000000000004</v>
      </c>
      <c r="L875" s="163"/>
      <c r="M875" s="55">
        <v>4.1900000000000004</v>
      </c>
      <c r="N875" s="163"/>
      <c r="O875" s="55">
        <v>4.1100000000000003</v>
      </c>
      <c r="P875" s="163"/>
      <c r="Q875" s="129">
        <f t="shared" si="7302"/>
        <v>2.2000000000000002</v>
      </c>
      <c r="R875" s="350">
        <f t="shared" si="7303"/>
        <v>12.361408620000002</v>
      </c>
      <c r="S875" s="129"/>
      <c r="T875" s="129">
        <f t="shared" si="7354"/>
        <v>0</v>
      </c>
      <c r="U875" s="129"/>
      <c r="V875" s="129">
        <f>I875*U875*$V$2/1000</f>
        <v>0</v>
      </c>
      <c r="W875" s="222"/>
      <c r="X875" s="129">
        <f t="shared" si="7356"/>
        <v>0</v>
      </c>
      <c r="Y875" s="197">
        <f t="shared" ref="Y875:Y878" si="7390">SUM(S875+U875+W875)</f>
        <v>0</v>
      </c>
      <c r="Z875" s="184">
        <f t="shared" si="7305"/>
        <v>0</v>
      </c>
      <c r="AA875" s="222"/>
      <c r="AB875" s="223">
        <f t="shared" si="7357"/>
        <v>0</v>
      </c>
      <c r="AC875" s="222"/>
      <c r="AD875" s="223">
        <f t="shared" si="7358"/>
        <v>0</v>
      </c>
      <c r="AE875" s="222"/>
      <c r="AF875" s="223">
        <f t="shared" si="7359"/>
        <v>0</v>
      </c>
      <c r="AG875" s="197">
        <f>SUM(AA875+AC875+AE875)</f>
        <v>0</v>
      </c>
      <c r="AH875" s="129">
        <f t="shared" si="7360"/>
        <v>0</v>
      </c>
      <c r="AI875" s="129">
        <f t="shared" si="7307"/>
        <v>0</v>
      </c>
      <c r="AJ875" s="184">
        <f t="shared" si="7308"/>
        <v>0</v>
      </c>
      <c r="AK875" s="222"/>
      <c r="AL875" s="184">
        <f t="shared" si="7300"/>
        <v>0</v>
      </c>
      <c r="AM875" s="253"/>
      <c r="AN875" s="184">
        <f t="shared" si="7361"/>
        <v>0</v>
      </c>
      <c r="AO875" s="222"/>
      <c r="AP875" s="223">
        <f t="shared" si="7362"/>
        <v>0</v>
      </c>
      <c r="AQ875" s="197">
        <f>SUM(AK875+AM875+AO875)</f>
        <v>0</v>
      </c>
      <c r="AR875" s="129">
        <f t="shared" si="7309"/>
        <v>0</v>
      </c>
      <c r="AS875" s="129">
        <v>1.6</v>
      </c>
      <c r="AT875" s="184">
        <f t="shared" ref="AT875:AT878" si="7391">O875*AS875*$AT$2/1000</f>
        <v>8.9295504000000019</v>
      </c>
      <c r="AU875" s="222">
        <v>0.6</v>
      </c>
      <c r="AV875" s="184">
        <f t="shared" si="7363"/>
        <v>3.4318582200000005</v>
      </c>
      <c r="AW875" s="222"/>
      <c r="AX875" s="471">
        <f t="shared" si="7364"/>
        <v>0</v>
      </c>
      <c r="AY875" s="197">
        <f t="shared" ref="AY875:AY878" si="7392">SUM(AS875+AU875+AW875)</f>
        <v>2.2000000000000002</v>
      </c>
      <c r="AZ875" s="129">
        <f t="shared" si="7310"/>
        <v>12.361408620000002</v>
      </c>
      <c r="BA875" s="129">
        <f t="shared" si="7311"/>
        <v>2.2000000000000002</v>
      </c>
      <c r="BB875" s="129">
        <f t="shared" si="7312"/>
        <v>12.361408620000002</v>
      </c>
    </row>
    <row r="876" spans="1:54">
      <c r="A876" s="498">
        <v>621</v>
      </c>
      <c r="B876" s="13"/>
      <c r="C876" s="23"/>
      <c r="D876" s="13"/>
      <c r="E876" s="21" t="s">
        <v>1611</v>
      </c>
      <c r="F876" s="22"/>
      <c r="G876" s="22" t="s">
        <v>1105</v>
      </c>
      <c r="H876" s="268" t="s">
        <v>365</v>
      </c>
      <c r="I876" s="55">
        <v>4.21</v>
      </c>
      <c r="J876" s="102"/>
      <c r="K876" s="55">
        <v>4.21</v>
      </c>
      <c r="L876" s="163"/>
      <c r="M876" s="55">
        <v>4.21</v>
      </c>
      <c r="N876" s="163"/>
      <c r="O876" s="55">
        <v>4.21</v>
      </c>
      <c r="P876" s="163"/>
      <c r="Q876" s="129">
        <f t="shared" si="7302"/>
        <v>0</v>
      </c>
      <c r="R876" s="350">
        <f t="shared" si="7303"/>
        <v>0</v>
      </c>
      <c r="S876" s="129"/>
      <c r="T876" s="129">
        <f t="shared" si="7354"/>
        <v>0</v>
      </c>
      <c r="U876" s="129"/>
      <c r="V876" s="129">
        <f>I876*U876*$V$2/1000</f>
        <v>0</v>
      </c>
      <c r="W876" s="222"/>
      <c r="X876" s="129">
        <f t="shared" si="7356"/>
        <v>0</v>
      </c>
      <c r="Y876" s="197">
        <f t="shared" si="7390"/>
        <v>0</v>
      </c>
      <c r="Z876" s="184">
        <f t="shared" si="7305"/>
        <v>0</v>
      </c>
      <c r="AA876" s="222"/>
      <c r="AB876" s="223">
        <f t="shared" si="7357"/>
        <v>0</v>
      </c>
      <c r="AC876" s="222"/>
      <c r="AD876" s="223">
        <f t="shared" si="7358"/>
        <v>0</v>
      </c>
      <c r="AE876" s="222"/>
      <c r="AF876" s="223">
        <f t="shared" si="7359"/>
        <v>0</v>
      </c>
      <c r="AG876" s="197">
        <f t="shared" ref="AG876" si="7393">SUM(AA876+AC876+AE876)</f>
        <v>0</v>
      </c>
      <c r="AH876" s="129">
        <f t="shared" si="7360"/>
        <v>0</v>
      </c>
      <c r="AI876" s="129">
        <f t="shared" si="7307"/>
        <v>0</v>
      </c>
      <c r="AJ876" s="184">
        <f t="shared" si="7308"/>
        <v>0</v>
      </c>
      <c r="AK876" s="222"/>
      <c r="AL876" s="184">
        <f t="shared" si="7300"/>
        <v>0</v>
      </c>
      <c r="AM876" s="253"/>
      <c r="AN876" s="184">
        <f t="shared" si="7361"/>
        <v>0</v>
      </c>
      <c r="AO876" s="222"/>
      <c r="AP876" s="223">
        <f t="shared" si="7362"/>
        <v>0</v>
      </c>
      <c r="AQ876" s="197">
        <f t="shared" ref="AQ876" si="7394">SUM(AK876+AM876+AO876)</f>
        <v>0</v>
      </c>
      <c r="AR876" s="129">
        <f t="shared" si="7309"/>
        <v>0</v>
      </c>
      <c r="AS876" s="129"/>
      <c r="AT876" s="184">
        <f t="shared" si="7391"/>
        <v>0</v>
      </c>
      <c r="AU876" s="222"/>
      <c r="AV876" s="184">
        <f t="shared" si="7363"/>
        <v>0</v>
      </c>
      <c r="AW876" s="222"/>
      <c r="AX876" s="471">
        <f t="shared" si="7364"/>
        <v>0</v>
      </c>
      <c r="AY876" s="197">
        <f t="shared" si="7392"/>
        <v>0</v>
      </c>
      <c r="AZ876" s="129">
        <f t="shared" si="7310"/>
        <v>0</v>
      </c>
      <c r="BA876" s="129">
        <f t="shared" si="7311"/>
        <v>0</v>
      </c>
      <c r="BB876" s="129">
        <f t="shared" si="7312"/>
        <v>0</v>
      </c>
    </row>
    <row r="877" spans="1:54">
      <c r="A877" s="498">
        <v>614</v>
      </c>
      <c r="B877" s="13"/>
      <c r="C877" s="236"/>
      <c r="D877" s="13" t="s">
        <v>1484</v>
      </c>
      <c r="E877" s="503" t="s">
        <v>1482</v>
      </c>
      <c r="F877" s="507"/>
      <c r="G877" s="507" t="s">
        <v>1105</v>
      </c>
      <c r="H877" s="508" t="s">
        <v>367</v>
      </c>
      <c r="I877" s="509">
        <v>4.1900000000000004</v>
      </c>
      <c r="J877" s="510"/>
      <c r="K877" s="509">
        <v>4.1900000000000004</v>
      </c>
      <c r="L877" s="511"/>
      <c r="M877" s="509">
        <v>4.1900000000000004</v>
      </c>
      <c r="N877" s="511"/>
      <c r="O877" s="509">
        <v>4.1900000000000004</v>
      </c>
      <c r="P877" s="511"/>
      <c r="Q877" s="129">
        <f t="shared" si="7302"/>
        <v>0</v>
      </c>
      <c r="R877" s="350">
        <f t="shared" si="7303"/>
        <v>0</v>
      </c>
      <c r="S877" s="129"/>
      <c r="T877" s="129">
        <f t="shared" si="7354"/>
        <v>0</v>
      </c>
      <c r="U877" s="129"/>
      <c r="V877" s="184">
        <f t="shared" ref="V877:V879" si="7395">I877*U877*$V$2/1000</f>
        <v>0</v>
      </c>
      <c r="W877" s="222"/>
      <c r="X877" s="223">
        <f t="shared" si="7356"/>
        <v>0</v>
      </c>
      <c r="Y877" s="197">
        <f t="shared" si="7390"/>
        <v>0</v>
      </c>
      <c r="Z877" s="184">
        <f t="shared" si="7305"/>
        <v>0</v>
      </c>
      <c r="AA877" s="222"/>
      <c r="AB877" s="223">
        <f t="shared" si="7357"/>
        <v>0</v>
      </c>
      <c r="AC877" s="222"/>
      <c r="AD877" s="184">
        <f t="shared" si="7358"/>
        <v>0</v>
      </c>
      <c r="AE877" s="222"/>
      <c r="AF877" s="206">
        <f t="shared" si="7359"/>
        <v>0</v>
      </c>
      <c r="AG877" s="197">
        <f t="shared" ref="AG877:AG878" si="7396">SUM(AA877+AC877+AE877)</f>
        <v>0</v>
      </c>
      <c r="AH877" s="129">
        <f t="shared" ref="AH877:AH884" si="7397">SUM(AB877+AD877+AF877)</f>
        <v>0</v>
      </c>
      <c r="AI877" s="129">
        <f t="shared" si="7307"/>
        <v>0</v>
      </c>
      <c r="AJ877" s="184">
        <f t="shared" si="7308"/>
        <v>0</v>
      </c>
      <c r="AK877" s="222"/>
      <c r="AL877" s="184">
        <f t="shared" si="7300"/>
        <v>0</v>
      </c>
      <c r="AM877" s="253"/>
      <c r="AN877" s="184">
        <f t="shared" si="7361"/>
        <v>0</v>
      </c>
      <c r="AO877" s="222"/>
      <c r="AP877" s="223">
        <f t="shared" si="7362"/>
        <v>0</v>
      </c>
      <c r="AQ877" s="197">
        <f t="shared" ref="AQ877:AQ878" si="7398">SUM(AK877+AM877+AO877)</f>
        <v>0</v>
      </c>
      <c r="AR877" s="129">
        <f t="shared" si="7309"/>
        <v>0</v>
      </c>
      <c r="AS877" s="129"/>
      <c r="AT877" s="184">
        <f t="shared" si="7391"/>
        <v>0</v>
      </c>
      <c r="AU877" s="222"/>
      <c r="AV877" s="184">
        <f t="shared" si="7363"/>
        <v>0</v>
      </c>
      <c r="AW877" s="222"/>
      <c r="AX877" s="223">
        <f t="shared" si="7364"/>
        <v>0</v>
      </c>
      <c r="AY877" s="197">
        <f t="shared" si="7392"/>
        <v>0</v>
      </c>
      <c r="AZ877" s="129">
        <f t="shared" si="7310"/>
        <v>0</v>
      </c>
      <c r="BA877" s="129">
        <f t="shared" si="7311"/>
        <v>0</v>
      </c>
      <c r="BB877" s="129">
        <f t="shared" si="7312"/>
        <v>0</v>
      </c>
    </row>
    <row r="878" spans="1:54">
      <c r="A878" s="498">
        <v>615</v>
      </c>
      <c r="B878" s="13"/>
      <c r="C878" s="236"/>
      <c r="D878" s="13" t="s">
        <v>1484</v>
      </c>
      <c r="E878" s="90" t="s">
        <v>1483</v>
      </c>
      <c r="F878" s="430"/>
      <c r="G878" s="430" t="s">
        <v>1105</v>
      </c>
      <c r="H878" s="287" t="s">
        <v>365</v>
      </c>
      <c r="I878" s="76">
        <v>5.74</v>
      </c>
      <c r="J878" s="112"/>
      <c r="K878" s="76">
        <v>5.74</v>
      </c>
      <c r="L878" s="168"/>
      <c r="M878" s="76">
        <v>5.74</v>
      </c>
      <c r="N878" s="168"/>
      <c r="O878" s="76">
        <v>5.74</v>
      </c>
      <c r="P878" s="112"/>
      <c r="Q878" s="97">
        <f t="shared" si="7302"/>
        <v>0</v>
      </c>
      <c r="R878" s="342">
        <f t="shared" si="7303"/>
        <v>0</v>
      </c>
      <c r="S878" s="97"/>
      <c r="T878" s="97">
        <f t="shared" si="7354"/>
        <v>0</v>
      </c>
      <c r="U878" s="97"/>
      <c r="V878" s="177">
        <f t="shared" si="7395"/>
        <v>0</v>
      </c>
      <c r="W878" s="207"/>
      <c r="X878" s="206">
        <f t="shared" si="7356"/>
        <v>0</v>
      </c>
      <c r="Y878" s="189">
        <f t="shared" si="7390"/>
        <v>0</v>
      </c>
      <c r="Z878" s="177">
        <f t="shared" si="7305"/>
        <v>0</v>
      </c>
      <c r="AA878" s="207"/>
      <c r="AB878" s="206">
        <f t="shared" si="7357"/>
        <v>0</v>
      </c>
      <c r="AC878" s="207"/>
      <c r="AD878" s="177">
        <f t="shared" si="7358"/>
        <v>0</v>
      </c>
      <c r="AE878" s="207"/>
      <c r="AF878" s="225">
        <f t="shared" si="7359"/>
        <v>0</v>
      </c>
      <c r="AG878" s="189">
        <f t="shared" si="7396"/>
        <v>0</v>
      </c>
      <c r="AH878" s="97">
        <f t="shared" si="7397"/>
        <v>0</v>
      </c>
      <c r="AI878" s="97">
        <f t="shared" si="7307"/>
        <v>0</v>
      </c>
      <c r="AJ878" s="177">
        <f t="shared" si="7308"/>
        <v>0</v>
      </c>
      <c r="AK878" s="207"/>
      <c r="AL878" s="177">
        <f t="shared" ref="AL878:AL884" si="7399">M878*AK878*$AL$2/1000</f>
        <v>0</v>
      </c>
      <c r="AM878" s="245"/>
      <c r="AN878" s="177">
        <f t="shared" si="7361"/>
        <v>0</v>
      </c>
      <c r="AO878" s="207"/>
      <c r="AP878" s="206">
        <f t="shared" si="7362"/>
        <v>0</v>
      </c>
      <c r="AQ878" s="189">
        <f t="shared" si="7398"/>
        <v>0</v>
      </c>
      <c r="AR878" s="97">
        <f t="shared" si="7309"/>
        <v>0</v>
      </c>
      <c r="AS878" s="97"/>
      <c r="AT878" s="177">
        <f t="shared" si="7391"/>
        <v>0</v>
      </c>
      <c r="AU878" s="207"/>
      <c r="AV878" s="177">
        <f t="shared" si="7363"/>
        <v>0</v>
      </c>
      <c r="AW878" s="207"/>
      <c r="AX878" s="206">
        <f t="shared" si="7364"/>
        <v>0</v>
      </c>
      <c r="AY878" s="189">
        <f t="shared" si="7392"/>
        <v>0</v>
      </c>
      <c r="AZ878" s="97">
        <f t="shared" si="7310"/>
        <v>0</v>
      </c>
      <c r="BA878" s="97">
        <f t="shared" si="7311"/>
        <v>0</v>
      </c>
      <c r="BB878" s="97">
        <f t="shared" si="7312"/>
        <v>0</v>
      </c>
    </row>
    <row r="879" spans="1:54">
      <c r="A879" s="498">
        <v>620</v>
      </c>
      <c r="B879" s="13"/>
      <c r="C879" s="13"/>
      <c r="D879" s="13" t="s">
        <v>972</v>
      </c>
      <c r="E879" s="90" t="s">
        <v>1578</v>
      </c>
      <c r="F879" s="64"/>
      <c r="G879" s="91" t="s">
        <v>1105</v>
      </c>
      <c r="H879" s="287" t="s">
        <v>365</v>
      </c>
      <c r="I879" s="55">
        <v>4.1500000000000004</v>
      </c>
      <c r="J879" s="107"/>
      <c r="K879" s="55">
        <v>4.1500000000000004</v>
      </c>
      <c r="L879" s="166"/>
      <c r="M879" s="55">
        <v>4.1500000000000004</v>
      </c>
      <c r="N879" s="166"/>
      <c r="O879" s="55">
        <v>4.07</v>
      </c>
      <c r="P879" s="107"/>
      <c r="Q879" s="129">
        <f t="shared" ref="Q879:Q884" si="7400">SUM(AI879+BA879)</f>
        <v>4.5</v>
      </c>
      <c r="R879" s="350">
        <f t="shared" ref="R879:R884" si="7401">SUM(AJ879+BB879)</f>
        <v>25.298860822400002</v>
      </c>
      <c r="S879" s="129"/>
      <c r="T879" s="97">
        <f t="shared" ref="T879:T884" si="7402">I879*S879*$T$2/1000</f>
        <v>0</v>
      </c>
      <c r="U879" s="129"/>
      <c r="V879" s="97">
        <f t="shared" si="7395"/>
        <v>0</v>
      </c>
      <c r="W879" s="222"/>
      <c r="X879" s="97">
        <f t="shared" ref="X879:X884" si="7403">I879*W879*$X$2/1000</f>
        <v>0</v>
      </c>
      <c r="Y879" s="197">
        <f>SUM(S879+U879+W879)</f>
        <v>0</v>
      </c>
      <c r="Z879" s="184">
        <f t="shared" ref="Z879:Z884" si="7404">SUM(T879+V879+X879)</f>
        <v>0</v>
      </c>
      <c r="AA879" s="222"/>
      <c r="AB879" s="206">
        <f t="shared" ref="AB879:AB884" si="7405">K879*AA879*$AB$2/1000</f>
        <v>0</v>
      </c>
      <c r="AC879" s="222"/>
      <c r="AD879" s="206">
        <f t="shared" ref="AD879:AD884" si="7406">K879*AC879*$AD$2/1000</f>
        <v>0</v>
      </c>
      <c r="AE879" s="222"/>
      <c r="AF879" s="206">
        <f t="shared" ref="AF879:AF884" si="7407">K879*AE879*$AF$2/1000</f>
        <v>0</v>
      </c>
      <c r="AG879" s="197">
        <f>SUM(AA879+AC879+AE879)</f>
        <v>0</v>
      </c>
      <c r="AH879" s="129">
        <f t="shared" si="7397"/>
        <v>0</v>
      </c>
      <c r="AI879" s="129">
        <f t="shared" ref="AI879:AI884" si="7408">SUM(Y879+AG879)</f>
        <v>0</v>
      </c>
      <c r="AJ879" s="184">
        <f t="shared" ref="AJ879:AJ884" si="7409">SUM(Z879,AH879)</f>
        <v>0</v>
      </c>
      <c r="AK879" s="222"/>
      <c r="AL879" s="177">
        <f t="shared" si="7399"/>
        <v>0</v>
      </c>
      <c r="AM879" s="253"/>
      <c r="AN879" s="177">
        <f t="shared" ref="AN879:AN884" si="7410">M879*AM879*$AN$2/1000</f>
        <v>0</v>
      </c>
      <c r="AO879" s="222"/>
      <c r="AP879" s="215">
        <f t="shared" ref="AP879:AP884" si="7411">M879*AO879*$AP$2/1000</f>
        <v>0</v>
      </c>
      <c r="AQ879" s="197">
        <f>SUM(AK879+AM879+AO879)</f>
        <v>0</v>
      </c>
      <c r="AR879" s="129">
        <f t="shared" ref="AR879:AR884" si="7412">SUM(AL879+AN879+AP879)</f>
        <v>0</v>
      </c>
      <c r="AS879" s="129">
        <v>2.2000000000000002</v>
      </c>
      <c r="AT879" s="177">
        <f>O879*AS879*$AT$2/1000</f>
        <v>12.158636600000001</v>
      </c>
      <c r="AU879" s="222">
        <v>1.298</v>
      </c>
      <c r="AV879" s="177">
        <f t="shared" ref="AV879:AV884" si="7413">O879*AU879*$AV$2/1000</f>
        <v>7.3519977762000011</v>
      </c>
      <c r="AW879" s="222">
        <v>1.002</v>
      </c>
      <c r="AX879" s="445">
        <f t="shared" ref="AX879:AX884" si="7414">O879*AW879*$AX$2/1000</f>
        <v>5.7882264462000004</v>
      </c>
      <c r="AY879" s="197">
        <f>SUM(AS879+AU879+AW879)</f>
        <v>4.5</v>
      </c>
      <c r="AZ879" s="129">
        <f t="shared" ref="AZ879:AZ884" si="7415">SUM(AT879+AV879+AX879)</f>
        <v>25.298860822400002</v>
      </c>
      <c r="BA879" s="129">
        <f t="shared" ref="BA879:BA884" si="7416">SUM(AQ879+AY879)</f>
        <v>4.5</v>
      </c>
      <c r="BB879" s="129">
        <f t="shared" ref="BB879:BB884" si="7417">SUM(AR879,AZ879)</f>
        <v>25.298860822400002</v>
      </c>
    </row>
    <row r="880" spans="1:54">
      <c r="A880" s="498">
        <v>621</v>
      </c>
      <c r="B880" s="13"/>
      <c r="C880" s="23"/>
      <c r="D880" s="13"/>
      <c r="E880" s="21" t="s">
        <v>1612</v>
      </c>
      <c r="F880" s="22"/>
      <c r="G880" s="22" t="s">
        <v>1105</v>
      </c>
      <c r="H880" s="268" t="s">
        <v>365</v>
      </c>
      <c r="I880" s="55">
        <v>4.17</v>
      </c>
      <c r="J880" s="102"/>
      <c r="K880" s="55">
        <v>4.17</v>
      </c>
      <c r="L880" s="163"/>
      <c r="M880" s="55">
        <v>4.17</v>
      </c>
      <c r="N880" s="163"/>
      <c r="O880" s="55">
        <v>4.17</v>
      </c>
      <c r="P880" s="163"/>
      <c r="Q880" s="129">
        <f t="shared" si="7400"/>
        <v>0</v>
      </c>
      <c r="R880" s="350">
        <f t="shared" si="7401"/>
        <v>0</v>
      </c>
      <c r="S880" s="129"/>
      <c r="T880" s="129">
        <f t="shared" si="7402"/>
        <v>0</v>
      </c>
      <c r="U880" s="129"/>
      <c r="V880" s="129">
        <f>I880*U880*$V$2/1000</f>
        <v>0</v>
      </c>
      <c r="W880" s="222"/>
      <c r="X880" s="129">
        <f t="shared" si="7403"/>
        <v>0</v>
      </c>
      <c r="Y880" s="197">
        <f t="shared" ref="Y880" si="7418">SUM(S880+U880+W880)</f>
        <v>0</v>
      </c>
      <c r="Z880" s="184">
        <f t="shared" si="7404"/>
        <v>0</v>
      </c>
      <c r="AA880" s="222"/>
      <c r="AB880" s="223">
        <f t="shared" si="7405"/>
        <v>0</v>
      </c>
      <c r="AC880" s="222"/>
      <c r="AD880" s="223">
        <f t="shared" si="7406"/>
        <v>0</v>
      </c>
      <c r="AE880" s="222"/>
      <c r="AF880" s="223">
        <f t="shared" si="7407"/>
        <v>0</v>
      </c>
      <c r="AG880" s="197">
        <f t="shared" ref="AG880" si="7419">SUM(AA880+AC880+AE880)</f>
        <v>0</v>
      </c>
      <c r="AH880" s="129">
        <f t="shared" si="7397"/>
        <v>0</v>
      </c>
      <c r="AI880" s="129">
        <f t="shared" si="7408"/>
        <v>0</v>
      </c>
      <c r="AJ880" s="184">
        <f t="shared" si="7409"/>
        <v>0</v>
      </c>
      <c r="AK880" s="222"/>
      <c r="AL880" s="184">
        <f t="shared" si="7399"/>
        <v>0</v>
      </c>
      <c r="AM880" s="253"/>
      <c r="AN880" s="184">
        <f t="shared" si="7410"/>
        <v>0</v>
      </c>
      <c r="AO880" s="222"/>
      <c r="AP880" s="223">
        <f t="shared" si="7411"/>
        <v>0</v>
      </c>
      <c r="AQ880" s="197">
        <f t="shared" ref="AQ880" si="7420">SUM(AK880+AM880+AO880)</f>
        <v>0</v>
      </c>
      <c r="AR880" s="129">
        <f t="shared" si="7412"/>
        <v>0</v>
      </c>
      <c r="AS880" s="129"/>
      <c r="AT880" s="184">
        <f t="shared" ref="AT880" si="7421">O880*AS880*$AT$2/1000</f>
        <v>0</v>
      </c>
      <c r="AU880" s="222"/>
      <c r="AV880" s="184">
        <f t="shared" si="7413"/>
        <v>0</v>
      </c>
      <c r="AW880" s="222"/>
      <c r="AX880" s="471">
        <f t="shared" si="7414"/>
        <v>0</v>
      </c>
      <c r="AY880" s="197">
        <f t="shared" ref="AY880" si="7422">SUM(AS880+AU880+AW880)</f>
        <v>0</v>
      </c>
      <c r="AZ880" s="129">
        <f t="shared" si="7415"/>
        <v>0</v>
      </c>
      <c r="BA880" s="129">
        <f t="shared" si="7416"/>
        <v>0</v>
      </c>
      <c r="BB880" s="129">
        <f t="shared" si="7417"/>
        <v>0</v>
      </c>
    </row>
    <row r="881" spans="1:54">
      <c r="A881" s="498">
        <v>621</v>
      </c>
      <c r="B881" s="13"/>
      <c r="C881" s="23"/>
      <c r="D881" s="13"/>
      <c r="E881" s="21" t="s">
        <v>1579</v>
      </c>
      <c r="F881" s="22"/>
      <c r="G881" s="22" t="s">
        <v>1105</v>
      </c>
      <c r="H881" s="268" t="s">
        <v>365</v>
      </c>
      <c r="I881" s="55">
        <v>4.1500000000000004</v>
      </c>
      <c r="J881" s="102"/>
      <c r="K881" s="55">
        <v>4.1500000000000004</v>
      </c>
      <c r="L881" s="163"/>
      <c r="M881" s="55">
        <v>4.1500000000000004</v>
      </c>
      <c r="N881" s="163"/>
      <c r="O881" s="55">
        <v>4.07</v>
      </c>
      <c r="P881" s="163"/>
      <c r="Q881" s="129">
        <f t="shared" ref="Q881:Q882" si="7423">SUM(AI881+BA881)</f>
        <v>7.5</v>
      </c>
      <c r="R881" s="350">
        <f t="shared" ref="R881:R882" si="7424">SUM(AJ881+BB881)</f>
        <v>41.735896205000003</v>
      </c>
      <c r="S881" s="129"/>
      <c r="T881" s="129">
        <f t="shared" ref="T881:T882" si="7425">I881*S881*$T$2/1000</f>
        <v>0</v>
      </c>
      <c r="U881" s="129"/>
      <c r="V881" s="129">
        <f>I881*U881*$V$2/1000</f>
        <v>0</v>
      </c>
      <c r="W881" s="222"/>
      <c r="X881" s="129">
        <f t="shared" ref="X881:X882" si="7426">I881*W881*$X$2/1000</f>
        <v>0</v>
      </c>
      <c r="Y881" s="197">
        <f t="shared" ref="Y881:Y882" si="7427">SUM(S881+U881+W881)</f>
        <v>0</v>
      </c>
      <c r="Z881" s="184">
        <f t="shared" ref="Z881:Z882" si="7428">SUM(T881+V881+X881)</f>
        <v>0</v>
      </c>
      <c r="AA881" s="222"/>
      <c r="AB881" s="223">
        <f t="shared" ref="AB881:AB882" si="7429">K881*AA881*$AB$2/1000</f>
        <v>0</v>
      </c>
      <c r="AC881" s="222"/>
      <c r="AD881" s="223">
        <f t="shared" ref="AD881:AD882" si="7430">K881*AC881*$AD$2/1000</f>
        <v>0</v>
      </c>
      <c r="AE881" s="222"/>
      <c r="AF881" s="223">
        <f t="shared" ref="AF881:AF882" si="7431">K881*AE881*$AF$2/1000</f>
        <v>0</v>
      </c>
      <c r="AG881" s="197">
        <f t="shared" ref="AG881:AG882" si="7432">SUM(AA881+AC881+AE881)</f>
        <v>0</v>
      </c>
      <c r="AH881" s="129">
        <f t="shared" ref="AH881:AH882" si="7433">SUM(AB881+AD881+AF881)</f>
        <v>0</v>
      </c>
      <c r="AI881" s="129">
        <f t="shared" ref="AI881:AI882" si="7434">SUM(Y881+AG881)</f>
        <v>0</v>
      </c>
      <c r="AJ881" s="184">
        <f t="shared" ref="AJ881:AJ882" si="7435">SUM(Z881,AH881)</f>
        <v>0</v>
      </c>
      <c r="AK881" s="222"/>
      <c r="AL881" s="184">
        <f t="shared" ref="AL881:AL882" si="7436">M881*AK881*$AL$2/1000</f>
        <v>0</v>
      </c>
      <c r="AM881" s="253"/>
      <c r="AN881" s="184">
        <f t="shared" ref="AN881:AN882" si="7437">M881*AM881*$AN$2/1000</f>
        <v>0</v>
      </c>
      <c r="AO881" s="222">
        <v>3</v>
      </c>
      <c r="AP881" s="223">
        <f t="shared" ref="AP881:AP882" si="7438">M881*AO881*$AP$2/1000</f>
        <v>16.588255500000002</v>
      </c>
      <c r="AQ881" s="197">
        <f t="shared" ref="AQ881:AQ882" si="7439">SUM(AK881+AM881+AO881)</f>
        <v>3</v>
      </c>
      <c r="AR881" s="129">
        <f t="shared" ref="AR881:AR882" si="7440">SUM(AL881+AN881+AP881)</f>
        <v>16.588255500000002</v>
      </c>
      <c r="AS881" s="129">
        <v>2.5</v>
      </c>
      <c r="AT881" s="184">
        <f t="shared" ref="AT881:AT882" si="7441">O881*AS881*$AT$2/1000</f>
        <v>13.816632500000001</v>
      </c>
      <c r="AU881" s="222">
        <v>1.9750000000000001</v>
      </c>
      <c r="AV881" s="184">
        <f t="shared" ref="AV881:AV882" si="7442">O881*AU881*$AV$2/1000</f>
        <v>11.186591377500003</v>
      </c>
      <c r="AW881" s="222">
        <v>2.5000000000000001E-2</v>
      </c>
      <c r="AX881" s="471">
        <f t="shared" ref="AX881:AX882" si="7443">O881*AW881*$AX$2/1000</f>
        <v>0.14441682750000001</v>
      </c>
      <c r="AY881" s="197">
        <f t="shared" ref="AY881:AY882" si="7444">SUM(AS881+AU881+AW881)</f>
        <v>4.5</v>
      </c>
      <c r="AZ881" s="129">
        <f t="shared" ref="AZ881:AZ882" si="7445">SUM(AT881+AV881+AX881)</f>
        <v>25.147640705000004</v>
      </c>
      <c r="BA881" s="129">
        <f t="shared" ref="BA881:BA882" si="7446">SUM(AQ881+AY881)</f>
        <v>7.5</v>
      </c>
      <c r="BB881" s="129">
        <f t="shared" ref="BB881:BB882" si="7447">SUM(AR881,AZ881)</f>
        <v>41.735896205000003</v>
      </c>
    </row>
    <row r="882" spans="1:54">
      <c r="A882" s="498">
        <v>621</v>
      </c>
      <c r="B882" s="13"/>
      <c r="C882" s="23"/>
      <c r="D882" s="13"/>
      <c r="E882" s="21" t="s">
        <v>1613</v>
      </c>
      <c r="F882" s="22"/>
      <c r="G882" s="22" t="s">
        <v>1105</v>
      </c>
      <c r="H882" s="268" t="s">
        <v>365</v>
      </c>
      <c r="I882" s="55">
        <v>4.17</v>
      </c>
      <c r="J882" s="102"/>
      <c r="K882" s="55">
        <v>4.17</v>
      </c>
      <c r="L882" s="163"/>
      <c r="M882" s="55">
        <v>4.17</v>
      </c>
      <c r="N882" s="163"/>
      <c r="O882" s="55">
        <v>4.17</v>
      </c>
      <c r="P882" s="163"/>
      <c r="Q882" s="129">
        <f t="shared" si="7423"/>
        <v>0</v>
      </c>
      <c r="R882" s="350">
        <f t="shared" si="7424"/>
        <v>0</v>
      </c>
      <c r="S882" s="129"/>
      <c r="T882" s="129">
        <f t="shared" si="7425"/>
        <v>0</v>
      </c>
      <c r="U882" s="129"/>
      <c r="V882" s="129">
        <f>I882*U882*$V$2/1000</f>
        <v>0</v>
      </c>
      <c r="W882" s="222"/>
      <c r="X882" s="129">
        <f t="shared" si="7426"/>
        <v>0</v>
      </c>
      <c r="Y882" s="197">
        <f t="shared" si="7427"/>
        <v>0</v>
      </c>
      <c r="Z882" s="184">
        <f t="shared" si="7428"/>
        <v>0</v>
      </c>
      <c r="AA882" s="222"/>
      <c r="AB882" s="223">
        <f t="shared" si="7429"/>
        <v>0</v>
      </c>
      <c r="AC882" s="222"/>
      <c r="AD882" s="223">
        <f t="shared" si="7430"/>
        <v>0</v>
      </c>
      <c r="AE882" s="222"/>
      <c r="AF882" s="223">
        <f t="shared" si="7431"/>
        <v>0</v>
      </c>
      <c r="AG882" s="197">
        <f t="shared" si="7432"/>
        <v>0</v>
      </c>
      <c r="AH882" s="129">
        <f t="shared" si="7433"/>
        <v>0</v>
      </c>
      <c r="AI882" s="129">
        <f t="shared" si="7434"/>
        <v>0</v>
      </c>
      <c r="AJ882" s="184">
        <f t="shared" si="7435"/>
        <v>0</v>
      </c>
      <c r="AK882" s="222"/>
      <c r="AL882" s="184">
        <f t="shared" si="7436"/>
        <v>0</v>
      </c>
      <c r="AM882" s="253"/>
      <c r="AN882" s="184">
        <f t="shared" si="7437"/>
        <v>0</v>
      </c>
      <c r="AO882" s="222"/>
      <c r="AP882" s="223">
        <f t="shared" si="7438"/>
        <v>0</v>
      </c>
      <c r="AQ882" s="197">
        <f t="shared" si="7439"/>
        <v>0</v>
      </c>
      <c r="AR882" s="129">
        <f t="shared" si="7440"/>
        <v>0</v>
      </c>
      <c r="AS882" s="129"/>
      <c r="AT882" s="184">
        <f t="shared" si="7441"/>
        <v>0</v>
      </c>
      <c r="AU882" s="222"/>
      <c r="AV882" s="184">
        <f t="shared" si="7442"/>
        <v>0</v>
      </c>
      <c r="AW882" s="222"/>
      <c r="AX882" s="471">
        <f t="shared" si="7443"/>
        <v>0</v>
      </c>
      <c r="AY882" s="197">
        <f t="shared" si="7444"/>
        <v>0</v>
      </c>
      <c r="AZ882" s="129">
        <f t="shared" si="7445"/>
        <v>0</v>
      </c>
      <c r="BA882" s="129">
        <f t="shared" si="7446"/>
        <v>0</v>
      </c>
      <c r="BB882" s="129">
        <f t="shared" si="7447"/>
        <v>0</v>
      </c>
    </row>
    <row r="883" spans="1:54">
      <c r="A883" s="498">
        <v>621</v>
      </c>
      <c r="B883" s="13"/>
      <c r="C883" s="23"/>
      <c r="D883" s="13"/>
      <c r="E883" s="21" t="s">
        <v>1577</v>
      </c>
      <c r="F883" s="22"/>
      <c r="G883" s="22" t="s">
        <v>1105</v>
      </c>
      <c r="H883" s="268" t="s">
        <v>365</v>
      </c>
      <c r="I883" s="55">
        <v>4.1500000000000004</v>
      </c>
      <c r="J883" s="102"/>
      <c r="K883" s="55">
        <v>4.1500000000000004</v>
      </c>
      <c r="L883" s="163"/>
      <c r="M883" s="55">
        <v>4.1500000000000004</v>
      </c>
      <c r="N883" s="163"/>
      <c r="O883" s="55">
        <v>4.07</v>
      </c>
      <c r="P883" s="163"/>
      <c r="Q883" s="129">
        <f t="shared" si="7400"/>
        <v>7.5</v>
      </c>
      <c r="R883" s="350">
        <f t="shared" si="7401"/>
        <v>41.958792800000005</v>
      </c>
      <c r="S883" s="129"/>
      <c r="T883" s="129">
        <f t="shared" si="7402"/>
        <v>0</v>
      </c>
      <c r="U883" s="129"/>
      <c r="V883" s="129">
        <f>I883*U883*$V$2/1000</f>
        <v>0</v>
      </c>
      <c r="W883" s="222"/>
      <c r="X883" s="129">
        <f t="shared" si="7403"/>
        <v>0</v>
      </c>
      <c r="Y883" s="197">
        <f t="shared" ref="Y883:Y884" si="7448">SUM(S883+U883+W883)</f>
        <v>0</v>
      </c>
      <c r="Z883" s="184">
        <f t="shared" si="7404"/>
        <v>0</v>
      </c>
      <c r="AA883" s="222"/>
      <c r="AB883" s="223">
        <f t="shared" si="7405"/>
        <v>0</v>
      </c>
      <c r="AC883" s="222"/>
      <c r="AD883" s="223">
        <f t="shared" si="7406"/>
        <v>0</v>
      </c>
      <c r="AE883" s="222"/>
      <c r="AF883" s="223">
        <f t="shared" si="7407"/>
        <v>0</v>
      </c>
      <c r="AG883" s="197">
        <f>SUM(AA883+AC883+AE883)</f>
        <v>0</v>
      </c>
      <c r="AH883" s="129">
        <f t="shared" si="7397"/>
        <v>0</v>
      </c>
      <c r="AI883" s="129">
        <f t="shared" si="7408"/>
        <v>0</v>
      </c>
      <c r="AJ883" s="184">
        <f t="shared" si="7409"/>
        <v>0</v>
      </c>
      <c r="AK883" s="222">
        <v>0.5</v>
      </c>
      <c r="AL883" s="184">
        <f t="shared" si="7399"/>
        <v>2.869891</v>
      </c>
      <c r="AM883" s="253">
        <v>1</v>
      </c>
      <c r="AN883" s="184">
        <f t="shared" si="7410"/>
        <v>5.6485650000000005</v>
      </c>
      <c r="AO883" s="222">
        <v>2</v>
      </c>
      <c r="AP883" s="223">
        <f t="shared" si="7411"/>
        <v>11.058837</v>
      </c>
      <c r="AQ883" s="197">
        <f>SUM(AK883+AM883+AO883)</f>
        <v>3.5</v>
      </c>
      <c r="AR883" s="129">
        <f t="shared" si="7412"/>
        <v>19.577293000000001</v>
      </c>
      <c r="AS883" s="129">
        <v>2</v>
      </c>
      <c r="AT883" s="184">
        <f t="shared" ref="AT883:AT884" si="7449">O883*AS883*$AT$2/1000</f>
        <v>11.053306000000003</v>
      </c>
      <c r="AU883" s="222">
        <v>2</v>
      </c>
      <c r="AV883" s="184">
        <f t="shared" si="7413"/>
        <v>11.328193800000001</v>
      </c>
      <c r="AW883" s="222"/>
      <c r="AX883" s="471">
        <f t="shared" si="7414"/>
        <v>0</v>
      </c>
      <c r="AY883" s="197">
        <f t="shared" ref="AY883:AY884" si="7450">SUM(AS883+AU883+AW883)</f>
        <v>4</v>
      </c>
      <c r="AZ883" s="129">
        <f t="shared" si="7415"/>
        <v>22.381499800000004</v>
      </c>
      <c r="BA883" s="129">
        <f t="shared" si="7416"/>
        <v>7.5</v>
      </c>
      <c r="BB883" s="129">
        <f t="shared" si="7417"/>
        <v>41.958792800000005</v>
      </c>
    </row>
    <row r="884" spans="1:54">
      <c r="A884" s="498">
        <v>621</v>
      </c>
      <c r="B884" s="13"/>
      <c r="C884" s="23"/>
      <c r="D884" s="13"/>
      <c r="E884" s="21" t="s">
        <v>1614</v>
      </c>
      <c r="F884" s="22"/>
      <c r="G884" s="22" t="s">
        <v>1105</v>
      </c>
      <c r="H884" s="268" t="s">
        <v>365</v>
      </c>
      <c r="I884" s="55">
        <v>4.17</v>
      </c>
      <c r="J884" s="102"/>
      <c r="K884" s="55">
        <v>4.17</v>
      </c>
      <c r="L884" s="163"/>
      <c r="M884" s="55">
        <v>4.17</v>
      </c>
      <c r="N884" s="163"/>
      <c r="O884" s="55">
        <v>4.17</v>
      </c>
      <c r="P884" s="163"/>
      <c r="Q884" s="129">
        <f t="shared" si="7400"/>
        <v>0</v>
      </c>
      <c r="R884" s="350">
        <f t="shared" si="7401"/>
        <v>0</v>
      </c>
      <c r="S884" s="129"/>
      <c r="T884" s="129">
        <f t="shared" si="7402"/>
        <v>0</v>
      </c>
      <c r="U884" s="129"/>
      <c r="V884" s="129">
        <f>I884*U884*$V$2/1000</f>
        <v>0</v>
      </c>
      <c r="W884" s="222"/>
      <c r="X884" s="129">
        <f t="shared" si="7403"/>
        <v>0</v>
      </c>
      <c r="Y884" s="197">
        <f t="shared" si="7448"/>
        <v>0</v>
      </c>
      <c r="Z884" s="184">
        <f t="shared" si="7404"/>
        <v>0</v>
      </c>
      <c r="AA884" s="222"/>
      <c r="AB884" s="223">
        <f t="shared" si="7405"/>
        <v>0</v>
      </c>
      <c r="AC884" s="222"/>
      <c r="AD884" s="223">
        <f t="shared" si="7406"/>
        <v>0</v>
      </c>
      <c r="AE884" s="222"/>
      <c r="AF884" s="223">
        <f t="shared" si="7407"/>
        <v>0</v>
      </c>
      <c r="AG884" s="197">
        <f t="shared" ref="AG884" si="7451">SUM(AA884+AC884+AE884)</f>
        <v>0</v>
      </c>
      <c r="AH884" s="129">
        <f t="shared" si="7397"/>
        <v>0</v>
      </c>
      <c r="AI884" s="129">
        <f t="shared" si="7408"/>
        <v>0</v>
      </c>
      <c r="AJ884" s="184">
        <f t="shared" si="7409"/>
        <v>0</v>
      </c>
      <c r="AK884" s="222"/>
      <c r="AL884" s="184">
        <f t="shared" si="7399"/>
        <v>0</v>
      </c>
      <c r="AM884" s="253"/>
      <c r="AN884" s="184">
        <f t="shared" si="7410"/>
        <v>0</v>
      </c>
      <c r="AO884" s="222"/>
      <c r="AP884" s="223">
        <f t="shared" si="7411"/>
        <v>0</v>
      </c>
      <c r="AQ884" s="197">
        <f t="shared" ref="AQ884" si="7452">SUM(AK884+AM884+AO884)</f>
        <v>0</v>
      </c>
      <c r="AR884" s="129">
        <f t="shared" si="7412"/>
        <v>0</v>
      </c>
      <c r="AS884" s="129"/>
      <c r="AT884" s="184">
        <f t="shared" si="7449"/>
        <v>0</v>
      </c>
      <c r="AU884" s="222"/>
      <c r="AV884" s="184">
        <f t="shared" si="7413"/>
        <v>0</v>
      </c>
      <c r="AW884" s="222"/>
      <c r="AX884" s="471">
        <f t="shared" si="7414"/>
        <v>0</v>
      </c>
      <c r="AY884" s="197">
        <f t="shared" si="7450"/>
        <v>0</v>
      </c>
      <c r="AZ884" s="129">
        <f t="shared" si="7415"/>
        <v>0</v>
      </c>
      <c r="BA884" s="129">
        <f t="shared" si="7416"/>
        <v>0</v>
      </c>
      <c r="BB884" s="129">
        <f t="shared" si="7417"/>
        <v>0</v>
      </c>
    </row>
    <row r="885" spans="1:54">
      <c r="A885" s="498">
        <v>622</v>
      </c>
      <c r="B885" s="13"/>
      <c r="C885" s="236"/>
      <c r="D885" s="71"/>
      <c r="E885" s="472" t="s">
        <v>337</v>
      </c>
      <c r="F885" s="473"/>
      <c r="G885" s="473"/>
      <c r="H885" s="281"/>
      <c r="I885" s="57"/>
      <c r="J885" s="117"/>
      <c r="K885" s="57"/>
      <c r="L885" s="173"/>
      <c r="M885" s="57"/>
      <c r="N885" s="173"/>
      <c r="O885" s="144"/>
      <c r="P885" s="117"/>
      <c r="Q885" s="126">
        <f>SUM(Q865:Q884)</f>
        <v>21.7</v>
      </c>
      <c r="R885" s="126">
        <f>SUM(R865:R884)</f>
        <v>121.35495844740001</v>
      </c>
      <c r="S885" s="126">
        <f>SUM(S865:S884)</f>
        <v>0</v>
      </c>
      <c r="T885" s="126">
        <f t="shared" ref="T885:AZ885" si="7453">SUM(T865:T884)</f>
        <v>0</v>
      </c>
      <c r="U885" s="126">
        <f t="shared" si="7453"/>
        <v>0</v>
      </c>
      <c r="V885" s="126">
        <f t="shared" si="7453"/>
        <v>0</v>
      </c>
      <c r="W885" s="126">
        <f t="shared" si="7453"/>
        <v>0</v>
      </c>
      <c r="X885" s="126">
        <f t="shared" si="7453"/>
        <v>0</v>
      </c>
      <c r="Y885" s="126">
        <f t="shared" si="7453"/>
        <v>0</v>
      </c>
      <c r="Z885" s="126">
        <f t="shared" si="7453"/>
        <v>0</v>
      </c>
      <c r="AA885" s="126">
        <f t="shared" si="7453"/>
        <v>0</v>
      </c>
      <c r="AB885" s="126">
        <f t="shared" si="7453"/>
        <v>0</v>
      </c>
      <c r="AC885" s="126">
        <f t="shared" si="7453"/>
        <v>0</v>
      </c>
      <c r="AD885" s="126">
        <f t="shared" si="7453"/>
        <v>0</v>
      </c>
      <c r="AE885" s="126">
        <f t="shared" si="7453"/>
        <v>0</v>
      </c>
      <c r="AF885" s="126">
        <f t="shared" si="7453"/>
        <v>0</v>
      </c>
      <c r="AG885" s="126">
        <f t="shared" si="7453"/>
        <v>0</v>
      </c>
      <c r="AH885" s="126">
        <f t="shared" si="7453"/>
        <v>0</v>
      </c>
      <c r="AI885" s="126">
        <f t="shared" si="7453"/>
        <v>0</v>
      </c>
      <c r="AJ885" s="126">
        <f t="shared" si="7453"/>
        <v>0</v>
      </c>
      <c r="AK885" s="126">
        <f t="shared" si="7453"/>
        <v>0.5</v>
      </c>
      <c r="AL885" s="126">
        <f t="shared" si="7453"/>
        <v>2.869891</v>
      </c>
      <c r="AM885" s="126">
        <f t="shared" si="7453"/>
        <v>1</v>
      </c>
      <c r="AN885" s="126">
        <f t="shared" si="7453"/>
        <v>5.6485650000000005</v>
      </c>
      <c r="AO885" s="126">
        <f t="shared" si="7453"/>
        <v>5</v>
      </c>
      <c r="AP885" s="126">
        <f t="shared" si="7453"/>
        <v>27.647092500000003</v>
      </c>
      <c r="AQ885" s="126">
        <f t="shared" si="7453"/>
        <v>6.5</v>
      </c>
      <c r="AR885" s="126">
        <f t="shared" si="7453"/>
        <v>36.1655485</v>
      </c>
      <c r="AS885" s="126">
        <f t="shared" si="7453"/>
        <v>8.3000000000000007</v>
      </c>
      <c r="AT885" s="126">
        <f t="shared" si="7453"/>
        <v>45.958125500000008</v>
      </c>
      <c r="AU885" s="126">
        <f t="shared" si="7453"/>
        <v>5.8730000000000002</v>
      </c>
      <c r="AV885" s="126">
        <f t="shared" si="7453"/>
        <v>33.298641173700005</v>
      </c>
      <c r="AW885" s="126">
        <f t="shared" si="7453"/>
        <v>1.0269999999999999</v>
      </c>
      <c r="AX885" s="126">
        <f t="shared" si="7453"/>
        <v>5.9326432737000001</v>
      </c>
      <c r="AY885" s="126">
        <f t="shared" si="7453"/>
        <v>15.2</v>
      </c>
      <c r="AZ885" s="126">
        <f t="shared" si="7453"/>
        <v>85.189409947400009</v>
      </c>
      <c r="BA885" s="126">
        <f>SUM(BA865:BA884)</f>
        <v>21.7</v>
      </c>
      <c r="BB885" s="126">
        <f>SUM(BB865:BB884)</f>
        <v>121.35495844740001</v>
      </c>
    </row>
    <row r="886" spans="1:54">
      <c r="A886" s="498">
        <v>623</v>
      </c>
      <c r="B886" s="26"/>
      <c r="C886" s="27" t="s">
        <v>135</v>
      </c>
      <c r="D886" s="28"/>
      <c r="E886" s="39"/>
      <c r="F886" s="39"/>
      <c r="G886" s="39"/>
      <c r="H886" s="276"/>
      <c r="I886" s="334"/>
      <c r="J886" s="336"/>
      <c r="K886" s="334"/>
      <c r="L886" s="335"/>
      <c r="M886" s="334"/>
      <c r="N886" s="335"/>
      <c r="O886" s="337"/>
      <c r="P886" s="336"/>
      <c r="Q886" s="123">
        <f>SUM(Q885,Q864,Q854,Q834)</f>
        <v>32.256</v>
      </c>
      <c r="R886" s="123">
        <f t="shared" ref="R886:BA886" si="7454">SUM(R885,R864,R854,R834)</f>
        <v>204.054916023</v>
      </c>
      <c r="S886" s="123">
        <f t="shared" si="7454"/>
        <v>0</v>
      </c>
      <c r="T886" s="123">
        <f t="shared" si="7454"/>
        <v>0</v>
      </c>
      <c r="U886" s="123">
        <f t="shared" si="7454"/>
        <v>0</v>
      </c>
      <c r="V886" s="123">
        <f t="shared" si="7454"/>
        <v>0</v>
      </c>
      <c r="W886" s="123">
        <f t="shared" si="7454"/>
        <v>3.7</v>
      </c>
      <c r="X886" s="123">
        <f t="shared" si="7454"/>
        <v>28.406979399999997</v>
      </c>
      <c r="Y886" s="123">
        <f t="shared" si="7454"/>
        <v>3.7</v>
      </c>
      <c r="Z886" s="123">
        <f t="shared" si="7454"/>
        <v>28.406979399999997</v>
      </c>
      <c r="AA886" s="123">
        <f t="shared" si="7454"/>
        <v>2.5</v>
      </c>
      <c r="AB886" s="123">
        <f t="shared" si="7454"/>
        <v>19.677430999999999</v>
      </c>
      <c r="AC886" s="123">
        <f t="shared" si="7454"/>
        <v>0.75600000000000001</v>
      </c>
      <c r="AD886" s="123">
        <f t="shared" si="7454"/>
        <v>5.9744904156</v>
      </c>
      <c r="AE886" s="123">
        <f t="shared" si="7454"/>
        <v>3.5999999999999996</v>
      </c>
      <c r="AF886" s="123">
        <f t="shared" si="7454"/>
        <v>28.641056759999998</v>
      </c>
      <c r="AG886" s="123">
        <f t="shared" si="7454"/>
        <v>6.8559999999999999</v>
      </c>
      <c r="AH886" s="123">
        <f t="shared" si="7454"/>
        <v>54.292978175599998</v>
      </c>
      <c r="AI886" s="123">
        <f t="shared" si="7454"/>
        <v>10.556000000000001</v>
      </c>
      <c r="AJ886" s="123">
        <f t="shared" si="7454"/>
        <v>82.699957575599996</v>
      </c>
      <c r="AK886" s="123">
        <f t="shared" si="7454"/>
        <v>0.5</v>
      </c>
      <c r="AL886" s="123">
        <f t="shared" si="7454"/>
        <v>2.869891</v>
      </c>
      <c r="AM886" s="123">
        <f t="shared" si="7454"/>
        <v>1</v>
      </c>
      <c r="AN886" s="123">
        <f t="shared" si="7454"/>
        <v>5.6485650000000005</v>
      </c>
      <c r="AO886" s="123">
        <f t="shared" si="7454"/>
        <v>5</v>
      </c>
      <c r="AP886" s="123">
        <f t="shared" si="7454"/>
        <v>27.647092500000003</v>
      </c>
      <c r="AQ886" s="123">
        <f t="shared" si="7454"/>
        <v>6.5</v>
      </c>
      <c r="AR886" s="123">
        <f t="shared" si="7454"/>
        <v>36.1655485</v>
      </c>
      <c r="AS886" s="123">
        <f t="shared" si="7454"/>
        <v>8.3000000000000007</v>
      </c>
      <c r="AT886" s="123">
        <f t="shared" si="7454"/>
        <v>45.958125500000008</v>
      </c>
      <c r="AU886" s="123">
        <f t="shared" si="7454"/>
        <v>5.8730000000000002</v>
      </c>
      <c r="AV886" s="123">
        <f t="shared" si="7454"/>
        <v>33.298641173700005</v>
      </c>
      <c r="AW886" s="123">
        <f t="shared" si="7454"/>
        <v>1.0269999999999999</v>
      </c>
      <c r="AX886" s="123">
        <f t="shared" si="7454"/>
        <v>5.9326432737000001</v>
      </c>
      <c r="AY886" s="123">
        <f t="shared" si="7454"/>
        <v>15.2</v>
      </c>
      <c r="AZ886" s="123">
        <f t="shared" si="7454"/>
        <v>85.189409947400009</v>
      </c>
      <c r="BA886" s="123">
        <f t="shared" si="7454"/>
        <v>21.7</v>
      </c>
      <c r="BB886" s="123">
        <f>SUM(BB885,BB864,BB854,BB834)</f>
        <v>121.35495844740001</v>
      </c>
    </row>
    <row r="887" spans="1:54">
      <c r="A887" s="498">
        <v>624</v>
      </c>
      <c r="B887" s="13"/>
      <c r="C887" s="13" t="s">
        <v>519</v>
      </c>
      <c r="D887" s="13" t="s">
        <v>512</v>
      </c>
      <c r="E887" s="49" t="s">
        <v>629</v>
      </c>
      <c r="F887" s="314" t="s">
        <v>240</v>
      </c>
      <c r="G887" s="314" t="s">
        <v>1105</v>
      </c>
      <c r="H887" s="274" t="s">
        <v>441</v>
      </c>
      <c r="I887" s="62">
        <v>13.07</v>
      </c>
      <c r="J887" s="164"/>
      <c r="K887" s="62">
        <v>13.07</v>
      </c>
      <c r="L887" s="164"/>
      <c r="M887" s="62">
        <v>13.07</v>
      </c>
      <c r="N887" s="164"/>
      <c r="O887" s="62">
        <v>13.07</v>
      </c>
      <c r="P887" s="164"/>
      <c r="Q887" s="122">
        <f t="shared" ref="Q887:R1125" si="7455">SUM(AI887+BA887)</f>
        <v>0</v>
      </c>
      <c r="R887" s="346">
        <f t="shared" si="7455"/>
        <v>0</v>
      </c>
      <c r="S887" s="122"/>
      <c r="T887" s="122">
        <f t="shared" ref="T887:T1125" si="7456">I887*S887*$T$2/1000</f>
        <v>0</v>
      </c>
      <c r="U887" s="122"/>
      <c r="V887" s="122">
        <f t="shared" ref="V887:V1001" si="7457">I887*U887*$V$2/1000</f>
        <v>0</v>
      </c>
      <c r="W887" s="122"/>
      <c r="X887" s="122">
        <f t="shared" ref="X887:X1125" si="7458">I887*W887*$X$2/1000</f>
        <v>0</v>
      </c>
      <c r="Y887" s="122">
        <f t="shared" ref="Y887:Y1017" si="7459">SUM(S887+U887+W887)</f>
        <v>0</v>
      </c>
      <c r="Z887" s="122">
        <f t="shared" ref="Z887:Z1017" si="7460">SUM(T887+V887+X887)</f>
        <v>0</v>
      </c>
      <c r="AA887" s="122"/>
      <c r="AB887" s="122">
        <f t="shared" ref="AB887:AB955" si="7461">K887*AA887*$AB$2/1000</f>
        <v>0</v>
      </c>
      <c r="AC887" s="122"/>
      <c r="AD887" s="122">
        <f>K887*AC887*$AD$2/1000</f>
        <v>0</v>
      </c>
      <c r="AE887" s="122"/>
      <c r="AF887" s="122">
        <f>K887*AE887*$AF$2/1000</f>
        <v>0</v>
      </c>
      <c r="AG887" s="122">
        <f t="shared" ref="AG887:AG1017" si="7462">SUM(AA887+AC887+AE887)</f>
        <v>0</v>
      </c>
      <c r="AH887" s="122">
        <f t="shared" ref="AH887:AH953" si="7463">SUM(AB887+AD887+AF887)</f>
        <v>0</v>
      </c>
      <c r="AI887" s="122">
        <f t="shared" ref="AI887:AI1017" si="7464">SUM(Y887+AG887)</f>
        <v>0</v>
      </c>
      <c r="AJ887" s="122">
        <f t="shared" ref="AJ887:AJ1017" si="7465">SUM(Z887,AH887)</f>
        <v>0</v>
      </c>
      <c r="AK887" s="122"/>
      <c r="AL887" s="122">
        <f t="shared" ref="AL887:AL955" si="7466">M887*AK887*$AL$2/1000</f>
        <v>0</v>
      </c>
      <c r="AM887" s="122"/>
      <c r="AN887" s="122">
        <f t="shared" ref="AN887:AN955" si="7467">M887*AM887*$AN$2/1000</f>
        <v>0</v>
      </c>
      <c r="AO887" s="122"/>
      <c r="AP887" s="122">
        <f t="shared" ref="AP887:AP892" si="7468">M887*AO887*$AP$2/1000</f>
        <v>0</v>
      </c>
      <c r="AQ887" s="122">
        <f t="shared" ref="AQ887:AQ1017" si="7469">SUM(AK887+AM887+AO887)</f>
        <v>0</v>
      </c>
      <c r="AR887" s="122">
        <f t="shared" ref="AR887:AR1017" si="7470">SUM(AL887+AN887+AP887)</f>
        <v>0</v>
      </c>
      <c r="AS887" s="122"/>
      <c r="AT887" s="122">
        <f t="shared" ref="AT887:AT1017" si="7471">O887*AS887*$AT$2/1000</f>
        <v>0</v>
      </c>
      <c r="AU887" s="122"/>
      <c r="AV887" s="122">
        <f t="shared" ref="AV887:AV1017" si="7472">O887*AU887*$AV$2/1000</f>
        <v>0</v>
      </c>
      <c r="AW887" s="122"/>
      <c r="AX887" s="122">
        <f t="shared" ref="AX887:AX1017" si="7473">O887*AW887*$AX$2/1000</f>
        <v>0</v>
      </c>
      <c r="AY887" s="122">
        <f t="shared" ref="AY887:AY1002" si="7474">SUM(AS887+AU887+AW887)</f>
        <v>0</v>
      </c>
      <c r="AZ887" s="122">
        <f t="shared" ref="AZ887:AZ1002" si="7475">SUM(AT887+AV887+AX887)</f>
        <v>0</v>
      </c>
      <c r="BA887" s="122">
        <f t="shared" ref="BA887:BA1002" si="7476">SUM(AQ887+AY887)</f>
        <v>0</v>
      </c>
      <c r="BB887" s="122">
        <f t="shared" ref="BB887:BB1002" si="7477">SUM(AR887,AZ887)</f>
        <v>0</v>
      </c>
    </row>
    <row r="888" spans="1:54">
      <c r="A888" s="498">
        <v>625</v>
      </c>
      <c r="B888" s="13"/>
      <c r="C888" s="23"/>
      <c r="D888" s="15" t="s">
        <v>520</v>
      </c>
      <c r="E888" s="16" t="s">
        <v>605</v>
      </c>
      <c r="F888" s="46" t="s">
        <v>240</v>
      </c>
      <c r="G888" s="46" t="s">
        <v>1105</v>
      </c>
      <c r="H888" s="268" t="s">
        <v>441</v>
      </c>
      <c r="I888" s="55">
        <v>13.07</v>
      </c>
      <c r="J888" s="163"/>
      <c r="K888" s="55">
        <v>13.07</v>
      </c>
      <c r="L888" s="163"/>
      <c r="M888" s="55">
        <v>13.07</v>
      </c>
      <c r="N888" s="163"/>
      <c r="O888" s="55">
        <v>13.07</v>
      </c>
      <c r="P888" s="163"/>
      <c r="Q888" s="97">
        <f>SUM(AI888+BA888)</f>
        <v>0</v>
      </c>
      <c r="R888" s="342">
        <f>SUM(AJ888+BB888)</f>
        <v>0</v>
      </c>
      <c r="S888" s="97"/>
      <c r="T888" s="97">
        <f t="shared" ref="T888" si="7478">I888*S888*$T$2/1000</f>
        <v>0</v>
      </c>
      <c r="U888" s="97"/>
      <c r="V888" s="97">
        <f t="shared" ref="V888" si="7479">I888*U888*$V$2/1000</f>
        <v>0</v>
      </c>
      <c r="W888" s="97"/>
      <c r="X888" s="97">
        <f t="shared" ref="X888" si="7480">I888*W888*$X$2/1000</f>
        <v>0</v>
      </c>
      <c r="Y888" s="97">
        <f t="shared" ref="Y888" si="7481">SUM(S888+U888+W888)</f>
        <v>0</v>
      </c>
      <c r="Z888" s="97">
        <f t="shared" ref="Z888" si="7482">SUM(T888+V888+X888)</f>
        <v>0</v>
      </c>
      <c r="AA888" s="97"/>
      <c r="AB888" s="97">
        <f t="shared" ref="AB888" si="7483">K888*AA888*$AB$2/1000</f>
        <v>0</v>
      </c>
      <c r="AC888" s="97"/>
      <c r="AD888" s="97">
        <f>K888*AC888*$AD$2/1000</f>
        <v>0</v>
      </c>
      <c r="AE888" s="97"/>
      <c r="AF888" s="97">
        <f t="shared" ref="AF888" si="7484">K888*AE888*$AF$2/1000</f>
        <v>0</v>
      </c>
      <c r="AG888" s="97">
        <f t="shared" ref="AG888" si="7485">SUM(AA888+AC888+AE888)</f>
        <v>0</v>
      </c>
      <c r="AH888" s="97">
        <f t="shared" ref="AH888" si="7486">SUM(AB888+AD888+AF888)</f>
        <v>0</v>
      </c>
      <c r="AI888" s="97">
        <f t="shared" ref="AI888" si="7487">SUM(Y888+AG888)</f>
        <v>0</v>
      </c>
      <c r="AJ888" s="97">
        <f t="shared" ref="AJ888" si="7488">SUM(Z888,AH888)</f>
        <v>0</v>
      </c>
      <c r="AK888" s="97"/>
      <c r="AL888" s="97">
        <f t="shared" ref="AL888" si="7489">M888*AK888*$AL$2/1000</f>
        <v>0</v>
      </c>
      <c r="AM888" s="97"/>
      <c r="AN888" s="97">
        <f t="shared" ref="AN888" si="7490">M888*AM888*$AN$2/1000</f>
        <v>0</v>
      </c>
      <c r="AO888" s="97"/>
      <c r="AP888" s="97">
        <f>M888*AO888*$AP$2/1000</f>
        <v>0</v>
      </c>
      <c r="AQ888" s="97">
        <f t="shared" ref="AQ888" si="7491">SUM(AK888+AM888+AO888)</f>
        <v>0</v>
      </c>
      <c r="AR888" s="97">
        <f t="shared" ref="AR888" si="7492">SUM(AL888+AN888+AP888)</f>
        <v>0</v>
      </c>
      <c r="AS888" s="97"/>
      <c r="AT888" s="97">
        <f t="shared" ref="AT888" si="7493">O888*AS888*$AT$2/1000</f>
        <v>0</v>
      </c>
      <c r="AU888" s="97"/>
      <c r="AV888" s="97">
        <f t="shared" ref="AV888" si="7494">O888*AU888*$AV$2/1000</f>
        <v>0</v>
      </c>
      <c r="AW888" s="97"/>
      <c r="AX888" s="97">
        <f t="shared" ref="AX888" si="7495">O888*AW888*$AX$2/1000</f>
        <v>0</v>
      </c>
      <c r="AY888" s="97">
        <f t="shared" ref="AY888" si="7496">SUM(AS888+AU888+AW888)</f>
        <v>0</v>
      </c>
      <c r="AZ888" s="97">
        <f t="shared" ref="AZ888" si="7497">SUM(AT888+AV888+AX888)</f>
        <v>0</v>
      </c>
      <c r="BA888" s="97">
        <f t="shared" ref="BA888" si="7498">SUM(AQ888+AY888)</f>
        <v>0</v>
      </c>
      <c r="BB888" s="97">
        <f t="shared" ref="BB888" si="7499">SUM(AR888,AZ888)</f>
        <v>0</v>
      </c>
    </row>
    <row r="889" spans="1:54">
      <c r="A889" s="498">
        <v>626</v>
      </c>
      <c r="B889" s="13"/>
      <c r="C889" s="23"/>
      <c r="D889" s="15" t="s">
        <v>520</v>
      </c>
      <c r="E889" s="16" t="s">
        <v>630</v>
      </c>
      <c r="F889" s="46" t="s">
        <v>240</v>
      </c>
      <c r="G889" s="46" t="s">
        <v>1105</v>
      </c>
      <c r="H889" s="268" t="s">
        <v>441</v>
      </c>
      <c r="I889" s="55">
        <v>13.07</v>
      </c>
      <c r="J889" s="163"/>
      <c r="K889" s="55">
        <v>13.07</v>
      </c>
      <c r="L889" s="163"/>
      <c r="M889" s="55">
        <v>13.07</v>
      </c>
      <c r="N889" s="163"/>
      <c r="O889" s="55">
        <v>13.07</v>
      </c>
      <c r="P889" s="163"/>
      <c r="Q889" s="97">
        <f t="shared" si="7455"/>
        <v>0</v>
      </c>
      <c r="R889" s="342">
        <f t="shared" si="7455"/>
        <v>0</v>
      </c>
      <c r="S889" s="97"/>
      <c r="T889" s="97">
        <f t="shared" si="7456"/>
        <v>0</v>
      </c>
      <c r="U889" s="97"/>
      <c r="V889" s="97">
        <f t="shared" si="7457"/>
        <v>0</v>
      </c>
      <c r="W889" s="97"/>
      <c r="X889" s="97">
        <f t="shared" si="7458"/>
        <v>0</v>
      </c>
      <c r="Y889" s="97">
        <f t="shared" si="7459"/>
        <v>0</v>
      </c>
      <c r="Z889" s="97">
        <f t="shared" si="7460"/>
        <v>0</v>
      </c>
      <c r="AA889" s="97"/>
      <c r="AB889" s="97">
        <f t="shared" si="7461"/>
        <v>0</v>
      </c>
      <c r="AC889" s="97"/>
      <c r="AD889" s="97">
        <f>K889*AC889*$AD$2/1000</f>
        <v>0</v>
      </c>
      <c r="AE889" s="97"/>
      <c r="AF889" s="97">
        <f t="shared" ref="AF889:AF919" si="7500">K889*AE889*$AF$2/1000</f>
        <v>0</v>
      </c>
      <c r="AG889" s="97">
        <f t="shared" si="7462"/>
        <v>0</v>
      </c>
      <c r="AH889" s="97">
        <f t="shared" si="7463"/>
        <v>0</v>
      </c>
      <c r="AI889" s="97">
        <f t="shared" si="7464"/>
        <v>0</v>
      </c>
      <c r="AJ889" s="97">
        <f t="shared" si="7465"/>
        <v>0</v>
      </c>
      <c r="AK889" s="97"/>
      <c r="AL889" s="97">
        <f t="shared" si="7466"/>
        <v>0</v>
      </c>
      <c r="AM889" s="97"/>
      <c r="AN889" s="97">
        <f t="shared" si="7467"/>
        <v>0</v>
      </c>
      <c r="AO889" s="97"/>
      <c r="AP889" s="97">
        <f>M889*AO889*$AP$2/1000</f>
        <v>0</v>
      </c>
      <c r="AQ889" s="97">
        <f t="shared" si="7469"/>
        <v>0</v>
      </c>
      <c r="AR889" s="97">
        <f t="shared" si="7470"/>
        <v>0</v>
      </c>
      <c r="AS889" s="97"/>
      <c r="AT889" s="97">
        <f t="shared" si="7471"/>
        <v>0</v>
      </c>
      <c r="AU889" s="97"/>
      <c r="AV889" s="97">
        <f t="shared" si="7472"/>
        <v>0</v>
      </c>
      <c r="AW889" s="97"/>
      <c r="AX889" s="97">
        <f t="shared" si="7473"/>
        <v>0</v>
      </c>
      <c r="AY889" s="97">
        <f t="shared" si="7474"/>
        <v>0</v>
      </c>
      <c r="AZ889" s="97">
        <f t="shared" si="7475"/>
        <v>0</v>
      </c>
      <c r="BA889" s="97">
        <f t="shared" si="7476"/>
        <v>0</v>
      </c>
      <c r="BB889" s="97">
        <f t="shared" si="7477"/>
        <v>0</v>
      </c>
    </row>
    <row r="890" spans="1:54">
      <c r="A890" s="498">
        <v>627</v>
      </c>
      <c r="B890" s="13"/>
      <c r="C890" s="23"/>
      <c r="D890" s="15" t="s">
        <v>521</v>
      </c>
      <c r="E890" s="70" t="s">
        <v>631</v>
      </c>
      <c r="F890" s="65" t="s">
        <v>240</v>
      </c>
      <c r="G890" s="65" t="s">
        <v>1105</v>
      </c>
      <c r="H890" s="275" t="s">
        <v>441</v>
      </c>
      <c r="I890" s="58">
        <v>13.07</v>
      </c>
      <c r="J890" s="167"/>
      <c r="K890" s="58">
        <v>13.07</v>
      </c>
      <c r="L890" s="167"/>
      <c r="M890" s="58">
        <v>13.07</v>
      </c>
      <c r="N890" s="167"/>
      <c r="O890" s="58">
        <v>13.07</v>
      </c>
      <c r="P890" s="167"/>
      <c r="Q890" s="95">
        <f t="shared" si="7455"/>
        <v>0</v>
      </c>
      <c r="R890" s="343">
        <f t="shared" si="7455"/>
        <v>0</v>
      </c>
      <c r="S890" s="95"/>
      <c r="T890" s="95">
        <f t="shared" si="7456"/>
        <v>0</v>
      </c>
      <c r="U890" s="95"/>
      <c r="V890" s="95">
        <f t="shared" si="7457"/>
        <v>0</v>
      </c>
      <c r="W890" s="95"/>
      <c r="X890" s="95">
        <f t="shared" si="7458"/>
        <v>0</v>
      </c>
      <c r="Y890" s="95">
        <f t="shared" si="7459"/>
        <v>0</v>
      </c>
      <c r="Z890" s="95">
        <f t="shared" si="7460"/>
        <v>0</v>
      </c>
      <c r="AA890" s="95"/>
      <c r="AB890" s="95">
        <f t="shared" si="7461"/>
        <v>0</v>
      </c>
      <c r="AC890" s="95"/>
      <c r="AD890" s="95">
        <f>K890*AC890*$AD$2/1000</f>
        <v>0</v>
      </c>
      <c r="AE890" s="95"/>
      <c r="AF890" s="95">
        <f t="shared" si="7500"/>
        <v>0</v>
      </c>
      <c r="AG890" s="95">
        <f t="shared" si="7462"/>
        <v>0</v>
      </c>
      <c r="AH890" s="95">
        <f t="shared" si="7463"/>
        <v>0</v>
      </c>
      <c r="AI890" s="95">
        <f t="shared" si="7464"/>
        <v>0</v>
      </c>
      <c r="AJ890" s="95">
        <f t="shared" si="7465"/>
        <v>0</v>
      </c>
      <c r="AK890" s="95"/>
      <c r="AL890" s="95">
        <f t="shared" si="7466"/>
        <v>0</v>
      </c>
      <c r="AM890" s="95"/>
      <c r="AN890" s="95">
        <f t="shared" si="7467"/>
        <v>0</v>
      </c>
      <c r="AO890" s="95"/>
      <c r="AP890" s="95">
        <f t="shared" si="7468"/>
        <v>0</v>
      </c>
      <c r="AQ890" s="95">
        <f t="shared" si="7469"/>
        <v>0</v>
      </c>
      <c r="AR890" s="95">
        <f t="shared" si="7470"/>
        <v>0</v>
      </c>
      <c r="AS890" s="95"/>
      <c r="AT890" s="95">
        <f t="shared" si="7471"/>
        <v>0</v>
      </c>
      <c r="AU890" s="95"/>
      <c r="AV890" s="95">
        <f t="shared" si="7472"/>
        <v>0</v>
      </c>
      <c r="AW890" s="95"/>
      <c r="AX890" s="95">
        <f t="shared" si="7473"/>
        <v>0</v>
      </c>
      <c r="AY890" s="95">
        <f t="shared" si="7474"/>
        <v>0</v>
      </c>
      <c r="AZ890" s="95">
        <f t="shared" si="7475"/>
        <v>0</v>
      </c>
      <c r="BA890" s="95">
        <f t="shared" si="7476"/>
        <v>0</v>
      </c>
      <c r="BB890" s="95">
        <f t="shared" si="7477"/>
        <v>0</v>
      </c>
    </row>
    <row r="891" spans="1:54">
      <c r="A891" s="498">
        <v>628</v>
      </c>
      <c r="B891" s="13"/>
      <c r="C891" s="300" t="s">
        <v>518</v>
      </c>
      <c r="D891" s="53" t="s">
        <v>374</v>
      </c>
      <c r="E891" s="31" t="s">
        <v>632</v>
      </c>
      <c r="F891" s="314" t="s">
        <v>375</v>
      </c>
      <c r="G891" s="314" t="s">
        <v>1105</v>
      </c>
      <c r="H891" s="274" t="s">
        <v>441</v>
      </c>
      <c r="I891" s="62">
        <v>5.2</v>
      </c>
      <c r="J891" s="164"/>
      <c r="K891" s="62">
        <v>5.2</v>
      </c>
      <c r="L891" s="164"/>
      <c r="M891" s="62">
        <v>5.2</v>
      </c>
      <c r="N891" s="164"/>
      <c r="O891" s="62">
        <v>5.2</v>
      </c>
      <c r="P891" s="164"/>
      <c r="Q891" s="122">
        <f t="shared" si="7455"/>
        <v>0</v>
      </c>
      <c r="R891" s="346">
        <f t="shared" si="7455"/>
        <v>0</v>
      </c>
      <c r="S891" s="122"/>
      <c r="T891" s="122">
        <f t="shared" si="7456"/>
        <v>0</v>
      </c>
      <c r="U891" s="122"/>
      <c r="V891" s="122">
        <f t="shared" si="7457"/>
        <v>0</v>
      </c>
      <c r="W891" s="122"/>
      <c r="X891" s="122">
        <f t="shared" si="7458"/>
        <v>0</v>
      </c>
      <c r="Y891" s="122">
        <f t="shared" si="7459"/>
        <v>0</v>
      </c>
      <c r="Z891" s="122">
        <f t="shared" si="7460"/>
        <v>0</v>
      </c>
      <c r="AA891" s="122"/>
      <c r="AB891" s="122">
        <f t="shared" si="7461"/>
        <v>0</v>
      </c>
      <c r="AC891" s="122"/>
      <c r="AD891" s="122">
        <f t="shared" ref="AD891:AD1125" si="7501">K891*AC891*$AD$2/1000</f>
        <v>0</v>
      </c>
      <c r="AE891" s="122"/>
      <c r="AF891" s="122">
        <f t="shared" si="7500"/>
        <v>0</v>
      </c>
      <c r="AG891" s="122">
        <f t="shared" si="7462"/>
        <v>0</v>
      </c>
      <c r="AH891" s="122">
        <f t="shared" si="7463"/>
        <v>0</v>
      </c>
      <c r="AI891" s="122">
        <f t="shared" si="7464"/>
        <v>0</v>
      </c>
      <c r="AJ891" s="122">
        <f t="shared" si="7465"/>
        <v>0</v>
      </c>
      <c r="AK891" s="122"/>
      <c r="AL891" s="122">
        <f t="shared" si="7466"/>
        <v>0</v>
      </c>
      <c r="AM891" s="122"/>
      <c r="AN891" s="122">
        <f t="shared" si="7467"/>
        <v>0</v>
      </c>
      <c r="AO891" s="122"/>
      <c r="AP891" s="122">
        <f t="shared" si="7468"/>
        <v>0</v>
      </c>
      <c r="AQ891" s="122">
        <f t="shared" si="7469"/>
        <v>0</v>
      </c>
      <c r="AR891" s="122">
        <f t="shared" si="7470"/>
        <v>0</v>
      </c>
      <c r="AS891" s="122"/>
      <c r="AT891" s="122">
        <f t="shared" si="7471"/>
        <v>0</v>
      </c>
      <c r="AU891" s="122"/>
      <c r="AV891" s="122">
        <f t="shared" si="7472"/>
        <v>0</v>
      </c>
      <c r="AW891" s="122"/>
      <c r="AX891" s="122">
        <f t="shared" si="7473"/>
        <v>0</v>
      </c>
      <c r="AY891" s="122">
        <f t="shared" ref="AY891" si="7502">SUM(AS891+AU891+AW891)</f>
        <v>0</v>
      </c>
      <c r="AZ891" s="122">
        <f t="shared" ref="AZ891" si="7503">SUM(AT891+AV891+AX891)</f>
        <v>0</v>
      </c>
      <c r="BA891" s="122">
        <f t="shared" ref="BA891" si="7504">SUM(AQ891+AY891)</f>
        <v>0</v>
      </c>
      <c r="BB891" s="122">
        <f t="shared" ref="BB891" si="7505">SUM(AR891,AZ891)</f>
        <v>0</v>
      </c>
    </row>
    <row r="892" spans="1:54">
      <c r="A892" s="498">
        <v>629</v>
      </c>
      <c r="B892" s="13"/>
      <c r="D892" s="13" t="s">
        <v>376</v>
      </c>
      <c r="E892" s="21" t="s">
        <v>377</v>
      </c>
      <c r="F892" s="46" t="s">
        <v>378</v>
      </c>
      <c r="G892" s="46" t="s">
        <v>1105</v>
      </c>
      <c r="H892" s="268" t="s">
        <v>441</v>
      </c>
      <c r="I892" s="55">
        <v>5.2</v>
      </c>
      <c r="J892" s="163"/>
      <c r="K892" s="55">
        <v>5.2</v>
      </c>
      <c r="L892" s="163"/>
      <c r="M892" s="55">
        <v>5.2</v>
      </c>
      <c r="N892" s="163"/>
      <c r="O892" s="55">
        <v>5.2</v>
      </c>
      <c r="P892" s="163"/>
      <c r="Q892" s="97">
        <f t="shared" si="7455"/>
        <v>0</v>
      </c>
      <c r="R892" s="342">
        <f t="shared" si="7455"/>
        <v>0</v>
      </c>
      <c r="S892" s="97"/>
      <c r="T892" s="97">
        <f t="shared" si="7456"/>
        <v>0</v>
      </c>
      <c r="U892" s="97"/>
      <c r="V892" s="97">
        <f t="shared" si="7457"/>
        <v>0</v>
      </c>
      <c r="W892" s="97"/>
      <c r="X892" s="97">
        <f t="shared" si="7458"/>
        <v>0</v>
      </c>
      <c r="Y892" s="97">
        <f t="shared" si="7459"/>
        <v>0</v>
      </c>
      <c r="Z892" s="97">
        <f t="shared" si="7460"/>
        <v>0</v>
      </c>
      <c r="AA892" s="97"/>
      <c r="AB892" s="97">
        <f t="shared" si="7461"/>
        <v>0</v>
      </c>
      <c r="AC892" s="97"/>
      <c r="AD892" s="97">
        <f t="shared" si="7501"/>
        <v>0</v>
      </c>
      <c r="AE892" s="97"/>
      <c r="AF892" s="97">
        <f t="shared" si="7500"/>
        <v>0</v>
      </c>
      <c r="AG892" s="97">
        <f t="shared" si="7462"/>
        <v>0</v>
      </c>
      <c r="AH892" s="97">
        <f t="shared" si="7463"/>
        <v>0</v>
      </c>
      <c r="AI892" s="97">
        <f t="shared" si="7464"/>
        <v>0</v>
      </c>
      <c r="AJ892" s="97">
        <f t="shared" si="7465"/>
        <v>0</v>
      </c>
      <c r="AK892" s="97"/>
      <c r="AL892" s="97">
        <f t="shared" si="7466"/>
        <v>0</v>
      </c>
      <c r="AM892" s="97"/>
      <c r="AN892" s="97">
        <f t="shared" si="7467"/>
        <v>0</v>
      </c>
      <c r="AO892" s="97"/>
      <c r="AP892" s="97">
        <f t="shared" si="7468"/>
        <v>0</v>
      </c>
      <c r="AQ892" s="97">
        <f t="shared" si="7469"/>
        <v>0</v>
      </c>
      <c r="AR892" s="97">
        <f t="shared" si="7470"/>
        <v>0</v>
      </c>
      <c r="AS892" s="97"/>
      <c r="AT892" s="97">
        <f t="shared" si="7471"/>
        <v>0</v>
      </c>
      <c r="AU892" s="97"/>
      <c r="AV892" s="97">
        <f t="shared" si="7472"/>
        <v>0</v>
      </c>
      <c r="AW892" s="97"/>
      <c r="AX892" s="97">
        <f t="shared" si="7473"/>
        <v>0</v>
      </c>
      <c r="AY892" s="97">
        <f t="shared" si="7474"/>
        <v>0</v>
      </c>
      <c r="AZ892" s="97">
        <f t="shared" si="7475"/>
        <v>0</v>
      </c>
      <c r="BA892" s="97">
        <f t="shared" si="7476"/>
        <v>0</v>
      </c>
      <c r="BB892" s="97">
        <f t="shared" si="7477"/>
        <v>0</v>
      </c>
    </row>
    <row r="893" spans="1:54">
      <c r="A893" s="498">
        <v>630</v>
      </c>
      <c r="B893" s="13"/>
      <c r="C893" s="302"/>
      <c r="D893" s="13" t="s">
        <v>239</v>
      </c>
      <c r="E893" s="21" t="s">
        <v>494</v>
      </c>
      <c r="F893" s="46" t="s">
        <v>240</v>
      </c>
      <c r="G893" s="46" t="s">
        <v>1105</v>
      </c>
      <c r="H893" s="268" t="s">
        <v>366</v>
      </c>
      <c r="I893" s="55">
        <v>5.2</v>
      </c>
      <c r="J893" s="163"/>
      <c r="K893" s="55">
        <v>5.2</v>
      </c>
      <c r="L893" s="163"/>
      <c r="M893" s="55">
        <v>5.2</v>
      </c>
      <c r="N893" s="163"/>
      <c r="O893" s="55">
        <v>5.2</v>
      </c>
      <c r="P893" s="163"/>
      <c r="Q893" s="97">
        <f t="shared" ref="Q893:Q895" si="7506">SUM(AI893+BA893)</f>
        <v>0</v>
      </c>
      <c r="R893" s="342">
        <f t="shared" ref="R893:R895" si="7507">SUM(AJ893+BB893)</f>
        <v>0</v>
      </c>
      <c r="S893" s="97"/>
      <c r="T893" s="97">
        <f t="shared" ref="T893:T895" si="7508">I893*S893*$T$2/1000</f>
        <v>0</v>
      </c>
      <c r="U893" s="97"/>
      <c r="V893" s="97">
        <f t="shared" ref="V893:V895" si="7509">I893*U893*$V$2/1000</f>
        <v>0</v>
      </c>
      <c r="W893" s="97"/>
      <c r="X893" s="97">
        <f t="shared" ref="X893:X895" si="7510">I893*W893*$X$2/1000</f>
        <v>0</v>
      </c>
      <c r="Y893" s="97">
        <f t="shared" ref="Y893:Y895" si="7511">SUM(S893+U893+W893)</f>
        <v>0</v>
      </c>
      <c r="Z893" s="97">
        <f t="shared" ref="Z893:Z895" si="7512">SUM(T893+V893+X893)</f>
        <v>0</v>
      </c>
      <c r="AA893" s="97"/>
      <c r="AB893" s="97">
        <f t="shared" ref="AB893" si="7513">K893*AA893*$AB$2/1000</f>
        <v>0</v>
      </c>
      <c r="AC893" s="97"/>
      <c r="AD893" s="97">
        <f t="shared" ref="AD893" si="7514">K893*AC893*$AD$2/1000</f>
        <v>0</v>
      </c>
      <c r="AE893" s="97"/>
      <c r="AF893" s="97">
        <f t="shared" si="7500"/>
        <v>0</v>
      </c>
      <c r="AG893" s="97">
        <f t="shared" ref="AG893:AG895" si="7515">SUM(AA893+AC893+AE893)</f>
        <v>0</v>
      </c>
      <c r="AH893" s="97">
        <f t="shared" ref="AH893:AH895" si="7516">SUM(AB893+AD893+AF893)</f>
        <v>0</v>
      </c>
      <c r="AI893" s="97">
        <f t="shared" ref="AI893:AI895" si="7517">SUM(Y893+AG893)</f>
        <v>0</v>
      </c>
      <c r="AJ893" s="97">
        <f t="shared" ref="AJ893:AJ895" si="7518">SUM(Z893,AH893)</f>
        <v>0</v>
      </c>
      <c r="AK893" s="97"/>
      <c r="AL893" s="97">
        <f t="shared" ref="AL893:AL895" si="7519">M893*AK893*$AL$2/1000</f>
        <v>0</v>
      </c>
      <c r="AM893" s="97"/>
      <c r="AN893" s="97">
        <f t="shared" ref="AN893:AN895" si="7520">M893*AM893*$AN$2/1000</f>
        <v>0</v>
      </c>
      <c r="AO893" s="97"/>
      <c r="AP893" s="97">
        <f t="shared" ref="AP893" si="7521">M893*AO893*$AP$2/1000</f>
        <v>0</v>
      </c>
      <c r="AQ893" s="97">
        <f t="shared" ref="AQ893:AQ895" si="7522">SUM(AK893+AM893+AO893)</f>
        <v>0</v>
      </c>
      <c r="AR893" s="97">
        <f t="shared" ref="AR893:AR895" si="7523">SUM(AL893+AN893+AP893)</f>
        <v>0</v>
      </c>
      <c r="AS893" s="97"/>
      <c r="AT893" s="97">
        <f t="shared" ref="AT893:AT895" si="7524">O893*AS893*$AT$2/1000</f>
        <v>0</v>
      </c>
      <c r="AU893" s="97"/>
      <c r="AV893" s="97">
        <f t="shared" ref="AV893:AV895" si="7525">O893*AU893*$AV$2/1000</f>
        <v>0</v>
      </c>
      <c r="AW893" s="97"/>
      <c r="AX893" s="97">
        <f t="shared" ref="AX893:AX895" si="7526">O893*AW893*$AX$2/1000</f>
        <v>0</v>
      </c>
      <c r="AY893" s="97">
        <f t="shared" ref="AY893:AY895" si="7527">SUM(AS893+AU893+AW893)</f>
        <v>0</v>
      </c>
      <c r="AZ893" s="97">
        <f t="shared" ref="AZ893:AZ895" si="7528">SUM(AT893+AV893+AX893)</f>
        <v>0</v>
      </c>
      <c r="BA893" s="97">
        <f t="shared" ref="BA893:BA895" si="7529">SUM(AQ893+AY893)</f>
        <v>0</v>
      </c>
      <c r="BB893" s="97">
        <f t="shared" ref="BB893:BB895" si="7530">SUM(AR893,AZ893)</f>
        <v>0</v>
      </c>
    </row>
    <row r="894" spans="1:54">
      <c r="A894" s="498">
        <v>631</v>
      </c>
      <c r="B894" s="13"/>
      <c r="C894" s="23"/>
      <c r="D894" s="15" t="s">
        <v>673</v>
      </c>
      <c r="E894" s="16" t="s">
        <v>1397</v>
      </c>
      <c r="F894" s="46" t="s">
        <v>240</v>
      </c>
      <c r="G894" s="46" t="s">
        <v>1105</v>
      </c>
      <c r="H894" s="268" t="s">
        <v>441</v>
      </c>
      <c r="I894" s="55">
        <v>5.62</v>
      </c>
      <c r="J894" s="163"/>
      <c r="K894" s="55">
        <v>5.62</v>
      </c>
      <c r="L894" s="163"/>
      <c r="M894" s="55">
        <v>5.62</v>
      </c>
      <c r="N894" s="163"/>
      <c r="O894" s="55">
        <v>5.62</v>
      </c>
      <c r="P894" s="163"/>
      <c r="Q894" s="97">
        <f t="shared" ref="Q894" si="7531">SUM(AI894+BA894)</f>
        <v>0</v>
      </c>
      <c r="R894" s="342">
        <f t="shared" ref="R894" si="7532">SUM(AJ894+BB894)</f>
        <v>0</v>
      </c>
      <c r="S894" s="97"/>
      <c r="T894" s="97">
        <f t="shared" ref="T894" si="7533">I894*S894*$T$2/1000</f>
        <v>0</v>
      </c>
      <c r="U894" s="97"/>
      <c r="V894" s="97">
        <f t="shared" ref="V894" si="7534">I894*U894*$V$2/1000</f>
        <v>0</v>
      </c>
      <c r="W894" s="97"/>
      <c r="X894" s="97">
        <f t="shared" ref="X894" si="7535">I894*W894*$X$2/1000</f>
        <v>0</v>
      </c>
      <c r="Y894" s="97">
        <f t="shared" ref="Y894" si="7536">SUM(S894+U894+W894)</f>
        <v>0</v>
      </c>
      <c r="Z894" s="97">
        <f t="shared" ref="Z894" si="7537">SUM(T894+V894+X894)</f>
        <v>0</v>
      </c>
      <c r="AA894" s="97"/>
      <c r="AB894" s="97">
        <f>K894*AA894*$AB$2/1000</f>
        <v>0</v>
      </c>
      <c r="AC894" s="97"/>
      <c r="AD894" s="97">
        <f>K894*AC894*$AD$2/1000</f>
        <v>0</v>
      </c>
      <c r="AE894" s="97"/>
      <c r="AF894" s="97">
        <f t="shared" ref="AF894" si="7538">K894*AE894*$AF$2/1000</f>
        <v>0</v>
      </c>
      <c r="AG894" s="97">
        <f t="shared" ref="AG894" si="7539">SUM(AA894+AC894+AE894)</f>
        <v>0</v>
      </c>
      <c r="AH894" s="97">
        <f t="shared" ref="AH894" si="7540">SUM(AB894+AD894+AF894)</f>
        <v>0</v>
      </c>
      <c r="AI894" s="97">
        <f t="shared" ref="AI894" si="7541">SUM(Y894+AG894)</f>
        <v>0</v>
      </c>
      <c r="AJ894" s="97">
        <f t="shared" ref="AJ894" si="7542">SUM(Z894,AH894)</f>
        <v>0</v>
      </c>
      <c r="AK894" s="97"/>
      <c r="AL894" s="97">
        <f t="shared" ref="AL894" si="7543">M894*AK894*$AL$2/1000</f>
        <v>0</v>
      </c>
      <c r="AM894" s="97"/>
      <c r="AN894" s="97">
        <f t="shared" ref="AN894" si="7544">M894*AM894*$AN$2/1000</f>
        <v>0</v>
      </c>
      <c r="AO894" s="97"/>
      <c r="AP894" s="97">
        <f>M894*AO894*$AP$2/1000</f>
        <v>0</v>
      </c>
      <c r="AQ894" s="97">
        <f t="shared" ref="AQ894" si="7545">SUM(AK894+AM894+AO894)</f>
        <v>0</v>
      </c>
      <c r="AR894" s="97">
        <f t="shared" ref="AR894" si="7546">SUM(AL894+AN894+AP894)</f>
        <v>0</v>
      </c>
      <c r="AS894" s="97"/>
      <c r="AT894" s="97">
        <f t="shared" ref="AT894" si="7547">O894*AS894*$AT$2/1000</f>
        <v>0</v>
      </c>
      <c r="AU894" s="97"/>
      <c r="AV894" s="97">
        <f t="shared" ref="AV894" si="7548">O894*AU894*$AV$2/1000</f>
        <v>0</v>
      </c>
      <c r="AW894" s="97"/>
      <c r="AX894" s="97">
        <f t="shared" ref="AX894" si="7549">O894*AW894*$AX$2/1000</f>
        <v>0</v>
      </c>
      <c r="AY894" s="97">
        <f t="shared" ref="AY894" si="7550">SUM(AS894+AU894+AW894)</f>
        <v>0</v>
      </c>
      <c r="AZ894" s="97">
        <f t="shared" ref="AZ894" si="7551">SUM(AT894+AV894+AX894)</f>
        <v>0</v>
      </c>
      <c r="BA894" s="97">
        <f t="shared" ref="BA894" si="7552">SUM(AQ894+AY894)</f>
        <v>0</v>
      </c>
      <c r="BB894" s="97">
        <f t="shared" ref="BB894" si="7553">SUM(AR894,AZ894)</f>
        <v>0</v>
      </c>
    </row>
    <row r="895" spans="1:54">
      <c r="A895" s="498">
        <v>632</v>
      </c>
      <c r="B895" s="13"/>
      <c r="C895" s="23"/>
      <c r="D895" s="15" t="s">
        <v>541</v>
      </c>
      <c r="E895" s="16" t="s">
        <v>633</v>
      </c>
      <c r="F895" s="46" t="s">
        <v>240</v>
      </c>
      <c r="G895" s="46" t="s">
        <v>1105</v>
      </c>
      <c r="H895" s="268" t="s">
        <v>441</v>
      </c>
      <c r="I895" s="55">
        <v>5.2</v>
      </c>
      <c r="J895" s="163"/>
      <c r="K895" s="55">
        <v>5.2</v>
      </c>
      <c r="L895" s="163"/>
      <c r="M895" s="55">
        <v>5.2</v>
      </c>
      <c r="N895" s="163"/>
      <c r="O895" s="55">
        <v>5.2</v>
      </c>
      <c r="P895" s="163"/>
      <c r="Q895" s="97">
        <f t="shared" si="7506"/>
        <v>0</v>
      </c>
      <c r="R895" s="342">
        <f t="shared" si="7507"/>
        <v>0</v>
      </c>
      <c r="S895" s="97"/>
      <c r="T895" s="97">
        <f t="shared" si="7508"/>
        <v>0</v>
      </c>
      <c r="U895" s="97"/>
      <c r="V895" s="97">
        <f t="shared" si="7509"/>
        <v>0</v>
      </c>
      <c r="W895" s="97"/>
      <c r="X895" s="97">
        <f t="shared" si="7510"/>
        <v>0</v>
      </c>
      <c r="Y895" s="97">
        <f t="shared" si="7511"/>
        <v>0</v>
      </c>
      <c r="Z895" s="97">
        <f t="shared" si="7512"/>
        <v>0</v>
      </c>
      <c r="AA895" s="97"/>
      <c r="AB895" s="97">
        <f>K895*AA895*$AB$2/1000</f>
        <v>0</v>
      </c>
      <c r="AC895" s="97"/>
      <c r="AD895" s="97">
        <f>K895*AC895*$AD$2/1000</f>
        <v>0</v>
      </c>
      <c r="AE895" s="97"/>
      <c r="AF895" s="97">
        <f t="shared" si="7500"/>
        <v>0</v>
      </c>
      <c r="AG895" s="97">
        <f t="shared" si="7515"/>
        <v>0</v>
      </c>
      <c r="AH895" s="97">
        <f t="shared" si="7516"/>
        <v>0</v>
      </c>
      <c r="AI895" s="97">
        <f t="shared" si="7517"/>
        <v>0</v>
      </c>
      <c r="AJ895" s="97">
        <f t="shared" si="7518"/>
        <v>0</v>
      </c>
      <c r="AK895" s="97"/>
      <c r="AL895" s="97">
        <f t="shared" si="7519"/>
        <v>0</v>
      </c>
      <c r="AM895" s="97"/>
      <c r="AN895" s="97">
        <f t="shared" si="7520"/>
        <v>0</v>
      </c>
      <c r="AO895" s="97"/>
      <c r="AP895" s="97">
        <f>M895*AO895*$AP$2/1000</f>
        <v>0</v>
      </c>
      <c r="AQ895" s="97">
        <f t="shared" si="7522"/>
        <v>0</v>
      </c>
      <c r="AR895" s="97">
        <f t="shared" si="7523"/>
        <v>0</v>
      </c>
      <c r="AS895" s="97"/>
      <c r="AT895" s="97">
        <f t="shared" si="7524"/>
        <v>0</v>
      </c>
      <c r="AU895" s="97"/>
      <c r="AV895" s="97">
        <f t="shared" si="7525"/>
        <v>0</v>
      </c>
      <c r="AW895" s="97"/>
      <c r="AX895" s="97">
        <f t="shared" si="7526"/>
        <v>0</v>
      </c>
      <c r="AY895" s="97">
        <f t="shared" si="7527"/>
        <v>0</v>
      </c>
      <c r="AZ895" s="97">
        <f t="shared" si="7528"/>
        <v>0</v>
      </c>
      <c r="BA895" s="97">
        <f t="shared" si="7529"/>
        <v>0</v>
      </c>
      <c r="BB895" s="97">
        <f t="shared" si="7530"/>
        <v>0</v>
      </c>
    </row>
    <row r="896" spans="1:54">
      <c r="A896" s="498">
        <v>633</v>
      </c>
      <c r="B896" s="13"/>
      <c r="C896" s="302"/>
      <c r="D896" s="13" t="s">
        <v>373</v>
      </c>
      <c r="E896" s="21" t="s">
        <v>1831</v>
      </c>
      <c r="F896" s="46" t="s">
        <v>240</v>
      </c>
      <c r="G896" s="46" t="s">
        <v>1105</v>
      </c>
      <c r="H896" s="268" t="s">
        <v>366</v>
      </c>
      <c r="I896" s="55"/>
      <c r="J896" s="163"/>
      <c r="K896" s="55"/>
      <c r="L896" s="163"/>
      <c r="M896" s="55">
        <v>5.62</v>
      </c>
      <c r="N896" s="163"/>
      <c r="O896" s="55">
        <v>5.62</v>
      </c>
      <c r="P896" s="163"/>
      <c r="Q896" s="97">
        <f t="shared" ref="Q896:Q904" si="7554">SUM(AI896+BA896)</f>
        <v>9.9999999999999992E-2</v>
      </c>
      <c r="R896" s="342">
        <f t="shared" ref="R896:R904" si="7555">SUM(AJ896+BB896)</f>
        <v>0.76170613800000009</v>
      </c>
      <c r="S896" s="97"/>
      <c r="T896" s="97">
        <f t="shared" ref="T896:T904" si="7556">I896*S896*$T$2/1000</f>
        <v>0</v>
      </c>
      <c r="U896" s="97"/>
      <c r="V896" s="97">
        <f t="shared" ref="V896:V904" si="7557">I896*U896*$V$2/1000</f>
        <v>0</v>
      </c>
      <c r="W896" s="97"/>
      <c r="X896" s="97">
        <f t="shared" ref="X896:X904" si="7558">I896*W896*$X$2/1000</f>
        <v>0</v>
      </c>
      <c r="Y896" s="97">
        <f t="shared" ref="Y896:Y904" si="7559">SUM(S896+U896+W896)</f>
        <v>0</v>
      </c>
      <c r="Z896" s="97">
        <f t="shared" ref="Z896:Z904" si="7560">SUM(T896+V896+X896)</f>
        <v>0</v>
      </c>
      <c r="AA896" s="97"/>
      <c r="AB896" s="97">
        <f t="shared" ref="AB896:AB904" si="7561">K896*AA896*$AB$2/1000</f>
        <v>0</v>
      </c>
      <c r="AC896" s="97"/>
      <c r="AD896" s="97">
        <f t="shared" ref="AD896:AD904" si="7562">K896*AC896*$AD$2/1000</f>
        <v>0</v>
      </c>
      <c r="AE896" s="97"/>
      <c r="AF896" s="97">
        <f t="shared" si="7500"/>
        <v>0</v>
      </c>
      <c r="AG896" s="97">
        <f t="shared" ref="AG896:AG904" si="7563">SUM(AA896+AC896+AE896)</f>
        <v>0</v>
      </c>
      <c r="AH896" s="97">
        <f t="shared" ref="AH896:AH904" si="7564">SUM(AB896+AD896+AF896)</f>
        <v>0</v>
      </c>
      <c r="AI896" s="97">
        <f t="shared" ref="AI896:AI904" si="7565">SUM(Y896+AG896)</f>
        <v>0</v>
      </c>
      <c r="AJ896" s="97">
        <f t="shared" ref="AJ896:AJ904" si="7566">SUM(Z896,AH896)</f>
        <v>0</v>
      </c>
      <c r="AK896" s="97"/>
      <c r="AL896" s="97">
        <f>M896*AK896*$AL$2/1000</f>
        <v>0</v>
      </c>
      <c r="AM896" s="97"/>
      <c r="AN896" s="97">
        <f t="shared" ref="AN896:AN901" si="7567">M896*AM896*$AN$2/1000</f>
        <v>0</v>
      </c>
      <c r="AO896" s="97">
        <v>0.01</v>
      </c>
      <c r="AP896" s="97">
        <f t="shared" ref="AP896" si="7568">M896*AO896*$AP$2/1000</f>
        <v>7.4880318000000001E-2</v>
      </c>
      <c r="AQ896" s="97">
        <f t="shared" ref="AQ896:AQ904" si="7569">SUM(AK896+AM896+AO896)</f>
        <v>0.01</v>
      </c>
      <c r="AR896" s="97">
        <f t="shared" ref="AR896:AR904" si="7570">SUM(AL896+AN896+AP896)</f>
        <v>7.4880318000000001E-2</v>
      </c>
      <c r="AS896" s="97">
        <v>0.09</v>
      </c>
      <c r="AT896" s="97">
        <f t="shared" ref="AT896:AT904" si="7571">O896*AS896*$AT$2/1000</f>
        <v>0.68682582000000014</v>
      </c>
      <c r="AU896" s="97"/>
      <c r="AV896" s="97">
        <f t="shared" ref="AV896:AV904" si="7572">O896*AU896*$AV$2/1000</f>
        <v>0</v>
      </c>
      <c r="AW896" s="97"/>
      <c r="AX896" s="97">
        <f t="shared" ref="AX896:AX904" si="7573">O896*AW896*$AX$2/1000</f>
        <v>0</v>
      </c>
      <c r="AY896" s="97">
        <f t="shared" ref="AY896:AY904" si="7574">SUM(AS896+AU896+AW896)</f>
        <v>0.09</v>
      </c>
      <c r="AZ896" s="97">
        <f t="shared" ref="AZ896:AZ904" si="7575">SUM(AT896+AV896+AX896)</f>
        <v>0.68682582000000014</v>
      </c>
      <c r="BA896" s="97">
        <f t="shared" ref="BA896:BA904" si="7576">SUM(AQ896+AY896)</f>
        <v>9.9999999999999992E-2</v>
      </c>
      <c r="BB896" s="97">
        <f t="shared" ref="BB896:BB904" si="7577">SUM(AR896,AZ896)</f>
        <v>0.76170613800000009</v>
      </c>
    </row>
    <row r="897" spans="1:54">
      <c r="A897" s="498">
        <v>634</v>
      </c>
      <c r="B897" s="13"/>
      <c r="C897" s="302"/>
      <c r="D897" s="13" t="s">
        <v>373</v>
      </c>
      <c r="E897" s="21" t="s">
        <v>1267</v>
      </c>
      <c r="F897" s="46" t="s">
        <v>240</v>
      </c>
      <c r="G897" s="46" t="s">
        <v>1105</v>
      </c>
      <c r="H897" s="268" t="s">
        <v>366</v>
      </c>
      <c r="I897" s="55">
        <v>5.74</v>
      </c>
      <c r="J897" s="163"/>
      <c r="K897" s="55">
        <v>5.74</v>
      </c>
      <c r="L897" s="163"/>
      <c r="M897" s="55">
        <v>5.74</v>
      </c>
      <c r="N897" s="163"/>
      <c r="O897" s="55">
        <v>5.74</v>
      </c>
      <c r="P897" s="163"/>
      <c r="Q897" s="97">
        <f t="shared" ref="Q897" si="7578">SUM(AI897+BA897)</f>
        <v>5.4550000000000001</v>
      </c>
      <c r="R897" s="342">
        <f t="shared" ref="R897" si="7579">SUM(AJ897+BB897)</f>
        <v>42.439187370999996</v>
      </c>
      <c r="S897" s="97"/>
      <c r="T897" s="97">
        <f t="shared" ref="T897" si="7580">I897*S897*$T$2/1000</f>
        <v>0</v>
      </c>
      <c r="U897" s="97"/>
      <c r="V897" s="97">
        <f t="shared" ref="V897" si="7581">I897*U897*$V$2/1000</f>
        <v>0</v>
      </c>
      <c r="W897" s="97">
        <v>0.5</v>
      </c>
      <c r="X897" s="97">
        <f t="shared" ref="X897" si="7582">I897*W897*$X$2/1000</f>
        <v>3.8188219999999995</v>
      </c>
      <c r="Y897" s="97">
        <f t="shared" ref="Y897" si="7583">SUM(S897+U897+W897)</f>
        <v>0.5</v>
      </c>
      <c r="Z897" s="97">
        <f t="shared" ref="Z897" si="7584">SUM(T897+V897+X897)</f>
        <v>3.8188219999999995</v>
      </c>
      <c r="AA897" s="97"/>
      <c r="AB897" s="97">
        <f t="shared" ref="AB897" si="7585">K897*AA897*$AB$2/1000</f>
        <v>0</v>
      </c>
      <c r="AC897" s="97">
        <v>0.45500000000000002</v>
      </c>
      <c r="AD897" s="97">
        <f t="shared" ref="AD897" si="7586">K897*AC897*$AD$2/1000</f>
        <v>3.5770626710000006</v>
      </c>
      <c r="AE897" s="97">
        <v>0.5</v>
      </c>
      <c r="AF897" s="97">
        <f t="shared" ref="AF897" si="7587">K897*AE897*$AF$2/1000</f>
        <v>3.9572420999999998</v>
      </c>
      <c r="AG897" s="97">
        <f t="shared" ref="AG897" si="7588">SUM(AA897+AC897+AE897)</f>
        <v>0.95500000000000007</v>
      </c>
      <c r="AH897" s="97">
        <f t="shared" ref="AH897" si="7589">SUM(AB897+AD897+AF897)</f>
        <v>7.5343047710000004</v>
      </c>
      <c r="AI897" s="97">
        <f t="shared" ref="AI897" si="7590">SUM(Y897+AG897)</f>
        <v>1.4550000000000001</v>
      </c>
      <c r="AJ897" s="97">
        <f t="shared" ref="AJ897" si="7591">SUM(Z897,AH897)</f>
        <v>11.353126770999999</v>
      </c>
      <c r="AK897" s="97"/>
      <c r="AL897" s="97">
        <f>M897*AK897*$AL$2/1000</f>
        <v>0</v>
      </c>
      <c r="AM897" s="97">
        <v>3</v>
      </c>
      <c r="AN897" s="97">
        <f t="shared" ref="AN897" si="7592">M897*AM897*$AN$2/1000</f>
        <v>23.438141999999996</v>
      </c>
      <c r="AO897" s="97">
        <v>1</v>
      </c>
      <c r="AP897" s="97">
        <f t="shared" ref="AP897" si="7593">M897*AO897*$AP$2/1000</f>
        <v>7.6479186000000006</v>
      </c>
      <c r="AQ897" s="97">
        <f t="shared" ref="AQ897" si="7594">SUM(AK897+AM897+AO897)</f>
        <v>4</v>
      </c>
      <c r="AR897" s="97">
        <f t="shared" ref="AR897" si="7595">SUM(AL897+AN897+AP897)</f>
        <v>31.086060599999996</v>
      </c>
      <c r="AS897" s="97"/>
      <c r="AT897" s="97">
        <f t="shared" ref="AT897" si="7596">O897*AS897*$AT$2/1000</f>
        <v>0</v>
      </c>
      <c r="AU897" s="97"/>
      <c r="AV897" s="97">
        <f t="shared" ref="AV897" si="7597">O897*AU897*$AV$2/1000</f>
        <v>0</v>
      </c>
      <c r="AW897" s="97"/>
      <c r="AX897" s="97">
        <f t="shared" ref="AX897" si="7598">O897*AW897*$AX$2/1000</f>
        <v>0</v>
      </c>
      <c r="AY897" s="97">
        <f t="shared" ref="AY897" si="7599">SUM(AS897+AU897+AW897)</f>
        <v>0</v>
      </c>
      <c r="AZ897" s="97">
        <f t="shared" ref="AZ897" si="7600">SUM(AT897+AV897+AX897)</f>
        <v>0</v>
      </c>
      <c r="BA897" s="97">
        <f t="shared" ref="BA897" si="7601">SUM(AQ897+AY897)</f>
        <v>4</v>
      </c>
      <c r="BB897" s="97">
        <f t="shared" ref="BB897" si="7602">SUM(AR897,AZ897)</f>
        <v>31.086060599999996</v>
      </c>
    </row>
    <row r="898" spans="1:54">
      <c r="A898" s="498">
        <v>635</v>
      </c>
      <c r="B898" s="13"/>
      <c r="C898" s="302"/>
      <c r="D898" s="13" t="s">
        <v>581</v>
      </c>
      <c r="E898" s="21" t="s">
        <v>1493</v>
      </c>
      <c r="F898" s="46" t="s">
        <v>380</v>
      </c>
      <c r="G898" s="46" t="s">
        <v>1105</v>
      </c>
      <c r="H898" s="268" t="s">
        <v>441</v>
      </c>
      <c r="I898" s="55">
        <v>5.74</v>
      </c>
      <c r="J898" s="163"/>
      <c r="K898" s="55">
        <v>5.74</v>
      </c>
      <c r="L898" s="163"/>
      <c r="M898" s="55">
        <v>5.74</v>
      </c>
      <c r="N898" s="163"/>
      <c r="O898" s="55">
        <v>5.74</v>
      </c>
      <c r="P898" s="163"/>
      <c r="Q898" s="97">
        <f t="shared" ref="Q898:Q899" si="7603">SUM(AI898+BA898)</f>
        <v>0</v>
      </c>
      <c r="R898" s="342">
        <f t="shared" ref="R898:R899" si="7604">SUM(AJ898+BB898)</f>
        <v>0</v>
      </c>
      <c r="S898" s="97"/>
      <c r="T898" s="97">
        <f t="shared" ref="T898:T899" si="7605">I898*S898*$T$2/1000</f>
        <v>0</v>
      </c>
      <c r="U898" s="97"/>
      <c r="V898" s="97">
        <f t="shared" ref="V898:V899" si="7606">I898*U898*$V$2/1000</f>
        <v>0</v>
      </c>
      <c r="W898" s="97"/>
      <c r="X898" s="97">
        <f t="shared" ref="X898:X899" si="7607">I898*W898*$X$2/1000</f>
        <v>0</v>
      </c>
      <c r="Y898" s="97">
        <f t="shared" ref="Y898:Y899" si="7608">SUM(S898+U898+W898)</f>
        <v>0</v>
      </c>
      <c r="Z898" s="97">
        <f t="shared" ref="Z898:Z899" si="7609">SUM(T898+V898+X898)</f>
        <v>0</v>
      </c>
      <c r="AA898" s="97"/>
      <c r="AB898" s="97">
        <f t="shared" ref="AB898:AB899" si="7610">K898*AA898*$AB$2/1000</f>
        <v>0</v>
      </c>
      <c r="AC898" s="97"/>
      <c r="AD898" s="97">
        <f t="shared" ref="AD898:AD899" si="7611">K898*AC898*$AD$2/1000</f>
        <v>0</v>
      </c>
      <c r="AE898" s="97"/>
      <c r="AF898" s="97">
        <f t="shared" si="7500"/>
        <v>0</v>
      </c>
      <c r="AG898" s="97">
        <f t="shared" ref="AG898:AG899" si="7612">SUM(AA898+AC898+AE898)</f>
        <v>0</v>
      </c>
      <c r="AH898" s="97">
        <f t="shared" ref="AH898:AH899" si="7613">SUM(AB898+AD898+AF898)</f>
        <v>0</v>
      </c>
      <c r="AI898" s="97">
        <f t="shared" ref="AI898:AI899" si="7614">SUM(Y898+AG898)</f>
        <v>0</v>
      </c>
      <c r="AJ898" s="97">
        <f t="shared" ref="AJ898:AJ899" si="7615">SUM(Z898,AH898)</f>
        <v>0</v>
      </c>
      <c r="AK898" s="97"/>
      <c r="AL898" s="97">
        <f>M898*AK898*$AL$2/1000</f>
        <v>0</v>
      </c>
      <c r="AM898" s="97"/>
      <c r="AN898" s="97">
        <f t="shared" ref="AN898:AN899" si="7616">M898*AM898*$AN$2/1000</f>
        <v>0</v>
      </c>
      <c r="AO898" s="97"/>
      <c r="AP898" s="97">
        <f t="shared" ref="AP898:AP903" si="7617">O898*AO898*$AP$2/1000</f>
        <v>0</v>
      </c>
      <c r="AQ898" s="97">
        <f t="shared" ref="AQ898:AQ899" si="7618">SUM(AK898+AM898+AO898)</f>
        <v>0</v>
      </c>
      <c r="AR898" s="97">
        <f t="shared" ref="AR898:AR899" si="7619">SUM(AL898+AN898+AP898)</f>
        <v>0</v>
      </c>
      <c r="AS898" s="97"/>
      <c r="AT898" s="97">
        <f t="shared" ref="AT898:AT899" si="7620">O898*AS898*$AT$2/1000</f>
        <v>0</v>
      </c>
      <c r="AU898" s="97"/>
      <c r="AV898" s="97">
        <f t="shared" ref="AV898:AV899" si="7621">O898*AU898*$AV$2/1000</f>
        <v>0</v>
      </c>
      <c r="AW898" s="97"/>
      <c r="AX898" s="97">
        <f t="shared" ref="AX898:AX899" si="7622">O898*AW898*$AX$2/1000</f>
        <v>0</v>
      </c>
      <c r="AY898" s="97">
        <f t="shared" ref="AY898:AY899" si="7623">SUM(AS898+AU898+AW898)</f>
        <v>0</v>
      </c>
      <c r="AZ898" s="97">
        <f t="shared" ref="AZ898:AZ899" si="7624">SUM(AT898+AV898+AX898)</f>
        <v>0</v>
      </c>
      <c r="BA898" s="97">
        <f t="shared" ref="BA898:BA899" si="7625">SUM(AQ898+AY898)</f>
        <v>0</v>
      </c>
      <c r="BB898" s="97">
        <f t="shared" ref="BB898:BB899" si="7626">SUM(AR898,AZ898)</f>
        <v>0</v>
      </c>
    </row>
    <row r="899" spans="1:54">
      <c r="A899" s="498">
        <v>636</v>
      </c>
      <c r="B899" s="13"/>
      <c r="C899" s="302"/>
      <c r="D899" s="13" t="s">
        <v>582</v>
      </c>
      <c r="E899" s="21" t="s">
        <v>1494</v>
      </c>
      <c r="F899" s="46" t="s">
        <v>380</v>
      </c>
      <c r="G899" s="46" t="s">
        <v>1105</v>
      </c>
      <c r="H899" s="268" t="s">
        <v>441</v>
      </c>
      <c r="I899" s="55">
        <v>5.74</v>
      </c>
      <c r="J899" s="163"/>
      <c r="K899" s="55">
        <v>5.74</v>
      </c>
      <c r="L899" s="163"/>
      <c r="M899" s="55">
        <v>5.74</v>
      </c>
      <c r="N899" s="163"/>
      <c r="O899" s="55">
        <v>5.74</v>
      </c>
      <c r="P899" s="163"/>
      <c r="Q899" s="97">
        <f t="shared" si="7603"/>
        <v>0</v>
      </c>
      <c r="R899" s="342">
        <f t="shared" si="7604"/>
        <v>0</v>
      </c>
      <c r="S899" s="97"/>
      <c r="T899" s="97">
        <f t="shared" si="7605"/>
        <v>0</v>
      </c>
      <c r="U899" s="97"/>
      <c r="V899" s="97">
        <f t="shared" si="7606"/>
        <v>0</v>
      </c>
      <c r="W899" s="97"/>
      <c r="X899" s="97">
        <f t="shared" si="7607"/>
        <v>0</v>
      </c>
      <c r="Y899" s="97">
        <f t="shared" si="7608"/>
        <v>0</v>
      </c>
      <c r="Z899" s="97">
        <f t="shared" si="7609"/>
        <v>0</v>
      </c>
      <c r="AA899" s="97"/>
      <c r="AB899" s="97">
        <f t="shared" si="7610"/>
        <v>0</v>
      </c>
      <c r="AC899" s="97"/>
      <c r="AD899" s="97">
        <f t="shared" si="7611"/>
        <v>0</v>
      </c>
      <c r="AE899" s="97"/>
      <c r="AF899" s="97">
        <f t="shared" si="7500"/>
        <v>0</v>
      </c>
      <c r="AG899" s="97">
        <f t="shared" si="7612"/>
        <v>0</v>
      </c>
      <c r="AH899" s="97">
        <f t="shared" si="7613"/>
        <v>0</v>
      </c>
      <c r="AI899" s="97">
        <f t="shared" si="7614"/>
        <v>0</v>
      </c>
      <c r="AJ899" s="97">
        <f t="shared" si="7615"/>
        <v>0</v>
      </c>
      <c r="AK899" s="97"/>
      <c r="AL899" s="97">
        <f>M899*AK899*$AL$2/1000</f>
        <v>0</v>
      </c>
      <c r="AM899" s="97"/>
      <c r="AN899" s="97">
        <f t="shared" si="7616"/>
        <v>0</v>
      </c>
      <c r="AO899" s="97"/>
      <c r="AP899" s="97">
        <f t="shared" si="7617"/>
        <v>0</v>
      </c>
      <c r="AQ899" s="97">
        <f t="shared" si="7618"/>
        <v>0</v>
      </c>
      <c r="AR899" s="97">
        <f t="shared" si="7619"/>
        <v>0</v>
      </c>
      <c r="AS899" s="97"/>
      <c r="AT899" s="97">
        <f t="shared" si="7620"/>
        <v>0</v>
      </c>
      <c r="AU899" s="97"/>
      <c r="AV899" s="97">
        <f t="shared" si="7621"/>
        <v>0</v>
      </c>
      <c r="AW899" s="97"/>
      <c r="AX899" s="97">
        <f t="shared" si="7622"/>
        <v>0</v>
      </c>
      <c r="AY899" s="97">
        <f t="shared" si="7623"/>
        <v>0</v>
      </c>
      <c r="AZ899" s="97">
        <f t="shared" si="7624"/>
        <v>0</v>
      </c>
      <c r="BA899" s="97">
        <f t="shared" si="7625"/>
        <v>0</v>
      </c>
      <c r="BB899" s="97">
        <f t="shared" si="7626"/>
        <v>0</v>
      </c>
    </row>
    <row r="900" spans="1:54">
      <c r="A900" s="498">
        <v>636</v>
      </c>
      <c r="B900" s="13"/>
      <c r="C900" s="302"/>
      <c r="D900" s="13" t="s">
        <v>582</v>
      </c>
      <c r="E900" s="21" t="s">
        <v>1495</v>
      </c>
      <c r="F900" s="46" t="s">
        <v>380</v>
      </c>
      <c r="G900" s="46" t="s">
        <v>1105</v>
      </c>
      <c r="H900" s="268" t="s">
        <v>441</v>
      </c>
      <c r="I900" s="55">
        <v>5.74</v>
      </c>
      <c r="J900" s="163"/>
      <c r="K900" s="55">
        <v>5.74</v>
      </c>
      <c r="L900" s="163"/>
      <c r="M900" s="55">
        <v>5.74</v>
      </c>
      <c r="N900" s="163"/>
      <c r="O900" s="55">
        <v>5.74</v>
      </c>
      <c r="P900" s="163"/>
      <c r="Q900" s="97">
        <f t="shared" ref="Q900" si="7627">SUM(AI900+BA900)</f>
        <v>0</v>
      </c>
      <c r="R900" s="342">
        <f t="shared" ref="R900" si="7628">SUM(AJ900+BB900)</f>
        <v>0</v>
      </c>
      <c r="S900" s="97"/>
      <c r="T900" s="97">
        <f t="shared" ref="T900" si="7629">I900*S900*$T$2/1000</f>
        <v>0</v>
      </c>
      <c r="U900" s="97"/>
      <c r="V900" s="97">
        <f t="shared" ref="V900" si="7630">I900*U900*$V$2/1000</f>
        <v>0</v>
      </c>
      <c r="W900" s="97"/>
      <c r="X900" s="97">
        <f t="shared" ref="X900" si="7631">I900*W900*$X$2/1000</f>
        <v>0</v>
      </c>
      <c r="Y900" s="97">
        <f t="shared" ref="Y900" si="7632">SUM(S900+U900+W900)</f>
        <v>0</v>
      </c>
      <c r="Z900" s="97">
        <f t="shared" ref="Z900" si="7633">SUM(T900+V900+X900)</f>
        <v>0</v>
      </c>
      <c r="AA900" s="97"/>
      <c r="AB900" s="97">
        <f t="shared" ref="AB900" si="7634">K900*AA900*$AB$2/1000</f>
        <v>0</v>
      </c>
      <c r="AC900" s="97"/>
      <c r="AD900" s="97">
        <f t="shared" ref="AD900" si="7635">K900*AC900*$AD$2/1000</f>
        <v>0</v>
      </c>
      <c r="AE900" s="97"/>
      <c r="AF900" s="97">
        <f t="shared" ref="AF900" si="7636">K900*AE900*$AF$2/1000</f>
        <v>0</v>
      </c>
      <c r="AG900" s="97">
        <f t="shared" ref="AG900" si="7637">SUM(AA900+AC900+AE900)</f>
        <v>0</v>
      </c>
      <c r="AH900" s="97">
        <f t="shared" ref="AH900" si="7638">SUM(AB900+AD900+AF900)</f>
        <v>0</v>
      </c>
      <c r="AI900" s="97">
        <f t="shared" ref="AI900" si="7639">SUM(Y900+AG900)</f>
        <v>0</v>
      </c>
      <c r="AJ900" s="97">
        <f t="shared" ref="AJ900" si="7640">SUM(Z900,AH900)</f>
        <v>0</v>
      </c>
      <c r="AK900" s="97"/>
      <c r="AL900" s="97">
        <f>M900*AK900*$AL$2/1000</f>
        <v>0</v>
      </c>
      <c r="AM900" s="97"/>
      <c r="AN900" s="97">
        <f t="shared" ref="AN900" si="7641">M900*AM900*$AN$2/1000</f>
        <v>0</v>
      </c>
      <c r="AO900" s="97"/>
      <c r="AP900" s="97">
        <f t="shared" si="7617"/>
        <v>0</v>
      </c>
      <c r="AQ900" s="97">
        <f t="shared" ref="AQ900" si="7642">SUM(AK900+AM900+AO900)</f>
        <v>0</v>
      </c>
      <c r="AR900" s="97">
        <f t="shared" ref="AR900" si="7643">SUM(AL900+AN900+AP900)</f>
        <v>0</v>
      </c>
      <c r="AS900" s="97"/>
      <c r="AT900" s="97">
        <f t="shared" ref="AT900" si="7644">O900*AS900*$AT$2/1000</f>
        <v>0</v>
      </c>
      <c r="AU900" s="97"/>
      <c r="AV900" s="97">
        <f t="shared" ref="AV900" si="7645">O900*AU900*$AV$2/1000</f>
        <v>0</v>
      </c>
      <c r="AW900" s="97"/>
      <c r="AX900" s="97">
        <f t="shared" ref="AX900" si="7646">O900*AW900*$AX$2/1000</f>
        <v>0</v>
      </c>
      <c r="AY900" s="97">
        <f t="shared" ref="AY900" si="7647">SUM(AS900+AU900+AW900)</f>
        <v>0</v>
      </c>
      <c r="AZ900" s="97">
        <f t="shared" ref="AZ900" si="7648">SUM(AT900+AV900+AX900)</f>
        <v>0</v>
      </c>
      <c r="BA900" s="97">
        <f t="shared" ref="BA900" si="7649">SUM(AQ900+AY900)</f>
        <v>0</v>
      </c>
      <c r="BB900" s="97">
        <f t="shared" ref="BB900" si="7650">SUM(AR900,AZ900)</f>
        <v>0</v>
      </c>
    </row>
    <row r="901" spans="1:54">
      <c r="A901" s="498">
        <v>637</v>
      </c>
      <c r="B901" s="13"/>
      <c r="C901" s="302"/>
      <c r="D901" s="13" t="s">
        <v>573</v>
      </c>
      <c r="E901" s="21" t="s">
        <v>634</v>
      </c>
      <c r="F901" s="46" t="s">
        <v>380</v>
      </c>
      <c r="G901" s="46" t="s">
        <v>1105</v>
      </c>
      <c r="H901" s="268" t="s">
        <v>441</v>
      </c>
      <c r="I901" s="55">
        <v>6.04</v>
      </c>
      <c r="J901" s="163"/>
      <c r="K901" s="55">
        <v>6.04</v>
      </c>
      <c r="L901" s="163"/>
      <c r="M901" s="55">
        <v>6.04</v>
      </c>
      <c r="N901" s="163"/>
      <c r="O901" s="55">
        <v>6.04</v>
      </c>
      <c r="P901" s="163"/>
      <c r="Q901" s="97">
        <f t="shared" si="7554"/>
        <v>0</v>
      </c>
      <c r="R901" s="342">
        <f t="shared" si="7555"/>
        <v>0</v>
      </c>
      <c r="S901" s="97"/>
      <c r="T901" s="97">
        <f t="shared" si="7556"/>
        <v>0</v>
      </c>
      <c r="U901" s="97"/>
      <c r="V901" s="97">
        <f t="shared" si="7557"/>
        <v>0</v>
      </c>
      <c r="W901" s="97"/>
      <c r="X901" s="97">
        <f t="shared" si="7558"/>
        <v>0</v>
      </c>
      <c r="Y901" s="97">
        <f t="shared" si="7559"/>
        <v>0</v>
      </c>
      <c r="Z901" s="97">
        <f t="shared" si="7560"/>
        <v>0</v>
      </c>
      <c r="AA901" s="97"/>
      <c r="AB901" s="97">
        <f t="shared" si="7561"/>
        <v>0</v>
      </c>
      <c r="AC901" s="97"/>
      <c r="AD901" s="97">
        <f t="shared" si="7562"/>
        <v>0</v>
      </c>
      <c r="AE901" s="97"/>
      <c r="AF901" s="97">
        <f t="shared" ref="AF901:AF902" si="7651">K901*AE901*$AF$2/1000</f>
        <v>0</v>
      </c>
      <c r="AG901" s="97">
        <f t="shared" si="7563"/>
        <v>0</v>
      </c>
      <c r="AH901" s="97">
        <f t="shared" si="7564"/>
        <v>0</v>
      </c>
      <c r="AI901" s="97">
        <f t="shared" si="7565"/>
        <v>0</v>
      </c>
      <c r="AJ901" s="97">
        <f t="shared" si="7566"/>
        <v>0</v>
      </c>
      <c r="AK901" s="97"/>
      <c r="AL901" s="97">
        <f t="shared" ref="AL901:AL904" si="7652">M901*AK901*$AL$2/1000</f>
        <v>0</v>
      </c>
      <c r="AM901" s="97"/>
      <c r="AN901" s="97">
        <f t="shared" si="7567"/>
        <v>0</v>
      </c>
      <c r="AO901" s="97"/>
      <c r="AP901" s="97">
        <f t="shared" si="7617"/>
        <v>0</v>
      </c>
      <c r="AQ901" s="97">
        <f t="shared" si="7569"/>
        <v>0</v>
      </c>
      <c r="AR901" s="97">
        <f t="shared" si="7570"/>
        <v>0</v>
      </c>
      <c r="AS901" s="97"/>
      <c r="AT901" s="97">
        <f t="shared" si="7571"/>
        <v>0</v>
      </c>
      <c r="AU901" s="97"/>
      <c r="AV901" s="97">
        <f t="shared" si="7572"/>
        <v>0</v>
      </c>
      <c r="AW901" s="97"/>
      <c r="AX901" s="97">
        <f t="shared" si="7573"/>
        <v>0</v>
      </c>
      <c r="AY901" s="97">
        <f t="shared" si="7574"/>
        <v>0</v>
      </c>
      <c r="AZ901" s="97">
        <f t="shared" si="7575"/>
        <v>0</v>
      </c>
      <c r="BA901" s="97">
        <f t="shared" si="7576"/>
        <v>0</v>
      </c>
      <c r="BB901" s="97">
        <f t="shared" si="7577"/>
        <v>0</v>
      </c>
    </row>
    <row r="902" spans="1:54">
      <c r="A902" s="498">
        <v>638</v>
      </c>
      <c r="B902" s="13"/>
      <c r="C902" s="302"/>
      <c r="D902" s="13" t="s">
        <v>746</v>
      </c>
      <c r="E902" s="21" t="s">
        <v>747</v>
      </c>
      <c r="F902" s="46" t="s">
        <v>375</v>
      </c>
      <c r="G902" s="46" t="s">
        <v>1105</v>
      </c>
      <c r="H902" s="268" t="s">
        <v>367</v>
      </c>
      <c r="I902" s="55">
        <v>6.04</v>
      </c>
      <c r="J902" s="163"/>
      <c r="K902" s="55">
        <v>6.04</v>
      </c>
      <c r="L902" s="163"/>
      <c r="M902" s="55">
        <v>6.04</v>
      </c>
      <c r="N902" s="163"/>
      <c r="O902" s="55">
        <v>6.04</v>
      </c>
      <c r="P902" s="163"/>
      <c r="Q902" s="97">
        <f t="shared" ref="Q902" si="7653">SUM(AI902+BA902)</f>
        <v>0</v>
      </c>
      <c r="R902" s="342">
        <f t="shared" ref="R902" si="7654">SUM(AJ902+BB902)</f>
        <v>0</v>
      </c>
      <c r="S902" s="97"/>
      <c r="T902" s="97">
        <f t="shared" ref="T902" si="7655">I902*S902*$T$2/1000</f>
        <v>0</v>
      </c>
      <c r="U902" s="97"/>
      <c r="V902" s="97">
        <f t="shared" ref="V902" si="7656">I902*U902*$V$2/1000</f>
        <v>0</v>
      </c>
      <c r="W902" s="97"/>
      <c r="X902" s="97">
        <f t="shared" ref="X902" si="7657">I902*W902*$X$2/1000</f>
        <v>0</v>
      </c>
      <c r="Y902" s="97">
        <f t="shared" ref="Y902" si="7658">SUM(S902+U902+W902)</f>
        <v>0</v>
      </c>
      <c r="Z902" s="97">
        <f t="shared" ref="Z902" si="7659">SUM(T902+V902+X902)</f>
        <v>0</v>
      </c>
      <c r="AA902" s="97"/>
      <c r="AB902" s="97">
        <f t="shared" ref="AB902" si="7660">K902*AA902*$AB$2/1000</f>
        <v>0</v>
      </c>
      <c r="AC902" s="97"/>
      <c r="AD902" s="97">
        <f t="shared" ref="AD902" si="7661">K902*AC902*$AD$2/1000</f>
        <v>0</v>
      </c>
      <c r="AE902" s="97"/>
      <c r="AF902" s="97">
        <f t="shared" si="7651"/>
        <v>0</v>
      </c>
      <c r="AG902" s="97">
        <f t="shared" ref="AG902" si="7662">SUM(AA902+AC902+AE902)</f>
        <v>0</v>
      </c>
      <c r="AH902" s="97">
        <f t="shared" ref="AH902" si="7663">SUM(AB902+AD902+AF902)</f>
        <v>0</v>
      </c>
      <c r="AI902" s="97">
        <f t="shared" ref="AI902" si="7664">SUM(Y902+AG902)</f>
        <v>0</v>
      </c>
      <c r="AJ902" s="97">
        <f t="shared" ref="AJ902" si="7665">SUM(Z902,AH902)</f>
        <v>0</v>
      </c>
      <c r="AK902" s="97"/>
      <c r="AL902" s="97">
        <f t="shared" ref="AL902" si="7666">M902*AK902*$AL$2/1000</f>
        <v>0</v>
      </c>
      <c r="AM902" s="97"/>
      <c r="AN902" s="97">
        <f>M902*AM902*$AN$2/1000</f>
        <v>0</v>
      </c>
      <c r="AO902" s="97"/>
      <c r="AP902" s="97">
        <f t="shared" si="7617"/>
        <v>0</v>
      </c>
      <c r="AQ902" s="97">
        <f t="shared" ref="AQ902" si="7667">SUM(AK902+AM902+AO902)</f>
        <v>0</v>
      </c>
      <c r="AR902" s="97">
        <f t="shared" ref="AR902" si="7668">SUM(AL902+AN902+AP902)</f>
        <v>0</v>
      </c>
      <c r="AS902" s="97"/>
      <c r="AT902" s="97">
        <f t="shared" ref="AT902" si="7669">O902*AS902*$AT$2/1000</f>
        <v>0</v>
      </c>
      <c r="AU902" s="97"/>
      <c r="AV902" s="97">
        <f t="shared" ref="AV902" si="7670">O902*AU902*$AV$2/1000</f>
        <v>0</v>
      </c>
      <c r="AW902" s="97"/>
      <c r="AX902" s="97">
        <f t="shared" ref="AX902" si="7671">O902*AW902*$AX$2/1000</f>
        <v>0</v>
      </c>
      <c r="AY902" s="97">
        <f t="shared" ref="AY902" si="7672">SUM(AS902+AU902+AW902)</f>
        <v>0</v>
      </c>
      <c r="AZ902" s="97">
        <f t="shared" ref="AZ902" si="7673">SUM(AT902+AV902+AX902)</f>
        <v>0</v>
      </c>
      <c r="BA902" s="97">
        <f t="shared" ref="BA902" si="7674">SUM(AQ902+AY902)</f>
        <v>0</v>
      </c>
      <c r="BB902" s="97">
        <f t="shared" ref="BB902" si="7675">SUM(AR902,AZ902)</f>
        <v>0</v>
      </c>
    </row>
    <row r="903" spans="1:54">
      <c r="A903" s="498">
        <v>639</v>
      </c>
      <c r="B903" s="13"/>
      <c r="C903" s="302"/>
      <c r="D903" s="13" t="s">
        <v>379</v>
      </c>
      <c r="E903" s="21" t="s">
        <v>635</v>
      </c>
      <c r="F903" s="46" t="s">
        <v>375</v>
      </c>
      <c r="G903" s="46" t="s">
        <v>1105</v>
      </c>
      <c r="H903" s="268" t="s">
        <v>367</v>
      </c>
      <c r="I903" s="55">
        <v>6.04</v>
      </c>
      <c r="J903" s="163"/>
      <c r="K903" s="55">
        <v>6.04</v>
      </c>
      <c r="L903" s="163"/>
      <c r="M903" s="55">
        <v>6.04</v>
      </c>
      <c r="N903" s="163"/>
      <c r="O903" s="55">
        <v>6.04</v>
      </c>
      <c r="P903" s="163"/>
      <c r="Q903" s="97">
        <f t="shared" si="7554"/>
        <v>0</v>
      </c>
      <c r="R903" s="342">
        <f t="shared" si="7555"/>
        <v>0</v>
      </c>
      <c r="S903" s="97"/>
      <c r="T903" s="97">
        <f t="shared" si="7556"/>
        <v>0</v>
      </c>
      <c r="U903" s="97"/>
      <c r="V903" s="97">
        <f t="shared" si="7557"/>
        <v>0</v>
      </c>
      <c r="W903" s="97"/>
      <c r="X903" s="97">
        <f t="shared" si="7558"/>
        <v>0</v>
      </c>
      <c r="Y903" s="97">
        <f t="shared" si="7559"/>
        <v>0</v>
      </c>
      <c r="Z903" s="97">
        <f t="shared" si="7560"/>
        <v>0</v>
      </c>
      <c r="AA903" s="97"/>
      <c r="AB903" s="97">
        <f t="shared" si="7561"/>
        <v>0</v>
      </c>
      <c r="AC903" s="97"/>
      <c r="AD903" s="97">
        <f t="shared" si="7562"/>
        <v>0</v>
      </c>
      <c r="AE903" s="97"/>
      <c r="AF903" s="97">
        <f t="shared" si="7500"/>
        <v>0</v>
      </c>
      <c r="AG903" s="97">
        <f t="shared" si="7563"/>
        <v>0</v>
      </c>
      <c r="AH903" s="97">
        <f t="shared" si="7564"/>
        <v>0</v>
      </c>
      <c r="AI903" s="97">
        <f t="shared" si="7565"/>
        <v>0</v>
      </c>
      <c r="AJ903" s="97">
        <f t="shared" si="7566"/>
        <v>0</v>
      </c>
      <c r="AK903" s="97"/>
      <c r="AL903" s="97">
        <f t="shared" si="7652"/>
        <v>0</v>
      </c>
      <c r="AM903" s="97"/>
      <c r="AN903" s="97">
        <f>M903*AM903*$AN$2/1000</f>
        <v>0</v>
      </c>
      <c r="AO903" s="97"/>
      <c r="AP903" s="97">
        <f t="shared" si="7617"/>
        <v>0</v>
      </c>
      <c r="AQ903" s="97">
        <f t="shared" si="7569"/>
        <v>0</v>
      </c>
      <c r="AR903" s="97">
        <f t="shared" si="7570"/>
        <v>0</v>
      </c>
      <c r="AS903" s="97"/>
      <c r="AT903" s="97">
        <f t="shared" si="7571"/>
        <v>0</v>
      </c>
      <c r="AU903" s="97"/>
      <c r="AV903" s="97">
        <f t="shared" si="7572"/>
        <v>0</v>
      </c>
      <c r="AW903" s="97"/>
      <c r="AX903" s="97">
        <f t="shared" si="7573"/>
        <v>0</v>
      </c>
      <c r="AY903" s="97">
        <f t="shared" si="7574"/>
        <v>0</v>
      </c>
      <c r="AZ903" s="97">
        <f t="shared" si="7575"/>
        <v>0</v>
      </c>
      <c r="BA903" s="97">
        <f t="shared" si="7576"/>
        <v>0</v>
      </c>
      <c r="BB903" s="97">
        <f t="shared" si="7577"/>
        <v>0</v>
      </c>
    </row>
    <row r="904" spans="1:54">
      <c r="A904" s="498">
        <v>640</v>
      </c>
      <c r="B904" s="13"/>
      <c r="C904" s="302"/>
      <c r="D904" s="13" t="s">
        <v>574</v>
      </c>
      <c r="E904" s="21" t="s">
        <v>575</v>
      </c>
      <c r="F904" s="46" t="s">
        <v>378</v>
      </c>
      <c r="G904" s="46" t="s">
        <v>1105</v>
      </c>
      <c r="H904" s="268" t="s">
        <v>441</v>
      </c>
      <c r="I904" s="55">
        <v>6.04</v>
      </c>
      <c r="J904" s="163"/>
      <c r="K904" s="55">
        <v>6.04</v>
      </c>
      <c r="L904" s="163"/>
      <c r="M904" s="55">
        <v>6.04</v>
      </c>
      <c r="N904" s="163"/>
      <c r="O904" s="55">
        <v>6.04</v>
      </c>
      <c r="P904" s="163"/>
      <c r="Q904" s="97">
        <f t="shared" si="7554"/>
        <v>0</v>
      </c>
      <c r="R904" s="342">
        <f t="shared" si="7555"/>
        <v>0</v>
      </c>
      <c r="S904" s="97"/>
      <c r="T904" s="97">
        <f t="shared" si="7556"/>
        <v>0</v>
      </c>
      <c r="U904" s="97"/>
      <c r="V904" s="97">
        <f t="shared" si="7557"/>
        <v>0</v>
      </c>
      <c r="W904" s="97"/>
      <c r="X904" s="97">
        <f t="shared" si="7558"/>
        <v>0</v>
      </c>
      <c r="Y904" s="97">
        <f t="shared" si="7559"/>
        <v>0</v>
      </c>
      <c r="Z904" s="97">
        <f t="shared" si="7560"/>
        <v>0</v>
      </c>
      <c r="AA904" s="97"/>
      <c r="AB904" s="97">
        <f t="shared" si="7561"/>
        <v>0</v>
      </c>
      <c r="AC904" s="97"/>
      <c r="AD904" s="97">
        <f t="shared" si="7562"/>
        <v>0</v>
      </c>
      <c r="AE904" s="97"/>
      <c r="AF904" s="97">
        <f t="shared" ref="AF904" si="7676">K904*AE904*$AF$2/1000</f>
        <v>0</v>
      </c>
      <c r="AG904" s="97">
        <f t="shared" si="7563"/>
        <v>0</v>
      </c>
      <c r="AH904" s="97">
        <f t="shared" si="7564"/>
        <v>0</v>
      </c>
      <c r="AI904" s="97">
        <f t="shared" si="7565"/>
        <v>0</v>
      </c>
      <c r="AJ904" s="97">
        <f t="shared" si="7566"/>
        <v>0</v>
      </c>
      <c r="AK904" s="97"/>
      <c r="AL904" s="97">
        <f t="shared" si="7652"/>
        <v>0</v>
      </c>
      <c r="AM904" s="97"/>
      <c r="AN904" s="97">
        <f t="shared" ref="AN904" si="7677">M904*AM904*$AN$2/1000</f>
        <v>0</v>
      </c>
      <c r="AO904" s="97"/>
      <c r="AP904" s="97">
        <f t="shared" ref="AP904" si="7678">M904*AO904*$AP$2/1000</f>
        <v>0</v>
      </c>
      <c r="AQ904" s="97">
        <f t="shared" si="7569"/>
        <v>0</v>
      </c>
      <c r="AR904" s="97">
        <f t="shared" si="7570"/>
        <v>0</v>
      </c>
      <c r="AS904" s="97"/>
      <c r="AT904" s="97">
        <f t="shared" si="7571"/>
        <v>0</v>
      </c>
      <c r="AU904" s="97"/>
      <c r="AV904" s="97">
        <f t="shared" si="7572"/>
        <v>0</v>
      </c>
      <c r="AW904" s="97"/>
      <c r="AX904" s="97">
        <f t="shared" si="7573"/>
        <v>0</v>
      </c>
      <c r="AY904" s="97">
        <f t="shared" si="7574"/>
        <v>0</v>
      </c>
      <c r="AZ904" s="97">
        <f t="shared" si="7575"/>
        <v>0</v>
      </c>
      <c r="BA904" s="97">
        <f t="shared" si="7576"/>
        <v>0</v>
      </c>
      <c r="BB904" s="97">
        <f t="shared" si="7577"/>
        <v>0</v>
      </c>
    </row>
    <row r="905" spans="1:54">
      <c r="A905" s="498">
        <v>641</v>
      </c>
      <c r="B905" s="13"/>
      <c r="C905" s="302"/>
      <c r="D905" s="13" t="s">
        <v>675</v>
      </c>
      <c r="E905" s="21" t="s">
        <v>674</v>
      </c>
      <c r="F905" s="46" t="s">
        <v>380</v>
      </c>
      <c r="G905" s="46" t="s">
        <v>1105</v>
      </c>
      <c r="H905" s="268" t="s">
        <v>441</v>
      </c>
      <c r="I905" s="55">
        <v>6.04</v>
      </c>
      <c r="J905" s="163"/>
      <c r="K905" s="55">
        <v>6.04</v>
      </c>
      <c r="L905" s="163"/>
      <c r="M905" s="55">
        <v>6.04</v>
      </c>
      <c r="N905" s="163"/>
      <c r="O905" s="55">
        <v>6.04</v>
      </c>
      <c r="P905" s="163"/>
      <c r="Q905" s="97">
        <f t="shared" ref="Q905:Q906" si="7679">SUM(AI905+BA905)</f>
        <v>0</v>
      </c>
      <c r="R905" s="342">
        <f t="shared" ref="R905:R906" si="7680">SUM(AJ905+BB905)</f>
        <v>0</v>
      </c>
      <c r="S905" s="97"/>
      <c r="T905" s="97">
        <f t="shared" ref="T905:T906" si="7681">I905*S905*$T$2/1000</f>
        <v>0</v>
      </c>
      <c r="U905" s="97"/>
      <c r="V905" s="97">
        <f t="shared" ref="V905:V906" si="7682">I905*U905*$V$2/1000</f>
        <v>0</v>
      </c>
      <c r="W905" s="97"/>
      <c r="X905" s="97">
        <f t="shared" ref="X905:X906" si="7683">I905*W905*$X$2/1000</f>
        <v>0</v>
      </c>
      <c r="Y905" s="97">
        <f t="shared" ref="Y905:Y906" si="7684">SUM(S905+U905+W905)</f>
        <v>0</v>
      </c>
      <c r="Z905" s="97">
        <f t="shared" ref="Z905:Z906" si="7685">SUM(T905+V905+X905)</f>
        <v>0</v>
      </c>
      <c r="AA905" s="97"/>
      <c r="AB905" s="97">
        <f t="shared" ref="AB905:AB906" si="7686">K905*AA905*$AB$2/1000</f>
        <v>0</v>
      </c>
      <c r="AC905" s="97"/>
      <c r="AD905" s="97">
        <f t="shared" ref="AD905:AD906" si="7687">K905*AC905*$AD$2/1000</f>
        <v>0</v>
      </c>
      <c r="AE905" s="97"/>
      <c r="AF905" s="97">
        <f t="shared" si="7500"/>
        <v>0</v>
      </c>
      <c r="AG905" s="97">
        <f t="shared" ref="AG905:AG906" si="7688">SUM(AA905+AC905+AE905)</f>
        <v>0</v>
      </c>
      <c r="AH905" s="97">
        <f t="shared" ref="AH905:AH906" si="7689">SUM(AB905+AD905+AF905)</f>
        <v>0</v>
      </c>
      <c r="AI905" s="97">
        <f t="shared" ref="AI905:AI906" si="7690">SUM(Y905+AG905)</f>
        <v>0</v>
      </c>
      <c r="AJ905" s="97">
        <f t="shared" ref="AJ905:AJ906" si="7691">SUM(Z905,AH905)</f>
        <v>0</v>
      </c>
      <c r="AK905" s="97"/>
      <c r="AL905" s="97">
        <f t="shared" ref="AL905" si="7692">M905*AK905*$AL$2/1000</f>
        <v>0</v>
      </c>
      <c r="AM905" s="97"/>
      <c r="AN905" s="97">
        <f t="shared" ref="AN905:AN906" si="7693">M905*AM905*$AN$2/1000</f>
        <v>0</v>
      </c>
      <c r="AO905" s="97"/>
      <c r="AP905" s="97">
        <f t="shared" ref="AP905:AP942" si="7694">M905*AO905*$AP$2/1000</f>
        <v>0</v>
      </c>
      <c r="AQ905" s="97">
        <f t="shared" ref="AQ905:AQ906" si="7695">SUM(AK905+AM905+AO905)</f>
        <v>0</v>
      </c>
      <c r="AR905" s="97">
        <f t="shared" ref="AR905:AR906" si="7696">SUM(AL905+AN905+AP905)</f>
        <v>0</v>
      </c>
      <c r="AS905" s="97"/>
      <c r="AT905" s="97">
        <f t="shared" ref="AT905:AT906" si="7697">O905*AS905*$AT$2/1000</f>
        <v>0</v>
      </c>
      <c r="AU905" s="97"/>
      <c r="AV905" s="97">
        <f t="shared" ref="AV905:AV906" si="7698">O905*AU905*$AV$2/1000</f>
        <v>0</v>
      </c>
      <c r="AW905" s="97"/>
      <c r="AX905" s="97">
        <f t="shared" ref="AX905:AX906" si="7699">O905*AW905*$AX$2/1000</f>
        <v>0</v>
      </c>
      <c r="AY905" s="97">
        <f t="shared" ref="AY905" si="7700">SUM(AS905+AU905+AW905)</f>
        <v>0</v>
      </c>
      <c r="AZ905" s="97">
        <f t="shared" ref="AZ905:AZ906" si="7701">SUM(AT905+AV905+AX905)</f>
        <v>0</v>
      </c>
      <c r="BA905" s="97">
        <f t="shared" ref="BA905:BA906" si="7702">SUM(AQ905+AY905)</f>
        <v>0</v>
      </c>
      <c r="BB905" s="97">
        <f t="shared" ref="BB905:BB906" si="7703">SUM(AR905,AZ905)</f>
        <v>0</v>
      </c>
    </row>
    <row r="906" spans="1:54">
      <c r="A906" s="498">
        <v>642</v>
      </c>
      <c r="B906" s="13"/>
      <c r="C906" s="302"/>
      <c r="D906" s="13" t="s">
        <v>373</v>
      </c>
      <c r="E906" s="21" t="s">
        <v>1210</v>
      </c>
      <c r="F906" s="46" t="s">
        <v>240</v>
      </c>
      <c r="G906" s="46" t="s">
        <v>1105</v>
      </c>
      <c r="H906" s="268" t="s">
        <v>366</v>
      </c>
      <c r="I906" s="55">
        <v>6.28</v>
      </c>
      <c r="J906" s="163"/>
      <c r="K906" s="55">
        <v>6.28</v>
      </c>
      <c r="L906" s="163"/>
      <c r="M906" s="55">
        <v>6.28</v>
      </c>
      <c r="N906" s="163"/>
      <c r="O906" s="55">
        <v>6.28</v>
      </c>
      <c r="P906" s="163"/>
      <c r="Q906" s="97">
        <f t="shared" si="7679"/>
        <v>0</v>
      </c>
      <c r="R906" s="342">
        <f t="shared" si="7680"/>
        <v>0</v>
      </c>
      <c r="S906" s="97"/>
      <c r="T906" s="97">
        <f t="shared" si="7681"/>
        <v>0</v>
      </c>
      <c r="U906" s="97"/>
      <c r="V906" s="97">
        <f t="shared" si="7682"/>
        <v>0</v>
      </c>
      <c r="W906" s="97"/>
      <c r="X906" s="97">
        <f t="shared" si="7683"/>
        <v>0</v>
      </c>
      <c r="Y906" s="97">
        <f t="shared" si="7684"/>
        <v>0</v>
      </c>
      <c r="Z906" s="97">
        <f t="shared" si="7685"/>
        <v>0</v>
      </c>
      <c r="AA906" s="97"/>
      <c r="AB906" s="97">
        <f t="shared" si="7686"/>
        <v>0</v>
      </c>
      <c r="AC906" s="97"/>
      <c r="AD906" s="97">
        <f t="shared" si="7687"/>
        <v>0</v>
      </c>
      <c r="AE906" s="97"/>
      <c r="AF906" s="97">
        <f t="shared" ref="AF906" si="7704">K906*AE906*$AF$2/1000</f>
        <v>0</v>
      </c>
      <c r="AG906" s="97">
        <f t="shared" si="7688"/>
        <v>0</v>
      </c>
      <c r="AH906" s="97">
        <f t="shared" si="7689"/>
        <v>0</v>
      </c>
      <c r="AI906" s="97">
        <f t="shared" si="7690"/>
        <v>0</v>
      </c>
      <c r="AJ906" s="97">
        <f t="shared" si="7691"/>
        <v>0</v>
      </c>
      <c r="AK906" s="97"/>
      <c r="AL906" s="97">
        <f>M906*AK906*$AL$2/1000</f>
        <v>0</v>
      </c>
      <c r="AM906" s="97"/>
      <c r="AN906" s="97">
        <f t="shared" si="7693"/>
        <v>0</v>
      </c>
      <c r="AO906" s="97"/>
      <c r="AP906" s="97">
        <f t="shared" ref="AP906" si="7705">M906*AO906*$AP$2/1000</f>
        <v>0</v>
      </c>
      <c r="AQ906" s="97">
        <f t="shared" si="7695"/>
        <v>0</v>
      </c>
      <c r="AR906" s="97">
        <f t="shared" si="7696"/>
        <v>0</v>
      </c>
      <c r="AS906" s="97"/>
      <c r="AT906" s="97">
        <f t="shared" si="7697"/>
        <v>0</v>
      </c>
      <c r="AU906" s="97"/>
      <c r="AV906" s="97">
        <f t="shared" si="7698"/>
        <v>0</v>
      </c>
      <c r="AW906" s="97"/>
      <c r="AX906" s="97">
        <f t="shared" si="7699"/>
        <v>0</v>
      </c>
      <c r="AY906" s="97">
        <f t="shared" ref="AY906" si="7706">SUM(AS906+AU906+AW906)</f>
        <v>0</v>
      </c>
      <c r="AZ906" s="97">
        <f t="shared" si="7701"/>
        <v>0</v>
      </c>
      <c r="BA906" s="97">
        <f t="shared" si="7702"/>
        <v>0</v>
      </c>
      <c r="BB906" s="97">
        <f t="shared" si="7703"/>
        <v>0</v>
      </c>
    </row>
    <row r="907" spans="1:54">
      <c r="A907" s="498">
        <v>643</v>
      </c>
      <c r="B907" s="13"/>
      <c r="C907" s="302"/>
      <c r="D907" s="13" t="s">
        <v>903</v>
      </c>
      <c r="E907" s="21" t="s">
        <v>1398</v>
      </c>
      <c r="F907" s="46" t="s">
        <v>380</v>
      </c>
      <c r="G907" s="46" t="s">
        <v>1105</v>
      </c>
      <c r="H907" s="268" t="s">
        <v>441</v>
      </c>
      <c r="I907" s="55">
        <v>6.53</v>
      </c>
      <c r="J907" s="163"/>
      <c r="K907" s="55">
        <v>6.53</v>
      </c>
      <c r="L907" s="163"/>
      <c r="M907" s="55">
        <v>6.53</v>
      </c>
      <c r="N907" s="163"/>
      <c r="O907" s="55">
        <v>6.53</v>
      </c>
      <c r="P907" s="163"/>
      <c r="Q907" s="97">
        <f t="shared" ref="Q907:Q909" si="7707">SUM(AI907+BA907)</f>
        <v>0</v>
      </c>
      <c r="R907" s="342">
        <f t="shared" ref="R907:R909" si="7708">SUM(AJ907+BB907)</f>
        <v>0</v>
      </c>
      <c r="S907" s="97"/>
      <c r="T907" s="97">
        <f t="shared" ref="T907" si="7709">I907*S907*$T$2/1000</f>
        <v>0</v>
      </c>
      <c r="U907" s="97"/>
      <c r="V907" s="97">
        <f t="shared" ref="V907" si="7710">I907*U907*$V$2/1000</f>
        <v>0</v>
      </c>
      <c r="W907" s="97"/>
      <c r="X907" s="97">
        <f t="shared" ref="X907" si="7711">I907*W907*$X$2/1000</f>
        <v>0</v>
      </c>
      <c r="Y907" s="97">
        <f t="shared" ref="Y907" si="7712">SUM(S907+U907+W907)</f>
        <v>0</v>
      </c>
      <c r="Z907" s="97">
        <f t="shared" ref="Z907" si="7713">SUM(T907+V907+X907)</f>
        <v>0</v>
      </c>
      <c r="AA907" s="97"/>
      <c r="AB907" s="97">
        <f t="shared" ref="AB907" si="7714">K907*AA907*$AB$2/1000</f>
        <v>0</v>
      </c>
      <c r="AC907" s="97"/>
      <c r="AD907" s="97">
        <f t="shared" ref="AD907" si="7715">K907*AC907*$AD$2/1000</f>
        <v>0</v>
      </c>
      <c r="AE907" s="97"/>
      <c r="AF907" s="97">
        <f t="shared" ref="AF907:AF909" si="7716">K907*AE907*$AF$2/1000</f>
        <v>0</v>
      </c>
      <c r="AG907" s="97">
        <f t="shared" ref="AG907" si="7717">SUM(AA907+AC907+AE907)</f>
        <v>0</v>
      </c>
      <c r="AH907" s="97">
        <f t="shared" ref="AH907" si="7718">SUM(AB907+AD907+AF907)</f>
        <v>0</v>
      </c>
      <c r="AI907" s="97">
        <f t="shared" ref="AI907:AI909" si="7719">SUM(Y907+AG907)</f>
        <v>0</v>
      </c>
      <c r="AJ907" s="97">
        <f t="shared" ref="AJ907:AJ909" si="7720">SUM(Z907,AH907)</f>
        <v>0</v>
      </c>
      <c r="AK907" s="97"/>
      <c r="AL907" s="97">
        <f t="shared" ref="AL907:AL909" si="7721">M907*AK907*$AL$2/1000</f>
        <v>0</v>
      </c>
      <c r="AM907" s="97"/>
      <c r="AN907" s="97">
        <f t="shared" ref="AN907:AN909" si="7722">M907*AM907*$AN$2/1000</f>
        <v>0</v>
      </c>
      <c r="AO907" s="97"/>
      <c r="AP907" s="97">
        <f t="shared" ref="AP907:AP909" si="7723">M907*AO907*$AP$2/1000</f>
        <v>0</v>
      </c>
      <c r="AQ907" s="97">
        <f t="shared" ref="AQ907" si="7724">SUM(AK907+AM907+AO907)</f>
        <v>0</v>
      </c>
      <c r="AR907" s="97">
        <f t="shared" ref="AR907" si="7725">SUM(AL907+AN907+AP907)</f>
        <v>0</v>
      </c>
      <c r="AS907" s="97"/>
      <c r="AT907" s="97">
        <f t="shared" ref="AT907:AT909" si="7726">O907*AS907*$AT$2/1000</f>
        <v>0</v>
      </c>
      <c r="AU907" s="97"/>
      <c r="AV907" s="97">
        <f t="shared" ref="AV907:AV909" si="7727">O907*AU907*$AV$2/1000</f>
        <v>0</v>
      </c>
      <c r="AW907" s="97"/>
      <c r="AX907" s="97">
        <f t="shared" ref="AX907:AX909" si="7728">O907*AW907*$AX$2/1000</f>
        <v>0</v>
      </c>
      <c r="AY907" s="97">
        <f t="shared" ref="AY907" si="7729">SUM(AS907+AU907+AW907)</f>
        <v>0</v>
      </c>
      <c r="AZ907" s="97">
        <f t="shared" ref="AZ907" si="7730">SUM(AT907+AV907+AX907)</f>
        <v>0</v>
      </c>
      <c r="BA907" s="97">
        <f t="shared" ref="BA907:BA909" si="7731">SUM(AQ907+AY907)</f>
        <v>0</v>
      </c>
      <c r="BB907" s="97">
        <f t="shared" ref="BB907:BB909" si="7732">SUM(AR907,AZ907)</f>
        <v>0</v>
      </c>
    </row>
    <row r="908" spans="1:54">
      <c r="A908" s="498">
        <v>644</v>
      </c>
      <c r="B908" s="13"/>
      <c r="C908" s="13"/>
      <c r="D908" s="13" t="s">
        <v>373</v>
      </c>
      <c r="E908" s="21" t="s">
        <v>1190</v>
      </c>
      <c r="F908" s="46" t="s">
        <v>240</v>
      </c>
      <c r="G908" s="46" t="s">
        <v>1105</v>
      </c>
      <c r="H908" s="268" t="s">
        <v>441</v>
      </c>
      <c r="I908" s="55">
        <v>6.66</v>
      </c>
      <c r="J908" s="102"/>
      <c r="K908" s="55">
        <v>6.66</v>
      </c>
      <c r="L908" s="163"/>
      <c r="M908" s="55">
        <v>6.66</v>
      </c>
      <c r="N908" s="163"/>
      <c r="O908" s="55">
        <v>6.66</v>
      </c>
      <c r="P908" s="102"/>
      <c r="Q908" s="97">
        <f t="shared" si="7707"/>
        <v>21.877000000000002</v>
      </c>
      <c r="R908" s="342">
        <f t="shared" si="7708"/>
        <v>196.19273687400005</v>
      </c>
      <c r="S908" s="97">
        <v>0.52</v>
      </c>
      <c r="T908" s="97">
        <f>I908*S908*$T$2/1000</f>
        <v>4.5779694480000011</v>
      </c>
      <c r="U908" s="97"/>
      <c r="V908" s="177">
        <f>I908*U908*$V$2/1000</f>
        <v>0</v>
      </c>
      <c r="W908" s="207">
        <v>8.4670000000000005</v>
      </c>
      <c r="X908" s="206">
        <f>I908*W908*$X$2/1000</f>
        <v>75.032826732000004</v>
      </c>
      <c r="Y908" s="189">
        <f t="shared" ref="Y908:Y909" si="7733">SUM(S908+U908+W908)</f>
        <v>8.9870000000000001</v>
      </c>
      <c r="Z908" s="177">
        <f t="shared" ref="Z908:Z909" si="7734">SUM(T908+V908+X908)</f>
        <v>79.610796180000008</v>
      </c>
      <c r="AA908" s="207">
        <v>3.48</v>
      </c>
      <c r="AB908" s="206">
        <f>K908*AA908*$AB$2/1000</f>
        <v>31.615936415999997</v>
      </c>
      <c r="AC908" s="207">
        <v>3.41</v>
      </c>
      <c r="AD908" s="177">
        <f>K908*AC908*$AD$2/1000</f>
        <v>31.105119078000008</v>
      </c>
      <c r="AE908" s="207">
        <v>2</v>
      </c>
      <c r="AF908" s="206">
        <f t="shared" si="7716"/>
        <v>18.366015599999997</v>
      </c>
      <c r="AG908" s="189">
        <f>SUM(AA908+AC908+AE908)</f>
        <v>8.89</v>
      </c>
      <c r="AH908" s="97">
        <f>SUM(AB908+AD908+AF908)</f>
        <v>81.087071094000009</v>
      </c>
      <c r="AI908" s="97">
        <f t="shared" si="7719"/>
        <v>17.877000000000002</v>
      </c>
      <c r="AJ908" s="177">
        <f t="shared" si="7720"/>
        <v>160.69786727400003</v>
      </c>
      <c r="AK908" s="207"/>
      <c r="AL908" s="177">
        <f t="shared" si="7721"/>
        <v>0</v>
      </c>
      <c r="AM908" s="245"/>
      <c r="AN908" s="177">
        <f t="shared" si="7722"/>
        <v>0</v>
      </c>
      <c r="AO908" s="207">
        <v>4</v>
      </c>
      <c r="AP908" s="206">
        <f t="shared" si="7723"/>
        <v>35.494869600000008</v>
      </c>
      <c r="AQ908" s="189">
        <f>SUM(AK908+AM908+AO908)</f>
        <v>4</v>
      </c>
      <c r="AR908" s="97">
        <f>SUM(AL908+AN908+AP908)</f>
        <v>35.494869600000008</v>
      </c>
      <c r="AS908" s="97"/>
      <c r="AT908" s="177">
        <f t="shared" si="7726"/>
        <v>0</v>
      </c>
      <c r="AU908" s="207"/>
      <c r="AV908" s="177">
        <f t="shared" si="7727"/>
        <v>0</v>
      </c>
      <c r="AW908" s="207"/>
      <c r="AX908" s="206">
        <f t="shared" si="7728"/>
        <v>0</v>
      </c>
      <c r="AY908" s="189">
        <f t="shared" ref="AY908:AY909" si="7735">SUM(AS908+AU908+AW908)</f>
        <v>0</v>
      </c>
      <c r="AZ908" s="97">
        <f t="shared" ref="AZ908:AZ909" si="7736">SUM(AT908+AV908+AX908)</f>
        <v>0</v>
      </c>
      <c r="BA908" s="97">
        <f t="shared" si="7731"/>
        <v>4</v>
      </c>
      <c r="BB908" s="97">
        <f t="shared" si="7732"/>
        <v>35.494869600000008</v>
      </c>
    </row>
    <row r="909" spans="1:54">
      <c r="A909" s="498">
        <v>645</v>
      </c>
      <c r="B909" s="13"/>
      <c r="C909" s="302"/>
      <c r="D909" s="13" t="s">
        <v>373</v>
      </c>
      <c r="E909" s="21" t="s">
        <v>1496</v>
      </c>
      <c r="F909" s="46" t="s">
        <v>378</v>
      </c>
      <c r="G909" s="46" t="s">
        <v>1105</v>
      </c>
      <c r="H909" s="268" t="s">
        <v>441</v>
      </c>
      <c r="I909" s="55">
        <v>6.66</v>
      </c>
      <c r="J909" s="163"/>
      <c r="K909" s="55">
        <v>6.66</v>
      </c>
      <c r="L909" s="163"/>
      <c r="M909" s="55">
        <v>6.66</v>
      </c>
      <c r="N909" s="163"/>
      <c r="O909" s="55">
        <v>6.66</v>
      </c>
      <c r="P909" s="163"/>
      <c r="Q909" s="97">
        <f t="shared" si="7707"/>
        <v>0</v>
      </c>
      <c r="R909" s="342">
        <f t="shared" si="7708"/>
        <v>0</v>
      </c>
      <c r="S909" s="97"/>
      <c r="T909" s="97">
        <f t="shared" ref="T909" si="7737">I909*S909*$T$2/1000</f>
        <v>0</v>
      </c>
      <c r="U909" s="97"/>
      <c r="V909" s="97">
        <f t="shared" ref="V909" si="7738">I909*U909*$V$2/1000</f>
        <v>0</v>
      </c>
      <c r="W909" s="97"/>
      <c r="X909" s="97">
        <f t="shared" ref="X909" si="7739">I909*W909*$X$2/1000</f>
        <v>0</v>
      </c>
      <c r="Y909" s="97">
        <f t="shared" si="7733"/>
        <v>0</v>
      </c>
      <c r="Z909" s="97">
        <f t="shared" si="7734"/>
        <v>0</v>
      </c>
      <c r="AA909" s="97"/>
      <c r="AB909" s="97">
        <f t="shared" ref="AB909" si="7740">K909*AA909*$AB$2/1000</f>
        <v>0</v>
      </c>
      <c r="AC909" s="97"/>
      <c r="AD909" s="97">
        <f t="shared" ref="AD909" si="7741">K909*AC909*$AD$2/1000</f>
        <v>0</v>
      </c>
      <c r="AE909" s="97"/>
      <c r="AF909" s="97">
        <f t="shared" si="7716"/>
        <v>0</v>
      </c>
      <c r="AG909" s="97">
        <f t="shared" ref="AG909" si="7742">SUM(AA909+AC909+AE909)</f>
        <v>0</v>
      </c>
      <c r="AH909" s="97">
        <f t="shared" ref="AH909" si="7743">SUM(AB909+AD909+AF909)</f>
        <v>0</v>
      </c>
      <c r="AI909" s="97">
        <f t="shared" si="7719"/>
        <v>0</v>
      </c>
      <c r="AJ909" s="97">
        <f t="shared" si="7720"/>
        <v>0</v>
      </c>
      <c r="AK909" s="97"/>
      <c r="AL909" s="97">
        <f t="shared" si="7721"/>
        <v>0</v>
      </c>
      <c r="AM909" s="97"/>
      <c r="AN909" s="97">
        <f t="shared" si="7722"/>
        <v>0</v>
      </c>
      <c r="AO909" s="97"/>
      <c r="AP909" s="97">
        <f t="shared" si="7723"/>
        <v>0</v>
      </c>
      <c r="AQ909" s="97">
        <f t="shared" ref="AQ909" si="7744">SUM(AK909+AM909+AO909)</f>
        <v>0</v>
      </c>
      <c r="AR909" s="97">
        <f t="shared" ref="AR909" si="7745">SUM(AL909+AN909+AP909)</f>
        <v>0</v>
      </c>
      <c r="AS909" s="97"/>
      <c r="AT909" s="97">
        <f t="shared" si="7726"/>
        <v>0</v>
      </c>
      <c r="AU909" s="97"/>
      <c r="AV909" s="97">
        <f t="shared" si="7727"/>
        <v>0</v>
      </c>
      <c r="AW909" s="97"/>
      <c r="AX909" s="97">
        <f t="shared" si="7728"/>
        <v>0</v>
      </c>
      <c r="AY909" s="97">
        <f t="shared" si="7735"/>
        <v>0</v>
      </c>
      <c r="AZ909" s="97">
        <f t="shared" si="7736"/>
        <v>0</v>
      </c>
      <c r="BA909" s="97">
        <f t="shared" si="7731"/>
        <v>0</v>
      </c>
      <c r="BB909" s="97">
        <f t="shared" si="7732"/>
        <v>0</v>
      </c>
    </row>
    <row r="910" spans="1:54">
      <c r="A910" s="498">
        <v>645</v>
      </c>
      <c r="B910" s="13"/>
      <c r="C910" s="302"/>
      <c r="D910" s="13" t="s">
        <v>373</v>
      </c>
      <c r="E910" s="21" t="s">
        <v>636</v>
      </c>
      <c r="F910" s="46" t="s">
        <v>378</v>
      </c>
      <c r="G910" s="46" t="s">
        <v>1105</v>
      </c>
      <c r="H910" s="268" t="s">
        <v>441</v>
      </c>
      <c r="I910" s="55">
        <v>6.04</v>
      </c>
      <c r="J910" s="163"/>
      <c r="K910" s="55">
        <v>6.04</v>
      </c>
      <c r="L910" s="163"/>
      <c r="M910" s="55">
        <v>6.04</v>
      </c>
      <c r="N910" s="163"/>
      <c r="O910" s="55">
        <v>6.04</v>
      </c>
      <c r="P910" s="163"/>
      <c r="Q910" s="97">
        <f t="shared" si="7455"/>
        <v>0</v>
      </c>
      <c r="R910" s="342">
        <f t="shared" si="7455"/>
        <v>0</v>
      </c>
      <c r="S910" s="97"/>
      <c r="T910" s="97">
        <f t="shared" si="7456"/>
        <v>0</v>
      </c>
      <c r="U910" s="97"/>
      <c r="V910" s="97">
        <f t="shared" si="7457"/>
        <v>0</v>
      </c>
      <c r="W910" s="97"/>
      <c r="X910" s="97">
        <f t="shared" si="7458"/>
        <v>0</v>
      </c>
      <c r="Y910" s="97">
        <f t="shared" si="7459"/>
        <v>0</v>
      </c>
      <c r="Z910" s="97">
        <f t="shared" si="7460"/>
        <v>0</v>
      </c>
      <c r="AA910" s="97"/>
      <c r="AB910" s="97">
        <f t="shared" si="7461"/>
        <v>0</v>
      </c>
      <c r="AC910" s="97"/>
      <c r="AD910" s="97">
        <f t="shared" si="7501"/>
        <v>0</v>
      </c>
      <c r="AE910" s="97"/>
      <c r="AF910" s="97">
        <f t="shared" si="7500"/>
        <v>0</v>
      </c>
      <c r="AG910" s="97">
        <f t="shared" si="7462"/>
        <v>0</v>
      </c>
      <c r="AH910" s="97">
        <f t="shared" si="7463"/>
        <v>0</v>
      </c>
      <c r="AI910" s="97">
        <f t="shared" si="7464"/>
        <v>0</v>
      </c>
      <c r="AJ910" s="97">
        <f t="shared" si="7465"/>
        <v>0</v>
      </c>
      <c r="AK910" s="97"/>
      <c r="AL910" s="97">
        <f t="shared" si="7466"/>
        <v>0</v>
      </c>
      <c r="AM910" s="97"/>
      <c r="AN910" s="97">
        <f t="shared" si="7467"/>
        <v>0</v>
      </c>
      <c r="AO910" s="97"/>
      <c r="AP910" s="97">
        <f t="shared" si="7694"/>
        <v>0</v>
      </c>
      <c r="AQ910" s="97">
        <f t="shared" si="7469"/>
        <v>0</v>
      </c>
      <c r="AR910" s="97">
        <f t="shared" si="7470"/>
        <v>0</v>
      </c>
      <c r="AS910" s="97"/>
      <c r="AT910" s="97">
        <f t="shared" si="7471"/>
        <v>0</v>
      </c>
      <c r="AU910" s="97"/>
      <c r="AV910" s="97">
        <f t="shared" si="7472"/>
        <v>0</v>
      </c>
      <c r="AW910" s="97"/>
      <c r="AX910" s="97">
        <f t="shared" si="7473"/>
        <v>0</v>
      </c>
      <c r="AY910" s="97">
        <f t="shared" ref="AY910" si="7746">SUM(AS910+AU910+AW910)</f>
        <v>0</v>
      </c>
      <c r="AZ910" s="97">
        <f t="shared" ref="AZ910" si="7747">SUM(AT910+AV910+AX910)</f>
        <v>0</v>
      </c>
      <c r="BA910" s="97">
        <f t="shared" ref="BA910" si="7748">SUM(AQ910+AY910)</f>
        <v>0</v>
      </c>
      <c r="BB910" s="97">
        <f t="shared" ref="BB910" si="7749">SUM(AR910,AZ910)</f>
        <v>0</v>
      </c>
    </row>
    <row r="911" spans="1:54">
      <c r="A911" s="498">
        <v>646</v>
      </c>
      <c r="B911" s="13"/>
      <c r="C911" s="302"/>
      <c r="D911" s="13" t="s">
        <v>379</v>
      </c>
      <c r="E911" s="21" t="s">
        <v>637</v>
      </c>
      <c r="F911" s="46" t="s">
        <v>380</v>
      </c>
      <c r="G911" s="46" t="s">
        <v>1105</v>
      </c>
      <c r="H911" s="268" t="s">
        <v>441</v>
      </c>
      <c r="I911" s="55">
        <v>6.04</v>
      </c>
      <c r="J911" s="163"/>
      <c r="K911" s="55">
        <v>6.04</v>
      </c>
      <c r="L911" s="163"/>
      <c r="M911" s="55">
        <v>6.04</v>
      </c>
      <c r="N911" s="163"/>
      <c r="O911" s="55">
        <v>6.04</v>
      </c>
      <c r="P911" s="163"/>
      <c r="Q911" s="97">
        <f t="shared" si="7455"/>
        <v>0</v>
      </c>
      <c r="R911" s="342">
        <f t="shared" si="7455"/>
        <v>0</v>
      </c>
      <c r="S911" s="97"/>
      <c r="T911" s="97">
        <f t="shared" si="7456"/>
        <v>0</v>
      </c>
      <c r="U911" s="97"/>
      <c r="V911" s="97">
        <f t="shared" si="7457"/>
        <v>0</v>
      </c>
      <c r="W911" s="97"/>
      <c r="X911" s="97">
        <f t="shared" si="7458"/>
        <v>0</v>
      </c>
      <c r="Y911" s="97">
        <f t="shared" si="7459"/>
        <v>0</v>
      </c>
      <c r="Z911" s="97">
        <f t="shared" si="7460"/>
        <v>0</v>
      </c>
      <c r="AA911" s="97"/>
      <c r="AB911" s="97">
        <f t="shared" si="7461"/>
        <v>0</v>
      </c>
      <c r="AC911" s="97"/>
      <c r="AD911" s="97">
        <f t="shared" si="7501"/>
        <v>0</v>
      </c>
      <c r="AE911" s="97"/>
      <c r="AF911" s="97">
        <f t="shared" si="7500"/>
        <v>0</v>
      </c>
      <c r="AG911" s="97">
        <f t="shared" si="7462"/>
        <v>0</v>
      </c>
      <c r="AH911" s="97">
        <f t="shared" si="7463"/>
        <v>0</v>
      </c>
      <c r="AI911" s="97">
        <f t="shared" si="7464"/>
        <v>0</v>
      </c>
      <c r="AJ911" s="97">
        <f t="shared" si="7465"/>
        <v>0</v>
      </c>
      <c r="AK911" s="97"/>
      <c r="AL911" s="97">
        <f t="shared" si="7466"/>
        <v>0</v>
      </c>
      <c r="AM911" s="97"/>
      <c r="AN911" s="97">
        <f t="shared" si="7467"/>
        <v>0</v>
      </c>
      <c r="AO911" s="97"/>
      <c r="AP911" s="97">
        <f t="shared" si="7694"/>
        <v>0</v>
      </c>
      <c r="AQ911" s="97">
        <f t="shared" si="7469"/>
        <v>0</v>
      </c>
      <c r="AR911" s="97">
        <f t="shared" si="7470"/>
        <v>0</v>
      </c>
      <c r="AS911" s="97"/>
      <c r="AT911" s="97">
        <f t="shared" si="7471"/>
        <v>0</v>
      </c>
      <c r="AU911" s="97"/>
      <c r="AV911" s="97">
        <f t="shared" si="7472"/>
        <v>0</v>
      </c>
      <c r="AW911" s="97"/>
      <c r="AX911" s="97">
        <f t="shared" si="7473"/>
        <v>0</v>
      </c>
      <c r="AY911" s="97">
        <f t="shared" ref="AY911" si="7750">SUM(AS911+AU911+AW911)</f>
        <v>0</v>
      </c>
      <c r="AZ911" s="97">
        <f t="shared" ref="AZ911" si="7751">SUM(AT911+AV911+AX911)</f>
        <v>0</v>
      </c>
      <c r="BA911" s="97">
        <f t="shared" ref="BA911" si="7752">SUM(AQ911+AY911)</f>
        <v>0</v>
      </c>
      <c r="BB911" s="97">
        <f t="shared" ref="BB911" si="7753">SUM(AR911,AZ911)</f>
        <v>0</v>
      </c>
    </row>
    <row r="912" spans="1:54">
      <c r="A912" s="498">
        <v>647</v>
      </c>
      <c r="B912" s="13"/>
      <c r="C912" s="302"/>
      <c r="D912" s="13" t="s">
        <v>381</v>
      </c>
      <c r="E912" s="21" t="s">
        <v>638</v>
      </c>
      <c r="F912" s="46" t="s">
        <v>380</v>
      </c>
      <c r="G912" s="46" t="s">
        <v>1105</v>
      </c>
      <c r="H912" s="268" t="s">
        <v>441</v>
      </c>
      <c r="I912" s="55">
        <v>6.04</v>
      </c>
      <c r="J912" s="163"/>
      <c r="K912" s="55">
        <v>6.04</v>
      </c>
      <c r="L912" s="163"/>
      <c r="M912" s="55">
        <v>6.04</v>
      </c>
      <c r="N912" s="163"/>
      <c r="O912" s="55">
        <v>6.04</v>
      </c>
      <c r="P912" s="163"/>
      <c r="Q912" s="97">
        <f t="shared" si="7455"/>
        <v>0</v>
      </c>
      <c r="R912" s="342">
        <f t="shared" si="7455"/>
        <v>0</v>
      </c>
      <c r="S912" s="97"/>
      <c r="T912" s="97">
        <f t="shared" si="7456"/>
        <v>0</v>
      </c>
      <c r="U912" s="97"/>
      <c r="V912" s="97">
        <f t="shared" si="7457"/>
        <v>0</v>
      </c>
      <c r="W912" s="97"/>
      <c r="X912" s="97">
        <f t="shared" si="7458"/>
        <v>0</v>
      </c>
      <c r="Y912" s="97">
        <f t="shared" si="7459"/>
        <v>0</v>
      </c>
      <c r="Z912" s="97">
        <f t="shared" si="7460"/>
        <v>0</v>
      </c>
      <c r="AA912" s="97"/>
      <c r="AB912" s="97">
        <f>K912*AA912*$AB$2/1000</f>
        <v>0</v>
      </c>
      <c r="AC912" s="97"/>
      <c r="AD912" s="97">
        <f t="shared" si="7501"/>
        <v>0</v>
      </c>
      <c r="AE912" s="97"/>
      <c r="AF912" s="97">
        <f t="shared" si="7500"/>
        <v>0</v>
      </c>
      <c r="AG912" s="97">
        <f t="shared" si="7462"/>
        <v>0</v>
      </c>
      <c r="AH912" s="97">
        <f t="shared" si="7463"/>
        <v>0</v>
      </c>
      <c r="AI912" s="97">
        <f t="shared" si="7464"/>
        <v>0</v>
      </c>
      <c r="AJ912" s="97">
        <f t="shared" si="7465"/>
        <v>0</v>
      </c>
      <c r="AK912" s="97"/>
      <c r="AL912" s="97">
        <f t="shared" si="7466"/>
        <v>0</v>
      </c>
      <c r="AM912" s="97"/>
      <c r="AN912" s="97">
        <f>M912*AM912*$AN$2/1000</f>
        <v>0</v>
      </c>
      <c r="AO912" s="97"/>
      <c r="AP912" s="97">
        <f t="shared" si="7694"/>
        <v>0</v>
      </c>
      <c r="AQ912" s="97">
        <f t="shared" si="7469"/>
        <v>0</v>
      </c>
      <c r="AR912" s="97">
        <f t="shared" si="7470"/>
        <v>0</v>
      </c>
      <c r="AS912" s="97"/>
      <c r="AT912" s="97">
        <f t="shared" si="7471"/>
        <v>0</v>
      </c>
      <c r="AU912" s="97"/>
      <c r="AV912" s="97">
        <f t="shared" si="7472"/>
        <v>0</v>
      </c>
      <c r="AW912" s="97"/>
      <c r="AX912" s="97">
        <f t="shared" si="7473"/>
        <v>0</v>
      </c>
      <c r="AY912" s="97">
        <f t="shared" si="7474"/>
        <v>0</v>
      </c>
      <c r="AZ912" s="97">
        <f t="shared" si="7475"/>
        <v>0</v>
      </c>
      <c r="BA912" s="97">
        <f t="shared" si="7476"/>
        <v>0</v>
      </c>
      <c r="BB912" s="97">
        <f t="shared" si="7477"/>
        <v>0</v>
      </c>
    </row>
    <row r="913" spans="1:54" s="6" customFormat="1">
      <c r="A913" s="498">
        <v>648</v>
      </c>
      <c r="B913" s="14"/>
      <c r="C913" s="338"/>
      <c r="D913" s="14" t="s">
        <v>379</v>
      </c>
      <c r="E913" s="16" t="s">
        <v>639</v>
      </c>
      <c r="F913" s="45" t="s">
        <v>240</v>
      </c>
      <c r="G913" s="45" t="s">
        <v>1105</v>
      </c>
      <c r="H913" s="267" t="s">
        <v>441</v>
      </c>
      <c r="I913" s="234">
        <v>6.04</v>
      </c>
      <c r="J913" s="241"/>
      <c r="K913" s="234">
        <v>6.04</v>
      </c>
      <c r="L913" s="241"/>
      <c r="M913" s="234">
        <v>6.04</v>
      </c>
      <c r="N913" s="241"/>
      <c r="O913" s="234">
        <v>6.04</v>
      </c>
      <c r="P913" s="241"/>
      <c r="Q913" s="96">
        <f t="shared" ref="Q913:Q919" si="7754">SUM(AI913+BA913)</f>
        <v>0</v>
      </c>
      <c r="R913" s="340">
        <f t="shared" ref="R913:R919" si="7755">SUM(AJ913+BB913)</f>
        <v>0</v>
      </c>
      <c r="S913" s="96"/>
      <c r="T913" s="96">
        <f t="shared" ref="T913:T919" si="7756">I913*S913*$T$2/1000</f>
        <v>0</v>
      </c>
      <c r="U913" s="96"/>
      <c r="V913" s="96">
        <f t="shared" ref="V913:V919" si="7757">I913*U913*$V$2/1000</f>
        <v>0</v>
      </c>
      <c r="W913" s="96"/>
      <c r="X913" s="96">
        <f t="shared" ref="X913:X919" si="7758">I913*W913*$X$2/1000</f>
        <v>0</v>
      </c>
      <c r="Y913" s="96">
        <f t="shared" ref="Y913:Y919" si="7759">SUM(S913+U913+W913)</f>
        <v>0</v>
      </c>
      <c r="Z913" s="96">
        <f t="shared" ref="Z913:Z919" si="7760">SUM(T913+V913+X913)</f>
        <v>0</v>
      </c>
      <c r="AA913" s="96"/>
      <c r="AB913" s="96">
        <f t="shared" ref="AB913:AB919" si="7761">K913*AA913*$AB$2/1000</f>
        <v>0</v>
      </c>
      <c r="AC913" s="96"/>
      <c r="AD913" s="96">
        <f t="shared" ref="AD913:AD919" si="7762">K913*AC913*$AD$2/1000</f>
        <v>0</v>
      </c>
      <c r="AE913" s="96"/>
      <c r="AF913" s="97">
        <f t="shared" si="7500"/>
        <v>0</v>
      </c>
      <c r="AG913" s="96">
        <f>SUM(AA913+AC913+AE913)</f>
        <v>0</v>
      </c>
      <c r="AH913" s="96">
        <f>SUM(AB913+AD913+AF913)</f>
        <v>0</v>
      </c>
      <c r="AI913" s="96">
        <f t="shared" ref="AI913:AI919" si="7763">SUM(Y913+AG913)</f>
        <v>0</v>
      </c>
      <c r="AJ913" s="96">
        <f t="shared" ref="AJ913:AJ919" si="7764">SUM(Z913,AH913)</f>
        <v>0</v>
      </c>
      <c r="AK913" s="96"/>
      <c r="AL913" s="96">
        <f t="shared" ref="AL913:AL914" si="7765">M913*AK913*$AL$2/1000</f>
        <v>0</v>
      </c>
      <c r="AM913" s="96"/>
      <c r="AN913" s="96">
        <f t="shared" ref="AN913:AN919" si="7766">M913*AM913*$AN$2/1000</f>
        <v>0</v>
      </c>
      <c r="AO913" s="96"/>
      <c r="AP913" s="96">
        <f t="shared" si="7694"/>
        <v>0</v>
      </c>
      <c r="AQ913" s="96">
        <f t="shared" ref="AQ913:AQ919" si="7767">SUM(AK913+AM913+AO913)</f>
        <v>0</v>
      </c>
      <c r="AR913" s="96">
        <f t="shared" ref="AR913:AR919" si="7768">SUM(AL913+AN913+AP913)</f>
        <v>0</v>
      </c>
      <c r="AS913" s="96"/>
      <c r="AT913" s="96">
        <f t="shared" ref="AT913:AT919" si="7769">O913*AS913*$AT$2/1000</f>
        <v>0</v>
      </c>
      <c r="AU913" s="96"/>
      <c r="AV913" s="96">
        <f t="shared" ref="AV913:AV919" si="7770">O913*AU913*$AV$2/1000</f>
        <v>0</v>
      </c>
      <c r="AW913" s="96"/>
      <c r="AX913" s="96">
        <f t="shared" ref="AX913:AX919" si="7771">O913*AW913*$AX$2/1000</f>
        <v>0</v>
      </c>
      <c r="AY913" s="96">
        <f t="shared" si="7474"/>
        <v>0</v>
      </c>
      <c r="AZ913" s="96">
        <f t="shared" si="7475"/>
        <v>0</v>
      </c>
      <c r="BA913" s="96">
        <f t="shared" si="7476"/>
        <v>0</v>
      </c>
      <c r="BB913" s="96">
        <f t="shared" si="7477"/>
        <v>0</v>
      </c>
    </row>
    <row r="914" spans="1:54">
      <c r="A914" s="498">
        <v>649</v>
      </c>
      <c r="B914" s="13"/>
      <c r="C914" s="302"/>
      <c r="D914" s="13" t="s">
        <v>583</v>
      </c>
      <c r="E914" s="21" t="s">
        <v>1191</v>
      </c>
      <c r="F914" s="46" t="s">
        <v>375</v>
      </c>
      <c r="G914" s="46" t="s">
        <v>1105</v>
      </c>
      <c r="H914" s="268" t="s">
        <v>366</v>
      </c>
      <c r="I914" s="55">
        <v>6.98</v>
      </c>
      <c r="J914" s="163"/>
      <c r="K914" s="55">
        <v>6.98</v>
      </c>
      <c r="L914" s="163"/>
      <c r="M914" s="55">
        <v>6.98</v>
      </c>
      <c r="N914" s="163"/>
      <c r="O914" s="55">
        <v>6.98</v>
      </c>
      <c r="P914" s="163"/>
      <c r="Q914" s="97">
        <f t="shared" si="7754"/>
        <v>1.3</v>
      </c>
      <c r="R914" s="342">
        <f t="shared" si="7755"/>
        <v>12.517054614000001</v>
      </c>
      <c r="S914" s="97"/>
      <c r="T914" s="97">
        <f t="shared" si="7756"/>
        <v>0</v>
      </c>
      <c r="U914" s="97"/>
      <c r="V914" s="97">
        <f t="shared" si="7757"/>
        <v>0</v>
      </c>
      <c r="W914" s="97">
        <v>0.3</v>
      </c>
      <c r="X914" s="97">
        <f t="shared" si="7758"/>
        <v>2.7862763999999998</v>
      </c>
      <c r="Y914" s="97">
        <f t="shared" si="7759"/>
        <v>0.3</v>
      </c>
      <c r="Z914" s="97">
        <f t="shared" si="7760"/>
        <v>2.7862763999999998</v>
      </c>
      <c r="AA914" s="97">
        <v>7.0000000000000007E-2</v>
      </c>
      <c r="AB914" s="97">
        <f>K914*AA914*$AB$2/1000</f>
        <v>0.666509032</v>
      </c>
      <c r="AC914" s="97">
        <v>0.43</v>
      </c>
      <c r="AD914" s="97">
        <f t="shared" si="7762"/>
        <v>4.1108074820000011</v>
      </c>
      <c r="AE914" s="97"/>
      <c r="AF914" s="97">
        <f t="shared" ref="AF914:AF916" si="7772">K914*AE914*$AF$2/1000</f>
        <v>0</v>
      </c>
      <c r="AG914" s="97">
        <f t="shared" ref="AG914" si="7773">SUM(AA914+AC914+AE914)</f>
        <v>0.5</v>
      </c>
      <c r="AH914" s="97">
        <f t="shared" ref="AH914:AH916" si="7774">SUM(AB914+AD914+AF914)</f>
        <v>4.7773165140000007</v>
      </c>
      <c r="AI914" s="97">
        <f t="shared" si="7763"/>
        <v>0.8</v>
      </c>
      <c r="AJ914" s="97">
        <f t="shared" si="7764"/>
        <v>7.5635929140000009</v>
      </c>
      <c r="AK914" s="97"/>
      <c r="AL914" s="97">
        <f t="shared" si="7765"/>
        <v>0</v>
      </c>
      <c r="AM914" s="97"/>
      <c r="AN914" s="97">
        <f>M914*AM914*$AN$2/1000</f>
        <v>0</v>
      </c>
      <c r="AO914" s="97"/>
      <c r="AP914" s="97">
        <f t="shared" si="7694"/>
        <v>0</v>
      </c>
      <c r="AQ914" s="97">
        <f t="shared" si="7767"/>
        <v>0</v>
      </c>
      <c r="AR914" s="97">
        <f t="shared" si="7768"/>
        <v>0</v>
      </c>
      <c r="AS914" s="97"/>
      <c r="AT914" s="97">
        <f t="shared" si="7769"/>
        <v>0</v>
      </c>
      <c r="AU914" s="97"/>
      <c r="AV914" s="97">
        <f t="shared" si="7770"/>
        <v>0</v>
      </c>
      <c r="AW914" s="97">
        <v>0.5</v>
      </c>
      <c r="AX914" s="97">
        <f t="shared" si="7771"/>
        <v>4.9534617000000001</v>
      </c>
      <c r="AY914" s="97">
        <f t="shared" ref="AY914:AY916" si="7775">SUM(AS914+AU914+AW914)</f>
        <v>0.5</v>
      </c>
      <c r="AZ914" s="97">
        <f t="shared" ref="AZ914:AZ916" si="7776">SUM(AT914+AV914+AX914)</f>
        <v>4.9534617000000001</v>
      </c>
      <c r="BA914" s="97">
        <f t="shared" ref="BA914:BA916" si="7777">SUM(AQ914+AY914)</f>
        <v>0.5</v>
      </c>
      <c r="BB914" s="97">
        <f t="shared" ref="BB914:BB916" si="7778">SUM(AR914,AZ914)</f>
        <v>4.9534617000000001</v>
      </c>
    </row>
    <row r="915" spans="1:54">
      <c r="A915" s="498">
        <v>650</v>
      </c>
      <c r="B915" s="13"/>
      <c r="C915" s="302"/>
      <c r="D915" s="13" t="s">
        <v>583</v>
      </c>
      <c r="E915" s="21" t="s">
        <v>1192</v>
      </c>
      <c r="F915" s="46" t="s">
        <v>240</v>
      </c>
      <c r="G915" s="46" t="s">
        <v>1105</v>
      </c>
      <c r="H915" s="268" t="s">
        <v>441</v>
      </c>
      <c r="I915" s="55">
        <v>6.04</v>
      </c>
      <c r="J915" s="163"/>
      <c r="K915" s="55">
        <v>6.04</v>
      </c>
      <c r="L915" s="163"/>
      <c r="M915" s="55">
        <v>6.04</v>
      </c>
      <c r="N915" s="163"/>
      <c r="O915" s="55">
        <v>6.04</v>
      </c>
      <c r="P915" s="163"/>
      <c r="Q915" s="97">
        <f t="shared" ref="Q915:Q916" si="7779">SUM(AI915+BA915)</f>
        <v>0</v>
      </c>
      <c r="R915" s="342">
        <f t="shared" ref="R915:R916" si="7780">SUM(AJ915+BB915)</f>
        <v>0</v>
      </c>
      <c r="S915" s="97"/>
      <c r="T915" s="97">
        <f t="shared" ref="T915:T916" si="7781">I915*S915*$T$2/1000</f>
        <v>0</v>
      </c>
      <c r="U915" s="97"/>
      <c r="V915" s="97">
        <f t="shared" ref="V915:V916" si="7782">I915*U915*$V$2/1000</f>
        <v>0</v>
      </c>
      <c r="W915" s="97"/>
      <c r="X915" s="97">
        <f t="shared" ref="X915:X916" si="7783">I915*W915*$X$2/1000</f>
        <v>0</v>
      </c>
      <c r="Y915" s="97">
        <f t="shared" ref="Y915:Y916" si="7784">SUM(S915+U915+W915)</f>
        <v>0</v>
      </c>
      <c r="Z915" s="97">
        <f t="shared" ref="Z915:Z916" si="7785">SUM(T915+V915+X915)</f>
        <v>0</v>
      </c>
      <c r="AA915" s="97"/>
      <c r="AB915" s="97">
        <f t="shared" ref="AB915:AB916" si="7786">K915*AA915*$AB$2/1000</f>
        <v>0</v>
      </c>
      <c r="AC915" s="97"/>
      <c r="AD915" s="97">
        <f t="shared" ref="AD915:AD916" si="7787">K915*AC915*$AD$2/1000</f>
        <v>0</v>
      </c>
      <c r="AE915" s="97"/>
      <c r="AF915" s="97">
        <f t="shared" si="7772"/>
        <v>0</v>
      </c>
      <c r="AG915" s="97">
        <f t="shared" ref="AG915:AG928" si="7788">SUM(AA915+AC915+AE915)</f>
        <v>0</v>
      </c>
      <c r="AH915" s="97">
        <f t="shared" si="7774"/>
        <v>0</v>
      </c>
      <c r="AI915" s="97">
        <f t="shared" ref="AI915:AI916" si="7789">SUM(Y915+AG915)</f>
        <v>0</v>
      </c>
      <c r="AJ915" s="97">
        <f t="shared" ref="AJ915:AJ916" si="7790">SUM(Z915,AH915)</f>
        <v>0</v>
      </c>
      <c r="AK915" s="97"/>
      <c r="AL915" s="97">
        <f>M915*AK915*$AL$2/1000</f>
        <v>0</v>
      </c>
      <c r="AM915" s="97"/>
      <c r="AN915" s="97">
        <f t="shared" ref="AN915:AN916" si="7791">M915*AM915*$AN$2/1000</f>
        <v>0</v>
      </c>
      <c r="AO915" s="97"/>
      <c r="AP915" s="97">
        <f t="shared" ref="AP915:AP916" si="7792">M915*AO915*$AP$2/1000</f>
        <v>0</v>
      </c>
      <c r="AQ915" s="97">
        <f t="shared" ref="AQ915:AQ916" si="7793">SUM(AK915+AM915+AO915)</f>
        <v>0</v>
      </c>
      <c r="AR915" s="97">
        <f t="shared" ref="AR915:AR916" si="7794">SUM(AL915+AN915+AP915)</f>
        <v>0</v>
      </c>
      <c r="AS915" s="97"/>
      <c r="AT915" s="97">
        <f t="shared" ref="AT915:AT916" si="7795">O915*AS915*$AT$2/1000</f>
        <v>0</v>
      </c>
      <c r="AU915" s="97"/>
      <c r="AV915" s="97">
        <f t="shared" ref="AV915:AV916" si="7796">O915*AU915*$AV$2/1000</f>
        <v>0</v>
      </c>
      <c r="AW915" s="97"/>
      <c r="AX915" s="97">
        <f t="shared" ref="AX915:AX916" si="7797">O915*AW915*$AX$2/1000</f>
        <v>0</v>
      </c>
      <c r="AY915" s="97">
        <f t="shared" si="7775"/>
        <v>0</v>
      </c>
      <c r="AZ915" s="97">
        <f t="shared" si="7776"/>
        <v>0</v>
      </c>
      <c r="BA915" s="97">
        <f t="shared" si="7777"/>
        <v>0</v>
      </c>
      <c r="BB915" s="97">
        <f t="shared" si="7778"/>
        <v>0</v>
      </c>
    </row>
    <row r="916" spans="1:54">
      <c r="A916" s="498">
        <v>650</v>
      </c>
      <c r="B916" s="13"/>
      <c r="C916" s="302"/>
      <c r="D916" s="14" t="s">
        <v>1541</v>
      </c>
      <c r="E916" s="290" t="s">
        <v>1736</v>
      </c>
      <c r="F916" s="46" t="s">
        <v>240</v>
      </c>
      <c r="G916" s="46" t="s">
        <v>1105</v>
      </c>
      <c r="H916" s="268" t="s">
        <v>366</v>
      </c>
      <c r="I916" s="55">
        <v>7.39</v>
      </c>
      <c r="J916" s="163"/>
      <c r="K916" s="55">
        <v>7.39</v>
      </c>
      <c r="L916" s="163"/>
      <c r="M916" s="55">
        <v>7.39</v>
      </c>
      <c r="N916" s="163"/>
      <c r="O916" s="55">
        <v>7.39</v>
      </c>
      <c r="P916" s="163"/>
      <c r="Q916" s="97">
        <f t="shared" si="7779"/>
        <v>0.2</v>
      </c>
      <c r="R916" s="342">
        <f t="shared" si="7780"/>
        <v>1.9664050999999998</v>
      </c>
      <c r="S916" s="97"/>
      <c r="T916" s="97">
        <f t="shared" si="7781"/>
        <v>0</v>
      </c>
      <c r="U916" s="97">
        <v>0.15</v>
      </c>
      <c r="V916" s="97">
        <f t="shared" si="7782"/>
        <v>1.4747484</v>
      </c>
      <c r="W916" s="97">
        <v>0.05</v>
      </c>
      <c r="X916" s="97">
        <f t="shared" si="7783"/>
        <v>0.49165669999999995</v>
      </c>
      <c r="Y916" s="97">
        <f t="shared" si="7784"/>
        <v>0.2</v>
      </c>
      <c r="Z916" s="97">
        <f t="shared" si="7785"/>
        <v>1.9664050999999998</v>
      </c>
      <c r="AA916" s="97"/>
      <c r="AB916" s="97">
        <f t="shared" si="7786"/>
        <v>0</v>
      </c>
      <c r="AC916" s="97"/>
      <c r="AD916" s="97">
        <f t="shared" si="7787"/>
        <v>0</v>
      </c>
      <c r="AE916" s="97"/>
      <c r="AF916" s="97">
        <f t="shared" si="7772"/>
        <v>0</v>
      </c>
      <c r="AG916" s="97">
        <f t="shared" si="7788"/>
        <v>0</v>
      </c>
      <c r="AH916" s="97">
        <f t="shared" si="7774"/>
        <v>0</v>
      </c>
      <c r="AI916" s="97">
        <f t="shared" si="7789"/>
        <v>0.2</v>
      </c>
      <c r="AJ916" s="97">
        <f t="shared" si="7790"/>
        <v>1.9664050999999998</v>
      </c>
      <c r="AK916" s="97"/>
      <c r="AL916" s="97">
        <f>M916*AK916*$AL$2/1000</f>
        <v>0</v>
      </c>
      <c r="AM916" s="97"/>
      <c r="AN916" s="97">
        <f t="shared" si="7791"/>
        <v>0</v>
      </c>
      <c r="AO916" s="97"/>
      <c r="AP916" s="97">
        <f t="shared" si="7792"/>
        <v>0</v>
      </c>
      <c r="AQ916" s="97">
        <f t="shared" si="7793"/>
        <v>0</v>
      </c>
      <c r="AR916" s="97">
        <f t="shared" si="7794"/>
        <v>0</v>
      </c>
      <c r="AS916" s="97"/>
      <c r="AT916" s="97">
        <f t="shared" si="7795"/>
        <v>0</v>
      </c>
      <c r="AU916" s="97"/>
      <c r="AV916" s="97">
        <f t="shared" si="7796"/>
        <v>0</v>
      </c>
      <c r="AW916" s="97"/>
      <c r="AX916" s="97">
        <f t="shared" si="7797"/>
        <v>0</v>
      </c>
      <c r="AY916" s="97">
        <f t="shared" si="7775"/>
        <v>0</v>
      </c>
      <c r="AZ916" s="97">
        <f t="shared" si="7776"/>
        <v>0</v>
      </c>
      <c r="BA916" s="97">
        <f t="shared" si="7777"/>
        <v>0</v>
      </c>
      <c r="BB916" s="97">
        <f t="shared" si="7778"/>
        <v>0</v>
      </c>
    </row>
    <row r="917" spans="1:54">
      <c r="A917" s="498">
        <v>650</v>
      </c>
      <c r="B917" s="13"/>
      <c r="C917" s="302"/>
      <c r="D917" s="14" t="s">
        <v>1541</v>
      </c>
      <c r="E917" s="290" t="s">
        <v>1674</v>
      </c>
      <c r="F917" s="46" t="s">
        <v>240</v>
      </c>
      <c r="G917" s="46" t="s">
        <v>1105</v>
      </c>
      <c r="H917" s="268" t="s">
        <v>441</v>
      </c>
      <c r="I917" s="55">
        <v>7.39</v>
      </c>
      <c r="J917" s="163"/>
      <c r="K917" s="55">
        <v>7.39</v>
      </c>
      <c r="L917" s="163"/>
      <c r="M917" s="55">
        <v>7.39</v>
      </c>
      <c r="N917" s="163"/>
      <c r="O917" s="55">
        <v>7.24</v>
      </c>
      <c r="P917" s="163"/>
      <c r="Q917" s="97">
        <f t="shared" ref="Q917" si="7798">SUM(AI917+BA917)</f>
        <v>2.1890000000000001</v>
      </c>
      <c r="R917" s="342">
        <f t="shared" ref="R917" si="7799">SUM(AJ917+BB917)</f>
        <v>22.037682767299998</v>
      </c>
      <c r="S917" s="97"/>
      <c r="T917" s="97">
        <f t="shared" ref="T917" si="7800">I917*S917*$T$2/1000</f>
        <v>0</v>
      </c>
      <c r="U917" s="97"/>
      <c r="V917" s="97">
        <f t="shared" ref="V917" si="7801">I917*U917*$V$2/1000</f>
        <v>0</v>
      </c>
      <c r="W917" s="97"/>
      <c r="X917" s="97">
        <f t="shared" ref="X917" si="7802">I917*W917*$X$2/1000</f>
        <v>0</v>
      </c>
      <c r="Y917" s="97">
        <f t="shared" ref="Y917" si="7803">SUM(S917+U917+W917)</f>
        <v>0</v>
      </c>
      <c r="Z917" s="97">
        <f t="shared" ref="Z917" si="7804">SUM(T917+V917+X917)</f>
        <v>0</v>
      </c>
      <c r="AA917" s="97"/>
      <c r="AB917" s="97">
        <f t="shared" ref="AB917" si="7805">K917*AA917*$AB$2/1000</f>
        <v>0</v>
      </c>
      <c r="AC917" s="97">
        <v>0.68899999999999995</v>
      </c>
      <c r="AD917" s="97">
        <f t="shared" ref="AD917" si="7806">K917*AC917*$AD$2/1000</f>
        <v>6.9737587672999988</v>
      </c>
      <c r="AE917" s="97"/>
      <c r="AF917" s="97">
        <f t="shared" ref="AF917" si="7807">K917*AE917*$AF$2/1000</f>
        <v>0</v>
      </c>
      <c r="AG917" s="97">
        <f t="shared" ref="AG917" si="7808">SUM(AA917+AC917+AE917)</f>
        <v>0.68899999999999995</v>
      </c>
      <c r="AH917" s="97">
        <f t="shared" ref="AH917" si="7809">SUM(AB917+AD917+AF917)</f>
        <v>6.9737587672999988</v>
      </c>
      <c r="AI917" s="97">
        <f t="shared" ref="AI917" si="7810">SUM(Y917+AG917)</f>
        <v>0.68899999999999995</v>
      </c>
      <c r="AJ917" s="97">
        <f t="shared" ref="AJ917" si="7811">SUM(Z917,AH917)</f>
        <v>6.9737587672999988</v>
      </c>
      <c r="AK917" s="97">
        <v>0.5</v>
      </c>
      <c r="AL917" s="97">
        <f>M917*AK917*$AL$2/1000</f>
        <v>5.1104805999999998</v>
      </c>
      <c r="AM917" s="97"/>
      <c r="AN917" s="97">
        <f t="shared" ref="AN917" si="7812">M917*AM917*$AN$2/1000</f>
        <v>0</v>
      </c>
      <c r="AO917" s="97"/>
      <c r="AP917" s="97">
        <f t="shared" ref="AP917" si="7813">M917*AO917*$AP$2/1000</f>
        <v>0</v>
      </c>
      <c r="AQ917" s="97">
        <f t="shared" ref="AQ917" si="7814">SUM(AK917+AM917+AO917)</f>
        <v>0.5</v>
      </c>
      <c r="AR917" s="97">
        <f t="shared" ref="AR917" si="7815">SUM(AL917+AN917+AP917)</f>
        <v>5.1104805999999998</v>
      </c>
      <c r="AS917" s="97">
        <v>0.5</v>
      </c>
      <c r="AT917" s="97">
        <f t="shared" ref="AT917" si="7816">O917*AS917*$AT$2/1000</f>
        <v>4.915598000000001</v>
      </c>
      <c r="AU917" s="97">
        <v>0.5</v>
      </c>
      <c r="AV917" s="97">
        <f t="shared" ref="AV917" si="7817">O917*AU917*$AV$2/1000</f>
        <v>5.0378454000000001</v>
      </c>
      <c r="AW917" s="97"/>
      <c r="AX917" s="97">
        <f t="shared" ref="AX917" si="7818">O917*AW917*$AX$2/1000</f>
        <v>0</v>
      </c>
      <c r="AY917" s="97">
        <f t="shared" ref="AY917" si="7819">SUM(AS917+AU917+AW917)</f>
        <v>1</v>
      </c>
      <c r="AZ917" s="97">
        <f t="shared" ref="AZ917" si="7820">SUM(AT917+AV917+AX917)</f>
        <v>9.9534434000000012</v>
      </c>
      <c r="BA917" s="97">
        <f t="shared" ref="BA917" si="7821">SUM(AQ917+AY917)</f>
        <v>1.5</v>
      </c>
      <c r="BB917" s="97">
        <f t="shared" ref="BB917" si="7822">SUM(AR917,AZ917)</f>
        <v>15.063924</v>
      </c>
    </row>
    <row r="918" spans="1:54">
      <c r="A918" s="498">
        <v>650</v>
      </c>
      <c r="B918" s="13"/>
      <c r="C918" s="302"/>
      <c r="D918" s="14" t="s">
        <v>1541</v>
      </c>
      <c r="E918" s="290" t="s">
        <v>1628</v>
      </c>
      <c r="F918" s="46" t="s">
        <v>380</v>
      </c>
      <c r="G918" s="46" t="s">
        <v>1105</v>
      </c>
      <c r="H918" s="268" t="s">
        <v>441</v>
      </c>
      <c r="I918" s="55">
        <v>7.67</v>
      </c>
      <c r="J918" s="163"/>
      <c r="K918" s="55">
        <v>7.67</v>
      </c>
      <c r="L918" s="163"/>
      <c r="M918" s="55">
        <v>7.67</v>
      </c>
      <c r="N918" s="163"/>
      <c r="O918" s="55">
        <v>7.67</v>
      </c>
      <c r="P918" s="163"/>
      <c r="Q918" s="97">
        <f t="shared" si="7754"/>
        <v>2.3540000000000001</v>
      </c>
      <c r="R918" s="342">
        <f t="shared" si="7755"/>
        <v>25.094430033399998</v>
      </c>
      <c r="S918" s="97"/>
      <c r="T918" s="97">
        <f t="shared" si="7756"/>
        <v>0</v>
      </c>
      <c r="U918" s="97"/>
      <c r="V918" s="97">
        <f t="shared" si="7757"/>
        <v>0</v>
      </c>
      <c r="W918" s="97"/>
      <c r="X918" s="97">
        <f t="shared" si="7758"/>
        <v>0</v>
      </c>
      <c r="Y918" s="97">
        <f t="shared" si="7759"/>
        <v>0</v>
      </c>
      <c r="Z918" s="97">
        <f t="shared" si="7760"/>
        <v>0</v>
      </c>
      <c r="AA918" s="97">
        <v>0.5</v>
      </c>
      <c r="AB918" s="97">
        <f t="shared" si="7761"/>
        <v>5.2314001999999995</v>
      </c>
      <c r="AC918" s="97">
        <v>0.154</v>
      </c>
      <c r="AD918" s="97">
        <f t="shared" si="7762"/>
        <v>1.6177795633999998</v>
      </c>
      <c r="AE918" s="97">
        <v>0.5</v>
      </c>
      <c r="AF918" s="97">
        <f t="shared" si="7500"/>
        <v>5.2878130499999996</v>
      </c>
      <c r="AG918" s="97">
        <f t="shared" si="7788"/>
        <v>1.1539999999999999</v>
      </c>
      <c r="AH918" s="97">
        <f t="shared" ref="AH918:AH919" si="7823">SUM(AB918+AD918+AF918)</f>
        <v>12.136992813399999</v>
      </c>
      <c r="AI918" s="97">
        <f t="shared" si="7763"/>
        <v>1.1539999999999999</v>
      </c>
      <c r="AJ918" s="97">
        <f t="shared" si="7764"/>
        <v>12.136992813399999</v>
      </c>
      <c r="AK918" s="97"/>
      <c r="AL918" s="97">
        <f>M918*AK918*$AL$2/1000</f>
        <v>0</v>
      </c>
      <c r="AM918" s="97"/>
      <c r="AN918" s="97">
        <f t="shared" si="7766"/>
        <v>0</v>
      </c>
      <c r="AO918" s="97"/>
      <c r="AP918" s="97">
        <f t="shared" si="7694"/>
        <v>0</v>
      </c>
      <c r="AQ918" s="97">
        <f t="shared" si="7767"/>
        <v>0</v>
      </c>
      <c r="AR918" s="97">
        <f t="shared" si="7768"/>
        <v>0</v>
      </c>
      <c r="AS918" s="97"/>
      <c r="AT918" s="97">
        <f t="shared" si="7769"/>
        <v>0</v>
      </c>
      <c r="AU918" s="97">
        <v>0.5</v>
      </c>
      <c r="AV918" s="97">
        <f t="shared" si="7770"/>
        <v>5.3370544500000001</v>
      </c>
      <c r="AW918" s="97">
        <v>0.7</v>
      </c>
      <c r="AX918" s="97">
        <f t="shared" si="7771"/>
        <v>7.6203827699999991</v>
      </c>
      <c r="AY918" s="97">
        <f t="shared" si="7474"/>
        <v>1.2</v>
      </c>
      <c r="AZ918" s="97">
        <f t="shared" si="7475"/>
        <v>12.957437219999999</v>
      </c>
      <c r="BA918" s="97">
        <f t="shared" si="7476"/>
        <v>1.2</v>
      </c>
      <c r="BB918" s="97">
        <f t="shared" si="7477"/>
        <v>12.957437219999999</v>
      </c>
    </row>
    <row r="919" spans="1:54">
      <c r="A919" s="498">
        <v>650</v>
      </c>
      <c r="B919" s="13"/>
      <c r="C919" s="302"/>
      <c r="D919" s="14" t="s">
        <v>1541</v>
      </c>
      <c r="E919" s="290" t="s">
        <v>1629</v>
      </c>
      <c r="F919" s="46" t="s">
        <v>240</v>
      </c>
      <c r="G919" s="46" t="s">
        <v>1105</v>
      </c>
      <c r="H919" s="268" t="s">
        <v>441</v>
      </c>
      <c r="I919" s="55">
        <v>8.98</v>
      </c>
      <c r="J919" s="163"/>
      <c r="K919" s="55">
        <v>8.98</v>
      </c>
      <c r="L919" s="163"/>
      <c r="M919" s="55">
        <v>8.98</v>
      </c>
      <c r="N919" s="163"/>
      <c r="O919" s="55">
        <v>8.98</v>
      </c>
      <c r="P919" s="163"/>
      <c r="Q919" s="97">
        <f t="shared" si="7754"/>
        <v>0.3</v>
      </c>
      <c r="R919" s="342">
        <f t="shared" si="7755"/>
        <v>3.7491589800000003</v>
      </c>
      <c r="S919" s="97"/>
      <c r="T919" s="97">
        <f t="shared" si="7756"/>
        <v>0</v>
      </c>
      <c r="U919" s="97"/>
      <c r="V919" s="97">
        <f t="shared" si="7757"/>
        <v>0</v>
      </c>
      <c r="W919" s="97"/>
      <c r="X919" s="97">
        <f t="shared" si="7758"/>
        <v>0</v>
      </c>
      <c r="Y919" s="97">
        <f t="shared" si="7759"/>
        <v>0</v>
      </c>
      <c r="Z919" s="97">
        <f t="shared" si="7760"/>
        <v>0</v>
      </c>
      <c r="AA919" s="97"/>
      <c r="AB919" s="97">
        <f t="shared" si="7761"/>
        <v>0</v>
      </c>
      <c r="AC919" s="97"/>
      <c r="AD919" s="97">
        <f t="shared" si="7762"/>
        <v>0</v>
      </c>
      <c r="AE919" s="97"/>
      <c r="AF919" s="97">
        <f t="shared" si="7500"/>
        <v>0</v>
      </c>
      <c r="AG919" s="97">
        <f t="shared" si="7788"/>
        <v>0</v>
      </c>
      <c r="AH919" s="97">
        <f t="shared" si="7823"/>
        <v>0</v>
      </c>
      <c r="AI919" s="97">
        <f t="shared" si="7763"/>
        <v>0</v>
      </c>
      <c r="AJ919" s="97">
        <f t="shared" si="7764"/>
        <v>0</v>
      </c>
      <c r="AK919" s="97"/>
      <c r="AL919" s="97">
        <f>M919*AK919*$AL$2/1000</f>
        <v>0</v>
      </c>
      <c r="AM919" s="97"/>
      <c r="AN919" s="97">
        <f t="shared" si="7766"/>
        <v>0</v>
      </c>
      <c r="AO919" s="97"/>
      <c r="AP919" s="97">
        <f t="shared" si="7694"/>
        <v>0</v>
      </c>
      <c r="AQ919" s="97">
        <f t="shared" si="7767"/>
        <v>0</v>
      </c>
      <c r="AR919" s="97">
        <f t="shared" si="7768"/>
        <v>0</v>
      </c>
      <c r="AS919" s="97"/>
      <c r="AT919" s="97">
        <f t="shared" si="7769"/>
        <v>0</v>
      </c>
      <c r="AU919" s="97">
        <v>0.3</v>
      </c>
      <c r="AV919" s="97">
        <f t="shared" si="7770"/>
        <v>3.7491589800000003</v>
      </c>
      <c r="AW919" s="97"/>
      <c r="AX919" s="97">
        <f t="shared" si="7771"/>
        <v>0</v>
      </c>
      <c r="AY919" s="97">
        <f t="shared" si="7474"/>
        <v>0.3</v>
      </c>
      <c r="AZ919" s="97">
        <f t="shared" si="7475"/>
        <v>3.7491589800000003</v>
      </c>
      <c r="BA919" s="97">
        <f t="shared" si="7476"/>
        <v>0.3</v>
      </c>
      <c r="BB919" s="97">
        <f t="shared" si="7477"/>
        <v>3.7491589800000003</v>
      </c>
    </row>
    <row r="920" spans="1:54" s="6" customFormat="1">
      <c r="A920" s="498">
        <v>648</v>
      </c>
      <c r="B920" s="14"/>
      <c r="C920" s="338"/>
      <c r="D920" s="14" t="s">
        <v>1541</v>
      </c>
      <c r="E920" s="290" t="s">
        <v>1536</v>
      </c>
      <c r="F920" s="512" t="s">
        <v>240</v>
      </c>
      <c r="G920" s="512" t="s">
        <v>1105</v>
      </c>
      <c r="H920" s="452" t="s">
        <v>441</v>
      </c>
      <c r="I920" s="431">
        <v>8.98</v>
      </c>
      <c r="J920" s="499"/>
      <c r="K920" s="431">
        <v>8.98</v>
      </c>
      <c r="L920" s="499"/>
      <c r="M920" s="431">
        <v>8.98</v>
      </c>
      <c r="N920" s="499"/>
      <c r="O920" s="431">
        <v>8.67</v>
      </c>
      <c r="P920" s="499"/>
      <c r="Q920" s="434">
        <f t="shared" ref="Q920:Q940" si="7824">SUM(AI920+BA920)</f>
        <v>17.679000000000002</v>
      </c>
      <c r="R920" s="455">
        <f t="shared" ref="R920:R940" si="7825">SUM(AJ920+BB920)</f>
        <v>214.01797851040001</v>
      </c>
      <c r="S920" s="434">
        <v>4.4000000000000004</v>
      </c>
      <c r="T920" s="434">
        <f t="shared" ref="T920:T940" si="7826">I920*S920*$T$2/1000</f>
        <v>52.230517680000013</v>
      </c>
      <c r="U920" s="434"/>
      <c r="V920" s="434">
        <f t="shared" ref="V920:V940" si="7827">I920*U920*$V$2/1000</f>
        <v>0</v>
      </c>
      <c r="W920" s="434"/>
      <c r="X920" s="434">
        <f t="shared" ref="X920:X940" si="7828">I920*W920*$X$2/1000</f>
        <v>0</v>
      </c>
      <c r="Y920" s="434">
        <f t="shared" ref="Y920:Y940" si="7829">SUM(S920+U920+W920)</f>
        <v>4.4000000000000004</v>
      </c>
      <c r="Z920" s="434">
        <f t="shared" ref="Z920:Z940" si="7830">SUM(T920+V920+X920)</f>
        <v>52.230517680000013</v>
      </c>
      <c r="AA920" s="434">
        <v>5.2789999999999999</v>
      </c>
      <c r="AB920" s="434">
        <f t="shared" ref="AB920:AB927" si="7831">K920*AA920*$AB$2/1000</f>
        <v>64.666681530399998</v>
      </c>
      <c r="AC920" s="434">
        <v>3</v>
      </c>
      <c r="AD920" s="434">
        <f t="shared" ref="AD920:AD940" si="7832">K920*AC920*$AD$2/1000</f>
        <v>36.897832200000003</v>
      </c>
      <c r="AE920" s="434"/>
      <c r="AF920" s="131">
        <f t="shared" ref="AF920:AF938" si="7833">K920*AE920*$AF$2/1000</f>
        <v>0</v>
      </c>
      <c r="AG920" s="434">
        <f t="shared" si="7788"/>
        <v>8.2789999999999999</v>
      </c>
      <c r="AH920" s="434">
        <f>SUM(AB920+AD920+AF920)</f>
        <v>101.56451373039999</v>
      </c>
      <c r="AI920" s="434">
        <f t="shared" ref="AI920:AI940" si="7834">SUM(Y920+AG920)</f>
        <v>12.679</v>
      </c>
      <c r="AJ920" s="434">
        <f t="shared" ref="AJ920:AJ940" si="7835">SUM(Z920,AH920)</f>
        <v>153.79503141040001</v>
      </c>
      <c r="AK920" s="434"/>
      <c r="AL920" s="434">
        <f t="shared" ref="AL920:AL931" si="7836">M920*AK920*$AL$2/1000</f>
        <v>0</v>
      </c>
      <c r="AM920" s="434"/>
      <c r="AN920" s="434">
        <f t="shared" ref="AN920:AN927" si="7837">M920*AM920*$AN$2/1000</f>
        <v>0</v>
      </c>
      <c r="AO920" s="434"/>
      <c r="AP920" s="434">
        <f t="shared" ref="AP920:AP940" si="7838">M920*AO920*$AP$2/1000</f>
        <v>0</v>
      </c>
      <c r="AQ920" s="434">
        <f t="shared" ref="AQ920:AQ940" si="7839">SUM(AK920+AM920+AO920)</f>
        <v>0</v>
      </c>
      <c r="AR920" s="434">
        <f t="shared" ref="AR920:AR940" si="7840">SUM(AL920+AN920+AP920)</f>
        <v>0</v>
      </c>
      <c r="AS920" s="434">
        <v>2</v>
      </c>
      <c r="AT920" s="434">
        <f t="shared" ref="AT920:AT940" si="7841">O920*AS920*$AT$2/1000</f>
        <v>23.545985999999999</v>
      </c>
      <c r="AU920" s="434">
        <v>1</v>
      </c>
      <c r="AV920" s="434">
        <f t="shared" ref="AV920:AV940" si="7842">O920*AU920*$AV$2/1000</f>
        <v>12.065778900000002</v>
      </c>
      <c r="AW920" s="434">
        <v>2</v>
      </c>
      <c r="AX920" s="434">
        <f t="shared" ref="AX920:AX940" si="7843">O920*AW920*$AX$2/1000</f>
        <v>24.611182199999998</v>
      </c>
      <c r="AY920" s="434">
        <f t="shared" ref="AY920:AY940" si="7844">SUM(AS920+AU920+AW920)</f>
        <v>5</v>
      </c>
      <c r="AZ920" s="434">
        <f t="shared" ref="AZ920:AZ940" si="7845">SUM(AT920+AV920+AX920)</f>
        <v>60.222947099999999</v>
      </c>
      <c r="BA920" s="434">
        <f t="shared" ref="BA920:BA940" si="7846">SUM(AQ920+AY920)</f>
        <v>5</v>
      </c>
      <c r="BB920" s="434">
        <f t="shared" ref="BB920:BB940" si="7847">SUM(AR920,AZ920)</f>
        <v>60.222947099999999</v>
      </c>
    </row>
    <row r="921" spans="1:54">
      <c r="A921" s="498">
        <v>650</v>
      </c>
      <c r="B921" s="13"/>
      <c r="C921" s="302"/>
      <c r="D921" s="14" t="s">
        <v>1541</v>
      </c>
      <c r="E921" s="21" t="s">
        <v>2375</v>
      </c>
      <c r="F921" s="46" t="s">
        <v>240</v>
      </c>
      <c r="G921" s="46" t="s">
        <v>1105</v>
      </c>
      <c r="H921" s="268" t="s">
        <v>366</v>
      </c>
      <c r="I921" s="55"/>
      <c r="J921" s="163"/>
      <c r="K921" s="55"/>
      <c r="L921" s="163"/>
      <c r="M921" s="55"/>
      <c r="N921" s="163"/>
      <c r="O921" s="55">
        <v>8.67</v>
      </c>
      <c r="P921" s="163"/>
      <c r="Q921" s="97">
        <f t="shared" si="7824"/>
        <v>0.1</v>
      </c>
      <c r="R921" s="342">
        <f t="shared" si="7825"/>
        <v>1.23055911</v>
      </c>
      <c r="S921" s="97"/>
      <c r="T921" s="97">
        <f t="shared" si="7826"/>
        <v>0</v>
      </c>
      <c r="U921" s="97"/>
      <c r="V921" s="97">
        <f t="shared" si="7827"/>
        <v>0</v>
      </c>
      <c r="W921" s="97"/>
      <c r="X921" s="97">
        <f t="shared" si="7828"/>
        <v>0</v>
      </c>
      <c r="Y921" s="97">
        <f t="shared" si="7829"/>
        <v>0</v>
      </c>
      <c r="Z921" s="97">
        <f t="shared" si="7830"/>
        <v>0</v>
      </c>
      <c r="AA921" s="97"/>
      <c r="AB921" s="97">
        <f t="shared" si="7831"/>
        <v>0</v>
      </c>
      <c r="AC921" s="97"/>
      <c r="AD921" s="97">
        <f t="shared" si="7832"/>
        <v>0</v>
      </c>
      <c r="AE921" s="97"/>
      <c r="AF921" s="97">
        <f t="shared" si="7833"/>
        <v>0</v>
      </c>
      <c r="AG921" s="97">
        <f>SUM(AA921+AC921+AE921)</f>
        <v>0</v>
      </c>
      <c r="AH921" s="97">
        <f t="shared" ref="AH921" si="7848">SUM(AB921+AD921+AF921)</f>
        <v>0</v>
      </c>
      <c r="AI921" s="97">
        <f t="shared" si="7834"/>
        <v>0</v>
      </c>
      <c r="AJ921" s="97">
        <f t="shared" si="7835"/>
        <v>0</v>
      </c>
      <c r="AK921" s="97"/>
      <c r="AL921" s="97">
        <f t="shared" ref="AL921:AL928" si="7849">M921*AK921*$AL$2/1000</f>
        <v>0</v>
      </c>
      <c r="AM921" s="97"/>
      <c r="AN921" s="97">
        <f t="shared" si="7837"/>
        <v>0</v>
      </c>
      <c r="AO921" s="97"/>
      <c r="AP921" s="97">
        <f t="shared" si="7838"/>
        <v>0</v>
      </c>
      <c r="AQ921" s="97">
        <f t="shared" si="7839"/>
        <v>0</v>
      </c>
      <c r="AR921" s="97">
        <f t="shared" si="7840"/>
        <v>0</v>
      </c>
      <c r="AS921" s="97"/>
      <c r="AT921" s="97">
        <f t="shared" si="7841"/>
        <v>0</v>
      </c>
      <c r="AU921" s="97"/>
      <c r="AV921" s="97">
        <f t="shared" si="7842"/>
        <v>0</v>
      </c>
      <c r="AW921" s="97">
        <v>0.1</v>
      </c>
      <c r="AX921" s="97">
        <f t="shared" si="7843"/>
        <v>1.23055911</v>
      </c>
      <c r="AY921" s="97">
        <f t="shared" si="7844"/>
        <v>0.1</v>
      </c>
      <c r="AZ921" s="97">
        <f t="shared" si="7845"/>
        <v>1.23055911</v>
      </c>
      <c r="BA921" s="97">
        <f t="shared" si="7846"/>
        <v>0.1</v>
      </c>
      <c r="BB921" s="97">
        <f t="shared" si="7847"/>
        <v>1.23055911</v>
      </c>
    </row>
    <row r="922" spans="1:54">
      <c r="A922" s="498">
        <v>650</v>
      </c>
      <c r="B922" s="13"/>
      <c r="C922" s="302"/>
      <c r="D922" s="14" t="s">
        <v>1541</v>
      </c>
      <c r="E922" s="290" t="s">
        <v>1595</v>
      </c>
      <c r="F922" s="46" t="s">
        <v>240</v>
      </c>
      <c r="G922" s="46" t="s">
        <v>1105</v>
      </c>
      <c r="H922" s="268" t="s">
        <v>366</v>
      </c>
      <c r="I922" s="55">
        <v>8.98</v>
      </c>
      <c r="J922" s="163"/>
      <c r="K922" s="55">
        <v>8.98</v>
      </c>
      <c r="L922" s="163"/>
      <c r="M922" s="55">
        <v>8.98</v>
      </c>
      <c r="N922" s="163"/>
      <c r="O922" s="55">
        <v>8.98</v>
      </c>
      <c r="P922" s="163"/>
      <c r="Q922" s="97">
        <f t="shared" si="7824"/>
        <v>2.0790000000000002</v>
      </c>
      <c r="R922" s="342">
        <f t="shared" si="7825"/>
        <v>25.116125631000003</v>
      </c>
      <c r="S922" s="97"/>
      <c r="T922" s="97">
        <f t="shared" si="7826"/>
        <v>0</v>
      </c>
      <c r="U922" s="97">
        <v>0.3</v>
      </c>
      <c r="V922" s="97">
        <f t="shared" si="7827"/>
        <v>3.5840976000000002</v>
      </c>
      <c r="W922" s="97">
        <v>0.99399999999999999</v>
      </c>
      <c r="X922" s="97">
        <f t="shared" si="7828"/>
        <v>11.877095272</v>
      </c>
      <c r="Y922" s="97">
        <f t="shared" si="7829"/>
        <v>1.294</v>
      </c>
      <c r="Z922" s="97">
        <f t="shared" si="7830"/>
        <v>15.461192872</v>
      </c>
      <c r="AA922" s="97"/>
      <c r="AB922" s="97">
        <f t="shared" si="7831"/>
        <v>0</v>
      </c>
      <c r="AC922" s="97">
        <v>0.78500000000000003</v>
      </c>
      <c r="AD922" s="97">
        <f t="shared" si="7832"/>
        <v>9.6549327590000011</v>
      </c>
      <c r="AE922" s="97"/>
      <c r="AF922" s="97">
        <f t="shared" si="7833"/>
        <v>0</v>
      </c>
      <c r="AG922" s="97">
        <f t="shared" si="7788"/>
        <v>0.78500000000000003</v>
      </c>
      <c r="AH922" s="97">
        <f t="shared" ref="AH922:AH927" si="7850">SUM(AB922+AD922+AF922)</f>
        <v>9.6549327590000011</v>
      </c>
      <c r="AI922" s="97">
        <f t="shared" si="7834"/>
        <v>2.0790000000000002</v>
      </c>
      <c r="AJ922" s="97">
        <f t="shared" si="7835"/>
        <v>25.116125631000003</v>
      </c>
      <c r="AK922" s="97"/>
      <c r="AL922" s="97">
        <f t="shared" si="7849"/>
        <v>0</v>
      </c>
      <c r="AM922" s="97"/>
      <c r="AN922" s="97">
        <f t="shared" si="7837"/>
        <v>0</v>
      </c>
      <c r="AO922" s="97"/>
      <c r="AP922" s="97">
        <f t="shared" si="7838"/>
        <v>0</v>
      </c>
      <c r="AQ922" s="97">
        <f t="shared" si="7839"/>
        <v>0</v>
      </c>
      <c r="AR922" s="97">
        <f t="shared" si="7840"/>
        <v>0</v>
      </c>
      <c r="AS922" s="97"/>
      <c r="AT922" s="97">
        <f t="shared" si="7841"/>
        <v>0</v>
      </c>
      <c r="AU922" s="97"/>
      <c r="AV922" s="97">
        <f t="shared" si="7842"/>
        <v>0</v>
      </c>
      <c r="AW922" s="97"/>
      <c r="AX922" s="97">
        <f t="shared" si="7843"/>
        <v>0</v>
      </c>
      <c r="AY922" s="97">
        <f t="shared" si="7844"/>
        <v>0</v>
      </c>
      <c r="AZ922" s="97">
        <f t="shared" si="7845"/>
        <v>0</v>
      </c>
      <c r="BA922" s="97">
        <f t="shared" si="7846"/>
        <v>0</v>
      </c>
      <c r="BB922" s="97">
        <f t="shared" si="7847"/>
        <v>0</v>
      </c>
    </row>
    <row r="923" spans="1:54">
      <c r="A923" s="498">
        <v>650</v>
      </c>
      <c r="B923" s="13"/>
      <c r="C923" s="302"/>
      <c r="D923" s="14" t="s">
        <v>1541</v>
      </c>
      <c r="E923" s="290" t="s">
        <v>1675</v>
      </c>
      <c r="F923" s="46" t="s">
        <v>240</v>
      </c>
      <c r="G923" s="46" t="s">
        <v>1105</v>
      </c>
      <c r="H923" s="268" t="s">
        <v>441</v>
      </c>
      <c r="I923" s="55">
        <v>8.98</v>
      </c>
      <c r="J923" s="163"/>
      <c r="K923" s="55">
        <v>8.98</v>
      </c>
      <c r="L923" s="163"/>
      <c r="M923" s="55">
        <v>8.98</v>
      </c>
      <c r="N923" s="163"/>
      <c r="O923" s="55">
        <v>8.98</v>
      </c>
      <c r="P923" s="163"/>
      <c r="Q923" s="97">
        <f t="shared" si="7824"/>
        <v>0</v>
      </c>
      <c r="R923" s="342">
        <f t="shared" si="7825"/>
        <v>0</v>
      </c>
      <c r="S923" s="97"/>
      <c r="T923" s="97">
        <f t="shared" si="7826"/>
        <v>0</v>
      </c>
      <c r="U923" s="97"/>
      <c r="V923" s="97">
        <f t="shared" si="7827"/>
        <v>0</v>
      </c>
      <c r="W923" s="97"/>
      <c r="X923" s="97">
        <f t="shared" si="7828"/>
        <v>0</v>
      </c>
      <c r="Y923" s="97">
        <f t="shared" si="7829"/>
        <v>0</v>
      </c>
      <c r="Z923" s="97">
        <f t="shared" si="7830"/>
        <v>0</v>
      </c>
      <c r="AA923" s="97"/>
      <c r="AB923" s="97">
        <f t="shared" si="7831"/>
        <v>0</v>
      </c>
      <c r="AC923" s="97"/>
      <c r="AD923" s="97">
        <f t="shared" si="7832"/>
        <v>0</v>
      </c>
      <c r="AE923" s="97"/>
      <c r="AF923" s="97">
        <f t="shared" si="7833"/>
        <v>0</v>
      </c>
      <c r="AG923" s="97">
        <f t="shared" ref="AG923:AG924" si="7851">SUM(AA923+AC923+AE923)</f>
        <v>0</v>
      </c>
      <c r="AH923" s="97">
        <f t="shared" si="7850"/>
        <v>0</v>
      </c>
      <c r="AI923" s="97">
        <f t="shared" si="7834"/>
        <v>0</v>
      </c>
      <c r="AJ923" s="97">
        <f t="shared" si="7835"/>
        <v>0</v>
      </c>
      <c r="AK923" s="97"/>
      <c r="AL923" s="97">
        <f t="shared" si="7849"/>
        <v>0</v>
      </c>
      <c r="AM923" s="97"/>
      <c r="AN923" s="97">
        <f t="shared" si="7837"/>
        <v>0</v>
      </c>
      <c r="AO923" s="97"/>
      <c r="AP923" s="97">
        <f t="shared" si="7838"/>
        <v>0</v>
      </c>
      <c r="AQ923" s="97">
        <f t="shared" si="7839"/>
        <v>0</v>
      </c>
      <c r="AR923" s="97">
        <f t="shared" si="7840"/>
        <v>0</v>
      </c>
      <c r="AS923" s="97"/>
      <c r="AT923" s="97">
        <f t="shared" si="7841"/>
        <v>0</v>
      </c>
      <c r="AU923" s="97"/>
      <c r="AV923" s="97">
        <f t="shared" si="7842"/>
        <v>0</v>
      </c>
      <c r="AW923" s="97"/>
      <c r="AX923" s="97">
        <f t="shared" si="7843"/>
        <v>0</v>
      </c>
      <c r="AY923" s="97">
        <f t="shared" si="7844"/>
        <v>0</v>
      </c>
      <c r="AZ923" s="97">
        <f t="shared" si="7845"/>
        <v>0</v>
      </c>
      <c r="BA923" s="97">
        <f t="shared" si="7846"/>
        <v>0</v>
      </c>
      <c r="BB923" s="97">
        <f t="shared" si="7847"/>
        <v>0</v>
      </c>
    </row>
    <row r="924" spans="1:54">
      <c r="A924" s="498">
        <v>650</v>
      </c>
      <c r="B924" s="13"/>
      <c r="C924" s="302"/>
      <c r="D924" s="14" t="s">
        <v>1541</v>
      </c>
      <c r="E924" s="290" t="s">
        <v>1743</v>
      </c>
      <c r="F924" s="46" t="s">
        <v>240</v>
      </c>
      <c r="G924" s="46" t="s">
        <v>1105</v>
      </c>
      <c r="H924" s="268" t="s">
        <v>441</v>
      </c>
      <c r="I924" s="55">
        <v>9.1199999999999992</v>
      </c>
      <c r="J924" s="163"/>
      <c r="K924" s="55">
        <v>9.1199999999999992</v>
      </c>
      <c r="L924" s="163"/>
      <c r="M924" s="55">
        <v>9.1199999999999992</v>
      </c>
      <c r="N924" s="163"/>
      <c r="O924" s="55">
        <v>9.1199999999999992</v>
      </c>
      <c r="P924" s="163"/>
      <c r="Q924" s="97">
        <f t="shared" si="7824"/>
        <v>0.11</v>
      </c>
      <c r="R924" s="342">
        <f t="shared" si="7825"/>
        <v>1.3348579199999997</v>
      </c>
      <c r="S924" s="97"/>
      <c r="T924" s="97">
        <f t="shared" si="7826"/>
        <v>0</v>
      </c>
      <c r="U924" s="97"/>
      <c r="V924" s="97">
        <f t="shared" si="7827"/>
        <v>0</v>
      </c>
      <c r="W924" s="97">
        <v>0.11</v>
      </c>
      <c r="X924" s="97">
        <f t="shared" si="7828"/>
        <v>1.3348579199999997</v>
      </c>
      <c r="Y924" s="97">
        <f t="shared" si="7829"/>
        <v>0.11</v>
      </c>
      <c r="Z924" s="97">
        <f t="shared" si="7830"/>
        <v>1.3348579199999997</v>
      </c>
      <c r="AA924" s="97"/>
      <c r="AB924" s="97">
        <f t="shared" si="7831"/>
        <v>0</v>
      </c>
      <c r="AC924" s="97"/>
      <c r="AD924" s="97">
        <f t="shared" si="7832"/>
        <v>0</v>
      </c>
      <c r="AE924" s="97"/>
      <c r="AF924" s="97">
        <f t="shared" si="7833"/>
        <v>0</v>
      </c>
      <c r="AG924" s="97">
        <f t="shared" si="7851"/>
        <v>0</v>
      </c>
      <c r="AH924" s="97">
        <f t="shared" si="7850"/>
        <v>0</v>
      </c>
      <c r="AI924" s="97">
        <f t="shared" si="7834"/>
        <v>0.11</v>
      </c>
      <c r="AJ924" s="97">
        <f t="shared" si="7835"/>
        <v>1.3348579199999997</v>
      </c>
      <c r="AK924" s="97"/>
      <c r="AL924" s="97">
        <f t="shared" si="7849"/>
        <v>0</v>
      </c>
      <c r="AM924" s="97"/>
      <c r="AN924" s="97">
        <f t="shared" si="7837"/>
        <v>0</v>
      </c>
      <c r="AO924" s="97"/>
      <c r="AP924" s="97">
        <f t="shared" si="7838"/>
        <v>0</v>
      </c>
      <c r="AQ924" s="97">
        <f t="shared" si="7839"/>
        <v>0</v>
      </c>
      <c r="AR924" s="97">
        <f t="shared" si="7840"/>
        <v>0</v>
      </c>
      <c r="AS924" s="97"/>
      <c r="AT924" s="97">
        <f t="shared" si="7841"/>
        <v>0</v>
      </c>
      <c r="AU924" s="97"/>
      <c r="AV924" s="97">
        <f t="shared" si="7842"/>
        <v>0</v>
      </c>
      <c r="AW924" s="97"/>
      <c r="AX924" s="97">
        <f t="shared" si="7843"/>
        <v>0</v>
      </c>
      <c r="AY924" s="97">
        <f t="shared" si="7844"/>
        <v>0</v>
      </c>
      <c r="AZ924" s="97">
        <f t="shared" si="7845"/>
        <v>0</v>
      </c>
      <c r="BA924" s="97">
        <f t="shared" si="7846"/>
        <v>0</v>
      </c>
      <c r="BB924" s="97">
        <f t="shared" si="7847"/>
        <v>0</v>
      </c>
    </row>
    <row r="925" spans="1:54">
      <c r="A925" s="498">
        <v>650</v>
      </c>
      <c r="B925" s="13"/>
      <c r="C925" s="302"/>
      <c r="D925" s="14" t="s">
        <v>1541</v>
      </c>
      <c r="E925" s="290" t="s">
        <v>1744</v>
      </c>
      <c r="F925" s="46" t="s">
        <v>240</v>
      </c>
      <c r="G925" s="46" t="s">
        <v>1105</v>
      </c>
      <c r="H925" s="268" t="s">
        <v>441</v>
      </c>
      <c r="I925" s="55">
        <v>9.1199999999999992</v>
      </c>
      <c r="J925" s="163"/>
      <c r="K925" s="55">
        <v>9.1199999999999992</v>
      </c>
      <c r="L925" s="163"/>
      <c r="M925" s="55">
        <v>9.1199999999999992</v>
      </c>
      <c r="N925" s="163"/>
      <c r="O925" s="55">
        <v>9.1199999999999992</v>
      </c>
      <c r="P925" s="163"/>
      <c r="Q925" s="97">
        <f t="shared" ref="Q925" si="7852">SUM(AI925+BA925)</f>
        <v>0.39</v>
      </c>
      <c r="R925" s="342">
        <f t="shared" ref="R925" si="7853">SUM(AJ925+BB925)</f>
        <v>4.7326780799999995</v>
      </c>
      <c r="S925" s="97"/>
      <c r="T925" s="97">
        <f t="shared" ref="T925" si="7854">I925*S925*$T$2/1000</f>
        <v>0</v>
      </c>
      <c r="U925" s="97"/>
      <c r="V925" s="97">
        <f t="shared" ref="V925" si="7855">I925*U925*$V$2/1000</f>
        <v>0</v>
      </c>
      <c r="W925" s="97">
        <v>0.39</v>
      </c>
      <c r="X925" s="97">
        <f t="shared" ref="X925" si="7856">I925*W925*$X$2/1000</f>
        <v>4.7326780799999995</v>
      </c>
      <c r="Y925" s="97">
        <f t="shared" ref="Y925" si="7857">SUM(S925+U925+W925)</f>
        <v>0.39</v>
      </c>
      <c r="Z925" s="97">
        <f t="shared" ref="Z925" si="7858">SUM(T925+V925+X925)</f>
        <v>4.7326780799999995</v>
      </c>
      <c r="AA925" s="97"/>
      <c r="AB925" s="97">
        <f t="shared" ref="AB925" si="7859">K925*AA925*$AB$2/1000</f>
        <v>0</v>
      </c>
      <c r="AC925" s="97"/>
      <c r="AD925" s="97">
        <f t="shared" ref="AD925" si="7860">K925*AC925*$AD$2/1000</f>
        <v>0</v>
      </c>
      <c r="AE925" s="97"/>
      <c r="AF925" s="97">
        <f t="shared" ref="AF925" si="7861">K925*AE925*$AF$2/1000</f>
        <v>0</v>
      </c>
      <c r="AG925" s="97">
        <f t="shared" ref="AG925" si="7862">SUM(AA925+AC925+AE925)</f>
        <v>0</v>
      </c>
      <c r="AH925" s="97">
        <f>SUM(AB925+AD925+AF925)</f>
        <v>0</v>
      </c>
      <c r="AI925" s="97">
        <f t="shared" ref="AI925" si="7863">SUM(Y925+AG925)</f>
        <v>0.39</v>
      </c>
      <c r="AJ925" s="97">
        <f t="shared" ref="AJ925" si="7864">SUM(Z925,AH925)</f>
        <v>4.7326780799999995</v>
      </c>
      <c r="AK925" s="97"/>
      <c r="AL925" s="97">
        <f t="shared" si="7849"/>
        <v>0</v>
      </c>
      <c r="AM925" s="97"/>
      <c r="AN925" s="97">
        <f t="shared" ref="AN925" si="7865">M925*AM925*$AN$2/1000</f>
        <v>0</v>
      </c>
      <c r="AO925" s="97"/>
      <c r="AP925" s="97">
        <f t="shared" ref="AP925" si="7866">M925*AO925*$AP$2/1000</f>
        <v>0</v>
      </c>
      <c r="AQ925" s="97">
        <f t="shared" ref="AQ925" si="7867">SUM(AK925+AM925+AO925)</f>
        <v>0</v>
      </c>
      <c r="AR925" s="97">
        <f t="shared" ref="AR925" si="7868">SUM(AL925+AN925+AP925)</f>
        <v>0</v>
      </c>
      <c r="AS925" s="97"/>
      <c r="AT925" s="97">
        <f t="shared" ref="AT925" si="7869">O925*AS925*$AT$2/1000</f>
        <v>0</v>
      </c>
      <c r="AU925" s="97"/>
      <c r="AV925" s="97">
        <f t="shared" ref="AV925" si="7870">O925*AU925*$AV$2/1000</f>
        <v>0</v>
      </c>
      <c r="AW925" s="97"/>
      <c r="AX925" s="97">
        <f t="shared" ref="AX925" si="7871">O925*AW925*$AX$2/1000</f>
        <v>0</v>
      </c>
      <c r="AY925" s="97">
        <f t="shared" ref="AY925" si="7872">SUM(AS925+AU925+AW925)</f>
        <v>0</v>
      </c>
      <c r="AZ925" s="97">
        <f t="shared" ref="AZ925" si="7873">SUM(AT925+AV925+AX925)</f>
        <v>0</v>
      </c>
      <c r="BA925" s="97">
        <f t="shared" ref="BA925" si="7874">SUM(AQ925+AY925)</f>
        <v>0</v>
      </c>
      <c r="BB925" s="97">
        <f t="shared" ref="BB925" si="7875">SUM(AR925,AZ925)</f>
        <v>0</v>
      </c>
    </row>
    <row r="926" spans="1:54">
      <c r="A926" s="498">
        <v>650</v>
      </c>
      <c r="B926" s="13"/>
      <c r="C926" s="302"/>
      <c r="D926" s="14" t="s">
        <v>1541</v>
      </c>
      <c r="E926" s="290" t="s">
        <v>1596</v>
      </c>
      <c r="F926" s="46" t="s">
        <v>240</v>
      </c>
      <c r="G926" s="46" t="s">
        <v>1105</v>
      </c>
      <c r="H926" s="268" t="s">
        <v>366</v>
      </c>
      <c r="I926" s="55">
        <v>10.050000000000001</v>
      </c>
      <c r="J926" s="163"/>
      <c r="K926" s="55">
        <v>10.050000000000001</v>
      </c>
      <c r="L926" s="163"/>
      <c r="M926" s="55">
        <v>10.050000000000001</v>
      </c>
      <c r="N926" s="163"/>
      <c r="O926" s="55">
        <v>10.050000000000001</v>
      </c>
      <c r="P926" s="163"/>
      <c r="Q926" s="97">
        <f t="shared" si="7824"/>
        <v>0</v>
      </c>
      <c r="R926" s="342">
        <f t="shared" si="7825"/>
        <v>0</v>
      </c>
      <c r="S926" s="97"/>
      <c r="T926" s="97">
        <f t="shared" si="7826"/>
        <v>0</v>
      </c>
      <c r="U926" s="97"/>
      <c r="V926" s="97">
        <f t="shared" si="7827"/>
        <v>0</v>
      </c>
      <c r="W926" s="97"/>
      <c r="X926" s="97">
        <f t="shared" si="7828"/>
        <v>0</v>
      </c>
      <c r="Y926" s="97">
        <f t="shared" si="7829"/>
        <v>0</v>
      </c>
      <c r="Z926" s="97">
        <f t="shared" si="7830"/>
        <v>0</v>
      </c>
      <c r="AA926" s="97"/>
      <c r="AB926" s="97">
        <f t="shared" si="7831"/>
        <v>0</v>
      </c>
      <c r="AC926" s="97"/>
      <c r="AD926" s="97">
        <f t="shared" si="7832"/>
        <v>0</v>
      </c>
      <c r="AE926" s="97"/>
      <c r="AF926" s="97">
        <f t="shared" si="7833"/>
        <v>0</v>
      </c>
      <c r="AG926" s="97">
        <f t="shared" si="7788"/>
        <v>0</v>
      </c>
      <c r="AH926" s="97">
        <f t="shared" si="7850"/>
        <v>0</v>
      </c>
      <c r="AI926" s="97">
        <f t="shared" si="7834"/>
        <v>0</v>
      </c>
      <c r="AJ926" s="97">
        <f t="shared" si="7835"/>
        <v>0</v>
      </c>
      <c r="AK926" s="97"/>
      <c r="AL926" s="97">
        <f t="shared" si="7849"/>
        <v>0</v>
      </c>
      <c r="AM926" s="97"/>
      <c r="AN926" s="97">
        <f t="shared" si="7837"/>
        <v>0</v>
      </c>
      <c r="AO926" s="97"/>
      <c r="AP926" s="97">
        <f t="shared" si="7838"/>
        <v>0</v>
      </c>
      <c r="AQ926" s="97">
        <f t="shared" si="7839"/>
        <v>0</v>
      </c>
      <c r="AR926" s="97">
        <f t="shared" si="7840"/>
        <v>0</v>
      </c>
      <c r="AS926" s="97"/>
      <c r="AT926" s="97">
        <f t="shared" si="7841"/>
        <v>0</v>
      </c>
      <c r="AU926" s="97"/>
      <c r="AV926" s="97">
        <f t="shared" si="7842"/>
        <v>0</v>
      </c>
      <c r="AW926" s="97"/>
      <c r="AX926" s="97">
        <f t="shared" si="7843"/>
        <v>0</v>
      </c>
      <c r="AY926" s="97">
        <f t="shared" si="7844"/>
        <v>0</v>
      </c>
      <c r="AZ926" s="97">
        <f t="shared" si="7845"/>
        <v>0</v>
      </c>
      <c r="BA926" s="97">
        <f t="shared" si="7846"/>
        <v>0</v>
      </c>
      <c r="BB926" s="97">
        <f t="shared" si="7847"/>
        <v>0</v>
      </c>
    </row>
    <row r="927" spans="1:54">
      <c r="A927" s="498">
        <v>650</v>
      </c>
      <c r="B927" s="13"/>
      <c r="C927" s="302"/>
      <c r="D927" s="14" t="s">
        <v>1541</v>
      </c>
      <c r="E927" s="290" t="s">
        <v>1597</v>
      </c>
      <c r="F927" s="46" t="s">
        <v>240</v>
      </c>
      <c r="G927" s="46" t="s">
        <v>1105</v>
      </c>
      <c r="H927" s="268" t="s">
        <v>366</v>
      </c>
      <c r="I927" s="55">
        <v>10.050000000000001</v>
      </c>
      <c r="J927" s="163"/>
      <c r="K927" s="55">
        <v>10.050000000000001</v>
      </c>
      <c r="L927" s="163"/>
      <c r="M927" s="55">
        <v>10.050000000000001</v>
      </c>
      <c r="N927" s="163"/>
      <c r="O927" s="55">
        <v>10.050000000000001</v>
      </c>
      <c r="P927" s="163"/>
      <c r="Q927" s="97">
        <f t="shared" si="7824"/>
        <v>0</v>
      </c>
      <c r="R927" s="342">
        <f t="shared" si="7825"/>
        <v>0</v>
      </c>
      <c r="S927" s="97"/>
      <c r="T927" s="97">
        <f t="shared" si="7826"/>
        <v>0</v>
      </c>
      <c r="U927" s="97"/>
      <c r="V927" s="97">
        <f t="shared" si="7827"/>
        <v>0</v>
      </c>
      <c r="W927" s="97"/>
      <c r="X927" s="97">
        <f t="shared" si="7828"/>
        <v>0</v>
      </c>
      <c r="Y927" s="97">
        <f t="shared" si="7829"/>
        <v>0</v>
      </c>
      <c r="Z927" s="97">
        <f t="shared" si="7830"/>
        <v>0</v>
      </c>
      <c r="AA927" s="97"/>
      <c r="AB927" s="97">
        <f t="shared" si="7831"/>
        <v>0</v>
      </c>
      <c r="AC927" s="97"/>
      <c r="AD927" s="97">
        <f t="shared" si="7832"/>
        <v>0</v>
      </c>
      <c r="AE927" s="97"/>
      <c r="AF927" s="97">
        <f t="shared" si="7833"/>
        <v>0</v>
      </c>
      <c r="AG927" s="97">
        <f t="shared" ref="AG927" si="7876">SUM(AA927+AC927+AE927)</f>
        <v>0</v>
      </c>
      <c r="AH927" s="97">
        <f t="shared" si="7850"/>
        <v>0</v>
      </c>
      <c r="AI927" s="97">
        <f t="shared" si="7834"/>
        <v>0</v>
      </c>
      <c r="AJ927" s="97">
        <f t="shared" si="7835"/>
        <v>0</v>
      </c>
      <c r="AK927" s="97"/>
      <c r="AL927" s="97">
        <f t="shared" ref="AL927" si="7877">M927*AK927*$AL$2/1000</f>
        <v>0</v>
      </c>
      <c r="AM927" s="97"/>
      <c r="AN927" s="97">
        <f t="shared" si="7837"/>
        <v>0</v>
      </c>
      <c r="AO927" s="97"/>
      <c r="AP927" s="97">
        <f t="shared" si="7838"/>
        <v>0</v>
      </c>
      <c r="AQ927" s="97">
        <f t="shared" si="7839"/>
        <v>0</v>
      </c>
      <c r="AR927" s="97">
        <f t="shared" si="7840"/>
        <v>0</v>
      </c>
      <c r="AS927" s="97"/>
      <c r="AT927" s="97">
        <f t="shared" si="7841"/>
        <v>0</v>
      </c>
      <c r="AU927" s="97"/>
      <c r="AV927" s="97">
        <f t="shared" si="7842"/>
        <v>0</v>
      </c>
      <c r="AW927" s="97"/>
      <c r="AX927" s="97">
        <f t="shared" si="7843"/>
        <v>0</v>
      </c>
      <c r="AY927" s="97">
        <f t="shared" si="7844"/>
        <v>0</v>
      </c>
      <c r="AZ927" s="97">
        <f t="shared" si="7845"/>
        <v>0</v>
      </c>
      <c r="BA927" s="97">
        <f t="shared" si="7846"/>
        <v>0</v>
      </c>
      <c r="BB927" s="97">
        <f t="shared" si="7847"/>
        <v>0</v>
      </c>
    </row>
    <row r="928" spans="1:54">
      <c r="A928" s="498">
        <v>650</v>
      </c>
      <c r="B928" s="13"/>
      <c r="C928" s="302"/>
      <c r="D928" s="14" t="s">
        <v>1541</v>
      </c>
      <c r="E928" s="290" t="s">
        <v>1798</v>
      </c>
      <c r="F928" s="46" t="s">
        <v>240</v>
      </c>
      <c r="G928" s="46" t="s">
        <v>1105</v>
      </c>
      <c r="H928" s="268" t="s">
        <v>366</v>
      </c>
      <c r="I928" s="55"/>
      <c r="J928" s="163"/>
      <c r="K928" s="55"/>
      <c r="L928" s="163"/>
      <c r="M928" s="55">
        <v>13.14</v>
      </c>
      <c r="N928" s="163"/>
      <c r="O928" s="55">
        <v>13.14</v>
      </c>
      <c r="P928" s="163"/>
      <c r="Q928" s="97">
        <f t="shared" ref="Q928" si="7878">SUM(AI928+BA928)</f>
        <v>0.98899999999999999</v>
      </c>
      <c r="R928" s="342">
        <f t="shared" ref="R928" si="7879">SUM(AJ928+BB928)</f>
        <v>17.973760816799999</v>
      </c>
      <c r="S928" s="97"/>
      <c r="T928" s="97">
        <f t="shared" ref="T928" si="7880">I928*S928*$T$2/1000</f>
        <v>0</v>
      </c>
      <c r="U928" s="97"/>
      <c r="V928" s="97">
        <f t="shared" ref="V928" si="7881">I928*U928*$V$2/1000</f>
        <v>0</v>
      </c>
      <c r="W928" s="97"/>
      <c r="X928" s="97">
        <f t="shared" ref="X928" si="7882">I928*W928*$X$2/1000</f>
        <v>0</v>
      </c>
      <c r="Y928" s="97">
        <f t="shared" ref="Y928" si="7883">SUM(S928+U928+W928)</f>
        <v>0</v>
      </c>
      <c r="Z928" s="97">
        <f t="shared" ref="Z928" si="7884">SUM(T928+V928+X928)</f>
        <v>0</v>
      </c>
      <c r="AA928" s="97"/>
      <c r="AB928" s="97">
        <f t="shared" ref="AB928" si="7885">K928*AA928*$AB$2/1000</f>
        <v>0</v>
      </c>
      <c r="AC928" s="97"/>
      <c r="AD928" s="97">
        <f t="shared" ref="AD928" si="7886">K928*AC928*$AD$2/1000</f>
        <v>0</v>
      </c>
      <c r="AE928" s="97"/>
      <c r="AF928" s="97">
        <f t="shared" ref="AF928" si="7887">K928*AE928*$AF$2/1000</f>
        <v>0</v>
      </c>
      <c r="AG928" s="97">
        <f t="shared" si="7788"/>
        <v>0</v>
      </c>
      <c r="AH928" s="97">
        <f t="shared" ref="AH928" si="7888">SUM(AB928+AD928+AF928)</f>
        <v>0</v>
      </c>
      <c r="AI928" s="97">
        <f t="shared" ref="AI928" si="7889">SUM(Y928+AG928)</f>
        <v>0</v>
      </c>
      <c r="AJ928" s="97">
        <f t="shared" ref="AJ928" si="7890">SUM(Z928,AH928)</f>
        <v>0</v>
      </c>
      <c r="AK928" s="97">
        <v>0.98899999999999999</v>
      </c>
      <c r="AL928" s="97">
        <f t="shared" si="7849"/>
        <v>17.973760816799999</v>
      </c>
      <c r="AM928" s="97"/>
      <c r="AN928" s="97">
        <f t="shared" ref="AN928" si="7891">M928*AM928*$AN$2/1000</f>
        <v>0</v>
      </c>
      <c r="AO928" s="97"/>
      <c r="AP928" s="97">
        <f t="shared" ref="AP928" si="7892">M928*AO928*$AP$2/1000</f>
        <v>0</v>
      </c>
      <c r="AQ928" s="97">
        <f t="shared" ref="AQ928" si="7893">SUM(AK928+AM928+AO928)</f>
        <v>0.98899999999999999</v>
      </c>
      <c r="AR928" s="97">
        <f t="shared" ref="AR928" si="7894">SUM(AL928+AN928+AP928)</f>
        <v>17.973760816799999</v>
      </c>
      <c r="AS928" s="97"/>
      <c r="AT928" s="97">
        <f t="shared" ref="AT928" si="7895">O928*AS928*$AT$2/1000</f>
        <v>0</v>
      </c>
      <c r="AU928" s="97"/>
      <c r="AV928" s="97">
        <f t="shared" ref="AV928" si="7896">O928*AU928*$AV$2/1000</f>
        <v>0</v>
      </c>
      <c r="AW928" s="97"/>
      <c r="AX928" s="97">
        <f t="shared" ref="AX928" si="7897">O928*AW928*$AX$2/1000</f>
        <v>0</v>
      </c>
      <c r="AY928" s="97">
        <f t="shared" ref="AY928" si="7898">SUM(AS928+AU928+AW928)</f>
        <v>0</v>
      </c>
      <c r="AZ928" s="97">
        <f t="shared" ref="AZ928" si="7899">SUM(AT928+AV928+AX928)</f>
        <v>0</v>
      </c>
      <c r="BA928" s="97">
        <f t="shared" ref="BA928" si="7900">SUM(AQ928+AY928)</f>
        <v>0.98899999999999999</v>
      </c>
      <c r="BB928" s="97">
        <f t="shared" ref="BB928" si="7901">SUM(AR928,AZ928)</f>
        <v>17.973760816799999</v>
      </c>
    </row>
    <row r="929" spans="1:54">
      <c r="A929" s="498">
        <v>649</v>
      </c>
      <c r="B929" s="13"/>
      <c r="C929" s="302"/>
      <c r="D929" s="13" t="s">
        <v>1540</v>
      </c>
      <c r="E929" s="21" t="s">
        <v>1537</v>
      </c>
      <c r="F929" s="46" t="s">
        <v>375</v>
      </c>
      <c r="G929" s="46" t="s">
        <v>1105</v>
      </c>
      <c r="H929" s="268" t="s">
        <v>366</v>
      </c>
      <c r="I929" s="55">
        <v>10.050000000000001</v>
      </c>
      <c r="J929" s="163"/>
      <c r="K929" s="55">
        <v>10.050000000000001</v>
      </c>
      <c r="L929" s="163"/>
      <c r="M929" s="55">
        <v>10.050000000000001</v>
      </c>
      <c r="N929" s="163"/>
      <c r="O929" s="55">
        <v>10.050000000000001</v>
      </c>
      <c r="P929" s="163"/>
      <c r="Q929" s="97">
        <f t="shared" si="7824"/>
        <v>105.53999999999999</v>
      </c>
      <c r="R929" s="342">
        <f t="shared" si="7825"/>
        <v>1438.0924367399998</v>
      </c>
      <c r="S929" s="97">
        <v>15</v>
      </c>
      <c r="T929" s="97">
        <f t="shared" si="7826"/>
        <v>199.27491750000002</v>
      </c>
      <c r="U929" s="97">
        <v>15</v>
      </c>
      <c r="V929" s="97">
        <f t="shared" si="7827"/>
        <v>200.55780000000001</v>
      </c>
      <c r="W929" s="97">
        <v>15</v>
      </c>
      <c r="X929" s="97">
        <f t="shared" si="7828"/>
        <v>200.58794999999998</v>
      </c>
      <c r="Y929" s="97">
        <f t="shared" si="7829"/>
        <v>45</v>
      </c>
      <c r="Z929" s="97">
        <f t="shared" si="7830"/>
        <v>600.42066750000004</v>
      </c>
      <c r="AA929" s="97">
        <v>20.54</v>
      </c>
      <c r="AB929" s="97">
        <f>K929*AA929*$AB$2/1000</f>
        <v>281.59119923999998</v>
      </c>
      <c r="AC929" s="97">
        <v>10</v>
      </c>
      <c r="AD929" s="97">
        <f t="shared" si="7832"/>
        <v>137.64781500000001</v>
      </c>
      <c r="AE929" s="97"/>
      <c r="AF929" s="97">
        <f t="shared" si="7833"/>
        <v>0</v>
      </c>
      <c r="AG929" s="97">
        <f t="shared" ref="AG929" si="7902">SUM(AA929+AC929+AE929)</f>
        <v>30.54</v>
      </c>
      <c r="AH929" s="97">
        <f t="shared" ref="AH929:AH938" si="7903">SUM(AB929+AD929+AF929)</f>
        <v>419.23901423999996</v>
      </c>
      <c r="AI929" s="97">
        <f t="shared" si="7834"/>
        <v>75.539999999999992</v>
      </c>
      <c r="AJ929" s="97">
        <f t="shared" si="7835"/>
        <v>1019.65968174</v>
      </c>
      <c r="AK929" s="97">
        <v>10</v>
      </c>
      <c r="AL929" s="97">
        <f t="shared" si="7836"/>
        <v>138.99953999999997</v>
      </c>
      <c r="AM929" s="97">
        <v>10</v>
      </c>
      <c r="AN929" s="97">
        <f>M929*AM929*$AN$2/1000</f>
        <v>136.79055</v>
      </c>
      <c r="AO929" s="97"/>
      <c r="AP929" s="97">
        <f t="shared" si="7838"/>
        <v>0</v>
      </c>
      <c r="AQ929" s="97">
        <f t="shared" si="7839"/>
        <v>20</v>
      </c>
      <c r="AR929" s="97">
        <f t="shared" si="7840"/>
        <v>275.79008999999996</v>
      </c>
      <c r="AS929" s="97"/>
      <c r="AT929" s="97">
        <f t="shared" si="7841"/>
        <v>0</v>
      </c>
      <c r="AU929" s="97"/>
      <c r="AV929" s="97">
        <f t="shared" si="7842"/>
        <v>0</v>
      </c>
      <c r="AW929" s="97">
        <v>10</v>
      </c>
      <c r="AX929" s="97">
        <f t="shared" si="7843"/>
        <v>142.64266499999997</v>
      </c>
      <c r="AY929" s="97">
        <f t="shared" si="7844"/>
        <v>10</v>
      </c>
      <c r="AZ929" s="97">
        <f t="shared" si="7845"/>
        <v>142.64266499999997</v>
      </c>
      <c r="BA929" s="97">
        <f t="shared" si="7846"/>
        <v>30</v>
      </c>
      <c r="BB929" s="97">
        <f t="shared" si="7847"/>
        <v>418.43275499999993</v>
      </c>
    </row>
    <row r="930" spans="1:54">
      <c r="A930" s="498">
        <v>650</v>
      </c>
      <c r="B930" s="13"/>
      <c r="C930" s="302"/>
      <c r="D930" s="13" t="s">
        <v>1539</v>
      </c>
      <c r="E930" s="21" t="s">
        <v>1630</v>
      </c>
      <c r="F930" s="46" t="s">
        <v>240</v>
      </c>
      <c r="G930" s="46" t="s">
        <v>1105</v>
      </c>
      <c r="H930" s="268" t="s">
        <v>441</v>
      </c>
      <c r="I930" s="55">
        <v>10.050000000000001</v>
      </c>
      <c r="J930" s="163"/>
      <c r="K930" s="55">
        <v>10.050000000000001</v>
      </c>
      <c r="L930" s="163"/>
      <c r="M930" s="55">
        <v>10.050000000000001</v>
      </c>
      <c r="N930" s="163"/>
      <c r="O930" s="55">
        <v>10.050000000000001</v>
      </c>
      <c r="P930" s="163"/>
      <c r="Q930" s="97">
        <f t="shared" si="7824"/>
        <v>0.3</v>
      </c>
      <c r="R930" s="342">
        <f t="shared" si="7825"/>
        <v>4.1958850500000011</v>
      </c>
      <c r="S930" s="97"/>
      <c r="T930" s="97">
        <f t="shared" si="7826"/>
        <v>0</v>
      </c>
      <c r="U930" s="97"/>
      <c r="V930" s="97">
        <f t="shared" si="7827"/>
        <v>0</v>
      </c>
      <c r="W930" s="97"/>
      <c r="X930" s="97">
        <f t="shared" si="7828"/>
        <v>0</v>
      </c>
      <c r="Y930" s="97">
        <f t="shared" si="7829"/>
        <v>0</v>
      </c>
      <c r="Z930" s="97">
        <f t="shared" si="7830"/>
        <v>0</v>
      </c>
      <c r="AA930" s="97"/>
      <c r="AB930" s="97">
        <f t="shared" ref="AB930" si="7904">K930*AA930*$AB$2/1000</f>
        <v>0</v>
      </c>
      <c r="AC930" s="97"/>
      <c r="AD930" s="97">
        <f t="shared" si="7832"/>
        <v>0</v>
      </c>
      <c r="AE930" s="97"/>
      <c r="AF930" s="97">
        <f t="shared" si="7833"/>
        <v>0</v>
      </c>
      <c r="AG930" s="97">
        <f>SUM(AA930+AC930+AE930)</f>
        <v>0</v>
      </c>
      <c r="AH930" s="97">
        <f t="shared" si="7903"/>
        <v>0</v>
      </c>
      <c r="AI930" s="97">
        <f t="shared" si="7834"/>
        <v>0</v>
      </c>
      <c r="AJ930" s="97">
        <f t="shared" si="7835"/>
        <v>0</v>
      </c>
      <c r="AK930" s="97"/>
      <c r="AL930" s="97">
        <f t="shared" ref="AL930" si="7905">M930*AK930*$AL$2/1000</f>
        <v>0</v>
      </c>
      <c r="AM930" s="97"/>
      <c r="AN930" s="97">
        <f t="shared" ref="AN930" si="7906">M930*AM930*$AN$2/1000</f>
        <v>0</v>
      </c>
      <c r="AO930" s="97"/>
      <c r="AP930" s="97">
        <f t="shared" si="7838"/>
        <v>0</v>
      </c>
      <c r="AQ930" s="97">
        <f t="shared" si="7839"/>
        <v>0</v>
      </c>
      <c r="AR930" s="97">
        <f t="shared" si="7840"/>
        <v>0</v>
      </c>
      <c r="AS930" s="97"/>
      <c r="AT930" s="97">
        <f t="shared" si="7841"/>
        <v>0</v>
      </c>
      <c r="AU930" s="97">
        <v>0.3</v>
      </c>
      <c r="AV930" s="97">
        <f t="shared" si="7842"/>
        <v>4.1958850500000011</v>
      </c>
      <c r="AW930" s="97"/>
      <c r="AX930" s="97">
        <f t="shared" si="7843"/>
        <v>0</v>
      </c>
      <c r="AY930" s="97">
        <f t="shared" si="7844"/>
        <v>0.3</v>
      </c>
      <c r="AZ930" s="97">
        <f t="shared" si="7845"/>
        <v>4.1958850500000011</v>
      </c>
      <c r="BA930" s="97">
        <f t="shared" si="7846"/>
        <v>0.3</v>
      </c>
      <c r="BB930" s="97">
        <f t="shared" si="7847"/>
        <v>4.1958850500000011</v>
      </c>
    </row>
    <row r="931" spans="1:54">
      <c r="A931" s="498">
        <v>650</v>
      </c>
      <c r="B931" s="13"/>
      <c r="C931" s="302"/>
      <c r="D931" s="13" t="s">
        <v>1539</v>
      </c>
      <c r="E931" s="21" t="s">
        <v>1745</v>
      </c>
      <c r="F931" s="46" t="s">
        <v>240</v>
      </c>
      <c r="G931" s="46" t="s">
        <v>1105</v>
      </c>
      <c r="H931" s="268" t="s">
        <v>441</v>
      </c>
      <c r="I931" s="55">
        <v>9.85</v>
      </c>
      <c r="J931" s="163"/>
      <c r="K931" s="55">
        <v>9.85</v>
      </c>
      <c r="L931" s="163"/>
      <c r="M931" s="55">
        <v>9.85</v>
      </c>
      <c r="N931" s="163"/>
      <c r="O931" s="55">
        <v>9.85</v>
      </c>
      <c r="P931" s="163"/>
      <c r="Q931" s="97">
        <f t="shared" ref="Q931" si="7907">SUM(AI931+BA931)</f>
        <v>0.11</v>
      </c>
      <c r="R931" s="342">
        <f t="shared" ref="R931" si="7908">SUM(AJ931+BB931)</f>
        <v>1.4417050999999996</v>
      </c>
      <c r="S931" s="97"/>
      <c r="T931" s="97">
        <f t="shared" ref="T931" si="7909">I931*S931*$T$2/1000</f>
        <v>0</v>
      </c>
      <c r="U931" s="97"/>
      <c r="V931" s="97">
        <f t="shared" ref="V931" si="7910">I931*U931*$V$2/1000</f>
        <v>0</v>
      </c>
      <c r="W931" s="97">
        <v>0.11</v>
      </c>
      <c r="X931" s="97">
        <f t="shared" ref="X931" si="7911">I931*W931*$X$2/1000</f>
        <v>1.4417050999999996</v>
      </c>
      <c r="Y931" s="97">
        <f t="shared" ref="Y931" si="7912">SUM(S931+U931+W931)</f>
        <v>0.11</v>
      </c>
      <c r="Z931" s="97">
        <f t="shared" ref="Z931" si="7913">SUM(T931+V931+X931)</f>
        <v>1.4417050999999996</v>
      </c>
      <c r="AA931" s="97"/>
      <c r="AB931" s="97">
        <f t="shared" ref="AB931" si="7914">K931*AA931*$AB$2/1000</f>
        <v>0</v>
      </c>
      <c r="AC931" s="97"/>
      <c r="AD931" s="97">
        <f t="shared" ref="AD931" si="7915">K931*AC931*$AD$2/1000</f>
        <v>0</v>
      </c>
      <c r="AE931" s="97"/>
      <c r="AF931" s="97">
        <f t="shared" ref="AF931" si="7916">K931*AE931*$AF$2/1000</f>
        <v>0</v>
      </c>
      <c r="AG931" s="97">
        <f>SUM(AA931+AC931+AE931)</f>
        <v>0</v>
      </c>
      <c r="AH931" s="97">
        <f t="shared" ref="AH931" si="7917">SUM(AB931+AD931+AF931)</f>
        <v>0</v>
      </c>
      <c r="AI931" s="97">
        <f t="shared" ref="AI931" si="7918">SUM(Y931+AG931)</f>
        <v>0.11</v>
      </c>
      <c r="AJ931" s="97">
        <f t="shared" ref="AJ931" si="7919">SUM(Z931,AH931)</f>
        <v>1.4417050999999996</v>
      </c>
      <c r="AK931" s="97"/>
      <c r="AL931" s="97">
        <f t="shared" si="7836"/>
        <v>0</v>
      </c>
      <c r="AM931" s="97"/>
      <c r="AN931" s="97">
        <f t="shared" ref="AN931" si="7920">M931*AM931*$AN$2/1000</f>
        <v>0</v>
      </c>
      <c r="AO931" s="97"/>
      <c r="AP931" s="97">
        <f t="shared" ref="AP931" si="7921">M931*AO931*$AP$2/1000</f>
        <v>0</v>
      </c>
      <c r="AQ931" s="97">
        <f t="shared" ref="AQ931" si="7922">SUM(AK931+AM931+AO931)</f>
        <v>0</v>
      </c>
      <c r="AR931" s="97">
        <f t="shared" ref="AR931" si="7923">SUM(AL931+AN931+AP931)</f>
        <v>0</v>
      </c>
      <c r="AS931" s="97"/>
      <c r="AT931" s="97">
        <f t="shared" ref="AT931" si="7924">O931*AS931*$AT$2/1000</f>
        <v>0</v>
      </c>
      <c r="AU931" s="97"/>
      <c r="AV931" s="97">
        <f t="shared" ref="AV931" si="7925">O931*AU931*$AV$2/1000</f>
        <v>0</v>
      </c>
      <c r="AW931" s="97"/>
      <c r="AX931" s="97">
        <f t="shared" ref="AX931" si="7926">O931*AW931*$AX$2/1000</f>
        <v>0</v>
      </c>
      <c r="AY931" s="97">
        <f t="shared" ref="AY931" si="7927">SUM(AS931+AU931+AW931)</f>
        <v>0</v>
      </c>
      <c r="AZ931" s="97">
        <f t="shared" ref="AZ931" si="7928">SUM(AT931+AV931+AX931)</f>
        <v>0</v>
      </c>
      <c r="BA931" s="97">
        <f t="shared" ref="BA931" si="7929">SUM(AQ931+AY931)</f>
        <v>0</v>
      </c>
      <c r="BB931" s="97">
        <f t="shared" ref="BB931" si="7930">SUM(AR931,AZ931)</f>
        <v>0</v>
      </c>
    </row>
    <row r="932" spans="1:54">
      <c r="A932" s="498">
        <v>650</v>
      </c>
      <c r="B932" s="13"/>
      <c r="C932" s="302"/>
      <c r="D932" s="13" t="s">
        <v>1539</v>
      </c>
      <c r="E932" s="21" t="s">
        <v>1746</v>
      </c>
      <c r="F932" s="46" t="s">
        <v>240</v>
      </c>
      <c r="G932" s="46" t="s">
        <v>1105</v>
      </c>
      <c r="H932" s="268" t="s">
        <v>441</v>
      </c>
      <c r="I932" s="55">
        <v>9.85</v>
      </c>
      <c r="J932" s="163"/>
      <c r="K932" s="55">
        <v>9.85</v>
      </c>
      <c r="L932" s="163"/>
      <c r="M932" s="55">
        <v>9.85</v>
      </c>
      <c r="N932" s="163"/>
      <c r="O932" s="55">
        <v>9.85</v>
      </c>
      <c r="P932" s="163"/>
      <c r="Q932" s="97">
        <f t="shared" si="7824"/>
        <v>0.39</v>
      </c>
      <c r="R932" s="342">
        <f t="shared" si="7825"/>
        <v>5.1114999000000001</v>
      </c>
      <c r="S932" s="97"/>
      <c r="T932" s="97">
        <f t="shared" si="7826"/>
        <v>0</v>
      </c>
      <c r="U932" s="97"/>
      <c r="V932" s="97">
        <f t="shared" si="7827"/>
        <v>0</v>
      </c>
      <c r="W932" s="97">
        <v>0.39</v>
      </c>
      <c r="X932" s="97">
        <f t="shared" si="7828"/>
        <v>5.1114999000000001</v>
      </c>
      <c r="Y932" s="97">
        <f t="shared" si="7829"/>
        <v>0.39</v>
      </c>
      <c r="Z932" s="97">
        <f t="shared" si="7830"/>
        <v>5.1114999000000001</v>
      </c>
      <c r="AA932" s="97"/>
      <c r="AB932" s="97">
        <f t="shared" ref="AB932" si="7931">K932*AA932*$AB$2/1000</f>
        <v>0</v>
      </c>
      <c r="AC932" s="97"/>
      <c r="AD932" s="97">
        <f t="shared" si="7832"/>
        <v>0</v>
      </c>
      <c r="AE932" s="97"/>
      <c r="AF932" s="97">
        <f t="shared" si="7833"/>
        <v>0</v>
      </c>
      <c r="AG932" s="97">
        <f>SUM(AA932+AC932+AE932)</f>
        <v>0</v>
      </c>
      <c r="AH932" s="97">
        <f t="shared" si="7903"/>
        <v>0</v>
      </c>
      <c r="AI932" s="97">
        <f t="shared" si="7834"/>
        <v>0.39</v>
      </c>
      <c r="AJ932" s="97">
        <f t="shared" si="7835"/>
        <v>5.1114999000000001</v>
      </c>
      <c r="AK932" s="97"/>
      <c r="AL932" s="97">
        <f t="shared" ref="AL932:AL938" si="7932">M932*AK932*$AL$2/1000</f>
        <v>0</v>
      </c>
      <c r="AM932" s="97"/>
      <c r="AN932" s="97">
        <f t="shared" ref="AN932" si="7933">M932*AM932*$AN$2/1000</f>
        <v>0</v>
      </c>
      <c r="AO932" s="97"/>
      <c r="AP932" s="97">
        <f t="shared" si="7838"/>
        <v>0</v>
      </c>
      <c r="AQ932" s="97">
        <f t="shared" si="7839"/>
        <v>0</v>
      </c>
      <c r="AR932" s="97">
        <f t="shared" si="7840"/>
        <v>0</v>
      </c>
      <c r="AS932" s="97"/>
      <c r="AT932" s="97">
        <f t="shared" si="7841"/>
        <v>0</v>
      </c>
      <c r="AU932" s="97"/>
      <c r="AV932" s="97">
        <f t="shared" si="7842"/>
        <v>0</v>
      </c>
      <c r="AW932" s="97"/>
      <c r="AX932" s="97">
        <f t="shared" si="7843"/>
        <v>0</v>
      </c>
      <c r="AY932" s="97">
        <f t="shared" si="7844"/>
        <v>0</v>
      </c>
      <c r="AZ932" s="97">
        <f t="shared" si="7845"/>
        <v>0</v>
      </c>
      <c r="BA932" s="97">
        <f t="shared" si="7846"/>
        <v>0</v>
      </c>
      <c r="BB932" s="97">
        <f t="shared" si="7847"/>
        <v>0</v>
      </c>
    </row>
    <row r="933" spans="1:54">
      <c r="A933" s="498">
        <v>650</v>
      </c>
      <c r="B933" s="13"/>
      <c r="C933" s="302"/>
      <c r="D933" s="13" t="s">
        <v>1539</v>
      </c>
      <c r="E933" s="21" t="s">
        <v>1598</v>
      </c>
      <c r="F933" s="46" t="s">
        <v>240</v>
      </c>
      <c r="G933" s="46" t="s">
        <v>1105</v>
      </c>
      <c r="H933" s="268" t="s">
        <v>366</v>
      </c>
      <c r="I933" s="55">
        <v>10.050000000000001</v>
      </c>
      <c r="J933" s="163"/>
      <c r="K933" s="55">
        <v>10.050000000000001</v>
      </c>
      <c r="L933" s="163"/>
      <c r="M933" s="55">
        <v>10.050000000000001</v>
      </c>
      <c r="N933" s="163"/>
      <c r="O933" s="55">
        <v>10.050000000000001</v>
      </c>
      <c r="P933" s="163"/>
      <c r="Q933" s="97">
        <f t="shared" ref="Q933:Q934" si="7934">SUM(AI933+BA933)</f>
        <v>0.98</v>
      </c>
      <c r="R933" s="342">
        <f t="shared" ref="R933:R934" si="7935">SUM(AJ933+BB933)</f>
        <v>13.706557830000001</v>
      </c>
      <c r="S933" s="97"/>
      <c r="T933" s="97">
        <f t="shared" ref="T933:T934" si="7936">I933*S933*$T$2/1000</f>
        <v>0</v>
      </c>
      <c r="U933" s="97"/>
      <c r="V933" s="97">
        <f t="shared" ref="V933:V934" si="7937">I933*U933*$V$2/1000</f>
        <v>0</v>
      </c>
      <c r="W933" s="97"/>
      <c r="X933" s="97">
        <f t="shared" ref="X933:X934" si="7938">I933*W933*$X$2/1000</f>
        <v>0</v>
      </c>
      <c r="Y933" s="97">
        <f t="shared" ref="Y933:Y934" si="7939">SUM(S933+U933+W933)</f>
        <v>0</v>
      </c>
      <c r="Z933" s="97">
        <f t="shared" ref="Z933:Z934" si="7940">SUM(T933+V933+X933)</f>
        <v>0</v>
      </c>
      <c r="AA933" s="97"/>
      <c r="AB933" s="97">
        <f t="shared" ref="AB933:AB934" si="7941">K933*AA933*$AB$2/1000</f>
        <v>0</v>
      </c>
      <c r="AC933" s="97"/>
      <c r="AD933" s="97">
        <f t="shared" ref="AD933:AD934" si="7942">K933*AC933*$AD$2/1000</f>
        <v>0</v>
      </c>
      <c r="AE933" s="97"/>
      <c r="AF933" s="97">
        <f t="shared" ref="AF933:AF934" si="7943">K933*AE933*$AF$2/1000</f>
        <v>0</v>
      </c>
      <c r="AG933" s="97">
        <f t="shared" ref="AG933:AG942" si="7944">SUM(AA933+AC933+AE933)</f>
        <v>0</v>
      </c>
      <c r="AH933" s="97">
        <f t="shared" ref="AH933:AH934" si="7945">SUM(AB933+AD933+AF933)</f>
        <v>0</v>
      </c>
      <c r="AI933" s="97">
        <f t="shared" ref="AI933:AI934" si="7946">SUM(Y933+AG933)</f>
        <v>0</v>
      </c>
      <c r="AJ933" s="97">
        <f t="shared" ref="AJ933:AJ934" si="7947">SUM(Z933,AH933)</f>
        <v>0</v>
      </c>
      <c r="AK933" s="97"/>
      <c r="AL933" s="97">
        <f t="shared" si="7932"/>
        <v>0</v>
      </c>
      <c r="AM933" s="97"/>
      <c r="AN933" s="97">
        <f t="shared" ref="AN933:AN934" si="7948">M933*AM933*$AN$2/1000</f>
        <v>0</v>
      </c>
      <c r="AO933" s="97"/>
      <c r="AP933" s="97">
        <f t="shared" ref="AP933:AP934" si="7949">M933*AO933*$AP$2/1000</f>
        <v>0</v>
      </c>
      <c r="AQ933" s="97">
        <f t="shared" ref="AQ933:AQ934" si="7950">SUM(AK933+AM933+AO933)</f>
        <v>0</v>
      </c>
      <c r="AR933" s="97">
        <f t="shared" ref="AR933:AR934" si="7951">SUM(AL933+AN933+AP933)</f>
        <v>0</v>
      </c>
      <c r="AS933" s="97"/>
      <c r="AT933" s="97">
        <f t="shared" ref="AT933:AT934" si="7952">O933*AS933*$AT$2/1000</f>
        <v>0</v>
      </c>
      <c r="AU933" s="97">
        <v>0.98</v>
      </c>
      <c r="AV933" s="97">
        <f t="shared" ref="AV933:AV934" si="7953">O933*AU933*$AV$2/1000</f>
        <v>13.706557830000001</v>
      </c>
      <c r="AW933" s="97"/>
      <c r="AX933" s="97">
        <f t="shared" ref="AX933:AX934" si="7954">O933*AW933*$AX$2/1000</f>
        <v>0</v>
      </c>
      <c r="AY933" s="97">
        <f t="shared" ref="AY933:AY934" si="7955">SUM(AS933+AU933+AW933)</f>
        <v>0.98</v>
      </c>
      <c r="AZ933" s="97">
        <f t="shared" ref="AZ933:AZ934" si="7956">SUM(AT933+AV933+AX933)</f>
        <v>13.706557830000001</v>
      </c>
      <c r="BA933" s="97">
        <f t="shared" ref="BA933:BA934" si="7957">SUM(AQ933+AY933)</f>
        <v>0.98</v>
      </c>
      <c r="BB933" s="97">
        <f t="shared" ref="BB933:BB934" si="7958">SUM(AR933,AZ933)</f>
        <v>13.706557830000001</v>
      </c>
    </row>
    <row r="934" spans="1:54">
      <c r="A934" s="498">
        <v>650</v>
      </c>
      <c r="B934" s="13"/>
      <c r="C934" s="302"/>
      <c r="D934" s="13" t="s">
        <v>1539</v>
      </c>
      <c r="E934" s="21" t="s">
        <v>1599</v>
      </c>
      <c r="F934" s="46" t="s">
        <v>240</v>
      </c>
      <c r="G934" s="46" t="s">
        <v>1105</v>
      </c>
      <c r="H934" s="268" t="s">
        <v>366</v>
      </c>
      <c r="I934" s="55">
        <v>10.050000000000001</v>
      </c>
      <c r="J934" s="163"/>
      <c r="K934" s="55">
        <v>10.050000000000001</v>
      </c>
      <c r="L934" s="163"/>
      <c r="M934" s="55">
        <v>10.050000000000001</v>
      </c>
      <c r="N934" s="163"/>
      <c r="O934" s="55">
        <v>10.050000000000001</v>
      </c>
      <c r="P934" s="163"/>
      <c r="Q934" s="97">
        <f t="shared" si="7934"/>
        <v>0</v>
      </c>
      <c r="R934" s="342">
        <f t="shared" si="7935"/>
        <v>0</v>
      </c>
      <c r="S934" s="97"/>
      <c r="T934" s="97">
        <f t="shared" si="7936"/>
        <v>0</v>
      </c>
      <c r="U934" s="97"/>
      <c r="V934" s="97">
        <f t="shared" si="7937"/>
        <v>0</v>
      </c>
      <c r="W934" s="97"/>
      <c r="X934" s="97">
        <f t="shared" si="7938"/>
        <v>0</v>
      </c>
      <c r="Y934" s="97">
        <f t="shared" si="7939"/>
        <v>0</v>
      </c>
      <c r="Z934" s="97">
        <f t="shared" si="7940"/>
        <v>0</v>
      </c>
      <c r="AA934" s="97"/>
      <c r="AB934" s="97">
        <f t="shared" si="7941"/>
        <v>0</v>
      </c>
      <c r="AC934" s="97"/>
      <c r="AD934" s="97">
        <f t="shared" si="7942"/>
        <v>0</v>
      </c>
      <c r="AE934" s="97"/>
      <c r="AF934" s="97">
        <f t="shared" si="7943"/>
        <v>0</v>
      </c>
      <c r="AG934" s="97">
        <f t="shared" ref="AG934" si="7959">SUM(AA934+AC934+AE934)</f>
        <v>0</v>
      </c>
      <c r="AH934" s="97">
        <f t="shared" si="7945"/>
        <v>0</v>
      </c>
      <c r="AI934" s="97">
        <f t="shared" si="7946"/>
        <v>0</v>
      </c>
      <c r="AJ934" s="97">
        <f t="shared" si="7947"/>
        <v>0</v>
      </c>
      <c r="AK934" s="97"/>
      <c r="AL934" s="97">
        <f t="shared" ref="AL934" si="7960">M934*AK934*$AL$2/1000</f>
        <v>0</v>
      </c>
      <c r="AM934" s="97"/>
      <c r="AN934" s="97">
        <f t="shared" si="7948"/>
        <v>0</v>
      </c>
      <c r="AO934" s="97"/>
      <c r="AP934" s="97">
        <f t="shared" si="7949"/>
        <v>0</v>
      </c>
      <c r="AQ934" s="97">
        <f t="shared" si="7950"/>
        <v>0</v>
      </c>
      <c r="AR934" s="97">
        <f t="shared" si="7951"/>
        <v>0</v>
      </c>
      <c r="AS934" s="97"/>
      <c r="AT934" s="97">
        <f t="shared" si="7952"/>
        <v>0</v>
      </c>
      <c r="AU934" s="97"/>
      <c r="AV934" s="97">
        <f t="shared" si="7953"/>
        <v>0</v>
      </c>
      <c r="AW934" s="97"/>
      <c r="AX934" s="97">
        <f t="shared" si="7954"/>
        <v>0</v>
      </c>
      <c r="AY934" s="97">
        <f t="shared" si="7955"/>
        <v>0</v>
      </c>
      <c r="AZ934" s="97">
        <f t="shared" si="7956"/>
        <v>0</v>
      </c>
      <c r="BA934" s="97">
        <f t="shared" si="7957"/>
        <v>0</v>
      </c>
      <c r="BB934" s="97">
        <f t="shared" si="7958"/>
        <v>0</v>
      </c>
    </row>
    <row r="935" spans="1:54">
      <c r="A935" s="498">
        <v>650</v>
      </c>
      <c r="B935" s="13"/>
      <c r="C935" s="302"/>
      <c r="D935" s="13" t="s">
        <v>1539</v>
      </c>
      <c r="E935" s="21" t="s">
        <v>1799</v>
      </c>
      <c r="F935" s="46" t="s">
        <v>240</v>
      </c>
      <c r="G935" s="46" t="s">
        <v>1105</v>
      </c>
      <c r="H935" s="268" t="s">
        <v>366</v>
      </c>
      <c r="I935" s="55"/>
      <c r="J935" s="163"/>
      <c r="K935" s="55"/>
      <c r="L935" s="163"/>
      <c r="M935" s="55">
        <v>13.14</v>
      </c>
      <c r="N935" s="163"/>
      <c r="O935" s="55">
        <v>13.14</v>
      </c>
      <c r="P935" s="163"/>
      <c r="Q935" s="97">
        <f t="shared" si="7824"/>
        <v>0.97599999999999998</v>
      </c>
      <c r="R935" s="342">
        <f t="shared" si="7825"/>
        <v>17.737503091200001</v>
      </c>
      <c r="S935" s="97"/>
      <c r="T935" s="97">
        <f t="shared" si="7826"/>
        <v>0</v>
      </c>
      <c r="U935" s="97"/>
      <c r="V935" s="97">
        <f t="shared" si="7827"/>
        <v>0</v>
      </c>
      <c r="W935" s="97"/>
      <c r="X935" s="97">
        <f t="shared" si="7828"/>
        <v>0</v>
      </c>
      <c r="Y935" s="97">
        <f t="shared" si="7829"/>
        <v>0</v>
      </c>
      <c r="Z935" s="97">
        <f t="shared" si="7830"/>
        <v>0</v>
      </c>
      <c r="AA935" s="97"/>
      <c r="AB935" s="97">
        <f t="shared" ref="AB935" si="7961">K935*AA935*$AB$2/1000</f>
        <v>0</v>
      </c>
      <c r="AC935" s="97"/>
      <c r="AD935" s="97">
        <f t="shared" si="7832"/>
        <v>0</v>
      </c>
      <c r="AE935" s="97"/>
      <c r="AF935" s="97">
        <f t="shared" si="7833"/>
        <v>0</v>
      </c>
      <c r="AG935" s="97">
        <f t="shared" si="7944"/>
        <v>0</v>
      </c>
      <c r="AH935" s="97">
        <f t="shared" si="7903"/>
        <v>0</v>
      </c>
      <c r="AI935" s="97">
        <f t="shared" si="7834"/>
        <v>0</v>
      </c>
      <c r="AJ935" s="97">
        <f t="shared" si="7835"/>
        <v>0</v>
      </c>
      <c r="AK935" s="97">
        <v>0.97599999999999998</v>
      </c>
      <c r="AL935" s="97">
        <f t="shared" si="7932"/>
        <v>17.737503091200001</v>
      </c>
      <c r="AM935" s="97"/>
      <c r="AN935" s="97">
        <f t="shared" ref="AN935" si="7962">M935*AM935*$AN$2/1000</f>
        <v>0</v>
      </c>
      <c r="AO935" s="97"/>
      <c r="AP935" s="97">
        <f t="shared" si="7838"/>
        <v>0</v>
      </c>
      <c r="AQ935" s="97">
        <f t="shared" si="7839"/>
        <v>0.97599999999999998</v>
      </c>
      <c r="AR935" s="97">
        <f t="shared" si="7840"/>
        <v>17.737503091200001</v>
      </c>
      <c r="AS935" s="97"/>
      <c r="AT935" s="97">
        <f t="shared" si="7841"/>
        <v>0</v>
      </c>
      <c r="AU935" s="97"/>
      <c r="AV935" s="97">
        <f t="shared" si="7842"/>
        <v>0</v>
      </c>
      <c r="AW935" s="97"/>
      <c r="AX935" s="97">
        <f t="shared" si="7843"/>
        <v>0</v>
      </c>
      <c r="AY935" s="97">
        <f t="shared" si="7844"/>
        <v>0</v>
      </c>
      <c r="AZ935" s="97">
        <f t="shared" si="7845"/>
        <v>0</v>
      </c>
      <c r="BA935" s="97">
        <f t="shared" si="7846"/>
        <v>0.97599999999999998</v>
      </c>
      <c r="BB935" s="97">
        <f t="shared" si="7847"/>
        <v>17.737503091200001</v>
      </c>
    </row>
    <row r="936" spans="1:54">
      <c r="A936" s="498">
        <v>650</v>
      </c>
      <c r="B936" s="13"/>
      <c r="C936" s="302"/>
      <c r="D936" s="13" t="s">
        <v>1539</v>
      </c>
      <c r="E936" s="21" t="s">
        <v>1538</v>
      </c>
      <c r="F936" s="46" t="s">
        <v>380</v>
      </c>
      <c r="G936" s="46" t="s">
        <v>1105</v>
      </c>
      <c r="H936" s="268" t="s">
        <v>441</v>
      </c>
      <c r="I936" s="55">
        <v>10.050000000000001</v>
      </c>
      <c r="J936" s="163"/>
      <c r="K936" s="55">
        <v>10.050000000000001</v>
      </c>
      <c r="L936" s="163"/>
      <c r="M936" s="55">
        <v>10.050000000000001</v>
      </c>
      <c r="N936" s="163"/>
      <c r="O936" s="55">
        <v>10.050000000000001</v>
      </c>
      <c r="P936" s="163"/>
      <c r="Q936" s="97">
        <f t="shared" si="7824"/>
        <v>125.48</v>
      </c>
      <c r="R936" s="342">
        <f t="shared" si="7825"/>
        <v>1715.8332598800002</v>
      </c>
      <c r="S936" s="97">
        <v>15</v>
      </c>
      <c r="T936" s="97">
        <f t="shared" si="7826"/>
        <v>199.27491750000002</v>
      </c>
      <c r="U936" s="97">
        <v>15</v>
      </c>
      <c r="V936" s="97">
        <f t="shared" si="7827"/>
        <v>200.55780000000001</v>
      </c>
      <c r="W936" s="97">
        <v>15</v>
      </c>
      <c r="X936" s="97">
        <f t="shared" si="7828"/>
        <v>200.58794999999998</v>
      </c>
      <c r="Y936" s="97">
        <f t="shared" si="7829"/>
        <v>45</v>
      </c>
      <c r="Z936" s="97">
        <f t="shared" si="7830"/>
        <v>600.42066750000004</v>
      </c>
      <c r="AA936" s="97">
        <v>20.48</v>
      </c>
      <c r="AB936" s="97">
        <f t="shared" ref="AB936:AB941" si="7963">K936*AA936*$AB$2/1000</f>
        <v>280.76863487999998</v>
      </c>
      <c r="AC936" s="97">
        <v>10</v>
      </c>
      <c r="AD936" s="97">
        <f t="shared" si="7832"/>
        <v>137.64781500000001</v>
      </c>
      <c r="AE936" s="97">
        <v>7</v>
      </c>
      <c r="AF936" s="97">
        <f t="shared" si="7833"/>
        <v>97.000690500000005</v>
      </c>
      <c r="AG936" s="97">
        <f t="shared" si="7944"/>
        <v>37.480000000000004</v>
      </c>
      <c r="AH936" s="97">
        <f t="shared" si="7903"/>
        <v>515.41714037999998</v>
      </c>
      <c r="AI936" s="97">
        <f t="shared" si="7834"/>
        <v>82.48</v>
      </c>
      <c r="AJ936" s="97">
        <f t="shared" si="7835"/>
        <v>1115.8378078800001</v>
      </c>
      <c r="AK936" s="97">
        <v>13</v>
      </c>
      <c r="AL936" s="97">
        <f t="shared" si="7932"/>
        <v>180.69940199999999</v>
      </c>
      <c r="AM936" s="97">
        <v>10</v>
      </c>
      <c r="AN936" s="97">
        <f t="shared" ref="AN936:AN941" si="7964">M936*AM936*$AN$2/1000</f>
        <v>136.79055</v>
      </c>
      <c r="AO936" s="97"/>
      <c r="AP936" s="97">
        <f t="shared" si="7838"/>
        <v>0</v>
      </c>
      <c r="AQ936" s="97">
        <f t="shared" si="7839"/>
        <v>23</v>
      </c>
      <c r="AR936" s="97">
        <f t="shared" si="7840"/>
        <v>317.48995200000002</v>
      </c>
      <c r="AS936" s="97"/>
      <c r="AT936" s="97">
        <f t="shared" si="7841"/>
        <v>0</v>
      </c>
      <c r="AU936" s="97">
        <v>10</v>
      </c>
      <c r="AV936" s="97">
        <f t="shared" si="7842"/>
        <v>139.86283500000002</v>
      </c>
      <c r="AW936" s="97">
        <v>10</v>
      </c>
      <c r="AX936" s="97">
        <f t="shared" si="7843"/>
        <v>142.64266499999997</v>
      </c>
      <c r="AY936" s="97">
        <f t="shared" si="7844"/>
        <v>20</v>
      </c>
      <c r="AZ936" s="97">
        <f t="shared" si="7845"/>
        <v>282.50549999999998</v>
      </c>
      <c r="BA936" s="97">
        <f t="shared" si="7846"/>
        <v>43</v>
      </c>
      <c r="BB936" s="97">
        <f t="shared" si="7847"/>
        <v>599.995452</v>
      </c>
    </row>
    <row r="937" spans="1:54">
      <c r="A937" s="498">
        <v>650</v>
      </c>
      <c r="B937" s="13"/>
      <c r="C937" s="302"/>
      <c r="D937" s="13" t="s">
        <v>1539</v>
      </c>
      <c r="E937" s="21" t="s">
        <v>1682</v>
      </c>
      <c r="F937" s="46" t="s">
        <v>240</v>
      </c>
      <c r="G937" s="46" t="s">
        <v>1105</v>
      </c>
      <c r="H937" s="268" t="s">
        <v>366</v>
      </c>
      <c r="I937" s="55">
        <v>11.14</v>
      </c>
      <c r="J937" s="163"/>
      <c r="K937" s="55">
        <v>11.14</v>
      </c>
      <c r="L937" s="163"/>
      <c r="M937" s="55">
        <v>11.14</v>
      </c>
      <c r="N937" s="163"/>
      <c r="O937" s="55">
        <v>11.14</v>
      </c>
      <c r="P937" s="163"/>
      <c r="Q937" s="97">
        <f t="shared" si="7824"/>
        <v>9.8500000000000014</v>
      </c>
      <c r="R937" s="342">
        <f t="shared" si="7825"/>
        <v>145.72966455</v>
      </c>
      <c r="S937" s="97">
        <v>4.7</v>
      </c>
      <c r="T937" s="97">
        <f t="shared" si="7826"/>
        <v>69.211516620000012</v>
      </c>
      <c r="U937" s="97"/>
      <c r="V937" s="97">
        <f t="shared" si="7827"/>
        <v>0</v>
      </c>
      <c r="W937" s="97"/>
      <c r="X937" s="97">
        <f t="shared" si="7828"/>
        <v>0</v>
      </c>
      <c r="Y937" s="97">
        <f t="shared" si="7829"/>
        <v>4.7</v>
      </c>
      <c r="Z937" s="97">
        <f t="shared" si="7830"/>
        <v>69.211516620000012</v>
      </c>
      <c r="AA937" s="97"/>
      <c r="AB937" s="97">
        <f t="shared" si="7963"/>
        <v>0</v>
      </c>
      <c r="AC937" s="97"/>
      <c r="AD937" s="97">
        <f t="shared" si="7832"/>
        <v>0</v>
      </c>
      <c r="AE937" s="97">
        <v>0.15</v>
      </c>
      <c r="AF937" s="97">
        <f t="shared" si="7833"/>
        <v>2.3040249300000002</v>
      </c>
      <c r="AG937" s="97">
        <f t="shared" si="7944"/>
        <v>0.15</v>
      </c>
      <c r="AH937" s="97">
        <f t="shared" si="7903"/>
        <v>2.3040249300000002</v>
      </c>
      <c r="AI937" s="97">
        <f t="shared" si="7834"/>
        <v>4.8500000000000005</v>
      </c>
      <c r="AJ937" s="97">
        <f t="shared" si="7835"/>
        <v>71.515541550000009</v>
      </c>
      <c r="AK937" s="97"/>
      <c r="AL937" s="97">
        <f t="shared" si="7932"/>
        <v>0</v>
      </c>
      <c r="AM937" s="97"/>
      <c r="AN937" s="97">
        <f t="shared" si="7964"/>
        <v>0</v>
      </c>
      <c r="AO937" s="97">
        <v>5</v>
      </c>
      <c r="AP937" s="97">
        <f t="shared" si="7838"/>
        <v>74.214123000000001</v>
      </c>
      <c r="AQ937" s="97">
        <f t="shared" si="7839"/>
        <v>5</v>
      </c>
      <c r="AR937" s="97">
        <f t="shared" si="7840"/>
        <v>74.214123000000001</v>
      </c>
      <c r="AS937" s="97"/>
      <c r="AT937" s="97">
        <f t="shared" si="7841"/>
        <v>0</v>
      </c>
      <c r="AU937" s="97"/>
      <c r="AV937" s="97">
        <f t="shared" si="7842"/>
        <v>0</v>
      </c>
      <c r="AW937" s="97"/>
      <c r="AX937" s="97">
        <f t="shared" si="7843"/>
        <v>0</v>
      </c>
      <c r="AY937" s="97">
        <f t="shared" si="7844"/>
        <v>0</v>
      </c>
      <c r="AZ937" s="97">
        <f t="shared" si="7845"/>
        <v>0</v>
      </c>
      <c r="BA937" s="97">
        <f t="shared" si="7846"/>
        <v>5</v>
      </c>
      <c r="BB937" s="97">
        <f t="shared" si="7847"/>
        <v>74.214123000000001</v>
      </c>
    </row>
    <row r="938" spans="1:54">
      <c r="A938" s="498">
        <v>650</v>
      </c>
      <c r="B938" s="13"/>
      <c r="C938" s="302"/>
      <c r="D938" s="13" t="s">
        <v>1539</v>
      </c>
      <c r="E938" s="21" t="s">
        <v>1631</v>
      </c>
      <c r="F938" s="46" t="s">
        <v>240</v>
      </c>
      <c r="G938" s="46" t="s">
        <v>1105</v>
      </c>
      <c r="H938" s="268" t="s">
        <v>441</v>
      </c>
      <c r="I938" s="55">
        <v>10.050000000000001</v>
      </c>
      <c r="J938" s="163"/>
      <c r="K938" s="55">
        <v>10.050000000000001</v>
      </c>
      <c r="L938" s="163"/>
      <c r="M938" s="55">
        <v>10.050000000000001</v>
      </c>
      <c r="N938" s="163"/>
      <c r="O938" s="55">
        <v>10.050000000000001</v>
      </c>
      <c r="P938" s="163"/>
      <c r="Q938" s="97">
        <f t="shared" si="7824"/>
        <v>0.88600000000000001</v>
      </c>
      <c r="R938" s="342">
        <f t="shared" si="7825"/>
        <v>12.530838681000001</v>
      </c>
      <c r="S938" s="97"/>
      <c r="T938" s="97">
        <f t="shared" si="7826"/>
        <v>0</v>
      </c>
      <c r="U938" s="97"/>
      <c r="V938" s="97">
        <f t="shared" si="7827"/>
        <v>0</v>
      </c>
      <c r="W938" s="97"/>
      <c r="X938" s="97">
        <f t="shared" si="7828"/>
        <v>0</v>
      </c>
      <c r="Y938" s="97">
        <f t="shared" si="7829"/>
        <v>0</v>
      </c>
      <c r="Z938" s="97">
        <f t="shared" si="7830"/>
        <v>0</v>
      </c>
      <c r="AA938" s="97"/>
      <c r="AB938" s="97">
        <f t="shared" si="7963"/>
        <v>0</v>
      </c>
      <c r="AC938" s="97"/>
      <c r="AD938" s="97">
        <f t="shared" si="7832"/>
        <v>0</v>
      </c>
      <c r="AE938" s="97"/>
      <c r="AF938" s="97">
        <f t="shared" si="7833"/>
        <v>0</v>
      </c>
      <c r="AG938" s="97">
        <f>SUM(AA938+AC938+AE938)</f>
        <v>0</v>
      </c>
      <c r="AH938" s="97">
        <f t="shared" si="7903"/>
        <v>0</v>
      </c>
      <c r="AI938" s="97">
        <f t="shared" si="7834"/>
        <v>0</v>
      </c>
      <c r="AJ938" s="97">
        <f t="shared" si="7835"/>
        <v>0</v>
      </c>
      <c r="AK938" s="97"/>
      <c r="AL938" s="97">
        <f t="shared" si="7932"/>
        <v>0</v>
      </c>
      <c r="AM938" s="97"/>
      <c r="AN938" s="97">
        <f t="shared" si="7964"/>
        <v>0</v>
      </c>
      <c r="AO938" s="97"/>
      <c r="AP938" s="97">
        <f t="shared" si="7838"/>
        <v>0</v>
      </c>
      <c r="AQ938" s="97">
        <f t="shared" si="7839"/>
        <v>0</v>
      </c>
      <c r="AR938" s="97">
        <f t="shared" si="7840"/>
        <v>0</v>
      </c>
      <c r="AS938" s="97"/>
      <c r="AT938" s="97">
        <f t="shared" si="7841"/>
        <v>0</v>
      </c>
      <c r="AU938" s="97">
        <v>0.38600000000000001</v>
      </c>
      <c r="AV938" s="97">
        <f t="shared" si="7842"/>
        <v>5.3987054310000007</v>
      </c>
      <c r="AW938" s="97">
        <v>0.5</v>
      </c>
      <c r="AX938" s="97">
        <f t="shared" si="7843"/>
        <v>7.1321332499999999</v>
      </c>
      <c r="AY938" s="97">
        <f t="shared" si="7844"/>
        <v>0.88600000000000001</v>
      </c>
      <c r="AZ938" s="97">
        <f t="shared" si="7845"/>
        <v>12.530838681000001</v>
      </c>
      <c r="BA938" s="97">
        <f t="shared" si="7846"/>
        <v>0.88600000000000001</v>
      </c>
      <c r="BB938" s="97">
        <f t="shared" si="7847"/>
        <v>12.530838681000001</v>
      </c>
    </row>
    <row r="939" spans="1:54" s="6" customFormat="1">
      <c r="A939" s="498">
        <v>648</v>
      </c>
      <c r="B939" s="14"/>
      <c r="C939" s="338"/>
      <c r="D939" s="14" t="s">
        <v>1562</v>
      </c>
      <c r="E939" s="290" t="s">
        <v>1561</v>
      </c>
      <c r="F939" s="512" t="s">
        <v>240</v>
      </c>
      <c r="G939" s="512" t="s">
        <v>1105</v>
      </c>
      <c r="H939" s="452" t="s">
        <v>441</v>
      </c>
      <c r="I939" s="431">
        <v>10.050000000000001</v>
      </c>
      <c r="J939" s="499"/>
      <c r="K939" s="431">
        <v>10.050000000000001</v>
      </c>
      <c r="L939" s="499"/>
      <c r="M939" s="431">
        <v>10.050000000000001</v>
      </c>
      <c r="N939" s="499"/>
      <c r="O939" s="431">
        <v>9.6999999999999993</v>
      </c>
      <c r="P939" s="499"/>
      <c r="Q939" s="434">
        <f t="shared" si="7824"/>
        <v>20.682000000000002</v>
      </c>
      <c r="R939" s="455">
        <f t="shared" si="7825"/>
        <v>281.65131473299999</v>
      </c>
      <c r="S939" s="434"/>
      <c r="T939" s="434">
        <f t="shared" si="7826"/>
        <v>0</v>
      </c>
      <c r="U939" s="434"/>
      <c r="V939" s="434">
        <f t="shared" si="7827"/>
        <v>0</v>
      </c>
      <c r="W939" s="434"/>
      <c r="X939" s="434">
        <f t="shared" si="7828"/>
        <v>0</v>
      </c>
      <c r="Y939" s="434">
        <f t="shared" si="7829"/>
        <v>0</v>
      </c>
      <c r="Z939" s="434">
        <f t="shared" si="7830"/>
        <v>0</v>
      </c>
      <c r="AA939" s="434">
        <v>8.5</v>
      </c>
      <c r="AB939" s="434">
        <f t="shared" si="7963"/>
        <v>116.529951</v>
      </c>
      <c r="AC939" s="434">
        <v>2.1819999999999999</v>
      </c>
      <c r="AD939" s="434">
        <f t="shared" si="7832"/>
        <v>30.034753233000004</v>
      </c>
      <c r="AE939" s="434">
        <v>2</v>
      </c>
      <c r="AF939" s="131">
        <f>K939*AE939*$AF$2/1000</f>
        <v>27.714483000000001</v>
      </c>
      <c r="AG939" s="434">
        <f t="shared" si="7944"/>
        <v>12.682</v>
      </c>
      <c r="AH939" s="434">
        <f>SUM(AB939+AD939+AF939)</f>
        <v>174.27918723299999</v>
      </c>
      <c r="AI939" s="434">
        <f t="shared" si="7834"/>
        <v>12.682</v>
      </c>
      <c r="AJ939" s="434">
        <f t="shared" si="7835"/>
        <v>174.27918723299999</v>
      </c>
      <c r="AK939" s="434"/>
      <c r="AL939" s="434">
        <f t="shared" ref="AL939" si="7965">M939*AK939*$AL$2/1000</f>
        <v>0</v>
      </c>
      <c r="AM939" s="434">
        <v>2</v>
      </c>
      <c r="AN939" s="434">
        <f t="shared" si="7964"/>
        <v>27.35811</v>
      </c>
      <c r="AO939" s="434">
        <v>3</v>
      </c>
      <c r="AP939" s="434">
        <f t="shared" si="7838"/>
        <v>40.171558500000003</v>
      </c>
      <c r="AQ939" s="434">
        <f t="shared" si="7839"/>
        <v>5</v>
      </c>
      <c r="AR939" s="434">
        <f t="shared" si="7840"/>
        <v>67.5296685</v>
      </c>
      <c r="AS939" s="434">
        <v>2</v>
      </c>
      <c r="AT939" s="434">
        <f t="shared" si="7841"/>
        <v>26.343259999999997</v>
      </c>
      <c r="AU939" s="434">
        <v>1</v>
      </c>
      <c r="AV939" s="434">
        <f t="shared" si="7842"/>
        <v>13.499199000000001</v>
      </c>
      <c r="AW939" s="434"/>
      <c r="AX939" s="434">
        <f t="shared" si="7843"/>
        <v>0</v>
      </c>
      <c r="AY939" s="434">
        <f t="shared" si="7844"/>
        <v>3</v>
      </c>
      <c r="AZ939" s="434">
        <f t="shared" si="7845"/>
        <v>39.842458999999998</v>
      </c>
      <c r="BA939" s="434">
        <f t="shared" si="7846"/>
        <v>8</v>
      </c>
      <c r="BB939" s="434">
        <f t="shared" si="7847"/>
        <v>107.3721275</v>
      </c>
    </row>
    <row r="940" spans="1:54">
      <c r="A940" s="498">
        <v>650</v>
      </c>
      <c r="B940" s="13"/>
      <c r="C940" s="302"/>
      <c r="D940" s="13" t="s">
        <v>1539</v>
      </c>
      <c r="E940" s="21" t="s">
        <v>1600</v>
      </c>
      <c r="F940" s="46" t="s">
        <v>240</v>
      </c>
      <c r="G940" s="46" t="s">
        <v>1105</v>
      </c>
      <c r="H940" s="268" t="s">
        <v>366</v>
      </c>
      <c r="I940" s="55">
        <v>12.82</v>
      </c>
      <c r="J940" s="163"/>
      <c r="K940" s="55">
        <v>12.82</v>
      </c>
      <c r="L940" s="163"/>
      <c r="M940" s="55">
        <v>12.82</v>
      </c>
      <c r="N940" s="163"/>
      <c r="O940" s="55">
        <v>12.82</v>
      </c>
      <c r="P940" s="163"/>
      <c r="Q940" s="97">
        <f t="shared" si="7824"/>
        <v>0</v>
      </c>
      <c r="R940" s="342">
        <f t="shared" si="7825"/>
        <v>0</v>
      </c>
      <c r="S940" s="97"/>
      <c r="T940" s="97">
        <f t="shared" si="7826"/>
        <v>0</v>
      </c>
      <c r="U940" s="97"/>
      <c r="V940" s="97">
        <f t="shared" si="7827"/>
        <v>0</v>
      </c>
      <c r="W940" s="97"/>
      <c r="X940" s="97">
        <f t="shared" si="7828"/>
        <v>0</v>
      </c>
      <c r="Y940" s="97">
        <f t="shared" si="7829"/>
        <v>0</v>
      </c>
      <c r="Z940" s="97">
        <f t="shared" si="7830"/>
        <v>0</v>
      </c>
      <c r="AA940" s="97"/>
      <c r="AB940" s="97">
        <f t="shared" ref="AB940" si="7966">K940*AA940*$AB$2/1000</f>
        <v>0</v>
      </c>
      <c r="AC940" s="97"/>
      <c r="AD940" s="97">
        <f t="shared" si="7832"/>
        <v>0</v>
      </c>
      <c r="AE940" s="97"/>
      <c r="AF940" s="97">
        <f t="shared" ref="AF940" si="7967">K940*AE940*$AF$2/1000</f>
        <v>0</v>
      </c>
      <c r="AG940" s="97">
        <f t="shared" si="7944"/>
        <v>0</v>
      </c>
      <c r="AH940" s="97">
        <f t="shared" ref="AH940" si="7968">SUM(AB940+AD940+AF940)</f>
        <v>0</v>
      </c>
      <c r="AI940" s="97">
        <f t="shared" si="7834"/>
        <v>0</v>
      </c>
      <c r="AJ940" s="97">
        <f t="shared" si="7835"/>
        <v>0</v>
      </c>
      <c r="AK940" s="97"/>
      <c r="AL940" s="97">
        <f>M940*AK940*$AL$2/1000</f>
        <v>0</v>
      </c>
      <c r="AM940" s="97"/>
      <c r="AN940" s="97">
        <f t="shared" ref="AN940" si="7969">M940*AM940*$AN$2/1000</f>
        <v>0</v>
      </c>
      <c r="AO940" s="97"/>
      <c r="AP940" s="97">
        <f t="shared" si="7838"/>
        <v>0</v>
      </c>
      <c r="AQ940" s="97">
        <f t="shared" si="7839"/>
        <v>0</v>
      </c>
      <c r="AR940" s="97">
        <f t="shared" si="7840"/>
        <v>0</v>
      </c>
      <c r="AS940" s="97"/>
      <c r="AT940" s="97">
        <f t="shared" si="7841"/>
        <v>0</v>
      </c>
      <c r="AU940" s="97"/>
      <c r="AV940" s="97">
        <f t="shared" si="7842"/>
        <v>0</v>
      </c>
      <c r="AW940" s="97"/>
      <c r="AX940" s="97">
        <f t="shared" si="7843"/>
        <v>0</v>
      </c>
      <c r="AY940" s="97">
        <f t="shared" si="7844"/>
        <v>0</v>
      </c>
      <c r="AZ940" s="97">
        <f t="shared" si="7845"/>
        <v>0</v>
      </c>
      <c r="BA940" s="97">
        <f t="shared" si="7846"/>
        <v>0</v>
      </c>
      <c r="BB940" s="97">
        <f t="shared" si="7847"/>
        <v>0</v>
      </c>
    </row>
    <row r="941" spans="1:54">
      <c r="A941" s="498">
        <v>650</v>
      </c>
      <c r="B941" s="13"/>
      <c r="C941" s="302"/>
      <c r="D941" s="13" t="s">
        <v>1539</v>
      </c>
      <c r="E941" s="21" t="s">
        <v>1601</v>
      </c>
      <c r="F941" s="46" t="s">
        <v>240</v>
      </c>
      <c r="G941" s="46" t="s">
        <v>1105</v>
      </c>
      <c r="H941" s="268" t="s">
        <v>366</v>
      </c>
      <c r="I941" s="55">
        <v>12.82</v>
      </c>
      <c r="J941" s="163"/>
      <c r="K941" s="55">
        <v>12.82</v>
      </c>
      <c r="L941" s="163"/>
      <c r="M941" s="55">
        <v>12.82</v>
      </c>
      <c r="N941" s="163"/>
      <c r="O941" s="55">
        <v>12.82</v>
      </c>
      <c r="P941" s="163"/>
      <c r="Q941" s="97">
        <f t="shared" ref="Q941" si="7970">SUM(AI941+BA941)</f>
        <v>3</v>
      </c>
      <c r="R941" s="342">
        <f t="shared" ref="R941" si="7971">SUM(AJ941+BB941)</f>
        <v>51.167183999999999</v>
      </c>
      <c r="S941" s="97"/>
      <c r="T941" s="97">
        <f t="shared" ref="T941" si="7972">I941*S941*$T$2/1000</f>
        <v>0</v>
      </c>
      <c r="U941" s="97">
        <v>3</v>
      </c>
      <c r="V941" s="97">
        <f t="shared" ref="V941" si="7973">I941*U941*$V$2/1000</f>
        <v>51.167183999999999</v>
      </c>
      <c r="W941" s="97"/>
      <c r="X941" s="97">
        <f t="shared" ref="X941" si="7974">I941*W941*$X$2/1000</f>
        <v>0</v>
      </c>
      <c r="Y941" s="97">
        <f t="shared" ref="Y941" si="7975">SUM(S941+U941+W941)</f>
        <v>3</v>
      </c>
      <c r="Z941" s="97">
        <f t="shared" ref="Z941" si="7976">SUM(T941+V941+X941)</f>
        <v>51.167183999999999</v>
      </c>
      <c r="AA941" s="97"/>
      <c r="AB941" s="97">
        <f t="shared" si="7963"/>
        <v>0</v>
      </c>
      <c r="AC941" s="97"/>
      <c r="AD941" s="97">
        <f t="shared" ref="AD941" si="7977">K941*AC941*$AD$2/1000</f>
        <v>0</v>
      </c>
      <c r="AE941" s="97"/>
      <c r="AF941" s="97">
        <f t="shared" ref="AF941" si="7978">K941*AE941*$AF$2/1000</f>
        <v>0</v>
      </c>
      <c r="AG941" s="97">
        <f t="shared" si="7944"/>
        <v>0</v>
      </c>
      <c r="AH941" s="97">
        <f t="shared" ref="AH941" si="7979">SUM(AB941+AD941+AF941)</f>
        <v>0</v>
      </c>
      <c r="AI941" s="97">
        <f t="shared" ref="AI941" si="7980">SUM(Y941+AG941)</f>
        <v>3</v>
      </c>
      <c r="AJ941" s="97">
        <f t="shared" ref="AJ941" si="7981">SUM(Z941,AH941)</f>
        <v>51.167183999999999</v>
      </c>
      <c r="AK941" s="97"/>
      <c r="AL941" s="97">
        <f>M941*AK941*$AL$2/1000</f>
        <v>0</v>
      </c>
      <c r="AM941" s="97"/>
      <c r="AN941" s="97">
        <f t="shared" si="7964"/>
        <v>0</v>
      </c>
      <c r="AO941" s="97"/>
      <c r="AP941" s="97">
        <f t="shared" ref="AP941" si="7982">M941*AO941*$AP$2/1000</f>
        <v>0</v>
      </c>
      <c r="AQ941" s="97">
        <f t="shared" ref="AQ941" si="7983">SUM(AK941+AM941+AO941)</f>
        <v>0</v>
      </c>
      <c r="AR941" s="97">
        <f t="shared" ref="AR941" si="7984">SUM(AL941+AN941+AP941)</f>
        <v>0</v>
      </c>
      <c r="AS941" s="97"/>
      <c r="AT941" s="97">
        <f t="shared" ref="AT941" si="7985">O941*AS941*$AT$2/1000</f>
        <v>0</v>
      </c>
      <c r="AU941" s="97"/>
      <c r="AV941" s="97">
        <f t="shared" ref="AV941" si="7986">O941*AU941*$AV$2/1000</f>
        <v>0</v>
      </c>
      <c r="AW941" s="97"/>
      <c r="AX941" s="97">
        <f t="shared" ref="AX941" si="7987">O941*AW941*$AX$2/1000</f>
        <v>0</v>
      </c>
      <c r="AY941" s="97">
        <f t="shared" ref="AY941" si="7988">SUM(AS941+AU941+AW941)</f>
        <v>0</v>
      </c>
      <c r="AZ941" s="97">
        <f t="shared" ref="AZ941" si="7989">SUM(AT941+AV941+AX941)</f>
        <v>0</v>
      </c>
      <c r="BA941" s="97">
        <f t="shared" ref="BA941" si="7990">SUM(AQ941+AY941)</f>
        <v>0</v>
      </c>
      <c r="BB941" s="97">
        <f t="shared" ref="BB941" si="7991">SUM(AR941,AZ941)</f>
        <v>0</v>
      </c>
    </row>
    <row r="942" spans="1:54">
      <c r="A942" s="498">
        <v>651</v>
      </c>
      <c r="B942" s="13"/>
      <c r="C942" s="305" t="s">
        <v>510</v>
      </c>
      <c r="D942" s="303" t="s">
        <v>512</v>
      </c>
      <c r="E942" s="31" t="s">
        <v>640</v>
      </c>
      <c r="F942" s="314" t="s">
        <v>391</v>
      </c>
      <c r="G942" s="314" t="s">
        <v>1105</v>
      </c>
      <c r="H942" s="274" t="s">
        <v>441</v>
      </c>
      <c r="I942" s="62">
        <v>21.61</v>
      </c>
      <c r="J942" s="164"/>
      <c r="K942" s="62">
        <v>21.61</v>
      </c>
      <c r="L942" s="164"/>
      <c r="M942" s="62">
        <v>21.61</v>
      </c>
      <c r="N942" s="164"/>
      <c r="O942" s="62">
        <v>21.61</v>
      </c>
      <c r="P942" s="164"/>
      <c r="Q942" s="122">
        <f>SUM(AI942+BA942)</f>
        <v>0</v>
      </c>
      <c r="R942" s="346">
        <f>SUM(AJ942+BB942)</f>
        <v>0</v>
      </c>
      <c r="S942" s="122"/>
      <c r="T942" s="122">
        <f>I942*S942*$T$2/1000</f>
        <v>0</v>
      </c>
      <c r="U942" s="122"/>
      <c r="V942" s="122">
        <f>I942*U942*$V$2/1000</f>
        <v>0</v>
      </c>
      <c r="W942" s="122"/>
      <c r="X942" s="122">
        <f>I942*W942*$X$2/1000</f>
        <v>0</v>
      </c>
      <c r="Y942" s="122">
        <f>SUM(S942+U942+W942)</f>
        <v>0</v>
      </c>
      <c r="Z942" s="122">
        <f>SUM(T942+V942+X942)</f>
        <v>0</v>
      </c>
      <c r="AA942" s="122"/>
      <c r="AB942" s="125">
        <f t="shared" ref="AB942:AB948" si="7992">K942*AA942*$AB$2/1000</f>
        <v>0</v>
      </c>
      <c r="AC942" s="122"/>
      <c r="AD942" s="122">
        <f t="shared" ref="AD942:AD948" si="7993">K942*AC942*$AD$2/1000</f>
        <v>0</v>
      </c>
      <c r="AE942" s="122"/>
      <c r="AF942" s="122">
        <f>K942*AE942*$AF$2/1000</f>
        <v>0</v>
      </c>
      <c r="AG942" s="122">
        <f t="shared" si="7944"/>
        <v>0</v>
      </c>
      <c r="AH942" s="122">
        <f t="shared" ref="AH942:AH948" si="7994">SUM(AB942+AD942+AF942)</f>
        <v>0</v>
      </c>
      <c r="AI942" s="122">
        <f>SUM(Y942+AG942)</f>
        <v>0</v>
      </c>
      <c r="AJ942" s="122">
        <f t="shared" ref="AJ942:AJ948" si="7995">SUM(Z942,AH942)</f>
        <v>0</v>
      </c>
      <c r="AK942" s="122"/>
      <c r="AL942" s="122">
        <f>M942*AK942*$AL$2/1000</f>
        <v>0</v>
      </c>
      <c r="AM942" s="122"/>
      <c r="AN942" s="122">
        <f>M942*AM942*$AN$2/1000</f>
        <v>0</v>
      </c>
      <c r="AO942" s="122"/>
      <c r="AP942" s="122">
        <f t="shared" si="7694"/>
        <v>0</v>
      </c>
      <c r="AQ942" s="122">
        <f>SUM(AK942+AM942+AO942)</f>
        <v>0</v>
      </c>
      <c r="AR942" s="122">
        <f>SUM(AL942+AN942+AP942)</f>
        <v>0</v>
      </c>
      <c r="AS942" s="122"/>
      <c r="AT942" s="122">
        <f t="shared" ref="AT942:AT948" si="7996">O942*AS942*$AT$2/1000</f>
        <v>0</v>
      </c>
      <c r="AU942" s="122"/>
      <c r="AV942" s="122">
        <f>O942*AU942*$AV$2/1000</f>
        <v>0</v>
      </c>
      <c r="AW942" s="122"/>
      <c r="AX942" s="122">
        <f t="shared" ref="AX942:AX948" si="7997">O942*AW942*$AX$2/1000</f>
        <v>0</v>
      </c>
      <c r="AY942" s="122">
        <f t="shared" ref="AY942:AY948" si="7998">SUM(AS942+AU942+AW942)</f>
        <v>0</v>
      </c>
      <c r="AZ942" s="122">
        <f t="shared" ref="AZ942:AZ948" si="7999">SUM(AT942+AV942+AX942)</f>
        <v>0</v>
      </c>
      <c r="BA942" s="122">
        <f t="shared" ref="BA942:BA948" si="8000">SUM(AQ942+AY942)</f>
        <v>0</v>
      </c>
      <c r="BB942" s="122">
        <f t="shared" ref="BB942:BB948" si="8001">SUM(AR942,AZ942)</f>
        <v>0</v>
      </c>
    </row>
    <row r="943" spans="1:54">
      <c r="A943" s="498">
        <v>652</v>
      </c>
      <c r="B943" s="13"/>
      <c r="C943" s="302"/>
      <c r="D943" s="13" t="s">
        <v>513</v>
      </c>
      <c r="E943" s="21" t="s">
        <v>641</v>
      </c>
      <c r="F943" s="46" t="s">
        <v>382</v>
      </c>
      <c r="G943" s="46" t="s">
        <v>1105</v>
      </c>
      <c r="H943" s="268" t="s">
        <v>366</v>
      </c>
      <c r="I943" s="55">
        <v>21.61</v>
      </c>
      <c r="J943" s="163"/>
      <c r="K943" s="55">
        <v>21.61</v>
      </c>
      <c r="L943" s="163"/>
      <c r="M943" s="55">
        <v>21.61</v>
      </c>
      <c r="N943" s="163"/>
      <c r="O943" s="55">
        <v>21.61</v>
      </c>
      <c r="P943" s="163"/>
      <c r="Q943" s="97">
        <f t="shared" ref="Q943" si="8002">SUM(AI943+BA943)</f>
        <v>0</v>
      </c>
      <c r="R943" s="342">
        <f t="shared" ref="R943" si="8003">SUM(AJ943+BB943)</f>
        <v>0</v>
      </c>
      <c r="S943" s="97"/>
      <c r="T943" s="97">
        <f t="shared" ref="T943" si="8004">I943*S943*$T$2/1000</f>
        <v>0</v>
      </c>
      <c r="U943" s="97"/>
      <c r="V943" s="97">
        <f t="shared" ref="V943" si="8005">I943*U943*$V$2/1000</f>
        <v>0</v>
      </c>
      <c r="W943" s="97"/>
      <c r="X943" s="97">
        <f t="shared" ref="X943" si="8006">I943*W943*$X$2/1000</f>
        <v>0</v>
      </c>
      <c r="Y943" s="97">
        <f t="shared" ref="Y943" si="8007">SUM(S943+U943+W943)</f>
        <v>0</v>
      </c>
      <c r="Z943" s="97">
        <f t="shared" ref="Z943" si="8008">SUM(T943+V943+X943)</f>
        <v>0</v>
      </c>
      <c r="AA943" s="97"/>
      <c r="AB943" s="96">
        <f t="shared" si="7992"/>
        <v>0</v>
      </c>
      <c r="AC943" s="97"/>
      <c r="AD943" s="97">
        <f t="shared" si="7993"/>
        <v>0</v>
      </c>
      <c r="AE943" s="97"/>
      <c r="AF943" s="97">
        <f t="shared" ref="AF943:AF1013" si="8009">K943*AE943*$AF$2/1000</f>
        <v>0</v>
      </c>
      <c r="AG943" s="97">
        <f t="shared" ref="AG943" si="8010">SUM(AA943+AC943+AE943)</f>
        <v>0</v>
      </c>
      <c r="AH943" s="97">
        <f t="shared" si="7994"/>
        <v>0</v>
      </c>
      <c r="AI943" s="97">
        <f t="shared" ref="AI943" si="8011">SUM(Y943+AG943)</f>
        <v>0</v>
      </c>
      <c r="AJ943" s="97">
        <f t="shared" si="7995"/>
        <v>0</v>
      </c>
      <c r="AK943" s="97"/>
      <c r="AL943" s="97">
        <f t="shared" ref="AL943" si="8012">M943*AK943*$AL$2/1000</f>
        <v>0</v>
      </c>
      <c r="AM943" s="97"/>
      <c r="AN943" s="97">
        <f t="shared" ref="AN943" si="8013">M943*AM943*$AN$2/1000</f>
        <v>0</v>
      </c>
      <c r="AO943" s="97"/>
      <c r="AP943" s="97">
        <f t="shared" ref="AP943:AP944" si="8014">M943*AO943*$AP$2/1000</f>
        <v>0</v>
      </c>
      <c r="AQ943" s="97">
        <f t="shared" ref="AQ943" si="8015">SUM(AK943+AM943+AO943)</f>
        <v>0</v>
      </c>
      <c r="AR943" s="97">
        <f t="shared" ref="AR943" si="8016">SUM(AL943+AN943+AP943)</f>
        <v>0</v>
      </c>
      <c r="AS943" s="97"/>
      <c r="AT943" s="97">
        <f t="shared" si="7996"/>
        <v>0</v>
      </c>
      <c r="AU943" s="97"/>
      <c r="AV943" s="97">
        <f t="shared" ref="AV943" si="8017">O943*AU943*$AV$2/1000</f>
        <v>0</v>
      </c>
      <c r="AW943" s="97"/>
      <c r="AX943" s="97">
        <f t="shared" si="7997"/>
        <v>0</v>
      </c>
      <c r="AY943" s="97">
        <f t="shared" si="7998"/>
        <v>0</v>
      </c>
      <c r="AZ943" s="97">
        <f t="shared" si="7999"/>
        <v>0</v>
      </c>
      <c r="BA943" s="97">
        <f t="shared" si="8000"/>
        <v>0</v>
      </c>
      <c r="BB943" s="97">
        <f t="shared" si="8001"/>
        <v>0</v>
      </c>
    </row>
    <row r="944" spans="1:54">
      <c r="A944" s="498">
        <v>653</v>
      </c>
      <c r="B944" s="13"/>
      <c r="C944" s="302"/>
      <c r="D944" s="13" t="s">
        <v>395</v>
      </c>
      <c r="E944" s="21" t="s">
        <v>642</v>
      </c>
      <c r="F944" s="46" t="s">
        <v>391</v>
      </c>
      <c r="G944" s="46" t="s">
        <v>1105</v>
      </c>
      <c r="H944" s="268" t="s">
        <v>441</v>
      </c>
      <c r="I944" s="55">
        <v>21.61</v>
      </c>
      <c r="J944" s="163"/>
      <c r="K944" s="55">
        <v>21.61</v>
      </c>
      <c r="L944" s="163"/>
      <c r="M944" s="55">
        <v>21.61</v>
      </c>
      <c r="N944" s="163"/>
      <c r="O944" s="55">
        <v>21.61</v>
      </c>
      <c r="P944" s="163"/>
      <c r="Q944" s="97">
        <f t="shared" ref="Q944:R948" si="8018">SUM(AI944+BA944)</f>
        <v>0</v>
      </c>
      <c r="R944" s="342">
        <f t="shared" si="8018"/>
        <v>0</v>
      </c>
      <c r="S944" s="97"/>
      <c r="T944" s="97">
        <f t="shared" ref="T944:T948" si="8019">I944*S944*$T$2/1000</f>
        <v>0</v>
      </c>
      <c r="U944" s="97"/>
      <c r="V944" s="97">
        <f t="shared" ref="V944:V948" si="8020">I944*U944*$V$2/1000</f>
        <v>0</v>
      </c>
      <c r="W944" s="97"/>
      <c r="X944" s="97">
        <f t="shared" ref="X944:X948" si="8021">I944*W944*$X$2/1000</f>
        <v>0</v>
      </c>
      <c r="Y944" s="97">
        <f t="shared" ref="Y944:Y948" si="8022">SUM(S944+U944+W944)</f>
        <v>0</v>
      </c>
      <c r="Z944" s="97">
        <f>SUM(T944+V944+X944)</f>
        <v>0</v>
      </c>
      <c r="AA944" s="97"/>
      <c r="AB944" s="96">
        <f t="shared" si="7992"/>
        <v>0</v>
      </c>
      <c r="AC944" s="97"/>
      <c r="AD944" s="97">
        <f t="shared" si="7993"/>
        <v>0</v>
      </c>
      <c r="AE944" s="97"/>
      <c r="AF944" s="97">
        <f t="shared" si="8009"/>
        <v>0</v>
      </c>
      <c r="AG944" s="97">
        <f>SUM(AA944+AC944+AE944)</f>
        <v>0</v>
      </c>
      <c r="AH944" s="97">
        <f t="shared" si="7994"/>
        <v>0</v>
      </c>
      <c r="AI944" s="97">
        <f>SUM(Y944+AG944)</f>
        <v>0</v>
      </c>
      <c r="AJ944" s="97">
        <f t="shared" si="7995"/>
        <v>0</v>
      </c>
      <c r="AK944" s="97"/>
      <c r="AL944" s="97">
        <f>M944*AK944*$AL$2/1000</f>
        <v>0</v>
      </c>
      <c r="AM944" s="97"/>
      <c r="AN944" s="97">
        <f>M944*AM944*$AN$2/1000</f>
        <v>0</v>
      </c>
      <c r="AO944" s="97"/>
      <c r="AP944" s="97">
        <f t="shared" si="8014"/>
        <v>0</v>
      </c>
      <c r="AQ944" s="97">
        <f t="shared" ref="AQ944:AQ948" si="8023">SUM(AK944+AM944+AO944)</f>
        <v>0</v>
      </c>
      <c r="AR944" s="97">
        <f>SUM(AL944+AN944+AP944)</f>
        <v>0</v>
      </c>
      <c r="AS944" s="97"/>
      <c r="AT944" s="97">
        <f t="shared" si="7996"/>
        <v>0</v>
      </c>
      <c r="AU944" s="97"/>
      <c r="AV944" s="97">
        <f>O944*AU944*$AV$2/1000</f>
        <v>0</v>
      </c>
      <c r="AW944" s="97"/>
      <c r="AX944" s="97">
        <f t="shared" si="7997"/>
        <v>0</v>
      </c>
      <c r="AY944" s="97">
        <f t="shared" si="7998"/>
        <v>0</v>
      </c>
      <c r="AZ944" s="97">
        <f t="shared" si="7999"/>
        <v>0</v>
      </c>
      <c r="BA944" s="97">
        <f t="shared" si="8000"/>
        <v>0</v>
      </c>
      <c r="BB944" s="97">
        <f t="shared" si="8001"/>
        <v>0</v>
      </c>
    </row>
    <row r="945" spans="1:54">
      <c r="A945" s="498">
        <v>654</v>
      </c>
      <c r="B945" s="13"/>
      <c r="C945" s="302"/>
      <c r="D945" s="13" t="s">
        <v>810</v>
      </c>
      <c r="E945" s="21" t="s">
        <v>1458</v>
      </c>
      <c r="F945" s="46" t="s">
        <v>391</v>
      </c>
      <c r="G945" s="46" t="s">
        <v>1105</v>
      </c>
      <c r="H945" s="268" t="s">
        <v>366</v>
      </c>
      <c r="I945" s="55">
        <v>23.95</v>
      </c>
      <c r="J945" s="163"/>
      <c r="K945" s="55">
        <v>23.95</v>
      </c>
      <c r="L945" s="163"/>
      <c r="M945" s="55">
        <v>23.95</v>
      </c>
      <c r="N945" s="163"/>
      <c r="O945" s="55">
        <v>23.95</v>
      </c>
      <c r="P945" s="163"/>
      <c r="Q945" s="97">
        <f t="shared" ref="Q945" si="8024">SUM(AI945+BA945)</f>
        <v>0</v>
      </c>
      <c r="R945" s="342">
        <f t="shared" ref="R945" si="8025">SUM(AJ945+BB945)</f>
        <v>0</v>
      </c>
      <c r="S945" s="97"/>
      <c r="T945" s="97">
        <f t="shared" si="8019"/>
        <v>0</v>
      </c>
      <c r="U945" s="97"/>
      <c r="V945" s="97">
        <f t="shared" si="8020"/>
        <v>0</v>
      </c>
      <c r="W945" s="97"/>
      <c r="X945" s="97">
        <f t="shared" si="8021"/>
        <v>0</v>
      </c>
      <c r="Y945" s="97">
        <f t="shared" ref="Y945" si="8026">SUM(S945+U945+W945)</f>
        <v>0</v>
      </c>
      <c r="Z945" s="97">
        <f t="shared" ref="Z945" si="8027">SUM(T945+V945+X945)</f>
        <v>0</v>
      </c>
      <c r="AA945" s="97"/>
      <c r="AB945" s="96">
        <f t="shared" ref="AB945" si="8028">K945*AA945*$AB$2/1000</f>
        <v>0</v>
      </c>
      <c r="AC945" s="97"/>
      <c r="AD945" s="97">
        <f t="shared" ref="AD945" si="8029">K945*AC945*$AD$2/1000</f>
        <v>0</v>
      </c>
      <c r="AE945" s="97"/>
      <c r="AF945" s="97">
        <f t="shared" ref="AF945" si="8030">K945*AE945*$AF$2/1000</f>
        <v>0</v>
      </c>
      <c r="AG945" s="97">
        <f>SUM(AA945+AC945+AE945)</f>
        <v>0</v>
      </c>
      <c r="AH945" s="97">
        <f t="shared" ref="AH945" si="8031">SUM(AB945+AD945+AF945)</f>
        <v>0</v>
      </c>
      <c r="AI945" s="97">
        <f>SUM(Y945+AG945)</f>
        <v>0</v>
      </c>
      <c r="AJ945" s="97">
        <f t="shared" ref="AJ945" si="8032">SUM(Z945,AH945)</f>
        <v>0</v>
      </c>
      <c r="AK945" s="97"/>
      <c r="AL945" s="97">
        <f>M945*AK945*$AL$2/1000</f>
        <v>0</v>
      </c>
      <c r="AM945" s="97"/>
      <c r="AN945" s="97">
        <f>M945*AM945*$AN$2/1000</f>
        <v>0</v>
      </c>
      <c r="AO945" s="97"/>
      <c r="AP945" s="97">
        <f t="shared" ref="AP945" si="8033">M945*AO945*$AP$2/1000</f>
        <v>0</v>
      </c>
      <c r="AQ945" s="97">
        <f t="shared" ref="AQ945" si="8034">SUM(AK945+AM945+AO945)</f>
        <v>0</v>
      </c>
      <c r="AR945" s="97">
        <f>SUM(AL945+AN945+AP945)</f>
        <v>0</v>
      </c>
      <c r="AS945" s="97"/>
      <c r="AT945" s="97">
        <f t="shared" ref="AT945" si="8035">O945*AS945*$AT$2/1000</f>
        <v>0</v>
      </c>
      <c r="AU945" s="97"/>
      <c r="AV945" s="97">
        <f>O945*AU945*$AV$2/1000</f>
        <v>0</v>
      </c>
      <c r="AW945" s="97"/>
      <c r="AX945" s="97">
        <f t="shared" ref="AX945" si="8036">O945*AW945*$AX$2/1000</f>
        <v>0</v>
      </c>
      <c r="AY945" s="97">
        <f t="shared" ref="AY945" si="8037">SUM(AS945+AU945+AW945)</f>
        <v>0</v>
      </c>
      <c r="AZ945" s="97">
        <f t="shared" ref="AZ945" si="8038">SUM(AT945+AV945+AX945)</f>
        <v>0</v>
      </c>
      <c r="BA945" s="97">
        <f t="shared" ref="BA945" si="8039">SUM(AQ945+AY945)</f>
        <v>0</v>
      </c>
      <c r="BB945" s="97">
        <f t="shared" ref="BB945" si="8040">SUM(AR945,AZ945)</f>
        <v>0</v>
      </c>
    </row>
    <row r="946" spans="1:54">
      <c r="A946" s="498">
        <v>656</v>
      </c>
      <c r="B946" s="13"/>
      <c r="C946" s="302"/>
      <c r="D946" s="13" t="s">
        <v>395</v>
      </c>
      <c r="E946" s="21" t="s">
        <v>1797</v>
      </c>
      <c r="F946" s="46" t="s">
        <v>385</v>
      </c>
      <c r="G946" s="46" t="s">
        <v>1105</v>
      </c>
      <c r="H946" s="268" t="s">
        <v>441</v>
      </c>
      <c r="I946" s="55"/>
      <c r="J946" s="163"/>
      <c r="K946" s="55"/>
      <c r="L946" s="163"/>
      <c r="M946" s="55">
        <v>23.47</v>
      </c>
      <c r="N946" s="163"/>
      <c r="O946" s="55">
        <v>23.47</v>
      </c>
      <c r="P946" s="163"/>
      <c r="Q946" s="97">
        <f t="shared" ref="Q946:Q947" si="8041">SUM(AI946+BA946)</f>
        <v>0.1</v>
      </c>
      <c r="R946" s="342">
        <f t="shared" ref="R946:R947" si="8042">SUM(AJ946+BB946)</f>
        <v>3.2460887599999997</v>
      </c>
      <c r="S946" s="97"/>
      <c r="T946" s="97">
        <f t="shared" si="8019"/>
        <v>0</v>
      </c>
      <c r="U946" s="97"/>
      <c r="V946" s="97">
        <f t="shared" si="8020"/>
        <v>0</v>
      </c>
      <c r="W946" s="97"/>
      <c r="X946" s="97">
        <f t="shared" si="8021"/>
        <v>0</v>
      </c>
      <c r="Y946" s="97">
        <f t="shared" ref="Y946" si="8043">SUM(S946+U946+W946)</f>
        <v>0</v>
      </c>
      <c r="Z946" s="97">
        <f t="shared" ref="Z946" si="8044">SUM(T946+V946+X946)</f>
        <v>0</v>
      </c>
      <c r="AA946" s="97"/>
      <c r="AB946" s="96">
        <f t="shared" si="7992"/>
        <v>0</v>
      </c>
      <c r="AC946" s="97"/>
      <c r="AD946" s="97">
        <f t="shared" si="7993"/>
        <v>0</v>
      </c>
      <c r="AE946" s="97"/>
      <c r="AF946" s="97">
        <f t="shared" si="8009"/>
        <v>0</v>
      </c>
      <c r="AG946" s="97">
        <f>SUM(AA946+AC946+AE946)</f>
        <v>0</v>
      </c>
      <c r="AH946" s="97">
        <f>SUM(AB946+AD946+AF946)</f>
        <v>0</v>
      </c>
      <c r="AI946" s="97">
        <f>SUM(Y946+AG946)</f>
        <v>0</v>
      </c>
      <c r="AJ946" s="97">
        <f t="shared" si="7995"/>
        <v>0</v>
      </c>
      <c r="AK946" s="97">
        <v>0.1</v>
      </c>
      <c r="AL946" s="97">
        <f>M946*AK946*$AL$2/1000</f>
        <v>3.2460887599999997</v>
      </c>
      <c r="AM946" s="97"/>
      <c r="AN946" s="97">
        <f>M946*AM946*$AN$2/1000</f>
        <v>0</v>
      </c>
      <c r="AO946" s="97"/>
      <c r="AP946" s="97">
        <f>M946*AO946*$AP$2/1000</f>
        <v>0</v>
      </c>
      <c r="AQ946" s="97">
        <f t="shared" ref="AQ946" si="8045">SUM(AK946+AM946+AO946)</f>
        <v>0.1</v>
      </c>
      <c r="AR946" s="97">
        <f>SUM(AL946+AN946+AP946)</f>
        <v>3.2460887599999997</v>
      </c>
      <c r="AS946" s="97"/>
      <c r="AT946" s="97">
        <f t="shared" si="7996"/>
        <v>0</v>
      </c>
      <c r="AU946" s="97"/>
      <c r="AV946" s="97">
        <f>O946*AU946*$AV$2/1000</f>
        <v>0</v>
      </c>
      <c r="AW946" s="97"/>
      <c r="AX946" s="97">
        <f t="shared" si="7997"/>
        <v>0</v>
      </c>
      <c r="AY946" s="97">
        <f t="shared" ref="AY946" si="8046">SUM(AS946+AU946+AW946)</f>
        <v>0</v>
      </c>
      <c r="AZ946" s="97">
        <f t="shared" ref="AZ946" si="8047">SUM(AT946+AV946+AX946)</f>
        <v>0</v>
      </c>
      <c r="BA946" s="97">
        <f t="shared" ref="BA946:BA947" si="8048">SUM(AQ946+AY946)</f>
        <v>0.1</v>
      </c>
      <c r="BB946" s="97">
        <f t="shared" ref="BB946:BB947" si="8049">SUM(AR946,AZ946)</f>
        <v>3.2460887599999997</v>
      </c>
    </row>
    <row r="947" spans="1:54">
      <c r="A947" s="498">
        <v>657</v>
      </c>
      <c r="B947" s="13"/>
      <c r="C947" s="13"/>
      <c r="D947" s="13" t="s">
        <v>395</v>
      </c>
      <c r="E947" s="21" t="s">
        <v>1355</v>
      </c>
      <c r="F947" s="46" t="s">
        <v>385</v>
      </c>
      <c r="G947" s="46" t="s">
        <v>1105</v>
      </c>
      <c r="H947" s="268" t="s">
        <v>366</v>
      </c>
      <c r="I947" s="55">
        <v>23.95</v>
      </c>
      <c r="J947" s="102"/>
      <c r="K947" s="55">
        <v>23.95</v>
      </c>
      <c r="L947" s="163"/>
      <c r="M947" s="55">
        <v>23.95</v>
      </c>
      <c r="N947" s="163"/>
      <c r="O947" s="55">
        <v>23.95</v>
      </c>
      <c r="P947" s="102"/>
      <c r="Q947" s="97">
        <f t="shared" si="8041"/>
        <v>6.1189999999999998</v>
      </c>
      <c r="R947" s="342">
        <f t="shared" si="8042"/>
        <v>197.69147652999999</v>
      </c>
      <c r="S947" s="97"/>
      <c r="T947" s="97">
        <f t="shared" si="8019"/>
        <v>0</v>
      </c>
      <c r="U947" s="97"/>
      <c r="V947" s="177">
        <f t="shared" si="8020"/>
        <v>0</v>
      </c>
      <c r="W947" s="207">
        <v>3.3690000000000002</v>
      </c>
      <c r="X947" s="206">
        <f t="shared" si="8021"/>
        <v>107.36285402999999</v>
      </c>
      <c r="Y947" s="189">
        <f>SUM(S947+U947+W947)</f>
        <v>3.3690000000000002</v>
      </c>
      <c r="Z947" s="177">
        <f t="shared" ref="Z947" si="8050">SUM(T947+V947+X947)</f>
        <v>107.36285402999999</v>
      </c>
      <c r="AA947" s="207">
        <v>0.75</v>
      </c>
      <c r="AB947" s="206">
        <f>K947*AA947*$AB$2/1000</f>
        <v>24.503005499999997</v>
      </c>
      <c r="AC947" s="207">
        <v>1</v>
      </c>
      <c r="AD947" s="177">
        <f>K947*AC947*$AD$2/1000</f>
        <v>32.8026385</v>
      </c>
      <c r="AE947" s="207">
        <v>1</v>
      </c>
      <c r="AF947" s="206">
        <f t="shared" si="8009"/>
        <v>33.022978500000001</v>
      </c>
      <c r="AG947" s="189">
        <f t="shared" ref="AG947" si="8051">SUM(AA947+AC947+AE947)</f>
        <v>2.75</v>
      </c>
      <c r="AH947" s="97">
        <f>SUM(AB947+AD947+AF947)</f>
        <v>90.328622499999994</v>
      </c>
      <c r="AI947" s="97">
        <f t="shared" ref="AI947" si="8052">SUM(Y947+AG947)</f>
        <v>6.1189999999999998</v>
      </c>
      <c r="AJ947" s="177">
        <f t="shared" si="7995"/>
        <v>197.69147652999999</v>
      </c>
      <c r="AK947" s="207"/>
      <c r="AL947" s="177">
        <f t="shared" ref="AL947" si="8053">M947*AK947*$AL$2/1000</f>
        <v>0</v>
      </c>
      <c r="AM947" s="245"/>
      <c r="AN947" s="177">
        <f t="shared" ref="AN947" si="8054">M947*AM947*$AN$2/1000</f>
        <v>0</v>
      </c>
      <c r="AO947" s="207"/>
      <c r="AP947" s="206">
        <f t="shared" ref="AP947" si="8055">M947*AO947*$AP$2/1000</f>
        <v>0</v>
      </c>
      <c r="AQ947" s="189">
        <f t="shared" ref="AQ947" si="8056">SUM(AK947+AM947+AO947)</f>
        <v>0</v>
      </c>
      <c r="AR947" s="97">
        <f t="shared" ref="AR947" si="8057">SUM(AL947+AN947+AP947)</f>
        <v>0</v>
      </c>
      <c r="AS947" s="97"/>
      <c r="AT947" s="177">
        <f t="shared" si="7996"/>
        <v>0</v>
      </c>
      <c r="AU947" s="207"/>
      <c r="AV947" s="177">
        <f t="shared" ref="AV947" si="8058">O947*AU947*$AV$2/1000</f>
        <v>0</v>
      </c>
      <c r="AW947" s="207"/>
      <c r="AX947" s="206">
        <f t="shared" si="7997"/>
        <v>0</v>
      </c>
      <c r="AY947" s="189">
        <f t="shared" ref="AY947" si="8059">SUM(AS947+AU947+AW947)</f>
        <v>0</v>
      </c>
      <c r="AZ947" s="97">
        <f t="shared" ref="AZ947" si="8060">SUM(AT947+AV947+AX947)</f>
        <v>0</v>
      </c>
      <c r="BA947" s="97">
        <f t="shared" si="8048"/>
        <v>0</v>
      </c>
      <c r="BB947" s="97">
        <f t="shared" si="8049"/>
        <v>0</v>
      </c>
    </row>
    <row r="948" spans="1:54">
      <c r="A948" s="498">
        <v>658</v>
      </c>
      <c r="B948" s="13"/>
      <c r="C948" s="302"/>
      <c r="D948" s="13" t="s">
        <v>678</v>
      </c>
      <c r="E948" s="21" t="s">
        <v>1200</v>
      </c>
      <c r="F948" s="46" t="s">
        <v>391</v>
      </c>
      <c r="G948" s="46" t="s">
        <v>1105</v>
      </c>
      <c r="H948" s="268" t="s">
        <v>441</v>
      </c>
      <c r="I948" s="55">
        <v>23.71</v>
      </c>
      <c r="J948" s="163"/>
      <c r="K948" s="55">
        <v>23.71</v>
      </c>
      <c r="L948" s="163"/>
      <c r="M948" s="55">
        <v>23.71</v>
      </c>
      <c r="N948" s="163"/>
      <c r="O948" s="55">
        <v>23.71</v>
      </c>
      <c r="P948" s="163"/>
      <c r="Q948" s="97">
        <f t="shared" si="8018"/>
        <v>0</v>
      </c>
      <c r="R948" s="342">
        <f t="shared" si="8018"/>
        <v>0</v>
      </c>
      <c r="S948" s="97"/>
      <c r="T948" s="97">
        <f t="shared" si="8019"/>
        <v>0</v>
      </c>
      <c r="U948" s="97"/>
      <c r="V948" s="97">
        <f t="shared" si="8020"/>
        <v>0</v>
      </c>
      <c r="W948" s="97"/>
      <c r="X948" s="97">
        <f t="shared" si="8021"/>
        <v>0</v>
      </c>
      <c r="Y948" s="97">
        <f t="shared" si="8022"/>
        <v>0</v>
      </c>
      <c r="Z948" s="97">
        <f>SUM(T948+V948+X948)</f>
        <v>0</v>
      </c>
      <c r="AA948" s="97"/>
      <c r="AB948" s="96">
        <f t="shared" si="7992"/>
        <v>0</v>
      </c>
      <c r="AC948" s="97"/>
      <c r="AD948" s="97">
        <f t="shared" si="7993"/>
        <v>0</v>
      </c>
      <c r="AE948" s="97"/>
      <c r="AF948" s="97">
        <f t="shared" ref="AF948" si="8061">K948*AE948*$AF$2/1000</f>
        <v>0</v>
      </c>
      <c r="AG948" s="97">
        <f>SUM(AA948+AC948+AE948)</f>
        <v>0</v>
      </c>
      <c r="AH948" s="97">
        <f t="shared" si="7994"/>
        <v>0</v>
      </c>
      <c r="AI948" s="97">
        <f>SUM(Y948+AG948)</f>
        <v>0</v>
      </c>
      <c r="AJ948" s="97">
        <f t="shared" si="7995"/>
        <v>0</v>
      </c>
      <c r="AK948" s="97"/>
      <c r="AL948" s="97">
        <f>M948*AK948*$AL$2/1000</f>
        <v>0</v>
      </c>
      <c r="AM948" s="97"/>
      <c r="AN948" s="97">
        <f>M948*AM948*$AN$2/1000</f>
        <v>0</v>
      </c>
      <c r="AO948" s="97"/>
      <c r="AP948" s="97">
        <f>M948*AO948*$AP$2/1000</f>
        <v>0</v>
      </c>
      <c r="AQ948" s="97">
        <f t="shared" si="8023"/>
        <v>0</v>
      </c>
      <c r="AR948" s="97">
        <f>SUM(AL948+AN948+AP948)</f>
        <v>0</v>
      </c>
      <c r="AS948" s="97"/>
      <c r="AT948" s="97">
        <f t="shared" si="7996"/>
        <v>0</v>
      </c>
      <c r="AU948" s="97"/>
      <c r="AV948" s="97">
        <f>O948*AU948*$AV$2/1000</f>
        <v>0</v>
      </c>
      <c r="AW948" s="97"/>
      <c r="AX948" s="97">
        <f t="shared" si="7997"/>
        <v>0</v>
      </c>
      <c r="AY948" s="97">
        <f t="shared" si="7998"/>
        <v>0</v>
      </c>
      <c r="AZ948" s="97">
        <f t="shared" si="7999"/>
        <v>0</v>
      </c>
      <c r="BA948" s="97">
        <f t="shared" si="8000"/>
        <v>0</v>
      </c>
      <c r="BB948" s="97">
        <f t="shared" si="8001"/>
        <v>0</v>
      </c>
    </row>
    <row r="949" spans="1:54">
      <c r="A949" s="498">
        <v>659</v>
      </c>
      <c r="B949" s="13"/>
      <c r="C949" s="429" t="s">
        <v>509</v>
      </c>
      <c r="D949" s="13" t="s">
        <v>286</v>
      </c>
      <c r="E949" s="90" t="s">
        <v>643</v>
      </c>
      <c r="F949" s="430" t="s">
        <v>385</v>
      </c>
      <c r="G949" s="430" t="s">
        <v>1105</v>
      </c>
      <c r="H949" s="287" t="s">
        <v>441</v>
      </c>
      <c r="I949" s="76">
        <v>9.6199999999999992</v>
      </c>
      <c r="J949" s="168"/>
      <c r="K949" s="76">
        <v>9.6199999999999992</v>
      </c>
      <c r="L949" s="168"/>
      <c r="M949" s="76">
        <v>9.6199999999999992</v>
      </c>
      <c r="N949" s="168"/>
      <c r="O949" s="76">
        <v>9.6199999999999992</v>
      </c>
      <c r="P949" s="168"/>
      <c r="Q949" s="131">
        <f t="shared" si="7455"/>
        <v>0</v>
      </c>
      <c r="R949" s="352">
        <f t="shared" si="7455"/>
        <v>0</v>
      </c>
      <c r="S949" s="131"/>
      <c r="T949" s="131">
        <f t="shared" si="7456"/>
        <v>0</v>
      </c>
      <c r="U949" s="131"/>
      <c r="V949" s="131">
        <f t="shared" si="7457"/>
        <v>0</v>
      </c>
      <c r="W949" s="131"/>
      <c r="X949" s="131">
        <f t="shared" si="7458"/>
        <v>0</v>
      </c>
      <c r="Y949" s="131">
        <f t="shared" si="7459"/>
        <v>0</v>
      </c>
      <c r="Z949" s="131">
        <f t="shared" si="7460"/>
        <v>0</v>
      </c>
      <c r="AA949" s="131"/>
      <c r="AB949" s="131">
        <f t="shared" si="7461"/>
        <v>0</v>
      </c>
      <c r="AC949" s="131"/>
      <c r="AD949" s="131">
        <f t="shared" si="7501"/>
        <v>0</v>
      </c>
      <c r="AE949" s="131"/>
      <c r="AF949" s="131">
        <f t="shared" si="8009"/>
        <v>0</v>
      </c>
      <c r="AG949" s="131">
        <f t="shared" si="7462"/>
        <v>0</v>
      </c>
      <c r="AH949" s="131">
        <f t="shared" si="7463"/>
        <v>0</v>
      </c>
      <c r="AI949" s="131">
        <f t="shared" si="7464"/>
        <v>0</v>
      </c>
      <c r="AJ949" s="131">
        <f t="shared" si="7465"/>
        <v>0</v>
      </c>
      <c r="AK949" s="131"/>
      <c r="AL949" s="131">
        <f t="shared" si="7466"/>
        <v>0</v>
      </c>
      <c r="AM949" s="131"/>
      <c r="AN949" s="131">
        <f t="shared" si="7467"/>
        <v>0</v>
      </c>
      <c r="AO949" s="131"/>
      <c r="AP949" s="131">
        <f t="shared" ref="AP949:AP955" si="8062">M949*AO949*$AP$2/1000</f>
        <v>0</v>
      </c>
      <c r="AQ949" s="131">
        <f t="shared" si="7469"/>
        <v>0</v>
      </c>
      <c r="AR949" s="131">
        <f t="shared" si="7470"/>
        <v>0</v>
      </c>
      <c r="AS949" s="131"/>
      <c r="AT949" s="131">
        <f t="shared" si="7471"/>
        <v>0</v>
      </c>
      <c r="AU949" s="131"/>
      <c r="AV949" s="131">
        <f t="shared" si="7472"/>
        <v>0</v>
      </c>
      <c r="AW949" s="131"/>
      <c r="AX949" s="131">
        <f t="shared" si="7473"/>
        <v>0</v>
      </c>
      <c r="AY949" s="131">
        <f t="shared" si="7474"/>
        <v>0</v>
      </c>
      <c r="AZ949" s="131">
        <f t="shared" si="7475"/>
        <v>0</v>
      </c>
      <c r="BA949" s="131">
        <f t="shared" si="7476"/>
        <v>0</v>
      </c>
      <c r="BB949" s="131">
        <f t="shared" si="7477"/>
        <v>0</v>
      </c>
    </row>
    <row r="950" spans="1:54">
      <c r="A950" s="498">
        <v>660</v>
      </c>
      <c r="B950" s="13"/>
      <c r="C950" s="302"/>
      <c r="D950" s="13" t="s">
        <v>386</v>
      </c>
      <c r="E950" s="21" t="s">
        <v>644</v>
      </c>
      <c r="F950" s="46" t="s">
        <v>387</v>
      </c>
      <c r="G950" s="46" t="s">
        <v>1105</v>
      </c>
      <c r="H950" s="268" t="s">
        <v>441</v>
      </c>
      <c r="I950" s="55">
        <v>9.6199999999999992</v>
      </c>
      <c r="J950" s="163"/>
      <c r="K950" s="55">
        <v>9.6199999999999992</v>
      </c>
      <c r="L950" s="163"/>
      <c r="M950" s="55">
        <v>9.6199999999999992</v>
      </c>
      <c r="N950" s="163"/>
      <c r="O950" s="55">
        <v>9.6199999999999992</v>
      </c>
      <c r="P950" s="163"/>
      <c r="Q950" s="97">
        <f t="shared" si="7455"/>
        <v>0</v>
      </c>
      <c r="R950" s="342">
        <f t="shared" si="7455"/>
        <v>0</v>
      </c>
      <c r="S950" s="97"/>
      <c r="T950" s="97">
        <f t="shared" si="7456"/>
        <v>0</v>
      </c>
      <c r="U950" s="97"/>
      <c r="V950" s="97">
        <f t="shared" si="7457"/>
        <v>0</v>
      </c>
      <c r="W950" s="97"/>
      <c r="X950" s="97">
        <f t="shared" si="7458"/>
        <v>0</v>
      </c>
      <c r="Y950" s="97">
        <f t="shared" si="7459"/>
        <v>0</v>
      </c>
      <c r="Z950" s="97">
        <f t="shared" si="7460"/>
        <v>0</v>
      </c>
      <c r="AA950" s="97"/>
      <c r="AB950" s="97">
        <f t="shared" si="7461"/>
        <v>0</v>
      </c>
      <c r="AC950" s="97"/>
      <c r="AD950" s="97">
        <f t="shared" si="7501"/>
        <v>0</v>
      </c>
      <c r="AE950" s="97"/>
      <c r="AF950" s="97">
        <f t="shared" si="8009"/>
        <v>0</v>
      </c>
      <c r="AG950" s="97">
        <f t="shared" si="7462"/>
        <v>0</v>
      </c>
      <c r="AH950" s="97">
        <f t="shared" si="7463"/>
        <v>0</v>
      </c>
      <c r="AI950" s="97">
        <f t="shared" si="7464"/>
        <v>0</v>
      </c>
      <c r="AJ950" s="97">
        <f t="shared" si="7465"/>
        <v>0</v>
      </c>
      <c r="AK950" s="97"/>
      <c r="AL950" s="97">
        <f t="shared" si="7466"/>
        <v>0</v>
      </c>
      <c r="AM950" s="97"/>
      <c r="AN950" s="97">
        <f t="shared" si="7467"/>
        <v>0</v>
      </c>
      <c r="AO950" s="97"/>
      <c r="AP950" s="97">
        <f t="shared" si="8062"/>
        <v>0</v>
      </c>
      <c r="AQ950" s="97">
        <f t="shared" si="7469"/>
        <v>0</v>
      </c>
      <c r="AR950" s="97">
        <f t="shared" si="7470"/>
        <v>0</v>
      </c>
      <c r="AS950" s="97"/>
      <c r="AT950" s="97">
        <f t="shared" si="7471"/>
        <v>0</v>
      </c>
      <c r="AU950" s="97"/>
      <c r="AV950" s="97">
        <f t="shared" si="7472"/>
        <v>0</v>
      </c>
      <c r="AW950" s="97"/>
      <c r="AX950" s="97">
        <f t="shared" si="7473"/>
        <v>0</v>
      </c>
      <c r="AY950" s="97">
        <f t="shared" ref="AY950" si="8063">SUM(AS950+AU950+AW950)</f>
        <v>0</v>
      </c>
      <c r="AZ950" s="97">
        <f t="shared" ref="AZ950" si="8064">SUM(AT950+AV950+AX950)</f>
        <v>0</v>
      </c>
      <c r="BA950" s="97">
        <f t="shared" ref="BA950" si="8065">SUM(AQ950+AY950)</f>
        <v>0</v>
      </c>
      <c r="BB950" s="97">
        <f t="shared" ref="BB950" si="8066">SUM(AR950,AZ950)</f>
        <v>0</v>
      </c>
    </row>
    <row r="951" spans="1:54">
      <c r="A951" s="498">
        <v>661</v>
      </c>
      <c r="B951" s="13"/>
      <c r="C951" s="302"/>
      <c r="D951" s="13" t="s">
        <v>507</v>
      </c>
      <c r="E951" s="21" t="s">
        <v>645</v>
      </c>
      <c r="F951" s="46" t="s">
        <v>385</v>
      </c>
      <c r="G951" s="46" t="s">
        <v>1105</v>
      </c>
      <c r="H951" s="268" t="s">
        <v>441</v>
      </c>
      <c r="I951" s="55">
        <v>9.6199999999999992</v>
      </c>
      <c r="J951" s="163"/>
      <c r="K951" s="55">
        <v>9.6199999999999992</v>
      </c>
      <c r="L951" s="163"/>
      <c r="M951" s="55">
        <v>9.6199999999999992</v>
      </c>
      <c r="N951" s="163"/>
      <c r="O951" s="55">
        <v>9.6199999999999992</v>
      </c>
      <c r="P951" s="163"/>
      <c r="Q951" s="97">
        <f t="shared" si="7455"/>
        <v>0</v>
      </c>
      <c r="R951" s="342">
        <f t="shared" si="7455"/>
        <v>0</v>
      </c>
      <c r="S951" s="97"/>
      <c r="T951" s="97">
        <f t="shared" si="7456"/>
        <v>0</v>
      </c>
      <c r="U951" s="97"/>
      <c r="V951" s="97">
        <f t="shared" si="7457"/>
        <v>0</v>
      </c>
      <c r="W951" s="97"/>
      <c r="X951" s="97">
        <f t="shared" si="7458"/>
        <v>0</v>
      </c>
      <c r="Y951" s="97">
        <f t="shared" si="7459"/>
        <v>0</v>
      </c>
      <c r="Z951" s="97">
        <f t="shared" si="7460"/>
        <v>0</v>
      </c>
      <c r="AA951" s="97"/>
      <c r="AB951" s="97">
        <f>K951*AA951*$AB$2/1000</f>
        <v>0</v>
      </c>
      <c r="AC951" s="97"/>
      <c r="AD951" s="97">
        <f t="shared" si="7501"/>
        <v>0</v>
      </c>
      <c r="AE951" s="97"/>
      <c r="AF951" s="97">
        <f t="shared" si="8009"/>
        <v>0</v>
      </c>
      <c r="AG951" s="97">
        <f t="shared" si="7462"/>
        <v>0</v>
      </c>
      <c r="AH951" s="97">
        <f t="shared" si="7463"/>
        <v>0</v>
      </c>
      <c r="AI951" s="97">
        <f t="shared" si="7464"/>
        <v>0</v>
      </c>
      <c r="AJ951" s="97">
        <f t="shared" si="7465"/>
        <v>0</v>
      </c>
      <c r="AK951" s="97"/>
      <c r="AL951" s="97">
        <f t="shared" si="7466"/>
        <v>0</v>
      </c>
      <c r="AM951" s="97"/>
      <c r="AN951" s="97">
        <f t="shared" si="7467"/>
        <v>0</v>
      </c>
      <c r="AO951" s="97"/>
      <c r="AP951" s="97">
        <f t="shared" si="8062"/>
        <v>0</v>
      </c>
      <c r="AQ951" s="97">
        <f t="shared" si="7469"/>
        <v>0</v>
      </c>
      <c r="AR951" s="97">
        <f t="shared" si="7470"/>
        <v>0</v>
      </c>
      <c r="AS951" s="97"/>
      <c r="AT951" s="97">
        <f t="shared" si="7471"/>
        <v>0</v>
      </c>
      <c r="AU951" s="97"/>
      <c r="AV951" s="97">
        <f t="shared" si="7472"/>
        <v>0</v>
      </c>
      <c r="AW951" s="97"/>
      <c r="AX951" s="97">
        <f t="shared" si="7473"/>
        <v>0</v>
      </c>
      <c r="AY951" s="97">
        <f t="shared" ref="AY951" si="8067">SUM(AS951+AU951+AW951)</f>
        <v>0</v>
      </c>
      <c r="AZ951" s="97">
        <f t="shared" ref="AZ951" si="8068">SUM(AT951+AV951+AX951)</f>
        <v>0</v>
      </c>
      <c r="BA951" s="97">
        <f t="shared" ref="BA951" si="8069">SUM(AQ951+AY951)</f>
        <v>0</v>
      </c>
      <c r="BB951" s="97">
        <f t="shared" ref="BB951" si="8070">SUM(AR951,AZ951)</f>
        <v>0</v>
      </c>
    </row>
    <row r="952" spans="1:54">
      <c r="A952" s="498">
        <v>662</v>
      </c>
      <c r="B952" s="13"/>
      <c r="C952" s="302"/>
      <c r="D952" s="13" t="s">
        <v>388</v>
      </c>
      <c r="E952" s="21" t="s">
        <v>389</v>
      </c>
      <c r="F952" s="46" t="s">
        <v>385</v>
      </c>
      <c r="G952" s="46" t="s">
        <v>1105</v>
      </c>
      <c r="H952" s="268" t="s">
        <v>441</v>
      </c>
      <c r="I952" s="55">
        <v>9.6199999999999992</v>
      </c>
      <c r="J952" s="163"/>
      <c r="K952" s="55">
        <v>9.6199999999999992</v>
      </c>
      <c r="L952" s="163"/>
      <c r="M952" s="55">
        <v>9.6199999999999992</v>
      </c>
      <c r="N952" s="163"/>
      <c r="O952" s="55">
        <v>9.6199999999999992</v>
      </c>
      <c r="P952" s="163"/>
      <c r="Q952" s="97">
        <f t="shared" si="7455"/>
        <v>0</v>
      </c>
      <c r="R952" s="342">
        <f t="shared" si="7455"/>
        <v>0</v>
      </c>
      <c r="S952" s="97"/>
      <c r="T952" s="97">
        <f t="shared" si="7456"/>
        <v>0</v>
      </c>
      <c r="U952" s="97"/>
      <c r="V952" s="97">
        <f t="shared" si="7457"/>
        <v>0</v>
      </c>
      <c r="W952" s="97"/>
      <c r="X952" s="97">
        <f t="shared" si="7458"/>
        <v>0</v>
      </c>
      <c r="Y952" s="97">
        <f t="shared" si="7459"/>
        <v>0</v>
      </c>
      <c r="Z952" s="97">
        <f t="shared" si="7460"/>
        <v>0</v>
      </c>
      <c r="AA952" s="97"/>
      <c r="AB952" s="97">
        <f t="shared" si="7461"/>
        <v>0</v>
      </c>
      <c r="AC952" s="97"/>
      <c r="AD952" s="97">
        <f t="shared" si="7501"/>
        <v>0</v>
      </c>
      <c r="AE952" s="97"/>
      <c r="AF952" s="97">
        <f t="shared" si="8009"/>
        <v>0</v>
      </c>
      <c r="AG952" s="97">
        <f t="shared" si="7462"/>
        <v>0</v>
      </c>
      <c r="AH952" s="97">
        <f t="shared" si="7463"/>
        <v>0</v>
      </c>
      <c r="AI952" s="97">
        <f t="shared" si="7464"/>
        <v>0</v>
      </c>
      <c r="AJ952" s="97">
        <f t="shared" si="7465"/>
        <v>0</v>
      </c>
      <c r="AK952" s="97"/>
      <c r="AL952" s="97">
        <f t="shared" si="7466"/>
        <v>0</v>
      </c>
      <c r="AM952" s="97"/>
      <c r="AN952" s="97">
        <f t="shared" si="7467"/>
        <v>0</v>
      </c>
      <c r="AO952" s="97"/>
      <c r="AP952" s="97">
        <f t="shared" si="8062"/>
        <v>0</v>
      </c>
      <c r="AQ952" s="97">
        <f t="shared" si="7469"/>
        <v>0</v>
      </c>
      <c r="AR952" s="97">
        <f t="shared" si="7470"/>
        <v>0</v>
      </c>
      <c r="AS952" s="97"/>
      <c r="AT952" s="97">
        <f t="shared" si="7471"/>
        <v>0</v>
      </c>
      <c r="AU952" s="97"/>
      <c r="AV952" s="97">
        <f t="shared" si="7472"/>
        <v>0</v>
      </c>
      <c r="AW952" s="97"/>
      <c r="AX952" s="97">
        <f t="shared" si="7473"/>
        <v>0</v>
      </c>
      <c r="AY952" s="97">
        <f t="shared" ref="AY952" si="8071">SUM(AS952+AU952+AW952)</f>
        <v>0</v>
      </c>
      <c r="AZ952" s="97">
        <f t="shared" ref="AZ952" si="8072">SUM(AT952+AV952+AX952)</f>
        <v>0</v>
      </c>
      <c r="BA952" s="97">
        <f t="shared" ref="BA952" si="8073">SUM(AQ952+AY952)</f>
        <v>0</v>
      </c>
      <c r="BB952" s="97">
        <f t="shared" ref="BB952" si="8074">SUM(AR952,AZ952)</f>
        <v>0</v>
      </c>
    </row>
    <row r="953" spans="1:54">
      <c r="A953" s="498">
        <v>663</v>
      </c>
      <c r="B953" s="13"/>
      <c r="C953" s="302"/>
      <c r="D953" s="13" t="s">
        <v>1389</v>
      </c>
      <c r="E953" s="21" t="s">
        <v>1399</v>
      </c>
      <c r="F953" s="46" t="s">
        <v>385</v>
      </c>
      <c r="G953" s="46" t="s">
        <v>1105</v>
      </c>
      <c r="H953" s="268" t="s">
        <v>441</v>
      </c>
      <c r="I953" s="55">
        <v>9.59</v>
      </c>
      <c r="J953" s="163"/>
      <c r="K953" s="55">
        <v>9.59</v>
      </c>
      <c r="L953" s="163"/>
      <c r="M953" s="55">
        <v>9.59</v>
      </c>
      <c r="N953" s="163"/>
      <c r="O953" s="55">
        <v>9.59</v>
      </c>
      <c r="P953" s="163"/>
      <c r="Q953" s="97">
        <f t="shared" si="7455"/>
        <v>0</v>
      </c>
      <c r="R953" s="342">
        <f t="shared" si="7455"/>
        <v>0</v>
      </c>
      <c r="S953" s="97"/>
      <c r="T953" s="97">
        <f t="shared" si="7456"/>
        <v>0</v>
      </c>
      <c r="U953" s="97"/>
      <c r="V953" s="97">
        <f t="shared" si="7457"/>
        <v>0</v>
      </c>
      <c r="W953" s="97"/>
      <c r="X953" s="97">
        <f t="shared" si="7458"/>
        <v>0</v>
      </c>
      <c r="Y953" s="97">
        <f t="shared" si="7459"/>
        <v>0</v>
      </c>
      <c r="Z953" s="97">
        <f t="shared" si="7460"/>
        <v>0</v>
      </c>
      <c r="AA953" s="97"/>
      <c r="AB953" s="97">
        <f t="shared" si="7461"/>
        <v>0</v>
      </c>
      <c r="AC953" s="97"/>
      <c r="AD953" s="97">
        <f t="shared" si="7501"/>
        <v>0</v>
      </c>
      <c r="AE953" s="97"/>
      <c r="AF953" s="97">
        <f t="shared" si="8009"/>
        <v>0</v>
      </c>
      <c r="AG953" s="97">
        <f t="shared" si="7462"/>
        <v>0</v>
      </c>
      <c r="AH953" s="97">
        <f t="shared" si="7463"/>
        <v>0</v>
      </c>
      <c r="AI953" s="97">
        <f t="shared" si="7464"/>
        <v>0</v>
      </c>
      <c r="AJ953" s="97">
        <f t="shared" si="7465"/>
        <v>0</v>
      </c>
      <c r="AK953" s="97"/>
      <c r="AL953" s="97">
        <f t="shared" si="7466"/>
        <v>0</v>
      </c>
      <c r="AM953" s="97"/>
      <c r="AN953" s="97">
        <f t="shared" si="7467"/>
        <v>0</v>
      </c>
      <c r="AO953" s="97"/>
      <c r="AP953" s="97">
        <f t="shared" si="8062"/>
        <v>0</v>
      </c>
      <c r="AQ953" s="97">
        <f t="shared" si="7469"/>
        <v>0</v>
      </c>
      <c r="AR953" s="97">
        <f t="shared" si="7470"/>
        <v>0</v>
      </c>
      <c r="AS953" s="97"/>
      <c r="AT953" s="97">
        <f t="shared" si="7471"/>
        <v>0</v>
      </c>
      <c r="AU953" s="97"/>
      <c r="AV953" s="97">
        <f t="shared" si="7472"/>
        <v>0</v>
      </c>
      <c r="AW953" s="97"/>
      <c r="AX953" s="97">
        <f t="shared" si="7473"/>
        <v>0</v>
      </c>
      <c r="AY953" s="97">
        <f t="shared" ref="AY953" si="8075">SUM(AS953+AU953+AW953)</f>
        <v>0</v>
      </c>
      <c r="AZ953" s="97">
        <f t="shared" ref="AZ953:AZ955" si="8076">SUM(AT953+AV953+AX953)</f>
        <v>0</v>
      </c>
      <c r="BA953" s="97">
        <f t="shared" ref="BA953:BA955" si="8077">SUM(AQ953+AY953)</f>
        <v>0</v>
      </c>
      <c r="BB953" s="97">
        <f t="shared" ref="BB953:BB955" si="8078">SUM(AR953,AZ953)</f>
        <v>0</v>
      </c>
    </row>
    <row r="954" spans="1:54">
      <c r="A954" s="498">
        <v>669</v>
      </c>
      <c r="B954" s="13"/>
      <c r="C954" s="302"/>
      <c r="D954" s="13" t="s">
        <v>1389</v>
      </c>
      <c r="E954" s="16" t="s">
        <v>1387</v>
      </c>
      <c r="F954" s="46" t="s">
        <v>384</v>
      </c>
      <c r="G954" s="46" t="s">
        <v>1105</v>
      </c>
      <c r="H954" s="268" t="s">
        <v>441</v>
      </c>
      <c r="I954" s="55">
        <v>6.97</v>
      </c>
      <c r="J954" s="163"/>
      <c r="K954" s="55">
        <v>6.97</v>
      </c>
      <c r="L954" s="163"/>
      <c r="M954" s="55">
        <v>6.97</v>
      </c>
      <c r="N954" s="163"/>
      <c r="O954" s="55">
        <v>6.97</v>
      </c>
      <c r="P954" s="163"/>
      <c r="Q954" s="97">
        <f t="shared" si="7455"/>
        <v>0</v>
      </c>
      <c r="R954" s="342">
        <f t="shared" si="7455"/>
        <v>0</v>
      </c>
      <c r="S954" s="97"/>
      <c r="T954" s="97">
        <f t="shared" si="7456"/>
        <v>0</v>
      </c>
      <c r="U954" s="97"/>
      <c r="V954" s="97">
        <f t="shared" si="7457"/>
        <v>0</v>
      </c>
      <c r="W954" s="97"/>
      <c r="X954" s="97">
        <f t="shared" si="7458"/>
        <v>0</v>
      </c>
      <c r="Y954" s="97">
        <f t="shared" si="7459"/>
        <v>0</v>
      </c>
      <c r="Z954" s="97">
        <f t="shared" si="7460"/>
        <v>0</v>
      </c>
      <c r="AA954" s="97"/>
      <c r="AB954" s="97">
        <f t="shared" si="7461"/>
        <v>0</v>
      </c>
      <c r="AC954" s="97"/>
      <c r="AD954" s="97">
        <f t="shared" si="7501"/>
        <v>0</v>
      </c>
      <c r="AE954" s="97"/>
      <c r="AF954" s="97">
        <f t="shared" ref="AF954:AF955" si="8079">K954*AE954*$AF$2/1000</f>
        <v>0</v>
      </c>
      <c r="AG954" s="97">
        <f t="shared" si="7462"/>
        <v>0</v>
      </c>
      <c r="AH954" s="97">
        <f>SUM(AB954+AD954+AF954)</f>
        <v>0</v>
      </c>
      <c r="AI954" s="97">
        <f t="shared" si="7464"/>
        <v>0</v>
      </c>
      <c r="AJ954" s="97">
        <f t="shared" si="7465"/>
        <v>0</v>
      </c>
      <c r="AK954" s="97"/>
      <c r="AL954" s="97">
        <f t="shared" si="7466"/>
        <v>0</v>
      </c>
      <c r="AM954" s="97"/>
      <c r="AN954" s="97">
        <f t="shared" si="7467"/>
        <v>0</v>
      </c>
      <c r="AO954" s="97"/>
      <c r="AP954" s="97">
        <f t="shared" si="8062"/>
        <v>0</v>
      </c>
      <c r="AQ954" s="97">
        <f t="shared" si="7469"/>
        <v>0</v>
      </c>
      <c r="AR954" s="97">
        <f t="shared" ref="AR954:AR955" si="8080">SUM(AL954+AN954+AP954)</f>
        <v>0</v>
      </c>
      <c r="AS954" s="97"/>
      <c r="AT954" s="97">
        <f t="shared" si="7471"/>
        <v>0</v>
      </c>
      <c r="AU954" s="97"/>
      <c r="AV954" s="97">
        <f t="shared" si="7472"/>
        <v>0</v>
      </c>
      <c r="AW954" s="97"/>
      <c r="AX954" s="97">
        <f t="shared" si="7473"/>
        <v>0</v>
      </c>
      <c r="AY954" s="97">
        <f t="shared" ref="AY954" si="8081">SUM(AS954+AU954+AW954)</f>
        <v>0</v>
      </c>
      <c r="AZ954" s="97">
        <f t="shared" si="8076"/>
        <v>0</v>
      </c>
      <c r="BA954" s="97">
        <f t="shared" si="8077"/>
        <v>0</v>
      </c>
      <c r="BB954" s="97">
        <f t="shared" si="8078"/>
        <v>0</v>
      </c>
    </row>
    <row r="955" spans="1:54">
      <c r="A955" s="498">
        <v>669</v>
      </c>
      <c r="B955" s="13"/>
      <c r="C955" s="302"/>
      <c r="D955" s="13" t="s">
        <v>1390</v>
      </c>
      <c r="E955" s="16" t="s">
        <v>1400</v>
      </c>
      <c r="F955" s="46" t="s">
        <v>382</v>
      </c>
      <c r="G955" s="46" t="s">
        <v>1105</v>
      </c>
      <c r="H955" s="268" t="s">
        <v>441</v>
      </c>
      <c r="I955" s="55">
        <v>9.8699999999999992</v>
      </c>
      <c r="J955" s="163"/>
      <c r="K955" s="55">
        <v>9.8699999999999992</v>
      </c>
      <c r="L955" s="163"/>
      <c r="M955" s="55">
        <v>9.8699999999999992</v>
      </c>
      <c r="N955" s="163"/>
      <c r="O955" s="55">
        <v>9.8699999999999992</v>
      </c>
      <c r="P955" s="163"/>
      <c r="Q955" s="97">
        <f t="shared" si="7455"/>
        <v>0</v>
      </c>
      <c r="R955" s="342">
        <f t="shared" si="7455"/>
        <v>0</v>
      </c>
      <c r="S955" s="97"/>
      <c r="T955" s="97">
        <f t="shared" si="7456"/>
        <v>0</v>
      </c>
      <c r="U955" s="97"/>
      <c r="V955" s="97">
        <f t="shared" si="7457"/>
        <v>0</v>
      </c>
      <c r="W955" s="97"/>
      <c r="X955" s="97">
        <f t="shared" si="7458"/>
        <v>0</v>
      </c>
      <c r="Y955" s="97">
        <f t="shared" si="7459"/>
        <v>0</v>
      </c>
      <c r="Z955" s="97">
        <f t="shared" si="7460"/>
        <v>0</v>
      </c>
      <c r="AA955" s="97"/>
      <c r="AB955" s="97">
        <f t="shared" si="7461"/>
        <v>0</v>
      </c>
      <c r="AC955" s="97"/>
      <c r="AD955" s="97">
        <f t="shared" si="7501"/>
        <v>0</v>
      </c>
      <c r="AE955" s="97"/>
      <c r="AF955" s="97">
        <f t="shared" si="8079"/>
        <v>0</v>
      </c>
      <c r="AG955" s="97">
        <f t="shared" si="7462"/>
        <v>0</v>
      </c>
      <c r="AH955" s="97">
        <f t="shared" ref="AH955" si="8082">SUM(AB955+AD955+AF955)</f>
        <v>0</v>
      </c>
      <c r="AI955" s="97">
        <f t="shared" si="7464"/>
        <v>0</v>
      </c>
      <c r="AJ955" s="97">
        <f t="shared" si="7465"/>
        <v>0</v>
      </c>
      <c r="AK955" s="97"/>
      <c r="AL955" s="97">
        <f t="shared" si="7466"/>
        <v>0</v>
      </c>
      <c r="AM955" s="97"/>
      <c r="AN955" s="97">
        <f t="shared" si="7467"/>
        <v>0</v>
      </c>
      <c r="AO955" s="97"/>
      <c r="AP955" s="97">
        <f t="shared" si="8062"/>
        <v>0</v>
      </c>
      <c r="AQ955" s="97">
        <f t="shared" si="7469"/>
        <v>0</v>
      </c>
      <c r="AR955" s="97">
        <f t="shared" si="8080"/>
        <v>0</v>
      </c>
      <c r="AS955" s="97"/>
      <c r="AT955" s="97">
        <f t="shared" si="7471"/>
        <v>0</v>
      </c>
      <c r="AU955" s="97"/>
      <c r="AV955" s="97">
        <f t="shared" si="7472"/>
        <v>0</v>
      </c>
      <c r="AW955" s="97"/>
      <c r="AX955" s="97">
        <f t="shared" si="7473"/>
        <v>0</v>
      </c>
      <c r="AY955" s="97">
        <f t="shared" ref="AY955" si="8083">SUM(AS955+AU955+AW955)</f>
        <v>0</v>
      </c>
      <c r="AZ955" s="97">
        <f t="shared" si="8076"/>
        <v>0</v>
      </c>
      <c r="BA955" s="97">
        <f t="shared" si="8077"/>
        <v>0</v>
      </c>
      <c r="BB955" s="97">
        <f t="shared" si="8078"/>
        <v>0</v>
      </c>
    </row>
    <row r="956" spans="1:54">
      <c r="A956" s="498">
        <v>669</v>
      </c>
      <c r="B956" s="13"/>
      <c r="C956" s="302"/>
      <c r="D956" s="13" t="s">
        <v>1390</v>
      </c>
      <c r="E956" s="16" t="s">
        <v>1388</v>
      </c>
      <c r="F956" s="46" t="s">
        <v>384</v>
      </c>
      <c r="G956" s="46" t="s">
        <v>1105</v>
      </c>
      <c r="H956" s="268" t="s">
        <v>441</v>
      </c>
      <c r="I956" s="55">
        <v>7.25</v>
      </c>
      <c r="J956" s="163"/>
      <c r="K956" s="55">
        <v>7.25</v>
      </c>
      <c r="L956" s="163"/>
      <c r="M956" s="55">
        <v>7.25</v>
      </c>
      <c r="N956" s="163"/>
      <c r="O956" s="55">
        <v>7.25</v>
      </c>
      <c r="P956" s="163"/>
      <c r="Q956" s="97">
        <f t="shared" ref="Q956:R984" si="8084">SUM(AI956+BA956)</f>
        <v>0</v>
      </c>
      <c r="R956" s="342">
        <f t="shared" si="8084"/>
        <v>0</v>
      </c>
      <c r="S956" s="97"/>
      <c r="T956" s="97">
        <f t="shared" ref="T956" si="8085">I956*S956*$T$2/1000</f>
        <v>0</v>
      </c>
      <c r="U956" s="97"/>
      <c r="V956" s="97">
        <f t="shared" ref="V956" si="8086">I956*U956*$V$2/1000</f>
        <v>0</v>
      </c>
      <c r="W956" s="97"/>
      <c r="X956" s="97">
        <f t="shared" ref="X956" si="8087">I956*W956*$X$2/1000</f>
        <v>0</v>
      </c>
      <c r="Y956" s="97">
        <f t="shared" ref="Y956" si="8088">SUM(S956+U956+W956)</f>
        <v>0</v>
      </c>
      <c r="Z956" s="97">
        <f t="shared" ref="Z956" si="8089">SUM(T956+V956+X956)</f>
        <v>0</v>
      </c>
      <c r="AA956" s="97"/>
      <c r="AB956" s="97">
        <f t="shared" ref="AB956" si="8090">K956*AA956*$AB$2/1000</f>
        <v>0</v>
      </c>
      <c r="AC956" s="97"/>
      <c r="AD956" s="97">
        <f t="shared" ref="AD956" si="8091">K956*AC956*$AD$2/1000</f>
        <v>0</v>
      </c>
      <c r="AE956" s="97"/>
      <c r="AF956" s="97">
        <f t="shared" si="8009"/>
        <v>0</v>
      </c>
      <c r="AG956" s="97">
        <f t="shared" ref="AG956:AG984" si="8092">SUM(AA956+AC956+AE956)</f>
        <v>0</v>
      </c>
      <c r="AH956" s="97">
        <f t="shared" ref="AH956" si="8093">SUM(AB956+AD956+AF956)</f>
        <v>0</v>
      </c>
      <c r="AI956" s="97">
        <f t="shared" ref="AI956" si="8094">SUM(Y956+AG956)</f>
        <v>0</v>
      </c>
      <c r="AJ956" s="97">
        <f t="shared" ref="AJ956" si="8095">SUM(Z956,AH956)</f>
        <v>0</v>
      </c>
      <c r="AK956" s="97"/>
      <c r="AL956" s="97">
        <f t="shared" ref="AL956" si="8096">M956*AK956*$AL$2/1000</f>
        <v>0</v>
      </c>
      <c r="AM956" s="97"/>
      <c r="AN956" s="97">
        <f t="shared" ref="AN956" si="8097">M956*AM956*$AN$2/1000</f>
        <v>0</v>
      </c>
      <c r="AO956" s="97"/>
      <c r="AP956" s="97">
        <f t="shared" ref="AP956:AP999" si="8098">M956*AO956*$AP$2/1000</f>
        <v>0</v>
      </c>
      <c r="AQ956" s="97">
        <f t="shared" ref="AQ956:AQ984" si="8099">SUM(AK956+AM956+AO956)</f>
        <v>0</v>
      </c>
      <c r="AR956" s="97">
        <f t="shared" ref="AR956" si="8100">SUM(AL956+AN956+AP956)</f>
        <v>0</v>
      </c>
      <c r="AS956" s="97"/>
      <c r="AT956" s="97">
        <f t="shared" ref="AT956" si="8101">O956*AS956*$AT$2/1000</f>
        <v>0</v>
      </c>
      <c r="AU956" s="97"/>
      <c r="AV956" s="97">
        <f t="shared" ref="AV956" si="8102">O956*AU956*$AV$2/1000</f>
        <v>0</v>
      </c>
      <c r="AW956" s="97"/>
      <c r="AX956" s="97">
        <f t="shared" ref="AX956" si="8103">O956*AW956*$AX$2/1000</f>
        <v>0</v>
      </c>
      <c r="AY956" s="97">
        <f t="shared" ref="AY956" si="8104">SUM(AS956+AU956+AW956)</f>
        <v>0</v>
      </c>
      <c r="AZ956" s="97">
        <f t="shared" ref="AZ956" si="8105">SUM(AT956+AV956+AX956)</f>
        <v>0</v>
      </c>
      <c r="BA956" s="97">
        <f t="shared" ref="BA956" si="8106">SUM(AQ956+AY956)</f>
        <v>0</v>
      </c>
      <c r="BB956" s="97">
        <f t="shared" ref="BB956" si="8107">SUM(AR956,AZ956)</f>
        <v>0</v>
      </c>
    </row>
    <row r="957" spans="1:54">
      <c r="A957" s="498">
        <v>670</v>
      </c>
      <c r="B957" s="13"/>
      <c r="C957" s="302"/>
      <c r="D957" s="13" t="s">
        <v>374</v>
      </c>
      <c r="E957" s="16" t="s">
        <v>1386</v>
      </c>
      <c r="F957" s="46" t="s">
        <v>384</v>
      </c>
      <c r="G957" s="46" t="s">
        <v>1105</v>
      </c>
      <c r="H957" s="268" t="s">
        <v>366</v>
      </c>
      <c r="I957" s="55">
        <v>8.6199999999999992</v>
      </c>
      <c r="J957" s="163"/>
      <c r="K957" s="55">
        <v>8.6199999999999992</v>
      </c>
      <c r="L957" s="163"/>
      <c r="M957" s="55">
        <v>8.6199999999999992</v>
      </c>
      <c r="N957" s="163"/>
      <c r="O957" s="55">
        <v>8.6199999999999992</v>
      </c>
      <c r="P957" s="163"/>
      <c r="Q957" s="97">
        <f t="shared" ref="Q957" si="8108">SUM(AI957+BA957)</f>
        <v>0</v>
      </c>
      <c r="R957" s="342">
        <f t="shared" ref="R957" si="8109">SUM(AJ957+BB957)</f>
        <v>0</v>
      </c>
      <c r="S957" s="97"/>
      <c r="T957" s="97">
        <f t="shared" ref="T957" si="8110">I957*S957*$T$2/1000</f>
        <v>0</v>
      </c>
      <c r="U957" s="97"/>
      <c r="V957" s="97">
        <f t="shared" ref="V957" si="8111">I957*U957*$V$2/1000</f>
        <v>0</v>
      </c>
      <c r="W957" s="97"/>
      <c r="X957" s="97">
        <f t="shared" ref="X957" si="8112">I957*W957*$X$2/1000</f>
        <v>0</v>
      </c>
      <c r="Y957" s="97">
        <f t="shared" ref="Y957" si="8113">SUM(S957+U957+W957)</f>
        <v>0</v>
      </c>
      <c r="Z957" s="97">
        <f t="shared" ref="Z957" si="8114">SUM(T957+V957+X957)</f>
        <v>0</v>
      </c>
      <c r="AA957" s="97"/>
      <c r="AB957" s="97">
        <f t="shared" ref="AB957" si="8115">K957*AA957*$AB$2/1000</f>
        <v>0</v>
      </c>
      <c r="AC957" s="97"/>
      <c r="AD957" s="97">
        <f t="shared" ref="AD957" si="8116">K957*AC957*$AD$2/1000</f>
        <v>0</v>
      </c>
      <c r="AE957" s="97"/>
      <c r="AF957" s="97">
        <f t="shared" ref="AF957" si="8117">K957*AE957*$AF$2/1000</f>
        <v>0</v>
      </c>
      <c r="AG957" s="97">
        <f t="shared" ref="AG957" si="8118">SUM(AA957+AC957+AE957)</f>
        <v>0</v>
      </c>
      <c r="AH957" s="97">
        <f t="shared" ref="AH957" si="8119">SUM(AB957+AD957+AF957)</f>
        <v>0</v>
      </c>
      <c r="AI957" s="97">
        <f t="shared" ref="AI957" si="8120">SUM(Y957+AG957)</f>
        <v>0</v>
      </c>
      <c r="AJ957" s="97">
        <f t="shared" ref="AJ957" si="8121">SUM(Z957,AH957)</f>
        <v>0</v>
      </c>
      <c r="AK957" s="97"/>
      <c r="AL957" s="97">
        <f>M957*AK957*$AL$2/1000</f>
        <v>0</v>
      </c>
      <c r="AM957" s="97"/>
      <c r="AN957" s="97">
        <f t="shared" ref="AN957" si="8122">M957*AM957*$AN$2/1000</f>
        <v>0</v>
      </c>
      <c r="AO957" s="97"/>
      <c r="AP957" s="97">
        <f t="shared" ref="AP957" si="8123">M957*AO957*$AP$2/1000</f>
        <v>0</v>
      </c>
      <c r="AQ957" s="97">
        <f t="shared" ref="AQ957" si="8124">SUM(AK957+AM957+AO957)</f>
        <v>0</v>
      </c>
      <c r="AR957" s="97">
        <f t="shared" ref="AR957" si="8125">SUM(AL957+AN957+AP957)</f>
        <v>0</v>
      </c>
      <c r="AS957" s="97"/>
      <c r="AT957" s="97">
        <f t="shared" ref="AT957" si="8126">O957*AS957*$AT$2/1000</f>
        <v>0</v>
      </c>
      <c r="AU957" s="97"/>
      <c r="AV957" s="97">
        <f t="shared" ref="AV957" si="8127">O957*AU957*$AV$2/1000</f>
        <v>0</v>
      </c>
      <c r="AW957" s="97"/>
      <c r="AX957" s="97">
        <f t="shared" ref="AX957" si="8128">O957*AW957*$AX$2/1000</f>
        <v>0</v>
      </c>
      <c r="AY957" s="97">
        <f t="shared" ref="AY957" si="8129">SUM(AS957+AU957+AW957)</f>
        <v>0</v>
      </c>
      <c r="AZ957" s="97">
        <f t="shared" ref="AZ957" si="8130">SUM(AT957+AV957+AX957)</f>
        <v>0</v>
      </c>
      <c r="BA957" s="97">
        <f t="shared" ref="BA957" si="8131">SUM(AQ957+AY957)</f>
        <v>0</v>
      </c>
      <c r="BB957" s="97">
        <f t="shared" ref="BB957" si="8132">SUM(AR957,AZ957)</f>
        <v>0</v>
      </c>
    </row>
    <row r="958" spans="1:54">
      <c r="A958" s="498">
        <v>671</v>
      </c>
      <c r="B958" s="13"/>
      <c r="C958" s="302"/>
      <c r="D958" s="13" t="s">
        <v>869</v>
      </c>
      <c r="E958" s="16" t="s">
        <v>868</v>
      </c>
      <c r="F958" s="46" t="s">
        <v>384</v>
      </c>
      <c r="G958" s="46" t="s">
        <v>1105</v>
      </c>
      <c r="H958" s="268" t="s">
        <v>441</v>
      </c>
      <c r="I958" s="55">
        <v>7.86</v>
      </c>
      <c r="J958" s="163"/>
      <c r="K958" s="55">
        <v>7.86</v>
      </c>
      <c r="L958" s="163"/>
      <c r="M958" s="55">
        <v>7.86</v>
      </c>
      <c r="N958" s="163"/>
      <c r="O958" s="55">
        <v>7.86</v>
      </c>
      <c r="P958" s="163"/>
      <c r="Q958" s="97">
        <f t="shared" ref="Q958:Q959" si="8133">SUM(AI958+BA958)</f>
        <v>0</v>
      </c>
      <c r="R958" s="342">
        <f t="shared" ref="R958:R959" si="8134">SUM(AJ958+BB958)</f>
        <v>0</v>
      </c>
      <c r="S958" s="97"/>
      <c r="T958" s="97">
        <f t="shared" ref="T958:T972" si="8135">I958*S958*$T$2/1000</f>
        <v>0</v>
      </c>
      <c r="U958" s="97"/>
      <c r="V958" s="97">
        <f t="shared" ref="V958:V972" si="8136">I958*U958*$V$2/1000</f>
        <v>0</v>
      </c>
      <c r="W958" s="97"/>
      <c r="X958" s="97">
        <f t="shared" ref="X958:X972" si="8137">I958*W958*$X$2/1000</f>
        <v>0</v>
      </c>
      <c r="Y958" s="97">
        <f t="shared" ref="Y958:Y959" si="8138">SUM(S958+U958+W958)</f>
        <v>0</v>
      </c>
      <c r="Z958" s="97">
        <f t="shared" ref="Z958:Z959" si="8139">SUM(T958+V958+X958)</f>
        <v>0</v>
      </c>
      <c r="AA958" s="97"/>
      <c r="AB958" s="97">
        <f t="shared" ref="AB958:AB972" si="8140">K958*AA958*$AB$2/1000</f>
        <v>0</v>
      </c>
      <c r="AC958" s="97"/>
      <c r="AD958" s="97">
        <f t="shared" ref="AD958:AD972" si="8141">K958*AC958*$AD$2/1000</f>
        <v>0</v>
      </c>
      <c r="AE958" s="97"/>
      <c r="AF958" s="97">
        <f t="shared" ref="AF958:AF959" si="8142">K958*AE958*$AF$2/1000</f>
        <v>0</v>
      </c>
      <c r="AG958" s="97">
        <f t="shared" ref="AG958:AG959" si="8143">SUM(AA958+AC958+AE958)</f>
        <v>0</v>
      </c>
      <c r="AH958" s="97">
        <f t="shared" ref="AH958:AH959" si="8144">SUM(AB958+AD958+AF958)</f>
        <v>0</v>
      </c>
      <c r="AI958" s="97">
        <f t="shared" ref="AI958:AI972" si="8145">SUM(Y958+AG958)</f>
        <v>0</v>
      </c>
      <c r="AJ958" s="97">
        <f t="shared" ref="AJ958:AJ972" si="8146">SUM(Z958,AH958)</f>
        <v>0</v>
      </c>
      <c r="AK958" s="97"/>
      <c r="AL958" s="97">
        <f t="shared" ref="AL958:AL972" si="8147">M958*AK958*$AL$2/1000</f>
        <v>0</v>
      </c>
      <c r="AM958" s="97"/>
      <c r="AN958" s="97">
        <f t="shared" ref="AN958:AN972" si="8148">M958*AM958*$AN$2/1000</f>
        <v>0</v>
      </c>
      <c r="AO958" s="97"/>
      <c r="AP958" s="97">
        <f t="shared" ref="AP958:AP959" si="8149">M958*AO958*$AP$2/1000</f>
        <v>0</v>
      </c>
      <c r="AQ958" s="97">
        <f t="shared" ref="AQ958:AQ959" si="8150">SUM(AK958+AM958+AO958)</f>
        <v>0</v>
      </c>
      <c r="AR958" s="97">
        <f t="shared" ref="AR958:AR959" si="8151">SUM(AL958+AN958+AP958)</f>
        <v>0</v>
      </c>
      <c r="AS958" s="97"/>
      <c r="AT958" s="97">
        <f t="shared" ref="AT958:AT972" si="8152">O958*AS958*$AT$2/1000</f>
        <v>0</v>
      </c>
      <c r="AU958" s="97"/>
      <c r="AV958" s="97">
        <f t="shared" ref="AV958:AV972" si="8153">O958*AU958*$AV$2/1000</f>
        <v>0</v>
      </c>
      <c r="AW958" s="97"/>
      <c r="AX958" s="97">
        <f t="shared" ref="AX958:AX972" si="8154">O958*AW958*$AX$2/1000</f>
        <v>0</v>
      </c>
      <c r="AY958" s="97">
        <f t="shared" ref="AY958:AY959" si="8155">SUM(AS958+AU958+AW958)</f>
        <v>0</v>
      </c>
      <c r="AZ958" s="97">
        <f t="shared" ref="AZ958:AZ959" si="8156">SUM(AT958+AV958+AX958)</f>
        <v>0</v>
      </c>
      <c r="BA958" s="97">
        <f t="shared" ref="BA958:BA972" si="8157">SUM(AQ958+AY958)</f>
        <v>0</v>
      </c>
      <c r="BB958" s="97">
        <f t="shared" ref="BB958:BB972" si="8158">SUM(AR958,AZ958)</f>
        <v>0</v>
      </c>
    </row>
    <row r="959" spans="1:54">
      <c r="A959" s="498">
        <v>672</v>
      </c>
      <c r="B959" s="13"/>
      <c r="C959" s="302"/>
      <c r="D959" s="13" t="s">
        <v>870</v>
      </c>
      <c r="E959" s="16" t="s">
        <v>1391</v>
      </c>
      <c r="F959" s="46" t="s">
        <v>384</v>
      </c>
      <c r="G959" s="46" t="s">
        <v>1105</v>
      </c>
      <c r="H959" s="268" t="s">
        <v>441</v>
      </c>
      <c r="I959" s="55">
        <v>8.6199999999999992</v>
      </c>
      <c r="J959" s="163"/>
      <c r="K959" s="55">
        <v>8.6199999999999992</v>
      </c>
      <c r="L959" s="163"/>
      <c r="M959" s="55">
        <v>8.6199999999999992</v>
      </c>
      <c r="N959" s="163"/>
      <c r="O959" s="55">
        <v>8.6199999999999992</v>
      </c>
      <c r="P959" s="163"/>
      <c r="Q959" s="97">
        <f t="shared" si="8133"/>
        <v>0</v>
      </c>
      <c r="R959" s="342">
        <f t="shared" si="8134"/>
        <v>0</v>
      </c>
      <c r="S959" s="97"/>
      <c r="T959" s="97">
        <f t="shared" ref="T959" si="8159">I959*S959*$T$2/1000</f>
        <v>0</v>
      </c>
      <c r="U959" s="97"/>
      <c r="V959" s="97">
        <f t="shared" ref="V959" si="8160">I959*U959*$V$2/1000</f>
        <v>0</v>
      </c>
      <c r="W959" s="97"/>
      <c r="X959" s="97">
        <f t="shared" ref="X959" si="8161">I959*W959*$X$2/1000</f>
        <v>0</v>
      </c>
      <c r="Y959" s="97">
        <f t="shared" si="8138"/>
        <v>0</v>
      </c>
      <c r="Z959" s="97">
        <f t="shared" si="8139"/>
        <v>0</v>
      </c>
      <c r="AA959" s="97"/>
      <c r="AB959" s="97">
        <f t="shared" ref="AB959" si="8162">K959*AA959*$AB$2/1000</f>
        <v>0</v>
      </c>
      <c r="AC959" s="97"/>
      <c r="AD959" s="97">
        <f t="shared" ref="AD959" si="8163">K959*AC959*$AD$2/1000</f>
        <v>0</v>
      </c>
      <c r="AE959" s="97"/>
      <c r="AF959" s="97">
        <f t="shared" si="8142"/>
        <v>0</v>
      </c>
      <c r="AG959" s="97">
        <f t="shared" si="8143"/>
        <v>0</v>
      </c>
      <c r="AH959" s="97">
        <f t="shared" si="8144"/>
        <v>0</v>
      </c>
      <c r="AI959" s="97">
        <f t="shared" ref="AI959" si="8164">SUM(Y959+AG959)</f>
        <v>0</v>
      </c>
      <c r="AJ959" s="97">
        <f t="shared" ref="AJ959" si="8165">SUM(Z959,AH959)</f>
        <v>0</v>
      </c>
      <c r="AK959" s="97"/>
      <c r="AL959" s="97">
        <f t="shared" ref="AL959" si="8166">M959*AK959*$AL$2/1000</f>
        <v>0</v>
      </c>
      <c r="AM959" s="97"/>
      <c r="AN959" s="97">
        <f t="shared" ref="AN959" si="8167">M959*AM959*$AN$2/1000</f>
        <v>0</v>
      </c>
      <c r="AO959" s="97"/>
      <c r="AP959" s="97">
        <f t="shared" si="8149"/>
        <v>0</v>
      </c>
      <c r="AQ959" s="97">
        <f t="shared" si="8150"/>
        <v>0</v>
      </c>
      <c r="AR959" s="97">
        <f t="shared" si="8151"/>
        <v>0</v>
      </c>
      <c r="AS959" s="97"/>
      <c r="AT959" s="97">
        <f t="shared" ref="AT959" si="8168">O959*AS959*$AT$2/1000</f>
        <v>0</v>
      </c>
      <c r="AU959" s="97"/>
      <c r="AV959" s="97">
        <f t="shared" ref="AV959" si="8169">O959*AU959*$AV$2/1000</f>
        <v>0</v>
      </c>
      <c r="AW959" s="97"/>
      <c r="AX959" s="97">
        <f t="shared" ref="AX959" si="8170">O959*AW959*$AX$2/1000</f>
        <v>0</v>
      </c>
      <c r="AY959" s="97">
        <f t="shared" si="8155"/>
        <v>0</v>
      </c>
      <c r="AZ959" s="97">
        <f t="shared" si="8156"/>
        <v>0</v>
      </c>
      <c r="BA959" s="97">
        <f t="shared" ref="BA959" si="8171">SUM(AQ959+AY959)</f>
        <v>0</v>
      </c>
      <c r="BB959" s="97">
        <f t="shared" ref="BB959" si="8172">SUM(AR959,AZ959)</f>
        <v>0</v>
      </c>
    </row>
    <row r="960" spans="1:54" ht="12.75" customHeight="1">
      <c r="A960" s="498">
        <v>675</v>
      </c>
      <c r="B960" s="13"/>
      <c r="C960" s="302"/>
      <c r="D960" s="13" t="s">
        <v>828</v>
      </c>
      <c r="E960" s="16" t="s">
        <v>648</v>
      </c>
      <c r="F960" s="46" t="s">
        <v>407</v>
      </c>
      <c r="G960" s="46" t="s">
        <v>1105</v>
      </c>
      <c r="H960" s="268" t="s">
        <v>441</v>
      </c>
      <c r="I960" s="55">
        <v>8.5</v>
      </c>
      <c r="J960" s="163"/>
      <c r="K960" s="55">
        <v>8.5</v>
      </c>
      <c r="L960" s="163"/>
      <c r="M960" s="55">
        <v>8.5</v>
      </c>
      <c r="N960" s="163"/>
      <c r="O960" s="55">
        <v>8.5</v>
      </c>
      <c r="P960" s="163"/>
      <c r="Q960" s="97">
        <f t="shared" si="8084"/>
        <v>0</v>
      </c>
      <c r="R960" s="342">
        <f t="shared" si="8084"/>
        <v>0</v>
      </c>
      <c r="S960" s="97"/>
      <c r="T960" s="97">
        <f t="shared" si="8135"/>
        <v>0</v>
      </c>
      <c r="U960" s="97"/>
      <c r="V960" s="97">
        <f t="shared" si="8136"/>
        <v>0</v>
      </c>
      <c r="W960" s="97"/>
      <c r="X960" s="97">
        <f t="shared" si="8137"/>
        <v>0</v>
      </c>
      <c r="Y960" s="97">
        <f t="shared" ref="Y960:Y984" si="8173">SUM(S960+U960+W960)</f>
        <v>0</v>
      </c>
      <c r="Z960" s="97">
        <f>SUM(T960+V960+X960)</f>
        <v>0</v>
      </c>
      <c r="AA960" s="97"/>
      <c r="AB960" s="97">
        <f t="shared" si="8140"/>
        <v>0</v>
      </c>
      <c r="AC960" s="97"/>
      <c r="AD960" s="97">
        <f t="shared" si="8141"/>
        <v>0</v>
      </c>
      <c r="AE960" s="97"/>
      <c r="AF960" s="97">
        <f t="shared" si="8009"/>
        <v>0</v>
      </c>
      <c r="AG960" s="97">
        <f t="shared" si="8092"/>
        <v>0</v>
      </c>
      <c r="AH960" s="97">
        <f>SUM(AB960+AD960+AF960)</f>
        <v>0</v>
      </c>
      <c r="AI960" s="97">
        <f t="shared" si="8145"/>
        <v>0</v>
      </c>
      <c r="AJ960" s="97">
        <f t="shared" si="8146"/>
        <v>0</v>
      </c>
      <c r="AK960" s="97"/>
      <c r="AL960" s="97">
        <f t="shared" si="8147"/>
        <v>0</v>
      </c>
      <c r="AM960" s="97"/>
      <c r="AN960" s="97">
        <f t="shared" si="8148"/>
        <v>0</v>
      </c>
      <c r="AO960" s="97"/>
      <c r="AP960" s="97">
        <f t="shared" si="8098"/>
        <v>0</v>
      </c>
      <c r="AQ960" s="97">
        <f t="shared" si="8099"/>
        <v>0</v>
      </c>
      <c r="AR960" s="97">
        <f>SUM(AL960+AN960+AP960)</f>
        <v>0</v>
      </c>
      <c r="AS960" s="97"/>
      <c r="AT960" s="97">
        <f t="shared" si="8152"/>
        <v>0</v>
      </c>
      <c r="AU960" s="97"/>
      <c r="AV960" s="97">
        <f t="shared" si="8153"/>
        <v>0</v>
      </c>
      <c r="AW960" s="97"/>
      <c r="AX960" s="97">
        <f t="shared" si="8154"/>
        <v>0</v>
      </c>
      <c r="AY960" s="97">
        <f>SUM(AS960+AU960+AW960)</f>
        <v>0</v>
      </c>
      <c r="AZ960" s="97">
        <f>SUM(AT960+AV960+AX960)</f>
        <v>0</v>
      </c>
      <c r="BA960" s="97">
        <f t="shared" si="8157"/>
        <v>0</v>
      </c>
      <c r="BB960" s="97">
        <f t="shared" si="8158"/>
        <v>0</v>
      </c>
    </row>
    <row r="961" spans="1:54">
      <c r="A961" s="498">
        <v>676</v>
      </c>
      <c r="B961" s="13"/>
      <c r="C961" s="302"/>
      <c r="D961" s="13" t="s">
        <v>828</v>
      </c>
      <c r="E961" s="16" t="s">
        <v>829</v>
      </c>
      <c r="F961" s="46" t="s">
        <v>384</v>
      </c>
      <c r="G961" s="46" t="s">
        <v>1105</v>
      </c>
      <c r="H961" s="268" t="s">
        <v>366</v>
      </c>
      <c r="I961" s="55">
        <v>7.96</v>
      </c>
      <c r="J961" s="163"/>
      <c r="K961" s="55">
        <v>7.96</v>
      </c>
      <c r="L961" s="163"/>
      <c r="M961" s="55">
        <v>7.96</v>
      </c>
      <c r="N961" s="163"/>
      <c r="O961" s="55">
        <v>7.96</v>
      </c>
      <c r="P961" s="163"/>
      <c r="Q961" s="97">
        <f t="shared" ref="Q961:Q965" si="8174">SUM(AI961+BA961)</f>
        <v>0</v>
      </c>
      <c r="R961" s="342">
        <f t="shared" ref="R961:R965" si="8175">SUM(AJ961+BB961)</f>
        <v>0</v>
      </c>
      <c r="S961" s="97"/>
      <c r="T961" s="97">
        <f t="shared" ref="T961:T965" si="8176">I961*S961*$T$2/1000</f>
        <v>0</v>
      </c>
      <c r="U961" s="97"/>
      <c r="V961" s="97">
        <f t="shared" ref="V961:V965" si="8177">I961*U961*$V$2/1000</f>
        <v>0</v>
      </c>
      <c r="W961" s="97"/>
      <c r="X961" s="97">
        <f t="shared" ref="X961:X965" si="8178">I961*W961*$X$2/1000</f>
        <v>0</v>
      </c>
      <c r="Y961" s="97">
        <f t="shared" ref="Y961:Y965" si="8179">SUM(S961+U961+W961)</f>
        <v>0</v>
      </c>
      <c r="Z961" s="97">
        <f>SUM(T961+V961+X961)</f>
        <v>0</v>
      </c>
      <c r="AA961" s="97"/>
      <c r="AB961" s="97">
        <f t="shared" ref="AB961:AB965" si="8180">K961*AA961*$AB$2/1000</f>
        <v>0</v>
      </c>
      <c r="AC961" s="97"/>
      <c r="AD961" s="97">
        <f t="shared" ref="AD961:AD965" si="8181">K961*AC961*$AD$2/1000</f>
        <v>0</v>
      </c>
      <c r="AE961" s="97"/>
      <c r="AF961" s="97">
        <f t="shared" ref="AF961:AF965" si="8182">K961*AE961*$AF$2/1000</f>
        <v>0</v>
      </c>
      <c r="AG961" s="97">
        <f t="shared" ref="AG961:AG965" si="8183">SUM(AA961+AC961+AE961)</f>
        <v>0</v>
      </c>
      <c r="AH961" s="97">
        <f>SUM(AB961+AD961+AF961)</f>
        <v>0</v>
      </c>
      <c r="AI961" s="97">
        <f t="shared" ref="AI961:AI965" si="8184">SUM(Y961+AG961)</f>
        <v>0</v>
      </c>
      <c r="AJ961" s="97">
        <f t="shared" ref="AJ961:AJ965" si="8185">SUM(Z961,AH961)</f>
        <v>0</v>
      </c>
      <c r="AK961" s="97"/>
      <c r="AL961" s="97">
        <f t="shared" ref="AL961:AL965" si="8186">M961*AK961*$AL$2/1000</f>
        <v>0</v>
      </c>
      <c r="AM961" s="97"/>
      <c r="AN961" s="97">
        <f t="shared" ref="AN961:AN965" si="8187">M961*AM961*$AN$2/1000</f>
        <v>0</v>
      </c>
      <c r="AO961" s="97"/>
      <c r="AP961" s="97">
        <f t="shared" ref="AP961:AP965" si="8188">M961*AO961*$AP$2/1000</f>
        <v>0</v>
      </c>
      <c r="AQ961" s="97">
        <f t="shared" ref="AQ961:AQ965" si="8189">SUM(AK961+AM961+AO961)</f>
        <v>0</v>
      </c>
      <c r="AR961" s="97">
        <f>SUM(AL961+AN961+AP961)</f>
        <v>0</v>
      </c>
      <c r="AS961" s="97"/>
      <c r="AT961" s="97">
        <f t="shared" ref="AT961:AT965" si="8190">O961*AS961*$AT$2/1000</f>
        <v>0</v>
      </c>
      <c r="AU961" s="97"/>
      <c r="AV961" s="97">
        <f t="shared" ref="AV961:AV965" si="8191">O961*AU961*$AV$2/1000</f>
        <v>0</v>
      </c>
      <c r="AW961" s="97"/>
      <c r="AX961" s="97">
        <f t="shared" ref="AX961:AX965" si="8192">O961*AW961*$AX$2/1000</f>
        <v>0</v>
      </c>
      <c r="AY961" s="97">
        <f t="shared" ref="AY961:AY965" si="8193">SUM(AS961+AU961+AW961)</f>
        <v>0</v>
      </c>
      <c r="AZ961" s="97">
        <f>SUM(AT961+AV961+AX961)</f>
        <v>0</v>
      </c>
      <c r="BA961" s="97">
        <f t="shared" ref="BA961:BA965" si="8194">SUM(AQ961+AY961)</f>
        <v>0</v>
      </c>
      <c r="BB961" s="97">
        <f t="shared" ref="BB961:BB965" si="8195">SUM(AR961,AZ961)</f>
        <v>0</v>
      </c>
    </row>
    <row r="962" spans="1:54">
      <c r="A962" s="498">
        <v>677</v>
      </c>
      <c r="B962" s="13"/>
      <c r="C962" s="302"/>
      <c r="D962" s="13" t="s">
        <v>828</v>
      </c>
      <c r="E962" s="16" t="s">
        <v>1193</v>
      </c>
      <c r="F962" s="46" t="s">
        <v>384</v>
      </c>
      <c r="G962" s="46" t="s">
        <v>1105</v>
      </c>
      <c r="H962" s="268" t="s">
        <v>441</v>
      </c>
      <c r="I962" s="55">
        <v>7.86</v>
      </c>
      <c r="J962" s="163"/>
      <c r="K962" s="55">
        <v>7.86</v>
      </c>
      <c r="L962" s="163"/>
      <c r="M962" s="55">
        <v>7.86</v>
      </c>
      <c r="N962" s="163"/>
      <c r="O962" s="55">
        <v>7.86</v>
      </c>
      <c r="P962" s="163"/>
      <c r="Q962" s="97">
        <f t="shared" ref="Q962" si="8196">SUM(AI962+BA962)</f>
        <v>0</v>
      </c>
      <c r="R962" s="342">
        <f t="shared" ref="R962" si="8197">SUM(AJ962+BB962)</f>
        <v>0</v>
      </c>
      <c r="S962" s="97"/>
      <c r="T962" s="97">
        <f t="shared" ref="T962" si="8198">I962*S962*$T$2/1000</f>
        <v>0</v>
      </c>
      <c r="U962" s="97"/>
      <c r="V962" s="97">
        <f t="shared" ref="V962" si="8199">I962*U962*$V$2/1000</f>
        <v>0</v>
      </c>
      <c r="W962" s="97"/>
      <c r="X962" s="97">
        <f t="shared" ref="X962" si="8200">I962*W962*$X$2/1000</f>
        <v>0</v>
      </c>
      <c r="Y962" s="97">
        <f t="shared" ref="Y962" si="8201">SUM(S962+U962+W962)</f>
        <v>0</v>
      </c>
      <c r="Z962" s="97">
        <f>SUM(T962+V962+X962)</f>
        <v>0</v>
      </c>
      <c r="AA962" s="97"/>
      <c r="AB962" s="97">
        <f t="shared" ref="AB962" si="8202">K962*AA962*$AB$2/1000</f>
        <v>0</v>
      </c>
      <c r="AC962" s="97"/>
      <c r="AD962" s="97">
        <f t="shared" ref="AD962" si="8203">K962*AC962*$AD$2/1000</f>
        <v>0</v>
      </c>
      <c r="AE962" s="97"/>
      <c r="AF962" s="97">
        <f t="shared" ref="AF962" si="8204">K962*AE962*$AF$2/1000</f>
        <v>0</v>
      </c>
      <c r="AG962" s="97">
        <f t="shared" ref="AG962" si="8205">SUM(AA962+AC962+AE962)</f>
        <v>0</v>
      </c>
      <c r="AH962" s="97">
        <f>SUM(AB962+AD962+AF962)</f>
        <v>0</v>
      </c>
      <c r="AI962" s="97">
        <f t="shared" ref="AI962" si="8206">SUM(Y962+AG962)</f>
        <v>0</v>
      </c>
      <c r="AJ962" s="97">
        <f t="shared" ref="AJ962" si="8207">SUM(Z962,AH962)</f>
        <v>0</v>
      </c>
      <c r="AK962" s="97"/>
      <c r="AL962" s="97">
        <f t="shared" ref="AL962" si="8208">M962*AK962*$AL$2/1000</f>
        <v>0</v>
      </c>
      <c r="AM962" s="97"/>
      <c r="AN962" s="97">
        <f t="shared" ref="AN962" si="8209">M962*AM962*$AN$2/1000</f>
        <v>0</v>
      </c>
      <c r="AO962" s="97"/>
      <c r="AP962" s="97">
        <f t="shared" ref="AP962" si="8210">M962*AO962*$AP$2/1000</f>
        <v>0</v>
      </c>
      <c r="AQ962" s="97">
        <f t="shared" ref="AQ962" si="8211">SUM(AK962+AM962+AO962)</f>
        <v>0</v>
      </c>
      <c r="AR962" s="97">
        <f>SUM(AL962+AN962+AP962)</f>
        <v>0</v>
      </c>
      <c r="AS962" s="97"/>
      <c r="AT962" s="97">
        <f t="shared" ref="AT962" si="8212">O962*AS962*$AT$2/1000</f>
        <v>0</v>
      </c>
      <c r="AU962" s="97"/>
      <c r="AV962" s="97">
        <f t="shared" ref="AV962" si="8213">O962*AU962*$AV$2/1000</f>
        <v>0</v>
      </c>
      <c r="AW962" s="97"/>
      <c r="AX962" s="97">
        <f t="shared" ref="AX962" si="8214">O962*AW962*$AX$2/1000</f>
        <v>0</v>
      </c>
      <c r="AY962" s="97">
        <f t="shared" ref="AY962" si="8215">SUM(AS962+AU962+AW962)</f>
        <v>0</v>
      </c>
      <c r="AZ962" s="97">
        <f>SUM(AT962+AV962+AX962)</f>
        <v>0</v>
      </c>
      <c r="BA962" s="97">
        <f t="shared" ref="BA962" si="8216">SUM(AQ962+AY962)</f>
        <v>0</v>
      </c>
      <c r="BB962" s="97">
        <f t="shared" ref="BB962" si="8217">SUM(AR962,AZ962)</f>
        <v>0</v>
      </c>
    </row>
    <row r="963" spans="1:54">
      <c r="A963" s="498">
        <v>678</v>
      </c>
      <c r="B963" s="13"/>
      <c r="C963" s="302"/>
      <c r="D963" s="13" t="s">
        <v>828</v>
      </c>
      <c r="E963" s="16" t="s">
        <v>846</v>
      </c>
      <c r="F963" s="46" t="s">
        <v>384</v>
      </c>
      <c r="G963" s="46" t="s">
        <v>1105</v>
      </c>
      <c r="H963" s="268" t="s">
        <v>441</v>
      </c>
      <c r="I963" s="55">
        <v>7.86</v>
      </c>
      <c r="J963" s="163"/>
      <c r="K963" s="55">
        <v>7.86</v>
      </c>
      <c r="L963" s="163"/>
      <c r="M963" s="55">
        <v>7.86</v>
      </c>
      <c r="N963" s="163"/>
      <c r="O963" s="55">
        <v>7.86</v>
      </c>
      <c r="P963" s="163"/>
      <c r="Q963" s="97">
        <f t="shared" si="8174"/>
        <v>0</v>
      </c>
      <c r="R963" s="342">
        <f t="shared" si="8175"/>
        <v>0</v>
      </c>
      <c r="S963" s="97"/>
      <c r="T963" s="97">
        <f t="shared" si="8176"/>
        <v>0</v>
      </c>
      <c r="U963" s="97"/>
      <c r="V963" s="97">
        <f t="shared" si="8177"/>
        <v>0</v>
      </c>
      <c r="W963" s="97"/>
      <c r="X963" s="97">
        <f t="shared" si="8178"/>
        <v>0</v>
      </c>
      <c r="Y963" s="97">
        <f t="shared" si="8179"/>
        <v>0</v>
      </c>
      <c r="Z963" s="97">
        <f>SUM(T963+V963+X963)</f>
        <v>0</v>
      </c>
      <c r="AA963" s="97"/>
      <c r="AB963" s="97">
        <f t="shared" si="8180"/>
        <v>0</v>
      </c>
      <c r="AC963" s="97"/>
      <c r="AD963" s="97">
        <f t="shared" si="8181"/>
        <v>0</v>
      </c>
      <c r="AE963" s="97"/>
      <c r="AF963" s="97">
        <f t="shared" si="8182"/>
        <v>0</v>
      </c>
      <c r="AG963" s="97">
        <f t="shared" si="8183"/>
        <v>0</v>
      </c>
      <c r="AH963" s="97">
        <f>SUM(AB963+AD963+AF963)</f>
        <v>0</v>
      </c>
      <c r="AI963" s="97">
        <f t="shared" si="8184"/>
        <v>0</v>
      </c>
      <c r="AJ963" s="97">
        <f t="shared" si="8185"/>
        <v>0</v>
      </c>
      <c r="AK963" s="97"/>
      <c r="AL963" s="97">
        <f t="shared" si="8186"/>
        <v>0</v>
      </c>
      <c r="AM963" s="97"/>
      <c r="AN963" s="97">
        <f t="shared" si="8187"/>
        <v>0</v>
      </c>
      <c r="AO963" s="97"/>
      <c r="AP963" s="97">
        <f t="shared" si="8188"/>
        <v>0</v>
      </c>
      <c r="AQ963" s="97">
        <f t="shared" si="8189"/>
        <v>0</v>
      </c>
      <c r="AR963" s="97">
        <f>SUM(AL963+AN963+AP963)</f>
        <v>0</v>
      </c>
      <c r="AS963" s="97"/>
      <c r="AT963" s="97">
        <f t="shared" si="8190"/>
        <v>0</v>
      </c>
      <c r="AU963" s="97"/>
      <c r="AV963" s="97">
        <f t="shared" si="8191"/>
        <v>0</v>
      </c>
      <c r="AW963" s="97"/>
      <c r="AX963" s="97">
        <f t="shared" si="8192"/>
        <v>0</v>
      </c>
      <c r="AY963" s="97">
        <f t="shared" si="8193"/>
        <v>0</v>
      </c>
      <c r="AZ963" s="97">
        <f>SUM(AT963+AV963+AX963)</f>
        <v>0</v>
      </c>
      <c r="BA963" s="97">
        <f t="shared" si="8194"/>
        <v>0</v>
      </c>
      <c r="BB963" s="97">
        <f t="shared" si="8195"/>
        <v>0</v>
      </c>
    </row>
    <row r="964" spans="1:54">
      <c r="A964" s="498">
        <v>679</v>
      </c>
      <c r="B964" s="13"/>
      <c r="C964" s="13"/>
      <c r="D964" s="13" t="s">
        <v>828</v>
      </c>
      <c r="E964" s="21" t="s">
        <v>1133</v>
      </c>
      <c r="F964" s="46" t="s">
        <v>382</v>
      </c>
      <c r="G964" s="46" t="s">
        <v>1105</v>
      </c>
      <c r="H964" s="268" t="s">
        <v>441</v>
      </c>
      <c r="I964" s="55">
        <v>8.7100000000000009</v>
      </c>
      <c r="J964" s="102"/>
      <c r="K964" s="55">
        <v>8.7100000000000009</v>
      </c>
      <c r="L964" s="163"/>
      <c r="M964" s="55">
        <v>8.7100000000000009</v>
      </c>
      <c r="N964" s="163"/>
      <c r="O964" s="55">
        <v>8.7100000000000009</v>
      </c>
      <c r="P964" s="102"/>
      <c r="Q964" s="97">
        <f t="shared" si="8174"/>
        <v>0</v>
      </c>
      <c r="R964" s="342">
        <f t="shared" si="8175"/>
        <v>0</v>
      </c>
      <c r="S964" s="97"/>
      <c r="T964" s="97">
        <f>I964*S964*$T$2/1000</f>
        <v>0</v>
      </c>
      <c r="U964" s="97"/>
      <c r="V964" s="177">
        <f>I964*U964*$V$2/1000</f>
        <v>0</v>
      </c>
      <c r="W964" s="207"/>
      <c r="X964" s="206">
        <f>I964*W964*$X$2/1000</f>
        <v>0</v>
      </c>
      <c r="Y964" s="189">
        <f t="shared" ref="Y964" si="8218">SUM(S964+U964+W964)</f>
        <v>0</v>
      </c>
      <c r="Z964" s="177">
        <f t="shared" ref="Z964" si="8219">SUM(T964+V964+X964)</f>
        <v>0</v>
      </c>
      <c r="AA964" s="207"/>
      <c r="AB964" s="206">
        <f>K964*AA964*$AB$2/1000</f>
        <v>0</v>
      </c>
      <c r="AC964" s="207"/>
      <c r="AD964" s="177">
        <f>K964*AC964*$AD$2/1000</f>
        <v>0</v>
      </c>
      <c r="AE964" s="207"/>
      <c r="AF964" s="206">
        <f t="shared" si="8182"/>
        <v>0</v>
      </c>
      <c r="AG964" s="189">
        <f>SUM(AA964+AC964+AE964)</f>
        <v>0</v>
      </c>
      <c r="AH964" s="97">
        <f t="shared" ref="AH964" si="8220">SUM(AB964+AD964+AF964)</f>
        <v>0</v>
      </c>
      <c r="AI964" s="97">
        <f t="shared" si="8184"/>
        <v>0</v>
      </c>
      <c r="AJ964" s="177">
        <f t="shared" si="8185"/>
        <v>0</v>
      </c>
      <c r="AK964" s="207"/>
      <c r="AL964" s="177">
        <f t="shared" si="8186"/>
        <v>0</v>
      </c>
      <c r="AM964" s="245"/>
      <c r="AN964" s="177">
        <f t="shared" si="8187"/>
        <v>0</v>
      </c>
      <c r="AO964" s="207"/>
      <c r="AP964" s="206">
        <f t="shared" si="8188"/>
        <v>0</v>
      </c>
      <c r="AQ964" s="189">
        <f>SUM(AK964+AM964+AO964)</f>
        <v>0</v>
      </c>
      <c r="AR964" s="97">
        <f t="shared" ref="AR964" si="8221">SUM(AL964+AN964+AP964)</f>
        <v>0</v>
      </c>
      <c r="AS964" s="97"/>
      <c r="AT964" s="177">
        <f t="shared" si="8190"/>
        <v>0</v>
      </c>
      <c r="AU964" s="207"/>
      <c r="AV964" s="177">
        <f t="shared" si="8191"/>
        <v>0</v>
      </c>
      <c r="AW964" s="207"/>
      <c r="AX964" s="206">
        <f t="shared" si="8192"/>
        <v>0</v>
      </c>
      <c r="AY964" s="189">
        <f>SUM(AS964+AU964+AW964)</f>
        <v>0</v>
      </c>
      <c r="AZ964" s="97">
        <f t="shared" ref="AZ964" si="8222">SUM(AT964+AV964+AX964)</f>
        <v>0</v>
      </c>
      <c r="BA964" s="97">
        <f t="shared" si="8194"/>
        <v>0</v>
      </c>
      <c r="BB964" s="97">
        <f t="shared" si="8195"/>
        <v>0</v>
      </c>
    </row>
    <row r="965" spans="1:54">
      <c r="A965" s="498">
        <v>680</v>
      </c>
      <c r="B965" s="13"/>
      <c r="C965" s="302"/>
      <c r="D965" s="13" t="s">
        <v>871</v>
      </c>
      <c r="E965" s="16" t="s">
        <v>559</v>
      </c>
      <c r="F965" s="46" t="s">
        <v>384</v>
      </c>
      <c r="G965" s="46" t="s">
        <v>1105</v>
      </c>
      <c r="H965" s="268" t="s">
        <v>441</v>
      </c>
      <c r="I965" s="55">
        <v>8.5</v>
      </c>
      <c r="J965" s="163"/>
      <c r="K965" s="55">
        <v>8.5</v>
      </c>
      <c r="L965" s="163"/>
      <c r="M965" s="55">
        <v>8.5</v>
      </c>
      <c r="N965" s="163"/>
      <c r="O965" s="55">
        <v>8.5</v>
      </c>
      <c r="P965" s="163"/>
      <c r="Q965" s="97">
        <f t="shared" si="8174"/>
        <v>0</v>
      </c>
      <c r="R965" s="342">
        <f t="shared" si="8175"/>
        <v>0</v>
      </c>
      <c r="S965" s="97"/>
      <c r="T965" s="97">
        <f t="shared" si="8176"/>
        <v>0</v>
      </c>
      <c r="U965" s="97"/>
      <c r="V965" s="97">
        <f t="shared" si="8177"/>
        <v>0</v>
      </c>
      <c r="W965" s="97"/>
      <c r="X965" s="97">
        <f t="shared" si="8178"/>
        <v>0</v>
      </c>
      <c r="Y965" s="97">
        <f t="shared" si="8179"/>
        <v>0</v>
      </c>
      <c r="Z965" s="97">
        <f t="shared" ref="Z965" si="8223">SUM(T965+V965+X965)</f>
        <v>0</v>
      </c>
      <c r="AA965" s="97"/>
      <c r="AB965" s="97">
        <f t="shared" si="8180"/>
        <v>0</v>
      </c>
      <c r="AC965" s="97"/>
      <c r="AD965" s="97">
        <f t="shared" si="8181"/>
        <v>0</v>
      </c>
      <c r="AE965" s="97"/>
      <c r="AF965" s="97">
        <f t="shared" si="8182"/>
        <v>0</v>
      </c>
      <c r="AG965" s="97">
        <f t="shared" si="8183"/>
        <v>0</v>
      </c>
      <c r="AH965" s="97">
        <f t="shared" ref="AH965" si="8224">SUM(AB965+AD965+AF965)</f>
        <v>0</v>
      </c>
      <c r="AI965" s="97">
        <f t="shared" si="8184"/>
        <v>0</v>
      </c>
      <c r="AJ965" s="97">
        <f t="shared" si="8185"/>
        <v>0</v>
      </c>
      <c r="AK965" s="97"/>
      <c r="AL965" s="97">
        <f t="shared" si="8186"/>
        <v>0</v>
      </c>
      <c r="AM965" s="97"/>
      <c r="AN965" s="97">
        <f t="shared" si="8187"/>
        <v>0</v>
      </c>
      <c r="AO965" s="97"/>
      <c r="AP965" s="97">
        <f t="shared" si="8188"/>
        <v>0</v>
      </c>
      <c r="AQ965" s="97">
        <f t="shared" si="8189"/>
        <v>0</v>
      </c>
      <c r="AR965" s="97">
        <f t="shared" ref="AR965" si="8225">SUM(AL965+AN965+AP965)</f>
        <v>0</v>
      </c>
      <c r="AS965" s="97"/>
      <c r="AT965" s="97">
        <f t="shared" si="8190"/>
        <v>0</v>
      </c>
      <c r="AU965" s="97"/>
      <c r="AV965" s="97">
        <f t="shared" si="8191"/>
        <v>0</v>
      </c>
      <c r="AW965" s="97"/>
      <c r="AX965" s="97">
        <f t="shared" si="8192"/>
        <v>0</v>
      </c>
      <c r="AY965" s="97">
        <f t="shared" si="8193"/>
        <v>0</v>
      </c>
      <c r="AZ965" s="97">
        <f t="shared" ref="AZ965" si="8226">SUM(AT965+AV965+AX965)</f>
        <v>0</v>
      </c>
      <c r="BA965" s="97">
        <f t="shared" si="8194"/>
        <v>0</v>
      </c>
      <c r="BB965" s="97">
        <f t="shared" si="8195"/>
        <v>0</v>
      </c>
    </row>
    <row r="966" spans="1:54">
      <c r="A966" s="498">
        <v>681</v>
      </c>
      <c r="B966" s="13"/>
      <c r="C966" s="302"/>
      <c r="D966" s="13" t="s">
        <v>871</v>
      </c>
      <c r="E966" s="16" t="s">
        <v>950</v>
      </c>
      <c r="F966" s="46" t="s">
        <v>384</v>
      </c>
      <c r="G966" s="46" t="s">
        <v>1105</v>
      </c>
      <c r="H966" s="268" t="s">
        <v>366</v>
      </c>
      <c r="I966" s="55">
        <v>7.86</v>
      </c>
      <c r="J966" s="163"/>
      <c r="K966" s="55">
        <v>7.86</v>
      </c>
      <c r="L966" s="163"/>
      <c r="M966" s="55">
        <v>7.86</v>
      </c>
      <c r="N966" s="163"/>
      <c r="O966" s="55">
        <v>7.86</v>
      </c>
      <c r="P966" s="163"/>
      <c r="Q966" s="97">
        <f t="shared" ref="Q966" si="8227">SUM(AI966+BA966)</f>
        <v>0</v>
      </c>
      <c r="R966" s="342">
        <f t="shared" ref="R966" si="8228">SUM(AJ966+BB966)</f>
        <v>0</v>
      </c>
      <c r="S966" s="97"/>
      <c r="T966" s="97">
        <f t="shared" ref="T966" si="8229">I966*S966*$T$2/1000</f>
        <v>0</v>
      </c>
      <c r="U966" s="97"/>
      <c r="V966" s="97">
        <f t="shared" ref="V966" si="8230">I966*U966*$V$2/1000</f>
        <v>0</v>
      </c>
      <c r="W966" s="97"/>
      <c r="X966" s="97">
        <f t="shared" ref="X966" si="8231">I966*W966*$X$2/1000</f>
        <v>0</v>
      </c>
      <c r="Y966" s="97">
        <f t="shared" ref="Y966" si="8232">SUM(S966+U966+W966)</f>
        <v>0</v>
      </c>
      <c r="Z966" s="97">
        <f t="shared" ref="Z966" si="8233">SUM(T966+V966+X966)</f>
        <v>0</v>
      </c>
      <c r="AA966" s="97"/>
      <c r="AB966" s="97">
        <f t="shared" ref="AB966" si="8234">K966*AA966*$AB$2/1000</f>
        <v>0</v>
      </c>
      <c r="AC966" s="97"/>
      <c r="AD966" s="97">
        <f t="shared" ref="AD966" si="8235">K966*AC966*$AD$2/1000</f>
        <v>0</v>
      </c>
      <c r="AE966" s="97"/>
      <c r="AF966" s="97">
        <f t="shared" ref="AF966" si="8236">K966*AE966*$AF$2/1000</f>
        <v>0</v>
      </c>
      <c r="AG966" s="97">
        <f t="shared" ref="AG966" si="8237">SUM(AA966+AC966+AE966)</f>
        <v>0</v>
      </c>
      <c r="AH966" s="97">
        <f t="shared" ref="AH966" si="8238">SUM(AB966+AD966+AF966)</f>
        <v>0</v>
      </c>
      <c r="AI966" s="97">
        <f t="shared" ref="AI966" si="8239">SUM(Y966+AG966)</f>
        <v>0</v>
      </c>
      <c r="AJ966" s="97">
        <f t="shared" ref="AJ966" si="8240">SUM(Z966,AH966)</f>
        <v>0</v>
      </c>
      <c r="AK966" s="97"/>
      <c r="AL966" s="97">
        <f t="shared" ref="AL966" si="8241">M966*AK966*$AL$2/1000</f>
        <v>0</v>
      </c>
      <c r="AM966" s="97"/>
      <c r="AN966" s="97">
        <f t="shared" ref="AN966" si="8242">M966*AM966*$AN$2/1000</f>
        <v>0</v>
      </c>
      <c r="AO966" s="97"/>
      <c r="AP966" s="97">
        <f t="shared" ref="AP966" si="8243">M966*AO966*$AP$2/1000</f>
        <v>0</v>
      </c>
      <c r="AQ966" s="97">
        <f t="shared" ref="AQ966" si="8244">SUM(AK966+AM966+AO966)</f>
        <v>0</v>
      </c>
      <c r="AR966" s="97">
        <f t="shared" ref="AR966" si="8245">SUM(AL966+AN966+AP966)</f>
        <v>0</v>
      </c>
      <c r="AS966" s="97"/>
      <c r="AT966" s="97">
        <f t="shared" ref="AT966" si="8246">O966*AS966*$AT$2/1000</f>
        <v>0</v>
      </c>
      <c r="AU966" s="97"/>
      <c r="AV966" s="97">
        <f t="shared" ref="AV966" si="8247">O966*AU966*$AV$2/1000</f>
        <v>0</v>
      </c>
      <c r="AW966" s="97"/>
      <c r="AX966" s="97">
        <f t="shared" ref="AX966" si="8248">O966*AW966*$AX$2/1000</f>
        <v>0</v>
      </c>
      <c r="AY966" s="97">
        <f t="shared" ref="AY966" si="8249">SUM(AS966+AU966+AW966)</f>
        <v>0</v>
      </c>
      <c r="AZ966" s="97">
        <f t="shared" ref="AZ966" si="8250">SUM(AT966+AV966+AX966)</f>
        <v>0</v>
      </c>
      <c r="BA966" s="97">
        <f t="shared" ref="BA966" si="8251">SUM(AQ966+AY966)</f>
        <v>0</v>
      </c>
      <c r="BB966" s="97">
        <f t="shared" ref="BB966" si="8252">SUM(AR966,AZ966)</f>
        <v>0</v>
      </c>
    </row>
    <row r="967" spans="1:54">
      <c r="A967" s="498">
        <v>682</v>
      </c>
      <c r="B967" s="13"/>
      <c r="C967" s="302"/>
      <c r="D967" s="13" t="s">
        <v>871</v>
      </c>
      <c r="E967" s="16" t="s">
        <v>1392</v>
      </c>
      <c r="F967" s="46" t="s">
        <v>384</v>
      </c>
      <c r="G967" s="46" t="s">
        <v>1105</v>
      </c>
      <c r="H967" s="268" t="s">
        <v>441</v>
      </c>
      <c r="I967" s="55">
        <v>8.6199999999999992</v>
      </c>
      <c r="J967" s="163"/>
      <c r="K967" s="55">
        <v>8.6199999999999992</v>
      </c>
      <c r="L967" s="163"/>
      <c r="M967" s="55">
        <v>8.6199999999999992</v>
      </c>
      <c r="N967" s="163"/>
      <c r="O967" s="55">
        <v>8.6199999999999992</v>
      </c>
      <c r="P967" s="163"/>
      <c r="Q967" s="97">
        <f t="shared" si="8084"/>
        <v>0</v>
      </c>
      <c r="R967" s="342">
        <f t="shared" si="8084"/>
        <v>0</v>
      </c>
      <c r="S967" s="97"/>
      <c r="T967" s="97">
        <f t="shared" si="8135"/>
        <v>0</v>
      </c>
      <c r="U967" s="97"/>
      <c r="V967" s="97">
        <f t="shared" si="8136"/>
        <v>0</v>
      </c>
      <c r="W967" s="97"/>
      <c r="X967" s="97">
        <f t="shared" si="8137"/>
        <v>0</v>
      </c>
      <c r="Y967" s="97">
        <f t="shared" si="8173"/>
        <v>0</v>
      </c>
      <c r="Z967" s="97">
        <f>SUM(T967+V967+X967)</f>
        <v>0</v>
      </c>
      <c r="AA967" s="97"/>
      <c r="AB967" s="97">
        <f t="shared" si="8140"/>
        <v>0</v>
      </c>
      <c r="AC967" s="97"/>
      <c r="AD967" s="97">
        <f t="shared" si="8141"/>
        <v>0</v>
      </c>
      <c r="AE967" s="97"/>
      <c r="AF967" s="97">
        <f t="shared" si="8009"/>
        <v>0</v>
      </c>
      <c r="AG967" s="97">
        <f t="shared" si="8092"/>
        <v>0</v>
      </c>
      <c r="AH967" s="97">
        <f>SUM(AB967+AD967+AF967)</f>
        <v>0</v>
      </c>
      <c r="AI967" s="97">
        <f t="shared" si="8145"/>
        <v>0</v>
      </c>
      <c r="AJ967" s="97">
        <f t="shared" si="8146"/>
        <v>0</v>
      </c>
      <c r="AK967" s="97"/>
      <c r="AL967" s="97">
        <f t="shared" si="8147"/>
        <v>0</v>
      </c>
      <c r="AM967" s="97"/>
      <c r="AN967" s="97">
        <f t="shared" si="8148"/>
        <v>0</v>
      </c>
      <c r="AO967" s="97"/>
      <c r="AP967" s="97">
        <f t="shared" si="8098"/>
        <v>0</v>
      </c>
      <c r="AQ967" s="97">
        <f t="shared" si="8099"/>
        <v>0</v>
      </c>
      <c r="AR967" s="97">
        <f>SUM(AL967+AN967+AP967)</f>
        <v>0</v>
      </c>
      <c r="AS967" s="97"/>
      <c r="AT967" s="97">
        <f t="shared" si="8152"/>
        <v>0</v>
      </c>
      <c r="AU967" s="97"/>
      <c r="AV967" s="97">
        <f t="shared" si="8153"/>
        <v>0</v>
      </c>
      <c r="AW967" s="97"/>
      <c r="AX967" s="97">
        <f t="shared" si="8154"/>
        <v>0</v>
      </c>
      <c r="AY967" s="97">
        <f>SUM(AS967+AU967+AW967)</f>
        <v>0</v>
      </c>
      <c r="AZ967" s="97">
        <f>SUM(AT967+AV967+AX967)</f>
        <v>0</v>
      </c>
      <c r="BA967" s="97">
        <f t="shared" si="8157"/>
        <v>0</v>
      </c>
      <c r="BB967" s="97">
        <f t="shared" si="8158"/>
        <v>0</v>
      </c>
    </row>
    <row r="968" spans="1:54">
      <c r="A968" s="498">
        <v>684</v>
      </c>
      <c r="B968" s="13"/>
      <c r="C968" s="302"/>
      <c r="D968" s="13" t="s">
        <v>606</v>
      </c>
      <c r="E968" s="16" t="s">
        <v>956</v>
      </c>
      <c r="F968" s="46" t="s">
        <v>382</v>
      </c>
      <c r="G968" s="46" t="s">
        <v>1105</v>
      </c>
      <c r="H968" s="268" t="s">
        <v>367</v>
      </c>
      <c r="I968" s="55">
        <v>7.86</v>
      </c>
      <c r="J968" s="163"/>
      <c r="K968" s="55">
        <v>7.86</v>
      </c>
      <c r="L968" s="163"/>
      <c r="M968" s="55">
        <v>7.86</v>
      </c>
      <c r="N968" s="163"/>
      <c r="O968" s="55">
        <v>7.86</v>
      </c>
      <c r="P968" s="163"/>
      <c r="Q968" s="97">
        <f t="shared" ref="Q968:Q969" si="8253">SUM(AI968+BA968)</f>
        <v>0</v>
      </c>
      <c r="R968" s="342">
        <f t="shared" ref="R968:R969" si="8254">SUM(AJ968+BB968)</f>
        <v>0</v>
      </c>
      <c r="S968" s="97"/>
      <c r="T968" s="97">
        <f t="shared" ref="T968:T969" si="8255">I968*S968*$T$2/1000</f>
        <v>0</v>
      </c>
      <c r="U968" s="97"/>
      <c r="V968" s="97">
        <f t="shared" ref="V968:V969" si="8256">I968*U968*$V$2/1000</f>
        <v>0</v>
      </c>
      <c r="W968" s="97"/>
      <c r="X968" s="97">
        <f t="shared" ref="X968:X969" si="8257">I968*W968*$X$2/1000</f>
        <v>0</v>
      </c>
      <c r="Y968" s="97">
        <f t="shared" ref="Y968:Y969" si="8258">SUM(S968+U968+W968)</f>
        <v>0</v>
      </c>
      <c r="Z968" s="97">
        <f t="shared" ref="Z968:Z969" si="8259">SUM(T968+V968+X968)</f>
        <v>0</v>
      </c>
      <c r="AA968" s="97"/>
      <c r="AB968" s="97">
        <f t="shared" ref="AB968:AB969" si="8260">K968*AA968*$AB$2/1000</f>
        <v>0</v>
      </c>
      <c r="AC968" s="97"/>
      <c r="AD968" s="97">
        <f t="shared" ref="AD968:AD969" si="8261">K968*AC968*$AD$2/1000</f>
        <v>0</v>
      </c>
      <c r="AE968" s="97"/>
      <c r="AF968" s="97">
        <f t="shared" ref="AF968:AF969" si="8262">K968*AE968*$AF$2/1000</f>
        <v>0</v>
      </c>
      <c r="AG968" s="97">
        <f t="shared" ref="AG968:AG969" si="8263">SUM(AA968+AC968+AE968)</f>
        <v>0</v>
      </c>
      <c r="AH968" s="97">
        <f t="shared" ref="AH968:AH969" si="8264">SUM(AB968+AD968+AF968)</f>
        <v>0</v>
      </c>
      <c r="AI968" s="97">
        <f t="shared" ref="AI968:AI969" si="8265">SUM(Y968+AG968)</f>
        <v>0</v>
      </c>
      <c r="AJ968" s="97">
        <f t="shared" ref="AJ968:AJ969" si="8266">SUM(Z968,AH968)</f>
        <v>0</v>
      </c>
      <c r="AK968" s="97"/>
      <c r="AL968" s="97">
        <f t="shared" ref="AL968:AL969" si="8267">M968*AK968*$AL$2/1000</f>
        <v>0</v>
      </c>
      <c r="AM968" s="97"/>
      <c r="AN968" s="97">
        <f t="shared" ref="AN968:AN969" si="8268">M968*AM968*$AN$2/1000</f>
        <v>0</v>
      </c>
      <c r="AO968" s="97"/>
      <c r="AP968" s="97">
        <f t="shared" ref="AP968:AP969" si="8269">M968*AO968*$AP$2/1000</f>
        <v>0</v>
      </c>
      <c r="AQ968" s="97">
        <f t="shared" ref="AQ968:AQ969" si="8270">SUM(AK968+AM968+AO968)</f>
        <v>0</v>
      </c>
      <c r="AR968" s="97">
        <f t="shared" ref="AR968:AR969" si="8271">SUM(AL968+AN968+AP968)</f>
        <v>0</v>
      </c>
      <c r="AS968" s="97"/>
      <c r="AT968" s="97">
        <f t="shared" ref="AT968:AT969" si="8272">O968*AS968*$AT$2/1000</f>
        <v>0</v>
      </c>
      <c r="AU968" s="97"/>
      <c r="AV968" s="97">
        <f t="shared" ref="AV968:AV969" si="8273">O968*AU968*$AV$2/1000</f>
        <v>0</v>
      </c>
      <c r="AW968" s="97"/>
      <c r="AX968" s="97">
        <f t="shared" ref="AX968:AX969" si="8274">O968*AW968*$AX$2/1000</f>
        <v>0</v>
      </c>
      <c r="AY968" s="97">
        <f t="shared" ref="AY968" si="8275">SUM(AS968+AU968+AW968)</f>
        <v>0</v>
      </c>
      <c r="AZ968" s="97">
        <f t="shared" ref="AZ968:AZ969" si="8276">SUM(AT968+AV968+AX968)</f>
        <v>0</v>
      </c>
      <c r="BA968" s="97">
        <f t="shared" ref="BA968:BA969" si="8277">SUM(AQ968+AY968)</f>
        <v>0</v>
      </c>
      <c r="BB968" s="97">
        <f t="shared" ref="BB968:BB969" si="8278">SUM(AR968,AZ968)</f>
        <v>0</v>
      </c>
    </row>
    <row r="969" spans="1:54">
      <c r="A969" s="498">
        <v>683</v>
      </c>
      <c r="B969" s="13"/>
      <c r="C969" s="302"/>
      <c r="D969" s="13" t="s">
        <v>606</v>
      </c>
      <c r="E969" s="16" t="s">
        <v>1442</v>
      </c>
      <c r="F969" s="46" t="s">
        <v>382</v>
      </c>
      <c r="G969" s="46" t="s">
        <v>1105</v>
      </c>
      <c r="H969" s="268" t="s">
        <v>441</v>
      </c>
      <c r="I969" s="55">
        <v>8.7100000000000009</v>
      </c>
      <c r="J969" s="163"/>
      <c r="K969" s="55">
        <v>8.7100000000000009</v>
      </c>
      <c r="L969" s="163"/>
      <c r="M969" s="55">
        <v>8.7100000000000009</v>
      </c>
      <c r="N969" s="163"/>
      <c r="O969" s="55">
        <v>8.7100000000000009</v>
      </c>
      <c r="P969" s="163"/>
      <c r="Q969" s="97">
        <f t="shared" si="8253"/>
        <v>0</v>
      </c>
      <c r="R969" s="342">
        <f t="shared" si="8254"/>
        <v>0</v>
      </c>
      <c r="S969" s="97"/>
      <c r="T969" s="97">
        <f t="shared" si="8255"/>
        <v>0</v>
      </c>
      <c r="U969" s="97"/>
      <c r="V969" s="97">
        <f t="shared" si="8256"/>
        <v>0</v>
      </c>
      <c r="W969" s="97"/>
      <c r="X969" s="97">
        <f t="shared" si="8257"/>
        <v>0</v>
      </c>
      <c r="Y969" s="97">
        <f t="shared" si="8258"/>
        <v>0</v>
      </c>
      <c r="Z969" s="97">
        <f t="shared" si="8259"/>
        <v>0</v>
      </c>
      <c r="AA969" s="97"/>
      <c r="AB969" s="97">
        <f t="shared" si="8260"/>
        <v>0</v>
      </c>
      <c r="AC969" s="97"/>
      <c r="AD969" s="97">
        <f t="shared" si="8261"/>
        <v>0</v>
      </c>
      <c r="AE969" s="97"/>
      <c r="AF969" s="97">
        <f t="shared" si="8262"/>
        <v>0</v>
      </c>
      <c r="AG969" s="97">
        <f t="shared" si="8263"/>
        <v>0</v>
      </c>
      <c r="AH969" s="97">
        <f t="shared" si="8264"/>
        <v>0</v>
      </c>
      <c r="AI969" s="97">
        <f t="shared" si="8265"/>
        <v>0</v>
      </c>
      <c r="AJ969" s="97">
        <f t="shared" si="8266"/>
        <v>0</v>
      </c>
      <c r="AK969" s="97"/>
      <c r="AL969" s="97">
        <f t="shared" si="8267"/>
        <v>0</v>
      </c>
      <c r="AM969" s="97"/>
      <c r="AN969" s="97">
        <f t="shared" si="8268"/>
        <v>0</v>
      </c>
      <c r="AO969" s="97"/>
      <c r="AP969" s="97">
        <f t="shared" si="8269"/>
        <v>0</v>
      </c>
      <c r="AQ969" s="97">
        <f t="shared" si="8270"/>
        <v>0</v>
      </c>
      <c r="AR969" s="97">
        <f t="shared" si="8271"/>
        <v>0</v>
      </c>
      <c r="AS969" s="97"/>
      <c r="AT969" s="97">
        <f t="shared" si="8272"/>
        <v>0</v>
      </c>
      <c r="AU969" s="97"/>
      <c r="AV969" s="97">
        <f t="shared" si="8273"/>
        <v>0</v>
      </c>
      <c r="AW969" s="97"/>
      <c r="AX969" s="97">
        <f t="shared" si="8274"/>
        <v>0</v>
      </c>
      <c r="AY969" s="97">
        <f>SUM(AS969+AU969+AW969)</f>
        <v>0</v>
      </c>
      <c r="AZ969" s="97">
        <f t="shared" si="8276"/>
        <v>0</v>
      </c>
      <c r="BA969" s="97">
        <f t="shared" si="8277"/>
        <v>0</v>
      </c>
      <c r="BB969" s="97">
        <f t="shared" si="8278"/>
        <v>0</v>
      </c>
    </row>
    <row r="970" spans="1:54">
      <c r="A970" s="498">
        <v>685</v>
      </c>
      <c r="B970" s="13"/>
      <c r="C970" s="302"/>
      <c r="D970" s="13" t="s">
        <v>677</v>
      </c>
      <c r="E970" s="16" t="s">
        <v>676</v>
      </c>
      <c r="F970" s="46" t="s">
        <v>382</v>
      </c>
      <c r="G970" s="46" t="s">
        <v>1105</v>
      </c>
      <c r="H970" s="268" t="s">
        <v>441</v>
      </c>
      <c r="I970" s="55">
        <v>8.5</v>
      </c>
      <c r="J970" s="163"/>
      <c r="K970" s="55">
        <v>8.5</v>
      </c>
      <c r="L970" s="163"/>
      <c r="M970" s="55">
        <v>8.5</v>
      </c>
      <c r="N970" s="163"/>
      <c r="O970" s="55">
        <v>8.5</v>
      </c>
      <c r="P970" s="163"/>
      <c r="Q970" s="97">
        <f t="shared" ref="Q970" si="8279">SUM(AI970+BA970)</f>
        <v>0</v>
      </c>
      <c r="R970" s="342">
        <f t="shared" ref="R970" si="8280">SUM(AJ970+BB970)</f>
        <v>0</v>
      </c>
      <c r="S970" s="97"/>
      <c r="T970" s="97">
        <f t="shared" ref="T970" si="8281">I970*S970*$T$2/1000</f>
        <v>0</v>
      </c>
      <c r="U970" s="97"/>
      <c r="V970" s="97">
        <f t="shared" ref="V970" si="8282">I970*U970*$V$2/1000</f>
        <v>0</v>
      </c>
      <c r="W970" s="97"/>
      <c r="X970" s="97">
        <f t="shared" ref="X970" si="8283">I970*W970*$X$2/1000</f>
        <v>0</v>
      </c>
      <c r="Y970" s="97">
        <f t="shared" ref="Y970" si="8284">SUM(S970+U970+W970)</f>
        <v>0</v>
      </c>
      <c r="Z970" s="97">
        <f t="shared" ref="Z970" si="8285">SUM(T970+V970+X970)</f>
        <v>0</v>
      </c>
      <c r="AA970" s="97"/>
      <c r="AB970" s="97">
        <f t="shared" ref="AB970" si="8286">K970*AA970*$AB$2/1000</f>
        <v>0</v>
      </c>
      <c r="AC970" s="97"/>
      <c r="AD970" s="97">
        <f t="shared" ref="AD970" si="8287">K970*AC970*$AD$2/1000</f>
        <v>0</v>
      </c>
      <c r="AE970" s="97"/>
      <c r="AF970" s="97">
        <f t="shared" ref="AF970" si="8288">K970*AE970*$AF$2/1000</f>
        <v>0</v>
      </c>
      <c r="AG970" s="97">
        <f t="shared" ref="AG970" si="8289">SUM(AA970+AC970+AE970)</f>
        <v>0</v>
      </c>
      <c r="AH970" s="97">
        <f t="shared" ref="AH970" si="8290">SUM(AB970+AD970+AF970)</f>
        <v>0</v>
      </c>
      <c r="AI970" s="97">
        <f t="shared" ref="AI970" si="8291">SUM(Y970+AG970)</f>
        <v>0</v>
      </c>
      <c r="AJ970" s="97">
        <f t="shared" ref="AJ970" si="8292">SUM(Z970,AH970)</f>
        <v>0</v>
      </c>
      <c r="AK970" s="97"/>
      <c r="AL970" s="97">
        <f t="shared" ref="AL970" si="8293">M970*AK970*$AL$2/1000</f>
        <v>0</v>
      </c>
      <c r="AM970" s="97"/>
      <c r="AN970" s="97">
        <f t="shared" ref="AN970" si="8294">M970*AM970*$AN$2/1000</f>
        <v>0</v>
      </c>
      <c r="AO970" s="97"/>
      <c r="AP970" s="97">
        <f t="shared" ref="AP970" si="8295">M970*AO970*$AP$2/1000</f>
        <v>0</v>
      </c>
      <c r="AQ970" s="97">
        <f t="shared" ref="AQ970" si="8296">SUM(AK970+AM970+AO970)</f>
        <v>0</v>
      </c>
      <c r="AR970" s="97">
        <f t="shared" ref="AR970" si="8297">SUM(AL970+AN970+AP970)</f>
        <v>0</v>
      </c>
      <c r="AS970" s="97"/>
      <c r="AT970" s="97">
        <f t="shared" ref="AT970" si="8298">O970*AS970*$AT$2/1000</f>
        <v>0</v>
      </c>
      <c r="AU970" s="97"/>
      <c r="AV970" s="97">
        <f t="shared" ref="AV970" si="8299">O970*AU970*$AV$2/1000</f>
        <v>0</v>
      </c>
      <c r="AW970" s="97"/>
      <c r="AX970" s="97">
        <f t="shared" ref="AX970" si="8300">O970*AW970*$AX$2/1000</f>
        <v>0</v>
      </c>
      <c r="AY970" s="97">
        <f t="shared" ref="AY970" si="8301">SUM(AS970+AU970+AW970)</f>
        <v>0</v>
      </c>
      <c r="AZ970" s="97">
        <f t="shared" ref="AZ970" si="8302">SUM(AT970+AV970+AX970)</f>
        <v>0</v>
      </c>
      <c r="BA970" s="97">
        <f t="shared" ref="BA970" si="8303">SUM(AQ970+AY970)</f>
        <v>0</v>
      </c>
      <c r="BB970" s="97">
        <f t="shared" ref="BB970" si="8304">SUM(AR970,AZ970)</f>
        <v>0</v>
      </c>
    </row>
    <row r="971" spans="1:54">
      <c r="A971" s="498">
        <v>686</v>
      </c>
      <c r="B971" s="13"/>
      <c r="C971" s="302"/>
      <c r="D971" s="13" t="s">
        <v>677</v>
      </c>
      <c r="E971" s="16" t="s">
        <v>957</v>
      </c>
      <c r="F971" s="46" t="s">
        <v>382</v>
      </c>
      <c r="G971" s="46" t="s">
        <v>1105</v>
      </c>
      <c r="H971" s="268" t="s">
        <v>367</v>
      </c>
      <c r="I971" s="55">
        <v>7.86</v>
      </c>
      <c r="J971" s="163"/>
      <c r="K971" s="55">
        <v>7.86</v>
      </c>
      <c r="L971" s="163"/>
      <c r="M971" s="55">
        <v>7.86</v>
      </c>
      <c r="N971" s="163"/>
      <c r="O971" s="55">
        <v>7.86</v>
      </c>
      <c r="P971" s="163"/>
      <c r="Q971" s="97">
        <f t="shared" ref="Q971" si="8305">SUM(AI971+BA971)</f>
        <v>0</v>
      </c>
      <c r="R971" s="342">
        <f t="shared" ref="R971" si="8306">SUM(AJ971+BB971)</f>
        <v>0</v>
      </c>
      <c r="S971" s="97"/>
      <c r="T971" s="97">
        <f t="shared" ref="T971" si="8307">I971*S971*$T$2/1000</f>
        <v>0</v>
      </c>
      <c r="U971" s="97"/>
      <c r="V971" s="97">
        <f t="shared" ref="V971" si="8308">I971*U971*$V$2/1000</f>
        <v>0</v>
      </c>
      <c r="W971" s="97"/>
      <c r="X971" s="97">
        <f t="shared" ref="X971" si="8309">I971*W971*$X$2/1000</f>
        <v>0</v>
      </c>
      <c r="Y971" s="97">
        <f t="shared" ref="Y971" si="8310">SUM(S971+U971+W971)</f>
        <v>0</v>
      </c>
      <c r="Z971" s="97">
        <f t="shared" ref="Z971" si="8311">SUM(T971+V971+X971)</f>
        <v>0</v>
      </c>
      <c r="AA971" s="97"/>
      <c r="AB971" s="97">
        <f t="shared" ref="AB971" si="8312">K971*AA971*$AB$2/1000</f>
        <v>0</v>
      </c>
      <c r="AC971" s="97"/>
      <c r="AD971" s="97">
        <f t="shared" ref="AD971" si="8313">K971*AC971*$AD$2/1000</f>
        <v>0</v>
      </c>
      <c r="AE971" s="97"/>
      <c r="AF971" s="97">
        <f t="shared" ref="AF971" si="8314">K971*AE971*$AF$2/1000</f>
        <v>0</v>
      </c>
      <c r="AG971" s="97">
        <f t="shared" ref="AG971" si="8315">SUM(AA971+AC971+AE971)</f>
        <v>0</v>
      </c>
      <c r="AH971" s="97">
        <f t="shared" ref="AH971" si="8316">SUM(AB971+AD971+AF971)</f>
        <v>0</v>
      </c>
      <c r="AI971" s="97">
        <f t="shared" ref="AI971" si="8317">SUM(Y971+AG971)</f>
        <v>0</v>
      </c>
      <c r="AJ971" s="97">
        <f t="shared" ref="AJ971" si="8318">SUM(Z971,AH971)</f>
        <v>0</v>
      </c>
      <c r="AK971" s="97"/>
      <c r="AL971" s="97">
        <f t="shared" ref="AL971" si="8319">M971*AK971*$AL$2/1000</f>
        <v>0</v>
      </c>
      <c r="AM971" s="97"/>
      <c r="AN971" s="97">
        <f t="shared" ref="AN971" si="8320">M971*AM971*$AN$2/1000</f>
        <v>0</v>
      </c>
      <c r="AO971" s="97"/>
      <c r="AP971" s="97">
        <f t="shared" ref="AP971" si="8321">M971*AO971*$AP$2/1000</f>
        <v>0</v>
      </c>
      <c r="AQ971" s="97">
        <f t="shared" ref="AQ971" si="8322">SUM(AK971+AM971+AO971)</f>
        <v>0</v>
      </c>
      <c r="AR971" s="97">
        <f t="shared" ref="AR971" si="8323">SUM(AL971+AN971+AP971)</f>
        <v>0</v>
      </c>
      <c r="AS971" s="97"/>
      <c r="AT971" s="97">
        <f t="shared" ref="AT971" si="8324">O971*AS971*$AT$2/1000</f>
        <v>0</v>
      </c>
      <c r="AU971" s="97"/>
      <c r="AV971" s="97">
        <f t="shared" ref="AV971" si="8325">O971*AU971*$AV$2/1000</f>
        <v>0</v>
      </c>
      <c r="AW971" s="97"/>
      <c r="AX971" s="97">
        <f t="shared" ref="AX971" si="8326">O971*AW971*$AX$2/1000</f>
        <v>0</v>
      </c>
      <c r="AY971" s="97">
        <f t="shared" ref="AY971" si="8327">SUM(AS971+AU971+AW971)</f>
        <v>0</v>
      </c>
      <c r="AZ971" s="97">
        <f t="shared" ref="AZ971" si="8328">SUM(AT971+AV971+AX971)</f>
        <v>0</v>
      </c>
      <c r="BA971" s="97">
        <f t="shared" ref="BA971" si="8329">SUM(AQ971+AY971)</f>
        <v>0</v>
      </c>
      <c r="BB971" s="97">
        <f t="shared" ref="BB971" si="8330">SUM(AR971,AZ971)</f>
        <v>0</v>
      </c>
    </row>
    <row r="972" spans="1:54">
      <c r="A972" s="498">
        <v>687</v>
      </c>
      <c r="B972" s="13"/>
      <c r="C972" s="302"/>
      <c r="D972" s="13" t="s">
        <v>607</v>
      </c>
      <c r="E972" s="16" t="s">
        <v>649</v>
      </c>
      <c r="F972" s="46" t="s">
        <v>384</v>
      </c>
      <c r="G972" s="46" t="s">
        <v>1105</v>
      </c>
      <c r="H972" s="268" t="s">
        <v>441</v>
      </c>
      <c r="I972" s="55">
        <v>8.5</v>
      </c>
      <c r="J972" s="163"/>
      <c r="K972" s="55">
        <v>8.5</v>
      </c>
      <c r="L972" s="163"/>
      <c r="M972" s="55">
        <v>8.5</v>
      </c>
      <c r="N972" s="163"/>
      <c r="O972" s="55">
        <v>8.5</v>
      </c>
      <c r="P972" s="163"/>
      <c r="Q972" s="97">
        <f t="shared" ref="Q972:Q974" si="8331">SUM(AI972+BA972)</f>
        <v>0</v>
      </c>
      <c r="R972" s="342">
        <f t="shared" ref="R972:R974" si="8332">SUM(AJ972+BB972)</f>
        <v>0</v>
      </c>
      <c r="S972" s="97"/>
      <c r="T972" s="97">
        <f t="shared" si="8135"/>
        <v>0</v>
      </c>
      <c r="U972" s="97"/>
      <c r="V972" s="97">
        <f t="shared" si="8136"/>
        <v>0</v>
      </c>
      <c r="W972" s="97"/>
      <c r="X972" s="97">
        <f t="shared" si="8137"/>
        <v>0</v>
      </c>
      <c r="Y972" s="97">
        <f>SUM(S972+U972+W972)</f>
        <v>0</v>
      </c>
      <c r="Z972" s="97">
        <f t="shared" ref="Z972:Z974" si="8333">SUM(T972+V972+X972)</f>
        <v>0</v>
      </c>
      <c r="AA972" s="97"/>
      <c r="AB972" s="97">
        <f t="shared" si="8140"/>
        <v>0</v>
      </c>
      <c r="AC972" s="97"/>
      <c r="AD972" s="97">
        <f t="shared" si="8141"/>
        <v>0</v>
      </c>
      <c r="AE972" s="97"/>
      <c r="AF972" s="97">
        <f t="shared" ref="AF972:AF974" si="8334">K972*AE972*$AF$2/1000</f>
        <v>0</v>
      </c>
      <c r="AG972" s="97">
        <f t="shared" ref="AG972:AG974" si="8335">SUM(AA972+AC972+AE972)</f>
        <v>0</v>
      </c>
      <c r="AH972" s="97">
        <f t="shared" ref="AH972:AH974" si="8336">SUM(AB972+AD972+AF972)</f>
        <v>0</v>
      </c>
      <c r="AI972" s="97">
        <f t="shared" si="8145"/>
        <v>0</v>
      </c>
      <c r="AJ972" s="97">
        <f t="shared" si="8146"/>
        <v>0</v>
      </c>
      <c r="AK972" s="97"/>
      <c r="AL972" s="97">
        <f t="shared" si="8147"/>
        <v>0</v>
      </c>
      <c r="AM972" s="97"/>
      <c r="AN972" s="97">
        <f t="shared" si="8148"/>
        <v>0</v>
      </c>
      <c r="AO972" s="97"/>
      <c r="AP972" s="97">
        <f t="shared" ref="AP972:AP974" si="8337">M972*AO972*$AP$2/1000</f>
        <v>0</v>
      </c>
      <c r="AQ972" s="97">
        <f t="shared" ref="AQ972:AQ974" si="8338">SUM(AK972+AM972+AO972)</f>
        <v>0</v>
      </c>
      <c r="AR972" s="97">
        <f t="shared" ref="AR972:AR974" si="8339">SUM(AL972+AN972+AP972)</f>
        <v>0</v>
      </c>
      <c r="AS972" s="97"/>
      <c r="AT972" s="97">
        <f t="shared" si="8152"/>
        <v>0</v>
      </c>
      <c r="AU972" s="97"/>
      <c r="AV972" s="97">
        <f t="shared" si="8153"/>
        <v>0</v>
      </c>
      <c r="AW972" s="97"/>
      <c r="AX972" s="97">
        <f t="shared" si="8154"/>
        <v>0</v>
      </c>
      <c r="AY972" s="97">
        <f>SUM(AS972+AU972+AW972)</f>
        <v>0</v>
      </c>
      <c r="AZ972" s="97">
        <f t="shared" ref="AZ972:AZ974" si="8340">SUM(AT972+AV972+AX972)</f>
        <v>0</v>
      </c>
      <c r="BA972" s="97">
        <f t="shared" si="8157"/>
        <v>0</v>
      </c>
      <c r="BB972" s="97">
        <f t="shared" si="8158"/>
        <v>0</v>
      </c>
    </row>
    <row r="973" spans="1:54">
      <c r="A973" s="498">
        <v>688</v>
      </c>
      <c r="B973" s="13"/>
      <c r="C973" s="302"/>
      <c r="D973" s="13" t="s">
        <v>607</v>
      </c>
      <c r="E973" s="16" t="s">
        <v>1194</v>
      </c>
      <c r="F973" s="46" t="s">
        <v>382</v>
      </c>
      <c r="G973" s="46" t="s">
        <v>1105</v>
      </c>
      <c r="H973" s="268" t="s">
        <v>366</v>
      </c>
      <c r="I973" s="55">
        <v>7.86</v>
      </c>
      <c r="J973" s="163"/>
      <c r="K973" s="55">
        <v>7.86</v>
      </c>
      <c r="L973" s="163"/>
      <c r="M973" s="55">
        <v>7.86</v>
      </c>
      <c r="N973" s="163"/>
      <c r="O973" s="55">
        <v>7.86</v>
      </c>
      <c r="P973" s="163"/>
      <c r="Q973" s="97">
        <f t="shared" ref="Q973" si="8341">SUM(AI973+BA973)</f>
        <v>0</v>
      </c>
      <c r="R973" s="342">
        <f t="shared" ref="R973" si="8342">SUM(AJ973+BB973)</f>
        <v>0</v>
      </c>
      <c r="S973" s="97"/>
      <c r="T973" s="97">
        <f t="shared" ref="T973" si="8343">I973*S973*$T$2/1000</f>
        <v>0</v>
      </c>
      <c r="U973" s="97"/>
      <c r="V973" s="97">
        <f t="shared" ref="V973" si="8344">I973*U973*$V$2/1000</f>
        <v>0</v>
      </c>
      <c r="W973" s="97"/>
      <c r="X973" s="97">
        <f t="shared" ref="X973" si="8345">I973*W973*$X$2/1000</f>
        <v>0</v>
      </c>
      <c r="Y973" s="97">
        <f>SUM(S973+U973+W973)</f>
        <v>0</v>
      </c>
      <c r="Z973" s="97">
        <f t="shared" ref="Z973" si="8346">SUM(T973+V973+X973)</f>
        <v>0</v>
      </c>
      <c r="AA973" s="97"/>
      <c r="AB973" s="97">
        <f t="shared" ref="AB973" si="8347">K973*AA973*$AB$2/1000</f>
        <v>0</v>
      </c>
      <c r="AC973" s="97"/>
      <c r="AD973" s="97">
        <f t="shared" ref="AD973" si="8348">K973*AC973*$AD$2/1000</f>
        <v>0</v>
      </c>
      <c r="AE973" s="97"/>
      <c r="AF973" s="97">
        <f t="shared" ref="AF973" si="8349">K973*AE973*$AF$2/1000</f>
        <v>0</v>
      </c>
      <c r="AG973" s="97">
        <f t="shared" ref="AG973" si="8350">SUM(AA973+AC973+AE973)</f>
        <v>0</v>
      </c>
      <c r="AH973" s="97">
        <f t="shared" ref="AH973" si="8351">SUM(AB973+AD973+AF973)</f>
        <v>0</v>
      </c>
      <c r="AI973" s="97">
        <f t="shared" ref="AI973" si="8352">SUM(Y973+AG973)</f>
        <v>0</v>
      </c>
      <c r="AJ973" s="97">
        <f t="shared" ref="AJ973" si="8353">SUM(Z973,AH973)</f>
        <v>0</v>
      </c>
      <c r="AK973" s="97"/>
      <c r="AL973" s="97">
        <f t="shared" ref="AL973" si="8354">M973*AK973*$AL$2/1000</f>
        <v>0</v>
      </c>
      <c r="AM973" s="97"/>
      <c r="AN973" s="97">
        <f t="shared" ref="AN973" si="8355">M973*AM973*$AN$2/1000</f>
        <v>0</v>
      </c>
      <c r="AO973" s="97"/>
      <c r="AP973" s="97">
        <f t="shared" ref="AP973" si="8356">M973*AO973*$AP$2/1000</f>
        <v>0</v>
      </c>
      <c r="AQ973" s="97">
        <f t="shared" ref="AQ973" si="8357">SUM(AK973+AM973+AO973)</f>
        <v>0</v>
      </c>
      <c r="AR973" s="97">
        <f t="shared" ref="AR973" si="8358">SUM(AL973+AN973+AP973)</f>
        <v>0</v>
      </c>
      <c r="AS973" s="97"/>
      <c r="AT973" s="97">
        <f t="shared" ref="AT973" si="8359">O973*AS973*$AT$2/1000</f>
        <v>0</v>
      </c>
      <c r="AU973" s="97"/>
      <c r="AV973" s="97">
        <f t="shared" ref="AV973" si="8360">O973*AU973*$AV$2/1000</f>
        <v>0</v>
      </c>
      <c r="AW973" s="97"/>
      <c r="AX973" s="97">
        <f t="shared" ref="AX973" si="8361">O973*AW973*$AX$2/1000</f>
        <v>0</v>
      </c>
      <c r="AY973" s="97">
        <f>SUM(AS973+AU973+AW973)</f>
        <v>0</v>
      </c>
      <c r="AZ973" s="97">
        <f t="shared" ref="AZ973" si="8362">SUM(AT973+AV973+AX973)</f>
        <v>0</v>
      </c>
      <c r="BA973" s="97">
        <f t="shared" ref="BA973" si="8363">SUM(AQ973+AY973)</f>
        <v>0</v>
      </c>
      <c r="BB973" s="97">
        <f t="shared" ref="BB973" si="8364">SUM(AR973,AZ973)</f>
        <v>0</v>
      </c>
    </row>
    <row r="974" spans="1:54">
      <c r="A974" s="498">
        <v>689</v>
      </c>
      <c r="B974" s="13"/>
      <c r="C974" s="302"/>
      <c r="D974" s="13" t="s">
        <v>607</v>
      </c>
      <c r="E974" s="16" t="s">
        <v>1443</v>
      </c>
      <c r="F974" s="46" t="s">
        <v>382</v>
      </c>
      <c r="G974" s="46" t="s">
        <v>1105</v>
      </c>
      <c r="H974" s="268" t="s">
        <v>366</v>
      </c>
      <c r="I974" s="55">
        <v>8.7100000000000009</v>
      </c>
      <c r="J974" s="163"/>
      <c r="K974" s="55">
        <v>8.7100000000000009</v>
      </c>
      <c r="L974" s="163"/>
      <c r="M974" s="55">
        <v>8.7100000000000009</v>
      </c>
      <c r="N974" s="163"/>
      <c r="O974" s="55">
        <v>8.7100000000000009</v>
      </c>
      <c r="P974" s="163"/>
      <c r="Q974" s="97">
        <f t="shared" si="8331"/>
        <v>0</v>
      </c>
      <c r="R974" s="342">
        <f t="shared" si="8332"/>
        <v>0</v>
      </c>
      <c r="S974" s="97"/>
      <c r="T974" s="97">
        <f t="shared" ref="T974:T975" si="8365">I974*S974*$T$2/1000</f>
        <v>0</v>
      </c>
      <c r="U974" s="97"/>
      <c r="V974" s="97">
        <f t="shared" ref="V974:V975" si="8366">I974*U974*$V$2/1000</f>
        <v>0</v>
      </c>
      <c r="W974" s="97"/>
      <c r="X974" s="97">
        <f t="shared" ref="X974:X975" si="8367">I974*W974*$X$2/1000</f>
        <v>0</v>
      </c>
      <c r="Y974" s="97">
        <f t="shared" ref="Y974" si="8368">SUM(S974+U974+W974)</f>
        <v>0</v>
      </c>
      <c r="Z974" s="97">
        <f t="shared" si="8333"/>
        <v>0</v>
      </c>
      <c r="AA974" s="97"/>
      <c r="AB974" s="97">
        <f t="shared" ref="AB974:AB975" si="8369">K974*AA974*$AB$2/1000</f>
        <v>0</v>
      </c>
      <c r="AC974" s="97"/>
      <c r="AD974" s="97">
        <f t="shared" ref="AD974:AD975" si="8370">K974*AC974*$AD$2/1000</f>
        <v>0</v>
      </c>
      <c r="AE974" s="97"/>
      <c r="AF974" s="97">
        <f t="shared" si="8334"/>
        <v>0</v>
      </c>
      <c r="AG974" s="97">
        <f t="shared" si="8335"/>
        <v>0</v>
      </c>
      <c r="AH974" s="97">
        <f t="shared" si="8336"/>
        <v>0</v>
      </c>
      <c r="AI974" s="97">
        <f t="shared" ref="AI974:AI975" si="8371">SUM(Y974+AG974)</f>
        <v>0</v>
      </c>
      <c r="AJ974" s="97">
        <f t="shared" ref="AJ974:AJ975" si="8372">SUM(Z974,AH974)</f>
        <v>0</v>
      </c>
      <c r="AK974" s="97"/>
      <c r="AL974" s="97">
        <f t="shared" ref="AL974:AL975" si="8373">M974*AK974*$AL$2/1000</f>
        <v>0</v>
      </c>
      <c r="AM974" s="97"/>
      <c r="AN974" s="97">
        <f t="shared" ref="AN974:AN975" si="8374">M974*AM974*$AN$2/1000</f>
        <v>0</v>
      </c>
      <c r="AO974" s="97"/>
      <c r="AP974" s="97">
        <f t="shared" si="8337"/>
        <v>0</v>
      </c>
      <c r="AQ974" s="97">
        <f t="shared" si="8338"/>
        <v>0</v>
      </c>
      <c r="AR974" s="97">
        <f t="shared" si="8339"/>
        <v>0</v>
      </c>
      <c r="AS974" s="97"/>
      <c r="AT974" s="97">
        <f t="shared" ref="AT974:AT975" si="8375">O974*AS974*$AT$2/1000</f>
        <v>0</v>
      </c>
      <c r="AU974" s="97"/>
      <c r="AV974" s="97">
        <f>O974*AU974*$AV$2/1000</f>
        <v>0</v>
      </c>
      <c r="AW974" s="97"/>
      <c r="AX974" s="97">
        <f t="shared" ref="AX974:AX975" si="8376">O974*AW974*$AX$2/1000</f>
        <v>0</v>
      </c>
      <c r="AY974" s="97">
        <f t="shared" ref="AY974" si="8377">SUM(AS974+AU974+AW974)</f>
        <v>0</v>
      </c>
      <c r="AZ974" s="97">
        <f t="shared" si="8340"/>
        <v>0</v>
      </c>
      <c r="BA974" s="97">
        <f t="shared" ref="BA974:BA975" si="8378">SUM(AQ974+AY974)</f>
        <v>0</v>
      </c>
      <c r="BB974" s="97">
        <f t="shared" ref="BB974:BB975" si="8379">SUM(AR974,AZ974)</f>
        <v>0</v>
      </c>
    </row>
    <row r="975" spans="1:54">
      <c r="A975" s="498">
        <v>690</v>
      </c>
      <c r="B975" s="13"/>
      <c r="C975" s="302"/>
      <c r="D975" s="13" t="s">
        <v>607</v>
      </c>
      <c r="E975" s="16" t="s">
        <v>958</v>
      </c>
      <c r="F975" s="46" t="s">
        <v>384</v>
      </c>
      <c r="G975" s="46" t="s">
        <v>1105</v>
      </c>
      <c r="H975" s="268" t="s">
        <v>367</v>
      </c>
      <c r="I975" s="55">
        <v>7.86</v>
      </c>
      <c r="J975" s="163"/>
      <c r="K975" s="55">
        <v>7.86</v>
      </c>
      <c r="L975" s="163"/>
      <c r="M975" s="55">
        <v>7.86</v>
      </c>
      <c r="N975" s="163"/>
      <c r="O975" s="55">
        <v>7.86</v>
      </c>
      <c r="P975" s="163"/>
      <c r="Q975" s="97">
        <f t="shared" ref="Q975" si="8380">SUM(AI975+BA975)</f>
        <v>0</v>
      </c>
      <c r="R975" s="342">
        <f t="shared" ref="R975" si="8381">SUM(AJ975+BB975)</f>
        <v>0</v>
      </c>
      <c r="S975" s="97"/>
      <c r="T975" s="97">
        <f t="shared" si="8365"/>
        <v>0</v>
      </c>
      <c r="U975" s="97"/>
      <c r="V975" s="97">
        <f t="shared" si="8366"/>
        <v>0</v>
      </c>
      <c r="W975" s="97"/>
      <c r="X975" s="97">
        <f t="shared" si="8367"/>
        <v>0</v>
      </c>
      <c r="Y975" s="97">
        <f>SUM(S975+U975+W975)</f>
        <v>0</v>
      </c>
      <c r="Z975" s="97">
        <f t="shared" ref="Z975" si="8382">SUM(T975+V975+X975)</f>
        <v>0</v>
      </c>
      <c r="AA975" s="97"/>
      <c r="AB975" s="97">
        <f t="shared" si="8369"/>
        <v>0</v>
      </c>
      <c r="AC975" s="97"/>
      <c r="AD975" s="97">
        <f t="shared" si="8370"/>
        <v>0</v>
      </c>
      <c r="AE975" s="97"/>
      <c r="AF975" s="97">
        <f t="shared" ref="AF975" si="8383">K975*AE975*$AF$2/1000</f>
        <v>0</v>
      </c>
      <c r="AG975" s="97">
        <f t="shared" ref="AG975" si="8384">SUM(AA975+AC975+AE975)</f>
        <v>0</v>
      </c>
      <c r="AH975" s="97">
        <f t="shared" ref="AH975" si="8385">SUM(AB975+AD975+AF975)</f>
        <v>0</v>
      </c>
      <c r="AI975" s="97">
        <f t="shared" si="8371"/>
        <v>0</v>
      </c>
      <c r="AJ975" s="97">
        <f t="shared" si="8372"/>
        <v>0</v>
      </c>
      <c r="AK975" s="97"/>
      <c r="AL975" s="97">
        <f t="shared" si="8373"/>
        <v>0</v>
      </c>
      <c r="AM975" s="97"/>
      <c r="AN975" s="97">
        <f t="shared" si="8374"/>
        <v>0</v>
      </c>
      <c r="AO975" s="97"/>
      <c r="AP975" s="97">
        <f t="shared" ref="AP975" si="8386">M975*AO975*$AP$2/1000</f>
        <v>0</v>
      </c>
      <c r="AQ975" s="97">
        <f t="shared" ref="AQ975" si="8387">SUM(AK975+AM975+AO975)</f>
        <v>0</v>
      </c>
      <c r="AR975" s="97">
        <f t="shared" ref="AR975" si="8388">SUM(AL975+AN975+AP975)</f>
        <v>0</v>
      </c>
      <c r="AS975" s="97"/>
      <c r="AT975" s="97">
        <f t="shared" si="8375"/>
        <v>0</v>
      </c>
      <c r="AU975" s="97"/>
      <c r="AV975" s="97">
        <f t="shared" ref="AV975" si="8389">O975*AU975*$AV$2/1000</f>
        <v>0</v>
      </c>
      <c r="AW975" s="97"/>
      <c r="AX975" s="97">
        <f t="shared" si="8376"/>
        <v>0</v>
      </c>
      <c r="AY975" s="97">
        <f>SUM(AS975+AU975+AW975)</f>
        <v>0</v>
      </c>
      <c r="AZ975" s="97">
        <f t="shared" ref="AZ975" si="8390">SUM(AT975+AV975+AX975)</f>
        <v>0</v>
      </c>
      <c r="BA975" s="97">
        <f t="shared" si="8378"/>
        <v>0</v>
      </c>
      <c r="BB975" s="97">
        <f t="shared" si="8379"/>
        <v>0</v>
      </c>
    </row>
    <row r="976" spans="1:54">
      <c r="A976" s="498">
        <v>664</v>
      </c>
      <c r="B976" s="13"/>
      <c r="C976" s="302"/>
      <c r="D976" s="13" t="s">
        <v>495</v>
      </c>
      <c r="E976" s="21" t="s">
        <v>576</v>
      </c>
      <c r="F976" s="46" t="s">
        <v>391</v>
      </c>
      <c r="G976" s="46" t="s">
        <v>1105</v>
      </c>
      <c r="H976" s="268" t="s">
        <v>441</v>
      </c>
      <c r="I976" s="55">
        <v>8.5</v>
      </c>
      <c r="J976" s="163"/>
      <c r="K976" s="55">
        <v>8.5</v>
      </c>
      <c r="L976" s="163"/>
      <c r="M976" s="55">
        <v>8.5</v>
      </c>
      <c r="N976" s="163"/>
      <c r="O976" s="55">
        <v>8.5</v>
      </c>
      <c r="P976" s="163"/>
      <c r="Q976" s="97">
        <f t="shared" ref="Q976:R980" si="8391">SUM(AI976+BA976)</f>
        <v>0</v>
      </c>
      <c r="R976" s="342">
        <f t="shared" si="8391"/>
        <v>0</v>
      </c>
      <c r="S976" s="97"/>
      <c r="T976" s="97">
        <f>I976*S976*$T$2/1000</f>
        <v>0</v>
      </c>
      <c r="U976" s="97"/>
      <c r="V976" s="97">
        <f>I976*U976*$V$2/1000</f>
        <v>0</v>
      </c>
      <c r="W976" s="97"/>
      <c r="X976" s="97">
        <f>I976*W976*$X$2/1000</f>
        <v>0</v>
      </c>
      <c r="Y976" s="97">
        <f>SUM(S976+U976+W976)</f>
        <v>0</v>
      </c>
      <c r="Z976" s="97">
        <f>SUM(T976+V976+X976)</f>
        <v>0</v>
      </c>
      <c r="AA976" s="97"/>
      <c r="AB976" s="97">
        <f>K976*AA976*$AB$2/1000</f>
        <v>0</v>
      </c>
      <c r="AC976" s="97"/>
      <c r="AD976" s="97">
        <f>K976*AC976*$AD$2/1000</f>
        <v>0</v>
      </c>
      <c r="AE976" s="97"/>
      <c r="AF976" s="97">
        <f>K976*AE976*$AF$2/1000</f>
        <v>0</v>
      </c>
      <c r="AG976" s="97">
        <f>SUM(AA976+AC976+AE976)</f>
        <v>0</v>
      </c>
      <c r="AH976" s="97">
        <f>SUM(AB976+AD976+AF976)</f>
        <v>0</v>
      </c>
      <c r="AI976" s="97">
        <f>SUM(Y976+AG976)</f>
        <v>0</v>
      </c>
      <c r="AJ976" s="97">
        <f>SUM(Z976,AH976)</f>
        <v>0</v>
      </c>
      <c r="AK976" s="97"/>
      <c r="AL976" s="97">
        <f>M976*AK976*$AL$2/1000</f>
        <v>0</v>
      </c>
      <c r="AM976" s="97"/>
      <c r="AN976" s="97">
        <f>M976*AM976*$AN$2/1000</f>
        <v>0</v>
      </c>
      <c r="AO976" s="97"/>
      <c r="AP976" s="97">
        <f t="shared" ref="AP976" si="8392">M976*AO976*$AP$2/1000</f>
        <v>0</v>
      </c>
      <c r="AQ976" s="97">
        <f>SUM(AK976+AM976+AO976)</f>
        <v>0</v>
      </c>
      <c r="AR976" s="97">
        <f>SUM(AL976+AN976+AP976)</f>
        <v>0</v>
      </c>
      <c r="AS976" s="97"/>
      <c r="AT976" s="97">
        <f>O976*AS976*$AT$2/1000</f>
        <v>0</v>
      </c>
      <c r="AU976" s="97"/>
      <c r="AV976" s="97">
        <f>O976*AU976*$AV$2/1000</f>
        <v>0</v>
      </c>
      <c r="AW976" s="97"/>
      <c r="AX976" s="97">
        <f>O976*AW976*$AX$2/1000</f>
        <v>0</v>
      </c>
      <c r="AY976" s="97">
        <f t="shared" ref="AY976:AY978" si="8393">SUM(AS976+AU976+AW976)</f>
        <v>0</v>
      </c>
      <c r="AZ976" s="97">
        <f t="shared" ref="AZ976:AZ978" si="8394">SUM(AT976+AV976+AX976)</f>
        <v>0</v>
      </c>
      <c r="BA976" s="97">
        <f t="shared" ref="BA976:BA978" si="8395">SUM(AQ976+AY976)</f>
        <v>0</v>
      </c>
      <c r="BB976" s="97">
        <f t="shared" ref="BB976:BB978" si="8396">SUM(AR976,AZ976)</f>
        <v>0</v>
      </c>
    </row>
    <row r="977" spans="1:54" s="6" customFormat="1">
      <c r="A977" s="498">
        <v>665</v>
      </c>
      <c r="B977" s="14"/>
      <c r="C977" s="302"/>
      <c r="D977" s="14" t="s">
        <v>496</v>
      </c>
      <c r="E977" s="16" t="s">
        <v>460</v>
      </c>
      <c r="F977" s="45" t="s">
        <v>383</v>
      </c>
      <c r="G977" s="45" t="s">
        <v>1105</v>
      </c>
      <c r="H977" s="267" t="s">
        <v>441</v>
      </c>
      <c r="I977" s="234">
        <v>8.5</v>
      </c>
      <c r="J977" s="241"/>
      <c r="K977" s="234">
        <v>8.5</v>
      </c>
      <c r="L977" s="241"/>
      <c r="M977" s="234">
        <v>8.5</v>
      </c>
      <c r="N977" s="241"/>
      <c r="O977" s="234">
        <v>8.5</v>
      </c>
      <c r="P977" s="241"/>
      <c r="Q977" s="96">
        <f t="shared" si="8391"/>
        <v>0</v>
      </c>
      <c r="R977" s="340">
        <f t="shared" si="8391"/>
        <v>0</v>
      </c>
      <c r="S977" s="96"/>
      <c r="T977" s="96">
        <f t="shared" ref="T977" si="8397">I977*S977*$T$2/1000</f>
        <v>0</v>
      </c>
      <c r="U977" s="96"/>
      <c r="V977" s="96">
        <f t="shared" ref="V977" si="8398">I977*U977*$V$2/1000</f>
        <v>0</v>
      </c>
      <c r="W977" s="96"/>
      <c r="X977" s="96">
        <f t="shared" ref="X977" si="8399">I977*W977*$X$2/1000</f>
        <v>0</v>
      </c>
      <c r="Y977" s="96">
        <f t="shared" ref="Y977" si="8400">SUM(S977+U977+W977)</f>
        <v>0</v>
      </c>
      <c r="Z977" s="96">
        <f t="shared" ref="Z977" si="8401">SUM(T977+V977+X977)</f>
        <v>0</v>
      </c>
      <c r="AA977" s="96"/>
      <c r="AB977" s="96">
        <f t="shared" ref="AB977" si="8402">K977*AA977*$AB$2/1000</f>
        <v>0</v>
      </c>
      <c r="AC977" s="96"/>
      <c r="AD977" s="96">
        <f t="shared" ref="AD977" si="8403">K977*AC977*$AD$2/1000</f>
        <v>0</v>
      </c>
      <c r="AE977" s="96"/>
      <c r="AF977" s="97">
        <f>K977*AE977*$AF$2/1000</f>
        <v>0</v>
      </c>
      <c r="AG977" s="96">
        <f t="shared" ref="AG977" si="8404">SUM(AA977+AC977+AE977)</f>
        <v>0</v>
      </c>
      <c r="AH977" s="96">
        <f t="shared" ref="AH977" si="8405">SUM(AB977+AD977+AF977)</f>
        <v>0</v>
      </c>
      <c r="AI977" s="96">
        <f t="shared" ref="AI977" si="8406">SUM(Y977+AG977)</f>
        <v>0</v>
      </c>
      <c r="AJ977" s="96">
        <f t="shared" ref="AJ977" si="8407">SUM(Z977,AH977)</f>
        <v>0</v>
      </c>
      <c r="AK977" s="96"/>
      <c r="AL977" s="96">
        <f t="shared" ref="AL977" si="8408">M977*AK977*$AL$2/1000</f>
        <v>0</v>
      </c>
      <c r="AM977" s="96"/>
      <c r="AN977" s="96">
        <f t="shared" ref="AN977" si="8409">M977*AM977*$AN$2/1000</f>
        <v>0</v>
      </c>
      <c r="AO977" s="96"/>
      <c r="AP977" s="96">
        <f t="shared" ref="AP977" si="8410">M977*AO977*$AP$2/1000</f>
        <v>0</v>
      </c>
      <c r="AQ977" s="96">
        <f t="shared" ref="AQ977" si="8411">SUM(AK977+AM977+AO977)</f>
        <v>0</v>
      </c>
      <c r="AR977" s="96">
        <f t="shared" ref="AR977" si="8412">SUM(AL977+AN977+AP977)</f>
        <v>0</v>
      </c>
      <c r="AS977" s="96"/>
      <c r="AT977" s="96">
        <f t="shared" ref="AT977" si="8413">O977*AS977*$AT$2/1000</f>
        <v>0</v>
      </c>
      <c r="AU977" s="96"/>
      <c r="AV977" s="96">
        <f t="shared" ref="AV977" si="8414">O977*AU977*$AV$2/1000</f>
        <v>0</v>
      </c>
      <c r="AW977" s="96"/>
      <c r="AX977" s="96">
        <f t="shared" ref="AX977" si="8415">O977*AW977*$AX$2/1000</f>
        <v>0</v>
      </c>
      <c r="AY977" s="96">
        <f t="shared" ref="AY977" si="8416">SUM(AS977+AU977+AW977)</f>
        <v>0</v>
      </c>
      <c r="AZ977" s="96">
        <f t="shared" ref="AZ977" si="8417">SUM(AT977+AV977+AX977)</f>
        <v>0</v>
      </c>
      <c r="BA977" s="96">
        <f t="shared" ref="BA977" si="8418">SUM(AQ977+AY977)</f>
        <v>0</v>
      </c>
      <c r="BB977" s="96">
        <f t="shared" ref="BB977" si="8419">SUM(AR977,AZ977)</f>
        <v>0</v>
      </c>
    </row>
    <row r="978" spans="1:54">
      <c r="A978" s="498">
        <v>666</v>
      </c>
      <c r="B978" s="13"/>
      <c r="C978" s="302"/>
      <c r="D978" s="13" t="s">
        <v>497</v>
      </c>
      <c r="E978" s="21" t="s">
        <v>646</v>
      </c>
      <c r="F978" s="46" t="s">
        <v>391</v>
      </c>
      <c r="G978" s="46" t="s">
        <v>1105</v>
      </c>
      <c r="H978" s="268" t="s">
        <v>441</v>
      </c>
      <c r="I978" s="55">
        <v>8.5</v>
      </c>
      <c r="J978" s="163"/>
      <c r="K978" s="55">
        <v>8.5</v>
      </c>
      <c r="L978" s="163"/>
      <c r="M978" s="55">
        <v>8.5</v>
      </c>
      <c r="N978" s="163"/>
      <c r="O978" s="55">
        <v>8.5</v>
      </c>
      <c r="P978" s="163"/>
      <c r="Q978" s="97">
        <f t="shared" si="8391"/>
        <v>0</v>
      </c>
      <c r="R978" s="342">
        <f t="shared" si="8391"/>
        <v>0</v>
      </c>
      <c r="S978" s="97"/>
      <c r="T978" s="97">
        <f>I978*S978*$T$2/1000</f>
        <v>0</v>
      </c>
      <c r="U978" s="97"/>
      <c r="V978" s="97">
        <f>I978*U978*$V$2/1000</f>
        <v>0</v>
      </c>
      <c r="W978" s="97"/>
      <c r="X978" s="97">
        <f>I978*W978*$X$2/1000</f>
        <v>0</v>
      </c>
      <c r="Y978" s="97">
        <f t="shared" ref="Y978:Z980" si="8420">SUM(S978+U978+W978)</f>
        <v>0</v>
      </c>
      <c r="Z978" s="97">
        <f t="shared" si="8420"/>
        <v>0</v>
      </c>
      <c r="AA978" s="97"/>
      <c r="AB978" s="97">
        <f>K978*AA978*$AB$2/1000</f>
        <v>0</v>
      </c>
      <c r="AC978" s="97"/>
      <c r="AD978" s="97">
        <f>K978*AC978*$AD$2/1000</f>
        <v>0</v>
      </c>
      <c r="AE978" s="97"/>
      <c r="AF978" s="97">
        <f>K978*AE978*$AF$2/1000</f>
        <v>0</v>
      </c>
      <c r="AG978" s="97">
        <f t="shared" ref="AG978:AH980" si="8421">SUM(AA978+AC978+AE978)</f>
        <v>0</v>
      </c>
      <c r="AH978" s="97">
        <f t="shared" si="8421"/>
        <v>0</v>
      </c>
      <c r="AI978" s="97">
        <f>SUM(Y978+AG978)</f>
        <v>0</v>
      </c>
      <c r="AJ978" s="97">
        <f>SUM(Z978,AH978)</f>
        <v>0</v>
      </c>
      <c r="AK978" s="97"/>
      <c r="AL978" s="97">
        <f>M978*AK978*$AL$2/1000</f>
        <v>0</v>
      </c>
      <c r="AM978" s="97"/>
      <c r="AN978" s="97">
        <f>M978*AM978*$AN$2/1000</f>
        <v>0</v>
      </c>
      <c r="AO978" s="97"/>
      <c r="AP978" s="97">
        <f>M978*AO978*$AP$2/1000</f>
        <v>0</v>
      </c>
      <c r="AQ978" s="97">
        <f t="shared" ref="AQ978:AR980" si="8422">SUM(AK978+AM978+AO978)</f>
        <v>0</v>
      </c>
      <c r="AR978" s="97">
        <f t="shared" si="8422"/>
        <v>0</v>
      </c>
      <c r="AS978" s="97"/>
      <c r="AT978" s="97">
        <f>O978*AS978*$AT$2/1000</f>
        <v>0</v>
      </c>
      <c r="AU978" s="97"/>
      <c r="AV978" s="97">
        <f>O978*AU978*$AV$2/1000</f>
        <v>0</v>
      </c>
      <c r="AW978" s="97"/>
      <c r="AX978" s="97">
        <f>O978*AW978*$AX$2/1000</f>
        <v>0</v>
      </c>
      <c r="AY978" s="97">
        <f t="shared" si="8393"/>
        <v>0</v>
      </c>
      <c r="AZ978" s="97">
        <f t="shared" si="8394"/>
        <v>0</v>
      </c>
      <c r="BA978" s="97">
        <f t="shared" si="8395"/>
        <v>0</v>
      </c>
      <c r="BB978" s="97">
        <f t="shared" si="8396"/>
        <v>0</v>
      </c>
    </row>
    <row r="979" spans="1:54">
      <c r="A979" s="498">
        <v>667</v>
      </c>
      <c r="B979" s="13"/>
      <c r="C979" s="302"/>
      <c r="D979" s="13" t="s">
        <v>498</v>
      </c>
      <c r="E979" s="21" t="s">
        <v>647</v>
      </c>
      <c r="F979" s="46" t="s">
        <v>391</v>
      </c>
      <c r="G979" s="46" t="s">
        <v>1105</v>
      </c>
      <c r="H979" s="268" t="s">
        <v>441</v>
      </c>
      <c r="I979" s="55">
        <v>8.5</v>
      </c>
      <c r="J979" s="163"/>
      <c r="K979" s="55">
        <v>8.5</v>
      </c>
      <c r="L979" s="163"/>
      <c r="M979" s="55">
        <v>8.5</v>
      </c>
      <c r="N979" s="163"/>
      <c r="O979" s="55">
        <v>8.5</v>
      </c>
      <c r="P979" s="163"/>
      <c r="Q979" s="97">
        <f t="shared" si="8391"/>
        <v>0</v>
      </c>
      <c r="R979" s="342">
        <f t="shared" si="8391"/>
        <v>0</v>
      </c>
      <c r="S979" s="97"/>
      <c r="T979" s="97">
        <f>I979*S979*$T$2/1000</f>
        <v>0</v>
      </c>
      <c r="U979" s="97"/>
      <c r="V979" s="97">
        <f>I979*U979*$V$2/1000</f>
        <v>0</v>
      </c>
      <c r="W979" s="97"/>
      <c r="X979" s="97">
        <f>I979*W979*$X$2/1000</f>
        <v>0</v>
      </c>
      <c r="Y979" s="97">
        <f t="shared" si="8420"/>
        <v>0</v>
      </c>
      <c r="Z979" s="97">
        <f t="shared" si="8420"/>
        <v>0</v>
      </c>
      <c r="AA979" s="97"/>
      <c r="AB979" s="97">
        <f>K979*AA979*$AB$2/1000</f>
        <v>0</v>
      </c>
      <c r="AC979" s="97"/>
      <c r="AD979" s="97">
        <f>K979*AC979*$AD$2/1000</f>
        <v>0</v>
      </c>
      <c r="AE979" s="97"/>
      <c r="AF979" s="97">
        <f>K979*AE979*$AF$2/1000</f>
        <v>0</v>
      </c>
      <c r="AG979" s="97">
        <f t="shared" si="8421"/>
        <v>0</v>
      </c>
      <c r="AH979" s="97">
        <f t="shared" si="8421"/>
        <v>0</v>
      </c>
      <c r="AI979" s="97">
        <f>SUM(Y979+AG979)</f>
        <v>0</v>
      </c>
      <c r="AJ979" s="97">
        <f>SUM(Z979,AH979)</f>
        <v>0</v>
      </c>
      <c r="AK979" s="97"/>
      <c r="AL979" s="97">
        <f>M979*AK979*$AL$2/1000</f>
        <v>0</v>
      </c>
      <c r="AM979" s="97"/>
      <c r="AN979" s="97">
        <f>M979*AM979*$AN$2/1000</f>
        <v>0</v>
      </c>
      <c r="AO979" s="97"/>
      <c r="AP979" s="97">
        <f>M979*AO979*$AP$2/1000</f>
        <v>0</v>
      </c>
      <c r="AQ979" s="97">
        <f t="shared" si="8422"/>
        <v>0</v>
      </c>
      <c r="AR979" s="97">
        <f t="shared" si="8422"/>
        <v>0</v>
      </c>
      <c r="AS979" s="97"/>
      <c r="AT979" s="97">
        <f>O979*AS979*$AT$2/1000</f>
        <v>0</v>
      </c>
      <c r="AU979" s="97"/>
      <c r="AV979" s="97">
        <f>O979*AU979*$AV$2/1000</f>
        <v>0</v>
      </c>
      <c r="AW979" s="97"/>
      <c r="AX979" s="97">
        <f>O979*AW979*$AX$2/1000</f>
        <v>0</v>
      </c>
      <c r="AY979" s="97">
        <f>SUM(AS979+AU979+AW979)</f>
        <v>0</v>
      </c>
      <c r="AZ979" s="97">
        <f>SUM(AT979+AV979+AX979)</f>
        <v>0</v>
      </c>
      <c r="BA979" s="97">
        <f>SUM(AQ979+AY979)</f>
        <v>0</v>
      </c>
      <c r="BB979" s="97">
        <f>SUM(AR979,AZ979)</f>
        <v>0</v>
      </c>
    </row>
    <row r="980" spans="1:54">
      <c r="A980" s="498">
        <v>668</v>
      </c>
      <c r="B980" s="13"/>
      <c r="C980" s="302"/>
      <c r="D980" s="13" t="s">
        <v>499</v>
      </c>
      <c r="E980" s="16" t="s">
        <v>500</v>
      </c>
      <c r="F980" s="46" t="s">
        <v>384</v>
      </c>
      <c r="G980" s="46" t="s">
        <v>1105</v>
      </c>
      <c r="H980" s="268" t="s">
        <v>441</v>
      </c>
      <c r="I980" s="55">
        <v>8.5</v>
      </c>
      <c r="J980" s="163"/>
      <c r="K980" s="55">
        <v>8.5</v>
      </c>
      <c r="L980" s="163"/>
      <c r="M980" s="55">
        <v>8.5</v>
      </c>
      <c r="N980" s="163"/>
      <c r="O980" s="55">
        <v>8.5</v>
      </c>
      <c r="P980" s="163"/>
      <c r="Q980" s="97">
        <f t="shared" si="8391"/>
        <v>0</v>
      </c>
      <c r="R980" s="342">
        <f t="shared" si="8391"/>
        <v>0</v>
      </c>
      <c r="S980" s="97"/>
      <c r="T980" s="97">
        <f>I980*S980*$T$2/1000</f>
        <v>0</v>
      </c>
      <c r="U980" s="97"/>
      <c r="V980" s="97">
        <f>I980*U980*$V$2/1000</f>
        <v>0</v>
      </c>
      <c r="W980" s="97"/>
      <c r="X980" s="97">
        <f>I980*W980*$X$2/1000</f>
        <v>0</v>
      </c>
      <c r="Y980" s="97">
        <f t="shared" si="8420"/>
        <v>0</v>
      </c>
      <c r="Z980" s="97">
        <f t="shared" si="8420"/>
        <v>0</v>
      </c>
      <c r="AA980" s="97"/>
      <c r="AB980" s="97">
        <f>K980*AA980*$AB$2/1000</f>
        <v>0</v>
      </c>
      <c r="AC980" s="97"/>
      <c r="AD980" s="97">
        <f>K980*AC980*$AD$2/1000</f>
        <v>0</v>
      </c>
      <c r="AE980" s="97"/>
      <c r="AF980" s="97">
        <f>K980*AE980*$AF$2/1000</f>
        <v>0</v>
      </c>
      <c r="AG980" s="97">
        <f t="shared" si="8421"/>
        <v>0</v>
      </c>
      <c r="AH980" s="97">
        <f t="shared" si="8421"/>
        <v>0</v>
      </c>
      <c r="AI980" s="97">
        <f>SUM(Y980+AG980)</f>
        <v>0</v>
      </c>
      <c r="AJ980" s="97">
        <f>SUM(Z980,AH980)</f>
        <v>0</v>
      </c>
      <c r="AK980" s="97"/>
      <c r="AL980" s="97">
        <f>M980*AK980*$AL$2/1000</f>
        <v>0</v>
      </c>
      <c r="AM980" s="97"/>
      <c r="AN980" s="97">
        <f>M980*AM980*$AN$2/1000</f>
        <v>0</v>
      </c>
      <c r="AO980" s="97"/>
      <c r="AP980" s="97">
        <f>M980*AO980*$AP$2/1000</f>
        <v>0</v>
      </c>
      <c r="AQ980" s="97">
        <f t="shared" si="8422"/>
        <v>0</v>
      </c>
      <c r="AR980" s="97">
        <f t="shared" si="8422"/>
        <v>0</v>
      </c>
      <c r="AS980" s="97"/>
      <c r="AT980" s="97">
        <f>O980*AS980*$AT$2/1000</f>
        <v>0</v>
      </c>
      <c r="AU980" s="97"/>
      <c r="AV980" s="97">
        <f>O980*AU980*$AV$2/1000</f>
        <v>0</v>
      </c>
      <c r="AW980" s="97"/>
      <c r="AX980" s="97">
        <f>O980*AW980*$AX$2/1000</f>
        <v>0</v>
      </c>
      <c r="AY980" s="97">
        <f>SUM(AS980+AU980+AW980)</f>
        <v>0</v>
      </c>
      <c r="AZ980" s="97">
        <f>SUM(AT980+AV980+AX980)</f>
        <v>0</v>
      </c>
      <c r="BA980" s="97">
        <f>SUM(AQ980+AY980)</f>
        <v>0</v>
      </c>
      <c r="BB980" s="97">
        <f>SUM(AR980,AZ980)</f>
        <v>0</v>
      </c>
    </row>
    <row r="981" spans="1:54">
      <c r="A981" s="498">
        <v>691</v>
      </c>
      <c r="B981" s="13"/>
      <c r="C981" s="302"/>
      <c r="D981" s="13" t="s">
        <v>555</v>
      </c>
      <c r="E981" s="21" t="s">
        <v>650</v>
      </c>
      <c r="F981" s="46" t="s">
        <v>382</v>
      </c>
      <c r="G981" s="46" t="s">
        <v>1105</v>
      </c>
      <c r="H981" s="268" t="s">
        <v>367</v>
      </c>
      <c r="I981" s="55">
        <v>9.6199999999999992</v>
      </c>
      <c r="J981" s="163"/>
      <c r="K981" s="55">
        <v>9.6199999999999992</v>
      </c>
      <c r="L981" s="163"/>
      <c r="M981" s="55">
        <v>9.6199999999999992</v>
      </c>
      <c r="N981" s="163"/>
      <c r="O981" s="55">
        <v>9.6199999999999992</v>
      </c>
      <c r="P981" s="163"/>
      <c r="Q981" s="97">
        <f t="shared" si="8084"/>
        <v>0</v>
      </c>
      <c r="R981" s="342">
        <f t="shared" si="8084"/>
        <v>0</v>
      </c>
      <c r="S981" s="97"/>
      <c r="T981" s="97">
        <f t="shared" ref="T981:T984" si="8423">I981*S981*$T$2/1000</f>
        <v>0</v>
      </c>
      <c r="U981" s="97"/>
      <c r="V981" s="97">
        <f t="shared" ref="V981:V984" si="8424">I981*U981*$V$2/1000</f>
        <v>0</v>
      </c>
      <c r="W981" s="97"/>
      <c r="X981" s="97">
        <f t="shared" ref="X981:X984" si="8425">I981*W981*$X$2/1000</f>
        <v>0</v>
      </c>
      <c r="Y981" s="97">
        <f t="shared" si="8173"/>
        <v>0</v>
      </c>
      <c r="Z981" s="97">
        <f>SUM(T981+V981+X981)</f>
        <v>0</v>
      </c>
      <c r="AA981" s="97"/>
      <c r="AB981" s="97">
        <f t="shared" ref="AB981:AB986" si="8426">K981*AA981*$AB$2/1000</f>
        <v>0</v>
      </c>
      <c r="AC981" s="97"/>
      <c r="AD981" s="97">
        <f t="shared" ref="AD981:AD984" si="8427">K981*AC981*$AD$2/1000</f>
        <v>0</v>
      </c>
      <c r="AE981" s="97"/>
      <c r="AF981" s="97">
        <f t="shared" si="8009"/>
        <v>0</v>
      </c>
      <c r="AG981" s="97">
        <f t="shared" si="8092"/>
        <v>0</v>
      </c>
      <c r="AH981" s="97">
        <f>SUM(AB981+AD981+AF981)</f>
        <v>0</v>
      </c>
      <c r="AI981" s="97">
        <f t="shared" ref="AI981:AI984" si="8428">SUM(Y981+AG981)</f>
        <v>0</v>
      </c>
      <c r="AJ981" s="97">
        <f t="shared" ref="AJ981:AJ984" si="8429">SUM(Z981,AH981)</f>
        <v>0</v>
      </c>
      <c r="AK981" s="97"/>
      <c r="AL981" s="97">
        <f>M981*AK981*$AL$2/1000</f>
        <v>0</v>
      </c>
      <c r="AM981" s="97"/>
      <c r="AN981" s="97">
        <f t="shared" ref="AN981:AN984" si="8430">M981*AM981*$AN$2/1000</f>
        <v>0</v>
      </c>
      <c r="AO981" s="97"/>
      <c r="AP981" s="97">
        <f>M981*AO981*$AP$2/1000</f>
        <v>0</v>
      </c>
      <c r="AQ981" s="97">
        <f t="shared" si="8099"/>
        <v>0</v>
      </c>
      <c r="AR981" s="97">
        <f>SUM(AL981+AN981+AP981)</f>
        <v>0</v>
      </c>
      <c r="AS981" s="97"/>
      <c r="AT981" s="97">
        <f t="shared" ref="AT981:AT984" si="8431">O981*AS981*$AT$2/1000</f>
        <v>0</v>
      </c>
      <c r="AU981" s="97"/>
      <c r="AV981" s="97">
        <f t="shared" ref="AV981:AV984" si="8432">O981*AU981*$AV$2/1000</f>
        <v>0</v>
      </c>
      <c r="AW981" s="97"/>
      <c r="AX981" s="97">
        <f t="shared" ref="AX981:AX984" si="8433">O981*AW981*$AX$2/1000</f>
        <v>0</v>
      </c>
      <c r="AY981" s="97">
        <f t="shared" ref="AY981:AY984" si="8434">SUM(AS981+AU981+AW981)</f>
        <v>0</v>
      </c>
      <c r="AZ981" s="97">
        <f>SUM(AT981+AV981+AX981)</f>
        <v>0</v>
      </c>
      <c r="BA981" s="97">
        <f t="shared" ref="BA981:BA984" si="8435">SUM(AQ981+AY981)</f>
        <v>0</v>
      </c>
      <c r="BB981" s="97">
        <f t="shared" ref="BB981:BB984" si="8436">SUM(AR981,AZ981)</f>
        <v>0</v>
      </c>
    </row>
    <row r="982" spans="1:54">
      <c r="A982" s="498">
        <v>692</v>
      </c>
      <c r="B982" s="13"/>
      <c r="C982" s="302"/>
      <c r="D982" s="13" t="s">
        <v>286</v>
      </c>
      <c r="E982" s="21" t="s">
        <v>872</v>
      </c>
      <c r="F982" s="46" t="s">
        <v>384</v>
      </c>
      <c r="G982" s="46" t="s">
        <v>1105</v>
      </c>
      <c r="H982" s="268" t="s">
        <v>441</v>
      </c>
      <c r="I982" s="55">
        <v>8.9499999999999993</v>
      </c>
      <c r="J982" s="163"/>
      <c r="K982" s="55">
        <v>8.9499999999999993</v>
      </c>
      <c r="L982" s="163"/>
      <c r="M982" s="55">
        <v>8.9499999999999993</v>
      </c>
      <c r="N982" s="163"/>
      <c r="O982" s="55">
        <v>8.9499999999999993</v>
      </c>
      <c r="P982" s="163"/>
      <c r="Q982" s="97">
        <f t="shared" ref="Q982" si="8437">SUM(AI982+BA982)</f>
        <v>0</v>
      </c>
      <c r="R982" s="342">
        <f t="shared" ref="R982" si="8438">SUM(AJ982+BB982)</f>
        <v>0</v>
      </c>
      <c r="S982" s="97"/>
      <c r="T982" s="97">
        <f t="shared" ref="T982" si="8439">I982*S982*$T$2/1000</f>
        <v>0</v>
      </c>
      <c r="U982" s="97"/>
      <c r="V982" s="97">
        <f t="shared" ref="V982" si="8440">I982*U982*$V$2/1000</f>
        <v>0</v>
      </c>
      <c r="W982" s="97"/>
      <c r="X982" s="97">
        <f t="shared" ref="X982" si="8441">I982*W982*$X$2/1000</f>
        <v>0</v>
      </c>
      <c r="Y982" s="97">
        <f t="shared" ref="Y982" si="8442">SUM(S982+U982+W982)</f>
        <v>0</v>
      </c>
      <c r="Z982" s="97">
        <f>SUM(T982+V982+X982)</f>
        <v>0</v>
      </c>
      <c r="AA982" s="97"/>
      <c r="AB982" s="97">
        <f t="shared" si="8426"/>
        <v>0</v>
      </c>
      <c r="AC982" s="97"/>
      <c r="AD982" s="97">
        <f t="shared" ref="AD982" si="8443">K982*AC982*$AD$2/1000</f>
        <v>0</v>
      </c>
      <c r="AE982" s="97"/>
      <c r="AF982" s="97">
        <f t="shared" ref="AF982" si="8444">K982*AE982*$AF$2/1000</f>
        <v>0</v>
      </c>
      <c r="AG982" s="97">
        <f t="shared" ref="AG982" si="8445">SUM(AA982+AC982+AE982)</f>
        <v>0</v>
      </c>
      <c r="AH982" s="97">
        <f>SUM(AB982+AD982+AF982)</f>
        <v>0</v>
      </c>
      <c r="AI982" s="97">
        <f t="shared" ref="AI982" si="8446">SUM(Y982+AG982)</f>
        <v>0</v>
      </c>
      <c r="AJ982" s="97">
        <f t="shared" ref="AJ982" si="8447">SUM(Z982,AH982)</f>
        <v>0</v>
      </c>
      <c r="AK982" s="97"/>
      <c r="AL982" s="97">
        <f t="shared" ref="AL982" si="8448">M982*AK982*$AL$2/1000</f>
        <v>0</v>
      </c>
      <c r="AM982" s="97"/>
      <c r="AN982" s="97">
        <f t="shared" ref="AN982" si="8449">M982*AM982*$AN$2/1000</f>
        <v>0</v>
      </c>
      <c r="AO982" s="97"/>
      <c r="AP982" s="97">
        <f t="shared" ref="AP982" si="8450">M982*AO982*$AP$2/1000</f>
        <v>0</v>
      </c>
      <c r="AQ982" s="97">
        <f t="shared" ref="AQ982" si="8451">SUM(AK982+AM982+AO982)</f>
        <v>0</v>
      </c>
      <c r="AR982" s="97">
        <f>SUM(AL982+AN982+AP982)</f>
        <v>0</v>
      </c>
      <c r="AS982" s="97"/>
      <c r="AT982" s="97">
        <f t="shared" ref="AT982" si="8452">O982*AS982*$AT$2/1000</f>
        <v>0</v>
      </c>
      <c r="AU982" s="97"/>
      <c r="AV982" s="97">
        <f t="shared" ref="AV982" si="8453">O982*AU982*$AV$2/1000</f>
        <v>0</v>
      </c>
      <c r="AW982" s="97"/>
      <c r="AX982" s="97">
        <f t="shared" ref="AX982" si="8454">O982*AW982*$AX$2/1000</f>
        <v>0</v>
      </c>
      <c r="AY982" s="97">
        <f>SUM(AS982+AU982+AW982)</f>
        <v>0</v>
      </c>
      <c r="AZ982" s="97">
        <f>SUM(AT982+AV982+AX982)</f>
        <v>0</v>
      </c>
      <c r="BA982" s="97">
        <f t="shared" ref="BA982" si="8455">SUM(AQ982+AY982)</f>
        <v>0</v>
      </c>
      <c r="BB982" s="97">
        <f t="shared" ref="BB982" si="8456">SUM(AR982,AZ982)</f>
        <v>0</v>
      </c>
    </row>
    <row r="983" spans="1:54">
      <c r="A983" s="498">
        <v>693</v>
      </c>
      <c r="B983" s="13"/>
      <c r="C983" s="302"/>
      <c r="D983" s="13" t="s">
        <v>286</v>
      </c>
      <c r="E983" s="21" t="s">
        <v>1322</v>
      </c>
      <c r="F983" s="46" t="s">
        <v>384</v>
      </c>
      <c r="G983" s="46" t="s">
        <v>1105</v>
      </c>
      <c r="H983" s="268" t="s">
        <v>441</v>
      </c>
      <c r="I983" s="55">
        <v>9.82</v>
      </c>
      <c r="J983" s="163"/>
      <c r="K983" s="55">
        <v>9.82</v>
      </c>
      <c r="L983" s="163"/>
      <c r="M983" s="55">
        <v>9.82</v>
      </c>
      <c r="N983" s="163"/>
      <c r="O983" s="55">
        <v>9.82</v>
      </c>
      <c r="P983" s="163"/>
      <c r="Q983" s="97">
        <f t="shared" si="8084"/>
        <v>0</v>
      </c>
      <c r="R983" s="342">
        <f t="shared" si="8084"/>
        <v>0</v>
      </c>
      <c r="S983" s="97"/>
      <c r="T983" s="97">
        <f t="shared" si="8423"/>
        <v>0</v>
      </c>
      <c r="U983" s="97"/>
      <c r="V983" s="97">
        <f t="shared" si="8424"/>
        <v>0</v>
      </c>
      <c r="W983" s="97"/>
      <c r="X983" s="97">
        <f t="shared" si="8425"/>
        <v>0</v>
      </c>
      <c r="Y983" s="97">
        <f t="shared" si="8173"/>
        <v>0</v>
      </c>
      <c r="Z983" s="97">
        <f>SUM(T983+V983+X983)</f>
        <v>0</v>
      </c>
      <c r="AA983" s="97"/>
      <c r="AB983" s="97">
        <f t="shared" si="8426"/>
        <v>0</v>
      </c>
      <c r="AC983" s="97"/>
      <c r="AD983" s="97">
        <f t="shared" si="8427"/>
        <v>0</v>
      </c>
      <c r="AE983" s="97"/>
      <c r="AF983" s="97">
        <f t="shared" si="8009"/>
        <v>0</v>
      </c>
      <c r="AG983" s="97">
        <f t="shared" si="8092"/>
        <v>0</v>
      </c>
      <c r="AH983" s="97">
        <f>SUM(AB983+AD983+AF983)</f>
        <v>0</v>
      </c>
      <c r="AI983" s="97">
        <f t="shared" si="8428"/>
        <v>0</v>
      </c>
      <c r="AJ983" s="97">
        <f t="shared" si="8429"/>
        <v>0</v>
      </c>
      <c r="AK983" s="97"/>
      <c r="AL983" s="97">
        <f t="shared" ref="AL983" si="8457">M983*AK983*$AL$2/1000</f>
        <v>0</v>
      </c>
      <c r="AM983" s="97"/>
      <c r="AN983" s="97">
        <f t="shared" si="8430"/>
        <v>0</v>
      </c>
      <c r="AO983" s="97"/>
      <c r="AP983" s="97">
        <f t="shared" ref="AP983" si="8458">M983*AO983*$AP$2/1000</f>
        <v>0</v>
      </c>
      <c r="AQ983" s="97">
        <f t="shared" si="8099"/>
        <v>0</v>
      </c>
      <c r="AR983" s="97">
        <f>SUM(AL983+AN983+AP983)</f>
        <v>0</v>
      </c>
      <c r="AS983" s="97"/>
      <c r="AT983" s="97">
        <f t="shared" si="8431"/>
        <v>0</v>
      </c>
      <c r="AU983" s="97"/>
      <c r="AV983" s="97">
        <f t="shared" si="8432"/>
        <v>0</v>
      </c>
      <c r="AW983" s="97"/>
      <c r="AX983" s="97">
        <f t="shared" si="8433"/>
        <v>0</v>
      </c>
      <c r="AY983" s="97">
        <f t="shared" si="8434"/>
        <v>0</v>
      </c>
      <c r="AZ983" s="97">
        <f>SUM(AT983+AV983+AX983)</f>
        <v>0</v>
      </c>
      <c r="BA983" s="97">
        <f t="shared" si="8435"/>
        <v>0</v>
      </c>
      <c r="BB983" s="97">
        <f t="shared" si="8436"/>
        <v>0</v>
      </c>
    </row>
    <row r="984" spans="1:54">
      <c r="A984" s="498">
        <v>694</v>
      </c>
      <c r="B984" s="13"/>
      <c r="C984" s="302"/>
      <c r="D984" s="13" t="s">
        <v>748</v>
      </c>
      <c r="E984" s="21" t="s">
        <v>749</v>
      </c>
      <c r="F984" s="46" t="s">
        <v>391</v>
      </c>
      <c r="G984" s="46" t="s">
        <v>1105</v>
      </c>
      <c r="H984" s="268" t="s">
        <v>441</v>
      </c>
      <c r="I984" s="55">
        <v>9.6199999999999992</v>
      </c>
      <c r="J984" s="163"/>
      <c r="K984" s="55">
        <v>9.6199999999999992</v>
      </c>
      <c r="L984" s="163"/>
      <c r="M984" s="55">
        <v>9.6199999999999992</v>
      </c>
      <c r="N984" s="163"/>
      <c r="O984" s="55">
        <v>9.6199999999999992</v>
      </c>
      <c r="P984" s="163"/>
      <c r="Q984" s="97">
        <f t="shared" si="8084"/>
        <v>0</v>
      </c>
      <c r="R984" s="342">
        <f t="shared" si="8084"/>
        <v>0</v>
      </c>
      <c r="S984" s="97"/>
      <c r="T984" s="97">
        <f t="shared" si="8423"/>
        <v>0</v>
      </c>
      <c r="U984" s="97"/>
      <c r="V984" s="97">
        <f t="shared" si="8424"/>
        <v>0</v>
      </c>
      <c r="W984" s="97"/>
      <c r="X984" s="97">
        <f t="shared" si="8425"/>
        <v>0</v>
      </c>
      <c r="Y984" s="97">
        <f t="shared" si="8173"/>
        <v>0</v>
      </c>
      <c r="Z984" s="97">
        <f t="shared" ref="Z984" si="8459">SUM(T984+V984+X984)</f>
        <v>0</v>
      </c>
      <c r="AA984" s="97"/>
      <c r="AB984" s="97">
        <f t="shared" si="8426"/>
        <v>0</v>
      </c>
      <c r="AC984" s="97"/>
      <c r="AD984" s="97">
        <f t="shared" si="8427"/>
        <v>0</v>
      </c>
      <c r="AE984" s="97"/>
      <c r="AF984" s="97">
        <f t="shared" ref="AF984:AF986" si="8460">K984*AE984*$AF$2/1000</f>
        <v>0</v>
      </c>
      <c r="AG984" s="97">
        <f t="shared" si="8092"/>
        <v>0</v>
      </c>
      <c r="AH984" s="97">
        <f t="shared" ref="AH984" si="8461">SUM(AB984+AD984+AF984)</f>
        <v>0</v>
      </c>
      <c r="AI984" s="97">
        <f t="shared" si="8428"/>
        <v>0</v>
      </c>
      <c r="AJ984" s="97">
        <f t="shared" si="8429"/>
        <v>0</v>
      </c>
      <c r="AK984" s="97"/>
      <c r="AL984" s="97">
        <f t="shared" ref="AL984" si="8462">M984*AK984*$AL$2/1000</f>
        <v>0</v>
      </c>
      <c r="AM984" s="97"/>
      <c r="AN984" s="97">
        <f t="shared" si="8430"/>
        <v>0</v>
      </c>
      <c r="AO984" s="97"/>
      <c r="AP984" s="97">
        <f t="shared" ref="AP984:AP986" si="8463">M984*AO984*$AP$2/1000</f>
        <v>0</v>
      </c>
      <c r="AQ984" s="97">
        <f t="shared" si="8099"/>
        <v>0</v>
      </c>
      <c r="AR984" s="97">
        <f t="shared" ref="AR984:AR986" si="8464">SUM(AL984+AN984+AP984)</f>
        <v>0</v>
      </c>
      <c r="AS984" s="97"/>
      <c r="AT984" s="97">
        <f t="shared" si="8431"/>
        <v>0</v>
      </c>
      <c r="AU984" s="97"/>
      <c r="AV984" s="97">
        <f t="shared" si="8432"/>
        <v>0</v>
      </c>
      <c r="AW984" s="97"/>
      <c r="AX984" s="97">
        <f t="shared" si="8433"/>
        <v>0</v>
      </c>
      <c r="AY984" s="97">
        <f t="shared" si="8434"/>
        <v>0</v>
      </c>
      <c r="AZ984" s="97">
        <f t="shared" ref="AZ984" si="8465">SUM(AT984+AV984+AX984)</f>
        <v>0</v>
      </c>
      <c r="BA984" s="97">
        <f t="shared" si="8435"/>
        <v>0</v>
      </c>
      <c r="BB984" s="97">
        <f t="shared" si="8436"/>
        <v>0</v>
      </c>
    </row>
    <row r="985" spans="1:54">
      <c r="A985" s="498">
        <v>695</v>
      </c>
      <c r="B985" s="13"/>
      <c r="C985" s="302"/>
      <c r="D985" s="13" t="s">
        <v>386</v>
      </c>
      <c r="E985" s="21" t="s">
        <v>959</v>
      </c>
      <c r="F985" s="46" t="s">
        <v>384</v>
      </c>
      <c r="G985" s="46" t="s">
        <v>1105</v>
      </c>
      <c r="H985" s="268" t="s">
        <v>367</v>
      </c>
      <c r="I985" s="55">
        <v>8.9499999999999993</v>
      </c>
      <c r="J985" s="163"/>
      <c r="K985" s="55">
        <v>8.9499999999999993</v>
      </c>
      <c r="L985" s="163"/>
      <c r="M985" s="55">
        <v>8.9499999999999993</v>
      </c>
      <c r="N985" s="163"/>
      <c r="O985" s="55">
        <v>8.9499999999999993</v>
      </c>
      <c r="P985" s="163"/>
      <c r="Q985" s="97">
        <f t="shared" ref="Q985" si="8466">SUM(AI985+BA985)</f>
        <v>0</v>
      </c>
      <c r="R985" s="342">
        <f t="shared" ref="R985" si="8467">SUM(AJ985+BB985)</f>
        <v>0</v>
      </c>
      <c r="S985" s="97"/>
      <c r="T985" s="97">
        <f t="shared" ref="T985" si="8468">I985*S985*$T$2/1000</f>
        <v>0</v>
      </c>
      <c r="U985" s="97"/>
      <c r="V985" s="97">
        <f t="shared" ref="V985" si="8469">I985*U985*$V$2/1000</f>
        <v>0</v>
      </c>
      <c r="W985" s="97"/>
      <c r="X985" s="97">
        <f t="shared" ref="X985" si="8470">I985*W985*$X$2/1000</f>
        <v>0</v>
      </c>
      <c r="Y985" s="97">
        <f t="shared" ref="Y985" si="8471">SUM(S985+U985+W985)</f>
        <v>0</v>
      </c>
      <c r="Z985" s="97">
        <f t="shared" ref="Z985" si="8472">SUM(T985+V985+X985)</f>
        <v>0</v>
      </c>
      <c r="AA985" s="97"/>
      <c r="AB985" s="97">
        <f t="shared" ref="AB985" si="8473">K985*AA985*$AB$2/1000</f>
        <v>0</v>
      </c>
      <c r="AC985" s="97"/>
      <c r="AD985" s="97">
        <f t="shared" ref="AD985" si="8474">K985*AC985*$AD$2/1000</f>
        <v>0</v>
      </c>
      <c r="AE985" s="97"/>
      <c r="AF985" s="97">
        <f t="shared" ref="AF985" si="8475">K985*AE985*$AF$2/1000</f>
        <v>0</v>
      </c>
      <c r="AG985" s="97">
        <f t="shared" ref="AG985" si="8476">SUM(AA985+AC985+AE985)</f>
        <v>0</v>
      </c>
      <c r="AH985" s="97">
        <f>SUM(AB985+AD985+AF985)</f>
        <v>0</v>
      </c>
      <c r="AI985" s="97">
        <f t="shared" ref="AI985" si="8477">SUM(Y985+AG985)</f>
        <v>0</v>
      </c>
      <c r="AJ985" s="97">
        <f t="shared" ref="AJ985" si="8478">SUM(Z985,AH985)</f>
        <v>0</v>
      </c>
      <c r="AK985" s="97"/>
      <c r="AL985" s="97">
        <f t="shared" ref="AL985" si="8479">M985*AK985*$AL$2/1000</f>
        <v>0</v>
      </c>
      <c r="AM985" s="97"/>
      <c r="AN985" s="97">
        <f t="shared" ref="AN985" si="8480">M985*AM985*$AN$2/1000</f>
        <v>0</v>
      </c>
      <c r="AO985" s="97"/>
      <c r="AP985" s="97">
        <f t="shared" ref="AP985" si="8481">M985*AO985*$AP$2/1000</f>
        <v>0</v>
      </c>
      <c r="AQ985" s="97">
        <f t="shared" ref="AQ985" si="8482">SUM(AK985+AM985+AO985)</f>
        <v>0</v>
      </c>
      <c r="AR985" s="97">
        <f>SUM(AL985+AN985+AP985)</f>
        <v>0</v>
      </c>
      <c r="AS985" s="97"/>
      <c r="AT985" s="97">
        <f t="shared" ref="AT985" si="8483">O985*AS985*$AT$2/1000</f>
        <v>0</v>
      </c>
      <c r="AU985" s="97"/>
      <c r="AV985" s="97">
        <f t="shared" ref="AV985" si="8484">O985*AU985*$AV$2/1000</f>
        <v>0</v>
      </c>
      <c r="AW985" s="97"/>
      <c r="AX985" s="97">
        <f t="shared" ref="AX985" si="8485">O985*AW985*$AX$2/1000</f>
        <v>0</v>
      </c>
      <c r="AY985" s="97">
        <f t="shared" ref="AY985" si="8486">SUM(AS985+AU985+AW985)</f>
        <v>0</v>
      </c>
      <c r="AZ985" s="97">
        <f t="shared" ref="AZ985" si="8487">SUM(AT985+AV985+AX985)</f>
        <v>0</v>
      </c>
      <c r="BA985" s="97">
        <f t="shared" ref="BA985" si="8488">SUM(AQ985+AY985)</f>
        <v>0</v>
      </c>
      <c r="BB985" s="97">
        <f t="shared" ref="BB985" si="8489">SUM(AR985,AZ985)</f>
        <v>0</v>
      </c>
    </row>
    <row r="986" spans="1:54">
      <c r="A986" s="498">
        <v>696</v>
      </c>
      <c r="B986" s="13"/>
      <c r="C986" s="302"/>
      <c r="D986" s="13" t="s">
        <v>535</v>
      </c>
      <c r="E986" s="16" t="s">
        <v>534</v>
      </c>
      <c r="F986" s="46" t="s">
        <v>384</v>
      </c>
      <c r="G986" s="46" t="s">
        <v>1105</v>
      </c>
      <c r="H986" s="268" t="s">
        <v>366</v>
      </c>
      <c r="I986" s="55">
        <v>9.6199999999999992</v>
      </c>
      <c r="J986" s="163"/>
      <c r="K986" s="55">
        <v>9.6199999999999992</v>
      </c>
      <c r="L986" s="163"/>
      <c r="M986" s="55">
        <v>9.6199999999999992</v>
      </c>
      <c r="N986" s="163"/>
      <c r="O986" s="55">
        <v>9.6199999999999992</v>
      </c>
      <c r="P986" s="163"/>
      <c r="Q986" s="97">
        <f t="shared" ref="Q986" si="8490">SUM(AI986+BA986)</f>
        <v>0</v>
      </c>
      <c r="R986" s="342">
        <f t="shared" ref="R986" si="8491">SUM(AJ986+BB986)</f>
        <v>0</v>
      </c>
      <c r="S986" s="97"/>
      <c r="T986" s="97">
        <f>I986*S986*$T$2/1000</f>
        <v>0</v>
      </c>
      <c r="U986" s="97"/>
      <c r="V986" s="97">
        <f>I986*U986*$V$2/1000</f>
        <v>0</v>
      </c>
      <c r="W986" s="97"/>
      <c r="X986" s="97">
        <f>I986*W986*$X$2/1000</f>
        <v>0</v>
      </c>
      <c r="Y986" s="97">
        <f t="shared" ref="Y986" si="8492">SUM(S986+U986+W986)</f>
        <v>0</v>
      </c>
      <c r="Z986" s="97">
        <f>SUM(T986+V986+X986)</f>
        <v>0</v>
      </c>
      <c r="AA986" s="97"/>
      <c r="AB986" s="97">
        <f t="shared" si="8426"/>
        <v>0</v>
      </c>
      <c r="AC986" s="97"/>
      <c r="AD986" s="97">
        <f>K986*AC986*$AD$2/1000</f>
        <v>0</v>
      </c>
      <c r="AE986" s="97"/>
      <c r="AF986" s="97">
        <f t="shared" si="8460"/>
        <v>0</v>
      </c>
      <c r="AG986" s="97">
        <f t="shared" ref="AG986" si="8493">SUM(AA986+AC986+AE986)</f>
        <v>0</v>
      </c>
      <c r="AH986" s="97">
        <f>SUM(AB986+AD986+AF986)</f>
        <v>0</v>
      </c>
      <c r="AI986" s="97">
        <f>SUM(Y986+AG986)</f>
        <v>0</v>
      </c>
      <c r="AJ986" s="97">
        <f>SUM(Z986,AH986)</f>
        <v>0</v>
      </c>
      <c r="AK986" s="97"/>
      <c r="AL986" s="97">
        <f>M986*AK986*$AL$2/1000</f>
        <v>0</v>
      </c>
      <c r="AM986" s="97"/>
      <c r="AN986" s="97">
        <f>M986*AM986*$AN$2/1000</f>
        <v>0</v>
      </c>
      <c r="AO986" s="97"/>
      <c r="AP986" s="97">
        <f t="shared" si="8463"/>
        <v>0</v>
      </c>
      <c r="AQ986" s="97">
        <f t="shared" ref="AQ986" si="8494">SUM(AK986+AM986+AO986)</f>
        <v>0</v>
      </c>
      <c r="AR986" s="97">
        <f t="shared" si="8464"/>
        <v>0</v>
      </c>
      <c r="AS986" s="97"/>
      <c r="AT986" s="97">
        <f>O986*AS986*$AT$2/1000</f>
        <v>0</v>
      </c>
      <c r="AU986" s="97"/>
      <c r="AV986" s="97">
        <f>O986*AU986*$AV$2/1000</f>
        <v>0</v>
      </c>
      <c r="AW986" s="97"/>
      <c r="AX986" s="97">
        <f>O986*AW986*$AX$2/1000</f>
        <v>0</v>
      </c>
      <c r="AY986" s="97">
        <f t="shared" ref="AY986" si="8495">SUM(AS986+AU986+AW986)</f>
        <v>0</v>
      </c>
      <c r="AZ986" s="97">
        <f>SUM(AT986+AV986+AX986)</f>
        <v>0</v>
      </c>
      <c r="BA986" s="97">
        <f>SUM(AQ986+AY986)</f>
        <v>0</v>
      </c>
      <c r="BB986" s="97">
        <f>SUM(AR986,AZ986)</f>
        <v>0</v>
      </c>
    </row>
    <row r="987" spans="1:54">
      <c r="A987" s="498">
        <v>697</v>
      </c>
      <c r="B987" s="13"/>
      <c r="C987" s="302"/>
      <c r="D987" s="13" t="s">
        <v>379</v>
      </c>
      <c r="E987" s="16" t="s">
        <v>1268</v>
      </c>
      <c r="F987" s="46" t="s">
        <v>384</v>
      </c>
      <c r="G987" s="46" t="s">
        <v>1105</v>
      </c>
      <c r="H987" s="268" t="s">
        <v>366</v>
      </c>
      <c r="I987" s="55">
        <v>8.9499999999999993</v>
      </c>
      <c r="J987" s="163"/>
      <c r="K987" s="55">
        <v>8.9499999999999993</v>
      </c>
      <c r="L987" s="163"/>
      <c r="M987" s="55">
        <v>8.9499999999999993</v>
      </c>
      <c r="N987" s="163"/>
      <c r="O987" s="55">
        <v>8.9499999999999993</v>
      </c>
      <c r="P987" s="163"/>
      <c r="Q987" s="97">
        <f t="shared" ref="Q987" si="8496">SUM(AI987+BA987)</f>
        <v>0</v>
      </c>
      <c r="R987" s="342">
        <f t="shared" ref="R987" si="8497">SUM(AJ987+BB987)</f>
        <v>0</v>
      </c>
      <c r="S987" s="97"/>
      <c r="T987" s="97">
        <f>I987*S987*$T$2/1000</f>
        <v>0</v>
      </c>
      <c r="U987" s="97"/>
      <c r="V987" s="97">
        <f>I987*U987*$V$2/1000</f>
        <v>0</v>
      </c>
      <c r="W987" s="97"/>
      <c r="X987" s="97">
        <f>I987*W987*$X$2/1000</f>
        <v>0</v>
      </c>
      <c r="Y987" s="97">
        <f t="shared" ref="Y987" si="8498">SUM(S987+U987+W987)</f>
        <v>0</v>
      </c>
      <c r="Z987" s="97">
        <f>SUM(T987+V987+X987)</f>
        <v>0</v>
      </c>
      <c r="AA987" s="97"/>
      <c r="AB987" s="97">
        <f t="shared" ref="AB987" si="8499">K987*AA987*$AB$2/1000</f>
        <v>0</v>
      </c>
      <c r="AC987" s="97"/>
      <c r="AD987" s="97">
        <f>K987*AC987*$AD$2/1000</f>
        <v>0</v>
      </c>
      <c r="AE987" s="97"/>
      <c r="AF987" s="97">
        <f t="shared" ref="AF987" si="8500">K987*AE987*$AF$2/1000</f>
        <v>0</v>
      </c>
      <c r="AG987" s="97">
        <f t="shared" ref="AG987" si="8501">SUM(AA987+AC987+AE987)</f>
        <v>0</v>
      </c>
      <c r="AH987" s="97">
        <f>SUM(AB987+AD987+AF987)</f>
        <v>0</v>
      </c>
      <c r="AI987" s="97">
        <f>SUM(Y987+AG987)</f>
        <v>0</v>
      </c>
      <c r="AJ987" s="97">
        <f>SUM(Z987,AH987)</f>
        <v>0</v>
      </c>
      <c r="AK987" s="97"/>
      <c r="AL987" s="97">
        <f>M987*AK987*$AL$2/1000</f>
        <v>0</v>
      </c>
      <c r="AM987" s="97"/>
      <c r="AN987" s="97">
        <f>M987*AM987*$AN$2/1000</f>
        <v>0</v>
      </c>
      <c r="AO987" s="97"/>
      <c r="AP987" s="97">
        <f t="shared" ref="AP987" si="8502">M987*AO987*$AP$2/1000</f>
        <v>0</v>
      </c>
      <c r="AQ987" s="97">
        <f t="shared" ref="AQ987" si="8503">SUM(AK987+AM987+AO987)</f>
        <v>0</v>
      </c>
      <c r="AR987" s="97">
        <f>SUM(AL987+AN987+AP987)</f>
        <v>0</v>
      </c>
      <c r="AS987" s="97"/>
      <c r="AT987" s="97">
        <f>O987*AS987*$AT$2/1000</f>
        <v>0</v>
      </c>
      <c r="AU987" s="97"/>
      <c r="AV987" s="97">
        <f>O987*AU987*$AV$2/1000</f>
        <v>0</v>
      </c>
      <c r="AW987" s="97"/>
      <c r="AX987" s="97">
        <f>O987*AW987*$AX$2/1000</f>
        <v>0</v>
      </c>
      <c r="AY987" s="97">
        <f t="shared" ref="AY987" si="8504">SUM(AS987+AU987+AW987)</f>
        <v>0</v>
      </c>
      <c r="AZ987" s="97">
        <f>SUM(AT987+AV987+AX987)</f>
        <v>0</v>
      </c>
      <c r="BA987" s="97">
        <f>SUM(AQ987+AY987)</f>
        <v>0</v>
      </c>
      <c r="BB987" s="97">
        <f>SUM(AR987,AZ987)</f>
        <v>0</v>
      </c>
    </row>
    <row r="988" spans="1:54" ht="11.25" customHeight="1">
      <c r="A988" s="498">
        <v>699</v>
      </c>
      <c r="B988" s="13"/>
      <c r="C988" s="302"/>
      <c r="D988" s="13" t="s">
        <v>503</v>
      </c>
      <c r="E988" s="16" t="s">
        <v>501</v>
      </c>
      <c r="F988" s="46" t="s">
        <v>383</v>
      </c>
      <c r="G988" s="46" t="s">
        <v>1105</v>
      </c>
      <c r="H988" s="268" t="s">
        <v>441</v>
      </c>
      <c r="I988" s="55">
        <v>9.6199999999999992</v>
      </c>
      <c r="J988" s="163"/>
      <c r="K988" s="55">
        <v>9.6199999999999992</v>
      </c>
      <c r="L988" s="163"/>
      <c r="M988" s="55">
        <v>9.6199999999999992</v>
      </c>
      <c r="N988" s="163"/>
      <c r="O988" s="55">
        <v>9.6199999999999992</v>
      </c>
      <c r="P988" s="163"/>
      <c r="Q988" s="97">
        <f t="shared" ref="Q988:R990" si="8505">SUM(AI988+BA988)</f>
        <v>0</v>
      </c>
      <c r="R988" s="342">
        <f t="shared" si="8505"/>
        <v>0</v>
      </c>
      <c r="S988" s="97"/>
      <c r="T988" s="97">
        <f t="shared" ref="T988:T989" si="8506">I988*S988*$T$2/1000</f>
        <v>0</v>
      </c>
      <c r="U988" s="97"/>
      <c r="V988" s="97">
        <f t="shared" ref="V988:V989" si="8507">I988*U988*$V$2/1000</f>
        <v>0</v>
      </c>
      <c r="W988" s="97"/>
      <c r="X988" s="97">
        <f t="shared" ref="X988:X989" si="8508">I988*W988*$X$2/1000</f>
        <v>0</v>
      </c>
      <c r="Y988" s="97">
        <f t="shared" ref="Y988:Y999" si="8509">SUM(S988+U988+W988)</f>
        <v>0</v>
      </c>
      <c r="Z988" s="97">
        <f t="shared" ref="Z988:Z1001" si="8510">SUM(T988+V988+X988)</f>
        <v>0</v>
      </c>
      <c r="AA988" s="97"/>
      <c r="AB988" s="97">
        <f t="shared" ref="AB988:AB989" si="8511">K988*AA988*$AB$2/1000</f>
        <v>0</v>
      </c>
      <c r="AC988" s="97"/>
      <c r="AD988" s="97">
        <f t="shared" ref="AD988:AD989" si="8512">K988*AC988*$AD$2/1000</f>
        <v>0</v>
      </c>
      <c r="AE988" s="97"/>
      <c r="AF988" s="97">
        <f t="shared" si="8009"/>
        <v>0</v>
      </c>
      <c r="AG988" s="97">
        <f t="shared" ref="AG988:AG1001" si="8513">SUM(AA988+AC988+AE988)</f>
        <v>0</v>
      </c>
      <c r="AH988" s="97">
        <f t="shared" ref="AH988:AH1001" si="8514">SUM(AB988+AD988+AF988)</f>
        <v>0</v>
      </c>
      <c r="AI988" s="97">
        <f t="shared" ref="AI988:AI1001" si="8515">SUM(Y988+AG988)</f>
        <v>0</v>
      </c>
      <c r="AJ988" s="97">
        <f t="shared" ref="AJ988:AJ1001" si="8516">SUM(Z988,AH988)</f>
        <v>0</v>
      </c>
      <c r="AK988" s="97"/>
      <c r="AL988" s="97">
        <f t="shared" ref="AL988:AL1001" si="8517">M988*AK988*$AL$2/1000</f>
        <v>0</v>
      </c>
      <c r="AM988" s="97"/>
      <c r="AN988" s="97">
        <f t="shared" ref="AN988:AN1001" si="8518">M988*AM988*$AN$2/1000</f>
        <v>0</v>
      </c>
      <c r="AO988" s="97"/>
      <c r="AP988" s="97">
        <f t="shared" si="8098"/>
        <v>0</v>
      </c>
      <c r="AQ988" s="97">
        <f t="shared" ref="AQ988:AQ1001" si="8519">SUM(AK988+AM988+AO988)</f>
        <v>0</v>
      </c>
      <c r="AR988" s="97">
        <f t="shared" ref="AR988:AR1001" si="8520">SUM(AL988+AN988+AP988)</f>
        <v>0</v>
      </c>
      <c r="AS988" s="97"/>
      <c r="AT988" s="97">
        <f t="shared" ref="AT988:AT1001" si="8521">O988*AS988*$AT$2/1000</f>
        <v>0</v>
      </c>
      <c r="AU988" s="97"/>
      <c r="AV988" s="97">
        <f t="shared" ref="AV988:AV1001" si="8522">O988*AU988*$AV$2/1000</f>
        <v>0</v>
      </c>
      <c r="AW988" s="97"/>
      <c r="AX988" s="97">
        <f t="shared" ref="AX988:AX1001" si="8523">O988*AW988*$AX$2/1000</f>
        <v>0</v>
      </c>
      <c r="AY988" s="97">
        <f t="shared" ref="AY988:AY989" si="8524">SUM(AS988+AU988+AW988)</f>
        <v>0</v>
      </c>
      <c r="AZ988" s="97">
        <f t="shared" ref="AZ988:AZ989" si="8525">SUM(AT988+AV988+AX988)</f>
        <v>0</v>
      </c>
      <c r="BA988" s="97">
        <f t="shared" ref="BA988:BA990" si="8526">SUM(AQ988+AY988)</f>
        <v>0</v>
      </c>
      <c r="BB988" s="97">
        <f t="shared" ref="BB988:BB990" si="8527">SUM(AR988,AZ988)</f>
        <v>0</v>
      </c>
    </row>
    <row r="989" spans="1:54">
      <c r="A989" s="498">
        <v>700</v>
      </c>
      <c r="B989" s="13"/>
      <c r="C989" s="302"/>
      <c r="D989" s="13" t="s">
        <v>381</v>
      </c>
      <c r="E989" s="16" t="s">
        <v>1195</v>
      </c>
      <c r="F989" s="46" t="s">
        <v>382</v>
      </c>
      <c r="G989" s="46" t="s">
        <v>1105</v>
      </c>
      <c r="H989" s="268" t="s">
        <v>366</v>
      </c>
      <c r="I989" s="55">
        <v>8.9499999999999993</v>
      </c>
      <c r="J989" s="163"/>
      <c r="K989" s="55">
        <v>8.9499999999999993</v>
      </c>
      <c r="L989" s="163"/>
      <c r="M989" s="55">
        <v>8.9499999999999993</v>
      </c>
      <c r="N989" s="163"/>
      <c r="O989" s="55">
        <v>8.9499999999999993</v>
      </c>
      <c r="P989" s="163"/>
      <c r="Q989" s="97">
        <f t="shared" si="8505"/>
        <v>0</v>
      </c>
      <c r="R989" s="342">
        <f t="shared" si="8505"/>
        <v>0</v>
      </c>
      <c r="S989" s="97"/>
      <c r="T989" s="97">
        <f t="shared" si="8506"/>
        <v>0</v>
      </c>
      <c r="U989" s="97"/>
      <c r="V989" s="97">
        <f t="shared" si="8507"/>
        <v>0</v>
      </c>
      <c r="W989" s="97"/>
      <c r="X989" s="97">
        <f t="shared" si="8508"/>
        <v>0</v>
      </c>
      <c r="Y989" s="97">
        <f t="shared" si="8509"/>
        <v>0</v>
      </c>
      <c r="Z989" s="97">
        <f t="shared" si="8510"/>
        <v>0</v>
      </c>
      <c r="AA989" s="97"/>
      <c r="AB989" s="97">
        <f t="shared" si="8511"/>
        <v>0</v>
      </c>
      <c r="AC989" s="97"/>
      <c r="AD989" s="97">
        <f t="shared" si="8512"/>
        <v>0</v>
      </c>
      <c r="AE989" s="97"/>
      <c r="AF989" s="97">
        <f t="shared" ref="AF989:AF990" si="8528">K989*AE989*$AF$2/1000</f>
        <v>0</v>
      </c>
      <c r="AG989" s="97">
        <f t="shared" si="8513"/>
        <v>0</v>
      </c>
      <c r="AH989" s="97">
        <f t="shared" si="8514"/>
        <v>0</v>
      </c>
      <c r="AI989" s="97">
        <f t="shared" si="8515"/>
        <v>0</v>
      </c>
      <c r="AJ989" s="97">
        <f t="shared" si="8516"/>
        <v>0</v>
      </c>
      <c r="AK989" s="97"/>
      <c r="AL989" s="97">
        <f t="shared" si="8517"/>
        <v>0</v>
      </c>
      <c r="AM989" s="97"/>
      <c r="AN989" s="97">
        <f t="shared" si="8518"/>
        <v>0</v>
      </c>
      <c r="AO989" s="97"/>
      <c r="AP989" s="97">
        <f t="shared" ref="AP989:AP990" si="8529">M989*AO989*$AP$2/1000</f>
        <v>0</v>
      </c>
      <c r="AQ989" s="97">
        <f t="shared" si="8519"/>
        <v>0</v>
      </c>
      <c r="AR989" s="97">
        <f t="shared" si="8520"/>
        <v>0</v>
      </c>
      <c r="AS989" s="97"/>
      <c r="AT989" s="97">
        <f t="shared" si="8521"/>
        <v>0</v>
      </c>
      <c r="AU989" s="97"/>
      <c r="AV989" s="97">
        <f t="shared" si="8522"/>
        <v>0</v>
      </c>
      <c r="AW989" s="97"/>
      <c r="AX989" s="97">
        <f t="shared" si="8523"/>
        <v>0</v>
      </c>
      <c r="AY989" s="97">
        <f t="shared" si="8524"/>
        <v>0</v>
      </c>
      <c r="AZ989" s="97">
        <f t="shared" si="8525"/>
        <v>0</v>
      </c>
      <c r="BA989" s="97">
        <f t="shared" si="8526"/>
        <v>0</v>
      </c>
      <c r="BB989" s="97">
        <f t="shared" si="8527"/>
        <v>0</v>
      </c>
    </row>
    <row r="990" spans="1:54">
      <c r="A990" s="498">
        <v>701</v>
      </c>
      <c r="B990" s="13"/>
      <c r="C990" s="13"/>
      <c r="D990" s="13" t="s">
        <v>830</v>
      </c>
      <c r="E990" s="21" t="s">
        <v>1125</v>
      </c>
      <c r="F990" s="46" t="s">
        <v>382</v>
      </c>
      <c r="G990" s="22" t="s">
        <v>1115</v>
      </c>
      <c r="H990" s="268" t="s">
        <v>1126</v>
      </c>
      <c r="I990" s="55">
        <v>9.6999999999999993</v>
      </c>
      <c r="J990" s="102"/>
      <c r="K990" s="55">
        <v>9.6999999999999993</v>
      </c>
      <c r="L990" s="163"/>
      <c r="M990" s="55">
        <v>9.6999999999999993</v>
      </c>
      <c r="N990" s="163"/>
      <c r="O990" s="55">
        <v>9.6999999999999993</v>
      </c>
      <c r="P990" s="102"/>
      <c r="Q990" s="97">
        <f t="shared" si="8505"/>
        <v>0</v>
      </c>
      <c r="R990" s="342">
        <f t="shared" si="8505"/>
        <v>0</v>
      </c>
      <c r="S990" s="97"/>
      <c r="T990" s="97">
        <f>I990*S990*$T$2/1000</f>
        <v>0</v>
      </c>
      <c r="U990" s="97"/>
      <c r="V990" s="177">
        <f>I990*U990*$V$2/1000</f>
        <v>0</v>
      </c>
      <c r="W990" s="207"/>
      <c r="X990" s="206">
        <f>I990*W990*$X$2/1000</f>
        <v>0</v>
      </c>
      <c r="Y990" s="189">
        <f>SUM(S990+U990+W990)</f>
        <v>0</v>
      </c>
      <c r="Z990" s="177">
        <f>SUM(T990+V990+X990)</f>
        <v>0</v>
      </c>
      <c r="AA990" s="207"/>
      <c r="AB990" s="206">
        <f>K990*AA990*$AB$2/1000</f>
        <v>0</v>
      </c>
      <c r="AC990" s="207"/>
      <c r="AD990" s="177">
        <f>K990*AC990*$AD$2/1000</f>
        <v>0</v>
      </c>
      <c r="AE990" s="207"/>
      <c r="AF990" s="206">
        <f t="shared" si="8528"/>
        <v>0</v>
      </c>
      <c r="AG990" s="189">
        <f>SUM(AA990+AC990+AE990)</f>
        <v>0</v>
      </c>
      <c r="AH990" s="97">
        <f>SUM(AB990+AD990+AF990)</f>
        <v>0</v>
      </c>
      <c r="AI990" s="97">
        <f t="shared" si="8515"/>
        <v>0</v>
      </c>
      <c r="AJ990" s="177">
        <f t="shared" si="8516"/>
        <v>0</v>
      </c>
      <c r="AK990" s="207"/>
      <c r="AL990" s="177">
        <f t="shared" si="8517"/>
        <v>0</v>
      </c>
      <c r="AM990" s="245"/>
      <c r="AN990" s="177">
        <f t="shared" si="8518"/>
        <v>0</v>
      </c>
      <c r="AO990" s="207"/>
      <c r="AP990" s="206">
        <f t="shared" si="8529"/>
        <v>0</v>
      </c>
      <c r="AQ990" s="189">
        <f>SUM(AK990+AM990+AO990)</f>
        <v>0</v>
      </c>
      <c r="AR990" s="97">
        <f t="shared" ref="AR990" si="8530">SUM(AL990+AN990+AP990)</f>
        <v>0</v>
      </c>
      <c r="AS990" s="97"/>
      <c r="AT990" s="177">
        <f t="shared" si="8521"/>
        <v>0</v>
      </c>
      <c r="AU990" s="207"/>
      <c r="AV990" s="177">
        <f t="shared" si="8522"/>
        <v>0</v>
      </c>
      <c r="AW990" s="207"/>
      <c r="AX990" s="206">
        <f t="shared" si="8523"/>
        <v>0</v>
      </c>
      <c r="AY990" s="189">
        <f>SUM(AS990+AU990+AW990)</f>
        <v>0</v>
      </c>
      <c r="AZ990" s="97">
        <f t="shared" ref="AZ990" si="8531">SUM(AT990+AV990+AX990)</f>
        <v>0</v>
      </c>
      <c r="BA990" s="97">
        <f t="shared" si="8526"/>
        <v>0</v>
      </c>
      <c r="BB990" s="97">
        <f t="shared" si="8527"/>
        <v>0</v>
      </c>
    </row>
    <row r="991" spans="1:54">
      <c r="A991" s="498">
        <v>702</v>
      </c>
      <c r="B991" s="13"/>
      <c r="C991" s="302"/>
      <c r="D991" s="13" t="s">
        <v>381</v>
      </c>
      <c r="E991" s="16" t="s">
        <v>1424</v>
      </c>
      <c r="F991" s="46" t="s">
        <v>382</v>
      </c>
      <c r="G991" s="46" t="s">
        <v>1105</v>
      </c>
      <c r="H991" s="268" t="s">
        <v>366</v>
      </c>
      <c r="I991" s="55">
        <v>9.92</v>
      </c>
      <c r="J991" s="163"/>
      <c r="K991" s="55">
        <v>9.92</v>
      </c>
      <c r="L991" s="163"/>
      <c r="M991" s="55">
        <v>9.92</v>
      </c>
      <c r="N991" s="163"/>
      <c r="O991" s="55">
        <v>9.92</v>
      </c>
      <c r="P991" s="163"/>
      <c r="Q991" s="97">
        <f t="shared" ref="Q991" si="8532">SUM(AI991+BA991)</f>
        <v>0</v>
      </c>
      <c r="R991" s="342">
        <f t="shared" ref="R991" si="8533">SUM(AJ991+BB991)</f>
        <v>0</v>
      </c>
      <c r="S991" s="97"/>
      <c r="T991" s="97">
        <f t="shared" ref="T991" si="8534">I991*S991*$T$2/1000</f>
        <v>0</v>
      </c>
      <c r="U991" s="97"/>
      <c r="V991" s="97">
        <f t="shared" ref="V991" si="8535">I991*U991*$V$2/1000</f>
        <v>0</v>
      </c>
      <c r="W991" s="97"/>
      <c r="X991" s="97">
        <f t="shared" ref="X991" si="8536">I991*W991*$X$2/1000</f>
        <v>0</v>
      </c>
      <c r="Y991" s="97">
        <f t="shared" ref="Y991" si="8537">SUM(S991+U991+W991)</f>
        <v>0</v>
      </c>
      <c r="Z991" s="97">
        <f t="shared" ref="Z991" si="8538">SUM(T991+V991+X991)</f>
        <v>0</v>
      </c>
      <c r="AA991" s="97"/>
      <c r="AB991" s="97">
        <f t="shared" ref="AB991:AB1125" si="8539">K991*AA991*$AB$2/1000</f>
        <v>0</v>
      </c>
      <c r="AC991" s="97"/>
      <c r="AD991" s="97">
        <f t="shared" ref="AD991" si="8540">K991*AC991*$AD$2/1000</f>
        <v>0</v>
      </c>
      <c r="AE991" s="97"/>
      <c r="AF991" s="97">
        <f t="shared" ref="AF991" si="8541">K991*AE991*$AF$2/1000</f>
        <v>0</v>
      </c>
      <c r="AG991" s="97">
        <f t="shared" ref="AG991" si="8542">SUM(AA991+AC991+AE991)</f>
        <v>0</v>
      </c>
      <c r="AH991" s="97">
        <f t="shared" ref="AH991" si="8543">SUM(AB991+AD991+AF991)</f>
        <v>0</v>
      </c>
      <c r="AI991" s="97">
        <f t="shared" ref="AI991" si="8544">SUM(Y991+AG991)</f>
        <v>0</v>
      </c>
      <c r="AJ991" s="97">
        <f t="shared" ref="AJ991" si="8545">SUM(Z991,AH991)</f>
        <v>0</v>
      </c>
      <c r="AK991" s="97"/>
      <c r="AL991" s="97">
        <f t="shared" ref="AL991" si="8546">M991*AK991*$AL$2/1000</f>
        <v>0</v>
      </c>
      <c r="AM991" s="97"/>
      <c r="AN991" s="97">
        <f t="shared" ref="AN991" si="8547">M991*AM991*$AN$2/1000</f>
        <v>0</v>
      </c>
      <c r="AO991" s="97"/>
      <c r="AP991" s="97">
        <f t="shared" ref="AP991" si="8548">M991*AO991*$AP$2/1000</f>
        <v>0</v>
      </c>
      <c r="AQ991" s="97">
        <f t="shared" ref="AQ991" si="8549">SUM(AK991+AM991+AO991)</f>
        <v>0</v>
      </c>
      <c r="AR991" s="97">
        <f t="shared" ref="AR991" si="8550">SUM(AL991+AN991+AP991)</f>
        <v>0</v>
      </c>
      <c r="AS991" s="97"/>
      <c r="AT991" s="97">
        <f t="shared" ref="AT991" si="8551">O991*AS991*$AT$2/1000</f>
        <v>0</v>
      </c>
      <c r="AU991" s="97"/>
      <c r="AV991" s="97">
        <f t="shared" ref="AV991" si="8552">O991*AU991*$AV$2/1000</f>
        <v>0</v>
      </c>
      <c r="AW991" s="97"/>
      <c r="AX991" s="97">
        <f t="shared" ref="AX991" si="8553">O991*AW991*$AX$2/1000</f>
        <v>0</v>
      </c>
      <c r="AY991" s="97">
        <f t="shared" ref="AY991" si="8554">SUM(AS991+AU991+AW991)</f>
        <v>0</v>
      </c>
      <c r="AZ991" s="97">
        <f t="shared" ref="AZ991" si="8555">SUM(AT991+AV991+AX991)</f>
        <v>0</v>
      </c>
      <c r="BA991" s="97">
        <f t="shared" ref="BA991" si="8556">SUM(AQ991+AY991)</f>
        <v>0</v>
      </c>
      <c r="BB991" s="97">
        <f t="shared" ref="BB991" si="8557">SUM(AR991,AZ991)</f>
        <v>0</v>
      </c>
    </row>
    <row r="992" spans="1:54">
      <c r="A992" s="498">
        <v>703</v>
      </c>
      <c r="B992" s="13"/>
      <c r="C992" s="302"/>
      <c r="D992" s="13" t="s">
        <v>381</v>
      </c>
      <c r="E992" s="16" t="s">
        <v>1617</v>
      </c>
      <c r="F992" s="46" t="s">
        <v>382</v>
      </c>
      <c r="G992" s="46" t="s">
        <v>1105</v>
      </c>
      <c r="H992" s="268" t="s">
        <v>366</v>
      </c>
      <c r="I992" s="55">
        <v>13.41</v>
      </c>
      <c r="J992" s="163"/>
      <c r="K992" s="55">
        <v>13.41</v>
      </c>
      <c r="L992" s="163"/>
      <c r="M992" s="55">
        <v>13.41</v>
      </c>
      <c r="N992" s="163"/>
      <c r="O992" s="55">
        <v>13.41</v>
      </c>
      <c r="P992" s="163"/>
      <c r="Q992" s="97">
        <f t="shared" ref="Q992" si="8558">SUM(AI992+BA992)</f>
        <v>0.5</v>
      </c>
      <c r="R992" s="342">
        <f t="shared" ref="R992" si="8559">SUM(AJ992+BB992)</f>
        <v>9.1464245999999978</v>
      </c>
      <c r="S992" s="97"/>
      <c r="T992" s="97">
        <f t="shared" ref="T992" si="8560">I992*S992*$T$2/1000</f>
        <v>0</v>
      </c>
      <c r="U992" s="97"/>
      <c r="V992" s="97">
        <f t="shared" ref="V992" si="8561">I992*U992*$V$2/1000</f>
        <v>0</v>
      </c>
      <c r="W992" s="97"/>
      <c r="X992" s="97">
        <f t="shared" ref="X992" si="8562">I992*W992*$X$2/1000</f>
        <v>0</v>
      </c>
      <c r="Y992" s="97">
        <f t="shared" ref="Y992" si="8563">SUM(S992+U992+W992)</f>
        <v>0</v>
      </c>
      <c r="Z992" s="97">
        <f t="shared" ref="Z992" si="8564">SUM(T992+V992+X992)</f>
        <v>0</v>
      </c>
      <c r="AA992" s="97">
        <v>0.5</v>
      </c>
      <c r="AB992" s="97">
        <f t="shared" si="8539"/>
        <v>9.1464245999999978</v>
      </c>
      <c r="AC992" s="97"/>
      <c r="AD992" s="97">
        <f t="shared" ref="AD992" si="8565">K992*AC992*$AD$2/1000</f>
        <v>0</v>
      </c>
      <c r="AE992" s="97"/>
      <c r="AF992" s="97">
        <f t="shared" ref="AF992" si="8566">K992*AE992*$AF$2/1000</f>
        <v>0</v>
      </c>
      <c r="AG992" s="97">
        <f t="shared" ref="AG992" si="8567">SUM(AA992+AC992+AE992)</f>
        <v>0.5</v>
      </c>
      <c r="AH992" s="97">
        <f t="shared" ref="AH992" si="8568">SUM(AB992+AD992+AF992)</f>
        <v>9.1464245999999978</v>
      </c>
      <c r="AI992" s="97">
        <f t="shared" ref="AI992" si="8569">SUM(Y992+AG992)</f>
        <v>0.5</v>
      </c>
      <c r="AJ992" s="97">
        <f t="shared" ref="AJ992" si="8570">SUM(Z992,AH992)</f>
        <v>9.1464245999999978</v>
      </c>
      <c r="AK992" s="97"/>
      <c r="AL992" s="97">
        <f t="shared" ref="AL992" si="8571">M992*AK992*$AL$2/1000</f>
        <v>0</v>
      </c>
      <c r="AM992" s="97"/>
      <c r="AN992" s="97">
        <f t="shared" ref="AN992" si="8572">M992*AM992*$AN$2/1000</f>
        <v>0</v>
      </c>
      <c r="AO992" s="97"/>
      <c r="AP992" s="97">
        <f t="shared" ref="AP992" si="8573">M992*AO992*$AP$2/1000</f>
        <v>0</v>
      </c>
      <c r="AQ992" s="97">
        <f t="shared" ref="AQ992" si="8574">SUM(AK992+AM992+AO992)</f>
        <v>0</v>
      </c>
      <c r="AR992" s="97">
        <f t="shared" ref="AR992" si="8575">SUM(AL992+AN992+AP992)</f>
        <v>0</v>
      </c>
      <c r="AS992" s="97"/>
      <c r="AT992" s="97">
        <f t="shared" ref="AT992" si="8576">O992*AS992*$AT$2/1000</f>
        <v>0</v>
      </c>
      <c r="AU992" s="97"/>
      <c r="AV992" s="97">
        <f t="shared" ref="AV992" si="8577">O992*AU992*$AV$2/1000</f>
        <v>0</v>
      </c>
      <c r="AW992" s="97"/>
      <c r="AX992" s="97">
        <f t="shared" ref="AX992" si="8578">O992*AW992*$AX$2/1000</f>
        <v>0</v>
      </c>
      <c r="AY992" s="97">
        <f t="shared" ref="AY992" si="8579">SUM(AS992+AU992+AW992)</f>
        <v>0</v>
      </c>
      <c r="AZ992" s="97">
        <f t="shared" ref="AZ992" si="8580">SUM(AT992+AV992+AX992)</f>
        <v>0</v>
      </c>
      <c r="BA992" s="97">
        <f t="shared" ref="BA992" si="8581">SUM(AQ992+AY992)</f>
        <v>0</v>
      </c>
      <c r="BB992" s="97">
        <f t="shared" ref="BB992" si="8582">SUM(AR992,AZ992)</f>
        <v>0</v>
      </c>
    </row>
    <row r="993" spans="1:54" s="6" customFormat="1">
      <c r="A993" s="498">
        <v>704</v>
      </c>
      <c r="B993" s="14"/>
      <c r="C993" s="302"/>
      <c r="D993" s="14" t="s">
        <v>504</v>
      </c>
      <c r="E993" s="16" t="s">
        <v>502</v>
      </c>
      <c r="F993" s="45" t="s">
        <v>383</v>
      </c>
      <c r="G993" s="45" t="s">
        <v>1105</v>
      </c>
      <c r="H993" s="267" t="s">
        <v>441</v>
      </c>
      <c r="I993" s="234">
        <v>9.6199999999999992</v>
      </c>
      <c r="J993" s="241"/>
      <c r="K993" s="234">
        <v>9.6199999999999992</v>
      </c>
      <c r="L993" s="241"/>
      <c r="M993" s="234">
        <v>9.6199999999999992</v>
      </c>
      <c r="N993" s="241"/>
      <c r="O993" s="234">
        <v>9.6199999999999992</v>
      </c>
      <c r="P993" s="241"/>
      <c r="Q993" s="96">
        <f t="shared" ref="Q993:Q998" si="8583">SUM(AI993+BA993)</f>
        <v>0</v>
      </c>
      <c r="R993" s="340">
        <f t="shared" ref="R993:R998" si="8584">SUM(AJ993+BB993)</f>
        <v>0</v>
      </c>
      <c r="S993" s="96"/>
      <c r="T993" s="96">
        <f t="shared" ref="T993:T998" si="8585">I993*S993*$T$2/1000</f>
        <v>0</v>
      </c>
      <c r="U993" s="96"/>
      <c r="V993" s="96">
        <f t="shared" ref="V993:V998" si="8586">I993*U993*$V$2/1000</f>
        <v>0</v>
      </c>
      <c r="W993" s="96"/>
      <c r="X993" s="96">
        <f t="shared" ref="X993:X998" si="8587">I993*W993*$X$2/1000</f>
        <v>0</v>
      </c>
      <c r="Y993" s="96">
        <f t="shared" ref="Y993:Y998" si="8588">SUM(S993+U993+W993)</f>
        <v>0</v>
      </c>
      <c r="Z993" s="96">
        <f t="shared" ref="Z993:Z996" si="8589">SUM(T993+V993+X993)</f>
        <v>0</v>
      </c>
      <c r="AA993" s="96"/>
      <c r="AB993" s="96">
        <f t="shared" si="8539"/>
        <v>0</v>
      </c>
      <c r="AC993" s="96"/>
      <c r="AD993" s="96">
        <f t="shared" ref="AD993:AD998" si="8590">K993*AC993*$AD$2/1000</f>
        <v>0</v>
      </c>
      <c r="AE993" s="96"/>
      <c r="AF993" s="97">
        <f t="shared" si="8009"/>
        <v>0</v>
      </c>
      <c r="AG993" s="96">
        <f t="shared" ref="AG993:AG998" si="8591">SUM(AA993+AC993+AE993)</f>
        <v>0</v>
      </c>
      <c r="AH993" s="96">
        <f t="shared" ref="AH993:AH996" si="8592">SUM(AB993+AD993+AF993)</f>
        <v>0</v>
      </c>
      <c r="AI993" s="96">
        <f t="shared" ref="AI993:AI998" si="8593">SUM(Y993+AG993)</f>
        <v>0</v>
      </c>
      <c r="AJ993" s="96">
        <f t="shared" ref="AJ993:AJ998" si="8594">SUM(Z993,AH993)</f>
        <v>0</v>
      </c>
      <c r="AK993" s="96"/>
      <c r="AL993" s="96">
        <f t="shared" ref="AL993:AL998" si="8595">M993*AK993*$AL$2/1000</f>
        <v>0</v>
      </c>
      <c r="AM993" s="96"/>
      <c r="AN993" s="96">
        <f t="shared" ref="AN993:AN998" si="8596">M993*AM993*$AN$2/1000</f>
        <v>0</v>
      </c>
      <c r="AO993" s="96"/>
      <c r="AP993" s="96">
        <f t="shared" si="8098"/>
        <v>0</v>
      </c>
      <c r="AQ993" s="96">
        <f t="shared" ref="AQ993:AQ998" si="8597">SUM(AK993+AM993+AO993)</f>
        <v>0</v>
      </c>
      <c r="AR993" s="96">
        <f t="shared" ref="AR993:AR996" si="8598">SUM(AL993+AN993+AP993)</f>
        <v>0</v>
      </c>
      <c r="AS993" s="96"/>
      <c r="AT993" s="96">
        <f t="shared" ref="AT993:AT998" si="8599">O993*AS993*$AT$2/1000</f>
        <v>0</v>
      </c>
      <c r="AU993" s="96"/>
      <c r="AV993" s="96">
        <f t="shared" ref="AV993:AV998" si="8600">O993*AU993*$AV$2/1000</f>
        <v>0</v>
      </c>
      <c r="AW993" s="96"/>
      <c r="AX993" s="96">
        <f t="shared" ref="AX993:AX998" si="8601">O993*AW993*$AX$2/1000</f>
        <v>0</v>
      </c>
      <c r="AY993" s="96">
        <f t="shared" ref="AY993:AY998" si="8602">SUM(AS993+AU993+AW993)</f>
        <v>0</v>
      </c>
      <c r="AZ993" s="96">
        <f t="shared" ref="AZ993:AZ996" si="8603">SUM(AT993+AV993+AX993)</f>
        <v>0</v>
      </c>
      <c r="BA993" s="96">
        <f t="shared" ref="BA993:BA998" si="8604">SUM(AQ993+AY993)</f>
        <v>0</v>
      </c>
      <c r="BB993" s="96">
        <f t="shared" ref="BB993:BB998" si="8605">SUM(AR993,AZ993)</f>
        <v>0</v>
      </c>
    </row>
    <row r="994" spans="1:54" s="6" customFormat="1">
      <c r="A994" s="498">
        <v>705</v>
      </c>
      <c r="B994" s="14"/>
      <c r="C994" s="302"/>
      <c r="D994" s="14" t="s">
        <v>405</v>
      </c>
      <c r="E994" s="16" t="s">
        <v>951</v>
      </c>
      <c r="F994" s="45" t="s">
        <v>383</v>
      </c>
      <c r="G994" s="45" t="s">
        <v>1105</v>
      </c>
      <c r="H994" s="267" t="s">
        <v>366</v>
      </c>
      <c r="I994" s="234">
        <v>8.9499999999999993</v>
      </c>
      <c r="J994" s="241"/>
      <c r="K994" s="234">
        <v>8.9499999999999993</v>
      </c>
      <c r="L994" s="241"/>
      <c r="M994" s="234">
        <v>8.9499999999999993</v>
      </c>
      <c r="N994" s="241"/>
      <c r="O994" s="234">
        <v>8.9499999999999993</v>
      </c>
      <c r="P994" s="241"/>
      <c r="Q994" s="96">
        <f t="shared" ref="Q994" si="8606">SUM(AI994+BA994)</f>
        <v>0</v>
      </c>
      <c r="R994" s="340">
        <f t="shared" ref="R994" si="8607">SUM(AJ994+BB994)</f>
        <v>0</v>
      </c>
      <c r="S994" s="96"/>
      <c r="T994" s="96">
        <f t="shared" ref="T994" si="8608">I994*S994*$T$2/1000</f>
        <v>0</v>
      </c>
      <c r="U994" s="96"/>
      <c r="V994" s="96">
        <f t="shared" ref="V994" si="8609">I994*U994*$V$2/1000</f>
        <v>0</v>
      </c>
      <c r="W994" s="96"/>
      <c r="X994" s="96">
        <f t="shared" ref="X994" si="8610">I994*W994*$X$2/1000</f>
        <v>0</v>
      </c>
      <c r="Y994" s="96">
        <f t="shared" ref="Y994" si="8611">SUM(S994+U994+W994)</f>
        <v>0</v>
      </c>
      <c r="Z994" s="96">
        <f t="shared" ref="Z994" si="8612">SUM(T994+V994+X994)</f>
        <v>0</v>
      </c>
      <c r="AA994" s="96"/>
      <c r="AB994" s="96">
        <f t="shared" ref="AB994" si="8613">K994*AA994*$AB$2/1000</f>
        <v>0</v>
      </c>
      <c r="AC994" s="96"/>
      <c r="AD994" s="96">
        <f t="shared" ref="AD994" si="8614">K994*AC994*$AD$2/1000</f>
        <v>0</v>
      </c>
      <c r="AE994" s="96"/>
      <c r="AF994" s="97">
        <f t="shared" ref="AF994" si="8615">K994*AE994*$AF$2/1000</f>
        <v>0</v>
      </c>
      <c r="AG994" s="96">
        <f t="shared" ref="AG994" si="8616">SUM(AA994+AC994+AE994)</f>
        <v>0</v>
      </c>
      <c r="AH994" s="96">
        <f t="shared" ref="AH994" si="8617">SUM(AB994+AD994+AF994)</f>
        <v>0</v>
      </c>
      <c r="AI994" s="96">
        <f t="shared" ref="AI994" si="8618">SUM(Y994+AG994)</f>
        <v>0</v>
      </c>
      <c r="AJ994" s="96">
        <f t="shared" ref="AJ994" si="8619">SUM(Z994,AH994)</f>
        <v>0</v>
      </c>
      <c r="AK994" s="96"/>
      <c r="AL994" s="96">
        <f t="shared" ref="AL994" si="8620">M994*AK994*$AL$2/1000</f>
        <v>0</v>
      </c>
      <c r="AM994" s="96"/>
      <c r="AN994" s="96">
        <f t="shared" ref="AN994" si="8621">M994*AM994*$AN$2/1000</f>
        <v>0</v>
      </c>
      <c r="AO994" s="96"/>
      <c r="AP994" s="96">
        <f t="shared" ref="AP994" si="8622">M994*AO994*$AP$2/1000</f>
        <v>0</v>
      </c>
      <c r="AQ994" s="96">
        <f t="shared" ref="AQ994" si="8623">SUM(AK994+AM994+AO994)</f>
        <v>0</v>
      </c>
      <c r="AR994" s="96">
        <f t="shared" ref="AR994" si="8624">SUM(AL994+AN994+AP994)</f>
        <v>0</v>
      </c>
      <c r="AS994" s="96"/>
      <c r="AT994" s="96">
        <f t="shared" ref="AT994" si="8625">O994*AS994*$AT$2/1000</f>
        <v>0</v>
      </c>
      <c r="AU994" s="96"/>
      <c r="AV994" s="96">
        <f t="shared" ref="AV994" si="8626">O994*AU994*$AV$2/1000</f>
        <v>0</v>
      </c>
      <c r="AW994" s="96"/>
      <c r="AX994" s="96">
        <f t="shared" ref="AX994" si="8627">O994*AW994*$AX$2/1000</f>
        <v>0</v>
      </c>
      <c r="AY994" s="96">
        <f t="shared" ref="AY994" si="8628">SUM(AS994+AU994+AW994)</f>
        <v>0</v>
      </c>
      <c r="AZ994" s="96">
        <f t="shared" ref="AZ994" si="8629">SUM(AT994+AV994+AX994)</f>
        <v>0</v>
      </c>
      <c r="BA994" s="96">
        <f t="shared" ref="BA994" si="8630">SUM(AQ994+AY994)</f>
        <v>0</v>
      </c>
      <c r="BB994" s="96">
        <f t="shared" ref="BB994" si="8631">SUM(AR994,AZ994)</f>
        <v>0</v>
      </c>
    </row>
    <row r="995" spans="1:54">
      <c r="A995" s="498">
        <v>706</v>
      </c>
      <c r="B995" s="13"/>
      <c r="C995" s="302"/>
      <c r="D995" s="14" t="s">
        <v>830</v>
      </c>
      <c r="E995" s="21" t="s">
        <v>1323</v>
      </c>
      <c r="F995" s="46" t="s">
        <v>391</v>
      </c>
      <c r="G995" s="46" t="s">
        <v>1105</v>
      </c>
      <c r="H995" s="268" t="s">
        <v>366</v>
      </c>
      <c r="I995" s="55">
        <v>9.82</v>
      </c>
      <c r="J995" s="163"/>
      <c r="K995" s="55">
        <v>9.82</v>
      </c>
      <c r="L995" s="163"/>
      <c r="M995" s="55">
        <v>9.82</v>
      </c>
      <c r="N995" s="163"/>
      <c r="O995" s="55">
        <v>9.82</v>
      </c>
      <c r="P995" s="163"/>
      <c r="Q995" s="97">
        <f t="shared" ref="Q995" si="8632">SUM(AI995+BA995)</f>
        <v>0</v>
      </c>
      <c r="R995" s="342">
        <f t="shared" ref="R995" si="8633">SUM(AJ995+BB995)</f>
        <v>0</v>
      </c>
      <c r="S995" s="97"/>
      <c r="T995" s="97">
        <f t="shared" ref="T995" si="8634">I995*S995*$T$2/1000</f>
        <v>0</v>
      </c>
      <c r="U995" s="97"/>
      <c r="V995" s="97">
        <f t="shared" ref="V995" si="8635">I995*U995*$V$2/1000</f>
        <v>0</v>
      </c>
      <c r="W995" s="97"/>
      <c r="X995" s="97">
        <f t="shared" ref="X995" si="8636">I995*W995*$X$2/1000</f>
        <v>0</v>
      </c>
      <c r="Y995" s="97">
        <f t="shared" ref="Y995" si="8637">SUM(S995+U995+W995)</f>
        <v>0</v>
      </c>
      <c r="Z995" s="97">
        <f t="shared" ref="Z995" si="8638">SUM(T995+V995+X995)</f>
        <v>0</v>
      </c>
      <c r="AA995" s="97"/>
      <c r="AB995" s="97">
        <f t="shared" si="8539"/>
        <v>0</v>
      </c>
      <c r="AC995" s="97"/>
      <c r="AD995" s="97">
        <f t="shared" ref="AD995" si="8639">K995*AC995*$AD$2/1000</f>
        <v>0</v>
      </c>
      <c r="AE995" s="97"/>
      <c r="AF995" s="97">
        <f t="shared" ref="AF995" si="8640">K995*AE995*$AF$2/1000</f>
        <v>0</v>
      </c>
      <c r="AG995" s="97">
        <f t="shared" ref="AG995" si="8641">SUM(AA995+AC995+AE995)</f>
        <v>0</v>
      </c>
      <c r="AH995" s="97">
        <f t="shared" ref="AH995" si="8642">SUM(AB995+AD995+AF995)</f>
        <v>0</v>
      </c>
      <c r="AI995" s="97">
        <f t="shared" ref="AI995" si="8643">SUM(Y995+AG995)</f>
        <v>0</v>
      </c>
      <c r="AJ995" s="97">
        <f t="shared" ref="AJ995" si="8644">SUM(Z995,AH995)</f>
        <v>0</v>
      </c>
      <c r="AK995" s="97"/>
      <c r="AL995" s="97">
        <f t="shared" ref="AL995" si="8645">M995*AK995*$AL$2/1000</f>
        <v>0</v>
      </c>
      <c r="AM995" s="97"/>
      <c r="AN995" s="97">
        <f t="shared" ref="AN995" si="8646">M995*AM995*$AN$2/1000</f>
        <v>0</v>
      </c>
      <c r="AO995" s="97"/>
      <c r="AP995" s="97">
        <f t="shared" ref="AP995" si="8647">M995*AO995*$AP$2/1000</f>
        <v>0</v>
      </c>
      <c r="AQ995" s="97">
        <f t="shared" ref="AQ995" si="8648">SUM(AK995+AM995+AO995)</f>
        <v>0</v>
      </c>
      <c r="AR995" s="97">
        <f t="shared" ref="AR995" si="8649">SUM(AL995+AN995+AP995)</f>
        <v>0</v>
      </c>
      <c r="AS995" s="97"/>
      <c r="AT995" s="97">
        <f t="shared" ref="AT995" si="8650">O995*AS995*$AT$2/1000</f>
        <v>0</v>
      </c>
      <c r="AU995" s="97"/>
      <c r="AV995" s="97">
        <f t="shared" ref="AV995" si="8651">O995*AU995*$AV$2/1000</f>
        <v>0</v>
      </c>
      <c r="AW995" s="97"/>
      <c r="AX995" s="97">
        <f t="shared" ref="AX995" si="8652">O995*AW995*$AX$2/1000</f>
        <v>0</v>
      </c>
      <c r="AY995" s="97">
        <f t="shared" ref="AY995" si="8653">SUM(AS995+AU995+AW995)</f>
        <v>0</v>
      </c>
      <c r="AZ995" s="97">
        <f t="shared" ref="AZ995" si="8654">SUM(AT995+AV995+AX995)</f>
        <v>0</v>
      </c>
      <c r="BA995" s="97">
        <f t="shared" ref="BA995" si="8655">SUM(AQ995+AY995)</f>
        <v>0</v>
      </c>
      <c r="BB995" s="97">
        <f t="shared" ref="BB995" si="8656">SUM(AR995,AZ995)</f>
        <v>0</v>
      </c>
    </row>
    <row r="996" spans="1:54">
      <c r="A996" s="498">
        <v>707</v>
      </c>
      <c r="B996" s="13"/>
      <c r="C996" s="302"/>
      <c r="D996" s="14" t="s">
        <v>507</v>
      </c>
      <c r="E996" s="21" t="s">
        <v>651</v>
      </c>
      <c r="F996" s="46" t="s">
        <v>391</v>
      </c>
      <c r="G996" s="46" t="s">
        <v>1105</v>
      </c>
      <c r="H996" s="268" t="s">
        <v>441</v>
      </c>
      <c r="I996" s="55">
        <v>9.6199999999999992</v>
      </c>
      <c r="J996" s="163"/>
      <c r="K996" s="55">
        <v>9.6199999999999992</v>
      </c>
      <c r="L996" s="163"/>
      <c r="M996" s="55">
        <v>9.6199999999999992</v>
      </c>
      <c r="N996" s="163"/>
      <c r="O996" s="55">
        <v>9.6199999999999992</v>
      </c>
      <c r="P996" s="163"/>
      <c r="Q996" s="97">
        <f t="shared" si="8583"/>
        <v>0</v>
      </c>
      <c r="R996" s="342">
        <f t="shared" si="8584"/>
        <v>0</v>
      </c>
      <c r="S996" s="97"/>
      <c r="T996" s="97">
        <f t="shared" si="8585"/>
        <v>0</v>
      </c>
      <c r="U996" s="97"/>
      <c r="V996" s="97">
        <f t="shared" si="8586"/>
        <v>0</v>
      </c>
      <c r="W996" s="97"/>
      <c r="X996" s="97">
        <f t="shared" si="8587"/>
        <v>0</v>
      </c>
      <c r="Y996" s="97">
        <f t="shared" si="8588"/>
        <v>0</v>
      </c>
      <c r="Z996" s="97">
        <f t="shared" si="8589"/>
        <v>0</v>
      </c>
      <c r="AA996" s="97"/>
      <c r="AB996" s="97">
        <f t="shared" si="8539"/>
        <v>0</v>
      </c>
      <c r="AC996" s="97"/>
      <c r="AD996" s="97">
        <f t="shared" si="8590"/>
        <v>0</v>
      </c>
      <c r="AE996" s="97"/>
      <c r="AF996" s="97">
        <f t="shared" si="8009"/>
        <v>0</v>
      </c>
      <c r="AG996" s="97">
        <f t="shared" si="8591"/>
        <v>0</v>
      </c>
      <c r="AH996" s="97">
        <f t="shared" si="8592"/>
        <v>0</v>
      </c>
      <c r="AI996" s="97">
        <f t="shared" si="8593"/>
        <v>0</v>
      </c>
      <c r="AJ996" s="97">
        <f t="shared" si="8594"/>
        <v>0</v>
      </c>
      <c r="AK996" s="97"/>
      <c r="AL996" s="97">
        <f t="shared" si="8595"/>
        <v>0</v>
      </c>
      <c r="AM996" s="97"/>
      <c r="AN996" s="97">
        <f t="shared" si="8596"/>
        <v>0</v>
      </c>
      <c r="AO996" s="97"/>
      <c r="AP996" s="97">
        <f t="shared" si="8098"/>
        <v>0</v>
      </c>
      <c r="AQ996" s="97">
        <f t="shared" si="8597"/>
        <v>0</v>
      </c>
      <c r="AR996" s="97">
        <f t="shared" si="8598"/>
        <v>0</v>
      </c>
      <c r="AS996" s="97"/>
      <c r="AT996" s="97">
        <f t="shared" si="8599"/>
        <v>0</v>
      </c>
      <c r="AU996" s="97"/>
      <c r="AV996" s="97">
        <f t="shared" si="8600"/>
        <v>0</v>
      </c>
      <c r="AW996" s="97"/>
      <c r="AX996" s="97">
        <f t="shared" si="8601"/>
        <v>0</v>
      </c>
      <c r="AY996" s="97">
        <f t="shared" si="8602"/>
        <v>0</v>
      </c>
      <c r="AZ996" s="97">
        <f t="shared" si="8603"/>
        <v>0</v>
      </c>
      <c r="BA996" s="97">
        <f t="shared" si="8604"/>
        <v>0</v>
      </c>
      <c r="BB996" s="97">
        <f t="shared" si="8605"/>
        <v>0</v>
      </c>
    </row>
    <row r="997" spans="1:54">
      <c r="A997" s="498">
        <v>708</v>
      </c>
      <c r="B997" s="13"/>
      <c r="C997" s="302"/>
      <c r="D997" s="14" t="s">
        <v>507</v>
      </c>
      <c r="E997" s="21" t="s">
        <v>952</v>
      </c>
      <c r="F997" s="46" t="s">
        <v>391</v>
      </c>
      <c r="G997" s="46" t="s">
        <v>1105</v>
      </c>
      <c r="H997" s="268" t="s">
        <v>366</v>
      </c>
      <c r="I997" s="55">
        <v>8.9499999999999993</v>
      </c>
      <c r="J997" s="163"/>
      <c r="K997" s="55">
        <v>8.9499999999999993</v>
      </c>
      <c r="L997" s="163"/>
      <c r="M997" s="55">
        <v>8.9499999999999993</v>
      </c>
      <c r="N997" s="163"/>
      <c r="O997" s="55">
        <v>8.9499999999999993</v>
      </c>
      <c r="P997" s="163"/>
      <c r="Q997" s="97">
        <f t="shared" ref="Q997" si="8657">SUM(AI997+BA997)</f>
        <v>0</v>
      </c>
      <c r="R997" s="342">
        <f t="shared" ref="R997" si="8658">SUM(AJ997+BB997)</f>
        <v>0</v>
      </c>
      <c r="S997" s="97"/>
      <c r="T997" s="97">
        <f t="shared" ref="T997" si="8659">I997*S997*$T$2/1000</f>
        <v>0</v>
      </c>
      <c r="U997" s="97"/>
      <c r="V997" s="97">
        <f t="shared" ref="V997" si="8660">I997*U997*$V$2/1000</f>
        <v>0</v>
      </c>
      <c r="W997" s="97"/>
      <c r="X997" s="97">
        <f t="shared" ref="X997" si="8661">I997*W997*$X$2/1000</f>
        <v>0</v>
      </c>
      <c r="Y997" s="97">
        <f t="shared" ref="Y997" si="8662">SUM(S997+U997+W997)</f>
        <v>0</v>
      </c>
      <c r="Z997" s="97">
        <f t="shared" ref="Z997" si="8663">SUM(T997+V997+X997)</f>
        <v>0</v>
      </c>
      <c r="AA997" s="97"/>
      <c r="AB997" s="97">
        <f t="shared" ref="AB997" si="8664">K997*AA997*$AB$2/1000</f>
        <v>0</v>
      </c>
      <c r="AC997" s="97"/>
      <c r="AD997" s="97">
        <f t="shared" ref="AD997" si="8665">K997*AC997*$AD$2/1000</f>
        <v>0</v>
      </c>
      <c r="AE997" s="97"/>
      <c r="AF997" s="97">
        <f t="shared" ref="AF997" si="8666">K997*AE997*$AF$2/1000</f>
        <v>0</v>
      </c>
      <c r="AG997" s="97">
        <f t="shared" ref="AG997" si="8667">SUM(AA997+AC997+AE997)</f>
        <v>0</v>
      </c>
      <c r="AH997" s="97">
        <f t="shared" ref="AH997" si="8668">SUM(AB997+AD997+AF997)</f>
        <v>0</v>
      </c>
      <c r="AI997" s="97">
        <f t="shared" ref="AI997" si="8669">SUM(Y997+AG997)</f>
        <v>0</v>
      </c>
      <c r="AJ997" s="97">
        <f t="shared" ref="AJ997" si="8670">SUM(Z997,AH997)</f>
        <v>0</v>
      </c>
      <c r="AK997" s="97"/>
      <c r="AL997" s="97">
        <f t="shared" ref="AL997" si="8671">M997*AK997*$AL$2/1000</f>
        <v>0</v>
      </c>
      <c r="AM997" s="97"/>
      <c r="AN997" s="97">
        <f t="shared" ref="AN997" si="8672">M997*AM997*$AN$2/1000</f>
        <v>0</v>
      </c>
      <c r="AO997" s="97"/>
      <c r="AP997" s="97">
        <f t="shared" ref="AP997" si="8673">M997*AO997*$AP$2/1000</f>
        <v>0</v>
      </c>
      <c r="AQ997" s="97">
        <f t="shared" ref="AQ997" si="8674">SUM(AK997+AM997+AO997)</f>
        <v>0</v>
      </c>
      <c r="AR997" s="97">
        <f t="shared" ref="AR997" si="8675">SUM(AL997+AN997+AP997)</f>
        <v>0</v>
      </c>
      <c r="AS997" s="97"/>
      <c r="AT997" s="97">
        <f t="shared" ref="AT997" si="8676">O997*AS997*$AT$2/1000</f>
        <v>0</v>
      </c>
      <c r="AU997" s="97"/>
      <c r="AV997" s="97">
        <f t="shared" ref="AV997" si="8677">O997*AU997*$AV$2/1000</f>
        <v>0</v>
      </c>
      <c r="AW997" s="97"/>
      <c r="AX997" s="97">
        <f t="shared" ref="AX997" si="8678">O997*AW997*$AX$2/1000</f>
        <v>0</v>
      </c>
      <c r="AY997" s="97">
        <f t="shared" ref="AY997" si="8679">SUM(AS997+AU997+AW997)</f>
        <v>0</v>
      </c>
      <c r="AZ997" s="97">
        <f t="shared" ref="AZ997" si="8680">SUM(AT997+AV997+AX997)</f>
        <v>0</v>
      </c>
      <c r="BA997" s="97">
        <f t="shared" ref="BA997" si="8681">SUM(AQ997+AY997)</f>
        <v>0</v>
      </c>
      <c r="BB997" s="97">
        <f t="shared" ref="BB997" si="8682">SUM(AR997,AZ997)</f>
        <v>0</v>
      </c>
    </row>
    <row r="998" spans="1:54">
      <c r="A998" s="498">
        <v>709</v>
      </c>
      <c r="B998" s="13"/>
      <c r="C998" s="302"/>
      <c r="D998" s="14" t="s">
        <v>507</v>
      </c>
      <c r="E998" s="21" t="s">
        <v>1356</v>
      </c>
      <c r="F998" s="46" t="s">
        <v>384</v>
      </c>
      <c r="G998" s="46" t="s">
        <v>1105</v>
      </c>
      <c r="H998" s="268" t="s">
        <v>441</v>
      </c>
      <c r="I998" s="55">
        <v>9.82</v>
      </c>
      <c r="J998" s="163"/>
      <c r="K998" s="55">
        <v>9.82</v>
      </c>
      <c r="L998" s="163"/>
      <c r="M998" s="55">
        <v>9.82</v>
      </c>
      <c r="N998" s="163"/>
      <c r="O998" s="55">
        <v>9.82</v>
      </c>
      <c r="P998" s="163"/>
      <c r="Q998" s="97">
        <f t="shared" si="8583"/>
        <v>0</v>
      </c>
      <c r="R998" s="342">
        <f t="shared" si="8584"/>
        <v>0</v>
      </c>
      <c r="S998" s="97"/>
      <c r="T998" s="97">
        <f t="shared" si="8585"/>
        <v>0</v>
      </c>
      <c r="U998" s="97"/>
      <c r="V998" s="97">
        <f t="shared" si="8586"/>
        <v>0</v>
      </c>
      <c r="W998" s="97"/>
      <c r="X998" s="97">
        <f t="shared" si="8587"/>
        <v>0</v>
      </c>
      <c r="Y998" s="97">
        <f t="shared" si="8588"/>
        <v>0</v>
      </c>
      <c r="Z998" s="97">
        <f>SUM(T998+V998+X998)</f>
        <v>0</v>
      </c>
      <c r="AA998" s="97"/>
      <c r="AB998" s="97">
        <f t="shared" si="8539"/>
        <v>0</v>
      </c>
      <c r="AC998" s="97"/>
      <c r="AD998" s="97">
        <f t="shared" si="8590"/>
        <v>0</v>
      </c>
      <c r="AE998" s="97"/>
      <c r="AF998" s="97">
        <f t="shared" ref="AF998" si="8683">K998*AE998*$AF$2/1000</f>
        <v>0</v>
      </c>
      <c r="AG998" s="97">
        <f t="shared" si="8591"/>
        <v>0</v>
      </c>
      <c r="AH998" s="97">
        <f>SUM(AB998+AD998+AF998)</f>
        <v>0</v>
      </c>
      <c r="AI998" s="97">
        <f t="shared" si="8593"/>
        <v>0</v>
      </c>
      <c r="AJ998" s="97">
        <f t="shared" si="8594"/>
        <v>0</v>
      </c>
      <c r="AK998" s="97"/>
      <c r="AL998" s="97">
        <f t="shared" si="8595"/>
        <v>0</v>
      </c>
      <c r="AM998" s="97"/>
      <c r="AN998" s="97">
        <f t="shared" si="8596"/>
        <v>0</v>
      </c>
      <c r="AO998" s="97"/>
      <c r="AP998" s="97">
        <f t="shared" si="8098"/>
        <v>0</v>
      </c>
      <c r="AQ998" s="97">
        <f t="shared" si="8597"/>
        <v>0</v>
      </c>
      <c r="AR998" s="97">
        <f>SUM(AL998+AN998+AP998)</f>
        <v>0</v>
      </c>
      <c r="AS998" s="97"/>
      <c r="AT998" s="97">
        <f t="shared" si="8599"/>
        <v>0</v>
      </c>
      <c r="AU998" s="97"/>
      <c r="AV998" s="97">
        <f t="shared" si="8600"/>
        <v>0</v>
      </c>
      <c r="AW998" s="97"/>
      <c r="AX998" s="97">
        <f t="shared" si="8601"/>
        <v>0</v>
      </c>
      <c r="AY998" s="97">
        <f t="shared" si="8602"/>
        <v>0</v>
      </c>
      <c r="AZ998" s="97">
        <f>SUM(AT998+AV998+AX998)</f>
        <v>0</v>
      </c>
      <c r="BA998" s="97">
        <f t="shared" si="8604"/>
        <v>0</v>
      </c>
      <c r="BB998" s="97">
        <f t="shared" si="8605"/>
        <v>0</v>
      </c>
    </row>
    <row r="999" spans="1:54">
      <c r="A999" s="498">
        <v>710</v>
      </c>
      <c r="B999" s="13"/>
      <c r="C999" s="302"/>
      <c r="D999" s="13" t="s">
        <v>505</v>
      </c>
      <c r="E999" s="21" t="s">
        <v>577</v>
      </c>
      <c r="F999" s="46" t="s">
        <v>391</v>
      </c>
      <c r="G999" s="46" t="s">
        <v>1105</v>
      </c>
      <c r="H999" s="268" t="s">
        <v>441</v>
      </c>
      <c r="I999" s="55">
        <v>8.58</v>
      </c>
      <c r="J999" s="163"/>
      <c r="K999" s="55">
        <v>8.58</v>
      </c>
      <c r="L999" s="163"/>
      <c r="M999" s="55">
        <v>8.58</v>
      </c>
      <c r="N999" s="163"/>
      <c r="O999" s="55">
        <v>8.58</v>
      </c>
      <c r="P999" s="163"/>
      <c r="Q999" s="97">
        <f t="shared" si="7455"/>
        <v>0</v>
      </c>
      <c r="R999" s="342">
        <f t="shared" si="7455"/>
        <v>0</v>
      </c>
      <c r="S999" s="97"/>
      <c r="T999" s="97">
        <f t="shared" si="7456"/>
        <v>0</v>
      </c>
      <c r="U999" s="97"/>
      <c r="V999" s="97">
        <f t="shared" si="7457"/>
        <v>0</v>
      </c>
      <c r="W999" s="97"/>
      <c r="X999" s="97">
        <f t="shared" si="7458"/>
        <v>0</v>
      </c>
      <c r="Y999" s="97">
        <f t="shared" si="8509"/>
        <v>0</v>
      </c>
      <c r="Z999" s="97">
        <f t="shared" si="8510"/>
        <v>0</v>
      </c>
      <c r="AA999" s="97"/>
      <c r="AB999" s="97">
        <f t="shared" si="8539"/>
        <v>0</v>
      </c>
      <c r="AC999" s="97"/>
      <c r="AD999" s="97">
        <f t="shared" si="7501"/>
        <v>0</v>
      </c>
      <c r="AE999" s="97"/>
      <c r="AF999" s="97">
        <f t="shared" si="8009"/>
        <v>0</v>
      </c>
      <c r="AG999" s="97">
        <f t="shared" si="8513"/>
        <v>0</v>
      </c>
      <c r="AH999" s="97">
        <f t="shared" si="8514"/>
        <v>0</v>
      </c>
      <c r="AI999" s="97">
        <f t="shared" si="8515"/>
        <v>0</v>
      </c>
      <c r="AJ999" s="97">
        <f t="shared" si="8516"/>
        <v>0</v>
      </c>
      <c r="AK999" s="97"/>
      <c r="AL999" s="97">
        <f>M999*AK999*$AL$2/1000</f>
        <v>0</v>
      </c>
      <c r="AM999" s="97"/>
      <c r="AN999" s="97">
        <f t="shared" si="8518"/>
        <v>0</v>
      </c>
      <c r="AO999" s="97"/>
      <c r="AP999" s="97">
        <f t="shared" si="8098"/>
        <v>0</v>
      </c>
      <c r="AQ999" s="97">
        <f t="shared" si="8519"/>
        <v>0</v>
      </c>
      <c r="AR999" s="97">
        <f t="shared" si="8520"/>
        <v>0</v>
      </c>
      <c r="AS999" s="97"/>
      <c r="AT999" s="97">
        <f t="shared" si="8521"/>
        <v>0</v>
      </c>
      <c r="AU999" s="97"/>
      <c r="AV999" s="97">
        <f t="shared" si="8522"/>
        <v>0</v>
      </c>
      <c r="AW999" s="97"/>
      <c r="AX999" s="97">
        <f t="shared" si="8523"/>
        <v>0</v>
      </c>
      <c r="AY999" s="97">
        <f t="shared" ref="AY999" si="8684">SUM(AS999+AU999+AW999)</f>
        <v>0</v>
      </c>
      <c r="AZ999" s="97">
        <f t="shared" ref="AZ999" si="8685">SUM(AT999+AV999+AX999)</f>
        <v>0</v>
      </c>
      <c r="BA999" s="97">
        <f t="shared" ref="BA999" si="8686">SUM(AQ999+AY999)</f>
        <v>0</v>
      </c>
      <c r="BB999" s="97">
        <f t="shared" ref="BB999" si="8687">SUM(AR999,AZ999)</f>
        <v>0</v>
      </c>
    </row>
    <row r="1000" spans="1:54">
      <c r="A1000" s="498">
        <v>711</v>
      </c>
      <c r="B1000" s="13"/>
      <c r="C1000" s="302"/>
      <c r="D1000" s="13" t="s">
        <v>506</v>
      </c>
      <c r="E1000" s="21" t="s">
        <v>652</v>
      </c>
      <c r="F1000" s="46" t="s">
        <v>391</v>
      </c>
      <c r="G1000" s="46" t="s">
        <v>1105</v>
      </c>
      <c r="H1000" s="268" t="s">
        <v>441</v>
      </c>
      <c r="I1000" s="55">
        <v>9.6199999999999992</v>
      </c>
      <c r="J1000" s="163"/>
      <c r="K1000" s="55">
        <v>9.6199999999999992</v>
      </c>
      <c r="L1000" s="163"/>
      <c r="M1000" s="55">
        <v>9.6199999999999992</v>
      </c>
      <c r="N1000" s="163"/>
      <c r="O1000" s="55">
        <v>9.6199999999999992</v>
      </c>
      <c r="P1000" s="163"/>
      <c r="Q1000" s="97">
        <f t="shared" si="7455"/>
        <v>0</v>
      </c>
      <c r="R1000" s="342">
        <f t="shared" si="7455"/>
        <v>0</v>
      </c>
      <c r="S1000" s="97"/>
      <c r="T1000" s="97">
        <f t="shared" si="7456"/>
        <v>0</v>
      </c>
      <c r="U1000" s="97"/>
      <c r="V1000" s="97">
        <f t="shared" si="7457"/>
        <v>0</v>
      </c>
      <c r="W1000" s="97"/>
      <c r="X1000" s="97">
        <f t="shared" si="7458"/>
        <v>0</v>
      </c>
      <c r="Y1000" s="97">
        <f t="shared" ref="Y1000:Y1001" si="8688">SUM(S1000+U1000+W1000)</f>
        <v>0</v>
      </c>
      <c r="Z1000" s="97">
        <f t="shared" si="8510"/>
        <v>0</v>
      </c>
      <c r="AA1000" s="97"/>
      <c r="AB1000" s="97">
        <f t="shared" si="8539"/>
        <v>0</v>
      </c>
      <c r="AC1000" s="97"/>
      <c r="AD1000" s="97">
        <f t="shared" si="7501"/>
        <v>0</v>
      </c>
      <c r="AE1000" s="97"/>
      <c r="AF1000" s="97">
        <f t="shared" si="8009"/>
        <v>0</v>
      </c>
      <c r="AG1000" s="97">
        <f t="shared" si="8513"/>
        <v>0</v>
      </c>
      <c r="AH1000" s="97">
        <f t="shared" si="8514"/>
        <v>0</v>
      </c>
      <c r="AI1000" s="97">
        <f t="shared" si="8515"/>
        <v>0</v>
      </c>
      <c r="AJ1000" s="97">
        <f t="shared" si="8516"/>
        <v>0</v>
      </c>
      <c r="AK1000" s="97"/>
      <c r="AL1000" s="97">
        <f t="shared" si="8517"/>
        <v>0</v>
      </c>
      <c r="AM1000" s="97"/>
      <c r="AN1000" s="97">
        <f t="shared" si="8518"/>
        <v>0</v>
      </c>
      <c r="AO1000" s="97"/>
      <c r="AP1000" s="97">
        <f t="shared" ref="AP1000:AP1001" si="8689">M1000*AO1000*$AP$2/1000</f>
        <v>0</v>
      </c>
      <c r="AQ1000" s="97">
        <f t="shared" si="8519"/>
        <v>0</v>
      </c>
      <c r="AR1000" s="97">
        <f t="shared" si="8520"/>
        <v>0</v>
      </c>
      <c r="AS1000" s="97"/>
      <c r="AT1000" s="97">
        <f t="shared" si="8521"/>
        <v>0</v>
      </c>
      <c r="AU1000" s="97"/>
      <c r="AV1000" s="97">
        <f t="shared" si="8522"/>
        <v>0</v>
      </c>
      <c r="AW1000" s="97"/>
      <c r="AX1000" s="97">
        <f t="shared" si="8523"/>
        <v>0</v>
      </c>
      <c r="AY1000" s="97">
        <f t="shared" ref="AY1000" si="8690">SUM(AS1000+AU1000+AW1000)</f>
        <v>0</v>
      </c>
      <c r="AZ1000" s="97">
        <f t="shared" ref="AZ1000" si="8691">SUM(AT1000+AV1000+AX1000)</f>
        <v>0</v>
      </c>
      <c r="BA1000" s="97">
        <f t="shared" ref="BA1000" si="8692">SUM(AQ1000+AY1000)</f>
        <v>0</v>
      </c>
      <c r="BB1000" s="97">
        <f t="shared" ref="BB1000" si="8693">SUM(AR1000,AZ1000)</f>
        <v>0</v>
      </c>
    </row>
    <row r="1001" spans="1:54">
      <c r="A1001" s="498">
        <v>712</v>
      </c>
      <c r="B1001" s="13"/>
      <c r="C1001" s="302"/>
      <c r="D1001" s="13" t="s">
        <v>507</v>
      </c>
      <c r="E1001" s="21" t="s">
        <v>392</v>
      </c>
      <c r="F1001" s="46" t="s">
        <v>391</v>
      </c>
      <c r="G1001" s="46" t="s">
        <v>1105</v>
      </c>
      <c r="H1001" s="268" t="s">
        <v>441</v>
      </c>
      <c r="I1001" s="55">
        <v>9.6199999999999992</v>
      </c>
      <c r="J1001" s="163"/>
      <c r="K1001" s="55">
        <v>9.6199999999999992</v>
      </c>
      <c r="L1001" s="163"/>
      <c r="M1001" s="55">
        <v>9.6199999999999992</v>
      </c>
      <c r="N1001" s="163"/>
      <c r="O1001" s="55">
        <v>9.6199999999999992</v>
      </c>
      <c r="P1001" s="163"/>
      <c r="Q1001" s="97">
        <f t="shared" si="7455"/>
        <v>0</v>
      </c>
      <c r="R1001" s="342">
        <f t="shared" si="7455"/>
        <v>0</v>
      </c>
      <c r="S1001" s="97"/>
      <c r="T1001" s="97">
        <f t="shared" si="7456"/>
        <v>0</v>
      </c>
      <c r="U1001" s="97"/>
      <c r="V1001" s="97">
        <f t="shared" si="7457"/>
        <v>0</v>
      </c>
      <c r="W1001" s="97"/>
      <c r="X1001" s="97">
        <f t="shared" si="7458"/>
        <v>0</v>
      </c>
      <c r="Y1001" s="97">
        <f t="shared" si="8688"/>
        <v>0</v>
      </c>
      <c r="Z1001" s="97">
        <f t="shared" si="8510"/>
        <v>0</v>
      </c>
      <c r="AA1001" s="97"/>
      <c r="AB1001" s="97">
        <f t="shared" si="8539"/>
        <v>0</v>
      </c>
      <c r="AC1001" s="97"/>
      <c r="AD1001" s="97">
        <f t="shared" si="7501"/>
        <v>0</v>
      </c>
      <c r="AE1001" s="97"/>
      <c r="AF1001" s="97">
        <f t="shared" si="8009"/>
        <v>0</v>
      </c>
      <c r="AG1001" s="97">
        <f t="shared" si="8513"/>
        <v>0</v>
      </c>
      <c r="AH1001" s="97">
        <f t="shared" si="8514"/>
        <v>0</v>
      </c>
      <c r="AI1001" s="97">
        <f t="shared" si="8515"/>
        <v>0</v>
      </c>
      <c r="AJ1001" s="97">
        <f t="shared" si="8516"/>
        <v>0</v>
      </c>
      <c r="AK1001" s="97"/>
      <c r="AL1001" s="97">
        <f t="shared" si="8517"/>
        <v>0</v>
      </c>
      <c r="AM1001" s="97"/>
      <c r="AN1001" s="97">
        <f t="shared" si="8518"/>
        <v>0</v>
      </c>
      <c r="AO1001" s="97"/>
      <c r="AP1001" s="97">
        <f t="shared" si="8689"/>
        <v>0</v>
      </c>
      <c r="AQ1001" s="97">
        <f t="shared" si="8519"/>
        <v>0</v>
      </c>
      <c r="AR1001" s="97">
        <f t="shared" si="8520"/>
        <v>0</v>
      </c>
      <c r="AS1001" s="97"/>
      <c r="AT1001" s="97">
        <f t="shared" si="8521"/>
        <v>0</v>
      </c>
      <c r="AU1001" s="97"/>
      <c r="AV1001" s="97">
        <f t="shared" si="8522"/>
        <v>0</v>
      </c>
      <c r="AW1001" s="97"/>
      <c r="AX1001" s="97">
        <f t="shared" si="8523"/>
        <v>0</v>
      </c>
      <c r="AY1001" s="97">
        <f>SUM(AS1001+AU1001+AW1001)</f>
        <v>0</v>
      </c>
      <c r="AZ1001" s="97">
        <f t="shared" ref="AZ1001" si="8694">SUM(AT1001+AV1001+AX1001)</f>
        <v>0</v>
      </c>
      <c r="BA1001" s="97">
        <f t="shared" ref="BA1001" si="8695">SUM(AQ1001+AY1001)</f>
        <v>0</v>
      </c>
      <c r="BB1001" s="97">
        <f t="shared" ref="BB1001" si="8696">SUM(AR1001,AZ1001)</f>
        <v>0</v>
      </c>
    </row>
    <row r="1002" spans="1:54">
      <c r="A1002" s="498">
        <v>713</v>
      </c>
      <c r="B1002" s="13"/>
      <c r="C1002" s="302"/>
      <c r="D1002" s="13" t="s">
        <v>390</v>
      </c>
      <c r="E1002" s="21" t="s">
        <v>393</v>
      </c>
      <c r="F1002" s="46" t="s">
        <v>391</v>
      </c>
      <c r="G1002" s="46" t="s">
        <v>1105</v>
      </c>
      <c r="H1002" s="268" t="s">
        <v>441</v>
      </c>
      <c r="I1002" s="55">
        <v>9.6199999999999992</v>
      </c>
      <c r="J1002" s="163"/>
      <c r="K1002" s="55">
        <v>9.6199999999999992</v>
      </c>
      <c r="L1002" s="163"/>
      <c r="M1002" s="55">
        <v>9.6199999999999992</v>
      </c>
      <c r="N1002" s="163"/>
      <c r="O1002" s="55">
        <v>9.6199999999999992</v>
      </c>
      <c r="P1002" s="163"/>
      <c r="Q1002" s="97">
        <f t="shared" si="7455"/>
        <v>0</v>
      </c>
      <c r="R1002" s="342">
        <f>SUM(AJ1002+BB1002)</f>
        <v>0</v>
      </c>
      <c r="S1002" s="97"/>
      <c r="T1002" s="97">
        <f t="shared" si="7456"/>
        <v>0</v>
      </c>
      <c r="U1002" s="97"/>
      <c r="V1002" s="97">
        <f>I1002*U1002*$V$2/1000</f>
        <v>0</v>
      </c>
      <c r="W1002" s="97"/>
      <c r="X1002" s="97">
        <f t="shared" si="7458"/>
        <v>0</v>
      </c>
      <c r="Y1002" s="97">
        <f t="shared" si="7459"/>
        <v>0</v>
      </c>
      <c r="Z1002" s="97">
        <f t="shared" si="7460"/>
        <v>0</v>
      </c>
      <c r="AA1002" s="97"/>
      <c r="AB1002" s="97">
        <f t="shared" si="8539"/>
        <v>0</v>
      </c>
      <c r="AC1002" s="97"/>
      <c r="AD1002" s="97">
        <f t="shared" si="7501"/>
        <v>0</v>
      </c>
      <c r="AE1002" s="97"/>
      <c r="AF1002" s="97">
        <f t="shared" si="8009"/>
        <v>0</v>
      </c>
      <c r="AG1002" s="97">
        <f t="shared" si="7462"/>
        <v>0</v>
      </c>
      <c r="AH1002" s="97">
        <f>SUM(AB1002+AD1002+AF1002)</f>
        <v>0</v>
      </c>
      <c r="AI1002" s="97">
        <f t="shared" si="7464"/>
        <v>0</v>
      </c>
      <c r="AJ1002" s="97">
        <f t="shared" si="7465"/>
        <v>0</v>
      </c>
      <c r="AK1002" s="97"/>
      <c r="AL1002" s="97">
        <f>M1002*AK1002*$AL$2/1000</f>
        <v>0</v>
      </c>
      <c r="AM1002" s="97"/>
      <c r="AN1002" s="97">
        <f>M1002*AM1002*$AN$2/1000</f>
        <v>0</v>
      </c>
      <c r="AO1002" s="97"/>
      <c r="AP1002" s="97">
        <f>M1002*AO1002*$AP$2/1000</f>
        <v>0</v>
      </c>
      <c r="AQ1002" s="97">
        <f t="shared" si="7469"/>
        <v>0</v>
      </c>
      <c r="AR1002" s="97">
        <f t="shared" si="7470"/>
        <v>0</v>
      </c>
      <c r="AS1002" s="97"/>
      <c r="AT1002" s="97">
        <f t="shared" si="7471"/>
        <v>0</v>
      </c>
      <c r="AU1002" s="97"/>
      <c r="AV1002" s="97">
        <f t="shared" si="7472"/>
        <v>0</v>
      </c>
      <c r="AW1002" s="97"/>
      <c r="AX1002" s="97">
        <f t="shared" si="7473"/>
        <v>0</v>
      </c>
      <c r="AY1002" s="97">
        <f t="shared" si="7474"/>
        <v>0</v>
      </c>
      <c r="AZ1002" s="97">
        <f t="shared" si="7475"/>
        <v>0</v>
      </c>
      <c r="BA1002" s="97">
        <f t="shared" si="7476"/>
        <v>0</v>
      </c>
      <c r="BB1002" s="97">
        <f t="shared" si="7477"/>
        <v>0</v>
      </c>
    </row>
    <row r="1003" spans="1:54">
      <c r="A1003" s="498">
        <v>714</v>
      </c>
      <c r="B1003" s="13"/>
      <c r="C1003" s="302"/>
      <c r="D1003" s="13" t="s">
        <v>504</v>
      </c>
      <c r="E1003" s="21" t="s">
        <v>394</v>
      </c>
      <c r="F1003" s="46" t="s">
        <v>391</v>
      </c>
      <c r="G1003" s="46" t="s">
        <v>1105</v>
      </c>
      <c r="H1003" s="268" t="s">
        <v>441</v>
      </c>
      <c r="I1003" s="55">
        <v>9.6199999999999992</v>
      </c>
      <c r="J1003" s="163"/>
      <c r="K1003" s="55">
        <v>9.6199999999999992</v>
      </c>
      <c r="L1003" s="163"/>
      <c r="M1003" s="55">
        <v>9.6199999999999992</v>
      </c>
      <c r="N1003" s="163"/>
      <c r="O1003" s="55">
        <v>9.6199999999999992</v>
      </c>
      <c r="P1003" s="163"/>
      <c r="Q1003" s="97">
        <f t="shared" si="7455"/>
        <v>0</v>
      </c>
      <c r="R1003" s="342">
        <f t="shared" si="7455"/>
        <v>0</v>
      </c>
      <c r="S1003" s="97"/>
      <c r="T1003" s="97">
        <f t="shared" si="7456"/>
        <v>0</v>
      </c>
      <c r="U1003" s="97"/>
      <c r="V1003" s="97">
        <f t="shared" ref="V1003:V1125" si="8697">I1003*U1003*$V$2/1000</f>
        <v>0</v>
      </c>
      <c r="W1003" s="97"/>
      <c r="X1003" s="97">
        <f t="shared" si="7458"/>
        <v>0</v>
      </c>
      <c r="Y1003" s="97">
        <f t="shared" si="7459"/>
        <v>0</v>
      </c>
      <c r="Z1003" s="97">
        <f t="shared" si="7460"/>
        <v>0</v>
      </c>
      <c r="AA1003" s="97"/>
      <c r="AB1003" s="97">
        <f t="shared" si="8539"/>
        <v>0</v>
      </c>
      <c r="AC1003" s="97"/>
      <c r="AD1003" s="97">
        <f t="shared" si="7501"/>
        <v>0</v>
      </c>
      <c r="AE1003" s="97"/>
      <c r="AF1003" s="97">
        <f t="shared" si="8009"/>
        <v>0</v>
      </c>
      <c r="AG1003" s="97">
        <f t="shared" si="7462"/>
        <v>0</v>
      </c>
      <c r="AH1003" s="97">
        <f t="shared" ref="AH1003" si="8698">SUM(AB1003+AD1003+AF1003)</f>
        <v>0</v>
      </c>
      <c r="AI1003" s="97">
        <f t="shared" si="7464"/>
        <v>0</v>
      </c>
      <c r="AJ1003" s="97">
        <f t="shared" si="7465"/>
        <v>0</v>
      </c>
      <c r="AK1003" s="97"/>
      <c r="AL1003" s="97">
        <f t="shared" ref="AL1003:AL1020" si="8699">M1003*AK1003*$AL$2/1000</f>
        <v>0</v>
      </c>
      <c r="AM1003" s="97"/>
      <c r="AN1003" s="97">
        <f t="shared" ref="AN1003:AN1020" si="8700">M1003*AM1003*$AN$2/1000</f>
        <v>0</v>
      </c>
      <c r="AO1003" s="97"/>
      <c r="AP1003" s="97">
        <f t="shared" ref="AP1003:AP1119" si="8701">M1003*AO1003*$AP$2/1000</f>
        <v>0</v>
      </c>
      <c r="AQ1003" s="97">
        <f t="shared" si="7469"/>
        <v>0</v>
      </c>
      <c r="AR1003" s="97">
        <f t="shared" si="7470"/>
        <v>0</v>
      </c>
      <c r="AS1003" s="97"/>
      <c r="AT1003" s="97">
        <f t="shared" si="7471"/>
        <v>0</v>
      </c>
      <c r="AU1003" s="97"/>
      <c r="AV1003" s="97">
        <f t="shared" si="7472"/>
        <v>0</v>
      </c>
      <c r="AW1003" s="97"/>
      <c r="AX1003" s="97">
        <f t="shared" si="7473"/>
        <v>0</v>
      </c>
      <c r="AY1003" s="97">
        <f t="shared" ref="AY1003:AY1020" si="8702">SUM(AS1003+AU1003+AW1003)</f>
        <v>0</v>
      </c>
      <c r="AZ1003" s="97">
        <f t="shared" ref="AZ1003:AZ1020" si="8703">SUM(AT1003+AV1003+AX1003)</f>
        <v>0</v>
      </c>
      <c r="BA1003" s="97">
        <f t="shared" ref="BA1003:BA1020" si="8704">SUM(AQ1003+AY1003)</f>
        <v>0</v>
      </c>
      <c r="BB1003" s="97">
        <f t="shared" ref="BB1003:BB1020" si="8705">SUM(AR1003,AZ1003)</f>
        <v>0</v>
      </c>
    </row>
    <row r="1004" spans="1:54">
      <c r="A1004" s="498">
        <v>715</v>
      </c>
      <c r="B1004" s="13"/>
      <c r="C1004" s="302"/>
      <c r="D1004" s="14" t="s">
        <v>507</v>
      </c>
      <c r="E1004" s="21" t="s">
        <v>653</v>
      </c>
      <c r="F1004" s="46" t="s">
        <v>391</v>
      </c>
      <c r="G1004" s="46" t="s">
        <v>1105</v>
      </c>
      <c r="H1004" s="268" t="s">
        <v>441</v>
      </c>
      <c r="I1004" s="55">
        <v>9.6199999999999992</v>
      </c>
      <c r="J1004" s="163"/>
      <c r="K1004" s="55">
        <v>9.6199999999999992</v>
      </c>
      <c r="L1004" s="163"/>
      <c r="M1004" s="55">
        <v>9.6199999999999992</v>
      </c>
      <c r="N1004" s="163"/>
      <c r="O1004" s="55">
        <v>9.6199999999999992</v>
      </c>
      <c r="P1004" s="163"/>
      <c r="Q1004" s="97">
        <f t="shared" ref="Q1004:Q1005" si="8706">SUM(AI1004+BA1004)</f>
        <v>0</v>
      </c>
      <c r="R1004" s="342">
        <f t="shared" ref="R1004:R1005" si="8707">SUM(AJ1004+BB1004)</f>
        <v>0</v>
      </c>
      <c r="S1004" s="97"/>
      <c r="T1004" s="97">
        <f t="shared" ref="T1004:T1005" si="8708">I1004*S1004*$T$2/1000</f>
        <v>0</v>
      </c>
      <c r="U1004" s="97"/>
      <c r="V1004" s="97">
        <f t="shared" ref="V1004:V1005" si="8709">I1004*U1004*$V$2/1000</f>
        <v>0</v>
      </c>
      <c r="W1004" s="97"/>
      <c r="X1004" s="97">
        <f t="shared" ref="X1004:X1005" si="8710">I1004*W1004*$X$2/1000</f>
        <v>0</v>
      </c>
      <c r="Y1004" s="97">
        <f t="shared" ref="Y1004:Y1005" si="8711">SUM(S1004+U1004+W1004)</f>
        <v>0</v>
      </c>
      <c r="Z1004" s="97">
        <f t="shared" ref="Z1004:Z1005" si="8712">SUM(T1004+V1004+X1004)</f>
        <v>0</v>
      </c>
      <c r="AA1004" s="97"/>
      <c r="AB1004" s="97">
        <f t="shared" si="8539"/>
        <v>0</v>
      </c>
      <c r="AC1004" s="97"/>
      <c r="AD1004" s="97">
        <f t="shared" ref="AD1004:AD1005" si="8713">K1004*AC1004*$AD$2/1000</f>
        <v>0</v>
      </c>
      <c r="AE1004" s="97"/>
      <c r="AF1004" s="97">
        <f t="shared" ref="AF1004:AF1005" si="8714">K1004*AE1004*$AF$2/1000</f>
        <v>0</v>
      </c>
      <c r="AG1004" s="97">
        <f t="shared" ref="AG1004:AG1005" si="8715">SUM(AA1004+AC1004+AE1004)</f>
        <v>0</v>
      </c>
      <c r="AH1004" s="97">
        <f t="shared" ref="AH1004:AH1005" si="8716">SUM(AB1004+AD1004+AF1004)</f>
        <v>0</v>
      </c>
      <c r="AI1004" s="97">
        <f t="shared" ref="AI1004:AI1005" si="8717">SUM(Y1004+AG1004)</f>
        <v>0</v>
      </c>
      <c r="AJ1004" s="97">
        <f t="shared" ref="AJ1004:AJ1005" si="8718">SUM(Z1004,AH1004)</f>
        <v>0</v>
      </c>
      <c r="AK1004" s="97"/>
      <c r="AL1004" s="97">
        <f t="shared" ref="AL1004:AL1005" si="8719">M1004*AK1004*$AL$2/1000</f>
        <v>0</v>
      </c>
      <c r="AM1004" s="97"/>
      <c r="AN1004" s="97">
        <f t="shared" ref="AN1004" si="8720">M1004*AM1004*$AN$2/1000</f>
        <v>0</v>
      </c>
      <c r="AO1004" s="97"/>
      <c r="AP1004" s="97">
        <f t="shared" ref="AP1004:AP1005" si="8721">M1004*AO1004*$AP$2/1000</f>
        <v>0</v>
      </c>
      <c r="AQ1004" s="97">
        <f t="shared" ref="AQ1004:AQ1005" si="8722">SUM(AK1004+AM1004+AO1004)</f>
        <v>0</v>
      </c>
      <c r="AR1004" s="97">
        <f t="shared" ref="AR1004:AR1005" si="8723">SUM(AL1004+AN1004+AP1004)</f>
        <v>0</v>
      </c>
      <c r="AS1004" s="97"/>
      <c r="AT1004" s="97">
        <f t="shared" ref="AT1004:AT1005" si="8724">O1004*AS1004*$AT$2/1000</f>
        <v>0</v>
      </c>
      <c r="AU1004" s="97"/>
      <c r="AV1004" s="97">
        <f t="shared" ref="AV1004:AV1005" si="8725">O1004*AU1004*$AV$2/1000</f>
        <v>0</v>
      </c>
      <c r="AW1004" s="97"/>
      <c r="AX1004" s="97">
        <f t="shared" ref="AX1004:AX1005" si="8726">O1004*AW1004*$AX$2/1000</f>
        <v>0</v>
      </c>
      <c r="AY1004" s="97">
        <f t="shared" ref="AY1004:AY1005" si="8727">SUM(AS1004+AU1004+AW1004)</f>
        <v>0</v>
      </c>
      <c r="AZ1004" s="97">
        <f t="shared" ref="AZ1004:AZ1005" si="8728">SUM(AT1004+AV1004+AX1004)</f>
        <v>0</v>
      </c>
      <c r="BA1004" s="97">
        <f t="shared" ref="BA1004:BA1005" si="8729">SUM(AQ1004+AY1004)</f>
        <v>0</v>
      </c>
      <c r="BB1004" s="97">
        <f t="shared" ref="BB1004:BB1005" si="8730">SUM(AR1004,AZ1004)</f>
        <v>0</v>
      </c>
    </row>
    <row r="1005" spans="1:54">
      <c r="A1005" s="498">
        <v>716</v>
      </c>
      <c r="B1005" s="13"/>
      <c r="C1005" s="302"/>
      <c r="D1005" s="14" t="s">
        <v>386</v>
      </c>
      <c r="E1005" s="21" t="s">
        <v>654</v>
      </c>
      <c r="F1005" s="46" t="s">
        <v>383</v>
      </c>
      <c r="G1005" s="46" t="s">
        <v>1105</v>
      </c>
      <c r="H1005" s="268" t="s">
        <v>366</v>
      </c>
      <c r="I1005" s="55">
        <v>9.6199999999999992</v>
      </c>
      <c r="J1005" s="163"/>
      <c r="K1005" s="55">
        <v>9.6199999999999992</v>
      </c>
      <c r="L1005" s="163"/>
      <c r="M1005" s="55">
        <v>9.6199999999999992</v>
      </c>
      <c r="N1005" s="163"/>
      <c r="O1005" s="55">
        <v>9.6199999999999992</v>
      </c>
      <c r="P1005" s="163"/>
      <c r="Q1005" s="97">
        <f t="shared" si="8706"/>
        <v>0</v>
      </c>
      <c r="R1005" s="342">
        <f t="shared" si="8707"/>
        <v>0</v>
      </c>
      <c r="S1005" s="97"/>
      <c r="T1005" s="97">
        <f t="shared" si="8708"/>
        <v>0</v>
      </c>
      <c r="U1005" s="97"/>
      <c r="V1005" s="97">
        <f t="shared" si="8709"/>
        <v>0</v>
      </c>
      <c r="W1005" s="97"/>
      <c r="X1005" s="97">
        <f t="shared" si="8710"/>
        <v>0</v>
      </c>
      <c r="Y1005" s="97">
        <f t="shared" si="8711"/>
        <v>0</v>
      </c>
      <c r="Z1005" s="97">
        <f t="shared" si="8712"/>
        <v>0</v>
      </c>
      <c r="AA1005" s="97"/>
      <c r="AB1005" s="97">
        <f t="shared" ref="AB1005" si="8731">K1005*AA1005*$AB$2/1000</f>
        <v>0</v>
      </c>
      <c r="AC1005" s="97"/>
      <c r="AD1005" s="97">
        <f t="shared" si="8713"/>
        <v>0</v>
      </c>
      <c r="AE1005" s="97"/>
      <c r="AF1005" s="97">
        <f t="shared" si="8714"/>
        <v>0</v>
      </c>
      <c r="AG1005" s="97">
        <f t="shared" si="8715"/>
        <v>0</v>
      </c>
      <c r="AH1005" s="97">
        <f t="shared" si="8716"/>
        <v>0</v>
      </c>
      <c r="AI1005" s="97">
        <f t="shared" si="8717"/>
        <v>0</v>
      </c>
      <c r="AJ1005" s="97">
        <f t="shared" si="8718"/>
        <v>0</v>
      </c>
      <c r="AK1005" s="97"/>
      <c r="AL1005" s="97">
        <f t="shared" si="8719"/>
        <v>0</v>
      </c>
      <c r="AM1005" s="97"/>
      <c r="AN1005" s="97">
        <f>M1005*AM1005*$AN$2/1000</f>
        <v>0</v>
      </c>
      <c r="AO1005" s="97"/>
      <c r="AP1005" s="97">
        <f t="shared" si="8721"/>
        <v>0</v>
      </c>
      <c r="AQ1005" s="97">
        <f t="shared" si="8722"/>
        <v>0</v>
      </c>
      <c r="AR1005" s="97">
        <f t="shared" si="8723"/>
        <v>0</v>
      </c>
      <c r="AS1005" s="97"/>
      <c r="AT1005" s="97">
        <f t="shared" si="8724"/>
        <v>0</v>
      </c>
      <c r="AU1005" s="97"/>
      <c r="AV1005" s="97">
        <f t="shared" si="8725"/>
        <v>0</v>
      </c>
      <c r="AW1005" s="97"/>
      <c r="AX1005" s="97">
        <f t="shared" si="8726"/>
        <v>0</v>
      </c>
      <c r="AY1005" s="97">
        <f t="shared" si="8727"/>
        <v>0</v>
      </c>
      <c r="AZ1005" s="97">
        <f t="shared" si="8728"/>
        <v>0</v>
      </c>
      <c r="BA1005" s="97">
        <f t="shared" si="8729"/>
        <v>0</v>
      </c>
      <c r="BB1005" s="97">
        <f t="shared" si="8730"/>
        <v>0</v>
      </c>
    </row>
    <row r="1006" spans="1:54">
      <c r="A1006" s="498">
        <v>717</v>
      </c>
      <c r="B1006" s="13"/>
      <c r="C1006" s="302"/>
      <c r="D1006" s="14" t="s">
        <v>584</v>
      </c>
      <c r="E1006" s="21" t="s">
        <v>953</v>
      </c>
      <c r="F1006" s="46" t="s">
        <v>383</v>
      </c>
      <c r="G1006" s="46" t="s">
        <v>1105</v>
      </c>
      <c r="H1006" s="268" t="s">
        <v>441</v>
      </c>
      <c r="I1006" s="55">
        <v>8.9499999999999993</v>
      </c>
      <c r="J1006" s="163"/>
      <c r="K1006" s="55">
        <v>8.9499999999999993</v>
      </c>
      <c r="L1006" s="163"/>
      <c r="M1006" s="55">
        <v>8.9499999999999993</v>
      </c>
      <c r="N1006" s="163"/>
      <c r="O1006" s="55">
        <v>8.9499999999999993</v>
      </c>
      <c r="P1006" s="163"/>
      <c r="Q1006" s="97">
        <f t="shared" ref="Q1006:Q1007" si="8732">SUM(AI1006+BA1006)</f>
        <v>0</v>
      </c>
      <c r="R1006" s="342">
        <f t="shared" ref="R1006:R1007" si="8733">SUM(AJ1006+BB1006)</f>
        <v>0</v>
      </c>
      <c r="S1006" s="97"/>
      <c r="T1006" s="97">
        <f t="shared" ref="T1006:T1007" si="8734">I1006*S1006*$T$2/1000</f>
        <v>0</v>
      </c>
      <c r="U1006" s="97"/>
      <c r="V1006" s="97">
        <f t="shared" ref="V1006:V1007" si="8735">I1006*U1006*$V$2/1000</f>
        <v>0</v>
      </c>
      <c r="W1006" s="97"/>
      <c r="X1006" s="97">
        <f t="shared" ref="X1006:X1007" si="8736">I1006*W1006*$X$2/1000</f>
        <v>0</v>
      </c>
      <c r="Y1006" s="97">
        <f t="shared" ref="Y1006:Y1007" si="8737">SUM(S1006+U1006+W1006)</f>
        <v>0</v>
      </c>
      <c r="Z1006" s="97">
        <f t="shared" ref="Z1006:Z1007" si="8738">SUM(T1006+V1006+X1006)</f>
        <v>0</v>
      </c>
      <c r="AA1006" s="97"/>
      <c r="AB1006" s="97">
        <f t="shared" si="8539"/>
        <v>0</v>
      </c>
      <c r="AC1006" s="97"/>
      <c r="AD1006" s="97">
        <f t="shared" ref="AD1006:AD1007" si="8739">K1006*AC1006*$AD$2/1000</f>
        <v>0</v>
      </c>
      <c r="AE1006" s="97"/>
      <c r="AF1006" s="97">
        <f t="shared" ref="AF1006" si="8740">K1006*AE1006*$AF$2/1000</f>
        <v>0</v>
      </c>
      <c r="AG1006" s="97">
        <f t="shared" ref="AG1006:AG1007" si="8741">SUM(AA1006+AC1006+AE1006)</f>
        <v>0</v>
      </c>
      <c r="AH1006" s="97">
        <f t="shared" ref="AH1006:AH1007" si="8742">SUM(AB1006+AD1006+AF1006)</f>
        <v>0</v>
      </c>
      <c r="AI1006" s="97">
        <f t="shared" ref="AI1006:AI1007" si="8743">SUM(Y1006+AG1006)</f>
        <v>0</v>
      </c>
      <c r="AJ1006" s="97">
        <f t="shared" ref="AJ1006:AJ1007" si="8744">SUM(Z1006,AH1006)</f>
        <v>0</v>
      </c>
      <c r="AK1006" s="97"/>
      <c r="AL1006" s="97">
        <f t="shared" ref="AL1006:AL1007" si="8745">M1006*AK1006*$AL$2/1000</f>
        <v>0</v>
      </c>
      <c r="AM1006" s="97"/>
      <c r="AN1006" s="97">
        <f>M1006*AM1006*$AN$2/1000</f>
        <v>0</v>
      </c>
      <c r="AO1006" s="97"/>
      <c r="AP1006" s="97">
        <f t="shared" ref="AP1006:AP1007" si="8746">M1006*AO1006*$AP$2/1000</f>
        <v>0</v>
      </c>
      <c r="AQ1006" s="97">
        <f t="shared" ref="AQ1006:AQ1007" si="8747">SUM(AK1006+AM1006+AO1006)</f>
        <v>0</v>
      </c>
      <c r="AR1006" s="97">
        <f t="shared" ref="AR1006:AR1007" si="8748">SUM(AL1006+AN1006+AP1006)</f>
        <v>0</v>
      </c>
      <c r="AS1006" s="97"/>
      <c r="AT1006" s="97">
        <f t="shared" ref="AT1006:AT1007" si="8749">O1006*AS1006*$AT$2/1000</f>
        <v>0</v>
      </c>
      <c r="AU1006" s="97"/>
      <c r="AV1006" s="97">
        <f t="shared" ref="AV1006:AV1007" si="8750">O1006*AU1006*$AV$2/1000</f>
        <v>0</v>
      </c>
      <c r="AW1006" s="97"/>
      <c r="AX1006" s="97">
        <f t="shared" ref="AX1006:AX1007" si="8751">O1006*AW1006*$AX$2/1000</f>
        <v>0</v>
      </c>
      <c r="AY1006" s="97">
        <f t="shared" ref="AY1006:AY1007" si="8752">SUM(AS1006+AU1006+AW1006)</f>
        <v>0</v>
      </c>
      <c r="AZ1006" s="97">
        <f t="shared" ref="AZ1006:AZ1007" si="8753">SUM(AT1006+AV1006+AX1006)</f>
        <v>0</v>
      </c>
      <c r="BA1006" s="97">
        <f t="shared" ref="BA1006:BA1007" si="8754">SUM(AQ1006+AY1006)</f>
        <v>0</v>
      </c>
      <c r="BB1006" s="97">
        <f t="shared" ref="BB1006:BB1007" si="8755">SUM(AR1006,AZ1006)</f>
        <v>0</v>
      </c>
    </row>
    <row r="1007" spans="1:54" s="6" customFormat="1">
      <c r="A1007" s="498">
        <v>718</v>
      </c>
      <c r="B1007" s="14"/>
      <c r="C1007" s="302"/>
      <c r="D1007" s="14" t="s">
        <v>507</v>
      </c>
      <c r="E1007" s="16" t="s">
        <v>578</v>
      </c>
      <c r="F1007" s="45" t="s">
        <v>382</v>
      </c>
      <c r="G1007" s="45" t="s">
        <v>1105</v>
      </c>
      <c r="H1007" s="267" t="s">
        <v>366</v>
      </c>
      <c r="I1007" s="234">
        <v>9.6199999999999992</v>
      </c>
      <c r="J1007" s="241"/>
      <c r="K1007" s="234">
        <v>9.6199999999999992</v>
      </c>
      <c r="L1007" s="241"/>
      <c r="M1007" s="234">
        <v>9.6199999999999992</v>
      </c>
      <c r="N1007" s="241"/>
      <c r="O1007" s="234">
        <v>9.6199999999999992</v>
      </c>
      <c r="P1007" s="241"/>
      <c r="Q1007" s="96">
        <f t="shared" si="8732"/>
        <v>0</v>
      </c>
      <c r="R1007" s="340">
        <f t="shared" si="8733"/>
        <v>0</v>
      </c>
      <c r="S1007" s="96"/>
      <c r="T1007" s="96">
        <f t="shared" si="8734"/>
        <v>0</v>
      </c>
      <c r="U1007" s="96"/>
      <c r="V1007" s="96">
        <f t="shared" si="8735"/>
        <v>0</v>
      </c>
      <c r="W1007" s="96"/>
      <c r="X1007" s="96">
        <f t="shared" si="8736"/>
        <v>0</v>
      </c>
      <c r="Y1007" s="96">
        <f t="shared" si="8737"/>
        <v>0</v>
      </c>
      <c r="Z1007" s="96">
        <f t="shared" si="8738"/>
        <v>0</v>
      </c>
      <c r="AA1007" s="96"/>
      <c r="AB1007" s="96">
        <f t="shared" si="8539"/>
        <v>0</v>
      </c>
      <c r="AC1007" s="96"/>
      <c r="AD1007" s="96">
        <f t="shared" si="8739"/>
        <v>0</v>
      </c>
      <c r="AE1007" s="96"/>
      <c r="AF1007" s="97">
        <f>K1007*AE1007*$AF$2/1000</f>
        <v>0</v>
      </c>
      <c r="AG1007" s="96">
        <f t="shared" si="8741"/>
        <v>0</v>
      </c>
      <c r="AH1007" s="96">
        <f t="shared" si="8742"/>
        <v>0</v>
      </c>
      <c r="AI1007" s="96">
        <f t="shared" si="8743"/>
        <v>0</v>
      </c>
      <c r="AJ1007" s="96">
        <f t="shared" si="8744"/>
        <v>0</v>
      </c>
      <c r="AK1007" s="96"/>
      <c r="AL1007" s="96">
        <f t="shared" si="8745"/>
        <v>0</v>
      </c>
      <c r="AM1007" s="96"/>
      <c r="AN1007" s="96">
        <f t="shared" ref="AN1007" si="8756">M1007*AM1007*$AN$2/1000</f>
        <v>0</v>
      </c>
      <c r="AO1007" s="96"/>
      <c r="AP1007" s="96">
        <f t="shared" si="8746"/>
        <v>0</v>
      </c>
      <c r="AQ1007" s="96">
        <f t="shared" si="8747"/>
        <v>0</v>
      </c>
      <c r="AR1007" s="96">
        <f t="shared" si="8748"/>
        <v>0</v>
      </c>
      <c r="AS1007" s="96"/>
      <c r="AT1007" s="96">
        <f t="shared" si="8749"/>
        <v>0</v>
      </c>
      <c r="AU1007" s="96"/>
      <c r="AV1007" s="96">
        <f t="shared" si="8750"/>
        <v>0</v>
      </c>
      <c r="AW1007" s="96"/>
      <c r="AX1007" s="96">
        <f t="shared" si="8751"/>
        <v>0</v>
      </c>
      <c r="AY1007" s="96">
        <f t="shared" si="8752"/>
        <v>0</v>
      </c>
      <c r="AZ1007" s="96">
        <f t="shared" si="8753"/>
        <v>0</v>
      </c>
      <c r="BA1007" s="96">
        <f t="shared" si="8754"/>
        <v>0</v>
      </c>
      <c r="BB1007" s="96">
        <f t="shared" si="8755"/>
        <v>0</v>
      </c>
    </row>
    <row r="1008" spans="1:54" s="6" customFormat="1">
      <c r="A1008" s="498">
        <v>719</v>
      </c>
      <c r="B1008" s="14"/>
      <c r="C1008" s="302"/>
      <c r="D1008" s="14" t="s">
        <v>379</v>
      </c>
      <c r="E1008" s="16" t="s">
        <v>884</v>
      </c>
      <c r="F1008" s="45" t="s">
        <v>382</v>
      </c>
      <c r="G1008" s="45" t="s">
        <v>1105</v>
      </c>
      <c r="H1008" s="267" t="s">
        <v>366</v>
      </c>
      <c r="I1008" s="234">
        <v>8.9499999999999993</v>
      </c>
      <c r="J1008" s="241"/>
      <c r="K1008" s="234">
        <v>8.9499999999999993</v>
      </c>
      <c r="L1008" s="241"/>
      <c r="M1008" s="234">
        <v>8.9499999999999993</v>
      </c>
      <c r="N1008" s="241"/>
      <c r="O1008" s="234">
        <v>8.9499999999999993</v>
      </c>
      <c r="P1008" s="241"/>
      <c r="Q1008" s="96">
        <f t="shared" ref="Q1008" si="8757">SUM(AI1008+BA1008)</f>
        <v>0</v>
      </c>
      <c r="R1008" s="340">
        <f t="shared" ref="R1008" si="8758">SUM(AJ1008+BB1008)</f>
        <v>0</v>
      </c>
      <c r="S1008" s="96"/>
      <c r="T1008" s="96">
        <f t="shared" ref="T1008" si="8759">I1008*S1008*$T$2/1000</f>
        <v>0</v>
      </c>
      <c r="U1008" s="96"/>
      <c r="V1008" s="96">
        <f t="shared" ref="V1008" si="8760">I1008*U1008*$V$2/1000</f>
        <v>0</v>
      </c>
      <c r="W1008" s="96"/>
      <c r="X1008" s="96">
        <f t="shared" ref="X1008" si="8761">I1008*W1008*$X$2/1000</f>
        <v>0</v>
      </c>
      <c r="Y1008" s="96">
        <f t="shared" ref="Y1008" si="8762">SUM(S1008+U1008+W1008)</f>
        <v>0</v>
      </c>
      <c r="Z1008" s="96">
        <f t="shared" ref="Z1008" si="8763">SUM(T1008+V1008+X1008)</f>
        <v>0</v>
      </c>
      <c r="AA1008" s="96"/>
      <c r="AB1008" s="96">
        <f t="shared" si="8539"/>
        <v>0</v>
      </c>
      <c r="AC1008" s="96"/>
      <c r="AD1008" s="96">
        <f t="shared" ref="AD1008" si="8764">K1008*AC1008*$AD$2/1000</f>
        <v>0</v>
      </c>
      <c r="AE1008" s="96"/>
      <c r="AF1008" s="97">
        <f>K1008*AE1008*$AF$2/1000</f>
        <v>0</v>
      </c>
      <c r="AG1008" s="96">
        <f t="shared" ref="AG1008" si="8765">SUM(AA1008+AC1008+AE1008)</f>
        <v>0</v>
      </c>
      <c r="AH1008" s="96">
        <f t="shared" ref="AH1008" si="8766">SUM(AB1008+AD1008+AF1008)</f>
        <v>0</v>
      </c>
      <c r="AI1008" s="96">
        <f t="shared" ref="AI1008" si="8767">SUM(Y1008+AG1008)</f>
        <v>0</v>
      </c>
      <c r="AJ1008" s="96">
        <f t="shared" ref="AJ1008" si="8768">SUM(Z1008,AH1008)</f>
        <v>0</v>
      </c>
      <c r="AK1008" s="96"/>
      <c r="AL1008" s="96">
        <f t="shared" ref="AL1008" si="8769">M1008*AK1008*$AL$2/1000</f>
        <v>0</v>
      </c>
      <c r="AM1008" s="96"/>
      <c r="AN1008" s="96">
        <f t="shared" ref="AN1008" si="8770">M1008*AM1008*$AN$2/1000</f>
        <v>0</v>
      </c>
      <c r="AO1008" s="96"/>
      <c r="AP1008" s="96">
        <f t="shared" ref="AP1008" si="8771">M1008*AO1008*$AP$2/1000</f>
        <v>0</v>
      </c>
      <c r="AQ1008" s="96">
        <f t="shared" ref="AQ1008" si="8772">SUM(AK1008+AM1008+AO1008)</f>
        <v>0</v>
      </c>
      <c r="AR1008" s="96">
        <f t="shared" ref="AR1008" si="8773">SUM(AL1008+AN1008+AP1008)</f>
        <v>0</v>
      </c>
      <c r="AS1008" s="96"/>
      <c r="AT1008" s="96">
        <f t="shared" ref="AT1008" si="8774">O1008*AS1008*$AT$2/1000</f>
        <v>0</v>
      </c>
      <c r="AU1008" s="96"/>
      <c r="AV1008" s="96">
        <f t="shared" ref="AV1008" si="8775">O1008*AU1008*$AV$2/1000</f>
        <v>0</v>
      </c>
      <c r="AW1008" s="96"/>
      <c r="AX1008" s="96">
        <f t="shared" ref="AX1008" si="8776">O1008*AW1008*$AX$2/1000</f>
        <v>0</v>
      </c>
      <c r="AY1008" s="96">
        <f t="shared" ref="AY1008" si="8777">SUM(AS1008+AU1008+AW1008)</f>
        <v>0</v>
      </c>
      <c r="AZ1008" s="96">
        <f t="shared" ref="AZ1008" si="8778">SUM(AT1008+AV1008+AX1008)</f>
        <v>0</v>
      </c>
      <c r="BA1008" s="96">
        <f t="shared" ref="BA1008" si="8779">SUM(AQ1008+AY1008)</f>
        <v>0</v>
      </c>
      <c r="BB1008" s="96">
        <f t="shared" ref="BB1008" si="8780">SUM(AR1008,AZ1008)</f>
        <v>0</v>
      </c>
    </row>
    <row r="1009" spans="1:54" s="6" customFormat="1">
      <c r="A1009" s="498">
        <v>720</v>
      </c>
      <c r="B1009" s="14"/>
      <c r="C1009" s="302"/>
      <c r="D1009" s="14" t="s">
        <v>507</v>
      </c>
      <c r="E1009" s="16" t="s">
        <v>1324</v>
      </c>
      <c r="F1009" s="45" t="s">
        <v>382</v>
      </c>
      <c r="G1009" s="45" t="s">
        <v>1105</v>
      </c>
      <c r="H1009" s="267" t="s">
        <v>366</v>
      </c>
      <c r="I1009" s="234">
        <v>9.82</v>
      </c>
      <c r="J1009" s="241"/>
      <c r="K1009" s="234">
        <v>9.82</v>
      </c>
      <c r="L1009" s="241"/>
      <c r="M1009" s="234">
        <v>9.82</v>
      </c>
      <c r="N1009" s="241"/>
      <c r="O1009" s="234">
        <v>9.82</v>
      </c>
      <c r="P1009" s="241"/>
      <c r="Q1009" s="96">
        <f t="shared" ref="Q1009" si="8781">SUM(AI1009+BA1009)</f>
        <v>0</v>
      </c>
      <c r="R1009" s="340">
        <f t="shared" ref="R1009" si="8782">SUM(AJ1009+BB1009)</f>
        <v>0</v>
      </c>
      <c r="S1009" s="96"/>
      <c r="T1009" s="96">
        <f t="shared" ref="T1009" si="8783">I1009*S1009*$T$2/1000</f>
        <v>0</v>
      </c>
      <c r="U1009" s="96"/>
      <c r="V1009" s="96">
        <f t="shared" ref="V1009" si="8784">I1009*U1009*$V$2/1000</f>
        <v>0</v>
      </c>
      <c r="W1009" s="96"/>
      <c r="X1009" s="96">
        <f t="shared" ref="X1009" si="8785">I1009*W1009*$X$2/1000</f>
        <v>0</v>
      </c>
      <c r="Y1009" s="96">
        <f t="shared" ref="Y1009" si="8786">SUM(S1009+U1009+W1009)</f>
        <v>0</v>
      </c>
      <c r="Z1009" s="96">
        <f t="shared" ref="Z1009" si="8787">SUM(T1009+V1009+X1009)</f>
        <v>0</v>
      </c>
      <c r="AA1009" s="96"/>
      <c r="AB1009" s="96">
        <f t="shared" si="8539"/>
        <v>0</v>
      </c>
      <c r="AC1009" s="96"/>
      <c r="AD1009" s="96">
        <f t="shared" ref="AD1009" si="8788">K1009*AC1009*$AD$2/1000</f>
        <v>0</v>
      </c>
      <c r="AE1009" s="96"/>
      <c r="AF1009" s="97">
        <f>K1009*AE1009*$AF$2/1000</f>
        <v>0</v>
      </c>
      <c r="AG1009" s="96">
        <f t="shared" ref="AG1009" si="8789">SUM(AA1009+AC1009+AE1009)</f>
        <v>0</v>
      </c>
      <c r="AH1009" s="96">
        <f t="shared" ref="AH1009" si="8790">SUM(AB1009+AD1009+AF1009)</f>
        <v>0</v>
      </c>
      <c r="AI1009" s="96">
        <f t="shared" ref="AI1009" si="8791">SUM(Y1009+AG1009)</f>
        <v>0</v>
      </c>
      <c r="AJ1009" s="96">
        <f t="shared" ref="AJ1009" si="8792">SUM(Z1009,AH1009)</f>
        <v>0</v>
      </c>
      <c r="AK1009" s="96"/>
      <c r="AL1009" s="96">
        <f t="shared" ref="AL1009" si="8793">M1009*AK1009*$AL$2/1000</f>
        <v>0</v>
      </c>
      <c r="AM1009" s="96"/>
      <c r="AN1009" s="96">
        <f t="shared" ref="AN1009" si="8794">M1009*AM1009*$AN$2/1000</f>
        <v>0</v>
      </c>
      <c r="AO1009" s="96"/>
      <c r="AP1009" s="96">
        <f t="shared" si="8701"/>
        <v>0</v>
      </c>
      <c r="AQ1009" s="96">
        <f t="shared" ref="AQ1009" si="8795">SUM(AK1009+AM1009+AO1009)</f>
        <v>0</v>
      </c>
      <c r="AR1009" s="96">
        <f t="shared" ref="AR1009" si="8796">SUM(AL1009+AN1009+AP1009)</f>
        <v>0</v>
      </c>
      <c r="AS1009" s="96"/>
      <c r="AT1009" s="96">
        <f t="shared" ref="AT1009" si="8797">O1009*AS1009*$AT$2/1000</f>
        <v>0</v>
      </c>
      <c r="AU1009" s="96"/>
      <c r="AV1009" s="96">
        <f t="shared" ref="AV1009" si="8798">O1009*AU1009*$AV$2/1000</f>
        <v>0</v>
      </c>
      <c r="AW1009" s="96"/>
      <c r="AX1009" s="96">
        <f t="shared" ref="AX1009" si="8799">O1009*AW1009*$AX$2/1000</f>
        <v>0</v>
      </c>
      <c r="AY1009" s="96">
        <f t="shared" ref="AY1009" si="8800">SUM(AS1009+AU1009+AW1009)</f>
        <v>0</v>
      </c>
      <c r="AZ1009" s="96">
        <f t="shared" ref="AZ1009" si="8801">SUM(AT1009+AV1009+AX1009)</f>
        <v>0</v>
      </c>
      <c r="BA1009" s="96">
        <f t="shared" ref="BA1009" si="8802">SUM(AQ1009+AY1009)</f>
        <v>0</v>
      </c>
      <c r="BB1009" s="96">
        <f t="shared" ref="BB1009" si="8803">SUM(AR1009,AZ1009)</f>
        <v>0</v>
      </c>
    </row>
    <row r="1010" spans="1:54" s="6" customFormat="1">
      <c r="A1010" s="498">
        <v>721</v>
      </c>
      <c r="B1010" s="14"/>
      <c r="C1010" s="302"/>
      <c r="D1010" s="14" t="s">
        <v>373</v>
      </c>
      <c r="E1010" s="16" t="s">
        <v>473</v>
      </c>
      <c r="F1010" s="45" t="s">
        <v>382</v>
      </c>
      <c r="G1010" s="45" t="s">
        <v>1105</v>
      </c>
      <c r="H1010" s="267" t="s">
        <v>366</v>
      </c>
      <c r="I1010" s="234">
        <v>9.6199999999999992</v>
      </c>
      <c r="J1010" s="241"/>
      <c r="K1010" s="234">
        <v>9.6199999999999992</v>
      </c>
      <c r="L1010" s="241"/>
      <c r="M1010" s="234">
        <v>9.6199999999999992</v>
      </c>
      <c r="N1010" s="241"/>
      <c r="O1010" s="234">
        <v>9.6199999999999992</v>
      </c>
      <c r="P1010" s="241"/>
      <c r="Q1010" s="96">
        <f t="shared" ref="Q1010:Q1020" si="8804">SUM(AI1010+BA1010)</f>
        <v>0</v>
      </c>
      <c r="R1010" s="340">
        <f t="shared" ref="R1010:R1020" si="8805">SUM(AJ1010+BB1010)</f>
        <v>0</v>
      </c>
      <c r="S1010" s="96"/>
      <c r="T1010" s="96">
        <f t="shared" si="7456"/>
        <v>0</v>
      </c>
      <c r="U1010" s="96"/>
      <c r="V1010" s="96">
        <f t="shared" si="8697"/>
        <v>0</v>
      </c>
      <c r="W1010" s="96"/>
      <c r="X1010" s="96">
        <f t="shared" si="7458"/>
        <v>0</v>
      </c>
      <c r="Y1010" s="96">
        <f t="shared" si="7459"/>
        <v>0</v>
      </c>
      <c r="Z1010" s="96">
        <f t="shared" si="7460"/>
        <v>0</v>
      </c>
      <c r="AA1010" s="96"/>
      <c r="AB1010" s="96">
        <f t="shared" si="8539"/>
        <v>0</v>
      </c>
      <c r="AC1010" s="96"/>
      <c r="AD1010" s="96">
        <f t="shared" si="7501"/>
        <v>0</v>
      </c>
      <c r="AE1010" s="96"/>
      <c r="AF1010" s="97">
        <f t="shared" si="8009"/>
        <v>0</v>
      </c>
      <c r="AG1010" s="96">
        <f t="shared" si="7462"/>
        <v>0</v>
      </c>
      <c r="AH1010" s="96">
        <f t="shared" ref="AH1010:AH1020" si="8806">SUM(AB1010+AD1010+AF1010)</f>
        <v>0</v>
      </c>
      <c r="AI1010" s="96">
        <f t="shared" si="7464"/>
        <v>0</v>
      </c>
      <c r="AJ1010" s="96">
        <f t="shared" si="7465"/>
        <v>0</v>
      </c>
      <c r="AK1010" s="96"/>
      <c r="AL1010" s="96">
        <f t="shared" si="8699"/>
        <v>0</v>
      </c>
      <c r="AM1010" s="96"/>
      <c r="AN1010" s="96">
        <f t="shared" si="8700"/>
        <v>0</v>
      </c>
      <c r="AO1010" s="96"/>
      <c r="AP1010" s="96">
        <f>M1010*AO1010*$AP$2/1000</f>
        <v>0</v>
      </c>
      <c r="AQ1010" s="96">
        <f t="shared" si="7469"/>
        <v>0</v>
      </c>
      <c r="AR1010" s="96">
        <f t="shared" si="7470"/>
        <v>0</v>
      </c>
      <c r="AS1010" s="96"/>
      <c r="AT1010" s="96">
        <f t="shared" si="7471"/>
        <v>0</v>
      </c>
      <c r="AU1010" s="96"/>
      <c r="AV1010" s="96">
        <f t="shared" si="7472"/>
        <v>0</v>
      </c>
      <c r="AW1010" s="96"/>
      <c r="AX1010" s="96">
        <f t="shared" si="7473"/>
        <v>0</v>
      </c>
      <c r="AY1010" s="96">
        <f t="shared" si="8702"/>
        <v>0</v>
      </c>
      <c r="AZ1010" s="96">
        <f t="shared" si="8703"/>
        <v>0</v>
      </c>
      <c r="BA1010" s="96">
        <f t="shared" si="8704"/>
        <v>0</v>
      </c>
      <c r="BB1010" s="96">
        <f t="shared" si="8705"/>
        <v>0</v>
      </c>
    </row>
    <row r="1011" spans="1:54">
      <c r="A1011" s="498">
        <v>722</v>
      </c>
      <c r="B1011" s="13"/>
      <c r="C1011" s="302"/>
      <c r="D1011" s="14" t="s">
        <v>830</v>
      </c>
      <c r="E1011" s="21" t="s">
        <v>1196</v>
      </c>
      <c r="F1011" s="46" t="s">
        <v>391</v>
      </c>
      <c r="G1011" s="46" t="s">
        <v>1105</v>
      </c>
      <c r="H1011" s="268" t="s">
        <v>366</v>
      </c>
      <c r="I1011" s="55">
        <v>8.9499999999999993</v>
      </c>
      <c r="J1011" s="163"/>
      <c r="K1011" s="55">
        <v>8.9499999999999993</v>
      </c>
      <c r="L1011" s="163"/>
      <c r="M1011" s="55">
        <v>8.9499999999999993</v>
      </c>
      <c r="N1011" s="163"/>
      <c r="O1011" s="55">
        <v>8.9499999999999993</v>
      </c>
      <c r="P1011" s="163"/>
      <c r="Q1011" s="97">
        <f t="shared" si="8804"/>
        <v>0</v>
      </c>
      <c r="R1011" s="342">
        <f t="shared" si="8805"/>
        <v>0</v>
      </c>
      <c r="S1011" s="97"/>
      <c r="T1011" s="97">
        <f t="shared" si="7456"/>
        <v>0</v>
      </c>
      <c r="U1011" s="97"/>
      <c r="V1011" s="97">
        <f t="shared" si="8697"/>
        <v>0</v>
      </c>
      <c r="W1011" s="97"/>
      <c r="X1011" s="97">
        <f t="shared" si="7458"/>
        <v>0</v>
      </c>
      <c r="Y1011" s="97">
        <f t="shared" si="7459"/>
        <v>0</v>
      </c>
      <c r="Z1011" s="97">
        <f t="shared" si="7460"/>
        <v>0</v>
      </c>
      <c r="AA1011" s="97"/>
      <c r="AB1011" s="97">
        <f t="shared" si="8539"/>
        <v>0</v>
      </c>
      <c r="AC1011" s="97"/>
      <c r="AD1011" s="97">
        <f t="shared" si="7501"/>
        <v>0</v>
      </c>
      <c r="AE1011" s="97"/>
      <c r="AF1011" s="97">
        <f t="shared" si="8009"/>
        <v>0</v>
      </c>
      <c r="AG1011" s="97">
        <f t="shared" si="7462"/>
        <v>0</v>
      </c>
      <c r="AH1011" s="97">
        <f t="shared" si="8806"/>
        <v>0</v>
      </c>
      <c r="AI1011" s="97">
        <f t="shared" si="7464"/>
        <v>0</v>
      </c>
      <c r="AJ1011" s="97">
        <f t="shared" si="7465"/>
        <v>0</v>
      </c>
      <c r="AK1011" s="97"/>
      <c r="AL1011" s="97">
        <f t="shared" si="8699"/>
        <v>0</v>
      </c>
      <c r="AM1011" s="97"/>
      <c r="AN1011" s="97">
        <f t="shared" si="8700"/>
        <v>0</v>
      </c>
      <c r="AO1011" s="97"/>
      <c r="AP1011" s="97">
        <f t="shared" ref="AP1011:AP1013" si="8807">M1011*AO1011*$AP$2/1000</f>
        <v>0</v>
      </c>
      <c r="AQ1011" s="97">
        <f t="shared" si="7469"/>
        <v>0</v>
      </c>
      <c r="AR1011" s="97">
        <f t="shared" si="7470"/>
        <v>0</v>
      </c>
      <c r="AS1011" s="97"/>
      <c r="AT1011" s="97">
        <f t="shared" si="7471"/>
        <v>0</v>
      </c>
      <c r="AU1011" s="97"/>
      <c r="AV1011" s="97">
        <f t="shared" si="7472"/>
        <v>0</v>
      </c>
      <c r="AW1011" s="97"/>
      <c r="AX1011" s="97">
        <f t="shared" si="7473"/>
        <v>0</v>
      </c>
      <c r="AY1011" s="97">
        <f t="shared" si="8702"/>
        <v>0</v>
      </c>
      <c r="AZ1011" s="97">
        <f t="shared" si="8703"/>
        <v>0</v>
      </c>
      <c r="BA1011" s="97">
        <f t="shared" si="8704"/>
        <v>0</v>
      </c>
      <c r="BB1011" s="97">
        <f t="shared" si="8705"/>
        <v>0</v>
      </c>
    </row>
    <row r="1012" spans="1:54">
      <c r="A1012" s="498">
        <v>723</v>
      </c>
      <c r="B1012" s="13"/>
      <c r="C1012" s="13"/>
      <c r="D1012" s="13" t="s">
        <v>830</v>
      </c>
      <c r="E1012" s="21" t="s">
        <v>1127</v>
      </c>
      <c r="F1012" s="46" t="s">
        <v>384</v>
      </c>
      <c r="G1012" s="22" t="s">
        <v>1115</v>
      </c>
      <c r="H1012" s="268" t="s">
        <v>1126</v>
      </c>
      <c r="I1012" s="55">
        <v>8.9499999999999993</v>
      </c>
      <c r="J1012" s="102"/>
      <c r="K1012" s="55">
        <v>8.9499999999999993</v>
      </c>
      <c r="L1012" s="163"/>
      <c r="M1012" s="55">
        <v>8.9499999999999993</v>
      </c>
      <c r="N1012" s="163"/>
      <c r="O1012" s="55">
        <v>8.9499999999999993</v>
      </c>
      <c r="P1012" s="102"/>
      <c r="Q1012" s="97">
        <f t="shared" si="8804"/>
        <v>0</v>
      </c>
      <c r="R1012" s="342">
        <f t="shared" si="8805"/>
        <v>0</v>
      </c>
      <c r="S1012" s="97"/>
      <c r="T1012" s="97">
        <f>I1012*S1012*$T$2/1000</f>
        <v>0</v>
      </c>
      <c r="U1012" s="97"/>
      <c r="V1012" s="177">
        <f>I1012*U1012*$V$2/1000</f>
        <v>0</v>
      </c>
      <c r="W1012" s="207"/>
      <c r="X1012" s="206">
        <f>I1012*W1012*$X$2/1000</f>
        <v>0</v>
      </c>
      <c r="Y1012" s="189">
        <f>SUM(S1012+U1012+W1012)</f>
        <v>0</v>
      </c>
      <c r="Z1012" s="177">
        <f>SUM(T1012+V1012+X1012)</f>
        <v>0</v>
      </c>
      <c r="AA1012" s="207"/>
      <c r="AB1012" s="206">
        <f>K1012*AA1012*$AB$2/1000</f>
        <v>0</v>
      </c>
      <c r="AC1012" s="207"/>
      <c r="AD1012" s="177">
        <f>K1012*AC1012*$AD$2/1000</f>
        <v>0</v>
      </c>
      <c r="AE1012" s="207"/>
      <c r="AF1012" s="206">
        <f t="shared" si="8009"/>
        <v>0</v>
      </c>
      <c r="AG1012" s="189">
        <f t="shared" ref="AG1012" si="8808">SUM(AA1012+AC1012+AE1012)</f>
        <v>0</v>
      </c>
      <c r="AH1012" s="97">
        <f t="shared" ref="AH1012" si="8809">SUM(AB1012+AD1012+AF1012)</f>
        <v>0</v>
      </c>
      <c r="AI1012" s="97">
        <f t="shared" si="7464"/>
        <v>0</v>
      </c>
      <c r="AJ1012" s="177">
        <f t="shared" si="7465"/>
        <v>0</v>
      </c>
      <c r="AK1012" s="207"/>
      <c r="AL1012" s="177">
        <f t="shared" si="8699"/>
        <v>0</v>
      </c>
      <c r="AM1012" s="245"/>
      <c r="AN1012" s="177">
        <f t="shared" si="8700"/>
        <v>0</v>
      </c>
      <c r="AO1012" s="207"/>
      <c r="AP1012" s="206">
        <f t="shared" si="8807"/>
        <v>0</v>
      </c>
      <c r="AQ1012" s="189">
        <f>SUM(AK1012+AM1012+AO1012)</f>
        <v>0</v>
      </c>
      <c r="AR1012" s="97">
        <f t="shared" ref="AR1012" si="8810">SUM(AL1012+AN1012+AP1012)</f>
        <v>0</v>
      </c>
      <c r="AS1012" s="97"/>
      <c r="AT1012" s="177">
        <f t="shared" si="7471"/>
        <v>0</v>
      </c>
      <c r="AU1012" s="207"/>
      <c r="AV1012" s="177">
        <f t="shared" si="7472"/>
        <v>0</v>
      </c>
      <c r="AW1012" s="207"/>
      <c r="AX1012" s="206">
        <f t="shared" si="7473"/>
        <v>0</v>
      </c>
      <c r="AY1012" s="189">
        <f>SUM(AS1012+AU1012+AW1012)</f>
        <v>0</v>
      </c>
      <c r="AZ1012" s="97">
        <f t="shared" ref="AZ1012" si="8811">SUM(AT1012+AV1012+AX1012)</f>
        <v>0</v>
      </c>
      <c r="BA1012" s="97">
        <f t="shared" si="8704"/>
        <v>0</v>
      </c>
      <c r="BB1012" s="97">
        <f t="shared" si="8705"/>
        <v>0</v>
      </c>
    </row>
    <row r="1013" spans="1:54">
      <c r="A1013" s="498">
        <v>724</v>
      </c>
      <c r="B1013" s="13"/>
      <c r="C1013" s="302"/>
      <c r="D1013" s="14" t="s">
        <v>830</v>
      </c>
      <c r="E1013" s="21" t="s">
        <v>1425</v>
      </c>
      <c r="F1013" s="46" t="s">
        <v>391</v>
      </c>
      <c r="G1013" s="46" t="s">
        <v>1105</v>
      </c>
      <c r="H1013" s="268" t="s">
        <v>366</v>
      </c>
      <c r="I1013" s="55">
        <v>9.92</v>
      </c>
      <c r="J1013" s="163"/>
      <c r="K1013" s="55">
        <v>9.92</v>
      </c>
      <c r="L1013" s="163"/>
      <c r="M1013" s="55">
        <v>9.92</v>
      </c>
      <c r="N1013" s="163"/>
      <c r="O1013" s="55">
        <v>9.92</v>
      </c>
      <c r="P1013" s="163"/>
      <c r="Q1013" s="97">
        <f t="shared" si="8804"/>
        <v>0</v>
      </c>
      <c r="R1013" s="342">
        <f t="shared" si="8805"/>
        <v>0</v>
      </c>
      <c r="S1013" s="97"/>
      <c r="T1013" s="97">
        <f t="shared" si="7456"/>
        <v>0</v>
      </c>
      <c r="U1013" s="97"/>
      <c r="V1013" s="97">
        <f t="shared" si="8697"/>
        <v>0</v>
      </c>
      <c r="W1013" s="97"/>
      <c r="X1013" s="97">
        <f t="shared" si="7458"/>
        <v>0</v>
      </c>
      <c r="Y1013" s="97">
        <f t="shared" si="7459"/>
        <v>0</v>
      </c>
      <c r="Z1013" s="97">
        <f t="shared" si="7460"/>
        <v>0</v>
      </c>
      <c r="AA1013" s="97"/>
      <c r="AB1013" s="97">
        <f t="shared" si="8539"/>
        <v>0</v>
      </c>
      <c r="AC1013" s="97"/>
      <c r="AD1013" s="97">
        <f t="shared" si="7501"/>
        <v>0</v>
      </c>
      <c r="AE1013" s="97"/>
      <c r="AF1013" s="97">
        <f t="shared" si="8009"/>
        <v>0</v>
      </c>
      <c r="AG1013" s="97">
        <f t="shared" si="7462"/>
        <v>0</v>
      </c>
      <c r="AH1013" s="97">
        <f t="shared" si="8806"/>
        <v>0</v>
      </c>
      <c r="AI1013" s="97">
        <f t="shared" si="7464"/>
        <v>0</v>
      </c>
      <c r="AJ1013" s="97">
        <f t="shared" si="7465"/>
        <v>0</v>
      </c>
      <c r="AK1013" s="97"/>
      <c r="AL1013" s="97">
        <f t="shared" si="8699"/>
        <v>0</v>
      </c>
      <c r="AM1013" s="97"/>
      <c r="AN1013" s="97">
        <f t="shared" si="8700"/>
        <v>0</v>
      </c>
      <c r="AO1013" s="97"/>
      <c r="AP1013" s="97">
        <f t="shared" si="8807"/>
        <v>0</v>
      </c>
      <c r="AQ1013" s="97">
        <f t="shared" si="7469"/>
        <v>0</v>
      </c>
      <c r="AR1013" s="97">
        <f t="shared" si="7470"/>
        <v>0</v>
      </c>
      <c r="AS1013" s="97"/>
      <c r="AT1013" s="97">
        <f t="shared" si="7471"/>
        <v>0</v>
      </c>
      <c r="AU1013" s="97"/>
      <c r="AV1013" s="97">
        <f t="shared" si="7472"/>
        <v>0</v>
      </c>
      <c r="AW1013" s="97"/>
      <c r="AX1013" s="97">
        <f t="shared" si="7473"/>
        <v>0</v>
      </c>
      <c r="AY1013" s="97">
        <f t="shared" si="8702"/>
        <v>0</v>
      </c>
      <c r="AZ1013" s="97">
        <f t="shared" si="8703"/>
        <v>0</v>
      </c>
      <c r="BA1013" s="97">
        <f t="shared" si="8704"/>
        <v>0</v>
      </c>
      <c r="BB1013" s="97">
        <f t="shared" si="8705"/>
        <v>0</v>
      </c>
    </row>
    <row r="1014" spans="1:54">
      <c r="A1014" s="498">
        <v>725</v>
      </c>
      <c r="B1014" s="13"/>
      <c r="C1014" s="302"/>
      <c r="D1014" s="14" t="s">
        <v>830</v>
      </c>
      <c r="E1014" s="21" t="s">
        <v>1618</v>
      </c>
      <c r="F1014" s="46" t="s">
        <v>391</v>
      </c>
      <c r="G1014" s="46" t="s">
        <v>1105</v>
      </c>
      <c r="H1014" s="268" t="s">
        <v>366</v>
      </c>
      <c r="I1014" s="55">
        <v>13.41</v>
      </c>
      <c r="J1014" s="163"/>
      <c r="K1014" s="55">
        <v>13.41</v>
      </c>
      <c r="L1014" s="163"/>
      <c r="M1014" s="55">
        <v>13.41</v>
      </c>
      <c r="N1014" s="163"/>
      <c r="O1014" s="55">
        <v>13.41</v>
      </c>
      <c r="P1014" s="163"/>
      <c r="Q1014" s="97">
        <f t="shared" ref="Q1014:Q1015" si="8812">SUM(AI1014+BA1014)</f>
        <v>0.39600000000000002</v>
      </c>
      <c r="R1014" s="342">
        <f t="shared" ref="R1014:R1015" si="8813">SUM(AJ1014+BB1014)</f>
        <v>7.2439682832000001</v>
      </c>
      <c r="S1014" s="97"/>
      <c r="T1014" s="97">
        <f t="shared" ref="T1014:T1015" si="8814">I1014*S1014*$T$2/1000</f>
        <v>0</v>
      </c>
      <c r="U1014" s="97"/>
      <c r="V1014" s="97">
        <f t="shared" ref="V1014:V1015" si="8815">I1014*U1014*$V$2/1000</f>
        <v>0</v>
      </c>
      <c r="W1014" s="97"/>
      <c r="X1014" s="97">
        <f t="shared" ref="X1014:X1015" si="8816">I1014*W1014*$X$2/1000</f>
        <v>0</v>
      </c>
      <c r="Y1014" s="97">
        <f t="shared" ref="Y1014:Y1015" si="8817">SUM(S1014+U1014+W1014)</f>
        <v>0</v>
      </c>
      <c r="Z1014" s="97">
        <f t="shared" ref="Z1014:Z1015" si="8818">SUM(T1014+V1014+X1014)</f>
        <v>0</v>
      </c>
      <c r="AA1014" s="97">
        <v>0.39600000000000002</v>
      </c>
      <c r="AB1014" s="97">
        <f t="shared" si="8539"/>
        <v>7.2439682832000001</v>
      </c>
      <c r="AC1014" s="97"/>
      <c r="AD1014" s="97">
        <f t="shared" ref="AD1014:AD1015" si="8819">K1014*AC1014*$AD$2/1000</f>
        <v>0</v>
      </c>
      <c r="AE1014" s="97"/>
      <c r="AF1014" s="97">
        <f t="shared" ref="AF1014" si="8820">K1014*AE1014*$AF$2/1000</f>
        <v>0</v>
      </c>
      <c r="AG1014" s="97">
        <f t="shared" ref="AG1014:AG1015" si="8821">SUM(AA1014+AC1014+AE1014)</f>
        <v>0.39600000000000002</v>
      </c>
      <c r="AH1014" s="97">
        <f t="shared" ref="AH1014:AH1015" si="8822">SUM(AB1014+AD1014+AF1014)</f>
        <v>7.2439682832000001</v>
      </c>
      <c r="AI1014" s="97">
        <f t="shared" ref="AI1014:AI1015" si="8823">SUM(Y1014+AG1014)</f>
        <v>0.39600000000000002</v>
      </c>
      <c r="AJ1014" s="97">
        <f t="shared" ref="AJ1014:AJ1015" si="8824">SUM(Z1014,AH1014)</f>
        <v>7.2439682832000001</v>
      </c>
      <c r="AK1014" s="97"/>
      <c r="AL1014" s="97">
        <f t="shared" ref="AL1014:AL1015" si="8825">M1014*AK1014*$AL$2/1000</f>
        <v>0</v>
      </c>
      <c r="AM1014" s="97"/>
      <c r="AN1014" s="97">
        <f t="shared" ref="AN1014:AN1015" si="8826">M1014*AM1014*$AN$2/1000</f>
        <v>0</v>
      </c>
      <c r="AO1014" s="97"/>
      <c r="AP1014" s="97">
        <f t="shared" ref="AP1014:AP1015" si="8827">M1014*AO1014*$AP$2/1000</f>
        <v>0</v>
      </c>
      <c r="AQ1014" s="97">
        <f t="shared" ref="AQ1014:AQ1015" si="8828">SUM(AK1014+AM1014+AO1014)</f>
        <v>0</v>
      </c>
      <c r="AR1014" s="97">
        <f t="shared" ref="AR1014:AR1015" si="8829">SUM(AL1014+AN1014+AP1014)</f>
        <v>0</v>
      </c>
      <c r="AS1014" s="97"/>
      <c r="AT1014" s="97">
        <f t="shared" ref="AT1014:AT1015" si="8830">O1014*AS1014*$AT$2/1000</f>
        <v>0</v>
      </c>
      <c r="AU1014" s="97"/>
      <c r="AV1014" s="97">
        <f t="shared" ref="AV1014:AV1015" si="8831">O1014*AU1014*$AV$2/1000</f>
        <v>0</v>
      </c>
      <c r="AW1014" s="97"/>
      <c r="AX1014" s="97">
        <f t="shared" ref="AX1014:AX1015" si="8832">O1014*AW1014*$AX$2/1000</f>
        <v>0</v>
      </c>
      <c r="AY1014" s="97">
        <f t="shared" ref="AY1014:AY1015" si="8833">SUM(AS1014+AU1014+AW1014)</f>
        <v>0</v>
      </c>
      <c r="AZ1014" s="97">
        <f t="shared" ref="AZ1014:AZ1015" si="8834">SUM(AT1014+AV1014+AX1014)</f>
        <v>0</v>
      </c>
      <c r="BA1014" s="97">
        <f t="shared" ref="BA1014:BA1015" si="8835">SUM(AQ1014+AY1014)</f>
        <v>0</v>
      </c>
      <c r="BB1014" s="97">
        <f t="shared" ref="BB1014:BB1015" si="8836">SUM(AR1014,AZ1014)</f>
        <v>0</v>
      </c>
    </row>
    <row r="1015" spans="1:54" s="6" customFormat="1">
      <c r="A1015" s="498">
        <v>726</v>
      </c>
      <c r="B1015" s="14"/>
      <c r="C1015" s="302"/>
      <c r="D1015" s="14" t="s">
        <v>405</v>
      </c>
      <c r="E1015" s="16" t="s">
        <v>508</v>
      </c>
      <c r="F1015" s="45" t="s">
        <v>382</v>
      </c>
      <c r="G1015" s="45" t="s">
        <v>1105</v>
      </c>
      <c r="H1015" s="267" t="s">
        <v>366</v>
      </c>
      <c r="I1015" s="234">
        <v>9.6199999999999992</v>
      </c>
      <c r="J1015" s="241"/>
      <c r="K1015" s="234">
        <v>9.6199999999999992</v>
      </c>
      <c r="L1015" s="241"/>
      <c r="M1015" s="234">
        <v>9.6199999999999992</v>
      </c>
      <c r="N1015" s="241"/>
      <c r="O1015" s="234">
        <v>9.6199999999999992</v>
      </c>
      <c r="P1015" s="241"/>
      <c r="Q1015" s="96">
        <f t="shared" si="8812"/>
        <v>0</v>
      </c>
      <c r="R1015" s="340">
        <f t="shared" si="8813"/>
        <v>0</v>
      </c>
      <c r="S1015" s="96"/>
      <c r="T1015" s="96">
        <f t="shared" si="8814"/>
        <v>0</v>
      </c>
      <c r="U1015" s="96"/>
      <c r="V1015" s="96">
        <f t="shared" si="8815"/>
        <v>0</v>
      </c>
      <c r="W1015" s="96"/>
      <c r="X1015" s="96">
        <f t="shared" si="8816"/>
        <v>0</v>
      </c>
      <c r="Y1015" s="96">
        <f t="shared" si="8817"/>
        <v>0</v>
      </c>
      <c r="Z1015" s="96">
        <f t="shared" si="8818"/>
        <v>0</v>
      </c>
      <c r="AA1015" s="96"/>
      <c r="AB1015" s="96">
        <f t="shared" si="8539"/>
        <v>0</v>
      </c>
      <c r="AC1015" s="96"/>
      <c r="AD1015" s="96">
        <f t="shared" si="8819"/>
        <v>0</v>
      </c>
      <c r="AE1015" s="96"/>
      <c r="AF1015" s="96">
        <f>K1015*AE1015*$AF$2/1000</f>
        <v>0</v>
      </c>
      <c r="AG1015" s="96">
        <f t="shared" si="8821"/>
        <v>0</v>
      </c>
      <c r="AH1015" s="96">
        <f t="shared" si="8822"/>
        <v>0</v>
      </c>
      <c r="AI1015" s="96">
        <f t="shared" si="8823"/>
        <v>0</v>
      </c>
      <c r="AJ1015" s="96">
        <f t="shared" si="8824"/>
        <v>0</v>
      </c>
      <c r="AK1015" s="96"/>
      <c r="AL1015" s="96">
        <f t="shared" si="8825"/>
        <v>0</v>
      </c>
      <c r="AM1015" s="96"/>
      <c r="AN1015" s="96">
        <f t="shared" si="8826"/>
        <v>0</v>
      </c>
      <c r="AO1015" s="96"/>
      <c r="AP1015" s="96">
        <f t="shared" si="8827"/>
        <v>0</v>
      </c>
      <c r="AQ1015" s="96">
        <f t="shared" si="8828"/>
        <v>0</v>
      </c>
      <c r="AR1015" s="96">
        <f t="shared" si="8829"/>
        <v>0</v>
      </c>
      <c r="AS1015" s="96"/>
      <c r="AT1015" s="96">
        <f t="shared" si="8830"/>
        <v>0</v>
      </c>
      <c r="AU1015" s="96"/>
      <c r="AV1015" s="96">
        <f t="shared" si="8831"/>
        <v>0</v>
      </c>
      <c r="AW1015" s="96"/>
      <c r="AX1015" s="96">
        <f t="shared" si="8832"/>
        <v>0</v>
      </c>
      <c r="AY1015" s="96">
        <f t="shared" si="8833"/>
        <v>0</v>
      </c>
      <c r="AZ1015" s="96">
        <f t="shared" si="8834"/>
        <v>0</v>
      </c>
      <c r="BA1015" s="96">
        <f t="shared" si="8835"/>
        <v>0</v>
      </c>
      <c r="BB1015" s="96">
        <f t="shared" si="8836"/>
        <v>0</v>
      </c>
    </row>
    <row r="1016" spans="1:54" s="6" customFormat="1">
      <c r="A1016" s="498">
        <v>727</v>
      </c>
      <c r="B1016" s="14"/>
      <c r="C1016" s="302"/>
      <c r="D1016" s="14" t="s">
        <v>405</v>
      </c>
      <c r="E1016" s="16" t="s">
        <v>954</v>
      </c>
      <c r="F1016" s="45" t="s">
        <v>382</v>
      </c>
      <c r="G1016" s="45" t="s">
        <v>1105</v>
      </c>
      <c r="H1016" s="267" t="s">
        <v>366</v>
      </c>
      <c r="I1016" s="234">
        <v>8.9499999999999993</v>
      </c>
      <c r="J1016" s="241"/>
      <c r="K1016" s="234">
        <v>8.9499999999999993</v>
      </c>
      <c r="L1016" s="241"/>
      <c r="M1016" s="234">
        <v>8.9499999999999993</v>
      </c>
      <c r="N1016" s="241"/>
      <c r="O1016" s="234">
        <v>8.9499999999999993</v>
      </c>
      <c r="P1016" s="241"/>
      <c r="Q1016" s="96">
        <f t="shared" ref="Q1016" si="8837">SUM(AI1016+BA1016)</f>
        <v>0</v>
      </c>
      <c r="R1016" s="340">
        <f t="shared" ref="R1016" si="8838">SUM(AJ1016+BB1016)</f>
        <v>0</v>
      </c>
      <c r="S1016" s="96"/>
      <c r="T1016" s="96">
        <f t="shared" ref="T1016" si="8839">I1016*S1016*$T$2/1000</f>
        <v>0</v>
      </c>
      <c r="U1016" s="96"/>
      <c r="V1016" s="96">
        <f t="shared" ref="V1016" si="8840">I1016*U1016*$V$2/1000</f>
        <v>0</v>
      </c>
      <c r="W1016" s="96"/>
      <c r="X1016" s="96">
        <f t="shared" ref="X1016" si="8841">I1016*W1016*$X$2/1000</f>
        <v>0</v>
      </c>
      <c r="Y1016" s="96">
        <f t="shared" ref="Y1016" si="8842">SUM(S1016+U1016+W1016)</f>
        <v>0</v>
      </c>
      <c r="Z1016" s="96">
        <f t="shared" ref="Z1016" si="8843">SUM(T1016+V1016+X1016)</f>
        <v>0</v>
      </c>
      <c r="AA1016" s="96"/>
      <c r="AB1016" s="96">
        <f t="shared" ref="AB1016" si="8844">K1016*AA1016*$AB$2/1000</f>
        <v>0</v>
      </c>
      <c r="AC1016" s="96"/>
      <c r="AD1016" s="96">
        <f t="shared" ref="AD1016" si="8845">K1016*AC1016*$AD$2/1000</f>
        <v>0</v>
      </c>
      <c r="AE1016" s="96"/>
      <c r="AF1016" s="96">
        <f>K1016*AE1016*$AF$2/1000</f>
        <v>0</v>
      </c>
      <c r="AG1016" s="96">
        <f t="shared" ref="AG1016" si="8846">SUM(AA1016+AC1016+AE1016)</f>
        <v>0</v>
      </c>
      <c r="AH1016" s="96">
        <f t="shared" ref="AH1016" si="8847">SUM(AB1016+AD1016+AF1016)</f>
        <v>0</v>
      </c>
      <c r="AI1016" s="96">
        <f t="shared" ref="AI1016" si="8848">SUM(Y1016+AG1016)</f>
        <v>0</v>
      </c>
      <c r="AJ1016" s="96">
        <f t="shared" ref="AJ1016" si="8849">SUM(Z1016,AH1016)</f>
        <v>0</v>
      </c>
      <c r="AK1016" s="96"/>
      <c r="AL1016" s="96">
        <f t="shared" ref="AL1016" si="8850">M1016*AK1016*$AL$2/1000</f>
        <v>0</v>
      </c>
      <c r="AM1016" s="96"/>
      <c r="AN1016" s="96">
        <f t="shared" ref="AN1016" si="8851">M1016*AM1016*$AN$2/1000</f>
        <v>0</v>
      </c>
      <c r="AO1016" s="96"/>
      <c r="AP1016" s="96">
        <f t="shared" ref="AP1016" si="8852">M1016*AO1016*$AP$2/1000</f>
        <v>0</v>
      </c>
      <c r="AQ1016" s="96">
        <f t="shared" ref="AQ1016" si="8853">SUM(AK1016+AM1016+AO1016)</f>
        <v>0</v>
      </c>
      <c r="AR1016" s="96">
        <f t="shared" ref="AR1016" si="8854">SUM(AL1016+AN1016+AP1016)</f>
        <v>0</v>
      </c>
      <c r="AS1016" s="96"/>
      <c r="AT1016" s="96">
        <f t="shared" ref="AT1016" si="8855">O1016*AS1016*$AT$2/1000</f>
        <v>0</v>
      </c>
      <c r="AU1016" s="96"/>
      <c r="AV1016" s="96">
        <f t="shared" ref="AV1016" si="8856">O1016*AU1016*$AV$2/1000</f>
        <v>0</v>
      </c>
      <c r="AW1016" s="96"/>
      <c r="AX1016" s="96">
        <f t="shared" ref="AX1016" si="8857">O1016*AW1016*$AX$2/1000</f>
        <v>0</v>
      </c>
      <c r="AY1016" s="96">
        <f t="shared" ref="AY1016" si="8858">SUM(AS1016+AU1016+AW1016)</f>
        <v>0</v>
      </c>
      <c r="AZ1016" s="96">
        <f t="shared" ref="AZ1016" si="8859">SUM(AT1016+AV1016+AX1016)</f>
        <v>0</v>
      </c>
      <c r="BA1016" s="96">
        <f t="shared" ref="BA1016" si="8860">SUM(AQ1016+AY1016)</f>
        <v>0</v>
      </c>
      <c r="BB1016" s="96">
        <f t="shared" ref="BB1016" si="8861">SUM(AR1016,AZ1016)</f>
        <v>0</v>
      </c>
    </row>
    <row r="1017" spans="1:54" s="6" customFormat="1">
      <c r="A1017" s="498">
        <v>728</v>
      </c>
      <c r="B1017" s="14"/>
      <c r="C1017" s="302"/>
      <c r="D1017" s="14" t="s">
        <v>504</v>
      </c>
      <c r="E1017" s="16" t="s">
        <v>1357</v>
      </c>
      <c r="F1017" s="45" t="s">
        <v>391</v>
      </c>
      <c r="G1017" s="45" t="s">
        <v>1105</v>
      </c>
      <c r="H1017" s="267" t="s">
        <v>441</v>
      </c>
      <c r="I1017" s="234">
        <v>9.82</v>
      </c>
      <c r="J1017" s="241"/>
      <c r="K1017" s="234">
        <v>9.82</v>
      </c>
      <c r="L1017" s="241"/>
      <c r="M1017" s="234">
        <v>9.82</v>
      </c>
      <c r="N1017" s="241"/>
      <c r="O1017" s="234">
        <v>9.82</v>
      </c>
      <c r="P1017" s="241"/>
      <c r="Q1017" s="96">
        <f t="shared" si="8804"/>
        <v>0</v>
      </c>
      <c r="R1017" s="340">
        <f t="shared" si="8805"/>
        <v>0</v>
      </c>
      <c r="S1017" s="96"/>
      <c r="T1017" s="96">
        <f t="shared" si="7456"/>
        <v>0</v>
      </c>
      <c r="U1017" s="96"/>
      <c r="V1017" s="96">
        <f t="shared" si="8697"/>
        <v>0</v>
      </c>
      <c r="W1017" s="96"/>
      <c r="X1017" s="96">
        <f t="shared" si="7458"/>
        <v>0</v>
      </c>
      <c r="Y1017" s="96">
        <f t="shared" si="7459"/>
        <v>0</v>
      </c>
      <c r="Z1017" s="96">
        <f t="shared" si="7460"/>
        <v>0</v>
      </c>
      <c r="AA1017" s="96"/>
      <c r="AB1017" s="96">
        <f t="shared" si="8539"/>
        <v>0</v>
      </c>
      <c r="AC1017" s="96"/>
      <c r="AD1017" s="96">
        <f t="shared" si="7501"/>
        <v>0</v>
      </c>
      <c r="AE1017" s="96"/>
      <c r="AF1017" s="96">
        <f>K1017*AE1017*$AF$2/1000</f>
        <v>0</v>
      </c>
      <c r="AG1017" s="96">
        <f t="shared" si="7462"/>
        <v>0</v>
      </c>
      <c r="AH1017" s="96">
        <f t="shared" si="8806"/>
        <v>0</v>
      </c>
      <c r="AI1017" s="96">
        <f t="shared" si="7464"/>
        <v>0</v>
      </c>
      <c r="AJ1017" s="96">
        <f t="shared" si="7465"/>
        <v>0</v>
      </c>
      <c r="AK1017" s="96"/>
      <c r="AL1017" s="96">
        <f t="shared" si="8699"/>
        <v>0</v>
      </c>
      <c r="AM1017" s="96"/>
      <c r="AN1017" s="96">
        <f t="shared" si="8700"/>
        <v>0</v>
      </c>
      <c r="AO1017" s="96"/>
      <c r="AP1017" s="96">
        <f t="shared" ref="AP1017:AP1020" si="8862">M1017*AO1017*$AP$2/1000</f>
        <v>0</v>
      </c>
      <c r="AQ1017" s="96">
        <f t="shared" si="7469"/>
        <v>0</v>
      </c>
      <c r="AR1017" s="96">
        <f t="shared" si="7470"/>
        <v>0</v>
      </c>
      <c r="AS1017" s="96"/>
      <c r="AT1017" s="96">
        <f t="shared" si="7471"/>
        <v>0</v>
      </c>
      <c r="AU1017" s="96"/>
      <c r="AV1017" s="96">
        <f t="shared" si="7472"/>
        <v>0</v>
      </c>
      <c r="AW1017" s="96"/>
      <c r="AX1017" s="96">
        <f t="shared" si="7473"/>
        <v>0</v>
      </c>
      <c r="AY1017" s="96">
        <f t="shared" si="8702"/>
        <v>0</v>
      </c>
      <c r="AZ1017" s="96">
        <f t="shared" si="8703"/>
        <v>0</v>
      </c>
      <c r="BA1017" s="96">
        <f t="shared" si="8704"/>
        <v>0</v>
      </c>
      <c r="BB1017" s="96">
        <f t="shared" si="8705"/>
        <v>0</v>
      </c>
    </row>
    <row r="1018" spans="1:54">
      <c r="A1018" s="498">
        <v>729</v>
      </c>
      <c r="B1018" s="13"/>
      <c r="C1018" s="302"/>
      <c r="D1018" s="14" t="s">
        <v>830</v>
      </c>
      <c r="E1018" s="90" t="s">
        <v>831</v>
      </c>
      <c r="F1018" s="430" t="s">
        <v>391</v>
      </c>
      <c r="G1018" s="430" t="s">
        <v>1105</v>
      </c>
      <c r="H1018" s="287" t="s">
        <v>366</v>
      </c>
      <c r="I1018" s="76">
        <v>9.02</v>
      </c>
      <c r="J1018" s="168"/>
      <c r="K1018" s="76">
        <v>9.02</v>
      </c>
      <c r="L1018" s="168"/>
      <c r="M1018" s="76">
        <v>9.02</v>
      </c>
      <c r="N1018" s="168"/>
      <c r="O1018" s="76">
        <v>9.02</v>
      </c>
      <c r="P1018" s="168"/>
      <c r="Q1018" s="131">
        <f t="shared" ref="Q1018" si="8863">SUM(AI1018+BA1018)</f>
        <v>0</v>
      </c>
      <c r="R1018" s="352">
        <f t="shared" ref="R1018" si="8864">SUM(AJ1018+BB1018)</f>
        <v>0</v>
      </c>
      <c r="S1018" s="131"/>
      <c r="T1018" s="131">
        <f t="shared" ref="T1018" si="8865">I1018*S1018*$T$2/1000</f>
        <v>0</v>
      </c>
      <c r="U1018" s="131"/>
      <c r="V1018" s="131">
        <f t="shared" ref="V1018" si="8866">I1018*U1018*$V$2/1000</f>
        <v>0</v>
      </c>
      <c r="W1018" s="131"/>
      <c r="X1018" s="131">
        <f t="shared" ref="X1018" si="8867">I1018*W1018*$X$2/1000</f>
        <v>0</v>
      </c>
      <c r="Y1018" s="131">
        <f t="shared" ref="Y1018" si="8868">SUM(S1018+U1018+W1018)</f>
        <v>0</v>
      </c>
      <c r="Z1018" s="131">
        <f t="shared" ref="Z1018" si="8869">SUM(T1018+V1018+X1018)</f>
        <v>0</v>
      </c>
      <c r="AA1018" s="131"/>
      <c r="AB1018" s="131">
        <f t="shared" si="8539"/>
        <v>0</v>
      </c>
      <c r="AC1018" s="131"/>
      <c r="AD1018" s="131">
        <f t="shared" ref="AD1018" si="8870">K1018*AC1018*$AD$2/1000</f>
        <v>0</v>
      </c>
      <c r="AE1018" s="131"/>
      <c r="AF1018" s="131">
        <f t="shared" ref="AF1018" si="8871">K1018*AE1018*$AF$2/1000</f>
        <v>0</v>
      </c>
      <c r="AG1018" s="131">
        <f t="shared" ref="AG1018" si="8872">SUM(AA1018+AC1018+AE1018)</f>
        <v>0</v>
      </c>
      <c r="AH1018" s="131">
        <f t="shared" ref="AH1018" si="8873">SUM(AB1018+AD1018+AF1018)</f>
        <v>0</v>
      </c>
      <c r="AI1018" s="131">
        <f t="shared" ref="AI1018" si="8874">SUM(Y1018+AG1018)</f>
        <v>0</v>
      </c>
      <c r="AJ1018" s="131">
        <f t="shared" ref="AJ1018" si="8875">SUM(Z1018,AH1018)</f>
        <v>0</v>
      </c>
      <c r="AK1018" s="131"/>
      <c r="AL1018" s="131">
        <f t="shared" ref="AL1018" si="8876">M1018*AK1018*$AL$2/1000</f>
        <v>0</v>
      </c>
      <c r="AM1018" s="131"/>
      <c r="AN1018" s="131">
        <f t="shared" ref="AN1018" si="8877">M1018*AM1018*$AN$2/1000</f>
        <v>0</v>
      </c>
      <c r="AO1018" s="131"/>
      <c r="AP1018" s="131">
        <f t="shared" ref="AP1018" si="8878">M1018*AO1018*$AP$2/1000</f>
        <v>0</v>
      </c>
      <c r="AQ1018" s="131">
        <f t="shared" ref="AQ1018" si="8879">SUM(AK1018+AM1018+AO1018)</f>
        <v>0</v>
      </c>
      <c r="AR1018" s="131">
        <f t="shared" ref="AR1018" si="8880">SUM(AL1018+AN1018+AP1018)</f>
        <v>0</v>
      </c>
      <c r="AS1018" s="131"/>
      <c r="AT1018" s="131">
        <f t="shared" ref="AT1018" si="8881">O1018*AS1018*$AT$2/1000</f>
        <v>0</v>
      </c>
      <c r="AU1018" s="131"/>
      <c r="AV1018" s="131">
        <f t="shared" ref="AV1018" si="8882">O1018*AU1018*$AV$2/1000</f>
        <v>0</v>
      </c>
      <c r="AW1018" s="131"/>
      <c r="AX1018" s="131">
        <f t="shared" ref="AX1018" si="8883">O1018*AW1018*$AX$2/1000</f>
        <v>0</v>
      </c>
      <c r="AY1018" s="131">
        <f t="shared" ref="AY1018" si="8884">SUM(AS1018+AU1018+AW1018)</f>
        <v>0</v>
      </c>
      <c r="AZ1018" s="131">
        <f t="shared" ref="AZ1018" si="8885">SUM(AT1018+AV1018+AX1018)</f>
        <v>0</v>
      </c>
      <c r="BA1018" s="131">
        <f t="shared" ref="BA1018" si="8886">SUM(AQ1018+AY1018)</f>
        <v>0</v>
      </c>
      <c r="BB1018" s="131">
        <f t="shared" ref="BB1018" si="8887">SUM(AR1018,AZ1018)</f>
        <v>0</v>
      </c>
    </row>
    <row r="1019" spans="1:54">
      <c r="A1019" s="498">
        <v>730</v>
      </c>
      <c r="B1019" s="13"/>
      <c r="C1019" s="302"/>
      <c r="D1019" s="14" t="s">
        <v>830</v>
      </c>
      <c r="E1019" s="21" t="s">
        <v>1361</v>
      </c>
      <c r="F1019" s="46" t="s">
        <v>391</v>
      </c>
      <c r="G1019" s="46" t="s">
        <v>1105</v>
      </c>
      <c r="H1019" s="268" t="s">
        <v>366</v>
      </c>
      <c r="I1019" s="55">
        <v>9.92</v>
      </c>
      <c r="J1019" s="163"/>
      <c r="K1019" s="55">
        <v>9.92</v>
      </c>
      <c r="L1019" s="163"/>
      <c r="M1019" s="55">
        <v>9.92</v>
      </c>
      <c r="N1019" s="163"/>
      <c r="O1019" s="55">
        <v>9.92</v>
      </c>
      <c r="P1019" s="163"/>
      <c r="Q1019" s="97">
        <f t="shared" si="8804"/>
        <v>0</v>
      </c>
      <c r="R1019" s="342">
        <f t="shared" si="8805"/>
        <v>0</v>
      </c>
      <c r="S1019" s="97"/>
      <c r="T1019" s="97">
        <f t="shared" si="7456"/>
        <v>0</v>
      </c>
      <c r="U1019" s="97"/>
      <c r="V1019" s="97">
        <f t="shared" si="8697"/>
        <v>0</v>
      </c>
      <c r="W1019" s="97"/>
      <c r="X1019" s="97">
        <f t="shared" si="7458"/>
        <v>0</v>
      </c>
      <c r="Y1019" s="97">
        <f>SUM(S1019+U1019+W1019)</f>
        <v>0</v>
      </c>
      <c r="Z1019" s="97">
        <f t="shared" ref="Z1019:Z1020" si="8888">SUM(T1019+V1019+X1019)</f>
        <v>0</v>
      </c>
      <c r="AA1019" s="97"/>
      <c r="AB1019" s="97">
        <f t="shared" si="8539"/>
        <v>0</v>
      </c>
      <c r="AC1019" s="97"/>
      <c r="AD1019" s="97">
        <f t="shared" si="7501"/>
        <v>0</v>
      </c>
      <c r="AE1019" s="97"/>
      <c r="AF1019" s="97">
        <f t="shared" ref="AF1019:AF1020" si="8889">K1019*AE1019*$AF$2/1000</f>
        <v>0</v>
      </c>
      <c r="AG1019" s="97">
        <f t="shared" ref="AG1019:AG1020" si="8890">SUM(AA1019+AC1019+AE1019)</f>
        <v>0</v>
      </c>
      <c r="AH1019" s="97">
        <f t="shared" si="8806"/>
        <v>0</v>
      </c>
      <c r="AI1019" s="97">
        <f t="shared" ref="AI1019:AI1020" si="8891">SUM(Y1019+AG1019)</f>
        <v>0</v>
      </c>
      <c r="AJ1019" s="97">
        <f t="shared" ref="AJ1019:AJ1020" si="8892">SUM(Z1019,AH1019)</f>
        <v>0</v>
      </c>
      <c r="AK1019" s="97"/>
      <c r="AL1019" s="97">
        <f t="shared" si="8699"/>
        <v>0</v>
      </c>
      <c r="AM1019" s="97"/>
      <c r="AN1019" s="97">
        <f t="shared" si="8700"/>
        <v>0</v>
      </c>
      <c r="AO1019" s="97"/>
      <c r="AP1019" s="97">
        <f t="shared" si="8862"/>
        <v>0</v>
      </c>
      <c r="AQ1019" s="97">
        <f>SUM(AK1019+AM1019+AO1019)</f>
        <v>0</v>
      </c>
      <c r="AR1019" s="97">
        <f t="shared" ref="AR1019:AR1020" si="8893">SUM(AL1019+AN1019+AP1019)</f>
        <v>0</v>
      </c>
      <c r="AS1019" s="97"/>
      <c r="AT1019" s="97">
        <f t="shared" ref="AT1019:AT1020" si="8894">O1019*AS1019*$AT$2/1000</f>
        <v>0</v>
      </c>
      <c r="AU1019" s="97"/>
      <c r="AV1019" s="97">
        <f t="shared" ref="AV1019:AV1020" si="8895">O1019*AU1019*$AV$2/1000</f>
        <v>0</v>
      </c>
      <c r="AW1019" s="97"/>
      <c r="AX1019" s="97">
        <f t="shared" ref="AX1019:AX1020" si="8896">O1019*AW1019*$AX$2/1000</f>
        <v>0</v>
      </c>
      <c r="AY1019" s="97">
        <f t="shared" si="8702"/>
        <v>0</v>
      </c>
      <c r="AZ1019" s="97">
        <f t="shared" si="8703"/>
        <v>0</v>
      </c>
      <c r="BA1019" s="97">
        <f t="shared" si="8704"/>
        <v>0</v>
      </c>
      <c r="BB1019" s="97">
        <f t="shared" si="8705"/>
        <v>0</v>
      </c>
    </row>
    <row r="1020" spans="1:54">
      <c r="A1020" s="498">
        <v>729</v>
      </c>
      <c r="B1020" s="13"/>
      <c r="C1020" s="302"/>
      <c r="D1020" s="14" t="s">
        <v>830</v>
      </c>
      <c r="E1020" s="90" t="s">
        <v>1457</v>
      </c>
      <c r="F1020" s="430" t="s">
        <v>382</v>
      </c>
      <c r="G1020" s="430" t="s">
        <v>1105</v>
      </c>
      <c r="H1020" s="287" t="s">
        <v>366</v>
      </c>
      <c r="I1020" s="76">
        <v>11.89</v>
      </c>
      <c r="J1020" s="168"/>
      <c r="K1020" s="76">
        <v>11.89</v>
      </c>
      <c r="L1020" s="168"/>
      <c r="M1020" s="76">
        <v>11.89</v>
      </c>
      <c r="N1020" s="168"/>
      <c r="O1020" s="76">
        <v>11.89</v>
      </c>
      <c r="P1020" s="168"/>
      <c r="Q1020" s="131">
        <f t="shared" si="8804"/>
        <v>0</v>
      </c>
      <c r="R1020" s="352">
        <f t="shared" si="8805"/>
        <v>0</v>
      </c>
      <c r="S1020" s="131"/>
      <c r="T1020" s="131">
        <f t="shared" si="7456"/>
        <v>0</v>
      </c>
      <c r="U1020" s="131"/>
      <c r="V1020" s="131">
        <f t="shared" si="8697"/>
        <v>0</v>
      </c>
      <c r="W1020" s="131"/>
      <c r="X1020" s="131">
        <f t="shared" si="7458"/>
        <v>0</v>
      </c>
      <c r="Y1020" s="131">
        <f t="shared" ref="Y1020" si="8897">SUM(S1020+U1020+W1020)</f>
        <v>0</v>
      </c>
      <c r="Z1020" s="131">
        <f t="shared" si="8888"/>
        <v>0</v>
      </c>
      <c r="AA1020" s="131"/>
      <c r="AB1020" s="131">
        <f t="shared" ref="AB1020" si="8898">K1020*AA1020*$AB$2/1000</f>
        <v>0</v>
      </c>
      <c r="AC1020" s="131"/>
      <c r="AD1020" s="131">
        <f t="shared" si="7501"/>
        <v>0</v>
      </c>
      <c r="AE1020" s="131"/>
      <c r="AF1020" s="131">
        <f t="shared" si="8889"/>
        <v>0</v>
      </c>
      <c r="AG1020" s="131">
        <f t="shared" si="8890"/>
        <v>0</v>
      </c>
      <c r="AH1020" s="131">
        <f t="shared" si="8806"/>
        <v>0</v>
      </c>
      <c r="AI1020" s="131">
        <f t="shared" si="8891"/>
        <v>0</v>
      </c>
      <c r="AJ1020" s="131">
        <f t="shared" si="8892"/>
        <v>0</v>
      </c>
      <c r="AK1020" s="131"/>
      <c r="AL1020" s="131">
        <f t="shared" si="8699"/>
        <v>0</v>
      </c>
      <c r="AM1020" s="131"/>
      <c r="AN1020" s="131">
        <f t="shared" si="8700"/>
        <v>0</v>
      </c>
      <c r="AO1020" s="131"/>
      <c r="AP1020" s="131">
        <f t="shared" si="8862"/>
        <v>0</v>
      </c>
      <c r="AQ1020" s="131">
        <f t="shared" ref="AQ1020" si="8899">SUM(AK1020+AM1020+AO1020)</f>
        <v>0</v>
      </c>
      <c r="AR1020" s="131">
        <f t="shared" si="8893"/>
        <v>0</v>
      </c>
      <c r="AS1020" s="131"/>
      <c r="AT1020" s="131">
        <f t="shared" si="8894"/>
        <v>0</v>
      </c>
      <c r="AU1020" s="131"/>
      <c r="AV1020" s="131">
        <f t="shared" si="8895"/>
        <v>0</v>
      </c>
      <c r="AW1020" s="131"/>
      <c r="AX1020" s="131">
        <f t="shared" si="8896"/>
        <v>0</v>
      </c>
      <c r="AY1020" s="131">
        <f t="shared" si="8702"/>
        <v>0</v>
      </c>
      <c r="AZ1020" s="131">
        <f t="shared" si="8703"/>
        <v>0</v>
      </c>
      <c r="BA1020" s="131">
        <f t="shared" si="8704"/>
        <v>0</v>
      </c>
      <c r="BB1020" s="131">
        <f t="shared" si="8705"/>
        <v>0</v>
      </c>
    </row>
    <row r="1021" spans="1:54" s="6" customFormat="1">
      <c r="A1021" s="498">
        <v>731</v>
      </c>
      <c r="B1021" s="14"/>
      <c r="C1021" s="304"/>
      <c r="D1021" s="307" t="s">
        <v>731</v>
      </c>
      <c r="E1021" s="70" t="s">
        <v>1362</v>
      </c>
      <c r="F1021" s="317" t="s">
        <v>391</v>
      </c>
      <c r="G1021" s="317" t="s">
        <v>1105</v>
      </c>
      <c r="H1021" s="270" t="s">
        <v>441</v>
      </c>
      <c r="I1021" s="326">
        <v>12.52</v>
      </c>
      <c r="J1021" s="327"/>
      <c r="K1021" s="326">
        <v>12.52</v>
      </c>
      <c r="L1021" s="327"/>
      <c r="M1021" s="326">
        <v>12.52</v>
      </c>
      <c r="N1021" s="327"/>
      <c r="O1021" s="326">
        <v>12.52</v>
      </c>
      <c r="P1021" s="327"/>
      <c r="Q1021" s="120">
        <f t="shared" ref="Q1021:Q1100" si="8900">SUM(AI1021+BA1021)</f>
        <v>0</v>
      </c>
      <c r="R1021" s="344">
        <f t="shared" ref="R1021:R1100" si="8901">SUM(AJ1021+BB1021)</f>
        <v>0</v>
      </c>
      <c r="S1021" s="120"/>
      <c r="T1021" s="120">
        <f t="shared" ref="T1021:T1106" si="8902">I1021*S1021*$T$2/1000</f>
        <v>0</v>
      </c>
      <c r="U1021" s="120"/>
      <c r="V1021" s="120">
        <f t="shared" ref="V1021:V1106" si="8903">I1021*U1021*$V$2/1000</f>
        <v>0</v>
      </c>
      <c r="W1021" s="120"/>
      <c r="X1021" s="120">
        <f t="shared" ref="X1021:X1106" si="8904">I1021*W1021*$X$2/1000</f>
        <v>0</v>
      </c>
      <c r="Y1021" s="120">
        <f t="shared" ref="Y1021:Y1023" si="8905">SUM(S1021+U1021+W1021)</f>
        <v>0</v>
      </c>
      <c r="Z1021" s="120">
        <f t="shared" ref="Z1021:Z1051" si="8906">SUM(T1021+V1021+X1021)</f>
        <v>0</v>
      </c>
      <c r="AA1021" s="120"/>
      <c r="AB1021" s="120">
        <f t="shared" si="8539"/>
        <v>0</v>
      </c>
      <c r="AC1021" s="120"/>
      <c r="AD1021" s="120">
        <f t="shared" ref="AD1021:AD1098" si="8907">K1021*AC1021*$AD$2/1000</f>
        <v>0</v>
      </c>
      <c r="AE1021" s="120"/>
      <c r="AF1021" s="120">
        <f>K1021*AE1021*$AF$2/1000</f>
        <v>0</v>
      </c>
      <c r="AG1021" s="120">
        <f t="shared" ref="AG1021:AG1032" si="8908">SUM(AA1021+AC1021+AE1021)</f>
        <v>0</v>
      </c>
      <c r="AH1021" s="120">
        <f t="shared" ref="AH1021:AH1045" si="8909">SUM(AB1021+AD1021+AF1021)</f>
        <v>0</v>
      </c>
      <c r="AI1021" s="120">
        <f t="shared" ref="AI1021:AI1056" si="8910">SUM(Y1021+AG1021)</f>
        <v>0</v>
      </c>
      <c r="AJ1021" s="120">
        <f t="shared" ref="AJ1021:AJ1056" si="8911">SUM(Z1021,AH1021)</f>
        <v>0</v>
      </c>
      <c r="AK1021" s="120"/>
      <c r="AL1021" s="120">
        <f t="shared" ref="AL1021:AL1056" si="8912">M1021*AK1021*$AL$2/1000</f>
        <v>0</v>
      </c>
      <c r="AM1021" s="120"/>
      <c r="AN1021" s="120">
        <f t="shared" ref="AN1021:AN1056" si="8913">M1021*AM1021*$AN$2/1000</f>
        <v>0</v>
      </c>
      <c r="AO1021" s="120"/>
      <c r="AP1021" s="120">
        <f t="shared" si="8701"/>
        <v>0</v>
      </c>
      <c r="AQ1021" s="120">
        <f t="shared" ref="AQ1021:AQ1050" si="8914">SUM(AK1021+AM1021+AO1021)</f>
        <v>0</v>
      </c>
      <c r="AR1021" s="120">
        <f t="shared" ref="AR1021:AR1051" si="8915">SUM(AL1021+AN1021+AP1021)</f>
        <v>0</v>
      </c>
      <c r="AS1021" s="120"/>
      <c r="AT1021" s="120">
        <f t="shared" ref="AT1021:AT1056" si="8916">O1021*AS1021*$AT$2/1000</f>
        <v>0</v>
      </c>
      <c r="AU1021" s="120"/>
      <c r="AV1021" s="120">
        <f t="shared" ref="AV1021:AV1056" si="8917">O1021*AU1021*$AV$2/1000</f>
        <v>0</v>
      </c>
      <c r="AW1021" s="120"/>
      <c r="AX1021" s="120">
        <f t="shared" ref="AX1021:AX1056" si="8918">O1021*AW1021*$AX$2/1000</f>
        <v>0</v>
      </c>
      <c r="AY1021" s="120">
        <f t="shared" ref="AY1021:AY1050" si="8919">SUM(AS1021+AU1021+AW1021)</f>
        <v>0</v>
      </c>
      <c r="AZ1021" s="120">
        <f t="shared" ref="AZ1021:AZ1050" si="8920">SUM(AT1021+AV1021+AX1021)</f>
        <v>0</v>
      </c>
      <c r="BA1021" s="120">
        <f t="shared" ref="BA1021:BA1056" si="8921">SUM(AQ1021+AY1021)</f>
        <v>0</v>
      </c>
      <c r="BB1021" s="120">
        <f t="shared" ref="BB1021:BB1056" si="8922">SUM(AR1021,AZ1021)</f>
        <v>0</v>
      </c>
    </row>
    <row r="1022" spans="1:54">
      <c r="A1022" s="498">
        <v>732</v>
      </c>
      <c r="B1022" s="13"/>
      <c r="C1022" s="306" t="s">
        <v>990</v>
      </c>
      <c r="D1022" s="263" t="s">
        <v>988</v>
      </c>
      <c r="E1022" s="31" t="s">
        <v>1363</v>
      </c>
      <c r="F1022" s="314" t="s">
        <v>981</v>
      </c>
      <c r="G1022" s="314" t="s">
        <v>1105</v>
      </c>
      <c r="H1022" s="274" t="s">
        <v>446</v>
      </c>
      <c r="I1022" s="62">
        <v>10.95</v>
      </c>
      <c r="J1022" s="164"/>
      <c r="K1022" s="62">
        <v>10.95</v>
      </c>
      <c r="L1022" s="164"/>
      <c r="M1022" s="62">
        <v>10.95</v>
      </c>
      <c r="N1022" s="164"/>
      <c r="O1022" s="62">
        <v>10.95</v>
      </c>
      <c r="P1022" s="164"/>
      <c r="Q1022" s="122">
        <f t="shared" si="8900"/>
        <v>0</v>
      </c>
      <c r="R1022" s="346">
        <f t="shared" si="8901"/>
        <v>0</v>
      </c>
      <c r="S1022" s="122"/>
      <c r="T1022" s="122">
        <f t="shared" si="8902"/>
        <v>0</v>
      </c>
      <c r="U1022" s="122"/>
      <c r="V1022" s="122">
        <f t="shared" si="8903"/>
        <v>0</v>
      </c>
      <c r="W1022" s="122"/>
      <c r="X1022" s="122">
        <f t="shared" si="8904"/>
        <v>0</v>
      </c>
      <c r="Y1022" s="122">
        <f t="shared" si="8905"/>
        <v>0</v>
      </c>
      <c r="Z1022" s="122">
        <f t="shared" si="8906"/>
        <v>0</v>
      </c>
      <c r="AA1022" s="122"/>
      <c r="AB1022" s="122">
        <f t="shared" si="8539"/>
        <v>0</v>
      </c>
      <c r="AC1022" s="122"/>
      <c r="AD1022" s="122">
        <f t="shared" si="8907"/>
        <v>0</v>
      </c>
      <c r="AE1022" s="122"/>
      <c r="AF1022" s="122">
        <f>K1022*AE1022*$AF$2/1000</f>
        <v>0</v>
      </c>
      <c r="AG1022" s="122">
        <f t="shared" si="8908"/>
        <v>0</v>
      </c>
      <c r="AH1022" s="122">
        <f t="shared" si="8909"/>
        <v>0</v>
      </c>
      <c r="AI1022" s="122">
        <f t="shared" si="8910"/>
        <v>0</v>
      </c>
      <c r="AJ1022" s="122">
        <f t="shared" si="8911"/>
        <v>0</v>
      </c>
      <c r="AK1022" s="122"/>
      <c r="AL1022" s="122">
        <f t="shared" si="8912"/>
        <v>0</v>
      </c>
      <c r="AM1022" s="122"/>
      <c r="AN1022" s="122">
        <f t="shared" si="8913"/>
        <v>0</v>
      </c>
      <c r="AO1022" s="122"/>
      <c r="AP1022" s="122">
        <f t="shared" si="8701"/>
        <v>0</v>
      </c>
      <c r="AQ1022" s="122">
        <f t="shared" si="8914"/>
        <v>0</v>
      </c>
      <c r="AR1022" s="122">
        <f t="shared" si="8915"/>
        <v>0</v>
      </c>
      <c r="AS1022" s="122"/>
      <c r="AT1022" s="122">
        <f t="shared" si="8916"/>
        <v>0</v>
      </c>
      <c r="AU1022" s="122"/>
      <c r="AV1022" s="122">
        <f t="shared" si="8917"/>
        <v>0</v>
      </c>
      <c r="AW1022" s="122"/>
      <c r="AX1022" s="122">
        <f t="shared" si="8918"/>
        <v>0</v>
      </c>
      <c r="AY1022" s="122">
        <f t="shared" si="8919"/>
        <v>0</v>
      </c>
      <c r="AZ1022" s="122">
        <f t="shared" si="8920"/>
        <v>0</v>
      </c>
      <c r="BA1022" s="122">
        <f t="shared" si="8921"/>
        <v>0</v>
      </c>
      <c r="BB1022" s="122">
        <f t="shared" si="8922"/>
        <v>0</v>
      </c>
    </row>
    <row r="1023" spans="1:54">
      <c r="B1023" s="13"/>
      <c r="C1023" s="13"/>
      <c r="D1023" s="13"/>
      <c r="E1023" s="21" t="s">
        <v>1438</v>
      </c>
      <c r="F1023" s="314" t="s">
        <v>981</v>
      </c>
      <c r="G1023" s="22" t="s">
        <v>1102</v>
      </c>
      <c r="H1023" s="267" t="s">
        <v>369</v>
      </c>
      <c r="I1023" s="55">
        <v>11.84</v>
      </c>
      <c r="J1023" s="102"/>
      <c r="K1023" s="55">
        <v>11.84</v>
      </c>
      <c r="L1023" s="163"/>
      <c r="M1023" s="55">
        <v>11.84</v>
      </c>
      <c r="N1023" s="163"/>
      <c r="O1023" s="55">
        <v>11.84</v>
      </c>
      <c r="P1023" s="102"/>
      <c r="Q1023" s="97">
        <f t="shared" ref="Q1023" si="8923">SUM(AI1023+BA1023)</f>
        <v>0</v>
      </c>
      <c r="R1023" s="342">
        <f t="shared" ref="R1023" si="8924">SUM(AJ1023+BB1023)</f>
        <v>0</v>
      </c>
      <c r="S1023" s="97"/>
      <c r="T1023" s="97">
        <f>I1023*S1023*$T$2/1000</f>
        <v>0</v>
      </c>
      <c r="U1023" s="97"/>
      <c r="V1023" s="177">
        <f>I1023*U1023*$V$2/1000</f>
        <v>0</v>
      </c>
      <c r="W1023" s="207"/>
      <c r="X1023" s="206">
        <f>I1023*W1023*$X$2/1000</f>
        <v>0</v>
      </c>
      <c r="Y1023" s="189">
        <f t="shared" si="8905"/>
        <v>0</v>
      </c>
      <c r="Z1023" s="177">
        <f t="shared" si="8906"/>
        <v>0</v>
      </c>
      <c r="AA1023" s="207"/>
      <c r="AB1023" s="206">
        <f>K1023*AA1023*$AB$2/1000</f>
        <v>0</v>
      </c>
      <c r="AC1023" s="207"/>
      <c r="AD1023" s="177">
        <f>K1023*AC1023*$AD$2/1000</f>
        <v>0</v>
      </c>
      <c r="AE1023" s="207"/>
      <c r="AF1023" s="206">
        <f t="shared" ref="AF1023" si="8925">K1023*AE1023*$AF$2/1000</f>
        <v>0</v>
      </c>
      <c r="AG1023" s="189">
        <f t="shared" si="8908"/>
        <v>0</v>
      </c>
      <c r="AH1023" s="97">
        <f t="shared" si="8909"/>
        <v>0</v>
      </c>
      <c r="AI1023" s="97">
        <f t="shared" ref="AI1023" si="8926">SUM(Y1023+AG1023)</f>
        <v>0</v>
      </c>
      <c r="AJ1023" s="177">
        <f t="shared" ref="AJ1023" si="8927">SUM(Z1023,AH1023)</f>
        <v>0</v>
      </c>
      <c r="AK1023" s="207"/>
      <c r="AL1023" s="177">
        <f t="shared" ref="AL1023" si="8928">M1023*AK1023*$AL$2/1000</f>
        <v>0</v>
      </c>
      <c r="AM1023" s="245"/>
      <c r="AN1023" s="177">
        <f t="shared" ref="AN1023" si="8929">M1023*AM1023*$AN$2/1000</f>
        <v>0</v>
      </c>
      <c r="AO1023" s="207"/>
      <c r="AP1023" s="206">
        <f t="shared" ref="AP1023" si="8930">M1023*AO1023*$AP$2/1000</f>
        <v>0</v>
      </c>
      <c r="AQ1023" s="189">
        <f>SUM(AK1023+AM1023+AO1023)</f>
        <v>0</v>
      </c>
      <c r="AR1023" s="97">
        <f t="shared" si="8915"/>
        <v>0</v>
      </c>
      <c r="AS1023" s="97"/>
      <c r="AT1023" s="177">
        <f t="shared" ref="AT1023" si="8931">O1023*AS1023*$AT$2/1000</f>
        <v>0</v>
      </c>
      <c r="AU1023" s="207"/>
      <c r="AV1023" s="177">
        <f t="shared" ref="AV1023" si="8932">O1023*AU1023*$AV$2/1000</f>
        <v>0</v>
      </c>
      <c r="AW1023" s="207"/>
      <c r="AX1023" s="206">
        <f t="shared" ref="AX1023" si="8933">O1023*AW1023*$AX$2/1000</f>
        <v>0</v>
      </c>
      <c r="AY1023" s="189">
        <f>SUM(AS1023+AU1023+AW1023)</f>
        <v>0</v>
      </c>
      <c r="AZ1023" s="97">
        <f t="shared" si="8920"/>
        <v>0</v>
      </c>
      <c r="BA1023" s="97">
        <f t="shared" ref="BA1023" si="8934">SUM(AQ1023+AY1023)</f>
        <v>0</v>
      </c>
      <c r="BB1023" s="97">
        <f t="shared" ref="BB1023" si="8935">SUM(AR1023,AZ1023)</f>
        <v>0</v>
      </c>
    </row>
    <row r="1024" spans="1:54" s="6" customFormat="1">
      <c r="A1024" s="498">
        <v>733</v>
      </c>
      <c r="B1024" s="14"/>
      <c r="C1024" s="40"/>
      <c r="D1024" s="14"/>
      <c r="E1024" s="16" t="s">
        <v>1402</v>
      </c>
      <c r="F1024" s="45" t="s">
        <v>981</v>
      </c>
      <c r="G1024" s="45" t="s">
        <v>1105</v>
      </c>
      <c r="H1024" s="267" t="s">
        <v>365</v>
      </c>
      <c r="I1024" s="234">
        <v>11.84</v>
      </c>
      <c r="J1024" s="241"/>
      <c r="K1024" s="234">
        <v>11.84</v>
      </c>
      <c r="L1024" s="241"/>
      <c r="M1024" s="234">
        <v>11.84</v>
      </c>
      <c r="N1024" s="241"/>
      <c r="O1024" s="234">
        <v>11.81</v>
      </c>
      <c r="P1024" s="241"/>
      <c r="Q1024" s="96">
        <f t="shared" ref="Q1024" si="8936">SUM(AI1024+BA1024)</f>
        <v>1.4450000000000001</v>
      </c>
      <c r="R1024" s="340">
        <f t="shared" ref="R1024" si="8937">SUM(AJ1024+BB1024)</f>
        <v>23.046410520000002</v>
      </c>
      <c r="S1024" s="96"/>
      <c r="T1024" s="96">
        <f t="shared" ref="T1024" si="8938">I1024*S1024*$T$2/1000</f>
        <v>0</v>
      </c>
      <c r="U1024" s="96">
        <v>0.44500000000000001</v>
      </c>
      <c r="V1024" s="96">
        <f t="shared" ref="V1024" si="8939">I1024*U1024*$V$2/1000</f>
        <v>7.00961152</v>
      </c>
      <c r="W1024" s="96"/>
      <c r="X1024" s="96">
        <f t="shared" ref="X1024" si="8940">I1024*W1024*$X$2/1000</f>
        <v>0</v>
      </c>
      <c r="Y1024" s="96">
        <f>SUM(S1024+U1024+W1024)</f>
        <v>0.44500000000000001</v>
      </c>
      <c r="Z1024" s="96">
        <f t="shared" ref="Z1024" si="8941">SUM(T1024+V1024+X1024)</f>
        <v>7.00961152</v>
      </c>
      <c r="AA1024" s="96"/>
      <c r="AB1024" s="96">
        <f t="shared" ref="AB1024" si="8942">K1024*AA1024*$AB$2/1000</f>
        <v>0</v>
      </c>
      <c r="AC1024" s="96"/>
      <c r="AD1024" s="96">
        <f t="shared" ref="AD1024" si="8943">K1024*AC1024*$AD$2/1000</f>
        <v>0</v>
      </c>
      <c r="AE1024" s="96"/>
      <c r="AF1024" s="97">
        <f t="shared" ref="AF1024" si="8944">K1024*AE1024*$AF$2/1000</f>
        <v>0</v>
      </c>
      <c r="AG1024" s="96">
        <f t="shared" ref="AG1024" si="8945">SUM(AA1024+AC1024+AE1024)</f>
        <v>0</v>
      </c>
      <c r="AH1024" s="96">
        <f t="shared" ref="AH1024" si="8946">SUM(AB1024+AD1024+AF1024)</f>
        <v>0</v>
      </c>
      <c r="AI1024" s="96">
        <f t="shared" ref="AI1024" si="8947">SUM(Y1024+AG1024)</f>
        <v>0.44500000000000001</v>
      </c>
      <c r="AJ1024" s="96">
        <f t="shared" ref="AJ1024" si="8948">SUM(Z1024,AH1024)</f>
        <v>7.00961152</v>
      </c>
      <c r="AK1024" s="96"/>
      <c r="AL1024" s="96">
        <f t="shared" ref="AL1024" si="8949">M1024*AK1024*$AL$2/1000</f>
        <v>0</v>
      </c>
      <c r="AM1024" s="96"/>
      <c r="AN1024" s="96">
        <f t="shared" ref="AN1024" si="8950">M1024*AM1024*$AN$2/1000</f>
        <v>0</v>
      </c>
      <c r="AO1024" s="96"/>
      <c r="AP1024" s="96">
        <f t="shared" ref="AP1024" si="8951">M1024*AO1024*$AP$2/1000</f>
        <v>0</v>
      </c>
      <c r="AQ1024" s="96">
        <f t="shared" ref="AQ1024" si="8952">SUM(AK1024+AM1024+AO1024)</f>
        <v>0</v>
      </c>
      <c r="AR1024" s="96">
        <f t="shared" ref="AR1024" si="8953">SUM(AL1024+AN1024+AP1024)</f>
        <v>0</v>
      </c>
      <c r="AS1024" s="96">
        <v>1</v>
      </c>
      <c r="AT1024" s="96">
        <f t="shared" ref="AT1024" si="8954">O1024*AS1024*$AT$2/1000</f>
        <v>16.036799000000002</v>
      </c>
      <c r="AU1024" s="96"/>
      <c r="AV1024" s="96">
        <f t="shared" ref="AV1024" si="8955">O1024*AU1024*$AV$2/1000</f>
        <v>0</v>
      </c>
      <c r="AW1024" s="96"/>
      <c r="AX1024" s="96">
        <f t="shared" ref="AX1024" si="8956">O1024*AW1024*$AX$2/1000</f>
        <v>0</v>
      </c>
      <c r="AY1024" s="96">
        <f t="shared" ref="AY1024" si="8957">SUM(AS1024+AU1024+AW1024)</f>
        <v>1</v>
      </c>
      <c r="AZ1024" s="96">
        <f t="shared" ref="AZ1024" si="8958">SUM(AT1024+AV1024+AX1024)</f>
        <v>16.036799000000002</v>
      </c>
      <c r="BA1024" s="96">
        <f t="shared" ref="BA1024" si="8959">SUM(AQ1024+AY1024)</f>
        <v>1</v>
      </c>
      <c r="BB1024" s="96">
        <f t="shared" ref="BB1024" si="8960">SUM(AR1024,AZ1024)</f>
        <v>16.036799000000002</v>
      </c>
    </row>
    <row r="1025" spans="1:54" s="6" customFormat="1">
      <c r="A1025" s="498">
        <v>733</v>
      </c>
      <c r="B1025" s="14"/>
      <c r="C1025" s="40"/>
      <c r="D1025" s="14"/>
      <c r="E1025" s="16" t="s">
        <v>2353</v>
      </c>
      <c r="F1025" s="45" t="s">
        <v>981</v>
      </c>
      <c r="G1025" s="45" t="s">
        <v>1105</v>
      </c>
      <c r="H1025" s="267" t="s">
        <v>446</v>
      </c>
      <c r="I1025" s="234"/>
      <c r="J1025" s="241"/>
      <c r="K1025" s="234"/>
      <c r="L1025" s="241"/>
      <c r="M1025" s="234"/>
      <c r="N1025" s="241"/>
      <c r="O1025" s="234">
        <v>12.09</v>
      </c>
      <c r="P1025" s="241"/>
      <c r="Q1025" s="96">
        <f t="shared" si="8900"/>
        <v>1.728</v>
      </c>
      <c r="R1025" s="340">
        <f t="shared" si="8901"/>
        <v>29.074101638400002</v>
      </c>
      <c r="S1025" s="96"/>
      <c r="T1025" s="96">
        <f t="shared" si="8902"/>
        <v>0</v>
      </c>
      <c r="U1025" s="96"/>
      <c r="V1025" s="96">
        <f t="shared" si="8903"/>
        <v>0</v>
      </c>
      <c r="W1025" s="96"/>
      <c r="X1025" s="96">
        <f t="shared" si="8904"/>
        <v>0</v>
      </c>
      <c r="Y1025" s="96">
        <f>SUM(S1025+U1025+W1025)</f>
        <v>0</v>
      </c>
      <c r="Z1025" s="96">
        <f t="shared" si="8906"/>
        <v>0</v>
      </c>
      <c r="AA1025" s="96"/>
      <c r="AB1025" s="96">
        <f t="shared" si="8539"/>
        <v>0</v>
      </c>
      <c r="AC1025" s="96"/>
      <c r="AD1025" s="96">
        <f t="shared" si="8907"/>
        <v>0</v>
      </c>
      <c r="AE1025" s="96"/>
      <c r="AF1025" s="97">
        <f t="shared" ref="AF1025:AF1056" si="8961">K1025*AE1025*$AF$2/1000</f>
        <v>0</v>
      </c>
      <c r="AG1025" s="96">
        <f t="shared" si="8908"/>
        <v>0</v>
      </c>
      <c r="AH1025" s="96">
        <f t="shared" si="8909"/>
        <v>0</v>
      </c>
      <c r="AI1025" s="96">
        <f t="shared" si="8910"/>
        <v>0</v>
      </c>
      <c r="AJ1025" s="96">
        <f t="shared" si="8911"/>
        <v>0</v>
      </c>
      <c r="AK1025" s="96"/>
      <c r="AL1025" s="96">
        <f t="shared" si="8912"/>
        <v>0</v>
      </c>
      <c r="AM1025" s="96"/>
      <c r="AN1025" s="96">
        <f t="shared" si="8913"/>
        <v>0</v>
      </c>
      <c r="AO1025" s="96"/>
      <c r="AP1025" s="96">
        <f t="shared" si="8701"/>
        <v>0</v>
      </c>
      <c r="AQ1025" s="96">
        <f t="shared" si="8914"/>
        <v>0</v>
      </c>
      <c r="AR1025" s="96">
        <f t="shared" si="8915"/>
        <v>0</v>
      </c>
      <c r="AS1025" s="96"/>
      <c r="AT1025" s="96">
        <f t="shared" si="8916"/>
        <v>0</v>
      </c>
      <c r="AU1025" s="96">
        <v>1.728</v>
      </c>
      <c r="AV1025" s="96">
        <f t="shared" si="8917"/>
        <v>29.074101638400002</v>
      </c>
      <c r="AW1025" s="96"/>
      <c r="AX1025" s="96">
        <f t="shared" si="8918"/>
        <v>0</v>
      </c>
      <c r="AY1025" s="96">
        <f t="shared" si="8919"/>
        <v>1.728</v>
      </c>
      <c r="AZ1025" s="96">
        <f t="shared" si="8920"/>
        <v>29.074101638400002</v>
      </c>
      <c r="BA1025" s="96">
        <f t="shared" si="8921"/>
        <v>1.728</v>
      </c>
      <c r="BB1025" s="96">
        <f t="shared" si="8922"/>
        <v>29.074101638400002</v>
      </c>
    </row>
    <row r="1026" spans="1:54">
      <c r="B1026" s="13"/>
      <c r="C1026" s="13"/>
      <c r="D1026" s="13"/>
      <c r="E1026" s="21" t="s">
        <v>1364</v>
      </c>
      <c r="F1026" s="45" t="s">
        <v>982</v>
      </c>
      <c r="G1026" s="22" t="s">
        <v>1201</v>
      </c>
      <c r="H1026" s="267" t="s">
        <v>369</v>
      </c>
      <c r="I1026" s="55">
        <v>11.45</v>
      </c>
      <c r="J1026" s="102"/>
      <c r="K1026" s="55">
        <v>11.45</v>
      </c>
      <c r="L1026" s="163"/>
      <c r="M1026" s="55">
        <v>11.45</v>
      </c>
      <c r="N1026" s="163"/>
      <c r="O1026" s="55">
        <v>11.45</v>
      </c>
      <c r="P1026" s="102"/>
      <c r="Q1026" s="97">
        <f t="shared" si="8900"/>
        <v>0</v>
      </c>
      <c r="R1026" s="342">
        <f t="shared" si="8901"/>
        <v>0</v>
      </c>
      <c r="S1026" s="97"/>
      <c r="T1026" s="97">
        <f>I1026*S1026*$T$2/1000</f>
        <v>0</v>
      </c>
      <c r="U1026" s="97"/>
      <c r="V1026" s="177">
        <f>I1026*U1026*$V$2/1000</f>
        <v>0</v>
      </c>
      <c r="W1026" s="207"/>
      <c r="X1026" s="206">
        <f>I1026*W1026*$X$2/1000</f>
        <v>0</v>
      </c>
      <c r="Y1026" s="189">
        <f t="shared" ref="Y1026" si="8962">SUM(S1026+U1026+W1026)</f>
        <v>0</v>
      </c>
      <c r="Z1026" s="177">
        <f t="shared" ref="Z1026:Z1029" si="8963">SUM(T1026+V1026+X1026)</f>
        <v>0</v>
      </c>
      <c r="AA1026" s="207"/>
      <c r="AB1026" s="206">
        <f>K1026*AA1026*$AB$2/1000</f>
        <v>0</v>
      </c>
      <c r="AC1026" s="207"/>
      <c r="AD1026" s="177">
        <f>K1026*AC1026*$AD$2/1000</f>
        <v>0</v>
      </c>
      <c r="AE1026" s="207"/>
      <c r="AF1026" s="206">
        <f t="shared" si="8961"/>
        <v>0</v>
      </c>
      <c r="AG1026" s="189">
        <f t="shared" ref="AG1026:AG1029" si="8964">SUM(AA1026+AC1026+AE1026)</f>
        <v>0</v>
      </c>
      <c r="AH1026" s="97">
        <f t="shared" ref="AH1026:AH1029" si="8965">SUM(AB1026+AD1026+AF1026)</f>
        <v>0</v>
      </c>
      <c r="AI1026" s="97">
        <f t="shared" si="8910"/>
        <v>0</v>
      </c>
      <c r="AJ1026" s="177">
        <f t="shared" si="8911"/>
        <v>0</v>
      </c>
      <c r="AK1026" s="207"/>
      <c r="AL1026" s="177">
        <f t="shared" si="8912"/>
        <v>0</v>
      </c>
      <c r="AM1026" s="245"/>
      <c r="AN1026" s="177">
        <f t="shared" si="8913"/>
        <v>0</v>
      </c>
      <c r="AO1026" s="207"/>
      <c r="AP1026" s="206">
        <f t="shared" si="8701"/>
        <v>0</v>
      </c>
      <c r="AQ1026" s="189">
        <f>SUM(AK1026+AM1026+AO1026)</f>
        <v>0</v>
      </c>
      <c r="AR1026" s="97">
        <f t="shared" ref="AR1026:AR1029" si="8966">SUM(AL1026+AN1026+AP1026)</f>
        <v>0</v>
      </c>
      <c r="AS1026" s="97"/>
      <c r="AT1026" s="177">
        <f t="shared" si="8916"/>
        <v>0</v>
      </c>
      <c r="AU1026" s="207"/>
      <c r="AV1026" s="177">
        <f t="shared" si="8917"/>
        <v>0</v>
      </c>
      <c r="AW1026" s="207"/>
      <c r="AX1026" s="206">
        <f t="shared" si="8918"/>
        <v>0</v>
      </c>
      <c r="AY1026" s="189">
        <f>SUM(AS1026+AU1026+AW1026)</f>
        <v>0</v>
      </c>
      <c r="AZ1026" s="97">
        <f t="shared" ref="AZ1026:AZ1029" si="8967">SUM(AT1026+AV1026+AX1026)</f>
        <v>0</v>
      </c>
      <c r="BA1026" s="97">
        <f t="shared" si="8921"/>
        <v>0</v>
      </c>
      <c r="BB1026" s="97">
        <f t="shared" si="8922"/>
        <v>0</v>
      </c>
    </row>
    <row r="1027" spans="1:54" s="6" customFormat="1">
      <c r="A1027" s="498">
        <v>734</v>
      </c>
      <c r="B1027" s="14"/>
      <c r="C1027" s="40"/>
      <c r="D1027" s="14"/>
      <c r="E1027" s="16" t="s">
        <v>1365</v>
      </c>
      <c r="F1027" s="45" t="s">
        <v>983</v>
      </c>
      <c r="G1027" s="45" t="s">
        <v>1105</v>
      </c>
      <c r="H1027" s="267" t="s">
        <v>366</v>
      </c>
      <c r="I1027" s="234">
        <v>11.16</v>
      </c>
      <c r="J1027" s="241"/>
      <c r="K1027" s="234">
        <v>11.16</v>
      </c>
      <c r="L1027" s="241"/>
      <c r="M1027" s="234">
        <v>11.16</v>
      </c>
      <c r="N1027" s="241"/>
      <c r="O1027" s="234">
        <v>11.16</v>
      </c>
      <c r="P1027" s="241"/>
      <c r="Q1027" s="96">
        <f t="shared" ref="Q1027:Q1030" si="8968">SUM(AI1027+BA1027)</f>
        <v>0</v>
      </c>
      <c r="R1027" s="340">
        <f t="shared" ref="R1027:R1030" si="8969">SUM(AJ1027+BB1027)</f>
        <v>0</v>
      </c>
      <c r="S1027" s="96"/>
      <c r="T1027" s="96">
        <f t="shared" ref="T1027:T1029" si="8970">I1027*S1027*$T$2/1000</f>
        <v>0</v>
      </c>
      <c r="U1027" s="96"/>
      <c r="V1027" s="96">
        <f t="shared" ref="V1027:V1029" si="8971">I1027*U1027*$V$2/1000</f>
        <v>0</v>
      </c>
      <c r="W1027" s="96"/>
      <c r="X1027" s="96">
        <f t="shared" ref="X1027:X1029" si="8972">I1027*W1027*$X$2/1000</f>
        <v>0</v>
      </c>
      <c r="Y1027" s="96">
        <f t="shared" ref="Y1027:Y1030" si="8973">SUM(S1027+U1027+W1027)</f>
        <v>0</v>
      </c>
      <c r="Z1027" s="96">
        <f t="shared" si="8963"/>
        <v>0</v>
      </c>
      <c r="AA1027" s="96"/>
      <c r="AB1027" s="96">
        <f t="shared" ref="AB1027:AB1029" si="8974">K1027*AA1027*$AB$2/1000</f>
        <v>0</v>
      </c>
      <c r="AC1027" s="96"/>
      <c r="AD1027" s="96">
        <f t="shared" ref="AD1027:AD1029" si="8975">K1027*AC1027*$AD$2/1000</f>
        <v>0</v>
      </c>
      <c r="AE1027" s="96"/>
      <c r="AF1027" s="97">
        <f t="shared" ref="AF1027:AF1030" si="8976">K1027*AE1027*$AF$2/1000</f>
        <v>0</v>
      </c>
      <c r="AG1027" s="96">
        <f t="shared" si="8964"/>
        <v>0</v>
      </c>
      <c r="AH1027" s="96">
        <f t="shared" si="8965"/>
        <v>0</v>
      </c>
      <c r="AI1027" s="96">
        <f t="shared" ref="AI1027:AI1030" si="8977">SUM(Y1027+AG1027)</f>
        <v>0</v>
      </c>
      <c r="AJ1027" s="96">
        <f t="shared" ref="AJ1027:AJ1030" si="8978">SUM(Z1027,AH1027)</f>
        <v>0</v>
      </c>
      <c r="AK1027" s="96"/>
      <c r="AL1027" s="96">
        <f t="shared" ref="AL1027:AL1030" si="8979">M1027*AK1027*$AL$2/1000</f>
        <v>0</v>
      </c>
      <c r="AM1027" s="96"/>
      <c r="AN1027" s="96">
        <f t="shared" ref="AN1027:AN1030" si="8980">M1027*AM1027*$AN$2/1000</f>
        <v>0</v>
      </c>
      <c r="AO1027" s="96"/>
      <c r="AP1027" s="96">
        <f t="shared" ref="AP1027:AP1030" si="8981">M1027*AO1027*$AP$2/1000</f>
        <v>0</v>
      </c>
      <c r="AQ1027" s="96">
        <f t="shared" ref="AQ1027:AQ1029" si="8982">SUM(AK1027+AM1027+AO1027)</f>
        <v>0</v>
      </c>
      <c r="AR1027" s="96">
        <f t="shared" si="8966"/>
        <v>0</v>
      </c>
      <c r="AS1027" s="96"/>
      <c r="AT1027" s="96">
        <f t="shared" ref="AT1027:AT1030" si="8983">O1027*AS1027*$AT$2/1000</f>
        <v>0</v>
      </c>
      <c r="AU1027" s="96"/>
      <c r="AV1027" s="96">
        <f t="shared" ref="AV1027:AV1030" si="8984">O1027*AU1027*$AV$2/1000</f>
        <v>0</v>
      </c>
      <c r="AW1027" s="96"/>
      <c r="AX1027" s="96">
        <f t="shared" ref="AX1027:AX1030" si="8985">O1027*AW1027*$AX$2/1000</f>
        <v>0</v>
      </c>
      <c r="AY1027" s="96">
        <f t="shared" ref="AY1027:AY1029" si="8986">SUM(AS1027+AU1027+AW1027)</f>
        <v>0</v>
      </c>
      <c r="AZ1027" s="96">
        <f t="shared" si="8967"/>
        <v>0</v>
      </c>
      <c r="BA1027" s="96">
        <f t="shared" ref="BA1027:BA1030" si="8987">SUM(AQ1027+AY1027)</f>
        <v>0</v>
      </c>
      <c r="BB1027" s="96">
        <f t="shared" ref="BB1027:BB1030" si="8988">SUM(AR1027,AZ1027)</f>
        <v>0</v>
      </c>
    </row>
    <row r="1028" spans="1:54" s="6" customFormat="1">
      <c r="A1028" s="498">
        <v>734</v>
      </c>
      <c r="B1028" s="14"/>
      <c r="C1028" s="40"/>
      <c r="D1028" s="14"/>
      <c r="E1028" s="16" t="s">
        <v>1524</v>
      </c>
      <c r="F1028" s="45" t="s">
        <v>983</v>
      </c>
      <c r="G1028" s="45" t="s">
        <v>1105</v>
      </c>
      <c r="H1028" s="267" t="s">
        <v>366</v>
      </c>
      <c r="I1028" s="234">
        <v>12.06</v>
      </c>
      <c r="J1028" s="241"/>
      <c r="K1028" s="234">
        <v>12.06</v>
      </c>
      <c r="L1028" s="241"/>
      <c r="M1028" s="234">
        <v>12.06</v>
      </c>
      <c r="N1028" s="241"/>
      <c r="O1028" s="234">
        <v>12.06</v>
      </c>
      <c r="P1028" s="241"/>
      <c r="Q1028" s="96">
        <f t="shared" ref="Q1028" si="8989">SUM(AI1028+BA1028)</f>
        <v>0</v>
      </c>
      <c r="R1028" s="340">
        <f t="shared" ref="R1028" si="8990">SUM(AJ1028+BB1028)</f>
        <v>0</v>
      </c>
      <c r="S1028" s="96"/>
      <c r="T1028" s="96">
        <f t="shared" ref="T1028" si="8991">I1028*S1028*$T$2/1000</f>
        <v>0</v>
      </c>
      <c r="U1028" s="96"/>
      <c r="V1028" s="96">
        <f t="shared" ref="V1028" si="8992">I1028*U1028*$V$2/1000</f>
        <v>0</v>
      </c>
      <c r="W1028" s="96"/>
      <c r="X1028" s="96">
        <f t="shared" ref="X1028" si="8993">I1028*W1028*$X$2/1000</f>
        <v>0</v>
      </c>
      <c r="Y1028" s="96">
        <f t="shared" ref="Y1028" si="8994">SUM(S1028+U1028+W1028)</f>
        <v>0</v>
      </c>
      <c r="Z1028" s="96">
        <f t="shared" ref="Z1028" si="8995">SUM(T1028+V1028+X1028)</f>
        <v>0</v>
      </c>
      <c r="AA1028" s="96"/>
      <c r="AB1028" s="96">
        <f t="shared" ref="AB1028" si="8996">K1028*AA1028*$AB$2/1000</f>
        <v>0</v>
      </c>
      <c r="AC1028" s="96"/>
      <c r="AD1028" s="96">
        <f t="shared" ref="AD1028" si="8997">K1028*AC1028*$AD$2/1000</f>
        <v>0</v>
      </c>
      <c r="AE1028" s="96"/>
      <c r="AF1028" s="97">
        <f t="shared" ref="AF1028" si="8998">K1028*AE1028*$AF$2/1000</f>
        <v>0</v>
      </c>
      <c r="AG1028" s="96">
        <f t="shared" ref="AG1028" si="8999">SUM(AA1028+AC1028+AE1028)</f>
        <v>0</v>
      </c>
      <c r="AH1028" s="96">
        <f t="shared" ref="AH1028" si="9000">SUM(AB1028+AD1028+AF1028)</f>
        <v>0</v>
      </c>
      <c r="AI1028" s="96">
        <f t="shared" ref="AI1028" si="9001">SUM(Y1028+AG1028)</f>
        <v>0</v>
      </c>
      <c r="AJ1028" s="96">
        <f t="shared" ref="AJ1028" si="9002">SUM(Z1028,AH1028)</f>
        <v>0</v>
      </c>
      <c r="AK1028" s="96"/>
      <c r="AL1028" s="96">
        <f t="shared" ref="AL1028" si="9003">M1028*AK1028*$AL$2/1000</f>
        <v>0</v>
      </c>
      <c r="AM1028" s="96"/>
      <c r="AN1028" s="96">
        <f t="shared" ref="AN1028" si="9004">M1028*AM1028*$AN$2/1000</f>
        <v>0</v>
      </c>
      <c r="AO1028" s="96"/>
      <c r="AP1028" s="96">
        <f t="shared" ref="AP1028" si="9005">M1028*AO1028*$AP$2/1000</f>
        <v>0</v>
      </c>
      <c r="AQ1028" s="96">
        <f t="shared" ref="AQ1028" si="9006">SUM(AK1028+AM1028+AO1028)</f>
        <v>0</v>
      </c>
      <c r="AR1028" s="96">
        <f t="shared" ref="AR1028" si="9007">SUM(AL1028+AN1028+AP1028)</f>
        <v>0</v>
      </c>
      <c r="AS1028" s="96"/>
      <c r="AT1028" s="96">
        <f t="shared" ref="AT1028" si="9008">O1028*AS1028*$AT$2/1000</f>
        <v>0</v>
      </c>
      <c r="AU1028" s="96"/>
      <c r="AV1028" s="96">
        <f t="shared" ref="AV1028" si="9009">O1028*AU1028*$AV$2/1000</f>
        <v>0</v>
      </c>
      <c r="AW1028" s="96"/>
      <c r="AX1028" s="96">
        <f t="shared" ref="AX1028" si="9010">O1028*AW1028*$AX$2/1000</f>
        <v>0</v>
      </c>
      <c r="AY1028" s="96">
        <f t="shared" ref="AY1028" si="9011">SUM(AS1028+AU1028+AW1028)</f>
        <v>0</v>
      </c>
      <c r="AZ1028" s="96">
        <f t="shared" ref="AZ1028" si="9012">SUM(AT1028+AV1028+AX1028)</f>
        <v>0</v>
      </c>
      <c r="BA1028" s="96">
        <f t="shared" ref="BA1028" si="9013">SUM(AQ1028+AY1028)</f>
        <v>0</v>
      </c>
      <c r="BB1028" s="96">
        <f t="shared" ref="BB1028" si="9014">SUM(AR1028,AZ1028)</f>
        <v>0</v>
      </c>
    </row>
    <row r="1029" spans="1:54" s="6" customFormat="1">
      <c r="A1029" s="498">
        <v>734</v>
      </c>
      <c r="B1029" s="14"/>
      <c r="C1029" s="40"/>
      <c r="D1029" s="14"/>
      <c r="E1029" s="16" t="s">
        <v>1366</v>
      </c>
      <c r="F1029" s="45" t="s">
        <v>983</v>
      </c>
      <c r="G1029" s="45" t="s">
        <v>1105</v>
      </c>
      <c r="H1029" s="267" t="s">
        <v>366</v>
      </c>
      <c r="I1029" s="234">
        <v>10.892857142857142</v>
      </c>
      <c r="J1029" s="241"/>
      <c r="K1029" s="234">
        <v>10.892857142857142</v>
      </c>
      <c r="L1029" s="241"/>
      <c r="M1029" s="234">
        <v>10.892857142857142</v>
      </c>
      <c r="N1029" s="241"/>
      <c r="O1029" s="234">
        <v>10.892857142857142</v>
      </c>
      <c r="P1029" s="241"/>
      <c r="Q1029" s="96">
        <f t="shared" si="8968"/>
        <v>0</v>
      </c>
      <c r="R1029" s="340">
        <f t="shared" si="8969"/>
        <v>0</v>
      </c>
      <c r="S1029" s="96"/>
      <c r="T1029" s="96">
        <f t="shared" si="8970"/>
        <v>0</v>
      </c>
      <c r="U1029" s="96"/>
      <c r="V1029" s="96">
        <f t="shared" si="8971"/>
        <v>0</v>
      </c>
      <c r="W1029" s="96"/>
      <c r="X1029" s="96">
        <f t="shared" si="8972"/>
        <v>0</v>
      </c>
      <c r="Y1029" s="96">
        <f t="shared" si="8973"/>
        <v>0</v>
      </c>
      <c r="Z1029" s="96">
        <f t="shared" si="8963"/>
        <v>0</v>
      </c>
      <c r="AA1029" s="96"/>
      <c r="AB1029" s="96">
        <f t="shared" si="8974"/>
        <v>0</v>
      </c>
      <c r="AC1029" s="96"/>
      <c r="AD1029" s="96">
        <f t="shared" si="8975"/>
        <v>0</v>
      </c>
      <c r="AE1029" s="96"/>
      <c r="AF1029" s="97">
        <f t="shared" si="8976"/>
        <v>0</v>
      </c>
      <c r="AG1029" s="96">
        <f t="shared" si="8964"/>
        <v>0</v>
      </c>
      <c r="AH1029" s="96">
        <f t="shared" si="8965"/>
        <v>0</v>
      </c>
      <c r="AI1029" s="96">
        <f t="shared" si="8977"/>
        <v>0</v>
      </c>
      <c r="AJ1029" s="96">
        <f t="shared" si="8978"/>
        <v>0</v>
      </c>
      <c r="AK1029" s="96"/>
      <c r="AL1029" s="96">
        <f t="shared" si="8979"/>
        <v>0</v>
      </c>
      <c r="AM1029" s="96"/>
      <c r="AN1029" s="96">
        <f t="shared" si="8980"/>
        <v>0</v>
      </c>
      <c r="AO1029" s="96"/>
      <c r="AP1029" s="96">
        <f t="shared" si="8981"/>
        <v>0</v>
      </c>
      <c r="AQ1029" s="96">
        <f t="shared" si="8982"/>
        <v>0</v>
      </c>
      <c r="AR1029" s="96">
        <f t="shared" si="8966"/>
        <v>0</v>
      </c>
      <c r="AS1029" s="96"/>
      <c r="AT1029" s="96">
        <f t="shared" si="8983"/>
        <v>0</v>
      </c>
      <c r="AU1029" s="96"/>
      <c r="AV1029" s="96">
        <f t="shared" si="8984"/>
        <v>0</v>
      </c>
      <c r="AW1029" s="96"/>
      <c r="AX1029" s="96">
        <f t="shared" si="8985"/>
        <v>0</v>
      </c>
      <c r="AY1029" s="96">
        <f t="shared" si="8986"/>
        <v>0</v>
      </c>
      <c r="AZ1029" s="96">
        <f t="shared" si="8967"/>
        <v>0</v>
      </c>
      <c r="BA1029" s="96">
        <f t="shared" si="8987"/>
        <v>0</v>
      </c>
      <c r="BB1029" s="96">
        <f t="shared" si="8988"/>
        <v>0</v>
      </c>
    </row>
    <row r="1030" spans="1:54">
      <c r="B1030" s="13"/>
      <c r="C1030" s="13"/>
      <c r="D1030" s="13"/>
      <c r="E1030" s="21" t="s">
        <v>1439</v>
      </c>
      <c r="F1030" s="45" t="s">
        <v>983</v>
      </c>
      <c r="G1030" s="22" t="s">
        <v>1102</v>
      </c>
      <c r="H1030" s="267" t="s">
        <v>369</v>
      </c>
      <c r="I1030" s="55">
        <v>12.06</v>
      </c>
      <c r="J1030" s="102"/>
      <c r="K1030" s="55">
        <v>12.06</v>
      </c>
      <c r="L1030" s="163"/>
      <c r="M1030" s="55">
        <v>12.06</v>
      </c>
      <c r="N1030" s="163"/>
      <c r="O1030" s="55">
        <v>12.06</v>
      </c>
      <c r="P1030" s="102"/>
      <c r="Q1030" s="97">
        <f t="shared" si="8968"/>
        <v>0</v>
      </c>
      <c r="R1030" s="342">
        <f t="shared" si="8969"/>
        <v>0</v>
      </c>
      <c r="S1030" s="97"/>
      <c r="T1030" s="97">
        <f>I1030*S1030*$T$2/1000</f>
        <v>0</v>
      </c>
      <c r="U1030" s="97"/>
      <c r="V1030" s="177">
        <f>I1030*U1030*$V$2/1000</f>
        <v>0</v>
      </c>
      <c r="W1030" s="207"/>
      <c r="X1030" s="206">
        <f>I1030*W1030*$X$2/1000</f>
        <v>0</v>
      </c>
      <c r="Y1030" s="189">
        <f t="shared" si="8973"/>
        <v>0</v>
      </c>
      <c r="Z1030" s="177">
        <f>SUM(T1030+V1030+X1030)</f>
        <v>0</v>
      </c>
      <c r="AA1030" s="207"/>
      <c r="AB1030" s="206">
        <f>K1030*AA1030*$AB$2/1000</f>
        <v>0</v>
      </c>
      <c r="AC1030" s="207"/>
      <c r="AD1030" s="177">
        <f>K1030*AC1030*$AD$2/1000</f>
        <v>0</v>
      </c>
      <c r="AE1030" s="207"/>
      <c r="AF1030" s="206">
        <f t="shared" si="8976"/>
        <v>0</v>
      </c>
      <c r="AG1030" s="189">
        <f t="shared" ref="AG1030" si="9015">SUM(AA1030+AC1030+AE1030)</f>
        <v>0</v>
      </c>
      <c r="AH1030" s="97">
        <f t="shared" ref="AH1030" si="9016">SUM(AB1030+AD1030+AF1030)</f>
        <v>0</v>
      </c>
      <c r="AI1030" s="97">
        <f t="shared" si="8977"/>
        <v>0</v>
      </c>
      <c r="AJ1030" s="177">
        <f t="shared" si="8978"/>
        <v>0</v>
      </c>
      <c r="AK1030" s="207"/>
      <c r="AL1030" s="177">
        <f t="shared" si="8979"/>
        <v>0</v>
      </c>
      <c r="AM1030" s="245"/>
      <c r="AN1030" s="177">
        <f t="shared" si="8980"/>
        <v>0</v>
      </c>
      <c r="AO1030" s="207"/>
      <c r="AP1030" s="206">
        <f t="shared" si="8981"/>
        <v>0</v>
      </c>
      <c r="AQ1030" s="189">
        <f>SUM(AK1030+AM1030+AO1030)</f>
        <v>0</v>
      </c>
      <c r="AR1030" s="97">
        <f t="shared" ref="AR1030" si="9017">SUM(AL1030+AN1030+AP1030)</f>
        <v>0</v>
      </c>
      <c r="AS1030" s="97"/>
      <c r="AT1030" s="177">
        <f t="shared" si="8983"/>
        <v>0</v>
      </c>
      <c r="AU1030" s="207"/>
      <c r="AV1030" s="177">
        <f t="shared" si="8984"/>
        <v>0</v>
      </c>
      <c r="AW1030" s="207"/>
      <c r="AX1030" s="206">
        <f t="shared" si="8985"/>
        <v>0</v>
      </c>
      <c r="AY1030" s="189">
        <f>SUM(AS1030+AU1030+AW1030)</f>
        <v>0</v>
      </c>
      <c r="AZ1030" s="97">
        <f t="shared" ref="AZ1030" si="9018">SUM(AT1030+AV1030+AX1030)</f>
        <v>0</v>
      </c>
      <c r="BA1030" s="97">
        <f t="shared" si="8987"/>
        <v>0</v>
      </c>
      <c r="BB1030" s="97">
        <f t="shared" si="8988"/>
        <v>0</v>
      </c>
    </row>
    <row r="1031" spans="1:54" s="6" customFormat="1">
      <c r="A1031" s="498">
        <v>734</v>
      </c>
      <c r="B1031" s="14"/>
      <c r="C1031" s="40"/>
      <c r="D1031" s="14"/>
      <c r="E1031" s="16" t="s">
        <v>1367</v>
      </c>
      <c r="F1031" s="46" t="s">
        <v>984</v>
      </c>
      <c r="G1031" s="45" t="s">
        <v>1105</v>
      </c>
      <c r="H1031" s="267" t="s">
        <v>366</v>
      </c>
      <c r="I1031" s="234">
        <v>11.18</v>
      </c>
      <c r="J1031" s="241"/>
      <c r="K1031" s="234">
        <v>11.18</v>
      </c>
      <c r="L1031" s="241"/>
      <c r="M1031" s="234">
        <v>11.18</v>
      </c>
      <c r="N1031" s="241"/>
      <c r="O1031" s="234">
        <v>11.18</v>
      </c>
      <c r="P1031" s="241"/>
      <c r="Q1031" s="96">
        <f t="shared" si="8900"/>
        <v>0</v>
      </c>
      <c r="R1031" s="340">
        <f t="shared" si="8901"/>
        <v>0</v>
      </c>
      <c r="S1031" s="96"/>
      <c r="T1031" s="96">
        <f t="shared" si="8902"/>
        <v>0</v>
      </c>
      <c r="U1031" s="96"/>
      <c r="V1031" s="96">
        <f t="shared" si="8903"/>
        <v>0</v>
      </c>
      <c r="W1031" s="96"/>
      <c r="X1031" s="96">
        <f t="shared" si="8904"/>
        <v>0</v>
      </c>
      <c r="Y1031" s="96">
        <f t="shared" ref="Y1031:Y1032" si="9019">SUM(S1031+U1031+W1031)</f>
        <v>0</v>
      </c>
      <c r="Z1031" s="96">
        <f t="shared" si="8906"/>
        <v>0</v>
      </c>
      <c r="AA1031" s="96"/>
      <c r="AB1031" s="96">
        <f t="shared" si="8539"/>
        <v>0</v>
      </c>
      <c r="AC1031" s="96"/>
      <c r="AD1031" s="96">
        <f t="shared" si="8907"/>
        <v>0</v>
      </c>
      <c r="AE1031" s="96"/>
      <c r="AF1031" s="97">
        <f t="shared" si="8961"/>
        <v>0</v>
      </c>
      <c r="AG1031" s="96">
        <f t="shared" si="8908"/>
        <v>0</v>
      </c>
      <c r="AH1031" s="96">
        <f t="shared" si="8909"/>
        <v>0</v>
      </c>
      <c r="AI1031" s="96">
        <f t="shared" si="8910"/>
        <v>0</v>
      </c>
      <c r="AJ1031" s="96">
        <f t="shared" si="8911"/>
        <v>0</v>
      </c>
      <c r="AK1031" s="96"/>
      <c r="AL1031" s="96">
        <f t="shared" si="8912"/>
        <v>0</v>
      </c>
      <c r="AM1031" s="96"/>
      <c r="AN1031" s="96">
        <f t="shared" si="8913"/>
        <v>0</v>
      </c>
      <c r="AO1031" s="96"/>
      <c r="AP1031" s="96">
        <f t="shared" si="8701"/>
        <v>0</v>
      </c>
      <c r="AQ1031" s="96">
        <f t="shared" si="8914"/>
        <v>0</v>
      </c>
      <c r="AR1031" s="96">
        <f t="shared" si="8915"/>
        <v>0</v>
      </c>
      <c r="AS1031" s="96"/>
      <c r="AT1031" s="96">
        <f t="shared" si="8916"/>
        <v>0</v>
      </c>
      <c r="AU1031" s="96"/>
      <c r="AV1031" s="96">
        <f t="shared" si="8917"/>
        <v>0</v>
      </c>
      <c r="AW1031" s="96"/>
      <c r="AX1031" s="96">
        <f t="shared" si="8918"/>
        <v>0</v>
      </c>
      <c r="AY1031" s="96">
        <f t="shared" si="8919"/>
        <v>0</v>
      </c>
      <c r="AZ1031" s="96">
        <f t="shared" si="8920"/>
        <v>0</v>
      </c>
      <c r="BA1031" s="96">
        <f t="shared" si="8921"/>
        <v>0</v>
      </c>
      <c r="BB1031" s="96">
        <f t="shared" si="8922"/>
        <v>0</v>
      </c>
    </row>
    <row r="1032" spans="1:54">
      <c r="A1032" s="498">
        <v>735</v>
      </c>
      <c r="B1032" s="13"/>
      <c r="C1032" s="236"/>
      <c r="D1032" s="24"/>
      <c r="E1032" s="21" t="s">
        <v>1368</v>
      </c>
      <c r="F1032" s="46" t="s">
        <v>984</v>
      </c>
      <c r="G1032" s="46" t="s">
        <v>1105</v>
      </c>
      <c r="H1032" s="268" t="s">
        <v>446</v>
      </c>
      <c r="I1032" s="55">
        <v>10.914285714285713</v>
      </c>
      <c r="J1032" s="163"/>
      <c r="K1032" s="55">
        <v>10.914285714285713</v>
      </c>
      <c r="L1032" s="163"/>
      <c r="M1032" s="55">
        <v>10.914285714285713</v>
      </c>
      <c r="N1032" s="163"/>
      <c r="O1032" s="55">
        <v>10.914285714285713</v>
      </c>
      <c r="P1032" s="163"/>
      <c r="Q1032" s="97">
        <f t="shared" si="8900"/>
        <v>0</v>
      </c>
      <c r="R1032" s="342">
        <f t="shared" si="8901"/>
        <v>0</v>
      </c>
      <c r="S1032" s="97"/>
      <c r="T1032" s="97">
        <f t="shared" si="8902"/>
        <v>0</v>
      </c>
      <c r="U1032" s="97"/>
      <c r="V1032" s="97">
        <f t="shared" si="8903"/>
        <v>0</v>
      </c>
      <c r="W1032" s="97"/>
      <c r="X1032" s="97">
        <f t="shared" si="8904"/>
        <v>0</v>
      </c>
      <c r="Y1032" s="97">
        <f t="shared" si="9019"/>
        <v>0</v>
      </c>
      <c r="Z1032" s="97">
        <f t="shared" si="8906"/>
        <v>0</v>
      </c>
      <c r="AA1032" s="97"/>
      <c r="AB1032" s="97">
        <f t="shared" si="8539"/>
        <v>0</v>
      </c>
      <c r="AC1032" s="97"/>
      <c r="AD1032" s="97">
        <f t="shared" si="8907"/>
        <v>0</v>
      </c>
      <c r="AE1032" s="97"/>
      <c r="AF1032" s="97">
        <f t="shared" si="8961"/>
        <v>0</v>
      </c>
      <c r="AG1032" s="97">
        <f t="shared" si="8908"/>
        <v>0</v>
      </c>
      <c r="AH1032" s="97">
        <f t="shared" si="8909"/>
        <v>0</v>
      </c>
      <c r="AI1032" s="97">
        <f t="shared" si="8910"/>
        <v>0</v>
      </c>
      <c r="AJ1032" s="97">
        <f t="shared" si="8911"/>
        <v>0</v>
      </c>
      <c r="AK1032" s="97"/>
      <c r="AL1032" s="97">
        <f t="shared" si="8912"/>
        <v>0</v>
      </c>
      <c r="AM1032" s="97"/>
      <c r="AN1032" s="97">
        <f t="shared" si="8913"/>
        <v>0</v>
      </c>
      <c r="AO1032" s="97"/>
      <c r="AP1032" s="97">
        <f t="shared" si="8701"/>
        <v>0</v>
      </c>
      <c r="AQ1032" s="97">
        <f t="shared" si="8914"/>
        <v>0</v>
      </c>
      <c r="AR1032" s="97">
        <f t="shared" si="8915"/>
        <v>0</v>
      </c>
      <c r="AS1032" s="97"/>
      <c r="AT1032" s="97">
        <f t="shared" si="8916"/>
        <v>0</v>
      </c>
      <c r="AU1032" s="97"/>
      <c r="AV1032" s="97">
        <f t="shared" si="8917"/>
        <v>0</v>
      </c>
      <c r="AW1032" s="97"/>
      <c r="AX1032" s="97">
        <f t="shared" si="8918"/>
        <v>0</v>
      </c>
      <c r="AY1032" s="97">
        <f t="shared" si="8919"/>
        <v>0</v>
      </c>
      <c r="AZ1032" s="97">
        <f t="shared" si="8920"/>
        <v>0</v>
      </c>
      <c r="BA1032" s="97">
        <f t="shared" si="8921"/>
        <v>0</v>
      </c>
      <c r="BB1032" s="97">
        <f t="shared" si="8922"/>
        <v>0</v>
      </c>
    </row>
    <row r="1033" spans="1:54" s="6" customFormat="1">
      <c r="A1033" s="498">
        <v>736</v>
      </c>
      <c r="B1033" s="14"/>
      <c r="C1033" s="40"/>
      <c r="D1033" s="14" t="s">
        <v>989</v>
      </c>
      <c r="E1033" s="16" t="s">
        <v>1369</v>
      </c>
      <c r="F1033" s="45" t="s">
        <v>982</v>
      </c>
      <c r="G1033" s="45" t="s">
        <v>1105</v>
      </c>
      <c r="H1033" s="267" t="s">
        <v>446</v>
      </c>
      <c r="I1033" s="234">
        <v>14.51</v>
      </c>
      <c r="J1033" s="241"/>
      <c r="K1033" s="234">
        <v>14.51</v>
      </c>
      <c r="L1033" s="241"/>
      <c r="M1033" s="234">
        <v>14.51</v>
      </c>
      <c r="N1033" s="241"/>
      <c r="O1033" s="234">
        <v>14.51</v>
      </c>
      <c r="P1033" s="241"/>
      <c r="Q1033" s="96">
        <f t="shared" si="8900"/>
        <v>0</v>
      </c>
      <c r="R1033" s="340">
        <f t="shared" si="8901"/>
        <v>0</v>
      </c>
      <c r="S1033" s="96"/>
      <c r="T1033" s="96">
        <f t="shared" si="8902"/>
        <v>0</v>
      </c>
      <c r="U1033" s="96"/>
      <c r="V1033" s="96">
        <f t="shared" si="8903"/>
        <v>0</v>
      </c>
      <c r="W1033" s="96"/>
      <c r="X1033" s="96">
        <f t="shared" si="8904"/>
        <v>0</v>
      </c>
      <c r="Y1033" s="96">
        <f>SUM(S1033+U1033+W1033)</f>
        <v>0</v>
      </c>
      <c r="Z1033" s="96">
        <f t="shared" si="8906"/>
        <v>0</v>
      </c>
      <c r="AA1033" s="96"/>
      <c r="AB1033" s="96">
        <f t="shared" si="8539"/>
        <v>0</v>
      </c>
      <c r="AC1033" s="96"/>
      <c r="AD1033" s="96">
        <f t="shared" si="8907"/>
        <v>0</v>
      </c>
      <c r="AE1033" s="96"/>
      <c r="AF1033" s="97">
        <f t="shared" si="8961"/>
        <v>0</v>
      </c>
      <c r="AG1033" s="96">
        <f>SUM(AA1033+AC1033+AE1033)</f>
        <v>0</v>
      </c>
      <c r="AH1033" s="96">
        <f t="shared" si="8909"/>
        <v>0</v>
      </c>
      <c r="AI1033" s="96">
        <f t="shared" si="8910"/>
        <v>0</v>
      </c>
      <c r="AJ1033" s="96">
        <f t="shared" si="8911"/>
        <v>0</v>
      </c>
      <c r="AK1033" s="96"/>
      <c r="AL1033" s="96">
        <f t="shared" si="8912"/>
        <v>0</v>
      </c>
      <c r="AM1033" s="96"/>
      <c r="AN1033" s="96">
        <f t="shared" si="8913"/>
        <v>0</v>
      </c>
      <c r="AO1033" s="96"/>
      <c r="AP1033" s="96">
        <f t="shared" si="8701"/>
        <v>0</v>
      </c>
      <c r="AQ1033" s="96">
        <f t="shared" si="8914"/>
        <v>0</v>
      </c>
      <c r="AR1033" s="96">
        <f t="shared" si="8915"/>
        <v>0</v>
      </c>
      <c r="AS1033" s="96"/>
      <c r="AT1033" s="96">
        <f t="shared" si="8916"/>
        <v>0</v>
      </c>
      <c r="AU1033" s="96"/>
      <c r="AV1033" s="96">
        <f t="shared" si="8917"/>
        <v>0</v>
      </c>
      <c r="AW1033" s="96"/>
      <c r="AX1033" s="96">
        <f t="shared" si="8918"/>
        <v>0</v>
      </c>
      <c r="AY1033" s="96">
        <f t="shared" si="8919"/>
        <v>0</v>
      </c>
      <c r="AZ1033" s="96">
        <f t="shared" si="8920"/>
        <v>0</v>
      </c>
      <c r="BA1033" s="96">
        <f t="shared" si="8921"/>
        <v>0</v>
      </c>
      <c r="BB1033" s="96">
        <f t="shared" si="8922"/>
        <v>0</v>
      </c>
    </row>
    <row r="1034" spans="1:54">
      <c r="B1034" s="13"/>
      <c r="C1034" s="13"/>
      <c r="D1034" s="13"/>
      <c r="E1034" s="21" t="s">
        <v>1514</v>
      </c>
      <c r="F1034" s="45" t="s">
        <v>982</v>
      </c>
      <c r="G1034" s="22" t="s">
        <v>1102</v>
      </c>
      <c r="H1034" s="267" t="s">
        <v>369</v>
      </c>
      <c r="I1034" s="55">
        <v>15.59</v>
      </c>
      <c r="J1034" s="102"/>
      <c r="K1034" s="55">
        <v>15.59</v>
      </c>
      <c r="L1034" s="163"/>
      <c r="M1034" s="55">
        <v>15.59</v>
      </c>
      <c r="N1034" s="163"/>
      <c r="O1034" s="55">
        <v>15.59</v>
      </c>
      <c r="P1034" s="102"/>
      <c r="Q1034" s="97">
        <f t="shared" si="8900"/>
        <v>0</v>
      </c>
      <c r="R1034" s="342">
        <f t="shared" si="8901"/>
        <v>0</v>
      </c>
      <c r="S1034" s="97"/>
      <c r="T1034" s="97">
        <f>I1034*S1034*$T$2/1000</f>
        <v>0</v>
      </c>
      <c r="U1034" s="97"/>
      <c r="V1034" s="177">
        <f>I1034*U1034*$V$2/1000</f>
        <v>0</v>
      </c>
      <c r="W1034" s="207"/>
      <c r="X1034" s="206">
        <f>I1034*W1034*$X$2/1000</f>
        <v>0</v>
      </c>
      <c r="Y1034" s="189">
        <f t="shared" ref="Y1034" si="9020">SUM(S1034+U1034+W1034)</f>
        <v>0</v>
      </c>
      <c r="Z1034" s="177">
        <f t="shared" si="8906"/>
        <v>0</v>
      </c>
      <c r="AA1034" s="207"/>
      <c r="AB1034" s="206">
        <f>K1034*AA1034*$AB$2/1000</f>
        <v>0</v>
      </c>
      <c r="AC1034" s="207"/>
      <c r="AD1034" s="177">
        <f>K1034*AC1034*$AD$2/1000</f>
        <v>0</v>
      </c>
      <c r="AE1034" s="207"/>
      <c r="AF1034" s="206">
        <f t="shared" si="8961"/>
        <v>0</v>
      </c>
      <c r="AG1034" s="189">
        <f t="shared" ref="AG1034" si="9021">SUM(AA1034+AC1034+AE1034)</f>
        <v>0</v>
      </c>
      <c r="AH1034" s="97">
        <f t="shared" si="8909"/>
        <v>0</v>
      </c>
      <c r="AI1034" s="97">
        <f t="shared" si="8910"/>
        <v>0</v>
      </c>
      <c r="AJ1034" s="177">
        <f t="shared" si="8911"/>
        <v>0</v>
      </c>
      <c r="AK1034" s="207"/>
      <c r="AL1034" s="177">
        <f t="shared" si="8912"/>
        <v>0</v>
      </c>
      <c r="AM1034" s="245"/>
      <c r="AN1034" s="177">
        <f t="shared" si="8913"/>
        <v>0</v>
      </c>
      <c r="AO1034" s="207"/>
      <c r="AP1034" s="206">
        <f t="shared" si="8701"/>
        <v>0</v>
      </c>
      <c r="AQ1034" s="189">
        <f t="shared" si="8914"/>
        <v>0</v>
      </c>
      <c r="AR1034" s="97">
        <f t="shared" si="8915"/>
        <v>0</v>
      </c>
      <c r="AS1034" s="97"/>
      <c r="AT1034" s="177">
        <f t="shared" si="8916"/>
        <v>0</v>
      </c>
      <c r="AU1034" s="207"/>
      <c r="AV1034" s="177">
        <f t="shared" si="8917"/>
        <v>0</v>
      </c>
      <c r="AW1034" s="207"/>
      <c r="AX1034" s="206">
        <f t="shared" si="8918"/>
        <v>0</v>
      </c>
      <c r="AY1034" s="189">
        <f t="shared" si="8919"/>
        <v>0</v>
      </c>
      <c r="AZ1034" s="97">
        <f t="shared" si="8920"/>
        <v>0</v>
      </c>
      <c r="BA1034" s="97">
        <f t="shared" si="8921"/>
        <v>0</v>
      </c>
      <c r="BB1034" s="97">
        <f t="shared" si="8922"/>
        <v>0</v>
      </c>
    </row>
    <row r="1035" spans="1:54">
      <c r="B1035" s="13"/>
      <c r="C1035" s="13"/>
      <c r="D1035" s="13"/>
      <c r="E1035" s="21" t="s">
        <v>1370</v>
      </c>
      <c r="F1035" s="45" t="s">
        <v>982</v>
      </c>
      <c r="G1035" s="22" t="s">
        <v>1201</v>
      </c>
      <c r="H1035" s="267" t="s">
        <v>369</v>
      </c>
      <c r="I1035" s="55">
        <v>15.8</v>
      </c>
      <c r="J1035" s="102"/>
      <c r="K1035" s="55">
        <v>15.8</v>
      </c>
      <c r="L1035" s="163"/>
      <c r="M1035" s="55">
        <v>15.8</v>
      </c>
      <c r="N1035" s="163"/>
      <c r="O1035" s="55">
        <v>15.48</v>
      </c>
      <c r="P1035" s="102"/>
      <c r="Q1035" s="97">
        <f t="shared" ref="Q1035" si="9022">SUM(AI1035+BA1035)</f>
        <v>7.3049999999999997</v>
      </c>
      <c r="R1035" s="342">
        <f t="shared" ref="R1035" si="9023">SUM(AJ1035+BB1035)</f>
        <v>156.91334830240001</v>
      </c>
      <c r="S1035" s="97"/>
      <c r="T1035" s="97">
        <f>I1035*S1035*$T$2/1000</f>
        <v>0</v>
      </c>
      <c r="U1035" s="97">
        <v>0.44500000000000001</v>
      </c>
      <c r="V1035" s="177">
        <f>I1035*U1035*$V$2/1000</f>
        <v>9.3540424000000026</v>
      </c>
      <c r="W1035" s="207"/>
      <c r="X1035" s="206">
        <f>I1035*W1035*$X$2/1000</f>
        <v>0</v>
      </c>
      <c r="Y1035" s="189">
        <f t="shared" ref="Y1035" si="9024">SUM(S1035+U1035+W1035)</f>
        <v>0.44500000000000001</v>
      </c>
      <c r="Z1035" s="177">
        <f t="shared" ref="Z1035" si="9025">SUM(T1035+V1035+X1035)</f>
        <v>9.3540424000000026</v>
      </c>
      <c r="AA1035" s="207"/>
      <c r="AB1035" s="206">
        <f>K1035*AA1035*$AB$2/1000</f>
        <v>0</v>
      </c>
      <c r="AC1035" s="207">
        <v>1.296</v>
      </c>
      <c r="AD1035" s="177">
        <f>K1035*AC1035*$AD$2/1000</f>
        <v>28.045639584000003</v>
      </c>
      <c r="AE1035" s="207"/>
      <c r="AF1035" s="206">
        <f t="shared" ref="AF1035" si="9026">K1035*AE1035*$AF$2/1000</f>
        <v>0</v>
      </c>
      <c r="AG1035" s="189">
        <f t="shared" ref="AG1035" si="9027">SUM(AA1035+AC1035+AE1035)</f>
        <v>1.296</v>
      </c>
      <c r="AH1035" s="97">
        <f t="shared" ref="AH1035" si="9028">SUM(AB1035+AD1035+AF1035)</f>
        <v>28.045639584000003</v>
      </c>
      <c r="AI1035" s="97">
        <f t="shared" ref="AI1035" si="9029">SUM(Y1035+AG1035)</f>
        <v>1.7410000000000001</v>
      </c>
      <c r="AJ1035" s="177">
        <f t="shared" ref="AJ1035" si="9030">SUM(Z1035,AH1035)</f>
        <v>37.399681984000004</v>
      </c>
      <c r="AK1035" s="207"/>
      <c r="AL1035" s="177">
        <f t="shared" ref="AL1035" si="9031">M1035*AK1035*$AL$2/1000</f>
        <v>0</v>
      </c>
      <c r="AM1035" s="245"/>
      <c r="AN1035" s="177">
        <f t="shared" ref="AN1035" si="9032">M1035*AM1035*$AN$2/1000</f>
        <v>0</v>
      </c>
      <c r="AO1035" s="207"/>
      <c r="AP1035" s="206">
        <f t="shared" ref="AP1035" si="9033">M1035*AO1035*$AP$2/1000</f>
        <v>0</v>
      </c>
      <c r="AQ1035" s="189">
        <f t="shared" ref="AQ1035" si="9034">SUM(AK1035+AM1035+AO1035)</f>
        <v>0</v>
      </c>
      <c r="AR1035" s="97">
        <f t="shared" ref="AR1035" si="9035">SUM(AL1035+AN1035+AP1035)</f>
        <v>0</v>
      </c>
      <c r="AS1035" s="97">
        <v>2</v>
      </c>
      <c r="AT1035" s="177">
        <f t="shared" ref="AT1035" si="9036">O1035*AS1035*$AT$2/1000</f>
        <v>42.040584000000003</v>
      </c>
      <c r="AU1035" s="207">
        <v>1.944</v>
      </c>
      <c r="AV1035" s="177">
        <f t="shared" ref="AV1035" si="9037">O1035*AU1035*$AV$2/1000</f>
        <v>41.879692310400003</v>
      </c>
      <c r="AW1035" s="207">
        <v>1.62</v>
      </c>
      <c r="AX1035" s="206">
        <f t="shared" ref="AX1035" si="9038">O1035*AW1035*$AX$2/1000</f>
        <v>35.593390008</v>
      </c>
      <c r="AY1035" s="189">
        <f t="shared" ref="AY1035" si="9039">SUM(AS1035+AU1035+AW1035)</f>
        <v>5.5640000000000001</v>
      </c>
      <c r="AZ1035" s="97">
        <f t="shared" ref="AZ1035" si="9040">SUM(AT1035+AV1035+AX1035)</f>
        <v>119.5136663184</v>
      </c>
      <c r="BA1035" s="97">
        <f t="shared" ref="BA1035" si="9041">SUM(AQ1035+AY1035)</f>
        <v>5.5640000000000001</v>
      </c>
      <c r="BB1035" s="97">
        <f t="shared" ref="BB1035" si="9042">SUM(AR1035,AZ1035)</f>
        <v>119.5136663184</v>
      </c>
    </row>
    <row r="1036" spans="1:54">
      <c r="B1036" s="13"/>
      <c r="C1036" s="13"/>
      <c r="D1036" s="13"/>
      <c r="E1036" s="21" t="s">
        <v>1371</v>
      </c>
      <c r="F1036" s="45" t="s">
        <v>983</v>
      </c>
      <c r="G1036" s="22" t="s">
        <v>1201</v>
      </c>
      <c r="H1036" s="267" t="s">
        <v>369</v>
      </c>
      <c r="I1036" s="55">
        <v>14.68</v>
      </c>
      <c r="J1036" s="102"/>
      <c r="K1036" s="55">
        <v>14.68</v>
      </c>
      <c r="L1036" s="163"/>
      <c r="M1036" s="55">
        <v>14.68</v>
      </c>
      <c r="N1036" s="163"/>
      <c r="O1036" s="55">
        <v>14.68</v>
      </c>
      <c r="P1036" s="102"/>
      <c r="Q1036" s="97">
        <f t="shared" ref="Q1036:Q1037" si="9043">SUM(AI1036+BA1036)</f>
        <v>0</v>
      </c>
      <c r="R1036" s="342">
        <f t="shared" ref="R1036:R1037" si="9044">SUM(AJ1036+BB1036)</f>
        <v>0</v>
      </c>
      <c r="S1036" s="97"/>
      <c r="T1036" s="97">
        <f>I1036*S1036*$T$2/1000</f>
        <v>0</v>
      </c>
      <c r="U1036" s="97"/>
      <c r="V1036" s="177">
        <f>I1036*U1036*$V$2/1000</f>
        <v>0</v>
      </c>
      <c r="W1036" s="207"/>
      <c r="X1036" s="206">
        <f>I1036*W1036*$X$2/1000</f>
        <v>0</v>
      </c>
      <c r="Y1036" s="189">
        <f t="shared" ref="Y1036" si="9045">SUM(S1036+U1036+W1036)</f>
        <v>0</v>
      </c>
      <c r="Z1036" s="177">
        <f t="shared" ref="Z1036:Z1037" si="9046">SUM(T1036+V1036+X1036)</f>
        <v>0</v>
      </c>
      <c r="AA1036" s="207"/>
      <c r="AB1036" s="206">
        <f>K1036*AA1036*$AB$2/1000</f>
        <v>0</v>
      </c>
      <c r="AC1036" s="207"/>
      <c r="AD1036" s="177">
        <f>K1036*AC1036*$AD$2/1000</f>
        <v>0</v>
      </c>
      <c r="AE1036" s="207"/>
      <c r="AF1036" s="206">
        <f t="shared" ref="AF1036:AF1037" si="9047">K1036*AE1036*$AF$2/1000</f>
        <v>0</v>
      </c>
      <c r="AG1036" s="189">
        <f t="shared" ref="AG1036" si="9048">SUM(AA1036+AC1036+AE1036)</f>
        <v>0</v>
      </c>
      <c r="AH1036" s="97">
        <f t="shared" ref="AH1036:AH1037" si="9049">SUM(AB1036+AD1036+AF1036)</f>
        <v>0</v>
      </c>
      <c r="AI1036" s="97">
        <f t="shared" ref="AI1036:AI1037" si="9050">SUM(Y1036+AG1036)</f>
        <v>0</v>
      </c>
      <c r="AJ1036" s="177">
        <f t="shared" ref="AJ1036:AJ1037" si="9051">SUM(Z1036,AH1036)</f>
        <v>0</v>
      </c>
      <c r="AK1036" s="207"/>
      <c r="AL1036" s="177">
        <f t="shared" ref="AL1036:AL1037" si="9052">M1036*AK1036*$AL$2/1000</f>
        <v>0</v>
      </c>
      <c r="AM1036" s="245"/>
      <c r="AN1036" s="177">
        <f t="shared" ref="AN1036:AN1037" si="9053">M1036*AM1036*$AN$2/1000</f>
        <v>0</v>
      </c>
      <c r="AO1036" s="207"/>
      <c r="AP1036" s="206">
        <f t="shared" ref="AP1036:AP1037" si="9054">M1036*AO1036*$AP$2/1000</f>
        <v>0</v>
      </c>
      <c r="AQ1036" s="189">
        <f t="shared" ref="AQ1036:AQ1037" si="9055">SUM(AK1036+AM1036+AO1036)</f>
        <v>0</v>
      </c>
      <c r="AR1036" s="97">
        <f t="shared" ref="AR1036:AR1037" si="9056">SUM(AL1036+AN1036+AP1036)</f>
        <v>0</v>
      </c>
      <c r="AS1036" s="97"/>
      <c r="AT1036" s="177">
        <f t="shared" ref="AT1036:AT1037" si="9057">O1036*AS1036*$AT$2/1000</f>
        <v>0</v>
      </c>
      <c r="AU1036" s="207"/>
      <c r="AV1036" s="177">
        <f t="shared" ref="AV1036:AV1037" si="9058">O1036*AU1036*$AV$2/1000</f>
        <v>0</v>
      </c>
      <c r="AW1036" s="207"/>
      <c r="AX1036" s="206">
        <f t="shared" ref="AX1036:AX1037" si="9059">O1036*AW1036*$AX$2/1000</f>
        <v>0</v>
      </c>
      <c r="AY1036" s="189">
        <f t="shared" ref="AY1036:AY1037" si="9060">SUM(AS1036+AU1036+AW1036)</f>
        <v>0</v>
      </c>
      <c r="AZ1036" s="97">
        <f t="shared" ref="AZ1036:AZ1037" si="9061">SUM(AT1036+AV1036+AX1036)</f>
        <v>0</v>
      </c>
      <c r="BA1036" s="97">
        <f t="shared" ref="BA1036:BA1037" si="9062">SUM(AQ1036+AY1036)</f>
        <v>0</v>
      </c>
      <c r="BB1036" s="97">
        <f t="shared" ref="BB1036:BB1037" si="9063">SUM(AR1036,AZ1036)</f>
        <v>0</v>
      </c>
    </row>
    <row r="1037" spans="1:54" s="6" customFormat="1">
      <c r="A1037" s="498">
        <v>737</v>
      </c>
      <c r="B1037" s="14"/>
      <c r="C1037" s="40"/>
      <c r="D1037" s="14"/>
      <c r="E1037" s="16" t="s">
        <v>1515</v>
      </c>
      <c r="F1037" s="45" t="s">
        <v>983</v>
      </c>
      <c r="G1037" s="45" t="s">
        <v>1105</v>
      </c>
      <c r="H1037" s="267" t="s">
        <v>366</v>
      </c>
      <c r="I1037" s="234">
        <v>15.78</v>
      </c>
      <c r="J1037" s="241"/>
      <c r="K1037" s="234">
        <v>15.78</v>
      </c>
      <c r="L1037" s="241"/>
      <c r="M1037" s="234">
        <v>15.78</v>
      </c>
      <c r="N1037" s="241"/>
      <c r="O1037" s="234">
        <v>15.78</v>
      </c>
      <c r="P1037" s="241"/>
      <c r="Q1037" s="96">
        <f t="shared" si="9043"/>
        <v>0</v>
      </c>
      <c r="R1037" s="340">
        <f t="shared" si="9044"/>
        <v>0</v>
      </c>
      <c r="S1037" s="96"/>
      <c r="T1037" s="96">
        <f t="shared" ref="T1037" si="9064">I1037*S1037*$T$2/1000</f>
        <v>0</v>
      </c>
      <c r="U1037" s="96"/>
      <c r="V1037" s="96">
        <f t="shared" ref="V1037" si="9065">I1037*U1037*$V$2/1000</f>
        <v>0</v>
      </c>
      <c r="W1037" s="96"/>
      <c r="X1037" s="96">
        <f t="shared" ref="X1037" si="9066">I1037*W1037*$X$2/1000</f>
        <v>0</v>
      </c>
      <c r="Y1037" s="96">
        <f>SUM(S1037+U1037+W1037)</f>
        <v>0</v>
      </c>
      <c r="Z1037" s="96">
        <f t="shared" si="9046"/>
        <v>0</v>
      </c>
      <c r="AA1037" s="96"/>
      <c r="AB1037" s="96">
        <f t="shared" ref="AB1037" si="9067">K1037*AA1037*$AB$2/1000</f>
        <v>0</v>
      </c>
      <c r="AC1037" s="96"/>
      <c r="AD1037" s="96">
        <f t="shared" ref="AD1037" si="9068">K1037*AC1037*$AD$2/1000</f>
        <v>0</v>
      </c>
      <c r="AE1037" s="96"/>
      <c r="AF1037" s="97">
        <f t="shared" si="9047"/>
        <v>0</v>
      </c>
      <c r="AG1037" s="96">
        <f>SUM(AA1037+AC1037+AE1037)</f>
        <v>0</v>
      </c>
      <c r="AH1037" s="96">
        <f t="shared" si="9049"/>
        <v>0</v>
      </c>
      <c r="AI1037" s="96">
        <f t="shared" si="9050"/>
        <v>0</v>
      </c>
      <c r="AJ1037" s="96">
        <f t="shared" si="9051"/>
        <v>0</v>
      </c>
      <c r="AK1037" s="96"/>
      <c r="AL1037" s="96">
        <f t="shared" si="9052"/>
        <v>0</v>
      </c>
      <c r="AM1037" s="96"/>
      <c r="AN1037" s="96">
        <f t="shared" si="9053"/>
        <v>0</v>
      </c>
      <c r="AO1037" s="96"/>
      <c r="AP1037" s="96">
        <f t="shared" si="9054"/>
        <v>0</v>
      </c>
      <c r="AQ1037" s="96">
        <f t="shared" si="9055"/>
        <v>0</v>
      </c>
      <c r="AR1037" s="96">
        <f t="shared" si="9056"/>
        <v>0</v>
      </c>
      <c r="AS1037" s="96"/>
      <c r="AT1037" s="96">
        <f t="shared" si="9057"/>
        <v>0</v>
      </c>
      <c r="AU1037" s="96"/>
      <c r="AV1037" s="96">
        <f t="shared" si="9058"/>
        <v>0</v>
      </c>
      <c r="AW1037" s="96"/>
      <c r="AX1037" s="96">
        <f t="shared" si="9059"/>
        <v>0</v>
      </c>
      <c r="AY1037" s="96">
        <f t="shared" si="9060"/>
        <v>0</v>
      </c>
      <c r="AZ1037" s="96">
        <f t="shared" si="9061"/>
        <v>0</v>
      </c>
      <c r="BA1037" s="96">
        <f t="shared" si="9062"/>
        <v>0</v>
      </c>
      <c r="BB1037" s="96">
        <f t="shared" si="9063"/>
        <v>0</v>
      </c>
    </row>
    <row r="1038" spans="1:54" s="6" customFormat="1">
      <c r="A1038" s="498">
        <v>737</v>
      </c>
      <c r="B1038" s="14"/>
      <c r="C1038" s="40"/>
      <c r="D1038" s="14"/>
      <c r="E1038" s="16" t="s">
        <v>1394</v>
      </c>
      <c r="F1038" s="45" t="s">
        <v>983</v>
      </c>
      <c r="G1038" s="45" t="s">
        <v>1105</v>
      </c>
      <c r="H1038" s="267" t="s">
        <v>366</v>
      </c>
      <c r="I1038" s="234">
        <v>15.99</v>
      </c>
      <c r="J1038" s="241"/>
      <c r="K1038" s="234">
        <v>15.99</v>
      </c>
      <c r="L1038" s="241"/>
      <c r="M1038" s="234">
        <v>15.99</v>
      </c>
      <c r="N1038" s="241"/>
      <c r="O1038" s="234">
        <v>15.67</v>
      </c>
      <c r="P1038" s="241"/>
      <c r="Q1038" s="96">
        <f t="shared" si="8900"/>
        <v>11.145</v>
      </c>
      <c r="R1038" s="340">
        <f t="shared" si="8901"/>
        <v>239.94224303960002</v>
      </c>
      <c r="S1038" s="96">
        <v>1.1120000000000001</v>
      </c>
      <c r="T1038" s="96">
        <f t="shared" si="8902"/>
        <v>23.504367463200008</v>
      </c>
      <c r="U1038" s="96">
        <v>1.669</v>
      </c>
      <c r="V1038" s="96">
        <f t="shared" si="8903"/>
        <v>35.504797224000001</v>
      </c>
      <c r="W1038" s="96">
        <v>1.1120000000000001</v>
      </c>
      <c r="X1038" s="96">
        <f t="shared" si="8904"/>
        <v>23.659238928000004</v>
      </c>
      <c r="Y1038" s="96">
        <f>SUM(S1038+U1038+W1038)</f>
        <v>3.8930000000000002</v>
      </c>
      <c r="Z1038" s="96">
        <f t="shared" si="8906"/>
        <v>82.66840361520002</v>
      </c>
      <c r="AA1038" s="96"/>
      <c r="AB1038" s="96">
        <f t="shared" si="8539"/>
        <v>0</v>
      </c>
      <c r="AC1038" s="96"/>
      <c r="AD1038" s="96">
        <f t="shared" si="8907"/>
        <v>0</v>
      </c>
      <c r="AE1038" s="96">
        <v>1.08</v>
      </c>
      <c r="AF1038" s="97">
        <f t="shared" si="8961"/>
        <v>23.811291036000004</v>
      </c>
      <c r="AG1038" s="96">
        <f>SUM(AA1038+AC1038+AE1038)</f>
        <v>1.08</v>
      </c>
      <c r="AH1038" s="96">
        <f t="shared" si="8909"/>
        <v>23.811291036000004</v>
      </c>
      <c r="AI1038" s="96">
        <f t="shared" si="8910"/>
        <v>4.9730000000000008</v>
      </c>
      <c r="AJ1038" s="96">
        <f t="shared" si="8911"/>
        <v>106.47969465120002</v>
      </c>
      <c r="AK1038" s="96"/>
      <c r="AL1038" s="96">
        <f t="shared" si="8912"/>
        <v>0</v>
      </c>
      <c r="AM1038" s="96">
        <v>1.08</v>
      </c>
      <c r="AN1038" s="96">
        <f t="shared" si="8913"/>
        <v>23.505108119999999</v>
      </c>
      <c r="AO1038" s="96">
        <v>1.08</v>
      </c>
      <c r="AP1038" s="96">
        <f t="shared" si="8701"/>
        <v>23.009309388000005</v>
      </c>
      <c r="AQ1038" s="96">
        <f t="shared" si="8914"/>
        <v>2.16</v>
      </c>
      <c r="AR1038" s="96">
        <f t="shared" si="8915"/>
        <v>46.514417508000008</v>
      </c>
      <c r="AS1038" s="96">
        <v>2</v>
      </c>
      <c r="AT1038" s="96">
        <f t="shared" si="8916"/>
        <v>42.556586000000003</v>
      </c>
      <c r="AU1038" s="96">
        <v>0.82399999999999995</v>
      </c>
      <c r="AV1038" s="96">
        <f t="shared" si="8917"/>
        <v>17.969354373599998</v>
      </c>
      <c r="AW1038" s="96">
        <v>1.1879999999999999</v>
      </c>
      <c r="AX1038" s="96">
        <f t="shared" si="8918"/>
        <v>26.422190506799993</v>
      </c>
      <c r="AY1038" s="96">
        <f t="shared" si="8919"/>
        <v>4.0119999999999996</v>
      </c>
      <c r="AZ1038" s="96">
        <f t="shared" si="8920"/>
        <v>86.948130880399987</v>
      </c>
      <c r="BA1038" s="96">
        <f t="shared" si="8921"/>
        <v>6.1719999999999997</v>
      </c>
      <c r="BB1038" s="96">
        <f t="shared" si="8922"/>
        <v>133.46254838839999</v>
      </c>
    </row>
    <row r="1039" spans="1:54">
      <c r="B1039" s="13"/>
      <c r="C1039" s="13"/>
      <c r="D1039" s="13"/>
      <c r="E1039" s="21" t="s">
        <v>1440</v>
      </c>
      <c r="F1039" s="45" t="s">
        <v>983</v>
      </c>
      <c r="G1039" s="22" t="s">
        <v>1102</v>
      </c>
      <c r="H1039" s="267" t="s">
        <v>369</v>
      </c>
      <c r="I1039" s="55">
        <v>15.77</v>
      </c>
      <c r="J1039" s="102"/>
      <c r="K1039" s="55">
        <v>15.77</v>
      </c>
      <c r="L1039" s="163"/>
      <c r="M1039" s="55">
        <v>15.77</v>
      </c>
      <c r="N1039" s="163"/>
      <c r="O1039" s="55">
        <v>15.77</v>
      </c>
      <c r="P1039" s="102"/>
      <c r="Q1039" s="97">
        <f t="shared" ref="Q1039" si="9069">SUM(AI1039+BA1039)</f>
        <v>0</v>
      </c>
      <c r="R1039" s="342">
        <f t="shared" ref="R1039" si="9070">SUM(AJ1039+BB1039)</f>
        <v>0</v>
      </c>
      <c r="S1039" s="97"/>
      <c r="T1039" s="97">
        <f>I1039*S1039*$T$2/1000</f>
        <v>0</v>
      </c>
      <c r="U1039" s="97"/>
      <c r="V1039" s="177">
        <f>I1039*U1039*$V$2/1000</f>
        <v>0</v>
      </c>
      <c r="W1039" s="207"/>
      <c r="X1039" s="206">
        <f>I1039*W1039*$X$2/1000</f>
        <v>0</v>
      </c>
      <c r="Y1039" s="189">
        <f t="shared" ref="Y1039" si="9071">SUM(S1039+U1039+W1039)</f>
        <v>0</v>
      </c>
      <c r="Z1039" s="177">
        <f t="shared" si="8906"/>
        <v>0</v>
      </c>
      <c r="AA1039" s="207"/>
      <c r="AB1039" s="206">
        <f>K1039*AA1039*$AB$2/1000</f>
        <v>0</v>
      </c>
      <c r="AC1039" s="207"/>
      <c r="AD1039" s="177">
        <f>K1039*AC1039*$AD$2/1000</f>
        <v>0</v>
      </c>
      <c r="AE1039" s="207"/>
      <c r="AF1039" s="206">
        <f t="shared" ref="AF1039" si="9072">K1039*AE1039*$AF$2/1000</f>
        <v>0</v>
      </c>
      <c r="AG1039" s="189">
        <f t="shared" ref="AG1039" si="9073">SUM(AA1039+AC1039+AE1039)</f>
        <v>0</v>
      </c>
      <c r="AH1039" s="97">
        <f t="shared" si="8909"/>
        <v>0</v>
      </c>
      <c r="AI1039" s="97">
        <f t="shared" ref="AI1039" si="9074">SUM(Y1039+AG1039)</f>
        <v>0</v>
      </c>
      <c r="AJ1039" s="177">
        <f t="shared" ref="AJ1039" si="9075">SUM(Z1039,AH1039)</f>
        <v>0</v>
      </c>
      <c r="AK1039" s="207"/>
      <c r="AL1039" s="177">
        <f t="shared" ref="AL1039" si="9076">M1039*AK1039*$AL$2/1000</f>
        <v>0</v>
      </c>
      <c r="AM1039" s="245"/>
      <c r="AN1039" s="177">
        <f t="shared" ref="AN1039" si="9077">M1039*AM1039*$AN$2/1000</f>
        <v>0</v>
      </c>
      <c r="AO1039" s="207"/>
      <c r="AP1039" s="206">
        <f t="shared" ref="AP1039" si="9078">M1039*AO1039*$AP$2/1000</f>
        <v>0</v>
      </c>
      <c r="AQ1039" s="189">
        <f>SUM(AK1039+AM1039+AO1039)</f>
        <v>0</v>
      </c>
      <c r="AR1039" s="97">
        <f t="shared" si="8915"/>
        <v>0</v>
      </c>
      <c r="AS1039" s="97"/>
      <c r="AT1039" s="177">
        <f t="shared" ref="AT1039" si="9079">O1039*AS1039*$AT$2/1000</f>
        <v>0</v>
      </c>
      <c r="AU1039" s="207"/>
      <c r="AV1039" s="177">
        <f t="shared" ref="AV1039" si="9080">O1039*AU1039*$AV$2/1000</f>
        <v>0</v>
      </c>
      <c r="AW1039" s="207"/>
      <c r="AX1039" s="206">
        <f t="shared" ref="AX1039" si="9081">O1039*AW1039*$AX$2/1000</f>
        <v>0</v>
      </c>
      <c r="AY1039" s="189">
        <f t="shared" ref="AY1039" si="9082">SUM(AS1039+AU1039+AW1039)</f>
        <v>0</v>
      </c>
      <c r="AZ1039" s="97">
        <f t="shared" si="8920"/>
        <v>0</v>
      </c>
      <c r="BA1039" s="97">
        <f t="shared" ref="BA1039" si="9083">SUM(AQ1039+AY1039)</f>
        <v>0</v>
      </c>
      <c r="BB1039" s="97">
        <f t="shared" ref="BB1039" si="9084">SUM(AR1039,AZ1039)</f>
        <v>0</v>
      </c>
    </row>
    <row r="1040" spans="1:54">
      <c r="A1040" s="498">
        <v>738</v>
      </c>
      <c r="B1040" s="13"/>
      <c r="C1040" s="236"/>
      <c r="D1040" s="13"/>
      <c r="E1040" s="21" t="s">
        <v>1372</v>
      </c>
      <c r="F1040" s="46" t="s">
        <v>984</v>
      </c>
      <c r="G1040" s="46" t="s">
        <v>1105</v>
      </c>
      <c r="H1040" s="268" t="s">
        <v>446</v>
      </c>
      <c r="I1040" s="55">
        <v>14.71</v>
      </c>
      <c r="J1040" s="163"/>
      <c r="K1040" s="55">
        <v>14.71</v>
      </c>
      <c r="L1040" s="163"/>
      <c r="M1040" s="55">
        <v>14.71</v>
      </c>
      <c r="N1040" s="163"/>
      <c r="O1040" s="55">
        <v>14.71</v>
      </c>
      <c r="P1040" s="163"/>
      <c r="Q1040" s="97">
        <f t="shared" si="8900"/>
        <v>0</v>
      </c>
      <c r="R1040" s="342">
        <f t="shared" si="8901"/>
        <v>0</v>
      </c>
      <c r="S1040" s="97"/>
      <c r="T1040" s="97">
        <f t="shared" si="8902"/>
        <v>0</v>
      </c>
      <c r="U1040" s="97"/>
      <c r="V1040" s="97">
        <f t="shared" si="8903"/>
        <v>0</v>
      </c>
      <c r="W1040" s="97"/>
      <c r="X1040" s="97">
        <f t="shared" si="8904"/>
        <v>0</v>
      </c>
      <c r="Y1040" s="97">
        <f>SUM(S1040+U1040+W1040)</f>
        <v>0</v>
      </c>
      <c r="Z1040" s="97">
        <f t="shared" si="8906"/>
        <v>0</v>
      </c>
      <c r="AA1040" s="97"/>
      <c r="AB1040" s="97">
        <f t="shared" si="8539"/>
        <v>0</v>
      </c>
      <c r="AC1040" s="97"/>
      <c r="AD1040" s="97">
        <f t="shared" si="8907"/>
        <v>0</v>
      </c>
      <c r="AE1040" s="97"/>
      <c r="AF1040" s="97">
        <f t="shared" si="8961"/>
        <v>0</v>
      </c>
      <c r="AG1040" s="97">
        <f>SUM(AA1040+AC1040+AE1040)</f>
        <v>0</v>
      </c>
      <c r="AH1040" s="97">
        <f t="shared" si="8909"/>
        <v>0</v>
      </c>
      <c r="AI1040" s="97">
        <f t="shared" si="8910"/>
        <v>0</v>
      </c>
      <c r="AJ1040" s="97">
        <f t="shared" si="8911"/>
        <v>0</v>
      </c>
      <c r="AK1040" s="97"/>
      <c r="AL1040" s="97">
        <f t="shared" si="8912"/>
        <v>0</v>
      </c>
      <c r="AM1040" s="97"/>
      <c r="AN1040" s="97">
        <f t="shared" si="8913"/>
        <v>0</v>
      </c>
      <c r="AO1040" s="97"/>
      <c r="AP1040" s="97">
        <f t="shared" si="8701"/>
        <v>0</v>
      </c>
      <c r="AQ1040" s="97">
        <f t="shared" si="8914"/>
        <v>0</v>
      </c>
      <c r="AR1040" s="97">
        <f t="shared" si="8915"/>
        <v>0</v>
      </c>
      <c r="AS1040" s="97"/>
      <c r="AT1040" s="97">
        <f t="shared" si="8916"/>
        <v>0</v>
      </c>
      <c r="AU1040" s="97"/>
      <c r="AV1040" s="97">
        <f t="shared" si="8917"/>
        <v>0</v>
      </c>
      <c r="AW1040" s="97"/>
      <c r="AX1040" s="97">
        <f t="shared" si="8918"/>
        <v>0</v>
      </c>
      <c r="AY1040" s="97">
        <f t="shared" si="8919"/>
        <v>0</v>
      </c>
      <c r="AZ1040" s="97">
        <f t="shared" si="8920"/>
        <v>0</v>
      </c>
      <c r="BA1040" s="97">
        <f t="shared" si="8921"/>
        <v>0</v>
      </c>
      <c r="BB1040" s="97">
        <f t="shared" si="8922"/>
        <v>0</v>
      </c>
    </row>
    <row r="1041" spans="1:54">
      <c r="A1041" s="498">
        <v>739</v>
      </c>
      <c r="B1041" s="13"/>
      <c r="C1041" s="13"/>
      <c r="D1041" s="13"/>
      <c r="E1041" s="21" t="s">
        <v>1158</v>
      </c>
      <c r="F1041" s="46" t="s">
        <v>984</v>
      </c>
      <c r="G1041" s="46" t="s">
        <v>1105</v>
      </c>
      <c r="H1041" s="268" t="s">
        <v>446</v>
      </c>
      <c r="I1041" s="55">
        <v>14.71</v>
      </c>
      <c r="J1041" s="102"/>
      <c r="K1041" s="55">
        <v>16.010000000000002</v>
      </c>
      <c r="L1041" s="163"/>
      <c r="M1041" s="55">
        <v>16.010000000000002</v>
      </c>
      <c r="N1041" s="163"/>
      <c r="O1041" s="55">
        <v>15.69</v>
      </c>
      <c r="P1041" s="102"/>
      <c r="Q1041" s="97">
        <f t="shared" si="8900"/>
        <v>2.9769999999999999</v>
      </c>
      <c r="R1041" s="342">
        <f t="shared" si="8901"/>
        <v>64.210779136399992</v>
      </c>
      <c r="S1041" s="97"/>
      <c r="T1041" s="97">
        <f>I1041*S1041*$T$2/1000</f>
        <v>0</v>
      </c>
      <c r="U1041" s="97"/>
      <c r="V1041" s="177">
        <f>I1041*U1041*$V$2/1000</f>
        <v>0</v>
      </c>
      <c r="W1041" s="207"/>
      <c r="X1041" s="206">
        <f>I1041*W1041*$X$2/1000</f>
        <v>0</v>
      </c>
      <c r="Y1041" s="189">
        <f t="shared" ref="Y1041" si="9085">SUM(S1041+U1041+W1041)</f>
        <v>0</v>
      </c>
      <c r="Z1041" s="177">
        <f t="shared" ref="Z1041" si="9086">SUM(T1041+V1041+X1041)</f>
        <v>0</v>
      </c>
      <c r="AA1041" s="207">
        <v>0.437</v>
      </c>
      <c r="AB1041" s="206">
        <f>K1041*AA1041*$AB$2/1000</f>
        <v>9.5438882444000015</v>
      </c>
      <c r="AC1041" s="207"/>
      <c r="AD1041" s="177">
        <f>K1041*AC1041*$AD$2/1000</f>
        <v>0</v>
      </c>
      <c r="AE1041" s="207"/>
      <c r="AF1041" s="206">
        <f t="shared" si="8961"/>
        <v>0</v>
      </c>
      <c r="AG1041" s="189">
        <f t="shared" ref="AG1041" si="9087">SUM(AA1041+AC1041+AE1041)</f>
        <v>0.437</v>
      </c>
      <c r="AH1041" s="97">
        <f>SUM(AB1041+AD1041+AF1041)</f>
        <v>9.5438882444000015</v>
      </c>
      <c r="AI1041" s="97">
        <f t="shared" si="8910"/>
        <v>0.437</v>
      </c>
      <c r="AJ1041" s="177">
        <f t="shared" si="8911"/>
        <v>9.5438882444000015</v>
      </c>
      <c r="AK1041" s="207"/>
      <c r="AL1041" s="177">
        <f t="shared" si="8912"/>
        <v>0</v>
      </c>
      <c r="AM1041" s="245"/>
      <c r="AN1041" s="177">
        <f t="shared" si="8913"/>
        <v>0</v>
      </c>
      <c r="AO1041" s="207"/>
      <c r="AP1041" s="206">
        <f t="shared" si="8701"/>
        <v>0</v>
      </c>
      <c r="AQ1041" s="189">
        <f>SUM(AK1041+AM1041+AO1041)</f>
        <v>0</v>
      </c>
      <c r="AR1041" s="97">
        <f>SUM(AL1041+AN1041+AP1041)</f>
        <v>0</v>
      </c>
      <c r="AS1041" s="97">
        <v>1.5</v>
      </c>
      <c r="AT1041" s="177">
        <f t="shared" si="8916"/>
        <v>31.9581765</v>
      </c>
      <c r="AU1041" s="207">
        <v>1.04</v>
      </c>
      <c r="AV1041" s="177">
        <f t="shared" si="8917"/>
        <v>22.708714391999997</v>
      </c>
      <c r="AW1041" s="207"/>
      <c r="AX1041" s="206">
        <f t="shared" si="8918"/>
        <v>0</v>
      </c>
      <c r="AY1041" s="189">
        <f t="shared" ref="AY1041" si="9088">SUM(AS1041+AU1041+AW1041)</f>
        <v>2.54</v>
      </c>
      <c r="AZ1041" s="97">
        <f t="shared" ref="AZ1041" si="9089">SUM(AT1041+AV1041+AX1041)</f>
        <v>54.666890891999998</v>
      </c>
      <c r="BA1041" s="97">
        <f t="shared" si="8921"/>
        <v>2.54</v>
      </c>
      <c r="BB1041" s="97">
        <f t="shared" si="8922"/>
        <v>54.666890891999998</v>
      </c>
    </row>
    <row r="1042" spans="1:54">
      <c r="B1042" s="13"/>
      <c r="C1042" s="13"/>
      <c r="D1042" s="13"/>
      <c r="E1042" s="21" t="s">
        <v>1202</v>
      </c>
      <c r="F1042" s="46" t="s">
        <v>984</v>
      </c>
      <c r="G1042" s="22" t="s">
        <v>1201</v>
      </c>
      <c r="H1042" s="267" t="s">
        <v>369</v>
      </c>
      <c r="I1042" s="55">
        <v>15.26</v>
      </c>
      <c r="J1042" s="102"/>
      <c r="K1042" s="55">
        <v>15.26</v>
      </c>
      <c r="L1042" s="163"/>
      <c r="M1042" s="55">
        <v>15.26</v>
      </c>
      <c r="N1042" s="163"/>
      <c r="O1042" s="55">
        <v>15.26</v>
      </c>
      <c r="P1042" s="102"/>
      <c r="Q1042" s="97">
        <f t="shared" si="8900"/>
        <v>0</v>
      </c>
      <c r="R1042" s="342">
        <f t="shared" si="8901"/>
        <v>0</v>
      </c>
      <c r="S1042" s="97"/>
      <c r="T1042" s="97">
        <f>I1042*S1042*$T$2/1000</f>
        <v>0</v>
      </c>
      <c r="U1042" s="97"/>
      <c r="V1042" s="177">
        <f>I1042*U1042*$V$2/1000</f>
        <v>0</v>
      </c>
      <c r="W1042" s="207"/>
      <c r="X1042" s="206">
        <f>I1042*W1042*$X$2/1000</f>
        <v>0</v>
      </c>
      <c r="Y1042" s="189">
        <f t="shared" ref="Y1042" si="9090">SUM(S1042+U1042+W1042)</f>
        <v>0</v>
      </c>
      <c r="Z1042" s="177">
        <f t="shared" ref="Z1042" si="9091">SUM(T1042+V1042+X1042)</f>
        <v>0</v>
      </c>
      <c r="AA1042" s="207"/>
      <c r="AB1042" s="206">
        <f>K1042*AA1042*$AB$2/1000</f>
        <v>0</v>
      </c>
      <c r="AC1042" s="207"/>
      <c r="AD1042" s="177">
        <f>K1042*AC1042*$AD$2/1000</f>
        <v>0</v>
      </c>
      <c r="AE1042" s="207"/>
      <c r="AF1042" s="206">
        <f t="shared" si="8961"/>
        <v>0</v>
      </c>
      <c r="AG1042" s="189">
        <f t="shared" ref="AG1042" si="9092">SUM(AA1042+AC1042+AE1042)</f>
        <v>0</v>
      </c>
      <c r="AH1042" s="97">
        <f t="shared" ref="AH1042" si="9093">SUM(AB1042+AD1042+AF1042)</f>
        <v>0</v>
      </c>
      <c r="AI1042" s="97">
        <f t="shared" si="8910"/>
        <v>0</v>
      </c>
      <c r="AJ1042" s="177">
        <f t="shared" si="8911"/>
        <v>0</v>
      </c>
      <c r="AK1042" s="207"/>
      <c r="AL1042" s="177">
        <f t="shared" si="8912"/>
        <v>0</v>
      </c>
      <c r="AM1042" s="245"/>
      <c r="AN1042" s="177">
        <f t="shared" si="8913"/>
        <v>0</v>
      </c>
      <c r="AO1042" s="207"/>
      <c r="AP1042" s="206">
        <f t="shared" si="8701"/>
        <v>0</v>
      </c>
      <c r="AQ1042" s="189">
        <f t="shared" ref="AQ1042" si="9094">SUM(AK1042+AM1042+AO1042)</f>
        <v>0</v>
      </c>
      <c r="AR1042" s="97">
        <f t="shared" ref="AR1042" si="9095">SUM(AL1042+AN1042+AP1042)</f>
        <v>0</v>
      </c>
      <c r="AS1042" s="97"/>
      <c r="AT1042" s="177">
        <f t="shared" si="8916"/>
        <v>0</v>
      </c>
      <c r="AU1042" s="207"/>
      <c r="AV1042" s="177">
        <f t="shared" si="8917"/>
        <v>0</v>
      </c>
      <c r="AW1042" s="207"/>
      <c r="AX1042" s="206">
        <f t="shared" si="8918"/>
        <v>0</v>
      </c>
      <c r="AY1042" s="189">
        <f t="shared" ref="AY1042" si="9096">SUM(AS1042+AU1042+AW1042)</f>
        <v>0</v>
      </c>
      <c r="AZ1042" s="97">
        <f t="shared" ref="AZ1042" si="9097">SUM(AT1042+AV1042+AX1042)</f>
        <v>0</v>
      </c>
      <c r="BA1042" s="97">
        <f t="shared" si="8921"/>
        <v>0</v>
      </c>
      <c r="BB1042" s="97">
        <f t="shared" si="8922"/>
        <v>0</v>
      </c>
    </row>
    <row r="1043" spans="1:54">
      <c r="A1043" s="498">
        <v>740</v>
      </c>
      <c r="B1043" s="13"/>
      <c r="C1043" s="13"/>
      <c r="D1043" s="13"/>
      <c r="E1043" s="21" t="s">
        <v>1373</v>
      </c>
      <c r="F1043" s="45" t="s">
        <v>985</v>
      </c>
      <c r="G1043" s="46" t="s">
        <v>1105</v>
      </c>
      <c r="H1043" s="268" t="s">
        <v>446</v>
      </c>
      <c r="I1043" s="55">
        <v>15.16</v>
      </c>
      <c r="J1043" s="102"/>
      <c r="K1043" s="55">
        <v>15.16</v>
      </c>
      <c r="L1043" s="163"/>
      <c r="M1043" s="55">
        <v>15.16</v>
      </c>
      <c r="N1043" s="163"/>
      <c r="O1043" s="55">
        <v>15.16</v>
      </c>
      <c r="P1043" s="102"/>
      <c r="Q1043" s="97">
        <f t="shared" ref="Q1043" si="9098">SUM(AI1043+BA1043)</f>
        <v>0</v>
      </c>
      <c r="R1043" s="342">
        <f t="shared" ref="R1043" si="9099">SUM(AJ1043+BB1043)</f>
        <v>0</v>
      </c>
      <c r="S1043" s="97"/>
      <c r="T1043" s="97">
        <f>I1043*S1043*$T$2/1000</f>
        <v>0</v>
      </c>
      <c r="U1043" s="97"/>
      <c r="V1043" s="177">
        <f>I1043*U1043*$V$2/1000</f>
        <v>0</v>
      </c>
      <c r="W1043" s="207"/>
      <c r="X1043" s="206">
        <f>I1043*W1043*$X$2/1000</f>
        <v>0</v>
      </c>
      <c r="Y1043" s="189">
        <f t="shared" ref="Y1043" si="9100">SUM(S1043+U1043+W1043)</f>
        <v>0</v>
      </c>
      <c r="Z1043" s="177">
        <f t="shared" ref="Z1043" si="9101">SUM(T1043+V1043+X1043)</f>
        <v>0</v>
      </c>
      <c r="AA1043" s="207"/>
      <c r="AB1043" s="206">
        <f>K1043*AA1043*$AB$2/1000</f>
        <v>0</v>
      </c>
      <c r="AC1043" s="207"/>
      <c r="AD1043" s="177">
        <f>K1043*AC1043*$AD$2/1000</f>
        <v>0</v>
      </c>
      <c r="AE1043" s="207"/>
      <c r="AF1043" s="206">
        <f t="shared" ref="AF1043" si="9102">K1043*AE1043*$AF$2/1000</f>
        <v>0</v>
      </c>
      <c r="AG1043" s="189">
        <f t="shared" ref="AG1043" si="9103">SUM(AA1043+AC1043+AE1043)</f>
        <v>0</v>
      </c>
      <c r="AH1043" s="97">
        <f t="shared" ref="AH1043" si="9104">SUM(AB1043+AD1043+AF1043)</f>
        <v>0</v>
      </c>
      <c r="AI1043" s="97">
        <f t="shared" ref="AI1043" si="9105">SUM(Y1043+AG1043)</f>
        <v>0</v>
      </c>
      <c r="AJ1043" s="177">
        <f t="shared" ref="AJ1043" si="9106">SUM(Z1043,AH1043)</f>
        <v>0</v>
      </c>
      <c r="AK1043" s="207"/>
      <c r="AL1043" s="177">
        <f t="shared" ref="AL1043" si="9107">M1043*AK1043*$AL$2/1000</f>
        <v>0</v>
      </c>
      <c r="AM1043" s="245"/>
      <c r="AN1043" s="177">
        <f t="shared" ref="AN1043" si="9108">M1043*AM1043*$AN$2/1000</f>
        <v>0</v>
      </c>
      <c r="AO1043" s="207"/>
      <c r="AP1043" s="206">
        <f t="shared" ref="AP1043" si="9109">M1043*AO1043*$AP$2/1000</f>
        <v>0</v>
      </c>
      <c r="AQ1043" s="189">
        <f>SUM(AK1043+AM1043+AO1043)</f>
        <v>0</v>
      </c>
      <c r="AR1043" s="97">
        <f t="shared" ref="AR1043" si="9110">SUM(AL1043+AN1043+AP1043)</f>
        <v>0</v>
      </c>
      <c r="AS1043" s="97"/>
      <c r="AT1043" s="177">
        <f t="shared" ref="AT1043" si="9111">O1043*AS1043*$AT$2/1000</f>
        <v>0</v>
      </c>
      <c r="AU1043" s="207"/>
      <c r="AV1043" s="177">
        <f t="shared" ref="AV1043" si="9112">O1043*AU1043*$AV$2/1000</f>
        <v>0</v>
      </c>
      <c r="AW1043" s="207"/>
      <c r="AX1043" s="206">
        <f t="shared" ref="AX1043" si="9113">O1043*AW1043*$AX$2/1000</f>
        <v>0</v>
      </c>
      <c r="AY1043" s="189">
        <f>SUM(AS1043+AU1043+AW1043)</f>
        <v>0</v>
      </c>
      <c r="AZ1043" s="97">
        <f t="shared" ref="AZ1043" si="9114">SUM(AT1043+AV1043+AX1043)</f>
        <v>0</v>
      </c>
      <c r="BA1043" s="97">
        <f t="shared" ref="BA1043" si="9115">SUM(AQ1043+AY1043)</f>
        <v>0</v>
      </c>
      <c r="BB1043" s="97">
        <f t="shared" ref="BB1043" si="9116">SUM(AR1043,AZ1043)</f>
        <v>0</v>
      </c>
    </row>
    <row r="1044" spans="1:54">
      <c r="A1044" s="498">
        <v>741</v>
      </c>
      <c r="B1044" s="13"/>
      <c r="C1044" s="13"/>
      <c r="D1044" s="13"/>
      <c r="E1044" s="21" t="s">
        <v>1374</v>
      </c>
      <c r="F1044" s="45" t="s">
        <v>985</v>
      </c>
      <c r="G1044" s="46" t="s">
        <v>1105</v>
      </c>
      <c r="H1044" s="268" t="s">
        <v>446</v>
      </c>
      <c r="I1044" s="55">
        <v>15.73</v>
      </c>
      <c r="J1044" s="102"/>
      <c r="K1044" s="55">
        <v>15.73</v>
      </c>
      <c r="L1044" s="163"/>
      <c r="M1044" s="55">
        <v>15.73</v>
      </c>
      <c r="N1044" s="163"/>
      <c r="O1044" s="55">
        <v>15.73</v>
      </c>
      <c r="P1044" s="102"/>
      <c r="Q1044" s="97">
        <f t="shared" si="8900"/>
        <v>0</v>
      </c>
      <c r="R1044" s="342">
        <f t="shared" si="8901"/>
        <v>0</v>
      </c>
      <c r="S1044" s="97"/>
      <c r="T1044" s="97">
        <f>I1044*S1044*$T$2/1000</f>
        <v>0</v>
      </c>
      <c r="U1044" s="97"/>
      <c r="V1044" s="177">
        <f>I1044*U1044*$V$2/1000</f>
        <v>0</v>
      </c>
      <c r="W1044" s="207"/>
      <c r="X1044" s="206">
        <f>I1044*W1044*$X$2/1000</f>
        <v>0</v>
      </c>
      <c r="Y1044" s="189">
        <f t="shared" ref="Y1044" si="9117">SUM(S1044+U1044+W1044)</f>
        <v>0</v>
      </c>
      <c r="Z1044" s="177">
        <f t="shared" ref="Z1044" si="9118">SUM(T1044+V1044+X1044)</f>
        <v>0</v>
      </c>
      <c r="AA1044" s="207"/>
      <c r="AB1044" s="206">
        <f>K1044*AA1044*$AB$2/1000</f>
        <v>0</v>
      </c>
      <c r="AC1044" s="207"/>
      <c r="AD1044" s="177">
        <f>K1044*AC1044*$AD$2/1000</f>
        <v>0</v>
      </c>
      <c r="AE1044" s="207"/>
      <c r="AF1044" s="206">
        <f t="shared" si="8961"/>
        <v>0</v>
      </c>
      <c r="AG1044" s="189">
        <f t="shared" ref="AG1044" si="9119">SUM(AA1044+AC1044+AE1044)</f>
        <v>0</v>
      </c>
      <c r="AH1044" s="97">
        <f t="shared" ref="AH1044" si="9120">SUM(AB1044+AD1044+AF1044)</f>
        <v>0</v>
      </c>
      <c r="AI1044" s="97">
        <f t="shared" si="8910"/>
        <v>0</v>
      </c>
      <c r="AJ1044" s="177">
        <f t="shared" si="8911"/>
        <v>0</v>
      </c>
      <c r="AK1044" s="207"/>
      <c r="AL1044" s="177">
        <f t="shared" si="8912"/>
        <v>0</v>
      </c>
      <c r="AM1044" s="245"/>
      <c r="AN1044" s="177">
        <f t="shared" si="8913"/>
        <v>0</v>
      </c>
      <c r="AO1044" s="207"/>
      <c r="AP1044" s="206">
        <f t="shared" si="8701"/>
        <v>0</v>
      </c>
      <c r="AQ1044" s="189">
        <f>SUM(AK1044+AM1044+AO1044)</f>
        <v>0</v>
      </c>
      <c r="AR1044" s="97">
        <f t="shared" ref="AR1044" si="9121">SUM(AL1044+AN1044+AP1044)</f>
        <v>0</v>
      </c>
      <c r="AS1044" s="97"/>
      <c r="AT1044" s="177">
        <f t="shared" si="8916"/>
        <v>0</v>
      </c>
      <c r="AU1044" s="207"/>
      <c r="AV1044" s="177">
        <f t="shared" si="8917"/>
        <v>0</v>
      </c>
      <c r="AW1044" s="207"/>
      <c r="AX1044" s="206">
        <f t="shared" si="8918"/>
        <v>0</v>
      </c>
      <c r="AY1044" s="189">
        <f>SUM(AS1044+AU1044+AW1044)</f>
        <v>0</v>
      </c>
      <c r="AZ1044" s="97">
        <f t="shared" ref="AZ1044" si="9122">SUM(AT1044+AV1044+AX1044)</f>
        <v>0</v>
      </c>
      <c r="BA1044" s="97">
        <f t="shared" si="8921"/>
        <v>0</v>
      </c>
      <c r="BB1044" s="97">
        <f t="shared" si="8922"/>
        <v>0</v>
      </c>
    </row>
    <row r="1045" spans="1:54" s="6" customFormat="1">
      <c r="A1045" s="498">
        <v>742</v>
      </c>
      <c r="B1045" s="14"/>
      <c r="C1045" s="40"/>
      <c r="D1045" s="14"/>
      <c r="E1045" s="16" t="s">
        <v>1159</v>
      </c>
      <c r="F1045" s="45" t="s">
        <v>985</v>
      </c>
      <c r="G1045" s="45" t="s">
        <v>1105</v>
      </c>
      <c r="H1045" s="267" t="s">
        <v>366</v>
      </c>
      <c r="I1045" s="234">
        <v>16.489999999999998</v>
      </c>
      <c r="J1045" s="241"/>
      <c r="K1045" s="234">
        <v>16.489999999999998</v>
      </c>
      <c r="L1045" s="241"/>
      <c r="M1045" s="234">
        <v>16.489999999999998</v>
      </c>
      <c r="N1045" s="241"/>
      <c r="O1045" s="234">
        <v>16.16</v>
      </c>
      <c r="P1045" s="241"/>
      <c r="Q1045" s="96">
        <f t="shared" si="8900"/>
        <v>23.073</v>
      </c>
      <c r="R1045" s="340">
        <f t="shared" si="8901"/>
        <v>514.0846797836</v>
      </c>
      <c r="S1045" s="96">
        <v>0.51200000000000001</v>
      </c>
      <c r="T1045" s="96">
        <f t="shared" si="8902"/>
        <v>11.1605586432</v>
      </c>
      <c r="U1045" s="96">
        <v>1.669</v>
      </c>
      <c r="V1045" s="96">
        <f t="shared" si="8903"/>
        <v>36.615016024000006</v>
      </c>
      <c r="W1045" s="96">
        <v>1.669</v>
      </c>
      <c r="X1045" s="96">
        <f t="shared" si="8904"/>
        <v>36.620520385999995</v>
      </c>
      <c r="Y1045" s="96">
        <f>SUM(S1045+U1045+W1045)</f>
        <v>3.85</v>
      </c>
      <c r="Z1045" s="96">
        <f t="shared" si="8906"/>
        <v>84.3960950532</v>
      </c>
      <c r="AA1045" s="96">
        <v>1.163</v>
      </c>
      <c r="AB1045" s="96">
        <f t="shared" si="8539"/>
        <v>26.160916024399999</v>
      </c>
      <c r="AC1045" s="96">
        <v>2.1920000000000002</v>
      </c>
      <c r="AD1045" s="96">
        <f t="shared" si="8907"/>
        <v>49.506755550399994</v>
      </c>
      <c r="AE1045" s="96"/>
      <c r="AF1045" s="97">
        <f t="shared" si="8961"/>
        <v>0</v>
      </c>
      <c r="AG1045" s="96">
        <f>SUM(AA1045+AC1045+AE1045)</f>
        <v>3.3550000000000004</v>
      </c>
      <c r="AH1045" s="96">
        <f t="shared" si="8909"/>
        <v>75.667671574799996</v>
      </c>
      <c r="AI1045" s="96">
        <f t="shared" si="8910"/>
        <v>7.2050000000000001</v>
      </c>
      <c r="AJ1045" s="96">
        <f t="shared" si="8911"/>
        <v>160.063766628</v>
      </c>
      <c r="AK1045" s="96"/>
      <c r="AL1045" s="96">
        <f t="shared" si="8912"/>
        <v>0</v>
      </c>
      <c r="AM1045" s="96">
        <v>1.5</v>
      </c>
      <c r="AN1045" s="96">
        <f t="shared" si="8913"/>
        <v>33.666808500000002</v>
      </c>
      <c r="AO1045" s="96">
        <v>2.82</v>
      </c>
      <c r="AP1045" s="96">
        <f t="shared" si="8701"/>
        <v>61.958533301999999</v>
      </c>
      <c r="AQ1045" s="96">
        <f t="shared" si="8914"/>
        <v>4.32</v>
      </c>
      <c r="AR1045" s="96">
        <f t="shared" si="8915"/>
        <v>95.625341802000008</v>
      </c>
      <c r="AS1045" s="96">
        <v>5.5</v>
      </c>
      <c r="AT1045" s="96">
        <f t="shared" si="8916"/>
        <v>120.690152</v>
      </c>
      <c r="AU1045" s="96">
        <v>2.2679999999999998</v>
      </c>
      <c r="AV1045" s="96">
        <f t="shared" si="8917"/>
        <v>51.005930169599999</v>
      </c>
      <c r="AW1045" s="96">
        <v>3.78</v>
      </c>
      <c r="AX1045" s="96">
        <f t="shared" si="8918"/>
        <v>86.699489183999987</v>
      </c>
      <c r="AY1045" s="96">
        <f t="shared" si="8919"/>
        <v>11.548</v>
      </c>
      <c r="AZ1045" s="96">
        <f t="shared" si="8920"/>
        <v>258.39557135359996</v>
      </c>
      <c r="BA1045" s="96">
        <f t="shared" si="8921"/>
        <v>15.868</v>
      </c>
      <c r="BB1045" s="96">
        <f t="shared" si="8922"/>
        <v>354.02091315559994</v>
      </c>
    </row>
    <row r="1046" spans="1:54">
      <c r="A1046" s="498">
        <v>743</v>
      </c>
      <c r="B1046" s="13"/>
      <c r="C1046" s="13"/>
      <c r="D1046" s="13"/>
      <c r="E1046" s="21" t="s">
        <v>1763</v>
      </c>
      <c r="F1046" s="45" t="s">
        <v>985</v>
      </c>
      <c r="G1046" s="45" t="s">
        <v>1105</v>
      </c>
      <c r="H1046" s="267" t="s">
        <v>366</v>
      </c>
      <c r="I1046" s="55"/>
      <c r="J1046" s="102"/>
      <c r="K1046" s="55">
        <v>16.059999999999999</v>
      </c>
      <c r="L1046" s="163"/>
      <c r="M1046" s="55">
        <v>16.059999999999999</v>
      </c>
      <c r="N1046" s="163"/>
      <c r="O1046" s="55">
        <v>16.059999999999999</v>
      </c>
      <c r="P1046" s="102"/>
      <c r="Q1046" s="97">
        <f t="shared" ref="Q1046" si="9123">SUM(AI1046+BA1046)</f>
        <v>1</v>
      </c>
      <c r="R1046" s="342">
        <f t="shared" ref="R1046" si="9124">SUM(AJ1046+BB1046)</f>
        <v>21.912368711199996</v>
      </c>
      <c r="S1046" s="97"/>
      <c r="T1046" s="97">
        <f>I1046*S1046*$T$2/1000</f>
        <v>0</v>
      </c>
      <c r="U1046" s="97"/>
      <c r="V1046" s="177">
        <f>I1046*U1046*$V$2/1000</f>
        <v>0</v>
      </c>
      <c r="W1046" s="207"/>
      <c r="X1046" s="206">
        <f>I1046*W1046*$X$2/1000</f>
        <v>0</v>
      </c>
      <c r="Y1046" s="189">
        <f t="shared" ref="Y1046" si="9125">SUM(S1046+U1046+W1046)</f>
        <v>0</v>
      </c>
      <c r="Z1046" s="177">
        <f t="shared" si="8906"/>
        <v>0</v>
      </c>
      <c r="AA1046" s="207">
        <v>0.94799999999999995</v>
      </c>
      <c r="AB1046" s="206">
        <f>K1046*AA1046*$AB$2/1000</f>
        <v>20.768563305599997</v>
      </c>
      <c r="AC1046" s="207">
        <v>5.1999999999999998E-2</v>
      </c>
      <c r="AD1046" s="177">
        <f>K1046*AC1046*$AD$2/1000</f>
        <v>1.1438054055999998</v>
      </c>
      <c r="AE1046" s="207"/>
      <c r="AF1046" s="206">
        <f t="shared" ref="AF1046" si="9126">K1046*AE1046*$AF$2/1000</f>
        <v>0</v>
      </c>
      <c r="AG1046" s="189">
        <f t="shared" ref="AG1046" si="9127">SUM(AA1046+AC1046+AE1046)</f>
        <v>1</v>
      </c>
      <c r="AH1046" s="97">
        <f>SUM(AB1046+AD1046+AF1046)</f>
        <v>21.912368711199996</v>
      </c>
      <c r="AI1046" s="97">
        <f t="shared" ref="AI1046" si="9128">SUM(Y1046+AG1046)</f>
        <v>1</v>
      </c>
      <c r="AJ1046" s="177">
        <f t="shared" ref="AJ1046" si="9129">SUM(Z1046,AH1046)</f>
        <v>21.912368711199996</v>
      </c>
      <c r="AK1046" s="207"/>
      <c r="AL1046" s="177">
        <f t="shared" ref="AL1046" si="9130">M1046*AK1046*$AL$2/1000</f>
        <v>0</v>
      </c>
      <c r="AM1046" s="245"/>
      <c r="AN1046" s="177">
        <f t="shared" ref="AN1046" si="9131">M1046*AM1046*$AN$2/1000</f>
        <v>0</v>
      </c>
      <c r="AO1046" s="207"/>
      <c r="AP1046" s="206">
        <f t="shared" ref="AP1046" si="9132">M1046*AO1046*$AP$2/1000</f>
        <v>0</v>
      </c>
      <c r="AQ1046" s="189">
        <f>SUM(AK1046+AM1046+AO1046)</f>
        <v>0</v>
      </c>
      <c r="AR1046" s="97">
        <f>SUM(AL1046+AN1046+AP1046)</f>
        <v>0</v>
      </c>
      <c r="AS1046" s="97"/>
      <c r="AT1046" s="177">
        <f t="shared" ref="AT1046" si="9133">O1046*AS1046*$AT$2/1000</f>
        <v>0</v>
      </c>
      <c r="AU1046" s="207"/>
      <c r="AV1046" s="177">
        <f t="shared" ref="AV1046" si="9134">O1046*AU1046*$AV$2/1000</f>
        <v>0</v>
      </c>
      <c r="AW1046" s="207"/>
      <c r="AX1046" s="206">
        <f t="shared" ref="AX1046" si="9135">O1046*AW1046*$AX$2/1000</f>
        <v>0</v>
      </c>
      <c r="AY1046" s="189">
        <f>SUM(AS1046+AU1046+AW1046)</f>
        <v>0</v>
      </c>
      <c r="AZ1046" s="97">
        <f t="shared" si="8920"/>
        <v>0</v>
      </c>
      <c r="BA1046" s="97">
        <f t="shared" ref="BA1046" si="9136">SUM(AQ1046+AY1046)</f>
        <v>0</v>
      </c>
      <c r="BB1046" s="97">
        <f t="shared" ref="BB1046" si="9137">SUM(AR1046,AZ1046)</f>
        <v>0</v>
      </c>
    </row>
    <row r="1047" spans="1:54">
      <c r="A1047" s="498">
        <v>743</v>
      </c>
      <c r="B1047" s="13"/>
      <c r="C1047" s="13"/>
      <c r="D1047" s="13"/>
      <c r="E1047" s="21" t="s">
        <v>1375</v>
      </c>
      <c r="F1047" s="45" t="s">
        <v>985</v>
      </c>
      <c r="G1047" s="45" t="s">
        <v>1105</v>
      </c>
      <c r="H1047" s="267" t="s">
        <v>366</v>
      </c>
      <c r="I1047" s="55">
        <v>15.73</v>
      </c>
      <c r="J1047" s="102"/>
      <c r="K1047" s="55">
        <v>15.73</v>
      </c>
      <c r="L1047" s="163"/>
      <c r="M1047" s="55">
        <v>15.73</v>
      </c>
      <c r="N1047" s="163"/>
      <c r="O1047" s="55">
        <v>15.73</v>
      </c>
      <c r="P1047" s="102"/>
      <c r="Q1047" s="97">
        <f t="shared" si="8900"/>
        <v>0</v>
      </c>
      <c r="R1047" s="342">
        <f t="shared" si="8901"/>
        <v>0</v>
      </c>
      <c r="S1047" s="97"/>
      <c r="T1047" s="97">
        <f>I1047*S1047*$T$2/1000</f>
        <v>0</v>
      </c>
      <c r="U1047" s="97"/>
      <c r="V1047" s="177">
        <f>I1047*U1047*$V$2/1000</f>
        <v>0</v>
      </c>
      <c r="W1047" s="207"/>
      <c r="X1047" s="206">
        <f>I1047*W1047*$X$2/1000</f>
        <v>0</v>
      </c>
      <c r="Y1047" s="189">
        <f t="shared" ref="Y1047" si="9138">SUM(S1047+U1047+W1047)</f>
        <v>0</v>
      </c>
      <c r="Z1047" s="177">
        <f t="shared" ref="Z1047" si="9139">SUM(T1047+V1047+X1047)</f>
        <v>0</v>
      </c>
      <c r="AA1047" s="207"/>
      <c r="AB1047" s="206">
        <f>K1047*AA1047*$AB$2/1000</f>
        <v>0</v>
      </c>
      <c r="AC1047" s="207"/>
      <c r="AD1047" s="177">
        <f>K1047*AC1047*$AD$2/1000</f>
        <v>0</v>
      </c>
      <c r="AE1047" s="207"/>
      <c r="AF1047" s="206">
        <f t="shared" si="8961"/>
        <v>0</v>
      </c>
      <c r="AG1047" s="189">
        <f t="shared" ref="AG1047" si="9140">SUM(AA1047+AC1047+AE1047)</f>
        <v>0</v>
      </c>
      <c r="AH1047" s="97">
        <f>SUM(AB1047+AD1047+AF1047)</f>
        <v>0</v>
      </c>
      <c r="AI1047" s="97">
        <f t="shared" si="8910"/>
        <v>0</v>
      </c>
      <c r="AJ1047" s="177">
        <f t="shared" si="8911"/>
        <v>0</v>
      </c>
      <c r="AK1047" s="207"/>
      <c r="AL1047" s="177">
        <f t="shared" si="8912"/>
        <v>0</v>
      </c>
      <c r="AM1047" s="245"/>
      <c r="AN1047" s="177">
        <f t="shared" si="8913"/>
        <v>0</v>
      </c>
      <c r="AO1047" s="207"/>
      <c r="AP1047" s="206">
        <f t="shared" si="8701"/>
        <v>0</v>
      </c>
      <c r="AQ1047" s="189">
        <f>SUM(AK1047+AM1047+AO1047)</f>
        <v>0</v>
      </c>
      <c r="AR1047" s="97">
        <f>SUM(AL1047+AN1047+AP1047)</f>
        <v>0</v>
      </c>
      <c r="AS1047" s="97"/>
      <c r="AT1047" s="177">
        <f t="shared" si="8916"/>
        <v>0</v>
      </c>
      <c r="AU1047" s="207"/>
      <c r="AV1047" s="177">
        <f t="shared" si="8917"/>
        <v>0</v>
      </c>
      <c r="AW1047" s="207"/>
      <c r="AX1047" s="206">
        <f t="shared" si="8918"/>
        <v>0</v>
      </c>
      <c r="AY1047" s="189">
        <f>SUM(AS1047+AU1047+AW1047)</f>
        <v>0</v>
      </c>
      <c r="AZ1047" s="97">
        <f t="shared" ref="AZ1047" si="9141">SUM(AT1047+AV1047+AX1047)</f>
        <v>0</v>
      </c>
      <c r="BA1047" s="97">
        <f t="shared" si="8921"/>
        <v>0</v>
      </c>
      <c r="BB1047" s="97">
        <f t="shared" si="8922"/>
        <v>0</v>
      </c>
    </row>
    <row r="1048" spans="1:54">
      <c r="A1048" s="498">
        <v>744</v>
      </c>
      <c r="B1048" s="13"/>
      <c r="C1048" s="13"/>
      <c r="D1048" s="13"/>
      <c r="E1048" s="21" t="s">
        <v>1376</v>
      </c>
      <c r="F1048" s="317" t="s">
        <v>986</v>
      </c>
      <c r="G1048" s="45" t="s">
        <v>1105</v>
      </c>
      <c r="H1048" s="267" t="s">
        <v>366</v>
      </c>
      <c r="I1048" s="55">
        <v>15.33</v>
      </c>
      <c r="J1048" s="102"/>
      <c r="K1048" s="55">
        <v>15.33</v>
      </c>
      <c r="L1048" s="163"/>
      <c r="M1048" s="55">
        <v>15.33</v>
      </c>
      <c r="N1048" s="163"/>
      <c r="O1048" s="55">
        <v>15.33</v>
      </c>
      <c r="P1048" s="102"/>
      <c r="Q1048" s="97">
        <f t="shared" ref="Q1048" si="9142">SUM(AI1048+BA1048)</f>
        <v>0</v>
      </c>
      <c r="R1048" s="342">
        <f t="shared" ref="R1048" si="9143">SUM(AJ1048+BB1048)</f>
        <v>0</v>
      </c>
      <c r="S1048" s="97"/>
      <c r="T1048" s="97">
        <f>I1048*S1048*$T$2/1000</f>
        <v>0</v>
      </c>
      <c r="U1048" s="97"/>
      <c r="V1048" s="177">
        <f>I1048*U1048*$V$2/1000</f>
        <v>0</v>
      </c>
      <c r="W1048" s="207"/>
      <c r="X1048" s="206">
        <f>I1048*W1048*$X$2/1000</f>
        <v>0</v>
      </c>
      <c r="Y1048" s="189">
        <f t="shared" ref="Y1048" si="9144">SUM(S1048+U1048+W1048)</f>
        <v>0</v>
      </c>
      <c r="Z1048" s="177">
        <f t="shared" ref="Z1048" si="9145">SUM(T1048+V1048+X1048)</f>
        <v>0</v>
      </c>
      <c r="AA1048" s="207"/>
      <c r="AB1048" s="206">
        <f>K1048*AA1048*$AB$2/1000</f>
        <v>0</v>
      </c>
      <c r="AC1048" s="207"/>
      <c r="AD1048" s="177">
        <f>K1048*AC1048*$AD$2/1000</f>
        <v>0</v>
      </c>
      <c r="AE1048" s="207"/>
      <c r="AF1048" s="206">
        <f t="shared" ref="AF1048" si="9146">K1048*AE1048*$AF$2/1000</f>
        <v>0</v>
      </c>
      <c r="AG1048" s="189">
        <f t="shared" ref="AG1048" si="9147">SUM(AA1048+AC1048+AE1048)</f>
        <v>0</v>
      </c>
      <c r="AH1048" s="97">
        <f t="shared" ref="AH1048" si="9148">SUM(AB1048+AD1048+AF1048)</f>
        <v>0</v>
      </c>
      <c r="AI1048" s="97">
        <f t="shared" ref="AI1048" si="9149">SUM(Y1048+AG1048)</f>
        <v>0</v>
      </c>
      <c r="AJ1048" s="177">
        <f t="shared" ref="AJ1048" si="9150">SUM(Z1048,AH1048)</f>
        <v>0</v>
      </c>
      <c r="AK1048" s="207"/>
      <c r="AL1048" s="177">
        <f t="shared" ref="AL1048" si="9151">M1048*AK1048*$AL$2/1000</f>
        <v>0</v>
      </c>
      <c r="AM1048" s="245"/>
      <c r="AN1048" s="177">
        <f t="shared" ref="AN1048" si="9152">M1048*AM1048*$AN$2/1000</f>
        <v>0</v>
      </c>
      <c r="AO1048" s="207"/>
      <c r="AP1048" s="206">
        <f t="shared" ref="AP1048" si="9153">M1048*AO1048*$AP$2/1000</f>
        <v>0</v>
      </c>
      <c r="AQ1048" s="189">
        <f t="shared" ref="AQ1048" si="9154">SUM(AK1048+AM1048+AO1048)</f>
        <v>0</v>
      </c>
      <c r="AR1048" s="97">
        <f t="shared" ref="AR1048" si="9155">SUM(AL1048+AN1048+AP1048)</f>
        <v>0</v>
      </c>
      <c r="AS1048" s="97"/>
      <c r="AT1048" s="177">
        <f t="shared" ref="AT1048" si="9156">O1048*AS1048*$AT$2/1000</f>
        <v>0</v>
      </c>
      <c r="AU1048" s="207"/>
      <c r="AV1048" s="177">
        <f t="shared" ref="AV1048" si="9157">O1048*AU1048*$AV$2/1000</f>
        <v>0</v>
      </c>
      <c r="AW1048" s="207"/>
      <c r="AX1048" s="206">
        <f t="shared" ref="AX1048" si="9158">O1048*AW1048*$AX$2/1000</f>
        <v>0</v>
      </c>
      <c r="AY1048" s="189">
        <f t="shared" ref="AY1048" si="9159">SUM(AS1048+AU1048+AW1048)</f>
        <v>0</v>
      </c>
      <c r="AZ1048" s="97">
        <f t="shared" ref="AZ1048" si="9160">SUM(AT1048+AV1048+AX1048)</f>
        <v>0</v>
      </c>
      <c r="BA1048" s="97">
        <f t="shared" ref="BA1048" si="9161">SUM(AQ1048+AY1048)</f>
        <v>0</v>
      </c>
      <c r="BB1048" s="97">
        <f t="shared" ref="BB1048" si="9162">SUM(AR1048,AZ1048)</f>
        <v>0</v>
      </c>
    </row>
    <row r="1049" spans="1:54">
      <c r="A1049" s="498">
        <v>745</v>
      </c>
      <c r="B1049" s="13"/>
      <c r="C1049" s="13"/>
      <c r="D1049" s="13"/>
      <c r="E1049" s="21" t="s">
        <v>1377</v>
      </c>
      <c r="F1049" s="317" t="s">
        <v>986</v>
      </c>
      <c r="G1049" s="45" t="s">
        <v>1105</v>
      </c>
      <c r="H1049" s="267" t="s">
        <v>366</v>
      </c>
      <c r="I1049" s="55">
        <v>15.9</v>
      </c>
      <c r="J1049" s="102"/>
      <c r="K1049" s="55">
        <v>15.9</v>
      </c>
      <c r="L1049" s="163"/>
      <c r="M1049" s="55">
        <v>15.9</v>
      </c>
      <c r="N1049" s="163"/>
      <c r="O1049" s="55">
        <v>15.9</v>
      </c>
      <c r="P1049" s="102"/>
      <c r="Q1049" s="97">
        <f t="shared" si="8900"/>
        <v>0</v>
      </c>
      <c r="R1049" s="342">
        <f t="shared" si="8901"/>
        <v>0</v>
      </c>
      <c r="S1049" s="97"/>
      <c r="T1049" s="97">
        <f>I1049*S1049*$T$2/1000</f>
        <v>0</v>
      </c>
      <c r="U1049" s="97"/>
      <c r="V1049" s="177">
        <f>I1049*U1049*$V$2/1000</f>
        <v>0</v>
      </c>
      <c r="W1049" s="207"/>
      <c r="X1049" s="206">
        <f>I1049*W1049*$X$2/1000</f>
        <v>0</v>
      </c>
      <c r="Y1049" s="189">
        <f t="shared" ref="Y1049" si="9163">SUM(S1049+U1049+W1049)</f>
        <v>0</v>
      </c>
      <c r="Z1049" s="177">
        <f t="shared" ref="Z1049" si="9164">SUM(T1049+V1049+X1049)</f>
        <v>0</v>
      </c>
      <c r="AA1049" s="207"/>
      <c r="AB1049" s="206">
        <f>K1049*AA1049*$AB$2/1000</f>
        <v>0</v>
      </c>
      <c r="AC1049" s="207"/>
      <c r="AD1049" s="177">
        <f>K1049*AC1049*$AD$2/1000</f>
        <v>0</v>
      </c>
      <c r="AE1049" s="207"/>
      <c r="AF1049" s="206">
        <f t="shared" si="8961"/>
        <v>0</v>
      </c>
      <c r="AG1049" s="189">
        <f t="shared" ref="AG1049" si="9165">SUM(AA1049+AC1049+AE1049)</f>
        <v>0</v>
      </c>
      <c r="AH1049" s="97">
        <f t="shared" ref="AH1049" si="9166">SUM(AB1049+AD1049+AF1049)</f>
        <v>0</v>
      </c>
      <c r="AI1049" s="97">
        <f t="shared" si="8910"/>
        <v>0</v>
      </c>
      <c r="AJ1049" s="177">
        <f t="shared" si="8911"/>
        <v>0</v>
      </c>
      <c r="AK1049" s="207"/>
      <c r="AL1049" s="177">
        <f t="shared" si="8912"/>
        <v>0</v>
      </c>
      <c r="AM1049" s="245"/>
      <c r="AN1049" s="177">
        <f t="shared" si="8913"/>
        <v>0</v>
      </c>
      <c r="AO1049" s="207"/>
      <c r="AP1049" s="206">
        <f t="shared" si="8701"/>
        <v>0</v>
      </c>
      <c r="AQ1049" s="189">
        <f>SUM(AK1049+AM1049+AO1049)</f>
        <v>0</v>
      </c>
      <c r="AR1049" s="97">
        <f t="shared" ref="AR1049" si="9167">SUM(AL1049+AN1049+AP1049)</f>
        <v>0</v>
      </c>
      <c r="AS1049" s="97"/>
      <c r="AT1049" s="177">
        <f t="shared" si="8916"/>
        <v>0</v>
      </c>
      <c r="AU1049" s="207"/>
      <c r="AV1049" s="177">
        <f t="shared" si="8917"/>
        <v>0</v>
      </c>
      <c r="AW1049" s="207"/>
      <c r="AX1049" s="206">
        <f t="shared" si="8918"/>
        <v>0</v>
      </c>
      <c r="AY1049" s="189">
        <f>SUM(AS1049+AU1049+AW1049)</f>
        <v>0</v>
      </c>
      <c r="AZ1049" s="97">
        <f t="shared" ref="AZ1049" si="9168">SUM(AT1049+AV1049+AX1049)</f>
        <v>0</v>
      </c>
      <c r="BA1049" s="97">
        <f t="shared" si="8921"/>
        <v>0</v>
      </c>
      <c r="BB1049" s="97">
        <f t="shared" si="8922"/>
        <v>0</v>
      </c>
    </row>
    <row r="1050" spans="1:54" s="6" customFormat="1">
      <c r="A1050" s="498">
        <v>746</v>
      </c>
      <c r="B1050" s="14"/>
      <c r="C1050" s="40"/>
      <c r="D1050" s="14"/>
      <c r="E1050" s="486" t="s">
        <v>1378</v>
      </c>
      <c r="F1050" s="487" t="s">
        <v>986</v>
      </c>
      <c r="G1050" s="487" t="s">
        <v>1105</v>
      </c>
      <c r="H1050" s="273" t="s">
        <v>446</v>
      </c>
      <c r="I1050" s="488">
        <v>16.670000000000002</v>
      </c>
      <c r="J1050" s="489"/>
      <c r="K1050" s="488">
        <v>16.670000000000002</v>
      </c>
      <c r="L1050" s="489"/>
      <c r="M1050" s="488">
        <v>16.670000000000002</v>
      </c>
      <c r="N1050" s="489"/>
      <c r="O1050" s="488">
        <v>16.34</v>
      </c>
      <c r="P1050" s="489"/>
      <c r="Q1050" s="428">
        <f t="shared" si="8900"/>
        <v>27.419000000000004</v>
      </c>
      <c r="R1050" s="490">
        <f t="shared" si="8901"/>
        <v>618.21287967160015</v>
      </c>
      <c r="S1050" s="428">
        <v>1.1120000000000001</v>
      </c>
      <c r="T1050" s="428">
        <f t="shared" si="8902"/>
        <v>24.503927805600007</v>
      </c>
      <c r="U1050" s="428">
        <v>1.669</v>
      </c>
      <c r="V1050" s="428">
        <f t="shared" si="8903"/>
        <v>37.014694792000007</v>
      </c>
      <c r="W1050" s="428">
        <v>1.669</v>
      </c>
      <c r="X1050" s="428">
        <f t="shared" si="8904"/>
        <v>37.020259238000008</v>
      </c>
      <c r="Y1050" s="428">
        <f>SUM(S1050+U1050+W1050)</f>
        <v>4.45</v>
      </c>
      <c r="Z1050" s="428">
        <f t="shared" si="8906"/>
        <v>98.538881835600023</v>
      </c>
      <c r="AA1050" s="428">
        <v>2.7490000000000001</v>
      </c>
      <c r="AB1050" s="428">
        <f t="shared" si="8539"/>
        <v>62.511931219600001</v>
      </c>
      <c r="AC1050" s="428">
        <v>4.3520000000000003</v>
      </c>
      <c r="AD1050" s="428">
        <f t="shared" si="8907"/>
        <v>99.363698099200022</v>
      </c>
      <c r="AE1050" s="428"/>
      <c r="AF1050" s="129">
        <f t="shared" si="8961"/>
        <v>0</v>
      </c>
      <c r="AG1050" s="428">
        <f>SUM(AA1050+AC1050+AE1050)</f>
        <v>7.1010000000000009</v>
      </c>
      <c r="AH1050" s="428">
        <f>SUM(AB1050+AD1050+AF1050)</f>
        <v>161.87562931880001</v>
      </c>
      <c r="AI1050" s="428">
        <f t="shared" si="8910"/>
        <v>11.551000000000002</v>
      </c>
      <c r="AJ1050" s="428">
        <f t="shared" si="8911"/>
        <v>260.41451115440003</v>
      </c>
      <c r="AK1050" s="428"/>
      <c r="AL1050" s="428">
        <f t="shared" si="8912"/>
        <v>0</v>
      </c>
      <c r="AM1050" s="428">
        <v>1.3</v>
      </c>
      <c r="AN1050" s="428">
        <f t="shared" si="8913"/>
        <v>29.4963981</v>
      </c>
      <c r="AO1050" s="428">
        <v>3.02</v>
      </c>
      <c r="AP1050" s="428">
        <f t="shared" si="8701"/>
        <v>67.077042726000016</v>
      </c>
      <c r="AQ1050" s="428">
        <f t="shared" si="8914"/>
        <v>4.32</v>
      </c>
      <c r="AR1050" s="428">
        <f t="shared" si="8915"/>
        <v>96.573440826000024</v>
      </c>
      <c r="AS1050" s="428">
        <v>5.5</v>
      </c>
      <c r="AT1050" s="428">
        <f t="shared" si="8916"/>
        <v>122.03447300000002</v>
      </c>
      <c r="AU1050" s="428">
        <v>2.3759999999999999</v>
      </c>
      <c r="AV1050" s="428">
        <f t="shared" si="8917"/>
        <v>54.029973412799997</v>
      </c>
      <c r="AW1050" s="428">
        <v>3.6720000000000002</v>
      </c>
      <c r="AX1050" s="428">
        <f t="shared" si="8918"/>
        <v>85.160481278399999</v>
      </c>
      <c r="AY1050" s="428">
        <f t="shared" si="8919"/>
        <v>11.548</v>
      </c>
      <c r="AZ1050" s="428">
        <f t="shared" si="8920"/>
        <v>261.22492769120004</v>
      </c>
      <c r="BA1050" s="428">
        <f t="shared" si="8921"/>
        <v>15.868</v>
      </c>
      <c r="BB1050" s="428">
        <f t="shared" si="8922"/>
        <v>357.79836851720006</v>
      </c>
    </row>
    <row r="1051" spans="1:54">
      <c r="B1051" s="13"/>
      <c r="C1051" s="13"/>
      <c r="D1051" s="13"/>
      <c r="E1051" s="21" t="s">
        <v>1379</v>
      </c>
      <c r="F1051" s="487" t="s">
        <v>986</v>
      </c>
      <c r="G1051" s="487" t="s">
        <v>1105</v>
      </c>
      <c r="H1051" s="273" t="s">
        <v>366</v>
      </c>
      <c r="I1051" s="55">
        <v>15.33</v>
      </c>
      <c r="J1051" s="102"/>
      <c r="K1051" s="55">
        <v>16.670000000000002</v>
      </c>
      <c r="L1051" s="163"/>
      <c r="M1051" s="55">
        <v>16.670000000000002</v>
      </c>
      <c r="N1051" s="163"/>
      <c r="O1051" s="55">
        <v>16.34</v>
      </c>
      <c r="P1051" s="102"/>
      <c r="Q1051" s="97">
        <f t="shared" ref="Q1051" si="9169">SUM(AI1051+BA1051)</f>
        <v>0.48099999999999998</v>
      </c>
      <c r="R1051" s="342">
        <f t="shared" ref="R1051" si="9170">SUM(AJ1051+BB1051)</f>
        <v>10.870028214300001</v>
      </c>
      <c r="S1051" s="97"/>
      <c r="T1051" s="97">
        <f t="shared" si="8902"/>
        <v>0</v>
      </c>
      <c r="U1051" s="97"/>
      <c r="V1051" s="177">
        <f t="shared" si="8903"/>
        <v>0</v>
      </c>
      <c r="W1051" s="207"/>
      <c r="X1051" s="206">
        <f t="shared" si="8904"/>
        <v>0</v>
      </c>
      <c r="Y1051" s="189">
        <f t="shared" ref="Y1051" si="9171">SUM(S1051+U1051+W1051)</f>
        <v>0</v>
      </c>
      <c r="Z1051" s="177">
        <f t="shared" si="8906"/>
        <v>0</v>
      </c>
      <c r="AA1051" s="207">
        <v>4.8000000000000001E-2</v>
      </c>
      <c r="AB1051" s="206">
        <f t="shared" si="8539"/>
        <v>1.0915142592</v>
      </c>
      <c r="AC1051" s="207">
        <v>1E-3</v>
      </c>
      <c r="AD1051" s="177">
        <f t="shared" si="8907"/>
        <v>2.2831732100000005E-2</v>
      </c>
      <c r="AE1051" s="207"/>
      <c r="AF1051" s="206">
        <f t="shared" ref="AF1051" si="9172">K1051*AE1051*$AF$2/1000</f>
        <v>0</v>
      </c>
      <c r="AG1051" s="189">
        <f t="shared" ref="AG1051" si="9173">SUM(AA1051+AC1051+AE1051)</f>
        <v>4.9000000000000002E-2</v>
      </c>
      <c r="AH1051" s="97">
        <f t="shared" ref="AH1051" si="9174">SUM(AB1051+AD1051+AF1051)</f>
        <v>1.1143459913</v>
      </c>
      <c r="AI1051" s="97">
        <f t="shared" ref="AI1051" si="9175">SUM(Y1051+AG1051)</f>
        <v>4.9000000000000002E-2</v>
      </c>
      <c r="AJ1051" s="177">
        <f t="shared" ref="AJ1051" si="9176">SUM(Z1051,AH1051)</f>
        <v>1.1143459913</v>
      </c>
      <c r="AK1051" s="207">
        <v>0.108</v>
      </c>
      <c r="AL1051" s="177">
        <f t="shared" ref="AL1051" si="9177">M1051*AK1051*$AL$2/1000</f>
        <v>2.4900419088000003</v>
      </c>
      <c r="AM1051" s="245"/>
      <c r="AN1051" s="177">
        <f t="shared" ref="AN1051" si="9178">M1051*AM1051*$AN$2/1000</f>
        <v>0</v>
      </c>
      <c r="AO1051" s="207"/>
      <c r="AP1051" s="206">
        <f t="shared" ref="AP1051" si="9179">M1051*AO1051*$AP$2/1000</f>
        <v>0</v>
      </c>
      <c r="AQ1051" s="189">
        <f>SUM(AK1051+AM1051+AO1051)</f>
        <v>0.108</v>
      </c>
      <c r="AR1051" s="97">
        <f t="shared" si="8915"/>
        <v>2.4900419088000003</v>
      </c>
      <c r="AS1051" s="97">
        <v>0.185</v>
      </c>
      <c r="AT1051" s="177">
        <f t="shared" ref="AT1051" si="9180">O1051*AS1051*$AT$2/1000</f>
        <v>4.10479591</v>
      </c>
      <c r="AU1051" s="207">
        <v>0.13900000000000001</v>
      </c>
      <c r="AV1051" s="177">
        <f t="shared" ref="AV1051" si="9181">O1051*AU1051*$AV$2/1000</f>
        <v>3.1608444042000006</v>
      </c>
      <c r="AW1051" s="207"/>
      <c r="AX1051" s="206">
        <f t="shared" ref="AX1051" si="9182">O1051*AW1051*$AX$2/1000</f>
        <v>0</v>
      </c>
      <c r="AY1051" s="189">
        <f>SUM(AS1051+AU1051+AW1051)</f>
        <v>0.32400000000000001</v>
      </c>
      <c r="AZ1051" s="97">
        <f>SUM(AT1051+AV1051+AX1051)</f>
        <v>7.2656403142000006</v>
      </c>
      <c r="BA1051" s="97">
        <f t="shared" ref="BA1051" si="9183">SUM(AQ1051+AY1051)</f>
        <v>0.432</v>
      </c>
      <c r="BB1051" s="97">
        <f t="shared" ref="BB1051" si="9184">SUM(AR1051,AZ1051)</f>
        <v>9.7556822230000009</v>
      </c>
    </row>
    <row r="1052" spans="1:54">
      <c r="B1052" s="13"/>
      <c r="C1052" s="13"/>
      <c r="D1052" s="13"/>
      <c r="E1052" s="21" t="s">
        <v>1681</v>
      </c>
      <c r="F1052" s="487" t="s">
        <v>986</v>
      </c>
      <c r="G1052" s="487" t="s">
        <v>1105</v>
      </c>
      <c r="H1052" s="273" t="s">
        <v>446</v>
      </c>
      <c r="I1052" s="55">
        <v>25</v>
      </c>
      <c r="J1052" s="102"/>
      <c r="K1052" s="55">
        <v>25</v>
      </c>
      <c r="L1052" s="163"/>
      <c r="M1052" s="55">
        <v>25</v>
      </c>
      <c r="N1052" s="163"/>
      <c r="O1052" s="55">
        <v>25</v>
      </c>
      <c r="P1052" s="102"/>
      <c r="Q1052" s="97">
        <f t="shared" si="8900"/>
        <v>0</v>
      </c>
      <c r="R1052" s="342">
        <f t="shared" si="8901"/>
        <v>0</v>
      </c>
      <c r="S1052" s="97"/>
      <c r="T1052" s="97">
        <f t="shared" ref="T1052:T1057" si="9185">I1052*S1052*$T$2/1000</f>
        <v>0</v>
      </c>
      <c r="U1052" s="97"/>
      <c r="V1052" s="177">
        <f t="shared" ref="V1052:V1057" si="9186">I1052*U1052*$V$2/1000</f>
        <v>0</v>
      </c>
      <c r="W1052" s="207"/>
      <c r="X1052" s="206">
        <f t="shared" ref="X1052:X1057" si="9187">I1052*W1052*$X$2/1000</f>
        <v>0</v>
      </c>
      <c r="Y1052" s="189">
        <f>SUM(S1052+U1052+W1052)</f>
        <v>0</v>
      </c>
      <c r="Z1052" s="177">
        <f t="shared" ref="Z1052" si="9188">SUM(T1052+V1052+X1052)</f>
        <v>0</v>
      </c>
      <c r="AA1052" s="207"/>
      <c r="AB1052" s="206">
        <f t="shared" ref="AB1052:AB1057" si="9189">K1052*AA1052*$AB$2/1000</f>
        <v>0</v>
      </c>
      <c r="AC1052" s="207"/>
      <c r="AD1052" s="177">
        <f t="shared" ref="AD1052:AD1057" si="9190">K1052*AC1052*$AD$2/1000</f>
        <v>0</v>
      </c>
      <c r="AE1052" s="207"/>
      <c r="AF1052" s="206">
        <f t="shared" si="8961"/>
        <v>0</v>
      </c>
      <c r="AG1052" s="189">
        <f t="shared" ref="AG1052" si="9191">SUM(AA1052+AC1052+AE1052)</f>
        <v>0</v>
      </c>
      <c r="AH1052" s="97">
        <f t="shared" ref="AH1052" si="9192">SUM(AB1052+AD1052+AF1052)</f>
        <v>0</v>
      </c>
      <c r="AI1052" s="97">
        <f t="shared" si="8910"/>
        <v>0</v>
      </c>
      <c r="AJ1052" s="177">
        <f t="shared" si="8911"/>
        <v>0</v>
      </c>
      <c r="AK1052" s="207"/>
      <c r="AL1052" s="177">
        <f t="shared" si="8912"/>
        <v>0</v>
      </c>
      <c r="AM1052" s="245"/>
      <c r="AN1052" s="177">
        <f t="shared" si="8913"/>
        <v>0</v>
      </c>
      <c r="AO1052" s="207"/>
      <c r="AP1052" s="206">
        <f t="shared" si="8701"/>
        <v>0</v>
      </c>
      <c r="AQ1052" s="189">
        <f>SUM(AK1052+AM1052+AO1052)</f>
        <v>0</v>
      </c>
      <c r="AR1052" s="97">
        <f t="shared" ref="AR1052" si="9193">SUM(AL1052+AN1052+AP1052)</f>
        <v>0</v>
      </c>
      <c r="AS1052" s="97"/>
      <c r="AT1052" s="177">
        <f t="shared" si="8916"/>
        <v>0</v>
      </c>
      <c r="AU1052" s="207"/>
      <c r="AV1052" s="177">
        <f t="shared" si="8917"/>
        <v>0</v>
      </c>
      <c r="AW1052" s="207"/>
      <c r="AX1052" s="206">
        <f t="shared" si="8918"/>
        <v>0</v>
      </c>
      <c r="AY1052" s="189">
        <f>SUM(AS1052+AU1052+AW1052)</f>
        <v>0</v>
      </c>
      <c r="AZ1052" s="97">
        <f>SUM(AT1052+AV1052+AX1052)</f>
        <v>0</v>
      </c>
      <c r="BA1052" s="97">
        <f t="shared" si="8921"/>
        <v>0</v>
      </c>
      <c r="BB1052" s="97">
        <f t="shared" si="8922"/>
        <v>0</v>
      </c>
    </row>
    <row r="1053" spans="1:54">
      <c r="B1053" s="13"/>
      <c r="C1053" s="13"/>
      <c r="D1053" s="13"/>
      <c r="E1053" s="21" t="s">
        <v>1358</v>
      </c>
      <c r="F1053" s="487" t="s">
        <v>986</v>
      </c>
      <c r="G1053" s="22" t="s">
        <v>1201</v>
      </c>
      <c r="H1053" s="267" t="s">
        <v>369</v>
      </c>
      <c r="I1053" s="55">
        <v>15.9</v>
      </c>
      <c r="J1053" s="102"/>
      <c r="K1053" s="55">
        <v>15.9</v>
      </c>
      <c r="L1053" s="163"/>
      <c r="M1053" s="55">
        <v>15.9</v>
      </c>
      <c r="N1053" s="163"/>
      <c r="O1053" s="55">
        <v>15.9</v>
      </c>
      <c r="P1053" s="102"/>
      <c r="Q1053" s="97">
        <f t="shared" ref="Q1053" si="9194">SUM(AI1053+BA1053)</f>
        <v>0</v>
      </c>
      <c r="R1053" s="342">
        <f t="shared" ref="R1053" si="9195">SUM(AJ1053+BB1053)</f>
        <v>0</v>
      </c>
      <c r="S1053" s="97"/>
      <c r="T1053" s="97">
        <f t="shared" si="9185"/>
        <v>0</v>
      </c>
      <c r="U1053" s="97"/>
      <c r="V1053" s="177">
        <f t="shared" si="9186"/>
        <v>0</v>
      </c>
      <c r="W1053" s="207"/>
      <c r="X1053" s="206">
        <f t="shared" si="9187"/>
        <v>0</v>
      </c>
      <c r="Y1053" s="189">
        <f t="shared" ref="Y1053" si="9196">SUM(S1053+U1053+W1053)</f>
        <v>0</v>
      </c>
      <c r="Z1053" s="177">
        <f t="shared" ref="Z1053" si="9197">SUM(T1053+V1053+X1053)</f>
        <v>0</v>
      </c>
      <c r="AA1053" s="207"/>
      <c r="AB1053" s="206">
        <f t="shared" si="9189"/>
        <v>0</v>
      </c>
      <c r="AC1053" s="207"/>
      <c r="AD1053" s="177">
        <f t="shared" si="9190"/>
        <v>0</v>
      </c>
      <c r="AE1053" s="207"/>
      <c r="AF1053" s="206">
        <f t="shared" ref="AF1053" si="9198">K1053*AE1053*$AF$2/1000</f>
        <v>0</v>
      </c>
      <c r="AG1053" s="189">
        <f t="shared" ref="AG1053" si="9199">SUM(AA1053+AC1053+AE1053)</f>
        <v>0</v>
      </c>
      <c r="AH1053" s="97">
        <f t="shared" ref="AH1053" si="9200">SUM(AB1053+AD1053+AF1053)</f>
        <v>0</v>
      </c>
      <c r="AI1053" s="97">
        <f t="shared" ref="AI1053" si="9201">SUM(Y1053+AG1053)</f>
        <v>0</v>
      </c>
      <c r="AJ1053" s="177">
        <f t="shared" ref="AJ1053" si="9202">SUM(Z1053,AH1053)</f>
        <v>0</v>
      </c>
      <c r="AK1053" s="207"/>
      <c r="AL1053" s="177">
        <f t="shared" ref="AL1053" si="9203">M1053*AK1053*$AL$2/1000</f>
        <v>0</v>
      </c>
      <c r="AM1053" s="245"/>
      <c r="AN1053" s="177">
        <f t="shared" ref="AN1053" si="9204">M1053*AM1053*$AN$2/1000</f>
        <v>0</v>
      </c>
      <c r="AO1053" s="207"/>
      <c r="AP1053" s="206">
        <f t="shared" ref="AP1053" si="9205">M1053*AO1053*$AP$2/1000</f>
        <v>0</v>
      </c>
      <c r="AQ1053" s="189">
        <f t="shared" ref="AQ1053" si="9206">SUM(AK1053+AM1053+AO1053)</f>
        <v>0</v>
      </c>
      <c r="AR1053" s="97">
        <f t="shared" ref="AR1053" si="9207">SUM(AL1053+AN1053+AP1053)</f>
        <v>0</v>
      </c>
      <c r="AS1053" s="97"/>
      <c r="AT1053" s="177">
        <f t="shared" ref="AT1053" si="9208">O1053*AS1053*$AT$2/1000</f>
        <v>0</v>
      </c>
      <c r="AU1053" s="207"/>
      <c r="AV1053" s="177">
        <f t="shared" ref="AV1053" si="9209">O1053*AU1053*$AV$2/1000</f>
        <v>0</v>
      </c>
      <c r="AW1053" s="207"/>
      <c r="AX1053" s="206">
        <f t="shared" ref="AX1053" si="9210">O1053*AW1053*$AX$2/1000</f>
        <v>0</v>
      </c>
      <c r="AY1053" s="189">
        <f t="shared" ref="AY1053" si="9211">SUM(AS1053+AU1053+AW1053)</f>
        <v>0</v>
      </c>
      <c r="AZ1053" s="97">
        <f t="shared" ref="AZ1053" si="9212">SUM(AT1053+AV1053+AX1053)</f>
        <v>0</v>
      </c>
      <c r="BA1053" s="97">
        <f t="shared" ref="BA1053" si="9213">SUM(AQ1053+AY1053)</f>
        <v>0</v>
      </c>
      <c r="BB1053" s="97">
        <f t="shared" ref="BB1053" si="9214">SUM(AR1053,AZ1053)</f>
        <v>0</v>
      </c>
    </row>
    <row r="1054" spans="1:54">
      <c r="A1054" s="498">
        <v>747</v>
      </c>
      <c r="B1054" s="13"/>
      <c r="C1054" s="13"/>
      <c r="D1054" s="13"/>
      <c r="E1054" s="21" t="s">
        <v>1130</v>
      </c>
      <c r="F1054" s="22" t="s">
        <v>987</v>
      </c>
      <c r="G1054" s="487" t="s">
        <v>1105</v>
      </c>
      <c r="H1054" s="273" t="s">
        <v>370</v>
      </c>
      <c r="I1054" s="55">
        <v>15.04</v>
      </c>
      <c r="J1054" s="102"/>
      <c r="K1054" s="55">
        <v>15.04</v>
      </c>
      <c r="L1054" s="163"/>
      <c r="M1054" s="55">
        <v>15.04</v>
      </c>
      <c r="N1054" s="163"/>
      <c r="O1054" s="55">
        <v>15.04</v>
      </c>
      <c r="P1054" s="102"/>
      <c r="Q1054" s="97">
        <f t="shared" ref="Q1054:Q1055" si="9215">SUM(AI1054+BA1054)</f>
        <v>0</v>
      </c>
      <c r="R1054" s="342">
        <f t="shared" ref="R1054:R1055" si="9216">SUM(AJ1054+BB1054)</f>
        <v>0</v>
      </c>
      <c r="S1054" s="97"/>
      <c r="T1054" s="97">
        <f t="shared" si="9185"/>
        <v>0</v>
      </c>
      <c r="U1054" s="97"/>
      <c r="V1054" s="177">
        <f t="shared" si="9186"/>
        <v>0</v>
      </c>
      <c r="W1054" s="207"/>
      <c r="X1054" s="206">
        <f t="shared" si="9187"/>
        <v>0</v>
      </c>
      <c r="Y1054" s="189">
        <f t="shared" ref="Y1054:Y1055" si="9217">SUM(S1054+U1054+W1054)</f>
        <v>0</v>
      </c>
      <c r="Z1054" s="177">
        <f t="shared" ref="Z1054:Z1055" si="9218">SUM(T1054+V1054+X1054)</f>
        <v>0</v>
      </c>
      <c r="AA1054" s="207"/>
      <c r="AB1054" s="206">
        <f t="shared" si="9189"/>
        <v>0</v>
      </c>
      <c r="AC1054" s="207"/>
      <c r="AD1054" s="177">
        <f t="shared" si="9190"/>
        <v>0</v>
      </c>
      <c r="AE1054" s="207"/>
      <c r="AF1054" s="206">
        <f t="shared" ref="AF1054:AF1055" si="9219">K1054*AE1054*$AF$2/1000</f>
        <v>0</v>
      </c>
      <c r="AG1054" s="189">
        <f t="shared" ref="AG1054:AG1055" si="9220">SUM(AA1054+AC1054+AE1054)</f>
        <v>0</v>
      </c>
      <c r="AH1054" s="97">
        <f t="shared" ref="AH1054:AH1055" si="9221">SUM(AB1054+AD1054+AF1054)</f>
        <v>0</v>
      </c>
      <c r="AI1054" s="97">
        <f t="shared" ref="AI1054:AI1055" si="9222">SUM(Y1054+AG1054)</f>
        <v>0</v>
      </c>
      <c r="AJ1054" s="177">
        <f t="shared" ref="AJ1054:AJ1055" si="9223">SUM(Z1054,AH1054)</f>
        <v>0</v>
      </c>
      <c r="AK1054" s="207"/>
      <c r="AL1054" s="177">
        <f t="shared" ref="AL1054:AL1055" si="9224">M1054*AK1054*$AL$2/1000</f>
        <v>0</v>
      </c>
      <c r="AM1054" s="245"/>
      <c r="AN1054" s="177">
        <f t="shared" ref="AN1054:AN1055" si="9225">M1054*AM1054*$AN$2/1000</f>
        <v>0</v>
      </c>
      <c r="AO1054" s="207"/>
      <c r="AP1054" s="206">
        <f t="shared" ref="AP1054:AP1055" si="9226">M1054*AO1054*$AP$2/1000</f>
        <v>0</v>
      </c>
      <c r="AQ1054" s="189">
        <f t="shared" ref="AQ1054" si="9227">SUM(AK1054+AM1054+AO1054)</f>
        <v>0</v>
      </c>
      <c r="AR1054" s="97">
        <f t="shared" ref="AR1054:AR1055" si="9228">SUM(AL1054+AN1054+AP1054)</f>
        <v>0</v>
      </c>
      <c r="AS1054" s="97"/>
      <c r="AT1054" s="177">
        <f t="shared" ref="AT1054:AT1055" si="9229">O1054*AS1054*$AT$2/1000</f>
        <v>0</v>
      </c>
      <c r="AU1054" s="207"/>
      <c r="AV1054" s="177">
        <f t="shared" ref="AV1054:AV1055" si="9230">O1054*AU1054*$AV$2/1000</f>
        <v>0</v>
      </c>
      <c r="AW1054" s="207"/>
      <c r="AX1054" s="206">
        <f t="shared" ref="AX1054:AX1055" si="9231">O1054*AW1054*$AX$2/1000</f>
        <v>0</v>
      </c>
      <c r="AY1054" s="189">
        <f t="shared" ref="AY1054" si="9232">SUM(AS1054+AU1054+AW1054)</f>
        <v>0</v>
      </c>
      <c r="AZ1054" s="97">
        <f t="shared" ref="AZ1054" si="9233">SUM(AT1054+AV1054+AX1054)</f>
        <v>0</v>
      </c>
      <c r="BA1054" s="97">
        <f t="shared" ref="BA1054:BA1055" si="9234">SUM(AQ1054+AY1054)</f>
        <v>0</v>
      </c>
      <c r="BB1054" s="97">
        <f t="shared" ref="BB1054:BB1055" si="9235">SUM(AR1054,AZ1054)</f>
        <v>0</v>
      </c>
    </row>
    <row r="1055" spans="1:54">
      <c r="B1055" s="13"/>
      <c r="C1055" s="13"/>
      <c r="D1055" s="13"/>
      <c r="E1055" s="21" t="s">
        <v>1359</v>
      </c>
      <c r="F1055" s="430" t="s">
        <v>987</v>
      </c>
      <c r="G1055" s="487" t="s">
        <v>1105</v>
      </c>
      <c r="H1055" s="273" t="s">
        <v>367</v>
      </c>
      <c r="I1055" s="55">
        <v>15.38</v>
      </c>
      <c r="J1055" s="102"/>
      <c r="K1055" s="55">
        <v>15.38</v>
      </c>
      <c r="L1055" s="163"/>
      <c r="M1055" s="55">
        <v>15.38</v>
      </c>
      <c r="N1055" s="163"/>
      <c r="O1055" s="55">
        <v>15.38</v>
      </c>
      <c r="P1055" s="102"/>
      <c r="Q1055" s="97">
        <f t="shared" si="9215"/>
        <v>0</v>
      </c>
      <c r="R1055" s="342">
        <f t="shared" si="9216"/>
        <v>0</v>
      </c>
      <c r="S1055" s="97"/>
      <c r="T1055" s="97">
        <f t="shared" si="9185"/>
        <v>0</v>
      </c>
      <c r="U1055" s="97"/>
      <c r="V1055" s="177">
        <f t="shared" si="9186"/>
        <v>0</v>
      </c>
      <c r="W1055" s="207"/>
      <c r="X1055" s="206">
        <f t="shared" si="9187"/>
        <v>0</v>
      </c>
      <c r="Y1055" s="189">
        <f t="shared" si="9217"/>
        <v>0</v>
      </c>
      <c r="Z1055" s="177">
        <f t="shared" si="9218"/>
        <v>0</v>
      </c>
      <c r="AA1055" s="207"/>
      <c r="AB1055" s="206">
        <f t="shared" si="9189"/>
        <v>0</v>
      </c>
      <c r="AC1055" s="207"/>
      <c r="AD1055" s="177">
        <f t="shared" si="9190"/>
        <v>0</v>
      </c>
      <c r="AE1055" s="207"/>
      <c r="AF1055" s="206">
        <f t="shared" si="9219"/>
        <v>0</v>
      </c>
      <c r="AG1055" s="189">
        <f t="shared" si="9220"/>
        <v>0</v>
      </c>
      <c r="AH1055" s="97">
        <f t="shared" si="9221"/>
        <v>0</v>
      </c>
      <c r="AI1055" s="97">
        <f t="shared" si="9222"/>
        <v>0</v>
      </c>
      <c r="AJ1055" s="177">
        <f t="shared" si="9223"/>
        <v>0</v>
      </c>
      <c r="AK1055" s="207"/>
      <c r="AL1055" s="177">
        <f t="shared" si="9224"/>
        <v>0</v>
      </c>
      <c r="AM1055" s="245"/>
      <c r="AN1055" s="177">
        <f t="shared" si="9225"/>
        <v>0</v>
      </c>
      <c r="AO1055" s="207"/>
      <c r="AP1055" s="206">
        <f t="shared" si="9226"/>
        <v>0</v>
      </c>
      <c r="AQ1055" s="189">
        <f>SUM(AK1055+AM1055+AO1055)</f>
        <v>0</v>
      </c>
      <c r="AR1055" s="97">
        <f t="shared" si="9228"/>
        <v>0</v>
      </c>
      <c r="AS1055" s="97"/>
      <c r="AT1055" s="177">
        <f t="shared" si="9229"/>
        <v>0</v>
      </c>
      <c r="AU1055" s="207"/>
      <c r="AV1055" s="177">
        <f t="shared" si="9230"/>
        <v>0</v>
      </c>
      <c r="AW1055" s="207"/>
      <c r="AX1055" s="206">
        <f t="shared" si="9231"/>
        <v>0</v>
      </c>
      <c r="AY1055" s="189">
        <f>SUM(AS1055+AU1055+AW1055)</f>
        <v>0</v>
      </c>
      <c r="AZ1055" s="97">
        <f>SUM(AT1055+AV1055+AX1055)</f>
        <v>0</v>
      </c>
      <c r="BA1055" s="97">
        <f t="shared" si="9234"/>
        <v>0</v>
      </c>
      <c r="BB1055" s="97">
        <f t="shared" si="9235"/>
        <v>0</v>
      </c>
    </row>
    <row r="1056" spans="1:54">
      <c r="A1056" s="498">
        <v>748</v>
      </c>
      <c r="B1056" s="13"/>
      <c r="C1056" s="13"/>
      <c r="D1056" s="13"/>
      <c r="E1056" s="21" t="s">
        <v>1516</v>
      </c>
      <c r="F1056" s="22" t="s">
        <v>987</v>
      </c>
      <c r="G1056" s="487" t="s">
        <v>1105</v>
      </c>
      <c r="H1056" s="273" t="s">
        <v>370</v>
      </c>
      <c r="I1056" s="55">
        <v>16.510000000000002</v>
      </c>
      <c r="J1056" s="102"/>
      <c r="K1056" s="55">
        <v>16.510000000000002</v>
      </c>
      <c r="L1056" s="163"/>
      <c r="M1056" s="55">
        <v>16.510000000000002</v>
      </c>
      <c r="N1056" s="163"/>
      <c r="O1056" s="55">
        <v>16.510000000000002</v>
      </c>
      <c r="P1056" s="102"/>
      <c r="Q1056" s="97">
        <f t="shared" si="8900"/>
        <v>0</v>
      </c>
      <c r="R1056" s="342">
        <f t="shared" si="8901"/>
        <v>0</v>
      </c>
      <c r="S1056" s="97"/>
      <c r="T1056" s="97">
        <f t="shared" si="9185"/>
        <v>0</v>
      </c>
      <c r="U1056" s="97"/>
      <c r="V1056" s="177">
        <f t="shared" si="9186"/>
        <v>0</v>
      </c>
      <c r="W1056" s="207"/>
      <c r="X1056" s="206">
        <f t="shared" si="9187"/>
        <v>0</v>
      </c>
      <c r="Y1056" s="189">
        <f t="shared" ref="Y1056" si="9236">SUM(S1056+U1056+W1056)</f>
        <v>0</v>
      </c>
      <c r="Z1056" s="177">
        <f t="shared" ref="Z1056" si="9237">SUM(T1056+V1056+X1056)</f>
        <v>0</v>
      </c>
      <c r="AA1056" s="207"/>
      <c r="AB1056" s="206">
        <f t="shared" si="9189"/>
        <v>0</v>
      </c>
      <c r="AC1056" s="207"/>
      <c r="AD1056" s="177">
        <f t="shared" si="9190"/>
        <v>0</v>
      </c>
      <c r="AE1056" s="207"/>
      <c r="AF1056" s="206">
        <f t="shared" si="8961"/>
        <v>0</v>
      </c>
      <c r="AG1056" s="189">
        <f>SUM(AA1056+AC1056+AE1056)</f>
        <v>0</v>
      </c>
      <c r="AH1056" s="97">
        <f t="shared" ref="AH1056" si="9238">SUM(AB1056+AD1056+AF1056)</f>
        <v>0</v>
      </c>
      <c r="AI1056" s="97">
        <f t="shared" si="8910"/>
        <v>0</v>
      </c>
      <c r="AJ1056" s="177">
        <f t="shared" si="8911"/>
        <v>0</v>
      </c>
      <c r="AK1056" s="207"/>
      <c r="AL1056" s="177">
        <f t="shared" si="8912"/>
        <v>0</v>
      </c>
      <c r="AM1056" s="245"/>
      <c r="AN1056" s="177">
        <f t="shared" si="8913"/>
        <v>0</v>
      </c>
      <c r="AO1056" s="207"/>
      <c r="AP1056" s="206">
        <f t="shared" si="8701"/>
        <v>0</v>
      </c>
      <c r="AQ1056" s="189">
        <f>SUM(AK1056+AM1056+AO1056)</f>
        <v>0</v>
      </c>
      <c r="AR1056" s="97">
        <f t="shared" ref="AR1056" si="9239">SUM(AL1056+AN1056+AP1056)</f>
        <v>0</v>
      </c>
      <c r="AS1056" s="97"/>
      <c r="AT1056" s="177">
        <f t="shared" si="8916"/>
        <v>0</v>
      </c>
      <c r="AU1056" s="207"/>
      <c r="AV1056" s="177">
        <f t="shared" si="8917"/>
        <v>0</v>
      </c>
      <c r="AW1056" s="207"/>
      <c r="AX1056" s="206">
        <f t="shared" si="8918"/>
        <v>0</v>
      </c>
      <c r="AY1056" s="189">
        <f>SUM(AS1056+AU1056+AW1056)</f>
        <v>0</v>
      </c>
      <c r="AZ1056" s="97">
        <f t="shared" ref="AZ1056" si="9240">SUM(AT1056+AV1056+AX1056)</f>
        <v>0</v>
      </c>
      <c r="BA1056" s="97">
        <f t="shared" si="8921"/>
        <v>0</v>
      </c>
      <c r="BB1056" s="97">
        <f t="shared" si="8922"/>
        <v>0</v>
      </c>
    </row>
    <row r="1057" spans="1:54">
      <c r="A1057" s="498">
        <v>750</v>
      </c>
      <c r="B1057" s="13"/>
      <c r="C1057" s="13"/>
      <c r="D1057" s="13"/>
      <c r="E1057" s="21" t="s">
        <v>1134</v>
      </c>
      <c r="F1057" s="430" t="s">
        <v>987</v>
      </c>
      <c r="G1057" s="430" t="s">
        <v>1105</v>
      </c>
      <c r="H1057" s="287" t="s">
        <v>446</v>
      </c>
      <c r="I1057" s="55">
        <v>16.72</v>
      </c>
      <c r="J1057" s="102"/>
      <c r="K1057" s="55">
        <v>16.72</v>
      </c>
      <c r="L1057" s="163"/>
      <c r="M1057" s="55">
        <v>16.72</v>
      </c>
      <c r="N1057" s="163"/>
      <c r="O1057" s="55">
        <v>16.39</v>
      </c>
      <c r="P1057" s="102"/>
      <c r="Q1057" s="97">
        <f t="shared" ref="Q1057:Q1090" si="9241">SUM(AI1057+BA1057)</f>
        <v>14.574000000000002</v>
      </c>
      <c r="R1057" s="342">
        <f t="shared" ref="R1057:R1090" si="9242">SUM(AJ1057+BB1057)</f>
        <v>328.30738178920001</v>
      </c>
      <c r="S1057" s="97"/>
      <c r="T1057" s="97">
        <f t="shared" si="9185"/>
        <v>0</v>
      </c>
      <c r="U1057" s="97">
        <v>1.669</v>
      </c>
      <c r="V1057" s="177">
        <f t="shared" si="9186"/>
        <v>37.125716672000003</v>
      </c>
      <c r="W1057" s="207">
        <v>1.1120000000000001</v>
      </c>
      <c r="X1057" s="206">
        <f t="shared" si="9187"/>
        <v>24.739366783999998</v>
      </c>
      <c r="Y1057" s="189">
        <f t="shared" ref="Y1057" si="9243">SUM(S1057+U1057+W1057)</f>
        <v>2.7810000000000001</v>
      </c>
      <c r="Z1057" s="177">
        <f t="shared" ref="Z1057" si="9244">SUM(T1057+V1057+X1057)</f>
        <v>61.865083456000001</v>
      </c>
      <c r="AA1057" s="207">
        <v>3.2730000000000001</v>
      </c>
      <c r="AB1057" s="206">
        <f t="shared" si="9189"/>
        <v>74.650866787199988</v>
      </c>
      <c r="AC1057" s="207">
        <v>1.08</v>
      </c>
      <c r="AD1057" s="177">
        <f t="shared" si="9190"/>
        <v>24.732230688000005</v>
      </c>
      <c r="AE1057" s="207"/>
      <c r="AF1057" s="206">
        <f t="shared" ref="AF1057" si="9245">K1057*AE1057*$AF$2/1000</f>
        <v>0</v>
      </c>
      <c r="AG1057" s="189">
        <f>SUM(AA1057+AC1057+AE1057)</f>
        <v>4.3529999999999998</v>
      </c>
      <c r="AH1057" s="97">
        <f>SUM(AB1057+AD1057+AF1057)</f>
        <v>99.383097475199989</v>
      </c>
      <c r="AI1057" s="97">
        <f t="shared" ref="AI1057:AI1090" si="9246">SUM(Y1057+AG1057)</f>
        <v>7.1340000000000003</v>
      </c>
      <c r="AJ1057" s="177">
        <f t="shared" ref="AJ1057:AJ1090" si="9247">SUM(Z1057,AH1057)</f>
        <v>161.24818093119998</v>
      </c>
      <c r="AK1057" s="207"/>
      <c r="AL1057" s="177">
        <f t="shared" ref="AL1057:AL1090" si="9248">M1057*AK1057*$AL$2/1000</f>
        <v>0</v>
      </c>
      <c r="AM1057" s="245">
        <v>0.5</v>
      </c>
      <c r="AN1057" s="177">
        <f t="shared" ref="AN1057:AN1090" si="9249">M1057*AM1057*$AN$2/1000</f>
        <v>11.378795999999998</v>
      </c>
      <c r="AO1057" s="207">
        <v>3.82</v>
      </c>
      <c r="AP1057" s="206">
        <f t="shared" ref="AP1057:AP1091" si="9250">M1057*AO1057*$AP$2/1000</f>
        <v>85.100282256</v>
      </c>
      <c r="AQ1057" s="189">
        <f>SUM(AK1057+AM1057+AO1057)</f>
        <v>4.32</v>
      </c>
      <c r="AR1057" s="97">
        <f>SUM(AL1057+AN1057+AP1057)</f>
        <v>96.479078255999994</v>
      </c>
      <c r="AS1057" s="97">
        <v>1.5</v>
      </c>
      <c r="AT1057" s="177">
        <f t="shared" ref="AT1057:AT1090" si="9251">O1057*AS1057*$AT$2/1000</f>
        <v>33.383971500000008</v>
      </c>
      <c r="AU1057" s="207">
        <v>1.08</v>
      </c>
      <c r="AV1057" s="177">
        <f t="shared" ref="AV1057:AV1090" si="9252">O1057*AU1057*$AV$2/1000</f>
        <v>24.634229004000002</v>
      </c>
      <c r="AW1057" s="207">
        <v>0.54</v>
      </c>
      <c r="AX1057" s="206">
        <f t="shared" ref="AX1057:AX1090" si="9253">O1057*AW1057*$AX$2/1000</f>
        <v>12.561922097999998</v>
      </c>
      <c r="AY1057" s="189">
        <f>SUM(AS1057+AU1057+AW1057)</f>
        <v>3.12</v>
      </c>
      <c r="AZ1057" s="97">
        <f t="shared" ref="AZ1057:AZ1058" si="9254">SUM(AT1057+AV1057+AX1057)</f>
        <v>70.580122602000003</v>
      </c>
      <c r="BA1057" s="97">
        <f t="shared" ref="BA1057:BA1090" si="9255">SUM(AQ1057+AY1057)</f>
        <v>7.44</v>
      </c>
      <c r="BB1057" s="97">
        <f t="shared" ref="BB1057:BB1090" si="9256">SUM(AR1057,AZ1057)</f>
        <v>167.059200858</v>
      </c>
    </row>
    <row r="1058" spans="1:54" ht="12" customHeight="1">
      <c r="A1058" s="498">
        <v>749</v>
      </c>
      <c r="B1058" s="13"/>
      <c r="C1058" s="306"/>
      <c r="D1058" s="13"/>
      <c r="E1058" s="90" t="s">
        <v>1446</v>
      </c>
      <c r="F1058" s="430" t="s">
        <v>987</v>
      </c>
      <c r="G1058" s="430" t="s">
        <v>1105</v>
      </c>
      <c r="H1058" s="287" t="s">
        <v>446</v>
      </c>
      <c r="I1058" s="76">
        <v>16.510000000000002</v>
      </c>
      <c r="J1058" s="168"/>
      <c r="K1058" s="76">
        <v>16.510000000000002</v>
      </c>
      <c r="L1058" s="168"/>
      <c r="M1058" s="76">
        <v>16.510000000000002</v>
      </c>
      <c r="N1058" s="168"/>
      <c r="O1058" s="76">
        <v>16.510000000000002</v>
      </c>
      <c r="P1058" s="168"/>
      <c r="Q1058" s="131">
        <f t="shared" ref="Q1058" si="9257">SUM(AI1058+BA1058)</f>
        <v>0</v>
      </c>
      <c r="R1058" s="352">
        <f t="shared" ref="R1058" si="9258">SUM(AJ1058+BB1058)</f>
        <v>0</v>
      </c>
      <c r="S1058" s="131"/>
      <c r="T1058" s="131">
        <f t="shared" ref="T1058" si="9259">I1058*S1058*$T$2/1000</f>
        <v>0</v>
      </c>
      <c r="U1058" s="131"/>
      <c r="V1058" s="131">
        <f t="shared" ref="V1058" si="9260">I1058*U1058*$V$2/1000</f>
        <v>0</v>
      </c>
      <c r="W1058" s="131"/>
      <c r="X1058" s="131">
        <f t="shared" ref="X1058" si="9261">I1058*W1058*$X$2/1000</f>
        <v>0</v>
      </c>
      <c r="Y1058" s="131">
        <f t="shared" ref="Y1058:Z1061" si="9262">SUM(S1058+U1058+W1058)</f>
        <v>0</v>
      </c>
      <c r="Z1058" s="131">
        <f t="shared" si="9262"/>
        <v>0</v>
      </c>
      <c r="AA1058" s="131"/>
      <c r="AB1058" s="131">
        <f t="shared" ref="AB1058" si="9263">K1058*AA1058*$AB$2/1000</f>
        <v>0</v>
      </c>
      <c r="AC1058" s="131"/>
      <c r="AD1058" s="131">
        <f t="shared" ref="AD1058" si="9264">K1058*AC1058*$AD$2/1000</f>
        <v>0</v>
      </c>
      <c r="AE1058" s="131"/>
      <c r="AF1058" s="131">
        <f>K1058*AE1058*$AF$2/1000</f>
        <v>0</v>
      </c>
      <c r="AG1058" s="131">
        <f t="shared" ref="AG1058" si="9265">SUM(AA1058+AC1058+AE1058)</f>
        <v>0</v>
      </c>
      <c r="AH1058" s="131">
        <f t="shared" ref="AH1058" si="9266">SUM(AB1058+AD1058+AF1058)</f>
        <v>0</v>
      </c>
      <c r="AI1058" s="131">
        <f t="shared" ref="AI1058" si="9267">SUM(Y1058+AG1058)</f>
        <v>0</v>
      </c>
      <c r="AJ1058" s="131">
        <f t="shared" ref="AJ1058" si="9268">SUM(Z1058,AH1058)</f>
        <v>0</v>
      </c>
      <c r="AK1058" s="131"/>
      <c r="AL1058" s="131">
        <f t="shared" ref="AL1058" si="9269">M1058*AK1058*$AL$2/1000</f>
        <v>0</v>
      </c>
      <c r="AM1058" s="131"/>
      <c r="AN1058" s="131">
        <f t="shared" ref="AN1058" si="9270">M1058*AM1058*$AN$2/1000</f>
        <v>0</v>
      </c>
      <c r="AO1058" s="131"/>
      <c r="AP1058" s="131">
        <f t="shared" ref="AP1058" si="9271">M1058*AO1058*$AP$2/1000</f>
        <v>0</v>
      </c>
      <c r="AQ1058" s="131">
        <f t="shared" ref="AQ1058" si="9272">SUM(AK1058+AM1058+AO1058)</f>
        <v>0</v>
      </c>
      <c r="AR1058" s="131">
        <f t="shared" ref="AR1058" si="9273">SUM(AL1058+AN1058+AP1058)</f>
        <v>0</v>
      </c>
      <c r="AS1058" s="131"/>
      <c r="AT1058" s="131">
        <f t="shared" ref="AT1058" si="9274">O1058*AS1058*$AT$2/1000</f>
        <v>0</v>
      </c>
      <c r="AU1058" s="131"/>
      <c r="AV1058" s="131">
        <f t="shared" ref="AV1058" si="9275">O1058*AU1058*$AV$2/1000</f>
        <v>0</v>
      </c>
      <c r="AW1058" s="131"/>
      <c r="AX1058" s="131">
        <f t="shared" ref="AX1058" si="9276">O1058*AW1058*$AX$2/1000</f>
        <v>0</v>
      </c>
      <c r="AY1058" s="131">
        <f t="shared" ref="AY1058" si="9277">SUM(AS1058+AU1058+AW1058)</f>
        <v>0</v>
      </c>
      <c r="AZ1058" s="131">
        <f t="shared" si="9254"/>
        <v>0</v>
      </c>
      <c r="BA1058" s="131">
        <f t="shared" ref="BA1058" si="9278">SUM(AQ1058+AY1058)</f>
        <v>0</v>
      </c>
      <c r="BB1058" s="131">
        <f t="shared" ref="BB1058" si="9279">SUM(AR1058,AZ1058)</f>
        <v>0</v>
      </c>
    </row>
    <row r="1059" spans="1:54" s="6" customFormat="1">
      <c r="A1059" s="498">
        <v>751</v>
      </c>
      <c r="B1059" s="14"/>
      <c r="C1059" s="40"/>
      <c r="D1059" s="14"/>
      <c r="E1059" s="16" t="s">
        <v>1441</v>
      </c>
      <c r="F1059" s="45" t="s">
        <v>987</v>
      </c>
      <c r="G1059" s="45" t="s">
        <v>1105</v>
      </c>
      <c r="H1059" s="267" t="s">
        <v>446</v>
      </c>
      <c r="I1059" s="234">
        <v>16.510000000000002</v>
      </c>
      <c r="J1059" s="241"/>
      <c r="K1059" s="234">
        <v>16.510000000000002</v>
      </c>
      <c r="L1059" s="241"/>
      <c r="M1059" s="234">
        <v>16.510000000000002</v>
      </c>
      <c r="N1059" s="241"/>
      <c r="O1059" s="234">
        <v>16.510000000000002</v>
      </c>
      <c r="P1059" s="241"/>
      <c r="Q1059" s="96">
        <f t="shared" si="9241"/>
        <v>0</v>
      </c>
      <c r="R1059" s="340">
        <f t="shared" si="9242"/>
        <v>0</v>
      </c>
      <c r="S1059" s="96"/>
      <c r="T1059" s="96">
        <f t="shared" ref="T1059:T1090" si="9280">I1059*S1059*$T$2/1000</f>
        <v>0</v>
      </c>
      <c r="U1059" s="96"/>
      <c r="V1059" s="96">
        <f t="shared" ref="V1059:V1090" si="9281">I1059*U1059*$V$2/1000</f>
        <v>0</v>
      </c>
      <c r="W1059" s="96"/>
      <c r="X1059" s="96">
        <f t="shared" ref="X1059:X1090" si="9282">I1059*W1059*$X$2/1000</f>
        <v>0</v>
      </c>
      <c r="Y1059" s="96">
        <f t="shared" si="9262"/>
        <v>0</v>
      </c>
      <c r="Z1059" s="96">
        <f t="shared" si="9262"/>
        <v>0</v>
      </c>
      <c r="AA1059" s="96"/>
      <c r="AB1059" s="96">
        <f t="shared" ref="AB1059:AB1090" si="9283">K1059*AA1059*$AB$2/1000</f>
        <v>0</v>
      </c>
      <c r="AC1059" s="96"/>
      <c r="AD1059" s="96">
        <f t="shared" ref="AD1059:AD1090" si="9284">K1059*AC1059*$AD$2/1000</f>
        <v>0</v>
      </c>
      <c r="AE1059" s="96"/>
      <c r="AF1059" s="97">
        <f t="shared" ref="AF1059:AF1090" si="9285">K1059*AE1059*$AF$2/1000</f>
        <v>0</v>
      </c>
      <c r="AG1059" s="96">
        <f t="shared" ref="AG1059:AG1074" si="9286">SUM(AA1059+AC1059+AE1059)</f>
        <v>0</v>
      </c>
      <c r="AH1059" s="96">
        <f t="shared" ref="AH1059:AH1090" si="9287">SUM(AB1059+AD1059+AF1059)</f>
        <v>0</v>
      </c>
      <c r="AI1059" s="96">
        <f t="shared" si="9246"/>
        <v>0</v>
      </c>
      <c r="AJ1059" s="96">
        <f t="shared" si="9247"/>
        <v>0</v>
      </c>
      <c r="AK1059" s="96"/>
      <c r="AL1059" s="96">
        <f t="shared" si="9248"/>
        <v>0</v>
      </c>
      <c r="AM1059" s="96"/>
      <c r="AN1059" s="96">
        <f t="shared" si="9249"/>
        <v>0</v>
      </c>
      <c r="AO1059" s="96"/>
      <c r="AP1059" s="96">
        <f t="shared" si="9250"/>
        <v>0</v>
      </c>
      <c r="AQ1059" s="96">
        <f>SUM(AK1059+AM1059+AO1059)</f>
        <v>0</v>
      </c>
      <c r="AR1059" s="96">
        <f t="shared" ref="AR1059:AR1091" si="9288">SUM(AL1059+AN1059+AP1059)</f>
        <v>0</v>
      </c>
      <c r="AS1059" s="96"/>
      <c r="AT1059" s="96">
        <f t="shared" si="9251"/>
        <v>0</v>
      </c>
      <c r="AU1059" s="96"/>
      <c r="AV1059" s="96">
        <f t="shared" si="9252"/>
        <v>0</v>
      </c>
      <c r="AW1059" s="96"/>
      <c r="AX1059" s="96">
        <f t="shared" si="9253"/>
        <v>0</v>
      </c>
      <c r="AY1059" s="96">
        <f>SUM(AS1059+AU1059+AW1059)</f>
        <v>0</v>
      </c>
      <c r="AZ1059" s="96">
        <f t="shared" ref="AZ1059:AZ1091" si="9289">SUM(AT1059+AV1059+AX1059)</f>
        <v>0</v>
      </c>
      <c r="BA1059" s="96">
        <f t="shared" si="9255"/>
        <v>0</v>
      </c>
      <c r="BB1059" s="96">
        <f t="shared" si="9256"/>
        <v>0</v>
      </c>
    </row>
    <row r="1060" spans="1:54" ht="12" customHeight="1">
      <c r="A1060" s="498">
        <v>749</v>
      </c>
      <c r="B1060" s="13"/>
      <c r="C1060" s="306"/>
      <c r="D1060" s="24"/>
      <c r="E1060" s="90" t="s">
        <v>1533</v>
      </c>
      <c r="F1060" s="430" t="s">
        <v>987</v>
      </c>
      <c r="G1060" s="430" t="s">
        <v>1105</v>
      </c>
      <c r="H1060" s="287" t="s">
        <v>446</v>
      </c>
      <c r="I1060" s="76">
        <v>21.51</v>
      </c>
      <c r="J1060" s="168"/>
      <c r="K1060" s="76">
        <v>21.51</v>
      </c>
      <c r="L1060" s="168"/>
      <c r="M1060" s="76">
        <v>21.51</v>
      </c>
      <c r="N1060" s="168"/>
      <c r="O1060" s="76">
        <v>21.51</v>
      </c>
      <c r="P1060" s="168"/>
      <c r="Q1060" s="131">
        <f t="shared" si="9241"/>
        <v>0</v>
      </c>
      <c r="R1060" s="352">
        <f t="shared" si="9242"/>
        <v>0</v>
      </c>
      <c r="S1060" s="131"/>
      <c r="T1060" s="131">
        <f t="shared" si="9280"/>
        <v>0</v>
      </c>
      <c r="U1060" s="131"/>
      <c r="V1060" s="131">
        <f t="shared" si="9281"/>
        <v>0</v>
      </c>
      <c r="W1060" s="131"/>
      <c r="X1060" s="131">
        <f t="shared" si="9282"/>
        <v>0</v>
      </c>
      <c r="Y1060" s="131">
        <f t="shared" si="9262"/>
        <v>0</v>
      </c>
      <c r="Z1060" s="131">
        <f t="shared" si="9262"/>
        <v>0</v>
      </c>
      <c r="AA1060" s="131"/>
      <c r="AB1060" s="131">
        <f t="shared" si="9283"/>
        <v>0</v>
      </c>
      <c r="AC1060" s="131"/>
      <c r="AD1060" s="131">
        <f t="shared" si="9284"/>
        <v>0</v>
      </c>
      <c r="AE1060" s="131"/>
      <c r="AF1060" s="131">
        <f>K1060*AE1060*$AF$2/1000</f>
        <v>0</v>
      </c>
      <c r="AG1060" s="131">
        <f t="shared" si="9286"/>
        <v>0</v>
      </c>
      <c r="AH1060" s="131">
        <f t="shared" si="9287"/>
        <v>0</v>
      </c>
      <c r="AI1060" s="131">
        <f t="shared" si="9246"/>
        <v>0</v>
      </c>
      <c r="AJ1060" s="131">
        <f t="shared" si="9247"/>
        <v>0</v>
      </c>
      <c r="AK1060" s="131"/>
      <c r="AL1060" s="131">
        <f t="shared" si="9248"/>
        <v>0</v>
      </c>
      <c r="AM1060" s="131"/>
      <c r="AN1060" s="131">
        <f t="shared" si="9249"/>
        <v>0</v>
      </c>
      <c r="AO1060" s="131"/>
      <c r="AP1060" s="131">
        <f t="shared" si="9250"/>
        <v>0</v>
      </c>
      <c r="AQ1060" s="131">
        <f t="shared" ref="AQ1060" si="9290">SUM(AK1060+AM1060+AO1060)</f>
        <v>0</v>
      </c>
      <c r="AR1060" s="131">
        <f t="shared" si="9288"/>
        <v>0</v>
      </c>
      <c r="AS1060" s="131"/>
      <c r="AT1060" s="131">
        <f t="shared" si="9251"/>
        <v>0</v>
      </c>
      <c r="AU1060" s="131"/>
      <c r="AV1060" s="131">
        <f t="shared" si="9252"/>
        <v>0</v>
      </c>
      <c r="AW1060" s="131"/>
      <c r="AX1060" s="131">
        <f t="shared" si="9253"/>
        <v>0</v>
      </c>
      <c r="AY1060" s="131">
        <f t="shared" ref="AY1060" si="9291">SUM(AS1060+AU1060+AW1060)</f>
        <v>0</v>
      </c>
      <c r="AZ1060" s="131">
        <f t="shared" si="9289"/>
        <v>0</v>
      </c>
      <c r="BA1060" s="131">
        <f t="shared" si="9255"/>
        <v>0</v>
      </c>
      <c r="BB1060" s="131">
        <f t="shared" si="9256"/>
        <v>0</v>
      </c>
    </row>
    <row r="1061" spans="1:54">
      <c r="B1061" s="13"/>
      <c r="C1061" s="13"/>
      <c r="D1061" s="13"/>
      <c r="E1061" s="21" t="s">
        <v>1563</v>
      </c>
      <c r="F1061" s="45"/>
      <c r="G1061" s="22" t="s">
        <v>1102</v>
      </c>
      <c r="H1061" s="267" t="s">
        <v>369</v>
      </c>
      <c r="I1061" s="55">
        <v>19.600000000000001</v>
      </c>
      <c r="J1061" s="102"/>
      <c r="K1061" s="55">
        <v>19.600000000000001</v>
      </c>
      <c r="L1061" s="163"/>
      <c r="M1061" s="55">
        <v>19.600000000000001</v>
      </c>
      <c r="N1061" s="163"/>
      <c r="O1061" s="55">
        <v>19.600000000000001</v>
      </c>
      <c r="P1061" s="102"/>
      <c r="Q1061" s="97">
        <f t="shared" si="9241"/>
        <v>0</v>
      </c>
      <c r="R1061" s="342">
        <f t="shared" si="9242"/>
        <v>0</v>
      </c>
      <c r="S1061" s="97"/>
      <c r="T1061" s="97">
        <f>I1061*S1061*$T$2/1000</f>
        <v>0</v>
      </c>
      <c r="U1061" s="97"/>
      <c r="V1061" s="177">
        <f>I1061*U1061*$V$2/1000</f>
        <v>0</v>
      </c>
      <c r="W1061" s="207"/>
      <c r="X1061" s="206">
        <f>I1061*W1061*$X$2/1000</f>
        <v>0</v>
      </c>
      <c r="Y1061" s="189">
        <f t="shared" si="9262"/>
        <v>0</v>
      </c>
      <c r="Z1061" s="177">
        <f t="shared" ref="Z1061:Z1068" si="9292">SUM(T1061+V1061+X1061)</f>
        <v>0</v>
      </c>
      <c r="AA1061" s="207"/>
      <c r="AB1061" s="206">
        <f>K1061*AA1061*$AB$2/1000</f>
        <v>0</v>
      </c>
      <c r="AC1061" s="207"/>
      <c r="AD1061" s="177">
        <f>K1061*AC1061*$AD$2/1000</f>
        <v>0</v>
      </c>
      <c r="AE1061" s="207"/>
      <c r="AF1061" s="206">
        <f t="shared" ref="AF1061:AF1068" si="9293">K1061*AE1061*$AF$2/1000</f>
        <v>0</v>
      </c>
      <c r="AG1061" s="189">
        <f t="shared" si="9286"/>
        <v>0</v>
      </c>
      <c r="AH1061" s="97">
        <f t="shared" si="9287"/>
        <v>0</v>
      </c>
      <c r="AI1061" s="97">
        <f t="shared" si="9246"/>
        <v>0</v>
      </c>
      <c r="AJ1061" s="177">
        <f t="shared" si="9247"/>
        <v>0</v>
      </c>
      <c r="AK1061" s="207"/>
      <c r="AL1061" s="177">
        <f t="shared" si="9248"/>
        <v>0</v>
      </c>
      <c r="AM1061" s="245"/>
      <c r="AN1061" s="177">
        <f t="shared" si="9249"/>
        <v>0</v>
      </c>
      <c r="AO1061" s="207"/>
      <c r="AP1061" s="206">
        <f t="shared" si="9250"/>
        <v>0</v>
      </c>
      <c r="AQ1061" s="189">
        <f>SUM(AK1061+AM1061+AO1061)</f>
        <v>0</v>
      </c>
      <c r="AR1061" s="97">
        <f t="shared" si="9288"/>
        <v>0</v>
      </c>
      <c r="AS1061" s="97"/>
      <c r="AT1061" s="177">
        <f t="shared" si="9251"/>
        <v>0</v>
      </c>
      <c r="AU1061" s="207"/>
      <c r="AV1061" s="177">
        <f t="shared" si="9252"/>
        <v>0</v>
      </c>
      <c r="AW1061" s="207"/>
      <c r="AX1061" s="206">
        <f t="shared" si="9253"/>
        <v>0</v>
      </c>
      <c r="AY1061" s="189">
        <f t="shared" ref="AY1061:AY1062" si="9294">SUM(AS1061+AU1061+AW1061)</f>
        <v>0</v>
      </c>
      <c r="AZ1061" s="97">
        <f t="shared" si="9289"/>
        <v>0</v>
      </c>
      <c r="BA1061" s="97">
        <f t="shared" si="9255"/>
        <v>0</v>
      </c>
      <c r="BB1061" s="97">
        <f t="shared" si="9256"/>
        <v>0</v>
      </c>
    </row>
    <row r="1062" spans="1:54">
      <c r="A1062" s="498">
        <v>738</v>
      </c>
      <c r="B1062" s="13"/>
      <c r="C1062" s="236"/>
      <c r="D1062" s="13"/>
      <c r="E1062" s="21" t="s">
        <v>1564</v>
      </c>
      <c r="F1062" s="46"/>
      <c r="G1062" s="46" t="s">
        <v>1105</v>
      </c>
      <c r="H1062" s="268" t="s">
        <v>446</v>
      </c>
      <c r="I1062" s="55">
        <v>19.600000000000001</v>
      </c>
      <c r="J1062" s="163"/>
      <c r="K1062" s="55">
        <v>19.600000000000001</v>
      </c>
      <c r="L1062" s="163"/>
      <c r="M1062" s="55">
        <v>19.600000000000001</v>
      </c>
      <c r="N1062" s="163"/>
      <c r="O1062" s="55">
        <v>19.600000000000001</v>
      </c>
      <c r="P1062" s="163"/>
      <c r="Q1062" s="97">
        <f t="shared" si="9241"/>
        <v>0</v>
      </c>
      <c r="R1062" s="342">
        <f t="shared" si="9242"/>
        <v>0</v>
      </c>
      <c r="S1062" s="97"/>
      <c r="T1062" s="97">
        <f t="shared" ref="T1062" si="9295">I1062*S1062*$T$2/1000</f>
        <v>0</v>
      </c>
      <c r="U1062" s="97"/>
      <c r="V1062" s="97">
        <f t="shared" ref="V1062" si="9296">I1062*U1062*$V$2/1000</f>
        <v>0</v>
      </c>
      <c r="W1062" s="97"/>
      <c r="X1062" s="97">
        <f t="shared" ref="X1062" si="9297">I1062*W1062*$X$2/1000</f>
        <v>0</v>
      </c>
      <c r="Y1062" s="97">
        <f>SUM(S1062+U1062+W1062)</f>
        <v>0</v>
      </c>
      <c r="Z1062" s="97">
        <f t="shared" si="9292"/>
        <v>0</v>
      </c>
      <c r="AA1062" s="97"/>
      <c r="AB1062" s="97">
        <f t="shared" ref="AB1062" si="9298">K1062*AA1062*$AB$2/1000</f>
        <v>0</v>
      </c>
      <c r="AC1062" s="97"/>
      <c r="AD1062" s="97">
        <f t="shared" ref="AD1062" si="9299">K1062*AC1062*$AD$2/1000</f>
        <v>0</v>
      </c>
      <c r="AE1062" s="97"/>
      <c r="AF1062" s="97">
        <f t="shared" si="9293"/>
        <v>0</v>
      </c>
      <c r="AG1062" s="97">
        <f>SUM(AA1062+AC1062+AE1062)</f>
        <v>0</v>
      </c>
      <c r="AH1062" s="97">
        <f t="shared" si="9287"/>
        <v>0</v>
      </c>
      <c r="AI1062" s="97">
        <f t="shared" si="9246"/>
        <v>0</v>
      </c>
      <c r="AJ1062" s="97">
        <f t="shared" si="9247"/>
        <v>0</v>
      </c>
      <c r="AK1062" s="97"/>
      <c r="AL1062" s="97">
        <f t="shared" si="9248"/>
        <v>0</v>
      </c>
      <c r="AM1062" s="97"/>
      <c r="AN1062" s="97">
        <f t="shared" si="9249"/>
        <v>0</v>
      </c>
      <c r="AO1062" s="97"/>
      <c r="AP1062" s="97">
        <f t="shared" si="9250"/>
        <v>0</v>
      </c>
      <c r="AQ1062" s="97">
        <f t="shared" ref="AQ1062" si="9300">SUM(AK1062+AM1062+AO1062)</f>
        <v>0</v>
      </c>
      <c r="AR1062" s="97">
        <f t="shared" si="9288"/>
        <v>0</v>
      </c>
      <c r="AS1062" s="97"/>
      <c r="AT1062" s="97">
        <f t="shared" si="9251"/>
        <v>0</v>
      </c>
      <c r="AU1062" s="97"/>
      <c r="AV1062" s="97">
        <f t="shared" si="9252"/>
        <v>0</v>
      </c>
      <c r="AW1062" s="97"/>
      <c r="AX1062" s="97">
        <f t="shared" si="9253"/>
        <v>0</v>
      </c>
      <c r="AY1062" s="97">
        <f t="shared" si="9294"/>
        <v>0</v>
      </c>
      <c r="AZ1062" s="97">
        <f t="shared" si="9289"/>
        <v>0</v>
      </c>
      <c r="BA1062" s="97">
        <f t="shared" si="9255"/>
        <v>0</v>
      </c>
      <c r="BB1062" s="97">
        <f t="shared" si="9256"/>
        <v>0</v>
      </c>
    </row>
    <row r="1063" spans="1:54">
      <c r="A1063" s="498">
        <v>739</v>
      </c>
      <c r="B1063" s="13"/>
      <c r="C1063" s="13"/>
      <c r="D1063" s="13"/>
      <c r="E1063" s="21" t="s">
        <v>1565</v>
      </c>
      <c r="F1063" s="46"/>
      <c r="G1063" s="46" t="s">
        <v>1105</v>
      </c>
      <c r="H1063" s="268" t="s">
        <v>446</v>
      </c>
      <c r="I1063" s="55">
        <v>21.9</v>
      </c>
      <c r="J1063" s="102"/>
      <c r="K1063" s="55">
        <v>21.9</v>
      </c>
      <c r="L1063" s="163"/>
      <c r="M1063" s="55">
        <v>21.9</v>
      </c>
      <c r="N1063" s="163"/>
      <c r="O1063" s="55">
        <v>21.46</v>
      </c>
      <c r="P1063" s="102"/>
      <c r="Q1063" s="97">
        <f t="shared" si="9241"/>
        <v>0.2</v>
      </c>
      <c r="R1063" s="342">
        <f t="shared" si="9242"/>
        <v>5.9005772200000015</v>
      </c>
      <c r="S1063" s="97"/>
      <c r="T1063" s="97">
        <f t="shared" ref="T1063:T1068" si="9301">I1063*S1063*$T$2/1000</f>
        <v>0</v>
      </c>
      <c r="U1063" s="97"/>
      <c r="V1063" s="177">
        <f t="shared" ref="V1063:V1068" si="9302">I1063*U1063*$V$2/1000</f>
        <v>0</v>
      </c>
      <c r="W1063" s="207"/>
      <c r="X1063" s="206">
        <f t="shared" ref="X1063:X1068" si="9303">I1063*W1063*$X$2/1000</f>
        <v>0</v>
      </c>
      <c r="Y1063" s="189">
        <f t="shared" ref="Y1063:Y1068" si="9304">SUM(S1063+U1063+W1063)</f>
        <v>0</v>
      </c>
      <c r="Z1063" s="177">
        <f t="shared" si="9292"/>
        <v>0</v>
      </c>
      <c r="AA1063" s="207"/>
      <c r="AB1063" s="206">
        <f t="shared" ref="AB1063:AB1068" si="9305">K1063*AA1063*$AB$2/1000</f>
        <v>0</v>
      </c>
      <c r="AC1063" s="207"/>
      <c r="AD1063" s="177">
        <f t="shared" ref="AD1063:AD1068" si="9306">K1063*AC1063*$AD$2/1000</f>
        <v>0</v>
      </c>
      <c r="AE1063" s="207"/>
      <c r="AF1063" s="206">
        <f t="shared" si="9293"/>
        <v>0</v>
      </c>
      <c r="AG1063" s="189">
        <f t="shared" ref="AG1063:AG1068" si="9307">SUM(AA1063+AC1063+AE1063)</f>
        <v>0</v>
      </c>
      <c r="AH1063" s="97">
        <f>SUM(AB1063+AD1063+AF1063)</f>
        <v>0</v>
      </c>
      <c r="AI1063" s="97">
        <f t="shared" si="9246"/>
        <v>0</v>
      </c>
      <c r="AJ1063" s="177">
        <f t="shared" si="9247"/>
        <v>0</v>
      </c>
      <c r="AK1063" s="207"/>
      <c r="AL1063" s="177">
        <f t="shared" si="9248"/>
        <v>0</v>
      </c>
      <c r="AM1063" s="245"/>
      <c r="AN1063" s="177">
        <f t="shared" si="9249"/>
        <v>0</v>
      </c>
      <c r="AO1063" s="207"/>
      <c r="AP1063" s="206">
        <f t="shared" si="9250"/>
        <v>0</v>
      </c>
      <c r="AQ1063" s="189">
        <f>SUM(AK1063+AM1063+AO1063)</f>
        <v>0</v>
      </c>
      <c r="AR1063" s="97">
        <f>SUM(AL1063+AN1063+AP1063)</f>
        <v>0</v>
      </c>
      <c r="AS1063" s="97">
        <v>0.1</v>
      </c>
      <c r="AT1063" s="177">
        <f t="shared" si="9251"/>
        <v>2.9140534000000007</v>
      </c>
      <c r="AU1063" s="207">
        <v>0.1</v>
      </c>
      <c r="AV1063" s="177">
        <f t="shared" si="9252"/>
        <v>2.9865238200000008</v>
      </c>
      <c r="AW1063" s="207"/>
      <c r="AX1063" s="206">
        <f t="shared" si="9253"/>
        <v>0</v>
      </c>
      <c r="AY1063" s="189">
        <f t="shared" ref="AY1063:AY1067" si="9308">SUM(AS1063+AU1063+AW1063)</f>
        <v>0.2</v>
      </c>
      <c r="AZ1063" s="97">
        <f t="shared" si="9289"/>
        <v>5.9005772200000015</v>
      </c>
      <c r="BA1063" s="97">
        <f t="shared" si="9255"/>
        <v>0.2</v>
      </c>
      <c r="BB1063" s="97">
        <f t="shared" si="9256"/>
        <v>5.9005772200000015</v>
      </c>
    </row>
    <row r="1064" spans="1:54">
      <c r="B1064" s="13"/>
      <c r="C1064" s="13"/>
      <c r="D1064" s="13"/>
      <c r="E1064" s="21" t="s">
        <v>1566</v>
      </c>
      <c r="F1064" s="46"/>
      <c r="G1064" s="22" t="s">
        <v>1102</v>
      </c>
      <c r="H1064" s="267" t="s">
        <v>369</v>
      </c>
      <c r="I1064" s="55">
        <v>21.9</v>
      </c>
      <c r="J1064" s="102"/>
      <c r="K1064" s="55">
        <v>21.9</v>
      </c>
      <c r="L1064" s="163"/>
      <c r="M1064" s="55">
        <v>21.9</v>
      </c>
      <c r="N1064" s="163"/>
      <c r="O1064" s="55">
        <v>21.46</v>
      </c>
      <c r="P1064" s="102"/>
      <c r="Q1064" s="97">
        <f t="shared" ref="Q1064:Q1066" si="9309">SUM(AI1064+BA1064)</f>
        <v>0.30000000000000004</v>
      </c>
      <c r="R1064" s="342">
        <f t="shared" ref="R1064:R1066" si="9310">SUM(AJ1064+BB1064)</f>
        <v>8.8146306200000026</v>
      </c>
      <c r="S1064" s="97"/>
      <c r="T1064" s="97">
        <f t="shared" si="9301"/>
        <v>0</v>
      </c>
      <c r="U1064" s="97"/>
      <c r="V1064" s="177">
        <f t="shared" si="9302"/>
        <v>0</v>
      </c>
      <c r="W1064" s="207"/>
      <c r="X1064" s="206">
        <f t="shared" si="9303"/>
        <v>0</v>
      </c>
      <c r="Y1064" s="189">
        <f t="shared" ref="Y1064:Y1066" si="9311">SUM(S1064+U1064+W1064)</f>
        <v>0</v>
      </c>
      <c r="Z1064" s="177">
        <f>SUM(T1064+V1064+X1064)</f>
        <v>0</v>
      </c>
      <c r="AA1064" s="207"/>
      <c r="AB1064" s="206">
        <f t="shared" si="9305"/>
        <v>0</v>
      </c>
      <c r="AC1064" s="207"/>
      <c r="AD1064" s="177">
        <f t="shared" si="9306"/>
        <v>0</v>
      </c>
      <c r="AE1064" s="207"/>
      <c r="AF1064" s="206">
        <f t="shared" ref="AF1064:AF1066" si="9312">K1064*AE1064*$AF$2/1000</f>
        <v>0</v>
      </c>
      <c r="AG1064" s="189">
        <f t="shared" ref="AG1064:AG1066" si="9313">SUM(AA1064+AC1064+AE1064)</f>
        <v>0</v>
      </c>
      <c r="AH1064" s="97">
        <f t="shared" ref="AH1064" si="9314">SUM(AB1064+AD1064+AF1064)</f>
        <v>0</v>
      </c>
      <c r="AI1064" s="97">
        <f t="shared" ref="AI1064:AI1066" si="9315">SUM(Y1064+AG1064)</f>
        <v>0</v>
      </c>
      <c r="AJ1064" s="177">
        <f t="shared" ref="AJ1064:AJ1066" si="9316">SUM(Z1064,AH1064)</f>
        <v>0</v>
      </c>
      <c r="AK1064" s="207"/>
      <c r="AL1064" s="177">
        <f t="shared" ref="AL1064:AL1066" si="9317">M1064*AK1064*$AL$2/1000</f>
        <v>0</v>
      </c>
      <c r="AM1064" s="245"/>
      <c r="AN1064" s="177">
        <f t="shared" ref="AN1064:AN1066" si="9318">M1064*AM1064*$AN$2/1000</f>
        <v>0</v>
      </c>
      <c r="AO1064" s="207"/>
      <c r="AP1064" s="206">
        <f t="shared" ref="AP1064:AP1066" si="9319">M1064*AO1064*$AP$2/1000</f>
        <v>0</v>
      </c>
      <c r="AQ1064" s="189">
        <f t="shared" ref="AQ1064" si="9320">SUM(AK1064+AM1064+AO1064)</f>
        <v>0</v>
      </c>
      <c r="AR1064" s="97">
        <f t="shared" ref="AR1064:AR1066" si="9321">SUM(AL1064+AN1064+AP1064)</f>
        <v>0</v>
      </c>
      <c r="AS1064" s="97">
        <v>0.2</v>
      </c>
      <c r="AT1064" s="177">
        <f t="shared" ref="AT1064:AT1066" si="9322">O1064*AS1064*$AT$2/1000</f>
        <v>5.8281068000000014</v>
      </c>
      <c r="AU1064" s="207">
        <v>0.1</v>
      </c>
      <c r="AV1064" s="177">
        <f t="shared" ref="AV1064:AV1066" si="9323">O1064*AU1064*$AV$2/1000</f>
        <v>2.9865238200000008</v>
      </c>
      <c r="AW1064" s="207"/>
      <c r="AX1064" s="206">
        <f t="shared" ref="AX1064:AX1066" si="9324">O1064*AW1064*$AX$2/1000</f>
        <v>0</v>
      </c>
      <c r="AY1064" s="189">
        <f>SUM(AS1064+AU1064+AW1064)</f>
        <v>0.30000000000000004</v>
      </c>
      <c r="AZ1064" s="97">
        <f t="shared" ref="AZ1064:AZ1066" si="9325">SUM(AT1064+AV1064+AX1064)</f>
        <v>8.8146306200000026</v>
      </c>
      <c r="BA1064" s="97">
        <f t="shared" ref="BA1064:BA1066" si="9326">SUM(AQ1064+AY1064)</f>
        <v>0.30000000000000004</v>
      </c>
      <c r="BB1064" s="97">
        <f t="shared" ref="BB1064:BB1066" si="9327">SUM(AR1064,AZ1064)</f>
        <v>8.8146306200000026</v>
      </c>
    </row>
    <row r="1065" spans="1:54">
      <c r="B1065" s="13"/>
      <c r="C1065" s="13"/>
      <c r="D1065" s="13"/>
      <c r="E1065" s="21" t="s">
        <v>1567</v>
      </c>
      <c r="F1065" s="46"/>
      <c r="G1065" s="22" t="s">
        <v>1102</v>
      </c>
      <c r="H1065" s="267" t="s">
        <v>366</v>
      </c>
      <c r="I1065" s="55">
        <v>23.35</v>
      </c>
      <c r="J1065" s="102"/>
      <c r="K1065" s="55">
        <v>23.35</v>
      </c>
      <c r="L1065" s="163"/>
      <c r="M1065" s="55">
        <v>23.35</v>
      </c>
      <c r="N1065" s="163"/>
      <c r="O1065" s="55">
        <v>22.88</v>
      </c>
      <c r="P1065" s="102"/>
      <c r="Q1065" s="97">
        <f t="shared" si="9309"/>
        <v>0.55000000000000004</v>
      </c>
      <c r="R1065" s="342">
        <f t="shared" si="9310"/>
        <v>17.343312609999998</v>
      </c>
      <c r="S1065" s="97"/>
      <c r="T1065" s="97">
        <f t="shared" si="9301"/>
        <v>0</v>
      </c>
      <c r="U1065" s="97"/>
      <c r="V1065" s="177">
        <f t="shared" si="9302"/>
        <v>0</v>
      </c>
      <c r="W1065" s="207"/>
      <c r="X1065" s="206">
        <f t="shared" si="9303"/>
        <v>0</v>
      </c>
      <c r="Y1065" s="189">
        <f t="shared" si="9311"/>
        <v>0</v>
      </c>
      <c r="Z1065" s="177">
        <f t="shared" ref="Z1065:Z1066" si="9328">SUM(T1065+V1065+X1065)</f>
        <v>0</v>
      </c>
      <c r="AA1065" s="207"/>
      <c r="AB1065" s="206">
        <f t="shared" si="9305"/>
        <v>0</v>
      </c>
      <c r="AC1065" s="207"/>
      <c r="AD1065" s="177">
        <f t="shared" si="9306"/>
        <v>0</v>
      </c>
      <c r="AE1065" s="207"/>
      <c r="AF1065" s="206">
        <f t="shared" si="9312"/>
        <v>0</v>
      </c>
      <c r="AG1065" s="189">
        <f t="shared" si="9313"/>
        <v>0</v>
      </c>
      <c r="AH1065" s="97">
        <f t="shared" ref="AH1065:AH1066" si="9329">SUM(AB1065+AD1065+AF1065)</f>
        <v>0</v>
      </c>
      <c r="AI1065" s="97">
        <f t="shared" si="9315"/>
        <v>0</v>
      </c>
      <c r="AJ1065" s="177">
        <f t="shared" si="9316"/>
        <v>0</v>
      </c>
      <c r="AK1065" s="207"/>
      <c r="AL1065" s="177">
        <f t="shared" si="9317"/>
        <v>0</v>
      </c>
      <c r="AM1065" s="245">
        <v>0.25</v>
      </c>
      <c r="AN1065" s="177">
        <f t="shared" si="9318"/>
        <v>7.9454212500000008</v>
      </c>
      <c r="AO1065" s="207"/>
      <c r="AP1065" s="206">
        <f t="shared" si="9319"/>
        <v>0</v>
      </c>
      <c r="AQ1065" s="189">
        <f>SUM(AK1065+AM1065+AO1065)</f>
        <v>0.25</v>
      </c>
      <c r="AR1065" s="97">
        <f t="shared" si="9321"/>
        <v>7.9454212500000008</v>
      </c>
      <c r="AS1065" s="97">
        <v>0.2</v>
      </c>
      <c r="AT1065" s="177">
        <f t="shared" si="9322"/>
        <v>6.2137504000000003</v>
      </c>
      <c r="AU1065" s="207">
        <v>0.1</v>
      </c>
      <c r="AV1065" s="177">
        <f t="shared" si="9323"/>
        <v>3.1841409599999997</v>
      </c>
      <c r="AW1065" s="207"/>
      <c r="AX1065" s="206">
        <f t="shared" si="9324"/>
        <v>0</v>
      </c>
      <c r="AY1065" s="189">
        <f t="shared" ref="AY1065:AY1066" si="9330">SUM(AS1065+AU1065+AW1065)</f>
        <v>0.30000000000000004</v>
      </c>
      <c r="AZ1065" s="97">
        <f t="shared" si="9325"/>
        <v>9.3978913599999991</v>
      </c>
      <c r="BA1065" s="97">
        <f t="shared" si="9326"/>
        <v>0.55000000000000004</v>
      </c>
      <c r="BB1065" s="97">
        <f t="shared" si="9327"/>
        <v>17.343312609999998</v>
      </c>
    </row>
    <row r="1066" spans="1:54">
      <c r="B1066" s="13"/>
      <c r="C1066" s="13"/>
      <c r="D1066" s="13"/>
      <c r="E1066" s="21" t="s">
        <v>1766</v>
      </c>
      <c r="F1066" s="46"/>
      <c r="G1066" s="22" t="s">
        <v>1102</v>
      </c>
      <c r="H1066" s="267" t="s">
        <v>366</v>
      </c>
      <c r="I1066" s="55">
        <v>23.35</v>
      </c>
      <c r="J1066" s="102"/>
      <c r="K1066" s="55">
        <v>24.35</v>
      </c>
      <c r="L1066" s="163"/>
      <c r="M1066" s="55">
        <v>24.35</v>
      </c>
      <c r="N1066" s="163"/>
      <c r="O1066" s="55">
        <v>24.35</v>
      </c>
      <c r="P1066" s="102"/>
      <c r="Q1066" s="97">
        <f t="shared" si="9309"/>
        <v>1</v>
      </c>
      <c r="R1066" s="342">
        <f t="shared" si="9310"/>
        <v>33.350490500000006</v>
      </c>
      <c r="S1066" s="97"/>
      <c r="T1066" s="97">
        <f t="shared" si="9301"/>
        <v>0</v>
      </c>
      <c r="U1066" s="97"/>
      <c r="V1066" s="177">
        <f t="shared" si="9302"/>
        <v>0</v>
      </c>
      <c r="W1066" s="207"/>
      <c r="X1066" s="206">
        <f t="shared" si="9303"/>
        <v>0</v>
      </c>
      <c r="Y1066" s="189">
        <f t="shared" si="9311"/>
        <v>0</v>
      </c>
      <c r="Z1066" s="177">
        <f t="shared" si="9328"/>
        <v>0</v>
      </c>
      <c r="AA1066" s="207"/>
      <c r="AB1066" s="206">
        <f t="shared" si="9305"/>
        <v>0</v>
      </c>
      <c r="AC1066" s="207">
        <v>1</v>
      </c>
      <c r="AD1066" s="177">
        <f t="shared" si="9306"/>
        <v>33.350490500000006</v>
      </c>
      <c r="AE1066" s="207"/>
      <c r="AF1066" s="206">
        <f t="shared" si="9312"/>
        <v>0</v>
      </c>
      <c r="AG1066" s="189">
        <f t="shared" si="9313"/>
        <v>1</v>
      </c>
      <c r="AH1066" s="97">
        <f t="shared" si="9329"/>
        <v>33.350490500000006</v>
      </c>
      <c r="AI1066" s="97">
        <f t="shared" si="9315"/>
        <v>1</v>
      </c>
      <c r="AJ1066" s="177">
        <f t="shared" si="9316"/>
        <v>33.350490500000006</v>
      </c>
      <c r="AK1066" s="207"/>
      <c r="AL1066" s="177">
        <f t="shared" si="9317"/>
        <v>0</v>
      </c>
      <c r="AM1066" s="245"/>
      <c r="AN1066" s="177">
        <f t="shared" si="9318"/>
        <v>0</v>
      </c>
      <c r="AO1066" s="207"/>
      <c r="AP1066" s="206">
        <f t="shared" si="9319"/>
        <v>0</v>
      </c>
      <c r="AQ1066" s="189">
        <f>SUM(AK1066+AM1066+AO1066)</f>
        <v>0</v>
      </c>
      <c r="AR1066" s="97">
        <f t="shared" si="9321"/>
        <v>0</v>
      </c>
      <c r="AS1066" s="97"/>
      <c r="AT1066" s="177">
        <f t="shared" si="9322"/>
        <v>0</v>
      </c>
      <c r="AU1066" s="207"/>
      <c r="AV1066" s="177">
        <f t="shared" si="9323"/>
        <v>0</v>
      </c>
      <c r="AW1066" s="207"/>
      <c r="AX1066" s="206">
        <f t="shared" si="9324"/>
        <v>0</v>
      </c>
      <c r="AY1066" s="189">
        <f t="shared" si="9330"/>
        <v>0</v>
      </c>
      <c r="AZ1066" s="97">
        <f t="shared" si="9325"/>
        <v>0</v>
      </c>
      <c r="BA1066" s="97">
        <f t="shared" si="9326"/>
        <v>0</v>
      </c>
      <c r="BB1066" s="97">
        <f t="shared" si="9327"/>
        <v>0</v>
      </c>
    </row>
    <row r="1067" spans="1:54">
      <c r="B1067" s="13"/>
      <c r="C1067" s="13"/>
      <c r="D1067" s="13"/>
      <c r="E1067" s="21" t="s">
        <v>1767</v>
      </c>
      <c r="F1067" s="46"/>
      <c r="G1067" s="22" t="s">
        <v>1102</v>
      </c>
      <c r="H1067" s="267" t="s">
        <v>369</v>
      </c>
      <c r="I1067" s="55">
        <v>23.35</v>
      </c>
      <c r="J1067" s="102"/>
      <c r="K1067" s="55">
        <v>24.51</v>
      </c>
      <c r="L1067" s="163"/>
      <c r="M1067" s="55">
        <v>24.51</v>
      </c>
      <c r="N1067" s="163"/>
      <c r="O1067" s="55">
        <v>24.51</v>
      </c>
      <c r="P1067" s="102"/>
      <c r="Q1067" s="97">
        <f t="shared" si="9241"/>
        <v>1</v>
      </c>
      <c r="R1067" s="342">
        <f t="shared" si="9242"/>
        <v>33.569631300000012</v>
      </c>
      <c r="S1067" s="97"/>
      <c r="T1067" s="97">
        <f t="shared" si="9301"/>
        <v>0</v>
      </c>
      <c r="U1067" s="97"/>
      <c r="V1067" s="177">
        <f t="shared" si="9302"/>
        <v>0</v>
      </c>
      <c r="W1067" s="207"/>
      <c r="X1067" s="206">
        <f t="shared" si="9303"/>
        <v>0</v>
      </c>
      <c r="Y1067" s="189">
        <f t="shared" si="9304"/>
        <v>0</v>
      </c>
      <c r="Z1067" s="177">
        <f t="shared" si="9292"/>
        <v>0</v>
      </c>
      <c r="AA1067" s="207"/>
      <c r="AB1067" s="206">
        <f t="shared" si="9305"/>
        <v>0</v>
      </c>
      <c r="AC1067" s="207">
        <v>1</v>
      </c>
      <c r="AD1067" s="177">
        <f t="shared" si="9306"/>
        <v>33.569631300000012</v>
      </c>
      <c r="AE1067" s="207"/>
      <c r="AF1067" s="206">
        <f t="shared" si="9293"/>
        <v>0</v>
      </c>
      <c r="AG1067" s="189">
        <f t="shared" si="9307"/>
        <v>1</v>
      </c>
      <c r="AH1067" s="97">
        <f t="shared" ref="AH1067:AH1068" si="9331">SUM(AB1067+AD1067+AF1067)</f>
        <v>33.569631300000012</v>
      </c>
      <c r="AI1067" s="97">
        <f t="shared" si="9246"/>
        <v>1</v>
      </c>
      <c r="AJ1067" s="177">
        <f t="shared" si="9247"/>
        <v>33.569631300000012</v>
      </c>
      <c r="AK1067" s="207"/>
      <c r="AL1067" s="177">
        <f t="shared" si="9248"/>
        <v>0</v>
      </c>
      <c r="AM1067" s="245"/>
      <c r="AN1067" s="177">
        <f t="shared" si="9249"/>
        <v>0</v>
      </c>
      <c r="AO1067" s="207"/>
      <c r="AP1067" s="206">
        <f t="shared" si="9250"/>
        <v>0</v>
      </c>
      <c r="AQ1067" s="189">
        <f>SUM(AK1067+AM1067+AO1067)</f>
        <v>0</v>
      </c>
      <c r="AR1067" s="97">
        <f t="shared" ref="AR1067:AR1068" si="9332">SUM(AL1067+AN1067+AP1067)</f>
        <v>0</v>
      </c>
      <c r="AS1067" s="97"/>
      <c r="AT1067" s="177">
        <f t="shared" si="9251"/>
        <v>0</v>
      </c>
      <c r="AU1067" s="207"/>
      <c r="AV1067" s="177">
        <f t="shared" si="9252"/>
        <v>0</v>
      </c>
      <c r="AW1067" s="207"/>
      <c r="AX1067" s="206">
        <f t="shared" si="9253"/>
        <v>0</v>
      </c>
      <c r="AY1067" s="189">
        <f t="shared" si="9308"/>
        <v>0</v>
      </c>
      <c r="AZ1067" s="97">
        <f t="shared" si="9289"/>
        <v>0</v>
      </c>
      <c r="BA1067" s="97">
        <f t="shared" si="9255"/>
        <v>0</v>
      </c>
      <c r="BB1067" s="97">
        <f t="shared" si="9256"/>
        <v>0</v>
      </c>
    </row>
    <row r="1068" spans="1:54">
      <c r="A1068" s="498">
        <v>740</v>
      </c>
      <c r="B1068" s="13"/>
      <c r="C1068" s="13"/>
      <c r="D1068" s="13"/>
      <c r="E1068" s="21" t="s">
        <v>1568</v>
      </c>
      <c r="F1068" s="45"/>
      <c r="G1068" s="46" t="s">
        <v>1105</v>
      </c>
      <c r="H1068" s="268" t="s">
        <v>446</v>
      </c>
      <c r="I1068" s="55">
        <v>23.35</v>
      </c>
      <c r="J1068" s="102"/>
      <c r="K1068" s="55">
        <v>23.35</v>
      </c>
      <c r="L1068" s="163"/>
      <c r="M1068" s="55">
        <v>23.35</v>
      </c>
      <c r="N1068" s="163"/>
      <c r="O1068" s="55">
        <v>22.88</v>
      </c>
      <c r="P1068" s="102"/>
      <c r="Q1068" s="97">
        <f t="shared" si="9241"/>
        <v>1.1220000000000001</v>
      </c>
      <c r="R1068" s="342">
        <f t="shared" si="9242"/>
        <v>35.351768857500005</v>
      </c>
      <c r="S1068" s="97"/>
      <c r="T1068" s="97">
        <f t="shared" si="9301"/>
        <v>0</v>
      </c>
      <c r="U1068" s="97"/>
      <c r="V1068" s="177">
        <f t="shared" si="9302"/>
        <v>0</v>
      </c>
      <c r="W1068" s="207">
        <v>0.46700000000000003</v>
      </c>
      <c r="X1068" s="206">
        <f t="shared" si="9303"/>
        <v>14.50946117</v>
      </c>
      <c r="Y1068" s="189">
        <f t="shared" si="9304"/>
        <v>0.46700000000000003</v>
      </c>
      <c r="Z1068" s="177">
        <f t="shared" si="9292"/>
        <v>14.50946117</v>
      </c>
      <c r="AA1068" s="207"/>
      <c r="AB1068" s="206">
        <f t="shared" si="9305"/>
        <v>0</v>
      </c>
      <c r="AC1068" s="207">
        <v>0.45500000000000002</v>
      </c>
      <c r="AD1068" s="177">
        <f t="shared" si="9306"/>
        <v>14.551291527500004</v>
      </c>
      <c r="AE1068" s="207"/>
      <c r="AF1068" s="206">
        <f t="shared" si="9293"/>
        <v>0</v>
      </c>
      <c r="AG1068" s="189">
        <f t="shared" si="9307"/>
        <v>0.45500000000000002</v>
      </c>
      <c r="AH1068" s="97">
        <f t="shared" si="9331"/>
        <v>14.551291527500004</v>
      </c>
      <c r="AI1068" s="97">
        <f t="shared" si="9246"/>
        <v>0.92200000000000004</v>
      </c>
      <c r="AJ1068" s="177">
        <f t="shared" si="9247"/>
        <v>29.060752697500003</v>
      </c>
      <c r="AK1068" s="207"/>
      <c r="AL1068" s="177">
        <f t="shared" si="9248"/>
        <v>0</v>
      </c>
      <c r="AM1068" s="245"/>
      <c r="AN1068" s="177">
        <f t="shared" si="9249"/>
        <v>0</v>
      </c>
      <c r="AO1068" s="207"/>
      <c r="AP1068" s="206">
        <f t="shared" si="9250"/>
        <v>0</v>
      </c>
      <c r="AQ1068" s="189">
        <f>SUM(AK1068+AM1068+AO1068)</f>
        <v>0</v>
      </c>
      <c r="AR1068" s="97">
        <f t="shared" si="9332"/>
        <v>0</v>
      </c>
      <c r="AS1068" s="97">
        <v>0.1</v>
      </c>
      <c r="AT1068" s="177">
        <f t="shared" si="9251"/>
        <v>3.1068752000000002</v>
      </c>
      <c r="AU1068" s="207">
        <v>0.1</v>
      </c>
      <c r="AV1068" s="177">
        <f t="shared" si="9252"/>
        <v>3.1841409599999997</v>
      </c>
      <c r="AW1068" s="207"/>
      <c r="AX1068" s="206">
        <f t="shared" si="9253"/>
        <v>0</v>
      </c>
      <c r="AY1068" s="189">
        <f>SUM(AS1068+AU1068+AW1068)</f>
        <v>0.2</v>
      </c>
      <c r="AZ1068" s="97">
        <f t="shared" si="9289"/>
        <v>6.2910161599999999</v>
      </c>
      <c r="BA1068" s="97">
        <f t="shared" si="9255"/>
        <v>0.2</v>
      </c>
      <c r="BB1068" s="97">
        <f t="shared" si="9256"/>
        <v>6.2910161599999999</v>
      </c>
    </row>
    <row r="1069" spans="1:54" s="6" customFormat="1">
      <c r="A1069" s="498">
        <v>752</v>
      </c>
      <c r="B1069" s="14"/>
      <c r="C1069" s="458" t="s">
        <v>972</v>
      </c>
      <c r="D1069" s="457" t="s">
        <v>991</v>
      </c>
      <c r="E1069" s="16" t="s">
        <v>1197</v>
      </c>
      <c r="F1069" s="45"/>
      <c r="G1069" s="45" t="s">
        <v>1105</v>
      </c>
      <c r="H1069" s="267" t="s">
        <v>366</v>
      </c>
      <c r="I1069" s="234">
        <v>1</v>
      </c>
      <c r="J1069" s="241"/>
      <c r="K1069" s="234">
        <v>1</v>
      </c>
      <c r="L1069" s="241"/>
      <c r="M1069" s="234">
        <v>1</v>
      </c>
      <c r="N1069" s="241"/>
      <c r="O1069" s="234">
        <v>0.98</v>
      </c>
      <c r="P1069" s="241"/>
      <c r="Q1069" s="96">
        <f t="shared" ref="Q1069:Q1071" si="9333">SUM(AI1069+BA1069)</f>
        <v>3</v>
      </c>
      <c r="R1069" s="340">
        <f t="shared" ref="R1069:R1071" si="9334">SUM(AJ1069+BB1069)</f>
        <v>4.1291760999999996</v>
      </c>
      <c r="S1069" s="96"/>
      <c r="T1069" s="96">
        <f t="shared" ref="T1069:T1071" si="9335">I1069*S1069*$T$2/1000</f>
        <v>0</v>
      </c>
      <c r="U1069" s="96"/>
      <c r="V1069" s="96">
        <f t="shared" ref="V1069:V1071" si="9336">I1069*U1069*$V$2/1000</f>
        <v>0</v>
      </c>
      <c r="W1069" s="96"/>
      <c r="X1069" s="96">
        <f t="shared" ref="X1069:X1071" si="9337">I1069*W1069*$X$2/1000</f>
        <v>0</v>
      </c>
      <c r="Y1069" s="96">
        <f t="shared" ref="Y1069:Y1071" si="9338">SUM(S1069+U1069+W1069)</f>
        <v>0</v>
      </c>
      <c r="Z1069" s="96">
        <f>SUM(T1069+V1069+X1069)</f>
        <v>0</v>
      </c>
      <c r="AA1069" s="96"/>
      <c r="AB1069" s="96">
        <f t="shared" ref="AB1069:AB1071" si="9339">K1069*AA1069*$AB$2/1000</f>
        <v>0</v>
      </c>
      <c r="AC1069" s="96"/>
      <c r="AD1069" s="96">
        <f t="shared" ref="AD1069:AD1071" si="9340">K1069*AC1069*$AD$2/1000</f>
        <v>0</v>
      </c>
      <c r="AE1069" s="96"/>
      <c r="AF1069" s="97">
        <f t="shared" ref="AF1069:AF1071" si="9341">K1069*AE1069*$AF$2/1000</f>
        <v>0</v>
      </c>
      <c r="AG1069" s="96">
        <f>SUM(AA1069+AC1069+AE1069)</f>
        <v>0</v>
      </c>
      <c r="AH1069" s="96">
        <f>SUM(AB1069+AD1069+AF1069)</f>
        <v>0</v>
      </c>
      <c r="AI1069" s="96">
        <f t="shared" ref="AI1069:AI1071" si="9342">SUM(Y1069+AG1069)</f>
        <v>0</v>
      </c>
      <c r="AJ1069" s="96">
        <f t="shared" ref="AJ1069:AJ1071" si="9343">SUM(Z1069,AH1069)</f>
        <v>0</v>
      </c>
      <c r="AK1069" s="96"/>
      <c r="AL1069" s="96">
        <f t="shared" ref="AL1069:AL1071" si="9344">M1069*AK1069*$AL$2/1000</f>
        <v>0</v>
      </c>
      <c r="AM1069" s="96"/>
      <c r="AN1069" s="96">
        <f t="shared" ref="AN1069:AN1071" si="9345">M1069*AM1069*$AN$2/1000</f>
        <v>0</v>
      </c>
      <c r="AO1069" s="96"/>
      <c r="AP1069" s="96">
        <f t="shared" ref="AP1069" si="9346">M1069*AO1069*$AP$2/1000</f>
        <v>0</v>
      </c>
      <c r="AQ1069" s="96">
        <f t="shared" ref="AQ1069:AQ1071" si="9347">SUM(AK1069+AM1069+AO1069)</f>
        <v>0</v>
      </c>
      <c r="AR1069" s="96">
        <f t="shared" ref="AR1069" si="9348">SUM(AL1069+AN1069+AP1069)</f>
        <v>0</v>
      </c>
      <c r="AS1069" s="96">
        <v>0.5</v>
      </c>
      <c r="AT1069" s="96">
        <f t="shared" ref="AT1069:AT1071" si="9349">O1069*AS1069*$AT$2/1000</f>
        <v>0.66537099999999993</v>
      </c>
      <c r="AU1069" s="96">
        <v>0.5</v>
      </c>
      <c r="AV1069" s="96">
        <f t="shared" ref="AV1069:AV1071" si="9350">O1069*AU1069*$AV$2/1000</f>
        <v>0.68191830000000009</v>
      </c>
      <c r="AW1069" s="96">
        <v>2</v>
      </c>
      <c r="AX1069" s="96">
        <f t="shared" ref="AX1069:AX1071" si="9351">O1069*AW1069*$AX$2/1000</f>
        <v>2.7818867999999997</v>
      </c>
      <c r="AY1069" s="96">
        <f t="shared" ref="AY1069:AY1071" si="9352">SUM(AS1069+AU1069+AW1069)</f>
        <v>3</v>
      </c>
      <c r="AZ1069" s="96">
        <f t="shared" ref="AZ1069" si="9353">SUM(AT1069+AV1069+AX1069)</f>
        <v>4.1291760999999996</v>
      </c>
      <c r="BA1069" s="96">
        <f t="shared" ref="BA1069:BA1071" si="9354">SUM(AQ1069+AY1069)</f>
        <v>3</v>
      </c>
      <c r="BB1069" s="96">
        <f t="shared" ref="BB1069:BB1071" si="9355">SUM(AR1069,AZ1069)</f>
        <v>4.1291760999999996</v>
      </c>
    </row>
    <row r="1070" spans="1:54">
      <c r="A1070" s="498" t="s">
        <v>1619</v>
      </c>
      <c r="B1070" s="13"/>
      <c r="C1070" s="302"/>
      <c r="D1070" s="438"/>
      <c r="E1070" s="21" t="s">
        <v>1620</v>
      </c>
      <c r="F1070" s="46"/>
      <c r="G1070" s="45" t="s">
        <v>1105</v>
      </c>
      <c r="H1070" s="268" t="s">
        <v>366</v>
      </c>
      <c r="I1070" s="55">
        <v>1.0900000000000001</v>
      </c>
      <c r="J1070" s="163"/>
      <c r="K1070" s="55">
        <v>1.0900000000000001</v>
      </c>
      <c r="L1070" s="163"/>
      <c r="M1070" s="55">
        <v>1.0900000000000001</v>
      </c>
      <c r="N1070" s="163"/>
      <c r="O1070" s="55">
        <v>1.0900000000000001</v>
      </c>
      <c r="P1070" s="163"/>
      <c r="Q1070" s="97">
        <f t="shared" ref="Q1070" si="9356">SUM(AI1070+BA1070)</f>
        <v>0</v>
      </c>
      <c r="R1070" s="342">
        <f t="shared" ref="R1070" si="9357">SUM(AJ1070+BB1070)</f>
        <v>0</v>
      </c>
      <c r="S1070" s="97"/>
      <c r="T1070" s="97">
        <f t="shared" ref="T1070" si="9358">I1070*S1070*$T$2/1000</f>
        <v>0</v>
      </c>
      <c r="U1070" s="97"/>
      <c r="V1070" s="97">
        <f t="shared" ref="V1070" si="9359">I1070*U1070*$V$2/1000</f>
        <v>0</v>
      </c>
      <c r="W1070" s="97"/>
      <c r="X1070" s="97">
        <f t="shared" ref="X1070" si="9360">I1070*W1070*$X$2/1000</f>
        <v>0</v>
      </c>
      <c r="Y1070" s="97">
        <f t="shared" ref="Y1070" si="9361">SUM(S1070+U1070+W1070)</f>
        <v>0</v>
      </c>
      <c r="Z1070" s="97">
        <f t="shared" ref="Z1070" si="9362">SUM(T1070+V1070+X1070)</f>
        <v>0</v>
      </c>
      <c r="AA1070" s="97"/>
      <c r="AB1070" s="97">
        <f t="shared" ref="AB1070" si="9363">K1070*AA1070*$AB$2/1000</f>
        <v>0</v>
      </c>
      <c r="AC1070" s="97"/>
      <c r="AD1070" s="97">
        <f t="shared" ref="AD1070" si="9364">K1070*AC1070*$AD$2/1000</f>
        <v>0</v>
      </c>
      <c r="AE1070" s="97"/>
      <c r="AF1070" s="96">
        <f t="shared" ref="AF1070" si="9365">K1070*AE1070*$AF$2/1000</f>
        <v>0</v>
      </c>
      <c r="AG1070" s="97">
        <f t="shared" ref="AG1070" si="9366">SUM(AA1070+AC1070+AE1070)</f>
        <v>0</v>
      </c>
      <c r="AH1070" s="97">
        <f t="shared" ref="AH1070" si="9367">SUM(AB1070+AD1070+AF1070)</f>
        <v>0</v>
      </c>
      <c r="AI1070" s="97">
        <f t="shared" ref="AI1070" si="9368">SUM(Y1070+AG1070)</f>
        <v>0</v>
      </c>
      <c r="AJ1070" s="97">
        <f t="shared" ref="AJ1070" si="9369">SUM(Z1070,AH1070)</f>
        <v>0</v>
      </c>
      <c r="AK1070" s="97"/>
      <c r="AL1070" s="97">
        <f t="shared" ref="AL1070" si="9370">M1070*AK1070*$AL$2/1000</f>
        <v>0</v>
      </c>
      <c r="AM1070" s="97"/>
      <c r="AN1070" s="97">
        <f t="shared" ref="AN1070" si="9371">M1070*AM1070*$AN$2/1000</f>
        <v>0</v>
      </c>
      <c r="AO1070" s="97"/>
      <c r="AP1070" s="97">
        <f>M1070*AO1070*$AP$2/1000</f>
        <v>0</v>
      </c>
      <c r="AQ1070" s="97">
        <f t="shared" ref="AQ1070" si="9372">SUM(AK1070+AM1070+AO1070)</f>
        <v>0</v>
      </c>
      <c r="AR1070" s="97">
        <f>SUM(AL1070+AN1070+AP1070)</f>
        <v>0</v>
      </c>
      <c r="AS1070" s="97"/>
      <c r="AT1070" s="97">
        <f t="shared" ref="AT1070" si="9373">O1070*AS1070*$AT$2/1000</f>
        <v>0</v>
      </c>
      <c r="AU1070" s="97"/>
      <c r="AV1070" s="97">
        <f t="shared" ref="AV1070" si="9374">O1070*AU1070*$AV$2/1000</f>
        <v>0</v>
      </c>
      <c r="AW1070" s="97"/>
      <c r="AX1070" s="97">
        <f t="shared" ref="AX1070" si="9375">O1070*AW1070*$AX$2/1000</f>
        <v>0</v>
      </c>
      <c r="AY1070" s="97">
        <f t="shared" ref="AY1070" si="9376">SUM(AS1070+AU1070+AW1070)</f>
        <v>0</v>
      </c>
      <c r="AZ1070" s="97">
        <f>SUM(AT1070+AV1070+AX1070)</f>
        <v>0</v>
      </c>
      <c r="BA1070" s="97">
        <f t="shared" ref="BA1070" si="9377">SUM(AQ1070+AY1070)</f>
        <v>0</v>
      </c>
      <c r="BB1070" s="97">
        <f t="shared" ref="BB1070" si="9378">SUM(AR1070,AZ1070)</f>
        <v>0</v>
      </c>
    </row>
    <row r="1071" spans="1:54">
      <c r="A1071" s="498">
        <v>753</v>
      </c>
      <c r="B1071" s="13"/>
      <c r="C1071" s="302"/>
      <c r="D1071" s="438"/>
      <c r="E1071" s="21" t="s">
        <v>1029</v>
      </c>
      <c r="F1071" s="46"/>
      <c r="G1071" s="45" t="s">
        <v>1105</v>
      </c>
      <c r="H1071" s="268" t="s">
        <v>366</v>
      </c>
      <c r="I1071" s="55">
        <v>0.93</v>
      </c>
      <c r="J1071" s="163"/>
      <c r="K1071" s="55">
        <v>0.93</v>
      </c>
      <c r="L1071" s="163"/>
      <c r="M1071" s="55">
        <v>0.93</v>
      </c>
      <c r="N1071" s="163"/>
      <c r="O1071" s="55">
        <v>0.93</v>
      </c>
      <c r="P1071" s="163"/>
      <c r="Q1071" s="97">
        <f t="shared" si="9333"/>
        <v>0</v>
      </c>
      <c r="R1071" s="342">
        <f t="shared" si="9334"/>
        <v>0</v>
      </c>
      <c r="S1071" s="97"/>
      <c r="T1071" s="97">
        <f t="shared" si="9335"/>
        <v>0</v>
      </c>
      <c r="U1071" s="97"/>
      <c r="V1071" s="97">
        <f t="shared" si="9336"/>
        <v>0</v>
      </c>
      <c r="W1071" s="97"/>
      <c r="X1071" s="97">
        <f t="shared" si="9337"/>
        <v>0</v>
      </c>
      <c r="Y1071" s="97">
        <f t="shared" si="9338"/>
        <v>0</v>
      </c>
      <c r="Z1071" s="97">
        <f t="shared" ref="Z1071" si="9379">SUM(T1071+V1071+X1071)</f>
        <v>0</v>
      </c>
      <c r="AA1071" s="97"/>
      <c r="AB1071" s="97">
        <f t="shared" si="9339"/>
        <v>0</v>
      </c>
      <c r="AC1071" s="97"/>
      <c r="AD1071" s="97">
        <f t="shared" si="9340"/>
        <v>0</v>
      </c>
      <c r="AE1071" s="97"/>
      <c r="AF1071" s="96">
        <f t="shared" si="9341"/>
        <v>0</v>
      </c>
      <c r="AG1071" s="97">
        <f>SUM(AA1071+AC1071+AE1071)</f>
        <v>0</v>
      </c>
      <c r="AH1071" s="97">
        <f t="shared" ref="AH1071" si="9380">SUM(AB1071+AD1071+AF1071)</f>
        <v>0</v>
      </c>
      <c r="AI1071" s="97">
        <f t="shared" si="9342"/>
        <v>0</v>
      </c>
      <c r="AJ1071" s="97">
        <f t="shared" si="9343"/>
        <v>0</v>
      </c>
      <c r="AK1071" s="97"/>
      <c r="AL1071" s="97">
        <f t="shared" si="9344"/>
        <v>0</v>
      </c>
      <c r="AM1071" s="97"/>
      <c r="AN1071" s="97">
        <f t="shared" si="9345"/>
        <v>0</v>
      </c>
      <c r="AO1071" s="97"/>
      <c r="AP1071" s="97">
        <f>M1071*AO1071*$AP$2/1000</f>
        <v>0</v>
      </c>
      <c r="AQ1071" s="97">
        <f t="shared" si="9347"/>
        <v>0</v>
      </c>
      <c r="AR1071" s="97">
        <f>SUM(AL1071+AN1071+AP1071)</f>
        <v>0</v>
      </c>
      <c r="AS1071" s="97"/>
      <c r="AT1071" s="97">
        <f t="shared" si="9349"/>
        <v>0</v>
      </c>
      <c r="AU1071" s="97"/>
      <c r="AV1071" s="97">
        <f t="shared" si="9350"/>
        <v>0</v>
      </c>
      <c r="AW1071" s="97"/>
      <c r="AX1071" s="97">
        <f t="shared" si="9351"/>
        <v>0</v>
      </c>
      <c r="AY1071" s="97">
        <f t="shared" si="9352"/>
        <v>0</v>
      </c>
      <c r="AZ1071" s="97">
        <f>SUM(AT1071+AV1071+AX1071)</f>
        <v>0</v>
      </c>
      <c r="BA1071" s="97">
        <f t="shared" si="9354"/>
        <v>0</v>
      </c>
      <c r="BB1071" s="97">
        <f t="shared" si="9355"/>
        <v>0</v>
      </c>
    </row>
    <row r="1072" spans="1:54" s="6" customFormat="1">
      <c r="A1072" s="498">
        <v>754</v>
      </c>
      <c r="B1072" s="14"/>
      <c r="C1072" s="40"/>
      <c r="D1072" s="14"/>
      <c r="E1072" s="16" t="s">
        <v>977</v>
      </c>
      <c r="F1072" s="45"/>
      <c r="G1072" s="45" t="s">
        <v>1105</v>
      </c>
      <c r="H1072" s="267" t="s">
        <v>366</v>
      </c>
      <c r="I1072" s="234">
        <v>1</v>
      </c>
      <c r="J1072" s="241"/>
      <c r="K1072" s="234">
        <v>1</v>
      </c>
      <c r="L1072" s="241"/>
      <c r="M1072" s="234">
        <v>1</v>
      </c>
      <c r="N1072" s="241"/>
      <c r="O1072" s="234">
        <v>0.98</v>
      </c>
      <c r="P1072" s="241"/>
      <c r="Q1072" s="96">
        <f t="shared" si="9241"/>
        <v>2.5</v>
      </c>
      <c r="R1072" s="340">
        <f t="shared" si="9242"/>
        <v>3.3735030000000004</v>
      </c>
      <c r="S1072" s="96"/>
      <c r="T1072" s="96">
        <f t="shared" si="9280"/>
        <v>0</v>
      </c>
      <c r="U1072" s="96"/>
      <c r="V1072" s="96">
        <f t="shared" si="9281"/>
        <v>0</v>
      </c>
      <c r="W1072" s="96"/>
      <c r="X1072" s="96">
        <f t="shared" si="9282"/>
        <v>0</v>
      </c>
      <c r="Y1072" s="96">
        <f t="shared" ref="Y1072:Y1074" si="9381">SUM(S1072+U1072+W1072)</f>
        <v>0</v>
      </c>
      <c r="Z1072" s="96">
        <f t="shared" ref="Z1072:Z1090" si="9382">SUM(T1072+V1072+X1072)</f>
        <v>0</v>
      </c>
      <c r="AA1072" s="96"/>
      <c r="AB1072" s="96">
        <f t="shared" si="9283"/>
        <v>0</v>
      </c>
      <c r="AC1072" s="96"/>
      <c r="AD1072" s="96">
        <f t="shared" si="9284"/>
        <v>0</v>
      </c>
      <c r="AE1072" s="96"/>
      <c r="AF1072" s="97">
        <f t="shared" si="9285"/>
        <v>0</v>
      </c>
      <c r="AG1072" s="96">
        <f t="shared" si="9286"/>
        <v>0</v>
      </c>
      <c r="AH1072" s="96">
        <f t="shared" si="9287"/>
        <v>0</v>
      </c>
      <c r="AI1072" s="96">
        <f t="shared" si="9246"/>
        <v>0</v>
      </c>
      <c r="AJ1072" s="96">
        <f t="shared" si="9247"/>
        <v>0</v>
      </c>
      <c r="AK1072" s="96"/>
      <c r="AL1072" s="96">
        <f t="shared" si="9248"/>
        <v>0</v>
      </c>
      <c r="AM1072" s="96"/>
      <c r="AN1072" s="96">
        <f t="shared" si="9249"/>
        <v>0</v>
      </c>
      <c r="AO1072" s="96"/>
      <c r="AP1072" s="96">
        <f t="shared" si="9250"/>
        <v>0</v>
      </c>
      <c r="AQ1072" s="96">
        <f>SUM(AK1072+AM1072+AO1072)</f>
        <v>0</v>
      </c>
      <c r="AR1072" s="96">
        <f t="shared" si="9288"/>
        <v>0</v>
      </c>
      <c r="AS1072" s="96">
        <v>1.5</v>
      </c>
      <c r="AT1072" s="96">
        <f t="shared" si="9251"/>
        <v>1.996113</v>
      </c>
      <c r="AU1072" s="96">
        <v>0.5</v>
      </c>
      <c r="AV1072" s="96">
        <f t="shared" si="9252"/>
        <v>0.68191830000000009</v>
      </c>
      <c r="AW1072" s="96">
        <v>0.5</v>
      </c>
      <c r="AX1072" s="96">
        <f t="shared" si="9253"/>
        <v>0.69547169999999991</v>
      </c>
      <c r="AY1072" s="96">
        <f>SUM(AS1072+AU1072+AW1072)</f>
        <v>2.5</v>
      </c>
      <c r="AZ1072" s="96">
        <f t="shared" si="9289"/>
        <v>3.3735030000000004</v>
      </c>
      <c r="BA1072" s="96">
        <f t="shared" si="9255"/>
        <v>2.5</v>
      </c>
      <c r="BB1072" s="96">
        <f t="shared" si="9256"/>
        <v>3.3735030000000004</v>
      </c>
    </row>
    <row r="1073" spans="1:54">
      <c r="A1073" s="498" t="s">
        <v>1619</v>
      </c>
      <c r="B1073" s="13"/>
      <c r="C1073" s="302"/>
      <c r="D1073" s="545"/>
      <c r="E1073" s="21" t="s">
        <v>1621</v>
      </c>
      <c r="F1073" s="46"/>
      <c r="G1073" s="45" t="s">
        <v>1105</v>
      </c>
      <c r="H1073" s="268" t="s">
        <v>366</v>
      </c>
      <c r="I1073" s="55">
        <v>1.0900000000000001</v>
      </c>
      <c r="J1073" s="163"/>
      <c r="K1073" s="55">
        <v>1.0900000000000001</v>
      </c>
      <c r="L1073" s="163"/>
      <c r="M1073" s="55">
        <v>1.0900000000000001</v>
      </c>
      <c r="N1073" s="163"/>
      <c r="O1073" s="55">
        <v>1.0900000000000001</v>
      </c>
      <c r="P1073" s="163"/>
      <c r="Q1073" s="97">
        <f t="shared" si="9241"/>
        <v>0</v>
      </c>
      <c r="R1073" s="342">
        <f t="shared" si="9242"/>
        <v>0</v>
      </c>
      <c r="S1073" s="97"/>
      <c r="T1073" s="97">
        <f t="shared" si="9280"/>
        <v>0</v>
      </c>
      <c r="U1073" s="97"/>
      <c r="V1073" s="97">
        <f t="shared" si="9281"/>
        <v>0</v>
      </c>
      <c r="W1073" s="97"/>
      <c r="X1073" s="97">
        <f t="shared" si="9282"/>
        <v>0</v>
      </c>
      <c r="Y1073" s="97">
        <f t="shared" ref="Y1073" si="9383">SUM(S1073+U1073+W1073)</f>
        <v>0</v>
      </c>
      <c r="Z1073" s="97">
        <f t="shared" si="9382"/>
        <v>0</v>
      </c>
      <c r="AA1073" s="97"/>
      <c r="AB1073" s="97">
        <f t="shared" si="9283"/>
        <v>0</v>
      </c>
      <c r="AC1073" s="97"/>
      <c r="AD1073" s="97">
        <f t="shared" si="9284"/>
        <v>0</v>
      </c>
      <c r="AE1073" s="97"/>
      <c r="AF1073" s="96">
        <f t="shared" si="9285"/>
        <v>0</v>
      </c>
      <c r="AG1073" s="97">
        <f>SUM(AA1073+AC1073+AE1073)</f>
        <v>0</v>
      </c>
      <c r="AH1073" s="97">
        <f t="shared" si="9287"/>
        <v>0</v>
      </c>
      <c r="AI1073" s="97">
        <f t="shared" si="9246"/>
        <v>0</v>
      </c>
      <c r="AJ1073" s="97">
        <f t="shared" si="9247"/>
        <v>0</v>
      </c>
      <c r="AK1073" s="97"/>
      <c r="AL1073" s="97">
        <f t="shared" si="9248"/>
        <v>0</v>
      </c>
      <c r="AM1073" s="97"/>
      <c r="AN1073" s="97">
        <f t="shared" si="9249"/>
        <v>0</v>
      </c>
      <c r="AO1073" s="97"/>
      <c r="AP1073" s="97">
        <f>M1073*AO1073*$AP$2/1000</f>
        <v>0</v>
      </c>
      <c r="AQ1073" s="97">
        <f t="shared" ref="AQ1073" si="9384">SUM(AK1073+AM1073+AO1073)</f>
        <v>0</v>
      </c>
      <c r="AR1073" s="97">
        <f>SUM(AL1073+AN1073+AP1073)</f>
        <v>0</v>
      </c>
      <c r="AS1073" s="97"/>
      <c r="AT1073" s="97">
        <f t="shared" si="9251"/>
        <v>0</v>
      </c>
      <c r="AU1073" s="97"/>
      <c r="AV1073" s="97">
        <f t="shared" si="9252"/>
        <v>0</v>
      </c>
      <c r="AW1073" s="97"/>
      <c r="AX1073" s="97">
        <f t="shared" si="9253"/>
        <v>0</v>
      </c>
      <c r="AY1073" s="97">
        <f t="shared" ref="AY1073" si="9385">SUM(AS1073+AU1073+AW1073)</f>
        <v>0</v>
      </c>
      <c r="AZ1073" s="97">
        <f>SUM(AT1073+AV1073+AX1073)</f>
        <v>0</v>
      </c>
      <c r="BA1073" s="97">
        <f t="shared" si="9255"/>
        <v>0</v>
      </c>
      <c r="BB1073" s="97">
        <f t="shared" si="9256"/>
        <v>0</v>
      </c>
    </row>
    <row r="1074" spans="1:54">
      <c r="A1074" s="498">
        <v>755</v>
      </c>
      <c r="B1074" s="13"/>
      <c r="C1074" s="236"/>
      <c r="D1074" s="53" t="s">
        <v>992</v>
      </c>
      <c r="E1074" s="21" t="s">
        <v>1030</v>
      </c>
      <c r="F1074" s="46"/>
      <c r="G1074" s="45" t="s">
        <v>1105</v>
      </c>
      <c r="H1074" s="268" t="s">
        <v>446</v>
      </c>
      <c r="I1074" s="55">
        <v>1.04</v>
      </c>
      <c r="J1074" s="163"/>
      <c r="K1074" s="55">
        <v>1.04</v>
      </c>
      <c r="L1074" s="163"/>
      <c r="M1074" s="55">
        <v>1.04</v>
      </c>
      <c r="N1074" s="163"/>
      <c r="O1074" s="55">
        <v>1.02</v>
      </c>
      <c r="P1074" s="163"/>
      <c r="Q1074" s="97">
        <f t="shared" si="9241"/>
        <v>2.5</v>
      </c>
      <c r="R1074" s="342">
        <f t="shared" si="9242"/>
        <v>3.5425262999999996</v>
      </c>
      <c r="S1074" s="97"/>
      <c r="T1074" s="97">
        <f t="shared" si="9280"/>
        <v>0</v>
      </c>
      <c r="U1074" s="97"/>
      <c r="V1074" s="97">
        <f t="shared" si="9281"/>
        <v>0</v>
      </c>
      <c r="W1074" s="97"/>
      <c r="X1074" s="97">
        <f t="shared" si="9282"/>
        <v>0</v>
      </c>
      <c r="Y1074" s="97">
        <f t="shared" si="9381"/>
        <v>0</v>
      </c>
      <c r="Z1074" s="97">
        <f t="shared" si="9382"/>
        <v>0</v>
      </c>
      <c r="AA1074" s="97"/>
      <c r="AB1074" s="97">
        <f t="shared" si="9283"/>
        <v>0</v>
      </c>
      <c r="AC1074" s="97"/>
      <c r="AD1074" s="97">
        <f t="shared" si="9284"/>
        <v>0</v>
      </c>
      <c r="AE1074" s="97"/>
      <c r="AF1074" s="97">
        <f t="shared" si="9285"/>
        <v>0</v>
      </c>
      <c r="AG1074" s="97">
        <f t="shared" si="9286"/>
        <v>0</v>
      </c>
      <c r="AH1074" s="97">
        <f t="shared" si="9287"/>
        <v>0</v>
      </c>
      <c r="AI1074" s="97">
        <f t="shared" si="9246"/>
        <v>0</v>
      </c>
      <c r="AJ1074" s="97">
        <f t="shared" si="9247"/>
        <v>0</v>
      </c>
      <c r="AK1074" s="97"/>
      <c r="AL1074" s="97">
        <f t="shared" si="9248"/>
        <v>0</v>
      </c>
      <c r="AM1074" s="97"/>
      <c r="AN1074" s="97">
        <f t="shared" si="9249"/>
        <v>0</v>
      </c>
      <c r="AO1074" s="97"/>
      <c r="AP1074" s="97">
        <f t="shared" si="9250"/>
        <v>0</v>
      </c>
      <c r="AQ1074" s="97">
        <f>SUM(AK1074+AM1074+AO1074)</f>
        <v>0</v>
      </c>
      <c r="AR1074" s="97">
        <f t="shared" si="9288"/>
        <v>0</v>
      </c>
      <c r="AS1074" s="97">
        <v>1</v>
      </c>
      <c r="AT1074" s="97">
        <f t="shared" si="9251"/>
        <v>1.3850580000000001</v>
      </c>
      <c r="AU1074" s="97">
        <v>0.5</v>
      </c>
      <c r="AV1074" s="97">
        <f t="shared" si="9252"/>
        <v>0.70975169999999999</v>
      </c>
      <c r="AW1074" s="97">
        <v>1</v>
      </c>
      <c r="AX1074" s="97">
        <f t="shared" si="9253"/>
        <v>1.4477165999999999</v>
      </c>
      <c r="AY1074" s="97">
        <f>SUM(AS1074+AU1074+AW1074)</f>
        <v>2.5</v>
      </c>
      <c r="AZ1074" s="97">
        <f t="shared" si="9289"/>
        <v>3.5425262999999996</v>
      </c>
      <c r="BA1074" s="97">
        <f t="shared" si="9255"/>
        <v>2.5</v>
      </c>
      <c r="BB1074" s="97">
        <f t="shared" si="9256"/>
        <v>3.5425262999999996</v>
      </c>
    </row>
    <row r="1075" spans="1:54">
      <c r="A1075" s="498">
        <v>753</v>
      </c>
      <c r="B1075" s="13"/>
      <c r="C1075" s="302"/>
      <c r="D1075" s="438"/>
      <c r="E1075" s="21" t="s">
        <v>1622</v>
      </c>
      <c r="F1075" s="46"/>
      <c r="G1075" s="45" t="s">
        <v>1105</v>
      </c>
      <c r="H1075" s="268" t="s">
        <v>366</v>
      </c>
      <c r="I1075" s="55">
        <v>1.1299999999999999</v>
      </c>
      <c r="J1075" s="163"/>
      <c r="K1075" s="55">
        <v>1.1299999999999999</v>
      </c>
      <c r="L1075" s="163"/>
      <c r="M1075" s="55">
        <v>1.1299999999999999</v>
      </c>
      <c r="N1075" s="163"/>
      <c r="O1075" s="55">
        <v>1.1299999999999999</v>
      </c>
      <c r="P1075" s="163"/>
      <c r="Q1075" s="97">
        <f t="shared" si="9241"/>
        <v>0</v>
      </c>
      <c r="R1075" s="342">
        <f t="shared" si="9242"/>
        <v>0</v>
      </c>
      <c r="S1075" s="97"/>
      <c r="T1075" s="97">
        <f t="shared" si="9280"/>
        <v>0</v>
      </c>
      <c r="U1075" s="97"/>
      <c r="V1075" s="97">
        <f t="shared" si="9281"/>
        <v>0</v>
      </c>
      <c r="W1075" s="97"/>
      <c r="X1075" s="97">
        <f t="shared" si="9282"/>
        <v>0</v>
      </c>
      <c r="Y1075" s="97">
        <f t="shared" ref="Y1075" si="9386">SUM(S1075+U1075+W1075)</f>
        <v>0</v>
      </c>
      <c r="Z1075" s="97">
        <f t="shared" si="9382"/>
        <v>0</v>
      </c>
      <c r="AA1075" s="97"/>
      <c r="AB1075" s="97">
        <f t="shared" si="9283"/>
        <v>0</v>
      </c>
      <c r="AC1075" s="97"/>
      <c r="AD1075" s="97">
        <f t="shared" si="9284"/>
        <v>0</v>
      </c>
      <c r="AE1075" s="97"/>
      <c r="AF1075" s="96">
        <f t="shared" si="9285"/>
        <v>0</v>
      </c>
      <c r="AG1075" s="97">
        <f>SUM(AA1075+AC1075+AE1075)</f>
        <v>0</v>
      </c>
      <c r="AH1075" s="97">
        <f t="shared" si="9287"/>
        <v>0</v>
      </c>
      <c r="AI1075" s="97">
        <f t="shared" si="9246"/>
        <v>0</v>
      </c>
      <c r="AJ1075" s="97">
        <f t="shared" si="9247"/>
        <v>0</v>
      </c>
      <c r="AK1075" s="97"/>
      <c r="AL1075" s="97">
        <f t="shared" si="9248"/>
        <v>0</v>
      </c>
      <c r="AM1075" s="97"/>
      <c r="AN1075" s="97">
        <f t="shared" si="9249"/>
        <v>0</v>
      </c>
      <c r="AO1075" s="97"/>
      <c r="AP1075" s="97">
        <f>M1075*AO1075*$AP$2/1000</f>
        <v>0</v>
      </c>
      <c r="AQ1075" s="97">
        <f t="shared" ref="AQ1075" si="9387">SUM(AK1075+AM1075+AO1075)</f>
        <v>0</v>
      </c>
      <c r="AR1075" s="97">
        <f>SUM(AL1075+AN1075+AP1075)</f>
        <v>0</v>
      </c>
      <c r="AS1075" s="97"/>
      <c r="AT1075" s="97">
        <f t="shared" si="9251"/>
        <v>0</v>
      </c>
      <c r="AU1075" s="97"/>
      <c r="AV1075" s="97">
        <f t="shared" si="9252"/>
        <v>0</v>
      </c>
      <c r="AW1075" s="97"/>
      <c r="AX1075" s="97">
        <f t="shared" si="9253"/>
        <v>0</v>
      </c>
      <c r="AY1075" s="97">
        <f t="shared" ref="AY1075" si="9388">SUM(AS1075+AU1075+AW1075)</f>
        <v>0</v>
      </c>
      <c r="AZ1075" s="97">
        <f>SUM(AT1075+AV1075+AX1075)</f>
        <v>0</v>
      </c>
      <c r="BA1075" s="97">
        <f t="shared" si="9255"/>
        <v>0</v>
      </c>
      <c r="BB1075" s="97">
        <f t="shared" si="9256"/>
        <v>0</v>
      </c>
    </row>
    <row r="1076" spans="1:54">
      <c r="A1076" s="498">
        <v>756</v>
      </c>
      <c r="B1076" s="13"/>
      <c r="C1076" s="302"/>
      <c r="D1076" s="438"/>
      <c r="E1076" s="21" t="s">
        <v>1031</v>
      </c>
      <c r="F1076" s="46"/>
      <c r="G1076" s="45" t="s">
        <v>1105</v>
      </c>
      <c r="H1076" s="268" t="s">
        <v>366</v>
      </c>
      <c r="I1076" s="55">
        <v>0.97</v>
      </c>
      <c r="J1076" s="163"/>
      <c r="K1076" s="55">
        <v>0.97</v>
      </c>
      <c r="L1076" s="163"/>
      <c r="M1076" s="55">
        <v>0.97</v>
      </c>
      <c r="N1076" s="163"/>
      <c r="O1076" s="55">
        <v>0.97</v>
      </c>
      <c r="P1076" s="163"/>
      <c r="Q1076" s="97">
        <f t="shared" si="9241"/>
        <v>0</v>
      </c>
      <c r="R1076" s="342">
        <f t="shared" si="9242"/>
        <v>0</v>
      </c>
      <c r="S1076" s="97"/>
      <c r="T1076" s="97">
        <f t="shared" si="9280"/>
        <v>0</v>
      </c>
      <c r="U1076" s="97"/>
      <c r="V1076" s="97">
        <f t="shared" si="9281"/>
        <v>0</v>
      </c>
      <c r="W1076" s="97"/>
      <c r="X1076" s="97">
        <f t="shared" si="9282"/>
        <v>0</v>
      </c>
      <c r="Y1076" s="97">
        <f>SUM(S1076+U1076+W1076)</f>
        <v>0</v>
      </c>
      <c r="Z1076" s="97">
        <f t="shared" si="9382"/>
        <v>0</v>
      </c>
      <c r="AA1076" s="97"/>
      <c r="AB1076" s="97">
        <f t="shared" si="9283"/>
        <v>0</v>
      </c>
      <c r="AC1076" s="97"/>
      <c r="AD1076" s="97">
        <f t="shared" si="9284"/>
        <v>0</v>
      </c>
      <c r="AE1076" s="97"/>
      <c r="AF1076" s="96">
        <f t="shared" si="9285"/>
        <v>0</v>
      </c>
      <c r="AG1076" s="97">
        <f>SUM(AA1076+AC1076+AE1076)</f>
        <v>0</v>
      </c>
      <c r="AH1076" s="97">
        <f t="shared" si="9287"/>
        <v>0</v>
      </c>
      <c r="AI1076" s="97">
        <f t="shared" si="9246"/>
        <v>0</v>
      </c>
      <c r="AJ1076" s="97">
        <f t="shared" si="9247"/>
        <v>0</v>
      </c>
      <c r="AK1076" s="97"/>
      <c r="AL1076" s="97">
        <f t="shared" si="9248"/>
        <v>0</v>
      </c>
      <c r="AM1076" s="97"/>
      <c r="AN1076" s="97">
        <f t="shared" si="9249"/>
        <v>0</v>
      </c>
      <c r="AO1076" s="97"/>
      <c r="AP1076" s="97">
        <f>M1076*AO1076*$AP$2/1000</f>
        <v>0</v>
      </c>
      <c r="AQ1076" s="97">
        <f t="shared" ref="AQ1076:AQ1090" si="9389">SUM(AK1076+AM1076+AO1076)</f>
        <v>0</v>
      </c>
      <c r="AR1076" s="97">
        <f>SUM(AL1076+AN1076+AP1076)</f>
        <v>0</v>
      </c>
      <c r="AS1076" s="97"/>
      <c r="AT1076" s="97">
        <f t="shared" si="9251"/>
        <v>0</v>
      </c>
      <c r="AU1076" s="97"/>
      <c r="AV1076" s="97">
        <f t="shared" si="9252"/>
        <v>0</v>
      </c>
      <c r="AW1076" s="97"/>
      <c r="AX1076" s="97">
        <f t="shared" si="9253"/>
        <v>0</v>
      </c>
      <c r="AY1076" s="97">
        <f t="shared" ref="AY1076:AY1090" si="9390">SUM(AS1076+AU1076+AW1076)</f>
        <v>0</v>
      </c>
      <c r="AZ1076" s="97">
        <f>SUM(AT1076+AV1076+AX1076)</f>
        <v>0</v>
      </c>
      <c r="BA1076" s="97">
        <f t="shared" si="9255"/>
        <v>0</v>
      </c>
      <c r="BB1076" s="97">
        <f t="shared" si="9256"/>
        <v>0</v>
      </c>
    </row>
    <row r="1077" spans="1:54" s="6" customFormat="1" ht="11.25" customHeight="1">
      <c r="A1077" s="498">
        <v>757</v>
      </c>
      <c r="B1077" s="14"/>
      <c r="C1077" s="40"/>
      <c r="D1077" s="14"/>
      <c r="E1077" s="16" t="s">
        <v>978</v>
      </c>
      <c r="F1077" s="45"/>
      <c r="G1077" s="45" t="s">
        <v>1105</v>
      </c>
      <c r="H1077" s="267" t="s">
        <v>446</v>
      </c>
      <c r="I1077" s="234">
        <v>1.04</v>
      </c>
      <c r="J1077" s="241"/>
      <c r="K1077" s="234">
        <v>1.04</v>
      </c>
      <c r="L1077" s="241"/>
      <c r="M1077" s="234">
        <v>1.04</v>
      </c>
      <c r="N1077" s="241"/>
      <c r="O1077" s="234">
        <v>1.02</v>
      </c>
      <c r="P1077" s="241"/>
      <c r="Q1077" s="96">
        <f t="shared" si="9241"/>
        <v>5.5</v>
      </c>
      <c r="R1077" s="340">
        <f t="shared" si="9242"/>
        <v>7.6710561000000013</v>
      </c>
      <c r="S1077" s="96"/>
      <c r="T1077" s="96">
        <f t="shared" si="9280"/>
        <v>0</v>
      </c>
      <c r="U1077" s="96"/>
      <c r="V1077" s="96">
        <f t="shared" si="9281"/>
        <v>0</v>
      </c>
      <c r="W1077" s="96"/>
      <c r="X1077" s="96">
        <f t="shared" si="9282"/>
        <v>0</v>
      </c>
      <c r="Y1077" s="96">
        <f>SUM(S1077+U1077+W1077)</f>
        <v>0</v>
      </c>
      <c r="Z1077" s="96">
        <f t="shared" si="9382"/>
        <v>0</v>
      </c>
      <c r="AA1077" s="96"/>
      <c r="AB1077" s="96">
        <f t="shared" si="9283"/>
        <v>0</v>
      </c>
      <c r="AC1077" s="96"/>
      <c r="AD1077" s="96">
        <f t="shared" si="9284"/>
        <v>0</v>
      </c>
      <c r="AE1077" s="96"/>
      <c r="AF1077" s="97">
        <f t="shared" si="9285"/>
        <v>0</v>
      </c>
      <c r="AG1077" s="96">
        <f>SUM(AA1077+AC1077+AE1077)</f>
        <v>0</v>
      </c>
      <c r="AH1077" s="96">
        <f t="shared" si="9287"/>
        <v>0</v>
      </c>
      <c r="AI1077" s="96">
        <f t="shared" si="9246"/>
        <v>0</v>
      </c>
      <c r="AJ1077" s="96">
        <f t="shared" si="9247"/>
        <v>0</v>
      </c>
      <c r="AK1077" s="96"/>
      <c r="AL1077" s="96">
        <f t="shared" si="9248"/>
        <v>0</v>
      </c>
      <c r="AM1077" s="96"/>
      <c r="AN1077" s="96">
        <f t="shared" si="9249"/>
        <v>0</v>
      </c>
      <c r="AO1077" s="96">
        <v>2.5</v>
      </c>
      <c r="AP1077" s="96">
        <f t="shared" si="9250"/>
        <v>3.4642140000000006</v>
      </c>
      <c r="AQ1077" s="96">
        <f t="shared" si="9389"/>
        <v>2.5</v>
      </c>
      <c r="AR1077" s="96">
        <f t="shared" si="9288"/>
        <v>3.4642140000000006</v>
      </c>
      <c r="AS1077" s="96">
        <v>1.5</v>
      </c>
      <c r="AT1077" s="96">
        <f t="shared" si="9251"/>
        <v>2.0775869999999999</v>
      </c>
      <c r="AU1077" s="96">
        <v>1.5</v>
      </c>
      <c r="AV1077" s="96">
        <f t="shared" si="9252"/>
        <v>2.1292551000000004</v>
      </c>
      <c r="AW1077" s="96"/>
      <c r="AX1077" s="96">
        <f t="shared" si="9253"/>
        <v>0</v>
      </c>
      <c r="AY1077" s="96">
        <f t="shared" si="9390"/>
        <v>3</v>
      </c>
      <c r="AZ1077" s="96">
        <f t="shared" si="9289"/>
        <v>4.2068421000000003</v>
      </c>
      <c r="BA1077" s="96">
        <f t="shared" si="9255"/>
        <v>5.5</v>
      </c>
      <c r="BB1077" s="96">
        <f t="shared" si="9256"/>
        <v>7.6710561000000013</v>
      </c>
    </row>
    <row r="1078" spans="1:54">
      <c r="A1078" s="498">
        <v>753</v>
      </c>
      <c r="B1078" s="13"/>
      <c r="C1078" s="302"/>
      <c r="D1078" s="545"/>
      <c r="E1078" s="21" t="s">
        <v>1623</v>
      </c>
      <c r="F1078" s="46"/>
      <c r="G1078" s="45" t="s">
        <v>1105</v>
      </c>
      <c r="H1078" s="268" t="s">
        <v>366</v>
      </c>
      <c r="I1078" s="55">
        <v>1.1299999999999999</v>
      </c>
      <c r="J1078" s="163"/>
      <c r="K1078" s="55">
        <v>1.1299999999999999</v>
      </c>
      <c r="L1078" s="163"/>
      <c r="M1078" s="55">
        <v>1.1299999999999999</v>
      </c>
      <c r="N1078" s="163"/>
      <c r="O1078" s="55">
        <v>1.1299999999999999</v>
      </c>
      <c r="P1078" s="163"/>
      <c r="Q1078" s="97">
        <f t="shared" si="9241"/>
        <v>0</v>
      </c>
      <c r="R1078" s="342">
        <f t="shared" si="9242"/>
        <v>0</v>
      </c>
      <c r="S1078" s="97"/>
      <c r="T1078" s="97">
        <f t="shared" si="9280"/>
        <v>0</v>
      </c>
      <c r="U1078" s="97"/>
      <c r="V1078" s="97">
        <f t="shared" si="9281"/>
        <v>0</v>
      </c>
      <c r="W1078" s="97"/>
      <c r="X1078" s="97">
        <f t="shared" si="9282"/>
        <v>0</v>
      </c>
      <c r="Y1078" s="97">
        <f t="shared" ref="Y1078" si="9391">SUM(S1078+U1078+W1078)</f>
        <v>0</v>
      </c>
      <c r="Z1078" s="97">
        <f t="shared" si="9382"/>
        <v>0</v>
      </c>
      <c r="AA1078" s="97"/>
      <c r="AB1078" s="97">
        <f t="shared" si="9283"/>
        <v>0</v>
      </c>
      <c r="AC1078" s="97"/>
      <c r="AD1078" s="97">
        <f t="shared" si="9284"/>
        <v>0</v>
      </c>
      <c r="AE1078" s="97"/>
      <c r="AF1078" s="96">
        <f t="shared" si="9285"/>
        <v>0</v>
      </c>
      <c r="AG1078" s="97">
        <f t="shared" ref="AG1078" si="9392">SUM(AA1078+AC1078+AE1078)</f>
        <v>0</v>
      </c>
      <c r="AH1078" s="97">
        <f t="shared" si="9287"/>
        <v>0</v>
      </c>
      <c r="AI1078" s="97">
        <f t="shared" si="9246"/>
        <v>0</v>
      </c>
      <c r="AJ1078" s="97">
        <f t="shared" si="9247"/>
        <v>0</v>
      </c>
      <c r="AK1078" s="97"/>
      <c r="AL1078" s="97">
        <f t="shared" si="9248"/>
        <v>0</v>
      </c>
      <c r="AM1078" s="97"/>
      <c r="AN1078" s="97">
        <f t="shared" si="9249"/>
        <v>0</v>
      </c>
      <c r="AO1078" s="97"/>
      <c r="AP1078" s="97">
        <f>M1078*AO1078*$AP$2/1000</f>
        <v>0</v>
      </c>
      <c r="AQ1078" s="97">
        <f>SUM(AK1078+AM1078+AO1078)</f>
        <v>0</v>
      </c>
      <c r="AR1078" s="97">
        <f>SUM(AL1078+AN1078+AP1078)</f>
        <v>0</v>
      </c>
      <c r="AS1078" s="97"/>
      <c r="AT1078" s="97">
        <f t="shared" si="9251"/>
        <v>0</v>
      </c>
      <c r="AU1078" s="97"/>
      <c r="AV1078" s="97">
        <f t="shared" si="9252"/>
        <v>0</v>
      </c>
      <c r="AW1078" s="97"/>
      <c r="AX1078" s="97">
        <f t="shared" si="9253"/>
        <v>0</v>
      </c>
      <c r="AY1078" s="97">
        <f>SUM(AS1078+AU1078+AW1078)</f>
        <v>0</v>
      </c>
      <c r="AZ1078" s="97">
        <f>SUM(AT1078+AV1078+AX1078)</f>
        <v>0</v>
      </c>
      <c r="BA1078" s="97">
        <f t="shared" si="9255"/>
        <v>0</v>
      </c>
      <c r="BB1078" s="97">
        <f t="shared" si="9256"/>
        <v>0</v>
      </c>
    </row>
    <row r="1079" spans="1:54" s="6" customFormat="1">
      <c r="A1079" s="498">
        <v>758</v>
      </c>
      <c r="B1079" s="14"/>
      <c r="C1079" s="40"/>
      <c r="D1079" s="457" t="s">
        <v>993</v>
      </c>
      <c r="E1079" s="16" t="s">
        <v>1032</v>
      </c>
      <c r="F1079" s="45"/>
      <c r="G1079" s="45" t="s">
        <v>1105</v>
      </c>
      <c r="H1079" s="267" t="s">
        <v>366</v>
      </c>
      <c r="I1079" s="234">
        <v>1.1100000000000001</v>
      </c>
      <c r="J1079" s="241"/>
      <c r="K1079" s="234">
        <v>1.1100000000000001</v>
      </c>
      <c r="L1079" s="241"/>
      <c r="M1079" s="234">
        <v>1.1100000000000001</v>
      </c>
      <c r="N1079" s="241"/>
      <c r="O1079" s="234">
        <v>1.0900000000000001</v>
      </c>
      <c r="P1079" s="241"/>
      <c r="Q1079" s="96">
        <f t="shared" si="9241"/>
        <v>2.5</v>
      </c>
      <c r="R1079" s="340">
        <f t="shared" si="9242"/>
        <v>3.7175240500000006</v>
      </c>
      <c r="S1079" s="96"/>
      <c r="T1079" s="96">
        <f t="shared" si="9280"/>
        <v>0</v>
      </c>
      <c r="U1079" s="96"/>
      <c r="V1079" s="96">
        <f t="shared" si="9281"/>
        <v>0</v>
      </c>
      <c r="W1079" s="96"/>
      <c r="X1079" s="96">
        <f t="shared" si="9282"/>
        <v>0</v>
      </c>
      <c r="Y1079" s="96">
        <f t="shared" ref="Y1079" si="9393">SUM(S1079+U1079+W1079)</f>
        <v>0</v>
      </c>
      <c r="Z1079" s="96">
        <f t="shared" si="9382"/>
        <v>0</v>
      </c>
      <c r="AA1079" s="96"/>
      <c r="AB1079" s="96">
        <f t="shared" si="9283"/>
        <v>0</v>
      </c>
      <c r="AC1079" s="96"/>
      <c r="AD1079" s="96">
        <f t="shared" si="9284"/>
        <v>0</v>
      </c>
      <c r="AE1079" s="96"/>
      <c r="AF1079" s="97">
        <f t="shared" si="9285"/>
        <v>0</v>
      </c>
      <c r="AG1079" s="96">
        <f t="shared" ref="AG1079:AG1080" si="9394">SUM(AA1079+AC1079+AE1079)</f>
        <v>0</v>
      </c>
      <c r="AH1079" s="96">
        <f t="shared" si="9287"/>
        <v>0</v>
      </c>
      <c r="AI1079" s="96">
        <f t="shared" si="9246"/>
        <v>0</v>
      </c>
      <c r="AJ1079" s="96">
        <f t="shared" si="9247"/>
        <v>0</v>
      </c>
      <c r="AK1079" s="96"/>
      <c r="AL1079" s="96">
        <f t="shared" si="9248"/>
        <v>0</v>
      </c>
      <c r="AM1079" s="96"/>
      <c r="AN1079" s="96">
        <f t="shared" si="9249"/>
        <v>0</v>
      </c>
      <c r="AO1079" s="96">
        <v>1</v>
      </c>
      <c r="AP1079" s="96">
        <f t="shared" si="9250"/>
        <v>1.4789529000000001</v>
      </c>
      <c r="AQ1079" s="96">
        <f t="shared" si="9389"/>
        <v>1</v>
      </c>
      <c r="AR1079" s="96">
        <f t="shared" si="9288"/>
        <v>1.4789529000000001</v>
      </c>
      <c r="AS1079" s="96">
        <v>1</v>
      </c>
      <c r="AT1079" s="96">
        <f t="shared" si="9251"/>
        <v>1.4801110000000002</v>
      </c>
      <c r="AU1079" s="96">
        <v>0.5</v>
      </c>
      <c r="AV1079" s="96">
        <f t="shared" si="9252"/>
        <v>0.75846015000000011</v>
      </c>
      <c r="AW1079" s="96"/>
      <c r="AX1079" s="96">
        <f t="shared" si="9253"/>
        <v>0</v>
      </c>
      <c r="AY1079" s="96">
        <f t="shared" si="9390"/>
        <v>1.5</v>
      </c>
      <c r="AZ1079" s="96">
        <f t="shared" si="9289"/>
        <v>2.2385711500000003</v>
      </c>
      <c r="BA1079" s="96">
        <f t="shared" si="9255"/>
        <v>2.5</v>
      </c>
      <c r="BB1079" s="96">
        <f t="shared" si="9256"/>
        <v>3.7175240500000006</v>
      </c>
    </row>
    <row r="1080" spans="1:54">
      <c r="A1080" s="498">
        <v>753</v>
      </c>
      <c r="B1080" s="13"/>
      <c r="C1080" s="302"/>
      <c r="D1080" s="438"/>
      <c r="E1080" s="21" t="s">
        <v>1624</v>
      </c>
      <c r="F1080" s="46"/>
      <c r="G1080" s="45" t="s">
        <v>1105</v>
      </c>
      <c r="H1080" s="268" t="s">
        <v>366</v>
      </c>
      <c r="I1080" s="55">
        <v>1.21</v>
      </c>
      <c r="J1080" s="163"/>
      <c r="K1080" s="55">
        <v>1.21</v>
      </c>
      <c r="L1080" s="163"/>
      <c r="M1080" s="55">
        <v>1.21</v>
      </c>
      <c r="N1080" s="163"/>
      <c r="O1080" s="55">
        <v>1.21</v>
      </c>
      <c r="P1080" s="163"/>
      <c r="Q1080" s="97">
        <f t="shared" ref="Q1080" si="9395">SUM(AI1080+BA1080)</f>
        <v>0</v>
      </c>
      <c r="R1080" s="342">
        <f t="shared" ref="R1080" si="9396">SUM(AJ1080+BB1080)</f>
        <v>0</v>
      </c>
      <c r="S1080" s="97"/>
      <c r="T1080" s="97">
        <f t="shared" ref="T1080" si="9397">I1080*S1080*$T$2/1000</f>
        <v>0</v>
      </c>
      <c r="U1080" s="97"/>
      <c r="V1080" s="97">
        <f t="shared" ref="V1080" si="9398">I1080*U1080*$V$2/1000</f>
        <v>0</v>
      </c>
      <c r="W1080" s="97"/>
      <c r="X1080" s="97">
        <f t="shared" ref="X1080" si="9399">I1080*W1080*$X$2/1000</f>
        <v>0</v>
      </c>
      <c r="Y1080" s="97">
        <f>SUM(S1080+U1080+W1080)</f>
        <v>0</v>
      </c>
      <c r="Z1080" s="97">
        <f t="shared" ref="Z1080" si="9400">SUM(T1080+V1080+X1080)</f>
        <v>0</v>
      </c>
      <c r="AA1080" s="97"/>
      <c r="AB1080" s="97">
        <f t="shared" ref="AB1080" si="9401">K1080*AA1080*$AB$2/1000</f>
        <v>0</v>
      </c>
      <c r="AC1080" s="97"/>
      <c r="AD1080" s="97">
        <f t="shared" ref="AD1080" si="9402">K1080*AC1080*$AD$2/1000</f>
        <v>0</v>
      </c>
      <c r="AE1080" s="97"/>
      <c r="AF1080" s="96">
        <f t="shared" ref="AF1080" si="9403">K1080*AE1080*$AF$2/1000</f>
        <v>0</v>
      </c>
      <c r="AG1080" s="97">
        <f t="shared" si="9394"/>
        <v>0</v>
      </c>
      <c r="AH1080" s="97">
        <f>SUM(AB1080+AD1080+AF1080)</f>
        <v>0</v>
      </c>
      <c r="AI1080" s="97">
        <f t="shared" ref="AI1080" si="9404">SUM(Y1080+AG1080)</f>
        <v>0</v>
      </c>
      <c r="AJ1080" s="97">
        <f t="shared" ref="AJ1080" si="9405">SUM(Z1080,AH1080)</f>
        <v>0</v>
      </c>
      <c r="AK1080" s="97"/>
      <c r="AL1080" s="97">
        <f t="shared" ref="AL1080" si="9406">M1080*AK1080*$AL$2/1000</f>
        <v>0</v>
      </c>
      <c r="AM1080" s="97"/>
      <c r="AN1080" s="97">
        <f t="shared" ref="AN1080" si="9407">M1080*AM1080*$AN$2/1000</f>
        <v>0</v>
      </c>
      <c r="AO1080" s="97"/>
      <c r="AP1080" s="97">
        <f>M1080*AO1080*$AP$2/1000</f>
        <v>0</v>
      </c>
      <c r="AQ1080" s="97">
        <f>SUM(AK1080+AM1080+AO1080)</f>
        <v>0</v>
      </c>
      <c r="AR1080" s="97">
        <f>SUM(AL1080+AN1080+AP1080)</f>
        <v>0</v>
      </c>
      <c r="AS1080" s="97"/>
      <c r="AT1080" s="97">
        <f t="shared" ref="AT1080" si="9408">O1080*AS1080*$AT$2/1000</f>
        <v>0</v>
      </c>
      <c r="AU1080" s="97"/>
      <c r="AV1080" s="97">
        <f t="shared" ref="AV1080" si="9409">O1080*AU1080*$AV$2/1000</f>
        <v>0</v>
      </c>
      <c r="AW1080" s="97"/>
      <c r="AX1080" s="97">
        <f t="shared" ref="AX1080" si="9410">O1080*AW1080*$AX$2/1000</f>
        <v>0</v>
      </c>
      <c r="AY1080" s="97">
        <f>SUM(AS1080+AU1080+AW1080)</f>
        <v>0</v>
      </c>
      <c r="AZ1080" s="97">
        <f>SUM(AT1080+AV1080+AX1080)</f>
        <v>0</v>
      </c>
      <c r="BA1080" s="97">
        <f t="shared" ref="BA1080" si="9411">SUM(AQ1080+AY1080)</f>
        <v>0</v>
      </c>
      <c r="BB1080" s="97">
        <f t="shared" ref="BB1080" si="9412">SUM(AR1080,AZ1080)</f>
        <v>0</v>
      </c>
    </row>
    <row r="1081" spans="1:54">
      <c r="A1081" s="498">
        <v>759</v>
      </c>
      <c r="B1081" s="13"/>
      <c r="C1081" s="302"/>
      <c r="D1081" s="438"/>
      <c r="E1081" s="21" t="s">
        <v>1033</v>
      </c>
      <c r="F1081" s="46"/>
      <c r="G1081" s="45" t="s">
        <v>1105</v>
      </c>
      <c r="H1081" s="268" t="s">
        <v>366</v>
      </c>
      <c r="I1081" s="55">
        <v>1.04</v>
      </c>
      <c r="J1081" s="163"/>
      <c r="K1081" s="55">
        <v>1.04</v>
      </c>
      <c r="L1081" s="163"/>
      <c r="M1081" s="55">
        <v>1.04</v>
      </c>
      <c r="N1081" s="163"/>
      <c r="O1081" s="55">
        <v>1.04</v>
      </c>
      <c r="P1081" s="163"/>
      <c r="Q1081" s="97">
        <f t="shared" ref="Q1081" si="9413">SUM(AI1081+BA1081)</f>
        <v>0</v>
      </c>
      <c r="R1081" s="342">
        <f t="shared" ref="R1081" si="9414">SUM(AJ1081+BB1081)</f>
        <v>0</v>
      </c>
      <c r="S1081" s="97"/>
      <c r="T1081" s="97">
        <f t="shared" ref="T1081" si="9415">I1081*S1081*$T$2/1000</f>
        <v>0</v>
      </c>
      <c r="U1081" s="97"/>
      <c r="V1081" s="97">
        <f t="shared" ref="V1081" si="9416">I1081*U1081*$V$2/1000</f>
        <v>0</v>
      </c>
      <c r="W1081" s="97"/>
      <c r="X1081" s="97">
        <f t="shared" ref="X1081" si="9417">I1081*W1081*$X$2/1000</f>
        <v>0</v>
      </c>
      <c r="Y1081" s="97">
        <f>SUM(S1081+U1081+W1081)</f>
        <v>0</v>
      </c>
      <c r="Z1081" s="97">
        <f>SUM(T1081+V1081+X1081)</f>
        <v>0</v>
      </c>
      <c r="AA1081" s="97"/>
      <c r="AB1081" s="97">
        <f t="shared" ref="AB1081" si="9418">K1081*AA1081*$AB$2/1000</f>
        <v>0</v>
      </c>
      <c r="AC1081" s="97"/>
      <c r="AD1081" s="97">
        <f t="shared" ref="AD1081" si="9419">K1081*AC1081*$AD$2/1000</f>
        <v>0</v>
      </c>
      <c r="AE1081" s="97"/>
      <c r="AF1081" s="96">
        <f t="shared" ref="AF1081" si="9420">K1081*AE1081*$AF$2/1000</f>
        <v>0</v>
      </c>
      <c r="AG1081" s="97">
        <f>SUM(AA1081+AC1081+AE1081)</f>
        <v>0</v>
      </c>
      <c r="AH1081" s="97">
        <f>SUM(AB1081+AD1081+AF1081)</f>
        <v>0</v>
      </c>
      <c r="AI1081" s="97">
        <f t="shared" ref="AI1081" si="9421">SUM(Y1081+AG1081)</f>
        <v>0</v>
      </c>
      <c r="AJ1081" s="97">
        <f t="shared" ref="AJ1081" si="9422">SUM(Z1081,AH1081)</f>
        <v>0</v>
      </c>
      <c r="AK1081" s="97"/>
      <c r="AL1081" s="97">
        <f t="shared" ref="AL1081" si="9423">M1081*AK1081*$AL$2/1000</f>
        <v>0</v>
      </c>
      <c r="AM1081" s="97"/>
      <c r="AN1081" s="97">
        <f t="shared" ref="AN1081" si="9424">M1081*AM1081*$AN$2/1000</f>
        <v>0</v>
      </c>
      <c r="AO1081" s="97"/>
      <c r="AP1081" s="97">
        <f>M1081*AO1081*$AP$2/1000</f>
        <v>0</v>
      </c>
      <c r="AQ1081" s="97">
        <f>SUM(AK1081+AM1081+AO1081)</f>
        <v>0</v>
      </c>
      <c r="AR1081" s="97">
        <f>SUM(AL1081+AN1081+AP1081)</f>
        <v>0</v>
      </c>
      <c r="AS1081" s="97"/>
      <c r="AT1081" s="97">
        <f t="shared" ref="AT1081" si="9425">O1081*AS1081*$AT$2/1000</f>
        <v>0</v>
      </c>
      <c r="AU1081" s="97"/>
      <c r="AV1081" s="97">
        <f t="shared" ref="AV1081" si="9426">O1081*AU1081*$AV$2/1000</f>
        <v>0</v>
      </c>
      <c r="AW1081" s="97"/>
      <c r="AX1081" s="97">
        <f t="shared" ref="AX1081" si="9427">O1081*AW1081*$AX$2/1000</f>
        <v>0</v>
      </c>
      <c r="AY1081" s="97">
        <f>SUM(AS1081+AU1081+AW1081)</f>
        <v>0</v>
      </c>
      <c r="AZ1081" s="97">
        <f>SUM(AT1081+AV1081+AX1081)</f>
        <v>0</v>
      </c>
      <c r="BA1081" s="97">
        <f t="shared" ref="BA1081" si="9428">SUM(AQ1081+AY1081)</f>
        <v>0</v>
      </c>
      <c r="BB1081" s="97">
        <f t="shared" ref="BB1081" si="9429">SUM(AR1081,AZ1081)</f>
        <v>0</v>
      </c>
    </row>
    <row r="1082" spans="1:54">
      <c r="A1082" s="498">
        <v>760</v>
      </c>
      <c r="B1082" s="13"/>
      <c r="C1082" s="236"/>
      <c r="D1082" s="13"/>
      <c r="E1082" s="21" t="s">
        <v>979</v>
      </c>
      <c r="F1082" s="46"/>
      <c r="G1082" s="45" t="s">
        <v>1105</v>
      </c>
      <c r="H1082" s="268" t="s">
        <v>446</v>
      </c>
      <c r="I1082" s="55">
        <v>1.04</v>
      </c>
      <c r="J1082" s="163"/>
      <c r="K1082" s="55">
        <v>1.04</v>
      </c>
      <c r="L1082" s="163"/>
      <c r="M1082" s="55">
        <v>1.04</v>
      </c>
      <c r="N1082" s="163"/>
      <c r="O1082" s="55">
        <v>1.0900000000000001</v>
      </c>
      <c r="P1082" s="163"/>
      <c r="Q1082" s="97">
        <f t="shared" si="9241"/>
        <v>4.5</v>
      </c>
      <c r="R1082" s="342">
        <f t="shared" si="9242"/>
        <v>6.5174625000000006</v>
      </c>
      <c r="S1082" s="97"/>
      <c r="T1082" s="97">
        <f t="shared" si="9280"/>
        <v>0</v>
      </c>
      <c r="U1082" s="97"/>
      <c r="V1082" s="97">
        <f t="shared" si="9281"/>
        <v>0</v>
      </c>
      <c r="W1082" s="97"/>
      <c r="X1082" s="97">
        <f t="shared" si="9282"/>
        <v>0</v>
      </c>
      <c r="Y1082" s="97">
        <f>SUM(S1082+U1082+W1082)</f>
        <v>0</v>
      </c>
      <c r="Z1082" s="97">
        <f t="shared" si="9382"/>
        <v>0</v>
      </c>
      <c r="AA1082" s="97"/>
      <c r="AB1082" s="97">
        <f t="shared" si="9283"/>
        <v>0</v>
      </c>
      <c r="AC1082" s="97"/>
      <c r="AD1082" s="97">
        <f t="shared" si="9284"/>
        <v>0</v>
      </c>
      <c r="AE1082" s="97"/>
      <c r="AF1082" s="97">
        <f t="shared" si="9285"/>
        <v>0</v>
      </c>
      <c r="AG1082" s="97">
        <f t="shared" ref="AG1082:AG1084" si="9430">SUM(AA1082+AC1082+AE1082)</f>
        <v>0</v>
      </c>
      <c r="AH1082" s="97">
        <f t="shared" si="9287"/>
        <v>0</v>
      </c>
      <c r="AI1082" s="97">
        <f t="shared" si="9246"/>
        <v>0</v>
      </c>
      <c r="AJ1082" s="97">
        <f t="shared" si="9247"/>
        <v>0</v>
      </c>
      <c r="AK1082" s="97">
        <v>0.5</v>
      </c>
      <c r="AL1082" s="97">
        <f t="shared" si="9248"/>
        <v>0.7192016</v>
      </c>
      <c r="AM1082" s="97">
        <v>1</v>
      </c>
      <c r="AN1082" s="97">
        <f t="shared" si="9249"/>
        <v>1.4155439999999999</v>
      </c>
      <c r="AO1082" s="97">
        <v>1</v>
      </c>
      <c r="AP1082" s="97">
        <f t="shared" si="9250"/>
        <v>1.3856856000000002</v>
      </c>
      <c r="AQ1082" s="97">
        <f t="shared" si="9389"/>
        <v>2.5</v>
      </c>
      <c r="AR1082" s="97">
        <f t="shared" si="9288"/>
        <v>3.5204312</v>
      </c>
      <c r="AS1082" s="97">
        <v>1</v>
      </c>
      <c r="AT1082" s="97">
        <f t="shared" si="9251"/>
        <v>1.4801110000000002</v>
      </c>
      <c r="AU1082" s="97">
        <v>1</v>
      </c>
      <c r="AV1082" s="97">
        <f t="shared" si="9252"/>
        <v>1.5169203000000002</v>
      </c>
      <c r="AW1082" s="97"/>
      <c r="AX1082" s="97">
        <f t="shared" si="9253"/>
        <v>0</v>
      </c>
      <c r="AY1082" s="97">
        <f t="shared" si="9390"/>
        <v>2</v>
      </c>
      <c r="AZ1082" s="97">
        <f t="shared" si="9289"/>
        <v>2.9970313000000006</v>
      </c>
      <c r="BA1082" s="97">
        <f t="shared" si="9255"/>
        <v>4.5</v>
      </c>
      <c r="BB1082" s="97">
        <f t="shared" si="9256"/>
        <v>6.5174625000000006</v>
      </c>
    </row>
    <row r="1083" spans="1:54">
      <c r="A1083" s="498">
        <v>753</v>
      </c>
      <c r="B1083" s="13"/>
      <c r="C1083" s="302"/>
      <c r="D1083" s="545"/>
      <c r="E1083" s="21" t="s">
        <v>1625</v>
      </c>
      <c r="F1083" s="46"/>
      <c r="G1083" s="45" t="s">
        <v>1105</v>
      </c>
      <c r="H1083" s="268" t="s">
        <v>366</v>
      </c>
      <c r="I1083" s="55">
        <v>1.21</v>
      </c>
      <c r="J1083" s="163"/>
      <c r="K1083" s="55">
        <v>1.21</v>
      </c>
      <c r="L1083" s="163"/>
      <c r="M1083" s="55">
        <v>1.21</v>
      </c>
      <c r="N1083" s="163"/>
      <c r="O1083" s="55">
        <v>1.21</v>
      </c>
      <c r="P1083" s="163"/>
      <c r="Q1083" s="97">
        <f t="shared" si="9241"/>
        <v>0</v>
      </c>
      <c r="R1083" s="342">
        <f t="shared" si="9242"/>
        <v>0</v>
      </c>
      <c r="S1083" s="97"/>
      <c r="T1083" s="97">
        <f t="shared" si="9280"/>
        <v>0</v>
      </c>
      <c r="U1083" s="97"/>
      <c r="V1083" s="97">
        <f t="shared" si="9281"/>
        <v>0</v>
      </c>
      <c r="W1083" s="97"/>
      <c r="X1083" s="97">
        <f t="shared" si="9282"/>
        <v>0</v>
      </c>
      <c r="Y1083" s="97">
        <f t="shared" ref="Y1083" si="9431">SUM(S1083+U1083+W1083)</f>
        <v>0</v>
      </c>
      <c r="Z1083" s="97">
        <f t="shared" si="9382"/>
        <v>0</v>
      </c>
      <c r="AA1083" s="97"/>
      <c r="AB1083" s="97">
        <f t="shared" si="9283"/>
        <v>0</v>
      </c>
      <c r="AC1083" s="97"/>
      <c r="AD1083" s="97">
        <f t="shared" si="9284"/>
        <v>0</v>
      </c>
      <c r="AE1083" s="97"/>
      <c r="AF1083" s="96">
        <f t="shared" si="9285"/>
        <v>0</v>
      </c>
      <c r="AG1083" s="97">
        <f t="shared" si="9430"/>
        <v>0</v>
      </c>
      <c r="AH1083" s="97">
        <f t="shared" si="9287"/>
        <v>0</v>
      </c>
      <c r="AI1083" s="97">
        <f t="shared" si="9246"/>
        <v>0</v>
      </c>
      <c r="AJ1083" s="97">
        <f t="shared" si="9247"/>
        <v>0</v>
      </c>
      <c r="AK1083" s="97"/>
      <c r="AL1083" s="97">
        <f t="shared" si="9248"/>
        <v>0</v>
      </c>
      <c r="AM1083" s="97"/>
      <c r="AN1083" s="97">
        <f t="shared" si="9249"/>
        <v>0</v>
      </c>
      <c r="AO1083" s="97"/>
      <c r="AP1083" s="97">
        <f>M1083*AO1083*$AP$2/1000</f>
        <v>0</v>
      </c>
      <c r="AQ1083" s="97">
        <f>SUM(AK1083+AM1083+AO1083)</f>
        <v>0</v>
      </c>
      <c r="AR1083" s="97">
        <f>SUM(AL1083+AN1083+AP1083)</f>
        <v>0</v>
      </c>
      <c r="AS1083" s="97"/>
      <c r="AT1083" s="97">
        <f t="shared" si="9251"/>
        <v>0</v>
      </c>
      <c r="AU1083" s="97"/>
      <c r="AV1083" s="97">
        <f t="shared" si="9252"/>
        <v>0</v>
      </c>
      <c r="AW1083" s="97"/>
      <c r="AX1083" s="97">
        <f t="shared" si="9253"/>
        <v>0</v>
      </c>
      <c r="AY1083" s="97">
        <f>SUM(AS1083+AU1083+AW1083)</f>
        <v>0</v>
      </c>
      <c r="AZ1083" s="97">
        <f>SUM(AT1083+AV1083+AX1083)</f>
        <v>0</v>
      </c>
      <c r="BA1083" s="97">
        <f t="shared" si="9255"/>
        <v>0</v>
      </c>
      <c r="BB1083" s="97">
        <f t="shared" si="9256"/>
        <v>0</v>
      </c>
    </row>
    <row r="1084" spans="1:54" s="6" customFormat="1">
      <c r="A1084" s="498">
        <v>761</v>
      </c>
      <c r="B1084" s="14"/>
      <c r="C1084" s="40"/>
      <c r="D1084" s="457" t="s">
        <v>994</v>
      </c>
      <c r="E1084" s="16" t="s">
        <v>1034</v>
      </c>
      <c r="F1084" s="45"/>
      <c r="G1084" s="45" t="s">
        <v>1105</v>
      </c>
      <c r="H1084" s="267" t="s">
        <v>366</v>
      </c>
      <c r="I1084" s="234">
        <v>1.08</v>
      </c>
      <c r="J1084" s="241"/>
      <c r="K1084" s="234">
        <v>1.08</v>
      </c>
      <c r="L1084" s="241"/>
      <c r="M1084" s="234">
        <v>1.08</v>
      </c>
      <c r="N1084" s="241"/>
      <c r="O1084" s="234">
        <v>1.1299999999999999</v>
      </c>
      <c r="P1084" s="241"/>
      <c r="Q1084" s="96">
        <f t="shared" si="9241"/>
        <v>0.7</v>
      </c>
      <c r="R1084" s="340">
        <f t="shared" si="9242"/>
        <v>1.08173092</v>
      </c>
      <c r="S1084" s="96"/>
      <c r="T1084" s="96">
        <f t="shared" si="9280"/>
        <v>0</v>
      </c>
      <c r="U1084" s="96"/>
      <c r="V1084" s="96">
        <f t="shared" si="9281"/>
        <v>0</v>
      </c>
      <c r="W1084" s="96"/>
      <c r="X1084" s="96">
        <f t="shared" si="9282"/>
        <v>0</v>
      </c>
      <c r="Y1084" s="96">
        <f t="shared" ref="Y1084" si="9432">SUM(S1084+U1084+W1084)</f>
        <v>0</v>
      </c>
      <c r="Z1084" s="96">
        <f t="shared" si="9382"/>
        <v>0</v>
      </c>
      <c r="AA1084" s="96"/>
      <c r="AB1084" s="96">
        <f t="shared" si="9283"/>
        <v>0</v>
      </c>
      <c r="AC1084" s="96"/>
      <c r="AD1084" s="96">
        <f t="shared" si="9284"/>
        <v>0</v>
      </c>
      <c r="AE1084" s="96"/>
      <c r="AF1084" s="97">
        <f t="shared" si="9285"/>
        <v>0</v>
      </c>
      <c r="AG1084" s="96">
        <f t="shared" si="9430"/>
        <v>0</v>
      </c>
      <c r="AH1084" s="96">
        <f t="shared" si="9287"/>
        <v>0</v>
      </c>
      <c r="AI1084" s="96">
        <f t="shared" si="9246"/>
        <v>0</v>
      </c>
      <c r="AJ1084" s="96">
        <f t="shared" si="9247"/>
        <v>0</v>
      </c>
      <c r="AK1084" s="96"/>
      <c r="AL1084" s="96">
        <f t="shared" si="9248"/>
        <v>0</v>
      </c>
      <c r="AM1084" s="96"/>
      <c r="AN1084" s="96">
        <f t="shared" si="9249"/>
        <v>0</v>
      </c>
      <c r="AO1084" s="96"/>
      <c r="AP1084" s="96">
        <f t="shared" si="9250"/>
        <v>0</v>
      </c>
      <c r="AQ1084" s="96">
        <f t="shared" si="9389"/>
        <v>0</v>
      </c>
      <c r="AR1084" s="96">
        <f t="shared" si="9288"/>
        <v>0</v>
      </c>
      <c r="AS1084" s="96">
        <v>0.5</v>
      </c>
      <c r="AT1084" s="96">
        <f t="shared" si="9251"/>
        <v>0.76721349999999999</v>
      </c>
      <c r="AU1084" s="96">
        <v>0.2</v>
      </c>
      <c r="AV1084" s="96">
        <f t="shared" si="9252"/>
        <v>0.31451741999999994</v>
      </c>
      <c r="AW1084" s="96"/>
      <c r="AX1084" s="96">
        <f t="shared" si="9253"/>
        <v>0</v>
      </c>
      <c r="AY1084" s="96">
        <f t="shared" si="9390"/>
        <v>0.7</v>
      </c>
      <c r="AZ1084" s="96">
        <f t="shared" si="9289"/>
        <v>1.08173092</v>
      </c>
      <c r="BA1084" s="96">
        <f t="shared" si="9255"/>
        <v>0.7</v>
      </c>
      <c r="BB1084" s="96">
        <f t="shared" si="9256"/>
        <v>1.08173092</v>
      </c>
    </row>
    <row r="1085" spans="1:54">
      <c r="A1085" s="498">
        <v>762</v>
      </c>
      <c r="B1085" s="13"/>
      <c r="C1085" s="302"/>
      <c r="D1085" s="438"/>
      <c r="E1085" s="21" t="s">
        <v>1626</v>
      </c>
      <c r="F1085" s="46"/>
      <c r="G1085" s="45" t="s">
        <v>1105</v>
      </c>
      <c r="H1085" s="268" t="s">
        <v>366</v>
      </c>
      <c r="I1085" s="55">
        <v>1.25</v>
      </c>
      <c r="J1085" s="163"/>
      <c r="K1085" s="55">
        <v>1.25</v>
      </c>
      <c r="L1085" s="163"/>
      <c r="M1085" s="55">
        <v>1.25</v>
      </c>
      <c r="N1085" s="163"/>
      <c r="O1085" s="55">
        <v>1.25</v>
      </c>
      <c r="P1085" s="163"/>
      <c r="Q1085" s="97">
        <f t="shared" ref="Q1085" si="9433">SUM(AI1085+BA1085)</f>
        <v>0</v>
      </c>
      <c r="R1085" s="342">
        <f t="shared" ref="R1085" si="9434">SUM(AJ1085+BB1085)</f>
        <v>0</v>
      </c>
      <c r="S1085" s="97"/>
      <c r="T1085" s="97">
        <f t="shared" ref="T1085" si="9435">I1085*S1085*$T$2/1000</f>
        <v>0</v>
      </c>
      <c r="U1085" s="97"/>
      <c r="V1085" s="97">
        <f t="shared" ref="V1085" si="9436">I1085*U1085*$V$2/1000</f>
        <v>0</v>
      </c>
      <c r="W1085" s="97"/>
      <c r="X1085" s="97">
        <f t="shared" ref="X1085" si="9437">I1085*W1085*$X$2/1000</f>
        <v>0</v>
      </c>
      <c r="Y1085" s="97">
        <f>SUM(S1085+U1085+W1085)</f>
        <v>0</v>
      </c>
      <c r="Z1085" s="97">
        <f t="shared" ref="Z1085" si="9438">SUM(T1085+V1085+X1085)</f>
        <v>0</v>
      </c>
      <c r="AA1085" s="97"/>
      <c r="AB1085" s="97">
        <f t="shared" ref="AB1085" si="9439">K1085*AA1085*$AB$2/1000</f>
        <v>0</v>
      </c>
      <c r="AC1085" s="97"/>
      <c r="AD1085" s="97">
        <f t="shared" ref="AD1085" si="9440">K1085*AC1085*$AD$2/1000</f>
        <v>0</v>
      </c>
      <c r="AE1085" s="97"/>
      <c r="AF1085" s="96">
        <f t="shared" ref="AF1085" si="9441">K1085*AE1085*$AF$2/1000</f>
        <v>0</v>
      </c>
      <c r="AG1085" s="97">
        <f>SUM(AA1085+AC1085+AE1085)</f>
        <v>0</v>
      </c>
      <c r="AH1085" s="97">
        <f t="shared" ref="AH1085" si="9442">SUM(AB1085+AD1085+AF1085)</f>
        <v>0</v>
      </c>
      <c r="AI1085" s="97">
        <f t="shared" ref="AI1085" si="9443">SUM(Y1085+AG1085)</f>
        <v>0</v>
      </c>
      <c r="AJ1085" s="97">
        <f t="shared" ref="AJ1085" si="9444">SUM(Z1085,AH1085)</f>
        <v>0</v>
      </c>
      <c r="AK1085" s="97"/>
      <c r="AL1085" s="97">
        <f t="shared" ref="AL1085" si="9445">M1085*AK1085*$AL$2/1000</f>
        <v>0</v>
      </c>
      <c r="AM1085" s="97"/>
      <c r="AN1085" s="97">
        <f t="shared" ref="AN1085" si="9446">M1085*AM1085*$AN$2/1000</f>
        <v>0</v>
      </c>
      <c r="AO1085" s="97"/>
      <c r="AP1085" s="97">
        <f>M1085*AO1085*$AP$2/1000</f>
        <v>0</v>
      </c>
      <c r="AQ1085" s="97">
        <f t="shared" ref="AQ1085" si="9447">SUM(AK1085+AM1085+AO1085)</f>
        <v>0</v>
      </c>
      <c r="AR1085" s="97">
        <f>SUM(AL1085+AN1085+AP1085)</f>
        <v>0</v>
      </c>
      <c r="AS1085" s="97"/>
      <c r="AT1085" s="97">
        <f t="shared" ref="AT1085" si="9448">O1085*AS1085*$AT$2/1000</f>
        <v>0</v>
      </c>
      <c r="AU1085" s="97"/>
      <c r="AV1085" s="97">
        <f t="shared" ref="AV1085" si="9449">O1085*AU1085*$AV$2/1000</f>
        <v>0</v>
      </c>
      <c r="AW1085" s="97"/>
      <c r="AX1085" s="97">
        <f t="shared" ref="AX1085" si="9450">O1085*AW1085*$AX$2/1000</f>
        <v>0</v>
      </c>
      <c r="AY1085" s="97">
        <f>SUM(AS1085+AU1085+AW1085)</f>
        <v>0</v>
      </c>
      <c r="AZ1085" s="97">
        <f>SUM(AT1085+AV1085+AX1085)</f>
        <v>0</v>
      </c>
      <c r="BA1085" s="97">
        <f t="shared" ref="BA1085" si="9451">SUM(AQ1085+AY1085)</f>
        <v>0</v>
      </c>
      <c r="BB1085" s="97">
        <f t="shared" ref="BB1085" si="9452">SUM(AR1085,AZ1085)</f>
        <v>0</v>
      </c>
    </row>
    <row r="1086" spans="1:54">
      <c r="A1086" s="498">
        <v>762</v>
      </c>
      <c r="B1086" s="13"/>
      <c r="C1086" s="302"/>
      <c r="D1086" s="438"/>
      <c r="E1086" s="21" t="s">
        <v>1673</v>
      </c>
      <c r="F1086" s="46"/>
      <c r="G1086" s="45" t="s">
        <v>1105</v>
      </c>
      <c r="H1086" s="268" t="s">
        <v>366</v>
      </c>
      <c r="I1086" s="55">
        <v>1.39</v>
      </c>
      <c r="J1086" s="163"/>
      <c r="K1086" s="55">
        <v>1.39</v>
      </c>
      <c r="L1086" s="163"/>
      <c r="M1086" s="55">
        <v>1.39</v>
      </c>
      <c r="N1086" s="163"/>
      <c r="O1086" s="55">
        <v>1.39</v>
      </c>
      <c r="P1086" s="163"/>
      <c r="Q1086" s="97">
        <f t="shared" si="9241"/>
        <v>0.16</v>
      </c>
      <c r="R1086" s="342">
        <f t="shared" si="9242"/>
        <v>0.30950740799999998</v>
      </c>
      <c r="S1086" s="97"/>
      <c r="T1086" s="97">
        <f t="shared" si="9280"/>
        <v>0</v>
      </c>
      <c r="U1086" s="97"/>
      <c r="V1086" s="97">
        <f t="shared" si="9281"/>
        <v>0</v>
      </c>
      <c r="W1086" s="97"/>
      <c r="X1086" s="97">
        <f t="shared" si="9282"/>
        <v>0</v>
      </c>
      <c r="Y1086" s="97">
        <f>SUM(S1086+U1086+W1086)</f>
        <v>0</v>
      </c>
      <c r="Z1086" s="97">
        <f t="shared" si="9382"/>
        <v>0</v>
      </c>
      <c r="AA1086" s="97"/>
      <c r="AB1086" s="97">
        <f t="shared" si="9283"/>
        <v>0</v>
      </c>
      <c r="AC1086" s="97"/>
      <c r="AD1086" s="97">
        <f t="shared" si="9284"/>
        <v>0</v>
      </c>
      <c r="AE1086" s="97"/>
      <c r="AF1086" s="96">
        <f t="shared" si="9285"/>
        <v>0</v>
      </c>
      <c r="AG1086" s="97">
        <f>SUM(AA1086+AC1086+AE1086)</f>
        <v>0</v>
      </c>
      <c r="AH1086" s="97">
        <f t="shared" si="9287"/>
        <v>0</v>
      </c>
      <c r="AI1086" s="97">
        <f t="shared" si="9246"/>
        <v>0</v>
      </c>
      <c r="AJ1086" s="97">
        <f t="shared" si="9247"/>
        <v>0</v>
      </c>
      <c r="AK1086" s="97"/>
      <c r="AL1086" s="97">
        <f t="shared" si="9248"/>
        <v>0</v>
      </c>
      <c r="AM1086" s="97"/>
      <c r="AN1086" s="97">
        <f t="shared" si="9249"/>
        <v>0</v>
      </c>
      <c r="AO1086" s="97"/>
      <c r="AP1086" s="97">
        <f>M1086*AO1086*$AP$2/1000</f>
        <v>0</v>
      </c>
      <c r="AQ1086" s="97">
        <f t="shared" si="9389"/>
        <v>0</v>
      </c>
      <c r="AR1086" s="97">
        <f>SUM(AL1086+AN1086+AP1086)</f>
        <v>0</v>
      </c>
      <c r="AS1086" s="97"/>
      <c r="AT1086" s="97">
        <f t="shared" si="9251"/>
        <v>0</v>
      </c>
      <c r="AU1086" s="97">
        <v>0.16</v>
      </c>
      <c r="AV1086" s="97">
        <f t="shared" si="9252"/>
        <v>0.30950740799999998</v>
      </c>
      <c r="AW1086" s="97"/>
      <c r="AX1086" s="97">
        <f t="shared" si="9253"/>
        <v>0</v>
      </c>
      <c r="AY1086" s="97">
        <f t="shared" si="9390"/>
        <v>0.16</v>
      </c>
      <c r="AZ1086" s="97">
        <f>SUM(AT1086+AV1086+AX1086)</f>
        <v>0.30950740799999998</v>
      </c>
      <c r="BA1086" s="97">
        <f t="shared" si="9255"/>
        <v>0.16</v>
      </c>
      <c r="BB1086" s="97">
        <f t="shared" si="9256"/>
        <v>0.30950740799999998</v>
      </c>
    </row>
    <row r="1087" spans="1:54" s="6" customFormat="1">
      <c r="A1087" s="498">
        <v>763</v>
      </c>
      <c r="B1087" s="14"/>
      <c r="C1087" s="40"/>
      <c r="D1087" s="14"/>
      <c r="E1087" s="16" t="s">
        <v>980</v>
      </c>
      <c r="F1087" s="45"/>
      <c r="G1087" s="45" t="s">
        <v>1105</v>
      </c>
      <c r="H1087" s="267" t="s">
        <v>446</v>
      </c>
      <c r="I1087" s="234">
        <v>1.08</v>
      </c>
      <c r="J1087" s="241"/>
      <c r="K1087" s="234">
        <v>1.08</v>
      </c>
      <c r="L1087" s="241"/>
      <c r="M1087" s="234">
        <v>1.08</v>
      </c>
      <c r="N1087" s="241"/>
      <c r="O1087" s="234">
        <v>1.1299999999999999</v>
      </c>
      <c r="P1087" s="241"/>
      <c r="Q1087" s="96">
        <f t="shared" si="9241"/>
        <v>1.3</v>
      </c>
      <c r="R1087" s="340">
        <f t="shared" si="9242"/>
        <v>2.0346599199999997</v>
      </c>
      <c r="S1087" s="96"/>
      <c r="T1087" s="96">
        <f t="shared" si="9280"/>
        <v>0</v>
      </c>
      <c r="U1087" s="96"/>
      <c r="V1087" s="96">
        <f t="shared" si="9281"/>
        <v>0</v>
      </c>
      <c r="W1087" s="96"/>
      <c r="X1087" s="96">
        <f t="shared" si="9282"/>
        <v>0</v>
      </c>
      <c r="Y1087" s="96">
        <f t="shared" ref="Y1087" si="9453">SUM(S1087+U1087+W1087)</f>
        <v>0</v>
      </c>
      <c r="Z1087" s="96">
        <f t="shared" si="9382"/>
        <v>0</v>
      </c>
      <c r="AA1087" s="96"/>
      <c r="AB1087" s="96">
        <f t="shared" si="9283"/>
        <v>0</v>
      </c>
      <c r="AC1087" s="96"/>
      <c r="AD1087" s="96">
        <f t="shared" si="9284"/>
        <v>0</v>
      </c>
      <c r="AE1087" s="96"/>
      <c r="AF1087" s="97">
        <f t="shared" si="9285"/>
        <v>0</v>
      </c>
      <c r="AG1087" s="96">
        <f t="shared" ref="AG1087" si="9454">SUM(AA1087+AC1087+AE1087)</f>
        <v>0</v>
      </c>
      <c r="AH1087" s="96">
        <f t="shared" si="9287"/>
        <v>0</v>
      </c>
      <c r="AI1087" s="96">
        <f t="shared" si="9246"/>
        <v>0</v>
      </c>
      <c r="AJ1087" s="96">
        <f t="shared" si="9247"/>
        <v>0</v>
      </c>
      <c r="AK1087" s="96"/>
      <c r="AL1087" s="96">
        <f t="shared" si="9248"/>
        <v>0</v>
      </c>
      <c r="AM1087" s="96"/>
      <c r="AN1087" s="96">
        <f t="shared" si="9249"/>
        <v>0</v>
      </c>
      <c r="AO1087" s="96"/>
      <c r="AP1087" s="96">
        <f t="shared" ref="AP1087" si="9455">M1087*AO1087*$AP$2/1000</f>
        <v>0</v>
      </c>
      <c r="AQ1087" s="96">
        <f>SUM(AK1087+AM1087+AO1087)</f>
        <v>0</v>
      </c>
      <c r="AR1087" s="96">
        <f t="shared" ref="AR1087" si="9456">SUM(AL1087+AN1087+AP1087)</f>
        <v>0</v>
      </c>
      <c r="AS1087" s="96">
        <v>0.5</v>
      </c>
      <c r="AT1087" s="96">
        <f t="shared" si="9251"/>
        <v>0.76721349999999999</v>
      </c>
      <c r="AU1087" s="96">
        <v>0.5</v>
      </c>
      <c r="AV1087" s="96">
        <f t="shared" si="9252"/>
        <v>0.78629355000000001</v>
      </c>
      <c r="AW1087" s="96">
        <v>0.3</v>
      </c>
      <c r="AX1087" s="96">
        <f t="shared" si="9253"/>
        <v>0.48115286999999995</v>
      </c>
      <c r="AY1087" s="96">
        <f>SUM(AS1087+AU1087+AW1087)</f>
        <v>1.3</v>
      </c>
      <c r="AZ1087" s="96">
        <f t="shared" ref="AZ1087" si="9457">SUM(AT1087+AV1087+AX1087)</f>
        <v>2.0346599199999997</v>
      </c>
      <c r="BA1087" s="96">
        <f t="shared" si="9255"/>
        <v>1.3</v>
      </c>
      <c r="BB1087" s="96">
        <f t="shared" si="9256"/>
        <v>2.0346599199999997</v>
      </c>
    </row>
    <row r="1088" spans="1:54">
      <c r="A1088" s="498">
        <v>762</v>
      </c>
      <c r="B1088" s="13"/>
      <c r="C1088" s="302"/>
      <c r="D1088" s="438"/>
      <c r="E1088" s="21" t="s">
        <v>1627</v>
      </c>
      <c r="F1088" s="46"/>
      <c r="G1088" s="45" t="s">
        <v>1105</v>
      </c>
      <c r="H1088" s="268" t="s">
        <v>366</v>
      </c>
      <c r="I1088" s="55">
        <v>1.25</v>
      </c>
      <c r="J1088" s="163"/>
      <c r="K1088" s="55">
        <v>1.25</v>
      </c>
      <c r="L1088" s="163"/>
      <c r="M1088" s="55">
        <v>1.25</v>
      </c>
      <c r="N1088" s="163"/>
      <c r="O1088" s="55">
        <v>1.25</v>
      </c>
      <c r="P1088" s="163"/>
      <c r="Q1088" s="97">
        <f t="shared" ref="Q1088" si="9458">SUM(AI1088+BA1088)</f>
        <v>0</v>
      </c>
      <c r="R1088" s="342">
        <f t="shared" ref="R1088" si="9459">SUM(AJ1088+BB1088)</f>
        <v>0</v>
      </c>
      <c r="S1088" s="97"/>
      <c r="T1088" s="97">
        <f t="shared" ref="T1088" si="9460">I1088*S1088*$T$2/1000</f>
        <v>0</v>
      </c>
      <c r="U1088" s="97"/>
      <c r="V1088" s="97">
        <f t="shared" ref="V1088" si="9461">I1088*U1088*$V$2/1000</f>
        <v>0</v>
      </c>
      <c r="W1088" s="97"/>
      <c r="X1088" s="97">
        <f t="shared" ref="X1088" si="9462">I1088*W1088*$X$2/1000</f>
        <v>0</v>
      </c>
      <c r="Y1088" s="97">
        <f>SUM(S1088+U1088+W1088)</f>
        <v>0</v>
      </c>
      <c r="Z1088" s="97">
        <f t="shared" ref="Z1088" si="9463">SUM(T1088+V1088+X1088)</f>
        <v>0</v>
      </c>
      <c r="AA1088" s="97"/>
      <c r="AB1088" s="97">
        <f t="shared" ref="AB1088" si="9464">K1088*AA1088*$AB$2/1000</f>
        <v>0</v>
      </c>
      <c r="AC1088" s="97"/>
      <c r="AD1088" s="97">
        <f t="shared" ref="AD1088" si="9465">K1088*AC1088*$AD$2/1000</f>
        <v>0</v>
      </c>
      <c r="AE1088" s="97"/>
      <c r="AF1088" s="96">
        <f t="shared" ref="AF1088" si="9466">K1088*AE1088*$AF$2/1000</f>
        <v>0</v>
      </c>
      <c r="AG1088" s="97">
        <f>SUM(AA1088+AC1088+AE1088)</f>
        <v>0</v>
      </c>
      <c r="AH1088" s="97">
        <f t="shared" ref="AH1088" si="9467">SUM(AB1088+AD1088+AF1088)</f>
        <v>0</v>
      </c>
      <c r="AI1088" s="97">
        <f t="shared" ref="AI1088" si="9468">SUM(Y1088+AG1088)</f>
        <v>0</v>
      </c>
      <c r="AJ1088" s="97">
        <f t="shared" ref="AJ1088" si="9469">SUM(Z1088,AH1088)</f>
        <v>0</v>
      </c>
      <c r="AK1088" s="97"/>
      <c r="AL1088" s="97">
        <f t="shared" ref="AL1088" si="9470">M1088*AK1088*$AL$2/1000</f>
        <v>0</v>
      </c>
      <c r="AM1088" s="97"/>
      <c r="AN1088" s="97">
        <f t="shared" ref="AN1088" si="9471">M1088*AM1088*$AN$2/1000</f>
        <v>0</v>
      </c>
      <c r="AO1088" s="97"/>
      <c r="AP1088" s="97">
        <f>M1088*AO1088*$AP$2/1000</f>
        <v>0</v>
      </c>
      <c r="AQ1088" s="97">
        <f t="shared" ref="AQ1088" si="9472">SUM(AK1088+AM1088+AO1088)</f>
        <v>0</v>
      </c>
      <c r="AR1088" s="97">
        <f>SUM(AL1088+AN1088+AP1088)</f>
        <v>0</v>
      </c>
      <c r="AS1088" s="97"/>
      <c r="AT1088" s="97">
        <f t="shared" ref="AT1088" si="9473">O1088*AS1088*$AT$2/1000</f>
        <v>0</v>
      </c>
      <c r="AU1088" s="97"/>
      <c r="AV1088" s="97">
        <f t="shared" ref="AV1088" si="9474">O1088*AU1088*$AV$2/1000</f>
        <v>0</v>
      </c>
      <c r="AW1088" s="97"/>
      <c r="AX1088" s="97">
        <f t="shared" ref="AX1088" si="9475">O1088*AW1088*$AX$2/1000</f>
        <v>0</v>
      </c>
      <c r="AY1088" s="97">
        <f t="shared" ref="AY1088" si="9476">SUM(AS1088+AU1088+AW1088)</f>
        <v>0</v>
      </c>
      <c r="AZ1088" s="97">
        <f>SUM(AT1088+AV1088+AX1088)</f>
        <v>0</v>
      </c>
      <c r="BA1088" s="97">
        <f t="shared" ref="BA1088" si="9477">SUM(AQ1088+AY1088)</f>
        <v>0</v>
      </c>
      <c r="BB1088" s="97">
        <f t="shared" ref="BB1088" si="9478">SUM(AR1088,AZ1088)</f>
        <v>0</v>
      </c>
    </row>
    <row r="1089" spans="1:54" s="6" customFormat="1">
      <c r="A1089" s="498">
        <v>763</v>
      </c>
      <c r="B1089" s="14"/>
      <c r="C1089" s="40"/>
      <c r="D1089" s="14"/>
      <c r="E1089" s="16" t="s">
        <v>1534</v>
      </c>
      <c r="F1089" s="45"/>
      <c r="G1089" s="45" t="s">
        <v>1105</v>
      </c>
      <c r="H1089" s="267" t="s">
        <v>446</v>
      </c>
      <c r="I1089" s="234">
        <v>1.39</v>
      </c>
      <c r="J1089" s="241"/>
      <c r="K1089" s="234">
        <v>1.39</v>
      </c>
      <c r="L1089" s="241"/>
      <c r="M1089" s="234">
        <v>1.39</v>
      </c>
      <c r="N1089" s="241"/>
      <c r="O1089" s="234">
        <v>1.39</v>
      </c>
      <c r="P1089" s="241"/>
      <c r="Q1089" s="96">
        <f t="shared" ref="Q1089" si="9479">SUM(AI1089+BA1089)</f>
        <v>0</v>
      </c>
      <c r="R1089" s="340">
        <f t="shared" ref="R1089" si="9480">SUM(AJ1089+BB1089)</f>
        <v>0</v>
      </c>
      <c r="S1089" s="96"/>
      <c r="T1089" s="96">
        <f t="shared" ref="T1089" si="9481">I1089*S1089*$T$2/1000</f>
        <v>0</v>
      </c>
      <c r="U1089" s="96"/>
      <c r="V1089" s="96">
        <f t="shared" ref="V1089" si="9482">I1089*U1089*$V$2/1000</f>
        <v>0</v>
      </c>
      <c r="W1089" s="96"/>
      <c r="X1089" s="96">
        <f t="shared" ref="X1089" si="9483">I1089*W1089*$X$2/1000</f>
        <v>0</v>
      </c>
      <c r="Y1089" s="96">
        <f t="shared" ref="Y1089" si="9484">SUM(S1089+U1089+W1089)</f>
        <v>0</v>
      </c>
      <c r="Z1089" s="96">
        <f t="shared" ref="Z1089" si="9485">SUM(T1089+V1089+X1089)</f>
        <v>0</v>
      </c>
      <c r="AA1089" s="96"/>
      <c r="AB1089" s="96">
        <f t="shared" ref="AB1089" si="9486">K1089*AA1089*$AB$2/1000</f>
        <v>0</v>
      </c>
      <c r="AC1089" s="96"/>
      <c r="AD1089" s="96">
        <f t="shared" ref="AD1089" si="9487">K1089*AC1089*$AD$2/1000</f>
        <v>0</v>
      </c>
      <c r="AE1089" s="96"/>
      <c r="AF1089" s="97">
        <f t="shared" ref="AF1089" si="9488">K1089*AE1089*$AF$2/1000</f>
        <v>0</v>
      </c>
      <c r="AG1089" s="96">
        <f t="shared" ref="AG1089:AG1094" si="9489">SUM(AA1089+AC1089+AE1089)</f>
        <v>0</v>
      </c>
      <c r="AH1089" s="96">
        <f t="shared" ref="AH1089" si="9490">SUM(AB1089+AD1089+AF1089)</f>
        <v>0</v>
      </c>
      <c r="AI1089" s="96">
        <f t="shared" ref="AI1089" si="9491">SUM(Y1089+AG1089)</f>
        <v>0</v>
      </c>
      <c r="AJ1089" s="96">
        <f t="shared" ref="AJ1089" si="9492">SUM(Z1089,AH1089)</f>
        <v>0</v>
      </c>
      <c r="AK1089" s="96"/>
      <c r="AL1089" s="96">
        <f t="shared" ref="AL1089" si="9493">M1089*AK1089*$AL$2/1000</f>
        <v>0</v>
      </c>
      <c r="AM1089" s="96"/>
      <c r="AN1089" s="96">
        <f t="shared" ref="AN1089" si="9494">M1089*AM1089*$AN$2/1000</f>
        <v>0</v>
      </c>
      <c r="AO1089" s="96"/>
      <c r="AP1089" s="96">
        <f t="shared" ref="AP1089" si="9495">M1089*AO1089*$AP$2/1000</f>
        <v>0</v>
      </c>
      <c r="AQ1089" s="96">
        <f>SUM(AK1089+AM1089+AO1089)</f>
        <v>0</v>
      </c>
      <c r="AR1089" s="96">
        <f t="shared" ref="AR1089" si="9496">SUM(AL1089+AN1089+AP1089)</f>
        <v>0</v>
      </c>
      <c r="AS1089" s="96"/>
      <c r="AT1089" s="96">
        <f t="shared" ref="AT1089" si="9497">O1089*AS1089*$AT$2/1000</f>
        <v>0</v>
      </c>
      <c r="AU1089" s="96"/>
      <c r="AV1089" s="96">
        <f t="shared" ref="AV1089" si="9498">O1089*AU1089*$AV$2/1000</f>
        <v>0</v>
      </c>
      <c r="AW1089" s="96"/>
      <c r="AX1089" s="96">
        <f t="shared" ref="AX1089" si="9499">O1089*AW1089*$AX$2/1000</f>
        <v>0</v>
      </c>
      <c r="AY1089" s="96">
        <f>SUM(AS1089+AU1089+AW1089)</f>
        <v>0</v>
      </c>
      <c r="AZ1089" s="96">
        <f t="shared" ref="AZ1089" si="9500">SUM(AT1089+AV1089+AX1089)</f>
        <v>0</v>
      </c>
      <c r="BA1089" s="96">
        <f t="shared" ref="BA1089" si="9501">SUM(AQ1089+AY1089)</f>
        <v>0</v>
      </c>
      <c r="BB1089" s="96">
        <f t="shared" ref="BB1089" si="9502">SUM(AR1089,AZ1089)</f>
        <v>0</v>
      </c>
    </row>
    <row r="1090" spans="1:54" s="6" customFormat="1">
      <c r="A1090" s="498">
        <v>763</v>
      </c>
      <c r="B1090" s="14"/>
      <c r="C1090" s="40"/>
      <c r="D1090" s="14"/>
      <c r="E1090" s="16" t="s">
        <v>1485</v>
      </c>
      <c r="F1090" s="45"/>
      <c r="G1090" s="45" t="s">
        <v>1105</v>
      </c>
      <c r="H1090" s="267" t="s">
        <v>446</v>
      </c>
      <c r="I1090" s="234">
        <v>1.39</v>
      </c>
      <c r="J1090" s="241"/>
      <c r="K1090" s="234">
        <v>1.39</v>
      </c>
      <c r="L1090" s="241"/>
      <c r="M1090" s="234">
        <v>1.39</v>
      </c>
      <c r="N1090" s="241"/>
      <c r="O1090" s="234">
        <v>1.39</v>
      </c>
      <c r="P1090" s="241"/>
      <c r="Q1090" s="96">
        <f t="shared" si="9241"/>
        <v>0</v>
      </c>
      <c r="R1090" s="340">
        <f t="shared" si="9242"/>
        <v>0</v>
      </c>
      <c r="S1090" s="96"/>
      <c r="T1090" s="96">
        <f t="shared" si="9280"/>
        <v>0</v>
      </c>
      <c r="U1090" s="96"/>
      <c r="V1090" s="96">
        <f t="shared" si="9281"/>
        <v>0</v>
      </c>
      <c r="W1090" s="96"/>
      <c r="X1090" s="96">
        <f t="shared" si="9282"/>
        <v>0</v>
      </c>
      <c r="Y1090" s="96">
        <f>SUM(S1090+U1090+W1090)</f>
        <v>0</v>
      </c>
      <c r="Z1090" s="96">
        <f t="shared" si="9382"/>
        <v>0</v>
      </c>
      <c r="AA1090" s="96"/>
      <c r="AB1090" s="96">
        <f t="shared" si="9283"/>
        <v>0</v>
      </c>
      <c r="AC1090" s="96"/>
      <c r="AD1090" s="96">
        <f t="shared" si="9284"/>
        <v>0</v>
      </c>
      <c r="AE1090" s="96"/>
      <c r="AF1090" s="97">
        <f t="shared" si="9285"/>
        <v>0</v>
      </c>
      <c r="AG1090" s="96">
        <f t="shared" si="9489"/>
        <v>0</v>
      </c>
      <c r="AH1090" s="96">
        <f t="shared" si="9287"/>
        <v>0</v>
      </c>
      <c r="AI1090" s="96">
        <f t="shared" si="9246"/>
        <v>0</v>
      </c>
      <c r="AJ1090" s="96">
        <f t="shared" si="9247"/>
        <v>0</v>
      </c>
      <c r="AK1090" s="96"/>
      <c r="AL1090" s="96">
        <f t="shared" si="9248"/>
        <v>0</v>
      </c>
      <c r="AM1090" s="96"/>
      <c r="AN1090" s="96">
        <f t="shared" si="9249"/>
        <v>0</v>
      </c>
      <c r="AO1090" s="96"/>
      <c r="AP1090" s="96">
        <f t="shared" si="9250"/>
        <v>0</v>
      </c>
      <c r="AQ1090" s="96">
        <f t="shared" si="9389"/>
        <v>0</v>
      </c>
      <c r="AR1090" s="96">
        <f t="shared" si="9288"/>
        <v>0</v>
      </c>
      <c r="AS1090" s="96"/>
      <c r="AT1090" s="96">
        <f t="shared" si="9251"/>
        <v>0</v>
      </c>
      <c r="AU1090" s="96"/>
      <c r="AV1090" s="96">
        <f t="shared" si="9252"/>
        <v>0</v>
      </c>
      <c r="AW1090" s="96"/>
      <c r="AX1090" s="96">
        <f t="shared" si="9253"/>
        <v>0</v>
      </c>
      <c r="AY1090" s="96">
        <f t="shared" si="9390"/>
        <v>0</v>
      </c>
      <c r="AZ1090" s="96">
        <f t="shared" si="9289"/>
        <v>0</v>
      </c>
      <c r="BA1090" s="96">
        <f t="shared" si="9255"/>
        <v>0</v>
      </c>
      <c r="BB1090" s="96">
        <f t="shared" si="9256"/>
        <v>0</v>
      </c>
    </row>
    <row r="1091" spans="1:54" s="6" customFormat="1">
      <c r="A1091" s="498">
        <v>763</v>
      </c>
      <c r="B1091" s="14"/>
      <c r="C1091" s="40"/>
      <c r="D1091" s="14"/>
      <c r="E1091" s="16" t="s">
        <v>1560</v>
      </c>
      <c r="F1091" s="45"/>
      <c r="G1091" s="45" t="s">
        <v>1105</v>
      </c>
      <c r="H1091" s="267" t="s">
        <v>446</v>
      </c>
      <c r="I1091" s="234">
        <v>1.65</v>
      </c>
      <c r="J1091" s="241"/>
      <c r="K1091" s="234">
        <v>1.65</v>
      </c>
      <c r="L1091" s="241"/>
      <c r="M1091" s="234">
        <v>1.65</v>
      </c>
      <c r="N1091" s="241"/>
      <c r="O1091" s="234">
        <v>1.65</v>
      </c>
      <c r="P1091" s="241"/>
      <c r="Q1091" s="96">
        <f t="shared" ref="Q1091" si="9503">SUM(AI1091+BA1091)</f>
        <v>0</v>
      </c>
      <c r="R1091" s="340">
        <f t="shared" ref="R1091" si="9504">SUM(AJ1091+BB1091)</f>
        <v>0</v>
      </c>
      <c r="S1091" s="96"/>
      <c r="T1091" s="96">
        <f t="shared" ref="T1091" si="9505">I1091*S1091*$T$2/1000</f>
        <v>0</v>
      </c>
      <c r="U1091" s="96"/>
      <c r="V1091" s="96">
        <f t="shared" ref="V1091" si="9506">I1091*U1091*$V$2/1000</f>
        <v>0</v>
      </c>
      <c r="W1091" s="96"/>
      <c r="X1091" s="96">
        <f t="shared" ref="X1091" si="9507">I1091*W1091*$X$2/1000</f>
        <v>0</v>
      </c>
      <c r="Y1091" s="96">
        <f t="shared" ref="Y1091" si="9508">SUM(S1091+U1091+W1091)</f>
        <v>0</v>
      </c>
      <c r="Z1091" s="96">
        <f t="shared" ref="Z1091" si="9509">SUM(T1091+V1091+X1091)</f>
        <v>0</v>
      </c>
      <c r="AA1091" s="96"/>
      <c r="AB1091" s="96">
        <f t="shared" ref="AB1091" si="9510">K1091*AA1091*$AB$2/1000</f>
        <v>0</v>
      </c>
      <c r="AC1091" s="96"/>
      <c r="AD1091" s="96">
        <f t="shared" ref="AD1091" si="9511">K1091*AC1091*$AD$2/1000</f>
        <v>0</v>
      </c>
      <c r="AE1091" s="96"/>
      <c r="AF1091" s="97">
        <f t="shared" ref="AF1091" si="9512">K1091*AE1091*$AF$2/1000</f>
        <v>0</v>
      </c>
      <c r="AG1091" s="96">
        <f t="shared" si="9489"/>
        <v>0</v>
      </c>
      <c r="AH1091" s="96">
        <f>SUM(AB1091+AD1091+AF1091)</f>
        <v>0</v>
      </c>
      <c r="AI1091" s="96">
        <f t="shared" ref="AI1091" si="9513">SUM(Y1091+AG1091)</f>
        <v>0</v>
      </c>
      <c r="AJ1091" s="96">
        <f t="shared" ref="AJ1091" si="9514">SUM(Z1091,AH1091)</f>
        <v>0</v>
      </c>
      <c r="AK1091" s="96"/>
      <c r="AL1091" s="96">
        <f t="shared" ref="AL1091" si="9515">M1091*AK1091*$AL$2/1000</f>
        <v>0</v>
      </c>
      <c r="AM1091" s="96"/>
      <c r="AN1091" s="96">
        <f t="shared" ref="AN1091" si="9516">M1091*AM1091*$AN$2/1000</f>
        <v>0</v>
      </c>
      <c r="AO1091" s="96"/>
      <c r="AP1091" s="96">
        <f t="shared" si="9250"/>
        <v>0</v>
      </c>
      <c r="AQ1091" s="96">
        <f>SUM(AK1091+AM1091+AO1091)</f>
        <v>0</v>
      </c>
      <c r="AR1091" s="96">
        <f t="shared" si="9288"/>
        <v>0</v>
      </c>
      <c r="AS1091" s="96"/>
      <c r="AT1091" s="96">
        <f t="shared" ref="AT1091" si="9517">O1091*AS1091*$AT$2/1000</f>
        <v>0</v>
      </c>
      <c r="AU1091" s="96"/>
      <c r="AV1091" s="96">
        <f t="shared" ref="AV1091" si="9518">O1091*AU1091*$AV$2/1000</f>
        <v>0</v>
      </c>
      <c r="AW1091" s="96"/>
      <c r="AX1091" s="96">
        <f t="shared" ref="AX1091" si="9519">O1091*AW1091*$AX$2/1000</f>
        <v>0</v>
      </c>
      <c r="AY1091" s="96">
        <f>SUM(AS1091+AU1091+AW1091)</f>
        <v>0</v>
      </c>
      <c r="AZ1091" s="96">
        <f t="shared" si="9289"/>
        <v>0</v>
      </c>
      <c r="BA1091" s="96">
        <f t="shared" ref="BA1091" si="9520">SUM(AQ1091+AY1091)</f>
        <v>0</v>
      </c>
      <c r="BB1091" s="96">
        <f t="shared" ref="BB1091" si="9521">SUM(AR1091,AZ1091)</f>
        <v>0</v>
      </c>
    </row>
    <row r="1092" spans="1:54" s="6" customFormat="1">
      <c r="A1092" s="498">
        <v>763</v>
      </c>
      <c r="B1092" s="14"/>
      <c r="C1092" s="40"/>
      <c r="D1092" s="290"/>
      <c r="E1092" s="69" t="s">
        <v>1486</v>
      </c>
      <c r="F1092" s="513"/>
      <c r="G1092" s="512" t="s">
        <v>1105</v>
      </c>
      <c r="H1092" s="450" t="s">
        <v>446</v>
      </c>
      <c r="I1092" s="437">
        <v>1.63</v>
      </c>
      <c r="J1092" s="500"/>
      <c r="K1092" s="437">
        <v>1.63</v>
      </c>
      <c r="L1092" s="500"/>
      <c r="M1092" s="437">
        <v>1.63</v>
      </c>
      <c r="N1092" s="500"/>
      <c r="O1092" s="437">
        <v>1.63</v>
      </c>
      <c r="P1092" s="500"/>
      <c r="Q1092" s="411">
        <f t="shared" ref="Q1092" si="9522">SUM(AI1092+BA1092)</f>
        <v>0</v>
      </c>
      <c r="R1092" s="470">
        <f t="shared" ref="R1092" si="9523">SUM(AJ1092+BB1092)</f>
        <v>0</v>
      </c>
      <c r="S1092" s="411"/>
      <c r="T1092" s="411">
        <f t="shared" ref="T1092" si="9524">I1092*S1092*$T$2/1000</f>
        <v>0</v>
      </c>
      <c r="U1092" s="411"/>
      <c r="V1092" s="411">
        <f t="shared" ref="V1092" si="9525">I1092*U1092*$V$2/1000</f>
        <v>0</v>
      </c>
      <c r="W1092" s="411"/>
      <c r="X1092" s="411">
        <f t="shared" ref="X1092" si="9526">I1092*W1092*$X$2/1000</f>
        <v>0</v>
      </c>
      <c r="Y1092" s="411">
        <f t="shared" ref="Y1092" si="9527">SUM(S1092+U1092+W1092)</f>
        <v>0</v>
      </c>
      <c r="Z1092" s="411">
        <f t="shared" ref="Z1092" si="9528">SUM(T1092+V1092+X1092)</f>
        <v>0</v>
      </c>
      <c r="AA1092" s="411"/>
      <c r="AB1092" s="411">
        <f t="shared" ref="AB1092" si="9529">K1092*AA1092*$AB$2/1000</f>
        <v>0</v>
      </c>
      <c r="AC1092" s="411"/>
      <c r="AD1092" s="411">
        <f t="shared" ref="AD1092" si="9530">K1092*AC1092*$AD$2/1000</f>
        <v>0</v>
      </c>
      <c r="AE1092" s="411"/>
      <c r="AF1092" s="134">
        <f t="shared" ref="AF1092" si="9531">K1092*AE1092*$AF$2/1000</f>
        <v>0</v>
      </c>
      <c r="AG1092" s="411">
        <f t="shared" si="9489"/>
        <v>0</v>
      </c>
      <c r="AH1092" s="411">
        <f t="shared" ref="AH1092" si="9532">SUM(AB1092+AD1092+AF1092)</f>
        <v>0</v>
      </c>
      <c r="AI1092" s="411">
        <f t="shared" ref="AI1092" si="9533">SUM(Y1092+AG1092)</f>
        <v>0</v>
      </c>
      <c r="AJ1092" s="411">
        <f t="shared" ref="AJ1092" si="9534">SUM(Z1092,AH1092)</f>
        <v>0</v>
      </c>
      <c r="AK1092" s="411"/>
      <c r="AL1092" s="411">
        <f t="shared" ref="AL1092" si="9535">M1092*AK1092*$AL$2/1000</f>
        <v>0</v>
      </c>
      <c r="AM1092" s="411"/>
      <c r="AN1092" s="411">
        <f t="shared" ref="AN1092" si="9536">M1092*AM1092*$AN$2/1000</f>
        <v>0</v>
      </c>
      <c r="AO1092" s="411"/>
      <c r="AP1092" s="411">
        <f t="shared" ref="AP1092" si="9537">M1092*AO1092*$AP$2/1000</f>
        <v>0</v>
      </c>
      <c r="AQ1092" s="411">
        <f>SUM(AK1092+AM1092+AO1092)</f>
        <v>0</v>
      </c>
      <c r="AR1092" s="411">
        <f t="shared" ref="AR1092" si="9538">SUM(AL1092+AN1092+AP1092)</f>
        <v>0</v>
      </c>
      <c r="AS1092" s="411"/>
      <c r="AT1092" s="411">
        <f t="shared" ref="AT1092" si="9539">O1092*AS1092*$AT$2/1000</f>
        <v>0</v>
      </c>
      <c r="AU1092" s="411"/>
      <c r="AV1092" s="411">
        <f t="shared" ref="AV1092" si="9540">O1092*AU1092*$AV$2/1000</f>
        <v>0</v>
      </c>
      <c r="AW1092" s="411"/>
      <c r="AX1092" s="411">
        <f t="shared" ref="AX1092" si="9541">O1092*AW1092*$AX$2/1000</f>
        <v>0</v>
      </c>
      <c r="AY1092" s="411">
        <f>SUM(AS1092+AU1092+AW1092)</f>
        <v>0</v>
      </c>
      <c r="AZ1092" s="411">
        <f t="shared" ref="AZ1092" si="9542">SUM(AT1092+AV1092+AX1092)</f>
        <v>0</v>
      </c>
      <c r="BA1092" s="411">
        <f t="shared" ref="BA1092" si="9543">SUM(AQ1092+AY1092)</f>
        <v>0</v>
      </c>
      <c r="BB1092" s="411">
        <f t="shared" ref="BB1092" si="9544">SUM(AR1092,AZ1092)</f>
        <v>0</v>
      </c>
    </row>
    <row r="1093" spans="1:54">
      <c r="A1093" s="498">
        <v>764</v>
      </c>
      <c r="B1093" s="13"/>
      <c r="C1093" s="305" t="s">
        <v>929</v>
      </c>
      <c r="D1093" s="438" t="s">
        <v>932</v>
      </c>
      <c r="E1093" s="31" t="s">
        <v>1444</v>
      </c>
      <c r="F1093" s="314"/>
      <c r="G1093" s="314" t="s">
        <v>1105</v>
      </c>
      <c r="H1093" s="274" t="s">
        <v>367</v>
      </c>
      <c r="I1093" s="62">
        <v>7.93</v>
      </c>
      <c r="J1093" s="164"/>
      <c r="K1093" s="62">
        <v>7.93</v>
      </c>
      <c r="L1093" s="164"/>
      <c r="M1093" s="62">
        <v>7.93</v>
      </c>
      <c r="N1093" s="164"/>
      <c r="O1093" s="62">
        <v>7.93</v>
      </c>
      <c r="P1093" s="164"/>
      <c r="Q1093" s="122">
        <f t="shared" si="8900"/>
        <v>0</v>
      </c>
      <c r="R1093" s="346">
        <f t="shared" si="8901"/>
        <v>0</v>
      </c>
      <c r="S1093" s="122"/>
      <c r="T1093" s="122">
        <f t="shared" si="8902"/>
        <v>0</v>
      </c>
      <c r="U1093" s="122"/>
      <c r="V1093" s="122">
        <f t="shared" si="8903"/>
        <v>0</v>
      </c>
      <c r="W1093" s="122"/>
      <c r="X1093" s="122">
        <f t="shared" si="8904"/>
        <v>0</v>
      </c>
      <c r="Y1093" s="122">
        <f>SUM(S1093+U1093+W1093)</f>
        <v>0</v>
      </c>
      <c r="Z1093" s="122">
        <f>SUM(T1093+V1093+X1093)</f>
        <v>0</v>
      </c>
      <c r="AA1093" s="122"/>
      <c r="AB1093" s="122">
        <f t="shared" ref="AB1093:AB1110" si="9545">K1093*AA1093*$AB$2/1000</f>
        <v>0</v>
      </c>
      <c r="AC1093" s="122"/>
      <c r="AD1093" s="122">
        <f t="shared" si="8907"/>
        <v>0</v>
      </c>
      <c r="AE1093" s="122"/>
      <c r="AF1093" s="125">
        <f t="shared" ref="AF1093:AF1098" si="9546">K1093*AE1093*$AF$2/1000</f>
        <v>0</v>
      </c>
      <c r="AG1093" s="122">
        <f t="shared" si="9489"/>
        <v>0</v>
      </c>
      <c r="AH1093" s="122">
        <f>SUM(AB1093+AD1093+AF1093)</f>
        <v>0</v>
      </c>
      <c r="AI1093" s="122">
        <f>SUM(Y1093+AG1093)</f>
        <v>0</v>
      </c>
      <c r="AJ1093" s="122">
        <f>SUM(Z1093,AH1093)</f>
        <v>0</v>
      </c>
      <c r="AK1093" s="122"/>
      <c r="AL1093" s="122">
        <f>M1093*AK1093*$AL$2/1000</f>
        <v>0</v>
      </c>
      <c r="AM1093" s="122"/>
      <c r="AN1093" s="122">
        <f>M1093*AM1093*$AN$2/1000</f>
        <v>0</v>
      </c>
      <c r="AO1093" s="122"/>
      <c r="AP1093" s="122">
        <f t="shared" ref="AP1093:AP1095" si="9547">M1093*AO1093*$AP$2/1000</f>
        <v>0</v>
      </c>
      <c r="AQ1093" s="122">
        <f>SUM(AK1093+AM1093+AO1093)</f>
        <v>0</v>
      </c>
      <c r="AR1093" s="122">
        <f>SUM(AL1093+AN1093+AP1093)</f>
        <v>0</v>
      </c>
      <c r="AS1093" s="122"/>
      <c r="AT1093" s="122">
        <f>O1093*AS1093*$AT$2/1000</f>
        <v>0</v>
      </c>
      <c r="AU1093" s="122"/>
      <c r="AV1093" s="122">
        <f>O1093*AU1093*$AV$2/1000</f>
        <v>0</v>
      </c>
      <c r="AW1093" s="122"/>
      <c r="AX1093" s="122">
        <f>O1093*AW1093*$AX$2/1000</f>
        <v>0</v>
      </c>
      <c r="AY1093" s="122">
        <f>SUM(AS1093+AU1093+AW1093)</f>
        <v>0</v>
      </c>
      <c r="AZ1093" s="122">
        <f>SUM(AT1093+AV1093+AX1093)</f>
        <v>0</v>
      </c>
      <c r="BA1093" s="122">
        <f>SUM(AQ1093+AY1093)</f>
        <v>0</v>
      </c>
      <c r="BB1093" s="122">
        <f>SUM(AR1093,AZ1093)</f>
        <v>0</v>
      </c>
    </row>
    <row r="1094" spans="1:54">
      <c r="A1094" s="498">
        <v>765</v>
      </c>
      <c r="B1094" s="13"/>
      <c r="C1094" s="302"/>
      <c r="D1094" s="13"/>
      <c r="E1094" s="21" t="s">
        <v>1445</v>
      </c>
      <c r="F1094" s="46"/>
      <c r="G1094" s="46" t="s">
        <v>1105</v>
      </c>
      <c r="H1094" s="268" t="s">
        <v>367</v>
      </c>
      <c r="I1094" s="55">
        <v>7.93</v>
      </c>
      <c r="J1094" s="163"/>
      <c r="K1094" s="55">
        <v>7.93</v>
      </c>
      <c r="L1094" s="163"/>
      <c r="M1094" s="55">
        <v>7.93</v>
      </c>
      <c r="N1094" s="163"/>
      <c r="O1094" s="55">
        <v>7.93</v>
      </c>
      <c r="P1094" s="163"/>
      <c r="Q1094" s="97">
        <f t="shared" si="8900"/>
        <v>0</v>
      </c>
      <c r="R1094" s="342">
        <f t="shared" si="8901"/>
        <v>0</v>
      </c>
      <c r="S1094" s="97"/>
      <c r="T1094" s="97">
        <f t="shared" si="8902"/>
        <v>0</v>
      </c>
      <c r="U1094" s="97"/>
      <c r="V1094" s="97">
        <f t="shared" si="8903"/>
        <v>0</v>
      </c>
      <c r="W1094" s="97"/>
      <c r="X1094" s="97">
        <f t="shared" si="8904"/>
        <v>0</v>
      </c>
      <c r="Y1094" s="97">
        <f>SUM(S1094+U1094+W1094)</f>
        <v>0</v>
      </c>
      <c r="Z1094" s="97">
        <f>SUM(T1094+V1094+X1094)</f>
        <v>0</v>
      </c>
      <c r="AA1094" s="97"/>
      <c r="AB1094" s="97">
        <f t="shared" si="9545"/>
        <v>0</v>
      </c>
      <c r="AC1094" s="97"/>
      <c r="AD1094" s="97">
        <f t="shared" si="8907"/>
        <v>0</v>
      </c>
      <c r="AE1094" s="97"/>
      <c r="AF1094" s="96">
        <f t="shared" si="9546"/>
        <v>0</v>
      </c>
      <c r="AG1094" s="97">
        <f t="shared" si="9489"/>
        <v>0</v>
      </c>
      <c r="AH1094" s="97">
        <f>SUM(AB1094+AD1094+AF1094)</f>
        <v>0</v>
      </c>
      <c r="AI1094" s="97">
        <f>SUM(Y1094+AG1094)</f>
        <v>0</v>
      </c>
      <c r="AJ1094" s="97">
        <f>SUM(Z1094,AH1094)</f>
        <v>0</v>
      </c>
      <c r="AK1094" s="97"/>
      <c r="AL1094" s="97">
        <f>M1094*AK1094*$AL$2/1000</f>
        <v>0</v>
      </c>
      <c r="AM1094" s="97"/>
      <c r="AN1094" s="97">
        <f>M1094*AM1094*$AN$2/1000</f>
        <v>0</v>
      </c>
      <c r="AO1094" s="97"/>
      <c r="AP1094" s="97">
        <f t="shared" si="9547"/>
        <v>0</v>
      </c>
      <c r="AQ1094" s="97">
        <f>SUM(AK1094+AM1094+AO1094)</f>
        <v>0</v>
      </c>
      <c r="AR1094" s="97">
        <f>SUM(AL1094+AN1094+AP1094)</f>
        <v>0</v>
      </c>
      <c r="AS1094" s="97"/>
      <c r="AT1094" s="97">
        <f>O1094*AS1094*$AT$2/1000</f>
        <v>0</v>
      </c>
      <c r="AU1094" s="97"/>
      <c r="AV1094" s="97">
        <f>O1094*AU1094*$AV$2/1000</f>
        <v>0</v>
      </c>
      <c r="AW1094" s="97"/>
      <c r="AX1094" s="97">
        <f>O1094*AW1094*$AX$2/1000</f>
        <v>0</v>
      </c>
      <c r="AY1094" s="97">
        <f>SUM(AS1094+AU1094+AW1094)</f>
        <v>0</v>
      </c>
      <c r="AZ1094" s="97">
        <f>SUM(AT1094+AV1094+AX1094)</f>
        <v>0</v>
      </c>
      <c r="BA1094" s="97">
        <f>SUM(AQ1094+AY1094)</f>
        <v>0</v>
      </c>
      <c r="BB1094" s="97">
        <f>SUM(AR1094,AZ1094)</f>
        <v>0</v>
      </c>
    </row>
    <row r="1095" spans="1:54">
      <c r="A1095" s="498">
        <v>766</v>
      </c>
      <c r="B1095" s="13"/>
      <c r="C1095" s="302"/>
      <c r="D1095" s="13"/>
      <c r="E1095" s="21" t="s">
        <v>931</v>
      </c>
      <c r="F1095" s="46"/>
      <c r="G1095" s="46" t="s">
        <v>1105</v>
      </c>
      <c r="H1095" s="268" t="s">
        <v>367</v>
      </c>
      <c r="I1095" s="55">
        <v>7.19</v>
      </c>
      <c r="J1095" s="163"/>
      <c r="K1095" s="55">
        <v>7.19</v>
      </c>
      <c r="L1095" s="163"/>
      <c r="M1095" s="55">
        <v>7.19</v>
      </c>
      <c r="N1095" s="163"/>
      <c r="O1095" s="55">
        <v>7.19</v>
      </c>
      <c r="P1095" s="163"/>
      <c r="Q1095" s="97">
        <f t="shared" si="8900"/>
        <v>0</v>
      </c>
      <c r="R1095" s="342">
        <f t="shared" si="8901"/>
        <v>0</v>
      </c>
      <c r="S1095" s="97"/>
      <c r="T1095" s="97">
        <f t="shared" si="8902"/>
        <v>0</v>
      </c>
      <c r="U1095" s="97"/>
      <c r="V1095" s="97">
        <f t="shared" si="8903"/>
        <v>0</v>
      </c>
      <c r="W1095" s="97"/>
      <c r="X1095" s="97">
        <f t="shared" si="8904"/>
        <v>0</v>
      </c>
      <c r="Y1095" s="97">
        <f t="shared" ref="Y1095" si="9548">SUM(S1095+U1095+W1095)</f>
        <v>0</v>
      </c>
      <c r="Z1095" s="97">
        <f t="shared" ref="Z1095" si="9549">SUM(T1095+V1095+X1095)</f>
        <v>0</v>
      </c>
      <c r="AA1095" s="97"/>
      <c r="AB1095" s="97">
        <f t="shared" si="9545"/>
        <v>0</v>
      </c>
      <c r="AC1095" s="97"/>
      <c r="AD1095" s="97">
        <f t="shared" si="8907"/>
        <v>0</v>
      </c>
      <c r="AE1095" s="97"/>
      <c r="AF1095" s="96">
        <f t="shared" si="9546"/>
        <v>0</v>
      </c>
      <c r="AG1095" s="97">
        <f>SUM(AA1095+AC1095+AE1095)</f>
        <v>0</v>
      </c>
      <c r="AH1095" s="97">
        <f t="shared" ref="AH1095" si="9550">SUM(AB1095+AD1095+AF1095)</f>
        <v>0</v>
      </c>
      <c r="AI1095" s="97">
        <f t="shared" ref="AI1095" si="9551">SUM(Y1095+AG1095)</f>
        <v>0</v>
      </c>
      <c r="AJ1095" s="97">
        <f t="shared" ref="AJ1095" si="9552">SUM(Z1095,AH1095)</f>
        <v>0</v>
      </c>
      <c r="AK1095" s="97"/>
      <c r="AL1095" s="97">
        <f t="shared" ref="AL1095" si="9553">M1095*AK1095*$AL$2/1000</f>
        <v>0</v>
      </c>
      <c r="AM1095" s="97"/>
      <c r="AN1095" s="97">
        <f t="shared" ref="AN1095" si="9554">M1095*AM1095*$AN$2/1000</f>
        <v>0</v>
      </c>
      <c r="AO1095" s="97"/>
      <c r="AP1095" s="97">
        <f t="shared" si="9547"/>
        <v>0</v>
      </c>
      <c r="AQ1095" s="97">
        <f t="shared" ref="AQ1095" si="9555">SUM(AK1095+AM1095+AO1095)</f>
        <v>0</v>
      </c>
      <c r="AR1095" s="97">
        <f t="shared" ref="AR1095" si="9556">SUM(AL1095+AN1095+AP1095)</f>
        <v>0</v>
      </c>
      <c r="AS1095" s="97"/>
      <c r="AT1095" s="97">
        <f t="shared" ref="AT1095" si="9557">O1095*AS1095*$AT$2/1000</f>
        <v>0</v>
      </c>
      <c r="AU1095" s="97"/>
      <c r="AV1095" s="97">
        <f t="shared" ref="AV1095" si="9558">O1095*AU1095*$AV$2/1000</f>
        <v>0</v>
      </c>
      <c r="AW1095" s="97"/>
      <c r="AX1095" s="97">
        <f t="shared" ref="AX1095" si="9559">O1095*AW1095*$AX$2/1000</f>
        <v>0</v>
      </c>
      <c r="AY1095" s="97">
        <f t="shared" ref="AY1095" si="9560">SUM(AS1095+AU1095+AW1095)</f>
        <v>0</v>
      </c>
      <c r="AZ1095" s="97">
        <f t="shared" ref="AZ1095" si="9561">SUM(AT1095+AV1095+AX1095)</f>
        <v>0</v>
      </c>
      <c r="BA1095" s="97">
        <f t="shared" ref="BA1095" si="9562">SUM(AQ1095+AY1095)</f>
        <v>0</v>
      </c>
      <c r="BB1095" s="97">
        <f t="shared" ref="BB1095" si="9563">SUM(AR1095,AZ1095)</f>
        <v>0</v>
      </c>
    </row>
    <row r="1096" spans="1:54">
      <c r="A1096" s="498">
        <v>765</v>
      </c>
      <c r="B1096" s="13"/>
      <c r="C1096" s="302"/>
      <c r="D1096" s="24"/>
      <c r="E1096" s="21" t="s">
        <v>1285</v>
      </c>
      <c r="F1096" s="46"/>
      <c r="G1096" s="46" t="s">
        <v>1105</v>
      </c>
      <c r="H1096" s="268" t="s">
        <v>367</v>
      </c>
      <c r="I1096" s="55">
        <v>7.93</v>
      </c>
      <c r="J1096" s="163"/>
      <c r="K1096" s="55">
        <v>7.93</v>
      </c>
      <c r="L1096" s="163"/>
      <c r="M1096" s="55">
        <v>7.93</v>
      </c>
      <c r="N1096" s="163"/>
      <c r="O1096" s="55">
        <v>7.93</v>
      </c>
      <c r="P1096" s="163"/>
      <c r="Q1096" s="97">
        <f t="shared" ref="Q1096" si="9564">SUM(AI1096+BA1096)</f>
        <v>0</v>
      </c>
      <c r="R1096" s="342">
        <f t="shared" ref="R1096" si="9565">SUM(AJ1096+BB1096)</f>
        <v>0</v>
      </c>
      <c r="S1096" s="97"/>
      <c r="T1096" s="97">
        <f t="shared" ref="T1096" si="9566">I1096*S1096*$T$2/1000</f>
        <v>0</v>
      </c>
      <c r="U1096" s="97"/>
      <c r="V1096" s="97">
        <f t="shared" ref="V1096" si="9567">I1096*U1096*$V$2/1000</f>
        <v>0</v>
      </c>
      <c r="W1096" s="97"/>
      <c r="X1096" s="97">
        <f t="shared" ref="X1096" si="9568">I1096*W1096*$X$2/1000</f>
        <v>0</v>
      </c>
      <c r="Y1096" s="97">
        <f>SUM(S1096+U1096+W1096)</f>
        <v>0</v>
      </c>
      <c r="Z1096" s="97">
        <f>SUM(T1096+V1096+X1096)</f>
        <v>0</v>
      </c>
      <c r="AA1096" s="97"/>
      <c r="AB1096" s="97">
        <f t="shared" ref="AB1096" si="9569">K1096*AA1096*$AB$2/1000</f>
        <v>0</v>
      </c>
      <c r="AC1096" s="97"/>
      <c r="AD1096" s="97">
        <f t="shared" ref="AD1096" si="9570">K1096*AC1096*$AD$2/1000</f>
        <v>0</v>
      </c>
      <c r="AE1096" s="97"/>
      <c r="AF1096" s="96">
        <f t="shared" ref="AF1096" si="9571">K1096*AE1096*$AF$2/1000</f>
        <v>0</v>
      </c>
      <c r="AG1096" s="97">
        <f>SUM(AA1096+AC1096+AE1096)</f>
        <v>0</v>
      </c>
      <c r="AH1096" s="97">
        <f>SUM(AB1096+AD1096+AF1096)</f>
        <v>0</v>
      </c>
      <c r="AI1096" s="97">
        <f>SUM(Y1096+AG1096)</f>
        <v>0</v>
      </c>
      <c r="AJ1096" s="97">
        <f>SUM(Z1096,AH1096)</f>
        <v>0</v>
      </c>
      <c r="AK1096" s="97"/>
      <c r="AL1096" s="97">
        <f>M1096*AK1096*$AL$2/1000</f>
        <v>0</v>
      </c>
      <c r="AM1096" s="97"/>
      <c r="AN1096" s="97">
        <f>M1096*AM1096*$AN$2/1000</f>
        <v>0</v>
      </c>
      <c r="AO1096" s="97"/>
      <c r="AP1096" s="97">
        <f t="shared" ref="AP1096" si="9572">M1096*AO1096*$AP$2/1000</f>
        <v>0</v>
      </c>
      <c r="AQ1096" s="97">
        <f>SUM(AK1096+AM1096+AO1096)</f>
        <v>0</v>
      </c>
      <c r="AR1096" s="97">
        <f>SUM(AL1096+AN1096+AP1096)</f>
        <v>0</v>
      </c>
      <c r="AS1096" s="97"/>
      <c r="AT1096" s="97">
        <f>O1096*AS1096*$AT$2/1000</f>
        <v>0</v>
      </c>
      <c r="AU1096" s="97"/>
      <c r="AV1096" s="97">
        <f>O1096*AU1096*$AV$2/1000</f>
        <v>0</v>
      </c>
      <c r="AW1096" s="97"/>
      <c r="AX1096" s="97">
        <f>O1096*AW1096*$AX$2/1000</f>
        <v>0</v>
      </c>
      <c r="AY1096" s="97">
        <f>SUM(AS1096+AU1096+AW1096)</f>
        <v>0</v>
      </c>
      <c r="AZ1096" s="97">
        <f>SUM(AT1096+AV1096+AX1096)</f>
        <v>0</v>
      </c>
      <c r="BA1096" s="97">
        <f>SUM(AQ1096+AY1096)</f>
        <v>0</v>
      </c>
      <c r="BB1096" s="97">
        <f>SUM(AR1096,AZ1096)</f>
        <v>0</v>
      </c>
    </row>
    <row r="1097" spans="1:54">
      <c r="A1097" s="498">
        <v>767</v>
      </c>
      <c r="B1097" s="13"/>
      <c r="C1097" s="302"/>
      <c r="D1097" s="438">
        <v>36</v>
      </c>
      <c r="E1097" s="21" t="s">
        <v>1512</v>
      </c>
      <c r="F1097" s="46"/>
      <c r="G1097" s="46" t="s">
        <v>1105</v>
      </c>
      <c r="H1097" s="268" t="s">
        <v>367</v>
      </c>
      <c r="I1097" s="55">
        <v>8.89</v>
      </c>
      <c r="J1097" s="163"/>
      <c r="K1097" s="55">
        <v>8.89</v>
      </c>
      <c r="L1097" s="163"/>
      <c r="M1097" s="55">
        <v>8.89</v>
      </c>
      <c r="N1097" s="163"/>
      <c r="O1097" s="55">
        <v>8.89</v>
      </c>
      <c r="P1097" s="163"/>
      <c r="Q1097" s="97">
        <f t="shared" si="8900"/>
        <v>0</v>
      </c>
      <c r="R1097" s="342">
        <f t="shared" si="8901"/>
        <v>0</v>
      </c>
      <c r="S1097" s="97"/>
      <c r="T1097" s="97">
        <f t="shared" si="8902"/>
        <v>0</v>
      </c>
      <c r="U1097" s="97"/>
      <c r="V1097" s="97">
        <f t="shared" si="8903"/>
        <v>0</v>
      </c>
      <c r="W1097" s="97"/>
      <c r="X1097" s="97">
        <f t="shared" si="8904"/>
        <v>0</v>
      </c>
      <c r="Y1097" s="97">
        <f>SUM(S1097+U1097+W1097)</f>
        <v>0</v>
      </c>
      <c r="Z1097" s="97">
        <f>SUM(T1097+V1097+X1097)</f>
        <v>0</v>
      </c>
      <c r="AA1097" s="97"/>
      <c r="AB1097" s="97">
        <f t="shared" si="9545"/>
        <v>0</v>
      </c>
      <c r="AC1097" s="97"/>
      <c r="AD1097" s="97">
        <f t="shared" si="8907"/>
        <v>0</v>
      </c>
      <c r="AE1097" s="97"/>
      <c r="AF1097" s="96">
        <f t="shared" si="9546"/>
        <v>0</v>
      </c>
      <c r="AG1097" s="97">
        <f>SUM(AA1097+AC1097+AE1097)</f>
        <v>0</v>
      </c>
      <c r="AH1097" s="97">
        <f>SUM(AB1097+AD1097+AF1097)</f>
        <v>0</v>
      </c>
      <c r="AI1097" s="97">
        <f>SUM(Y1097+AG1097)</f>
        <v>0</v>
      </c>
      <c r="AJ1097" s="97">
        <f>SUM(Z1097,AH1097)</f>
        <v>0</v>
      </c>
      <c r="AK1097" s="97"/>
      <c r="AL1097" s="97">
        <f>M1097*AK1097*$AL$2/1000</f>
        <v>0</v>
      </c>
      <c r="AM1097" s="97"/>
      <c r="AN1097" s="97">
        <f>M1097*AM1097*$AN$2/1000</f>
        <v>0</v>
      </c>
      <c r="AO1097" s="97"/>
      <c r="AP1097" s="97">
        <f>M1097*AO1097*$AP$2/1000</f>
        <v>0</v>
      </c>
      <c r="AQ1097" s="97">
        <f>SUM(AK1097+AM1097+AO1097)</f>
        <v>0</v>
      </c>
      <c r="AR1097" s="97">
        <f>SUM(AL1097+AN1097+AP1097)</f>
        <v>0</v>
      </c>
      <c r="AS1097" s="97"/>
      <c r="AT1097" s="97">
        <f>O1097*AS1097*$AT$2/1000</f>
        <v>0</v>
      </c>
      <c r="AU1097" s="97"/>
      <c r="AV1097" s="97">
        <f>O1097*AU1097*$AV$2/1000</f>
        <v>0</v>
      </c>
      <c r="AW1097" s="97"/>
      <c r="AX1097" s="97">
        <f>O1097*AW1097*$AX$2/1000</f>
        <v>0</v>
      </c>
      <c r="AY1097" s="97">
        <f>SUM(AS1097+AU1097+AW1097)</f>
        <v>0</v>
      </c>
      <c r="AZ1097" s="97">
        <f>SUM(AT1097+AV1097+AX1097)</f>
        <v>0</v>
      </c>
      <c r="BA1097" s="97">
        <f>SUM(AQ1097+AY1097)</f>
        <v>0</v>
      </c>
      <c r="BB1097" s="97">
        <f>SUM(AR1097,AZ1097)</f>
        <v>0</v>
      </c>
    </row>
    <row r="1098" spans="1:54">
      <c r="A1098" s="498">
        <v>768</v>
      </c>
      <c r="B1098" s="13"/>
      <c r="C1098" s="302"/>
      <c r="D1098" s="13"/>
      <c r="E1098" s="21" t="s">
        <v>1211</v>
      </c>
      <c r="F1098" s="46"/>
      <c r="G1098" s="46" t="s">
        <v>1105</v>
      </c>
      <c r="H1098" s="268" t="s">
        <v>367</v>
      </c>
      <c r="I1098" s="55">
        <v>8.3800000000000008</v>
      </c>
      <c r="J1098" s="163"/>
      <c r="K1098" s="55">
        <v>8.3800000000000008</v>
      </c>
      <c r="L1098" s="163"/>
      <c r="M1098" s="55">
        <v>8.3800000000000008</v>
      </c>
      <c r="N1098" s="163"/>
      <c r="O1098" s="55">
        <v>8.3800000000000008</v>
      </c>
      <c r="P1098" s="163"/>
      <c r="Q1098" s="97">
        <f t="shared" si="8900"/>
        <v>0</v>
      </c>
      <c r="R1098" s="342">
        <f t="shared" si="8901"/>
        <v>0</v>
      </c>
      <c r="S1098" s="97"/>
      <c r="T1098" s="97">
        <f t="shared" si="8902"/>
        <v>0</v>
      </c>
      <c r="U1098" s="97"/>
      <c r="V1098" s="97">
        <f t="shared" si="8903"/>
        <v>0</v>
      </c>
      <c r="W1098" s="97"/>
      <c r="X1098" s="97">
        <f t="shared" si="8904"/>
        <v>0</v>
      </c>
      <c r="Y1098" s="97">
        <f t="shared" ref="Y1098:Y1099" si="9573">SUM(S1098+U1098+W1098)</f>
        <v>0</v>
      </c>
      <c r="Z1098" s="97">
        <f t="shared" ref="Z1098:Z1099" si="9574">SUM(T1098+V1098+X1098)</f>
        <v>0</v>
      </c>
      <c r="AA1098" s="97"/>
      <c r="AB1098" s="97">
        <f t="shared" si="9545"/>
        <v>0</v>
      </c>
      <c r="AC1098" s="97"/>
      <c r="AD1098" s="97">
        <f t="shared" si="8907"/>
        <v>0</v>
      </c>
      <c r="AE1098" s="97"/>
      <c r="AF1098" s="96">
        <f t="shared" si="9546"/>
        <v>0</v>
      </c>
      <c r="AG1098" s="97">
        <f t="shared" ref="AG1098:AG1099" si="9575">SUM(AA1098+AC1098+AE1098)</f>
        <v>0</v>
      </c>
      <c r="AH1098" s="97">
        <f t="shared" ref="AH1098:AH1099" si="9576">SUM(AB1098+AD1098+AF1098)</f>
        <v>0</v>
      </c>
      <c r="AI1098" s="97">
        <f t="shared" ref="AI1098:AI1100" si="9577">SUM(Y1098+AG1098)</f>
        <v>0</v>
      </c>
      <c r="AJ1098" s="97">
        <f t="shared" ref="AJ1098:AJ1100" si="9578">SUM(Z1098,AH1098)</f>
        <v>0</v>
      </c>
      <c r="AK1098" s="97"/>
      <c r="AL1098" s="97">
        <f t="shared" ref="AL1098:AL1100" si="9579">M1098*AK1098*$AL$2/1000</f>
        <v>0</v>
      </c>
      <c r="AM1098" s="97"/>
      <c r="AN1098" s="97">
        <f t="shared" ref="AN1098:AN1100" si="9580">M1098*AM1098*$AN$2/1000</f>
        <v>0</v>
      </c>
      <c r="AO1098" s="97"/>
      <c r="AP1098" s="97">
        <f>M1098*AO1098*$AP$2/1000</f>
        <v>0</v>
      </c>
      <c r="AQ1098" s="97">
        <f t="shared" ref="AQ1098:AQ1099" si="9581">SUM(AK1098+AM1098+AO1098)</f>
        <v>0</v>
      </c>
      <c r="AR1098" s="97">
        <f t="shared" ref="AR1098:AR1099" si="9582">SUM(AL1098+AN1098+AP1098)</f>
        <v>0</v>
      </c>
      <c r="AS1098" s="97"/>
      <c r="AT1098" s="97">
        <f t="shared" ref="AT1098:AT1100" si="9583">O1098*AS1098*$AT$2/1000</f>
        <v>0</v>
      </c>
      <c r="AU1098" s="97"/>
      <c r="AV1098" s="97">
        <f t="shared" ref="AV1098:AV1100" si="9584">O1098*AU1098*$AV$2/1000</f>
        <v>0</v>
      </c>
      <c r="AW1098" s="97"/>
      <c r="AX1098" s="97">
        <f t="shared" ref="AX1098:AX1100" si="9585">O1098*AW1098*$AX$2/1000</f>
        <v>0</v>
      </c>
      <c r="AY1098" s="97">
        <f t="shared" ref="AY1098:AY1099" si="9586">SUM(AS1098+AU1098+AW1098)</f>
        <v>0</v>
      </c>
      <c r="AZ1098" s="97">
        <f t="shared" ref="AZ1098:AZ1099" si="9587">SUM(AT1098+AV1098+AX1098)</f>
        <v>0</v>
      </c>
      <c r="BA1098" s="97">
        <f t="shared" ref="BA1098:BA1100" si="9588">SUM(AQ1098+AY1098)</f>
        <v>0</v>
      </c>
      <c r="BB1098" s="97">
        <f t="shared" ref="BB1098:BB1100" si="9589">SUM(AR1098,AZ1098)</f>
        <v>0</v>
      </c>
    </row>
    <row r="1099" spans="1:54">
      <c r="A1099" s="498">
        <v>769</v>
      </c>
      <c r="B1099" s="13"/>
      <c r="C1099" s="302"/>
      <c r="D1099" s="13"/>
      <c r="E1099" s="21" t="s">
        <v>930</v>
      </c>
      <c r="F1099" s="46"/>
      <c r="G1099" s="46" t="s">
        <v>1105</v>
      </c>
      <c r="H1099" s="268" t="s">
        <v>367</v>
      </c>
      <c r="I1099" s="55">
        <v>7.94</v>
      </c>
      <c r="J1099" s="163"/>
      <c r="K1099" s="55">
        <v>7.94</v>
      </c>
      <c r="L1099" s="163"/>
      <c r="M1099" s="55">
        <v>7.94</v>
      </c>
      <c r="N1099" s="163"/>
      <c r="O1099" s="55">
        <v>7.94</v>
      </c>
      <c r="P1099" s="163"/>
      <c r="Q1099" s="97">
        <f t="shared" si="8900"/>
        <v>0</v>
      </c>
      <c r="R1099" s="342">
        <f t="shared" si="8901"/>
        <v>0</v>
      </c>
      <c r="S1099" s="97"/>
      <c r="T1099" s="97">
        <f t="shared" si="8902"/>
        <v>0</v>
      </c>
      <c r="U1099" s="97"/>
      <c r="V1099" s="97">
        <f t="shared" si="8903"/>
        <v>0</v>
      </c>
      <c r="W1099" s="97"/>
      <c r="X1099" s="97">
        <f t="shared" si="8904"/>
        <v>0</v>
      </c>
      <c r="Y1099" s="97">
        <f t="shared" si="9573"/>
        <v>0</v>
      </c>
      <c r="Z1099" s="97">
        <f t="shared" si="9574"/>
        <v>0</v>
      </c>
      <c r="AA1099" s="97"/>
      <c r="AB1099" s="97">
        <f t="shared" si="9545"/>
        <v>0</v>
      </c>
      <c r="AC1099" s="97"/>
      <c r="AD1099" s="97">
        <f>K1099*AC1099*$AD$2/1000</f>
        <v>0</v>
      </c>
      <c r="AE1099" s="97"/>
      <c r="AF1099" s="96">
        <f>K1099*AE1099*$AF$2/1000</f>
        <v>0</v>
      </c>
      <c r="AG1099" s="97">
        <f t="shared" si="9575"/>
        <v>0</v>
      </c>
      <c r="AH1099" s="97">
        <f t="shared" si="9576"/>
        <v>0</v>
      </c>
      <c r="AI1099" s="97">
        <f t="shared" si="9577"/>
        <v>0</v>
      </c>
      <c r="AJ1099" s="97">
        <f t="shared" si="9578"/>
        <v>0</v>
      </c>
      <c r="AK1099" s="97"/>
      <c r="AL1099" s="97">
        <f t="shared" si="9579"/>
        <v>0</v>
      </c>
      <c r="AM1099" s="97"/>
      <c r="AN1099" s="97">
        <f t="shared" si="9580"/>
        <v>0</v>
      </c>
      <c r="AO1099" s="97"/>
      <c r="AP1099" s="97">
        <f t="shared" ref="AP1099:AP1100" si="9590">M1099*AO1099*$AP$2/1000</f>
        <v>0</v>
      </c>
      <c r="AQ1099" s="97">
        <f t="shared" si="9581"/>
        <v>0</v>
      </c>
      <c r="AR1099" s="97">
        <f t="shared" si="9582"/>
        <v>0</v>
      </c>
      <c r="AS1099" s="97"/>
      <c r="AT1099" s="97">
        <f t="shared" si="9583"/>
        <v>0</v>
      </c>
      <c r="AU1099" s="97"/>
      <c r="AV1099" s="97">
        <f t="shared" si="9584"/>
        <v>0</v>
      </c>
      <c r="AW1099" s="97"/>
      <c r="AX1099" s="97">
        <f t="shared" si="9585"/>
        <v>0</v>
      </c>
      <c r="AY1099" s="97">
        <f t="shared" si="9586"/>
        <v>0</v>
      </c>
      <c r="AZ1099" s="97">
        <f t="shared" si="9587"/>
        <v>0</v>
      </c>
      <c r="BA1099" s="97">
        <f t="shared" si="9588"/>
        <v>0</v>
      </c>
      <c r="BB1099" s="97">
        <f t="shared" si="9589"/>
        <v>0</v>
      </c>
    </row>
    <row r="1100" spans="1:54">
      <c r="B1100" s="13"/>
      <c r="C1100" s="13"/>
      <c r="D1100" s="13"/>
      <c r="E1100" s="21" t="s">
        <v>1360</v>
      </c>
      <c r="F1100" s="22"/>
      <c r="G1100" s="22" t="s">
        <v>1201</v>
      </c>
      <c r="H1100" s="268" t="s">
        <v>367</v>
      </c>
      <c r="I1100" s="55">
        <v>8.89</v>
      </c>
      <c r="J1100" s="102"/>
      <c r="K1100" s="55">
        <v>8.89</v>
      </c>
      <c r="L1100" s="163"/>
      <c r="M1100" s="55">
        <v>8.89</v>
      </c>
      <c r="N1100" s="163"/>
      <c r="O1100" s="55">
        <v>8.89</v>
      </c>
      <c r="P1100" s="102"/>
      <c r="Q1100" s="97">
        <f t="shared" si="8900"/>
        <v>0</v>
      </c>
      <c r="R1100" s="342">
        <f t="shared" si="8901"/>
        <v>0</v>
      </c>
      <c r="S1100" s="97"/>
      <c r="T1100" s="97">
        <f>I1100*S1100*$T$2/1000</f>
        <v>0</v>
      </c>
      <c r="U1100" s="97"/>
      <c r="V1100" s="177">
        <f>I1100*U1100*$V$2/1000</f>
        <v>0</v>
      </c>
      <c r="W1100" s="207"/>
      <c r="X1100" s="206">
        <f>I1100*W1100*$X$2/1000</f>
        <v>0</v>
      </c>
      <c r="Y1100" s="189">
        <f>SUM(S1100+U1100+W1100)</f>
        <v>0</v>
      </c>
      <c r="Z1100" s="177">
        <f t="shared" ref="Z1100" si="9591">SUM(T1100+V1100+X1100)</f>
        <v>0</v>
      </c>
      <c r="AA1100" s="207"/>
      <c r="AB1100" s="206">
        <f>K1100*AA1100*$AB$2/1000</f>
        <v>0</v>
      </c>
      <c r="AC1100" s="207"/>
      <c r="AD1100" s="177">
        <f>K1100*AC1100*$AD$2/1000</f>
        <v>0</v>
      </c>
      <c r="AE1100" s="207"/>
      <c r="AF1100" s="206">
        <f t="shared" ref="AF1100" si="9592">K1100*AE1100*$AF$2/1000</f>
        <v>0</v>
      </c>
      <c r="AG1100" s="189">
        <f t="shared" ref="AG1100" si="9593">SUM(AA1100+AC1100+AE1100)</f>
        <v>0</v>
      </c>
      <c r="AH1100" s="97">
        <f t="shared" ref="AH1100" si="9594">SUM(AB1100+AD1100+AF1100)</f>
        <v>0</v>
      </c>
      <c r="AI1100" s="97">
        <f t="shared" si="9577"/>
        <v>0</v>
      </c>
      <c r="AJ1100" s="177">
        <f t="shared" si="9578"/>
        <v>0</v>
      </c>
      <c r="AK1100" s="207"/>
      <c r="AL1100" s="177">
        <f t="shared" si="9579"/>
        <v>0</v>
      </c>
      <c r="AM1100" s="245"/>
      <c r="AN1100" s="177">
        <f t="shared" si="9580"/>
        <v>0</v>
      </c>
      <c r="AO1100" s="207"/>
      <c r="AP1100" s="206">
        <f t="shared" si="9590"/>
        <v>0</v>
      </c>
      <c r="AQ1100" s="189">
        <f>SUM(AK1100+AM1100+AO1100)</f>
        <v>0</v>
      </c>
      <c r="AR1100" s="97">
        <f t="shared" ref="AR1100" si="9595">SUM(AL1100+AN1100+AP1100)</f>
        <v>0</v>
      </c>
      <c r="AS1100" s="97"/>
      <c r="AT1100" s="177">
        <f t="shared" si="9583"/>
        <v>0</v>
      </c>
      <c r="AU1100" s="207"/>
      <c r="AV1100" s="177">
        <f t="shared" si="9584"/>
        <v>0</v>
      </c>
      <c r="AW1100" s="207"/>
      <c r="AX1100" s="206">
        <f t="shared" si="9585"/>
        <v>0</v>
      </c>
      <c r="AY1100" s="189">
        <f>SUM(AS1100+AU1100+AW1100)</f>
        <v>0</v>
      </c>
      <c r="AZ1100" s="97">
        <f t="shared" ref="AZ1100" si="9596">SUM(AT1100+AV1100+AX1100)</f>
        <v>0</v>
      </c>
      <c r="BA1100" s="97">
        <f t="shared" si="9588"/>
        <v>0</v>
      </c>
      <c r="BB1100" s="97">
        <f t="shared" si="9589"/>
        <v>0</v>
      </c>
    </row>
    <row r="1101" spans="1:54">
      <c r="A1101" s="498">
        <v>770</v>
      </c>
      <c r="B1101" s="13"/>
      <c r="C1101" s="302"/>
      <c r="D1101" s="438">
        <v>55</v>
      </c>
      <c r="E1101" s="21" t="s">
        <v>1513</v>
      </c>
      <c r="F1101" s="46"/>
      <c r="G1101" s="46" t="s">
        <v>1105</v>
      </c>
      <c r="H1101" s="268" t="s">
        <v>366</v>
      </c>
      <c r="I1101" s="55">
        <v>9.7799999999999994</v>
      </c>
      <c r="J1101" s="163"/>
      <c r="K1101" s="55">
        <v>9.7799999999999994</v>
      </c>
      <c r="L1101" s="163"/>
      <c r="M1101" s="55">
        <v>9.7799999999999994</v>
      </c>
      <c r="N1101" s="163"/>
      <c r="O1101" s="55">
        <v>9.7799999999999994</v>
      </c>
      <c r="P1101" s="163"/>
      <c r="Q1101" s="97">
        <f t="shared" ref="Q1101:R1105" si="9597">SUM(AI1101+BA1101)</f>
        <v>0</v>
      </c>
      <c r="R1101" s="342">
        <f t="shared" si="9597"/>
        <v>0</v>
      </c>
      <c r="S1101" s="97"/>
      <c r="T1101" s="97">
        <f t="shared" si="8902"/>
        <v>0</v>
      </c>
      <c r="U1101" s="97"/>
      <c r="V1101" s="97">
        <f t="shared" si="8903"/>
        <v>0</v>
      </c>
      <c r="W1101" s="97"/>
      <c r="X1101" s="97">
        <f t="shared" si="8904"/>
        <v>0</v>
      </c>
      <c r="Y1101" s="97">
        <f t="shared" ref="Y1101:Z1119" si="9598">SUM(S1101+U1101+W1101)</f>
        <v>0</v>
      </c>
      <c r="Z1101" s="97">
        <f>SUM(T1101+V1101+X1101)</f>
        <v>0</v>
      </c>
      <c r="AA1101" s="97"/>
      <c r="AB1101" s="97">
        <f t="shared" si="9545"/>
        <v>0</v>
      </c>
      <c r="AC1101" s="97"/>
      <c r="AD1101" s="97">
        <f t="shared" ref="AD1101:AD1103" si="9599">K1101*AC1101*$AD$2/1000</f>
        <v>0</v>
      </c>
      <c r="AE1101" s="97"/>
      <c r="AF1101" s="96">
        <f t="shared" ref="AF1101:AF1103" si="9600">K1101*AE1101*$AF$2/1000</f>
        <v>0</v>
      </c>
      <c r="AG1101" s="97">
        <f t="shared" ref="AG1101:AH1119" si="9601">SUM(AA1101+AC1101+AE1101)</f>
        <v>0</v>
      </c>
      <c r="AH1101" s="97">
        <f>SUM(AB1101+AD1101+AF1101)</f>
        <v>0</v>
      </c>
      <c r="AI1101" s="97">
        <f t="shared" ref="AI1101:AI1119" si="9602">SUM(Y1101+AG1101)</f>
        <v>0</v>
      </c>
      <c r="AJ1101" s="97">
        <f t="shared" ref="AJ1101:AJ1119" si="9603">SUM(Z1101,AH1101)</f>
        <v>0</v>
      </c>
      <c r="AK1101" s="97"/>
      <c r="AL1101" s="97">
        <f t="shared" ref="AL1101:AL1119" si="9604">M1101*AK1101*$AL$2/1000</f>
        <v>0</v>
      </c>
      <c r="AM1101" s="97"/>
      <c r="AN1101" s="97">
        <f t="shared" ref="AN1101:AN1119" si="9605">M1101*AM1101*$AN$2/1000</f>
        <v>0</v>
      </c>
      <c r="AO1101" s="97"/>
      <c r="AP1101" s="97">
        <f t="shared" ref="AP1101:AP1115" si="9606">M1101*AO1101*$AP$2/1000</f>
        <v>0</v>
      </c>
      <c r="AQ1101" s="97">
        <f t="shared" ref="AQ1101:AR1119" si="9607">SUM(AK1101+AM1101+AO1101)</f>
        <v>0</v>
      </c>
      <c r="AR1101" s="97">
        <f>SUM(AL1101+AN1101+AP1101)</f>
        <v>0</v>
      </c>
      <c r="AS1101" s="97"/>
      <c r="AT1101" s="97">
        <f t="shared" ref="AT1101:AT1119" si="9608">O1101*AS1101*$AT$2/1000</f>
        <v>0</v>
      </c>
      <c r="AU1101" s="97"/>
      <c r="AV1101" s="97">
        <f t="shared" ref="AV1101:AV1119" si="9609">O1101*AU1101*$AV$2/1000</f>
        <v>0</v>
      </c>
      <c r="AW1101" s="97"/>
      <c r="AX1101" s="97">
        <f t="shared" ref="AX1101:AX1119" si="9610">O1101*AW1101*$AX$2/1000</f>
        <v>0</v>
      </c>
      <c r="AY1101" s="97">
        <f t="shared" ref="AY1101:AZ1119" si="9611">SUM(AS1101+AU1101+AW1101)</f>
        <v>0</v>
      </c>
      <c r="AZ1101" s="97">
        <f>SUM(AT1101+AV1101+AX1101)</f>
        <v>0</v>
      </c>
      <c r="BA1101" s="97">
        <f t="shared" ref="BA1101:BA1119" si="9612">SUM(AQ1101+AY1101)</f>
        <v>0</v>
      </c>
      <c r="BB1101" s="97">
        <f t="shared" ref="BB1101:BB1119" si="9613">SUM(AR1101,AZ1101)</f>
        <v>0</v>
      </c>
    </row>
    <row r="1102" spans="1:54">
      <c r="A1102" s="498">
        <v>771</v>
      </c>
      <c r="B1102" s="13"/>
      <c r="C1102" s="302"/>
      <c r="D1102" s="13"/>
      <c r="E1102" s="13" t="s">
        <v>960</v>
      </c>
      <c r="F1102" s="23"/>
      <c r="G1102" s="23" t="s">
        <v>1105</v>
      </c>
      <c r="H1102" s="269" t="s">
        <v>367</v>
      </c>
      <c r="I1102" s="74">
        <v>8.74</v>
      </c>
      <c r="J1102" s="171"/>
      <c r="K1102" s="74">
        <v>8.74</v>
      </c>
      <c r="L1102" s="171"/>
      <c r="M1102" s="74">
        <v>8.74</v>
      </c>
      <c r="N1102" s="171"/>
      <c r="O1102" s="74">
        <v>8.74</v>
      </c>
      <c r="P1102" s="171"/>
      <c r="Q1102" s="119">
        <f t="shared" ref="Q1102" si="9614">SUM(AI1102+BA1102)</f>
        <v>0</v>
      </c>
      <c r="R1102" s="349">
        <f t="shared" ref="R1102" si="9615">SUM(AJ1102+BB1102)</f>
        <v>0</v>
      </c>
      <c r="S1102" s="119"/>
      <c r="T1102" s="119">
        <f t="shared" si="8902"/>
        <v>0</v>
      </c>
      <c r="U1102" s="119"/>
      <c r="V1102" s="119">
        <f t="shared" si="8903"/>
        <v>0</v>
      </c>
      <c r="W1102" s="119"/>
      <c r="X1102" s="119">
        <f t="shared" si="8904"/>
        <v>0</v>
      </c>
      <c r="Y1102" s="119">
        <f>SUM(S1102+U1102+W1102)</f>
        <v>0</v>
      </c>
      <c r="Z1102" s="119">
        <f t="shared" ref="Z1102" si="9616">SUM(T1102+V1102+X1102)</f>
        <v>0</v>
      </c>
      <c r="AA1102" s="119"/>
      <c r="AB1102" s="119">
        <f t="shared" si="9545"/>
        <v>0</v>
      </c>
      <c r="AC1102" s="119"/>
      <c r="AD1102" s="119">
        <f t="shared" ref="AD1102" si="9617">K1102*AC1102*$AD$2/1000</f>
        <v>0</v>
      </c>
      <c r="AE1102" s="119"/>
      <c r="AF1102" s="522">
        <f t="shared" ref="AF1102" si="9618">K1102*AE1102*$AF$2/1000</f>
        <v>0</v>
      </c>
      <c r="AG1102" s="119">
        <f t="shared" si="9601"/>
        <v>0</v>
      </c>
      <c r="AH1102" s="119">
        <f t="shared" ref="AH1102" si="9619">SUM(AB1102+AD1102+AF1102)</f>
        <v>0</v>
      </c>
      <c r="AI1102" s="119">
        <f t="shared" si="9602"/>
        <v>0</v>
      </c>
      <c r="AJ1102" s="119">
        <f t="shared" si="9603"/>
        <v>0</v>
      </c>
      <c r="AK1102" s="119"/>
      <c r="AL1102" s="119">
        <f t="shared" si="9604"/>
        <v>0</v>
      </c>
      <c r="AM1102" s="119"/>
      <c r="AN1102" s="119">
        <f t="shared" si="9605"/>
        <v>0</v>
      </c>
      <c r="AO1102" s="119"/>
      <c r="AP1102" s="119">
        <f t="shared" si="9606"/>
        <v>0</v>
      </c>
      <c r="AQ1102" s="119">
        <f t="shared" si="9607"/>
        <v>0</v>
      </c>
      <c r="AR1102" s="119">
        <f t="shared" ref="AR1102" si="9620">SUM(AL1102+AN1102+AP1102)</f>
        <v>0</v>
      </c>
      <c r="AS1102" s="119"/>
      <c r="AT1102" s="119">
        <f t="shared" si="9608"/>
        <v>0</v>
      </c>
      <c r="AU1102" s="119"/>
      <c r="AV1102" s="119">
        <f t="shared" si="9609"/>
        <v>0</v>
      </c>
      <c r="AW1102" s="119"/>
      <c r="AX1102" s="119">
        <f t="shared" si="9610"/>
        <v>0</v>
      </c>
      <c r="AY1102" s="119">
        <f t="shared" si="9611"/>
        <v>0</v>
      </c>
      <c r="AZ1102" s="119">
        <f t="shared" ref="AZ1102" si="9621">SUM(AT1102+AV1102+AX1102)</f>
        <v>0</v>
      </c>
      <c r="BA1102" s="119">
        <f t="shared" si="9612"/>
        <v>0</v>
      </c>
      <c r="BB1102" s="119">
        <f t="shared" si="9613"/>
        <v>0</v>
      </c>
    </row>
    <row r="1103" spans="1:54">
      <c r="A1103" s="498">
        <v>771</v>
      </c>
      <c r="B1103" s="13"/>
      <c r="C1103" s="302"/>
      <c r="D1103" s="13"/>
      <c r="E1103" s="21" t="s">
        <v>1523</v>
      </c>
      <c r="F1103" s="46"/>
      <c r="G1103" s="46" t="s">
        <v>1105</v>
      </c>
      <c r="H1103" s="268" t="s">
        <v>367</v>
      </c>
      <c r="I1103" s="55">
        <v>9.7799999999999994</v>
      </c>
      <c r="J1103" s="163"/>
      <c r="K1103" s="55">
        <v>9.7799999999999994</v>
      </c>
      <c r="L1103" s="163"/>
      <c r="M1103" s="55">
        <v>9.7799999999999994</v>
      </c>
      <c r="N1103" s="163"/>
      <c r="O1103" s="55">
        <v>9.7799999999999994</v>
      </c>
      <c r="P1103" s="163"/>
      <c r="Q1103" s="97">
        <f t="shared" si="9597"/>
        <v>0</v>
      </c>
      <c r="R1103" s="342">
        <f t="shared" si="9597"/>
        <v>0</v>
      </c>
      <c r="S1103" s="97"/>
      <c r="T1103" s="97">
        <f t="shared" ref="T1103" si="9622">I1103*S1103*$T$2/1000</f>
        <v>0</v>
      </c>
      <c r="U1103" s="97"/>
      <c r="V1103" s="97">
        <f t="shared" ref="V1103" si="9623">I1103*U1103*$V$2/1000</f>
        <v>0</v>
      </c>
      <c r="W1103" s="97"/>
      <c r="X1103" s="97">
        <f t="shared" ref="X1103" si="9624">I1103*W1103*$X$2/1000</f>
        <v>0</v>
      </c>
      <c r="Y1103" s="97">
        <f>SUM(S1103+U1103+W1103)</f>
        <v>0</v>
      </c>
      <c r="Z1103" s="97">
        <f t="shared" ref="Z1103" si="9625">SUM(T1103+V1103+X1103)</f>
        <v>0</v>
      </c>
      <c r="AA1103" s="97"/>
      <c r="AB1103" s="97">
        <f t="shared" ref="AB1103" si="9626">K1103*AA1103*$AB$2/1000</f>
        <v>0</v>
      </c>
      <c r="AC1103" s="97"/>
      <c r="AD1103" s="97">
        <f t="shared" si="9599"/>
        <v>0</v>
      </c>
      <c r="AE1103" s="97"/>
      <c r="AF1103" s="96">
        <f t="shared" si="9600"/>
        <v>0</v>
      </c>
      <c r="AG1103" s="97">
        <f t="shared" ref="AG1103" si="9627">SUM(AA1103+AC1103+AE1103)</f>
        <v>0</v>
      </c>
      <c r="AH1103" s="97">
        <f>SUM(AB1103+AD1103+AF1103)</f>
        <v>0</v>
      </c>
      <c r="AI1103" s="97">
        <f t="shared" ref="AI1103" si="9628">SUM(Y1103+AG1103)</f>
        <v>0</v>
      </c>
      <c r="AJ1103" s="97">
        <f t="shared" ref="AJ1103" si="9629">SUM(Z1103,AH1103)</f>
        <v>0</v>
      </c>
      <c r="AK1103" s="97"/>
      <c r="AL1103" s="97">
        <f t="shared" ref="AL1103" si="9630">M1103*AK1103*$AL$2/1000</f>
        <v>0</v>
      </c>
      <c r="AM1103" s="97"/>
      <c r="AN1103" s="97">
        <f t="shared" ref="AN1103" si="9631">M1103*AM1103*$AN$2/1000</f>
        <v>0</v>
      </c>
      <c r="AO1103" s="97"/>
      <c r="AP1103" s="97">
        <f t="shared" si="9606"/>
        <v>0</v>
      </c>
      <c r="AQ1103" s="97">
        <f t="shared" ref="AQ1103" si="9632">SUM(AK1103+AM1103+AO1103)</f>
        <v>0</v>
      </c>
      <c r="AR1103" s="97">
        <f t="shared" ref="AR1103" si="9633">SUM(AL1103+AN1103+AP1103)</f>
        <v>0</v>
      </c>
      <c r="AS1103" s="97"/>
      <c r="AT1103" s="97">
        <f t="shared" ref="AT1103" si="9634">O1103*AS1103*$AT$2/1000</f>
        <v>0</v>
      </c>
      <c r="AU1103" s="97"/>
      <c r="AV1103" s="97">
        <f t="shared" ref="AV1103" si="9635">O1103*AU1103*$AV$2/1000</f>
        <v>0</v>
      </c>
      <c r="AW1103" s="97"/>
      <c r="AX1103" s="97">
        <f t="shared" ref="AX1103" si="9636">O1103*AW1103*$AX$2/1000</f>
        <v>0</v>
      </c>
      <c r="AY1103" s="97">
        <f t="shared" ref="AY1103" si="9637">SUM(AS1103+AU1103+AW1103)</f>
        <v>0</v>
      </c>
      <c r="AZ1103" s="97">
        <f t="shared" ref="AZ1103" si="9638">SUM(AT1103+AV1103+AX1103)</f>
        <v>0</v>
      </c>
      <c r="BA1103" s="97">
        <f t="shared" ref="BA1103" si="9639">SUM(AQ1103+AY1103)</f>
        <v>0</v>
      </c>
      <c r="BB1103" s="97">
        <f t="shared" ref="BB1103" si="9640">SUM(AR1103,AZ1103)</f>
        <v>0</v>
      </c>
    </row>
    <row r="1104" spans="1:54">
      <c r="A1104" s="498">
        <v>772</v>
      </c>
      <c r="B1104" s="13"/>
      <c r="C1104" s="302"/>
      <c r="D1104" s="24"/>
      <c r="E1104" s="90" t="s">
        <v>1393</v>
      </c>
      <c r="F1104" s="430"/>
      <c r="G1104" s="430" t="s">
        <v>1105</v>
      </c>
      <c r="H1104" s="287" t="s">
        <v>366</v>
      </c>
      <c r="I1104" s="76">
        <v>9.59</v>
      </c>
      <c r="J1104" s="168"/>
      <c r="K1104" s="76">
        <v>9.59</v>
      </c>
      <c r="L1104" s="168"/>
      <c r="M1104" s="76">
        <v>9.59</v>
      </c>
      <c r="N1104" s="168"/>
      <c r="O1104" s="76">
        <v>9.59</v>
      </c>
      <c r="P1104" s="168"/>
      <c r="Q1104" s="131">
        <f t="shared" si="9597"/>
        <v>0</v>
      </c>
      <c r="R1104" s="352">
        <f t="shared" si="9597"/>
        <v>0</v>
      </c>
      <c r="S1104" s="131"/>
      <c r="T1104" s="131">
        <f t="shared" ref="T1104" si="9641">I1104*S1104*$T$2/1000</f>
        <v>0</v>
      </c>
      <c r="U1104" s="131"/>
      <c r="V1104" s="131">
        <f t="shared" ref="V1104" si="9642">I1104*U1104*$V$2/1000</f>
        <v>0</v>
      </c>
      <c r="W1104" s="131"/>
      <c r="X1104" s="131">
        <f t="shared" ref="X1104" si="9643">I1104*W1104*$X$2/1000</f>
        <v>0</v>
      </c>
      <c r="Y1104" s="131">
        <f t="shared" si="9598"/>
        <v>0</v>
      </c>
      <c r="Z1104" s="131">
        <f t="shared" si="9598"/>
        <v>0</v>
      </c>
      <c r="AA1104" s="131"/>
      <c r="AB1104" s="131">
        <f t="shared" ref="AB1104" si="9644">K1104*AA1104*$AB$2/1000</f>
        <v>0</v>
      </c>
      <c r="AC1104" s="131"/>
      <c r="AD1104" s="131">
        <f t="shared" ref="AD1104" si="9645">K1104*AC1104*$AD$2/1000</f>
        <v>0</v>
      </c>
      <c r="AE1104" s="131"/>
      <c r="AF1104" s="434">
        <f t="shared" ref="AF1104" si="9646">K1104*AE1104*$AF$2/1000</f>
        <v>0</v>
      </c>
      <c r="AG1104" s="131">
        <f t="shared" si="9601"/>
        <v>0</v>
      </c>
      <c r="AH1104" s="131">
        <f t="shared" si="9601"/>
        <v>0</v>
      </c>
      <c r="AI1104" s="131">
        <f t="shared" si="9602"/>
        <v>0</v>
      </c>
      <c r="AJ1104" s="131">
        <f t="shared" si="9603"/>
        <v>0</v>
      </c>
      <c r="AK1104" s="131"/>
      <c r="AL1104" s="131">
        <f t="shared" si="9604"/>
        <v>0</v>
      </c>
      <c r="AM1104" s="131"/>
      <c r="AN1104" s="131">
        <f t="shared" si="9605"/>
        <v>0</v>
      </c>
      <c r="AO1104" s="131"/>
      <c r="AP1104" s="131">
        <f t="shared" si="9606"/>
        <v>0</v>
      </c>
      <c r="AQ1104" s="131">
        <f t="shared" si="9607"/>
        <v>0</v>
      </c>
      <c r="AR1104" s="131">
        <f t="shared" si="9607"/>
        <v>0</v>
      </c>
      <c r="AS1104" s="131"/>
      <c r="AT1104" s="131">
        <f t="shared" si="9608"/>
        <v>0</v>
      </c>
      <c r="AU1104" s="131"/>
      <c r="AV1104" s="131">
        <f t="shared" si="9609"/>
        <v>0</v>
      </c>
      <c r="AW1104" s="131"/>
      <c r="AX1104" s="131">
        <f t="shared" si="9610"/>
        <v>0</v>
      </c>
      <c r="AY1104" s="131">
        <f t="shared" si="9611"/>
        <v>0</v>
      </c>
      <c r="AZ1104" s="131">
        <f t="shared" si="9611"/>
        <v>0</v>
      </c>
      <c r="BA1104" s="131">
        <f t="shared" si="9612"/>
        <v>0</v>
      </c>
      <c r="BB1104" s="131">
        <f t="shared" si="9613"/>
        <v>0</v>
      </c>
    </row>
    <row r="1105" spans="1:54">
      <c r="A1105" s="498">
        <v>773</v>
      </c>
      <c r="B1105" s="13"/>
      <c r="C1105" s="302"/>
      <c r="D1105" s="438">
        <v>96</v>
      </c>
      <c r="E1105" s="21" t="s">
        <v>1401</v>
      </c>
      <c r="F1105" s="46"/>
      <c r="G1105" s="46" t="s">
        <v>1105</v>
      </c>
      <c r="H1105" s="268" t="s">
        <v>366</v>
      </c>
      <c r="I1105" s="55">
        <v>15.52</v>
      </c>
      <c r="J1105" s="163"/>
      <c r="K1105" s="55">
        <v>15.52</v>
      </c>
      <c r="L1105" s="163"/>
      <c r="M1105" s="55">
        <v>15.52</v>
      </c>
      <c r="N1105" s="163"/>
      <c r="O1105" s="55">
        <v>15.52</v>
      </c>
      <c r="P1105" s="163"/>
      <c r="Q1105" s="97">
        <f t="shared" si="9597"/>
        <v>0</v>
      </c>
      <c r="R1105" s="342">
        <f t="shared" si="9597"/>
        <v>0</v>
      </c>
      <c r="S1105" s="97"/>
      <c r="T1105" s="97">
        <f t="shared" si="8902"/>
        <v>0</v>
      </c>
      <c r="U1105" s="97"/>
      <c r="V1105" s="97">
        <f t="shared" si="8903"/>
        <v>0</v>
      </c>
      <c r="W1105" s="97"/>
      <c r="X1105" s="97">
        <f t="shared" si="8904"/>
        <v>0</v>
      </c>
      <c r="Y1105" s="97">
        <f t="shared" si="9598"/>
        <v>0</v>
      </c>
      <c r="Z1105" s="97">
        <f t="shared" si="9598"/>
        <v>0</v>
      </c>
      <c r="AA1105" s="97"/>
      <c r="AB1105" s="97">
        <f t="shared" si="9545"/>
        <v>0</v>
      </c>
      <c r="AC1105" s="97"/>
      <c r="AD1105" s="97">
        <f t="shared" ref="AD1105:AD1116" si="9647">K1105*AC1105*$AD$2/1000</f>
        <v>0</v>
      </c>
      <c r="AE1105" s="97"/>
      <c r="AF1105" s="96">
        <f t="shared" ref="AF1105:AF1116" si="9648">K1105*AE1105*$AF$2/1000</f>
        <v>0</v>
      </c>
      <c r="AG1105" s="97">
        <f t="shared" si="9601"/>
        <v>0</v>
      </c>
      <c r="AH1105" s="97">
        <f t="shared" si="9601"/>
        <v>0</v>
      </c>
      <c r="AI1105" s="97">
        <f t="shared" si="9602"/>
        <v>0</v>
      </c>
      <c r="AJ1105" s="97">
        <f t="shared" si="9603"/>
        <v>0</v>
      </c>
      <c r="AK1105" s="97"/>
      <c r="AL1105" s="97">
        <f t="shared" si="9604"/>
        <v>0</v>
      </c>
      <c r="AM1105" s="97"/>
      <c r="AN1105" s="97">
        <f t="shared" si="9605"/>
        <v>0</v>
      </c>
      <c r="AO1105" s="97"/>
      <c r="AP1105" s="97">
        <f t="shared" si="9606"/>
        <v>0</v>
      </c>
      <c r="AQ1105" s="97">
        <f t="shared" si="9607"/>
        <v>0</v>
      </c>
      <c r="AR1105" s="97">
        <f t="shared" si="9607"/>
        <v>0</v>
      </c>
      <c r="AS1105" s="97"/>
      <c r="AT1105" s="97">
        <f t="shared" si="9608"/>
        <v>0</v>
      </c>
      <c r="AU1105" s="97"/>
      <c r="AV1105" s="97">
        <f t="shared" si="9609"/>
        <v>0</v>
      </c>
      <c r="AW1105" s="97"/>
      <c r="AX1105" s="97">
        <f t="shared" si="9610"/>
        <v>0</v>
      </c>
      <c r="AY1105" s="97">
        <f t="shared" si="9611"/>
        <v>0</v>
      </c>
      <c r="AZ1105" s="97">
        <f t="shared" si="9611"/>
        <v>0</v>
      </c>
      <c r="BA1105" s="97">
        <f t="shared" si="9612"/>
        <v>0</v>
      </c>
      <c r="BB1105" s="97">
        <f t="shared" si="9613"/>
        <v>0</v>
      </c>
    </row>
    <row r="1106" spans="1:54">
      <c r="A1106" s="498">
        <v>774</v>
      </c>
      <c r="B1106" s="13"/>
      <c r="C1106" s="302"/>
      <c r="D1106" s="13"/>
      <c r="E1106" s="24" t="s">
        <v>1212</v>
      </c>
      <c r="F1106" s="371"/>
      <c r="G1106" s="371" t="s">
        <v>1105</v>
      </c>
      <c r="H1106" s="285" t="s">
        <v>367</v>
      </c>
      <c r="I1106" s="80">
        <v>14.92</v>
      </c>
      <c r="J1106" s="172"/>
      <c r="K1106" s="80">
        <v>14.92</v>
      </c>
      <c r="L1106" s="172"/>
      <c r="M1106" s="80">
        <v>14.92</v>
      </c>
      <c r="N1106" s="172"/>
      <c r="O1106" s="80">
        <v>14.92</v>
      </c>
      <c r="P1106" s="172"/>
      <c r="Q1106" s="134">
        <f t="shared" ref="Q1106:Q1116" si="9649">SUM(AI1106+BA1106)</f>
        <v>0</v>
      </c>
      <c r="R1106" s="347">
        <f t="shared" ref="R1106:R1116" si="9650">SUM(AJ1106+BB1106)</f>
        <v>0</v>
      </c>
      <c r="S1106" s="134"/>
      <c r="T1106" s="134">
        <f t="shared" si="8902"/>
        <v>0</v>
      </c>
      <c r="U1106" s="134"/>
      <c r="V1106" s="134">
        <f t="shared" si="8903"/>
        <v>0</v>
      </c>
      <c r="W1106" s="134"/>
      <c r="X1106" s="134">
        <f t="shared" si="8904"/>
        <v>0</v>
      </c>
      <c r="Y1106" s="134">
        <f t="shared" si="9598"/>
        <v>0</v>
      </c>
      <c r="Z1106" s="134">
        <f t="shared" si="9598"/>
        <v>0</v>
      </c>
      <c r="AA1106" s="134"/>
      <c r="AB1106" s="134">
        <f t="shared" si="9545"/>
        <v>0</v>
      </c>
      <c r="AC1106" s="134"/>
      <c r="AD1106" s="134">
        <f t="shared" si="9647"/>
        <v>0</v>
      </c>
      <c r="AE1106" s="134"/>
      <c r="AF1106" s="411">
        <f t="shared" si="9648"/>
        <v>0</v>
      </c>
      <c r="AG1106" s="134">
        <f t="shared" si="9601"/>
        <v>0</v>
      </c>
      <c r="AH1106" s="134">
        <f t="shared" si="9601"/>
        <v>0</v>
      </c>
      <c r="AI1106" s="134">
        <f t="shared" si="9602"/>
        <v>0</v>
      </c>
      <c r="AJ1106" s="134">
        <f t="shared" si="9603"/>
        <v>0</v>
      </c>
      <c r="AK1106" s="134"/>
      <c r="AL1106" s="134">
        <f t="shared" si="9604"/>
        <v>0</v>
      </c>
      <c r="AM1106" s="134"/>
      <c r="AN1106" s="134">
        <f t="shared" si="9605"/>
        <v>0</v>
      </c>
      <c r="AO1106" s="134"/>
      <c r="AP1106" s="134">
        <f t="shared" si="9606"/>
        <v>0</v>
      </c>
      <c r="AQ1106" s="134">
        <f t="shared" si="9607"/>
        <v>0</v>
      </c>
      <c r="AR1106" s="134">
        <f t="shared" si="9607"/>
        <v>0</v>
      </c>
      <c r="AS1106" s="134"/>
      <c r="AT1106" s="134">
        <f t="shared" si="9608"/>
        <v>0</v>
      </c>
      <c r="AU1106" s="134"/>
      <c r="AV1106" s="134">
        <f t="shared" si="9609"/>
        <v>0</v>
      </c>
      <c r="AW1106" s="134"/>
      <c r="AX1106" s="134">
        <f t="shared" si="9610"/>
        <v>0</v>
      </c>
      <c r="AY1106" s="134">
        <f t="shared" si="9611"/>
        <v>0</v>
      </c>
      <c r="AZ1106" s="134">
        <f t="shared" si="9611"/>
        <v>0</v>
      </c>
      <c r="BA1106" s="134">
        <f t="shared" si="9612"/>
        <v>0</v>
      </c>
      <c r="BB1106" s="134">
        <f t="shared" si="9613"/>
        <v>0</v>
      </c>
    </row>
    <row r="1107" spans="1:54">
      <c r="A1107" s="498" t="s">
        <v>1683</v>
      </c>
      <c r="B1107" s="13"/>
      <c r="C1107" s="302"/>
      <c r="D1107" s="53"/>
      <c r="E1107" s="31" t="s">
        <v>1684</v>
      </c>
      <c r="F1107" s="314"/>
      <c r="G1107" s="314" t="s">
        <v>1105</v>
      </c>
      <c r="H1107" s="274" t="s">
        <v>366</v>
      </c>
      <c r="I1107" s="62">
        <v>8.18</v>
      </c>
      <c r="J1107" s="164"/>
      <c r="K1107" s="62">
        <v>8.18</v>
      </c>
      <c r="L1107" s="164"/>
      <c r="M1107" s="62">
        <v>8.18</v>
      </c>
      <c r="N1107" s="164"/>
      <c r="O1107" s="62">
        <v>8.18</v>
      </c>
      <c r="P1107" s="164"/>
      <c r="Q1107" s="122">
        <f t="shared" ref="Q1107" si="9651">SUM(AI1107+BA1107)</f>
        <v>2.5</v>
      </c>
      <c r="R1107" s="346">
        <f t="shared" ref="R1107" si="9652">SUM(AJ1107+BB1107)</f>
        <v>29.025298499999998</v>
      </c>
      <c r="S1107" s="122"/>
      <c r="T1107" s="122">
        <f t="shared" ref="T1107" si="9653">I1107*S1107*$T$2/1000</f>
        <v>0</v>
      </c>
      <c r="U1107" s="122"/>
      <c r="V1107" s="122">
        <f t="shared" ref="V1107" si="9654">I1107*U1107*$V$2/1000</f>
        <v>0</v>
      </c>
      <c r="W1107" s="122"/>
      <c r="X1107" s="122">
        <f t="shared" ref="X1107" si="9655">I1107*W1107*$X$2/1000</f>
        <v>0</v>
      </c>
      <c r="Y1107" s="122">
        <f>SUM(S1107+U1107+W1107)</f>
        <v>0</v>
      </c>
      <c r="Z1107" s="122">
        <f t="shared" ref="Z1107" si="9656">SUM(T1107+V1107+X1107)</f>
        <v>0</v>
      </c>
      <c r="AA1107" s="122"/>
      <c r="AB1107" s="122">
        <f t="shared" ref="AB1107" si="9657">K1107*AA1107*$AB$2/1000</f>
        <v>0</v>
      </c>
      <c r="AC1107" s="122"/>
      <c r="AD1107" s="122">
        <f t="shared" ref="AD1107" si="9658">K1107*AC1107*$AD$2/1000</f>
        <v>0</v>
      </c>
      <c r="AE1107" s="122"/>
      <c r="AF1107" s="125">
        <f t="shared" ref="AF1107" si="9659">K1107*AE1107*$AF$2/1000</f>
        <v>0</v>
      </c>
      <c r="AG1107" s="122">
        <f t="shared" ref="AG1107" si="9660">SUM(AA1107+AC1107+AE1107)</f>
        <v>0</v>
      </c>
      <c r="AH1107" s="122">
        <f>SUM(AB1107+AD1107+AF1107)</f>
        <v>0</v>
      </c>
      <c r="AI1107" s="122">
        <f t="shared" ref="AI1107" si="9661">SUM(Y1107+AG1107)</f>
        <v>0</v>
      </c>
      <c r="AJ1107" s="122">
        <f t="shared" ref="AJ1107" si="9662">SUM(Z1107,AH1107)</f>
        <v>0</v>
      </c>
      <c r="AK1107" s="122"/>
      <c r="AL1107" s="122">
        <f t="shared" ref="AL1107" si="9663">M1107*AK1107*$AL$2/1000</f>
        <v>0</v>
      </c>
      <c r="AM1107" s="122"/>
      <c r="AN1107" s="122">
        <f t="shared" ref="AN1107" si="9664">M1107*AM1107*$AN$2/1000</f>
        <v>0</v>
      </c>
      <c r="AO1107" s="122"/>
      <c r="AP1107" s="122">
        <f t="shared" ref="AP1107" si="9665">M1107*AO1107*$AP$2/1000</f>
        <v>0</v>
      </c>
      <c r="AQ1107" s="122">
        <f t="shared" ref="AQ1107" si="9666">SUM(AK1107+AM1107+AO1107)</f>
        <v>0</v>
      </c>
      <c r="AR1107" s="122">
        <f>SUM(AL1107+AN1107+AP1107)</f>
        <v>0</v>
      </c>
      <c r="AS1107" s="122"/>
      <c r="AT1107" s="122">
        <f t="shared" ref="AT1107" si="9667">O1107*AS1107*$AT$2/1000</f>
        <v>0</v>
      </c>
      <c r="AU1107" s="122"/>
      <c r="AV1107" s="122">
        <f t="shared" ref="AV1107" si="9668">O1107*AU1107*$AV$2/1000</f>
        <v>0</v>
      </c>
      <c r="AW1107" s="122">
        <v>2.5</v>
      </c>
      <c r="AX1107" s="122">
        <f t="shared" ref="AX1107" si="9669">O1107*AW1107*$AX$2/1000</f>
        <v>29.025298499999998</v>
      </c>
      <c r="AY1107" s="122">
        <f t="shared" ref="AY1107" si="9670">SUM(AS1107+AU1107+AW1107)</f>
        <v>2.5</v>
      </c>
      <c r="AZ1107" s="122">
        <f>SUM(AT1107+AV1107+AX1107)</f>
        <v>29.025298499999998</v>
      </c>
      <c r="BA1107" s="122">
        <f t="shared" ref="BA1107" si="9671">SUM(AQ1107+AY1107)</f>
        <v>2.5</v>
      </c>
      <c r="BB1107" s="122">
        <f t="shared" ref="BB1107" si="9672">SUM(AR1107,AZ1107)</f>
        <v>29.025298499999998</v>
      </c>
    </row>
    <row r="1108" spans="1:54">
      <c r="A1108" s="498">
        <v>771</v>
      </c>
      <c r="B1108" s="13"/>
      <c r="C1108" s="302"/>
      <c r="D1108" s="13"/>
      <c r="E1108" s="13" t="s">
        <v>1632</v>
      </c>
      <c r="F1108" s="23"/>
      <c r="G1108" s="23" t="s">
        <v>1105</v>
      </c>
      <c r="H1108" s="269" t="s">
        <v>366</v>
      </c>
      <c r="I1108" s="74">
        <v>8.18</v>
      </c>
      <c r="J1108" s="171"/>
      <c r="K1108" s="74">
        <v>8.18</v>
      </c>
      <c r="L1108" s="171"/>
      <c r="M1108" s="74">
        <v>8.18</v>
      </c>
      <c r="N1108" s="171"/>
      <c r="O1108" s="74">
        <v>8.02</v>
      </c>
      <c r="P1108" s="171"/>
      <c r="Q1108" s="119">
        <f t="shared" si="9649"/>
        <v>4</v>
      </c>
      <c r="R1108" s="349">
        <f t="shared" si="9650"/>
        <v>43.849451800000004</v>
      </c>
      <c r="S1108" s="119"/>
      <c r="T1108" s="119">
        <f t="shared" ref="T1108" si="9673">I1108*S1108*$T$2/1000</f>
        <v>0</v>
      </c>
      <c r="U1108" s="119"/>
      <c r="V1108" s="119">
        <f t="shared" ref="V1108" si="9674">I1108*U1108*$V$2/1000</f>
        <v>0</v>
      </c>
      <c r="W1108" s="119"/>
      <c r="X1108" s="119">
        <f t="shared" ref="X1108" si="9675">I1108*W1108*$X$2/1000</f>
        <v>0</v>
      </c>
      <c r="Y1108" s="119">
        <f>SUM(S1108+U1108+W1108)</f>
        <v>0</v>
      </c>
      <c r="Z1108" s="119">
        <f t="shared" si="9598"/>
        <v>0</v>
      </c>
      <c r="AA1108" s="119"/>
      <c r="AB1108" s="119">
        <f t="shared" ref="AB1108" si="9676">K1108*AA1108*$AB$2/1000</f>
        <v>0</v>
      </c>
      <c r="AC1108" s="119"/>
      <c r="AD1108" s="119">
        <f t="shared" si="9647"/>
        <v>0</v>
      </c>
      <c r="AE1108" s="119"/>
      <c r="AF1108" s="522">
        <f t="shared" si="9648"/>
        <v>0</v>
      </c>
      <c r="AG1108" s="119">
        <f t="shared" ref="AG1108" si="9677">SUM(AA1108+AC1108+AE1108)</f>
        <v>0</v>
      </c>
      <c r="AH1108" s="119">
        <f t="shared" si="9601"/>
        <v>0</v>
      </c>
      <c r="AI1108" s="119">
        <f t="shared" ref="AI1108" si="9678">SUM(Y1108+AG1108)</f>
        <v>0</v>
      </c>
      <c r="AJ1108" s="119">
        <f t="shared" ref="AJ1108" si="9679">SUM(Z1108,AH1108)</f>
        <v>0</v>
      </c>
      <c r="AK1108" s="119"/>
      <c r="AL1108" s="119">
        <f t="shared" ref="AL1108" si="9680">M1108*AK1108*$AL$2/1000</f>
        <v>0</v>
      </c>
      <c r="AM1108" s="119"/>
      <c r="AN1108" s="119">
        <f t="shared" ref="AN1108" si="9681">M1108*AM1108*$AN$2/1000</f>
        <v>0</v>
      </c>
      <c r="AO1108" s="119">
        <v>2</v>
      </c>
      <c r="AP1108" s="119">
        <f t="shared" ref="AP1108" si="9682">M1108*AO1108*$AP$2/1000</f>
        <v>21.797900400000003</v>
      </c>
      <c r="AQ1108" s="119">
        <f t="shared" ref="AQ1108" si="9683">SUM(AK1108+AM1108+AO1108)</f>
        <v>2</v>
      </c>
      <c r="AR1108" s="119">
        <f>SUM(AL1108+AN1108+AP1108)</f>
        <v>21.797900400000003</v>
      </c>
      <c r="AS1108" s="119">
        <v>1</v>
      </c>
      <c r="AT1108" s="119">
        <f t="shared" ref="AT1108" si="9684">O1108*AS1108*$AT$2/1000</f>
        <v>10.890358000000001</v>
      </c>
      <c r="AU1108" s="119">
        <v>1</v>
      </c>
      <c r="AV1108" s="119">
        <f t="shared" ref="AV1108" si="9685">O1108*AU1108*$AV$2/1000</f>
        <v>11.1611934</v>
      </c>
      <c r="AW1108" s="119"/>
      <c r="AX1108" s="119">
        <f t="shared" ref="AX1108" si="9686">O1108*AW1108*$AX$2/1000</f>
        <v>0</v>
      </c>
      <c r="AY1108" s="119">
        <f t="shared" ref="AY1108" si="9687">SUM(AS1108+AU1108+AW1108)</f>
        <v>2</v>
      </c>
      <c r="AZ1108" s="119">
        <f>SUM(AT1108+AV1108+AX1108)</f>
        <v>22.051551400000001</v>
      </c>
      <c r="BA1108" s="119">
        <f t="shared" ref="BA1108" si="9688">SUM(AQ1108+AY1108)</f>
        <v>4</v>
      </c>
      <c r="BB1108" s="119">
        <f t="shared" ref="BB1108" si="9689">SUM(AR1108,AZ1108)</f>
        <v>43.849451800000004</v>
      </c>
    </row>
    <row r="1109" spans="1:54">
      <c r="A1109" s="498">
        <v>765</v>
      </c>
      <c r="B1109" s="13"/>
      <c r="C1109" s="302"/>
      <c r="D1109" s="13"/>
      <c r="E1109" s="21" t="s">
        <v>1569</v>
      </c>
      <c r="F1109" s="46"/>
      <c r="G1109" s="46" t="s">
        <v>1105</v>
      </c>
      <c r="H1109" s="268" t="s">
        <v>367</v>
      </c>
      <c r="I1109" s="55">
        <v>9.17</v>
      </c>
      <c r="J1109" s="163"/>
      <c r="K1109" s="55">
        <v>9.17</v>
      </c>
      <c r="L1109" s="163"/>
      <c r="M1109" s="55">
        <v>9.17</v>
      </c>
      <c r="N1109" s="163"/>
      <c r="O1109" s="55">
        <v>8.99</v>
      </c>
      <c r="P1109" s="163"/>
      <c r="Q1109" s="97">
        <f t="shared" ref="Q1109:Q1110" si="9690">SUM(AI1109+BA1109)</f>
        <v>6</v>
      </c>
      <c r="R1109" s="342">
        <f t="shared" ref="R1109:R1110" si="9691">SUM(AJ1109+BB1109)</f>
        <v>74.812385500000005</v>
      </c>
      <c r="S1109" s="97"/>
      <c r="T1109" s="97">
        <f t="shared" ref="T1109:T1110" si="9692">I1109*S1109*$T$2/1000</f>
        <v>0</v>
      </c>
      <c r="U1109" s="97"/>
      <c r="V1109" s="97">
        <f t="shared" ref="V1109:V1110" si="9693">I1109*U1109*$V$2/1000</f>
        <v>0</v>
      </c>
      <c r="W1109" s="97"/>
      <c r="X1109" s="97">
        <f t="shared" ref="X1109:X1110" si="9694">I1109*W1109*$X$2/1000</f>
        <v>0</v>
      </c>
      <c r="Y1109" s="97">
        <f>SUM(S1109+U1109+W1109)</f>
        <v>0</v>
      </c>
      <c r="Z1109" s="97">
        <f>SUM(T1109+V1109+X1109)</f>
        <v>0</v>
      </c>
      <c r="AA1109" s="97">
        <v>0.5</v>
      </c>
      <c r="AB1109" s="97">
        <f t="shared" si="9545"/>
        <v>6.2544901999999993</v>
      </c>
      <c r="AC1109" s="97"/>
      <c r="AD1109" s="97">
        <f t="shared" ref="AD1109:AD1110" si="9695">K1109*AC1109*$AD$2/1000</f>
        <v>0</v>
      </c>
      <c r="AE1109" s="97">
        <v>1</v>
      </c>
      <c r="AF1109" s="96">
        <f t="shared" ref="AF1109:AF1110" si="9696">K1109*AE1109*$AF$2/1000</f>
        <v>12.643871099999998</v>
      </c>
      <c r="AG1109" s="97">
        <f>SUM(AA1109+AC1109+AE1109)</f>
        <v>1.5</v>
      </c>
      <c r="AH1109" s="97">
        <f>SUM(AB1109+AD1109+AF1109)</f>
        <v>18.898361299999998</v>
      </c>
      <c r="AI1109" s="97">
        <f>SUM(Y1109+AG1109)</f>
        <v>1.5</v>
      </c>
      <c r="AJ1109" s="97">
        <f>SUM(Z1109,AH1109)</f>
        <v>18.898361299999998</v>
      </c>
      <c r="AK1109" s="97"/>
      <c r="AL1109" s="97">
        <f>M1109*AK1109*$AL$2/1000</f>
        <v>0</v>
      </c>
      <c r="AM1109" s="97"/>
      <c r="AN1109" s="97">
        <f>M1109*AM1109*$AN$2/1000</f>
        <v>0</v>
      </c>
      <c r="AO1109" s="97"/>
      <c r="AP1109" s="97">
        <f t="shared" ref="AP1109:AP1110" si="9697">M1109*AO1109*$AP$2/1000</f>
        <v>0</v>
      </c>
      <c r="AQ1109" s="97">
        <f>SUM(AK1109+AM1109+AO1109)</f>
        <v>0</v>
      </c>
      <c r="AR1109" s="97">
        <f>SUM(AL1109+AN1109+AP1109)</f>
        <v>0</v>
      </c>
      <c r="AS1109" s="97">
        <v>2.5</v>
      </c>
      <c r="AT1109" s="97">
        <f>O1109*AS1109*$AT$2/1000</f>
        <v>30.518802500000007</v>
      </c>
      <c r="AU1109" s="97">
        <v>0.5</v>
      </c>
      <c r="AV1109" s="97">
        <f>O1109*AU1109*$AV$2/1000</f>
        <v>6.2555566500000008</v>
      </c>
      <c r="AW1109" s="97">
        <v>1.5</v>
      </c>
      <c r="AX1109" s="97">
        <f>O1109*AW1109*$AX$2/1000</f>
        <v>19.139665049999998</v>
      </c>
      <c r="AY1109" s="97">
        <f>SUM(AS1109+AU1109+AW1109)</f>
        <v>4.5</v>
      </c>
      <c r="AZ1109" s="97">
        <f>SUM(AT1109+AV1109+AX1109)</f>
        <v>55.914024200000007</v>
      </c>
      <c r="BA1109" s="97">
        <f>SUM(AQ1109+AY1109)</f>
        <v>4.5</v>
      </c>
      <c r="BB1109" s="97">
        <f>SUM(AR1109,AZ1109)</f>
        <v>55.914024200000007</v>
      </c>
    </row>
    <row r="1110" spans="1:54">
      <c r="A1110" s="498">
        <v>766</v>
      </c>
      <c r="B1110" s="13"/>
      <c r="C1110" s="302"/>
      <c r="D1110" s="13"/>
      <c r="E1110" s="21" t="s">
        <v>1570</v>
      </c>
      <c r="F1110" s="46"/>
      <c r="G1110" s="46" t="s">
        <v>1105</v>
      </c>
      <c r="H1110" s="268" t="s">
        <v>367</v>
      </c>
      <c r="I1110" s="55">
        <v>9.17</v>
      </c>
      <c r="J1110" s="163"/>
      <c r="K1110" s="55">
        <v>9.17</v>
      </c>
      <c r="L1110" s="163"/>
      <c r="M1110" s="55">
        <v>9.17</v>
      </c>
      <c r="N1110" s="163"/>
      <c r="O1110" s="55">
        <v>9.17</v>
      </c>
      <c r="P1110" s="163"/>
      <c r="Q1110" s="97">
        <f t="shared" si="9690"/>
        <v>0</v>
      </c>
      <c r="R1110" s="342">
        <f t="shared" si="9691"/>
        <v>0</v>
      </c>
      <c r="S1110" s="97"/>
      <c r="T1110" s="97">
        <f t="shared" si="9692"/>
        <v>0</v>
      </c>
      <c r="U1110" s="97"/>
      <c r="V1110" s="97">
        <f t="shared" si="9693"/>
        <v>0</v>
      </c>
      <c r="W1110" s="97"/>
      <c r="X1110" s="97">
        <f t="shared" si="9694"/>
        <v>0</v>
      </c>
      <c r="Y1110" s="97">
        <f t="shared" ref="Y1110" si="9698">SUM(S1110+U1110+W1110)</f>
        <v>0</v>
      </c>
      <c r="Z1110" s="97">
        <f t="shared" ref="Z1110" si="9699">SUM(T1110+V1110+X1110)</f>
        <v>0</v>
      </c>
      <c r="AA1110" s="97"/>
      <c r="AB1110" s="97">
        <f t="shared" si="9545"/>
        <v>0</v>
      </c>
      <c r="AC1110" s="97"/>
      <c r="AD1110" s="97">
        <f t="shared" si="9695"/>
        <v>0</v>
      </c>
      <c r="AE1110" s="97"/>
      <c r="AF1110" s="96">
        <f t="shared" si="9696"/>
        <v>0</v>
      </c>
      <c r="AG1110" s="97">
        <f t="shared" ref="AG1110" si="9700">SUM(AA1110+AC1110+AE1110)</f>
        <v>0</v>
      </c>
      <c r="AH1110" s="97">
        <f t="shared" ref="AH1110" si="9701">SUM(AB1110+AD1110+AF1110)</f>
        <v>0</v>
      </c>
      <c r="AI1110" s="97">
        <f t="shared" ref="AI1110" si="9702">SUM(Y1110+AG1110)</f>
        <v>0</v>
      </c>
      <c r="AJ1110" s="97">
        <f t="shared" ref="AJ1110" si="9703">SUM(Z1110,AH1110)</f>
        <v>0</v>
      </c>
      <c r="AK1110" s="97"/>
      <c r="AL1110" s="97">
        <f t="shared" ref="AL1110" si="9704">M1110*AK1110*$AL$2/1000</f>
        <v>0</v>
      </c>
      <c r="AM1110" s="97"/>
      <c r="AN1110" s="97">
        <f t="shared" ref="AN1110" si="9705">M1110*AM1110*$AN$2/1000</f>
        <v>0</v>
      </c>
      <c r="AO1110" s="97"/>
      <c r="AP1110" s="97">
        <f t="shared" si="9697"/>
        <v>0</v>
      </c>
      <c r="AQ1110" s="97">
        <f t="shared" ref="AQ1110" si="9706">SUM(AK1110+AM1110+AO1110)</f>
        <v>0</v>
      </c>
      <c r="AR1110" s="97">
        <f t="shared" ref="AR1110" si="9707">SUM(AL1110+AN1110+AP1110)</f>
        <v>0</v>
      </c>
      <c r="AS1110" s="97"/>
      <c r="AT1110" s="97">
        <f t="shared" ref="AT1110" si="9708">O1110*AS1110*$AT$2/1000</f>
        <v>0</v>
      </c>
      <c r="AU1110" s="97"/>
      <c r="AV1110" s="97">
        <f t="shared" ref="AV1110" si="9709">O1110*AU1110*$AV$2/1000</f>
        <v>0</v>
      </c>
      <c r="AW1110" s="97"/>
      <c r="AX1110" s="97">
        <f t="shared" ref="AX1110" si="9710">O1110*AW1110*$AX$2/1000</f>
        <v>0</v>
      </c>
      <c r="AY1110" s="97">
        <f t="shared" ref="AY1110" si="9711">SUM(AS1110+AU1110+AW1110)</f>
        <v>0</v>
      </c>
      <c r="AZ1110" s="97">
        <f t="shared" ref="AZ1110" si="9712">SUM(AT1110+AV1110+AX1110)</f>
        <v>0</v>
      </c>
      <c r="BA1110" s="97">
        <f t="shared" ref="BA1110" si="9713">SUM(AQ1110+AY1110)</f>
        <v>0</v>
      </c>
      <c r="BB1110" s="97">
        <f t="shared" ref="BB1110" si="9714">SUM(AR1110,AZ1110)</f>
        <v>0</v>
      </c>
    </row>
    <row r="1111" spans="1:54">
      <c r="A1111" s="498">
        <v>765</v>
      </c>
      <c r="B1111" s="13"/>
      <c r="C1111" s="302"/>
      <c r="D1111" s="13"/>
      <c r="E1111" s="21" t="s">
        <v>1571</v>
      </c>
      <c r="F1111" s="46"/>
      <c r="G1111" s="46" t="s">
        <v>1105</v>
      </c>
      <c r="H1111" s="268" t="s">
        <v>367</v>
      </c>
      <c r="I1111" s="55">
        <v>9.17</v>
      </c>
      <c r="J1111" s="163"/>
      <c r="K1111" s="55">
        <v>9.17</v>
      </c>
      <c r="L1111" s="163"/>
      <c r="M1111" s="55">
        <v>9.17</v>
      </c>
      <c r="N1111" s="163"/>
      <c r="O1111" s="55">
        <v>8.99</v>
      </c>
      <c r="P1111" s="163"/>
      <c r="Q1111" s="97">
        <f t="shared" si="9649"/>
        <v>19.538</v>
      </c>
      <c r="R1111" s="342">
        <f t="shared" si="9650"/>
        <v>242.81700900600003</v>
      </c>
      <c r="S1111" s="97"/>
      <c r="T1111" s="97">
        <f t="shared" ref="T1111:T1116" si="9715">I1111*S1111*$T$2/1000</f>
        <v>0</v>
      </c>
      <c r="U1111" s="97"/>
      <c r="V1111" s="97">
        <f t="shared" ref="V1111:V1116" si="9716">I1111*U1111*$V$2/1000</f>
        <v>0</v>
      </c>
      <c r="W1111" s="97">
        <v>1.8380000000000001</v>
      </c>
      <c r="X1111" s="97">
        <f t="shared" ref="X1111:X1116" si="9717">I1111*W1111*$X$2/1000</f>
        <v>22.426544476</v>
      </c>
      <c r="Y1111" s="97">
        <f>SUM(S1111+U1111+W1111)</f>
        <v>1.8380000000000001</v>
      </c>
      <c r="Z1111" s="97">
        <f>SUM(T1111+V1111+X1111)</f>
        <v>22.426544476</v>
      </c>
      <c r="AA1111" s="97">
        <v>4.2</v>
      </c>
      <c r="AB1111" s="97">
        <f t="shared" ref="AB1111:AB1116" si="9718">K1111*AA1111*$AB$2/1000</f>
        <v>52.53771768</v>
      </c>
      <c r="AC1111" s="97">
        <v>3</v>
      </c>
      <c r="AD1111" s="97">
        <f t="shared" si="9647"/>
        <v>37.6785213</v>
      </c>
      <c r="AE1111" s="97"/>
      <c r="AF1111" s="96">
        <f t="shared" si="9648"/>
        <v>0</v>
      </c>
      <c r="AG1111" s="97">
        <f>SUM(AA1111+AC1111+AE1111)</f>
        <v>7.2</v>
      </c>
      <c r="AH1111" s="97">
        <f>SUM(AB1111+AD1111+AF1111)</f>
        <v>90.21623898</v>
      </c>
      <c r="AI1111" s="97">
        <f>SUM(Y1111+AG1111)</f>
        <v>9.0380000000000003</v>
      </c>
      <c r="AJ1111" s="97">
        <f>SUM(Z1111,AH1111)</f>
        <v>112.642783456</v>
      </c>
      <c r="AK1111" s="97"/>
      <c r="AL1111" s="97">
        <f>M1111*AK1111*$AL$2/1000</f>
        <v>0</v>
      </c>
      <c r="AM1111" s="97">
        <v>3</v>
      </c>
      <c r="AN1111" s="97">
        <f>M1111*AM1111*$AN$2/1000</f>
        <v>37.443860999999998</v>
      </c>
      <c r="AO1111" s="97">
        <v>4</v>
      </c>
      <c r="AP1111" s="97">
        <f t="shared" si="9606"/>
        <v>48.872065200000002</v>
      </c>
      <c r="AQ1111" s="97">
        <f>SUM(AK1111+AM1111+AO1111)</f>
        <v>7</v>
      </c>
      <c r="AR1111" s="97">
        <f>SUM(AL1111+AN1111+AP1111)</f>
        <v>86.315926200000007</v>
      </c>
      <c r="AS1111" s="97">
        <v>1</v>
      </c>
      <c r="AT1111" s="97">
        <f>O1111*AS1111*$AT$2/1000</f>
        <v>12.207521</v>
      </c>
      <c r="AU1111" s="97">
        <v>1</v>
      </c>
      <c r="AV1111" s="97">
        <f>O1111*AU1111*$AV$2/1000</f>
        <v>12.511113300000002</v>
      </c>
      <c r="AW1111" s="97">
        <v>1.5</v>
      </c>
      <c r="AX1111" s="97">
        <f>O1111*AW1111*$AX$2/1000</f>
        <v>19.139665049999998</v>
      </c>
      <c r="AY1111" s="97">
        <f>SUM(AS1111+AU1111+AW1111)</f>
        <v>3.5</v>
      </c>
      <c r="AZ1111" s="97">
        <f>SUM(AT1111+AV1111+AX1111)</f>
        <v>43.858299349999996</v>
      </c>
      <c r="BA1111" s="97">
        <f>SUM(AQ1111+AY1111)</f>
        <v>10.5</v>
      </c>
      <c r="BB1111" s="97">
        <f>SUM(AR1111,AZ1111)</f>
        <v>130.17422555000002</v>
      </c>
    </row>
    <row r="1112" spans="1:54">
      <c r="A1112" s="498">
        <v>771</v>
      </c>
      <c r="B1112" s="13"/>
      <c r="C1112" s="302"/>
      <c r="D1112" s="13"/>
      <c r="E1112" s="21" t="s">
        <v>1676</v>
      </c>
      <c r="F1112" s="46"/>
      <c r="G1112" s="46" t="s">
        <v>1105</v>
      </c>
      <c r="H1112" s="268" t="s">
        <v>366</v>
      </c>
      <c r="I1112" s="55">
        <v>10.06</v>
      </c>
      <c r="J1112" s="163"/>
      <c r="K1112" s="55">
        <v>10.06</v>
      </c>
      <c r="L1112" s="163"/>
      <c r="M1112" s="55">
        <v>10.06</v>
      </c>
      <c r="N1112" s="163"/>
      <c r="O1112" s="55">
        <v>9.86</v>
      </c>
      <c r="P1112" s="163"/>
      <c r="Q1112" s="97">
        <f t="shared" ref="Q1112" si="9719">SUM(AI1112+BA1112)</f>
        <v>6.3</v>
      </c>
      <c r="R1112" s="342">
        <f t="shared" ref="R1112" si="9720">SUM(AJ1112+BB1112)</f>
        <v>86.007110112399999</v>
      </c>
      <c r="S1112" s="97"/>
      <c r="T1112" s="97">
        <f t="shared" ref="T1112" si="9721">I1112*S1112*$T$2/1000</f>
        <v>0</v>
      </c>
      <c r="U1112" s="97"/>
      <c r="V1112" s="97">
        <f t="shared" ref="V1112" si="9722">I1112*U1112*$V$2/1000</f>
        <v>0</v>
      </c>
      <c r="W1112" s="97"/>
      <c r="X1112" s="97">
        <f t="shared" ref="X1112" si="9723">I1112*W1112*$X$2/1000</f>
        <v>0</v>
      </c>
      <c r="Y1112" s="97">
        <f>SUM(S1112+U1112+W1112)</f>
        <v>0</v>
      </c>
      <c r="Z1112" s="97">
        <f t="shared" ref="Z1112" si="9724">SUM(T1112+V1112+X1112)</f>
        <v>0</v>
      </c>
      <c r="AA1112" s="97"/>
      <c r="AB1112" s="97">
        <f t="shared" ref="AB1112" si="9725">K1112*AA1112*$AB$2/1000</f>
        <v>0</v>
      </c>
      <c r="AC1112" s="97">
        <v>0.5</v>
      </c>
      <c r="AD1112" s="97">
        <f t="shared" ref="AD1112" si="9726">K1112*AC1112*$AD$2/1000</f>
        <v>6.8892389000000014</v>
      </c>
      <c r="AE1112" s="97">
        <v>0.8</v>
      </c>
      <c r="AF1112" s="96">
        <f t="shared" ref="AF1112" si="9727">K1112*AE1112*$AF$2/1000</f>
        <v>11.096823839999999</v>
      </c>
      <c r="AG1112" s="97">
        <f t="shared" ref="AG1112" si="9728">SUM(AA1112+AC1112+AE1112)</f>
        <v>1.3</v>
      </c>
      <c r="AH1112" s="97">
        <f t="shared" ref="AH1112" si="9729">SUM(AB1112+AD1112+AF1112)</f>
        <v>17.986062740000001</v>
      </c>
      <c r="AI1112" s="97">
        <f t="shared" ref="AI1112" si="9730">SUM(Y1112+AG1112)</f>
        <v>1.3</v>
      </c>
      <c r="AJ1112" s="97">
        <f t="shared" ref="AJ1112" si="9731">SUM(Z1112,AH1112)</f>
        <v>17.986062740000001</v>
      </c>
      <c r="AK1112" s="97">
        <v>7.2999999999999995E-2</v>
      </c>
      <c r="AL1112" s="97">
        <f t="shared" ref="AL1112" si="9732">M1112*AK1112*$AL$2/1000</f>
        <v>1.0157062904</v>
      </c>
      <c r="AM1112" s="97">
        <v>0.42699999999999999</v>
      </c>
      <c r="AN1112" s="97">
        <f t="shared" ref="AN1112" si="9733">M1112*AM1112*$AN$2/1000</f>
        <v>5.8467683820000005</v>
      </c>
      <c r="AO1112" s="97"/>
      <c r="AP1112" s="97">
        <f t="shared" si="9606"/>
        <v>0</v>
      </c>
      <c r="AQ1112" s="97">
        <f t="shared" ref="AQ1112" si="9734">SUM(AK1112+AM1112+AO1112)</f>
        <v>0.5</v>
      </c>
      <c r="AR1112" s="97">
        <f t="shared" ref="AR1112" si="9735">SUM(AL1112+AN1112+AP1112)</f>
        <v>6.8624746724000003</v>
      </c>
      <c r="AS1112" s="97">
        <v>3</v>
      </c>
      <c r="AT1112" s="97">
        <f t="shared" ref="AT1112" si="9736">O1112*AS1112*$AT$2/1000</f>
        <v>40.166682000000002</v>
      </c>
      <c r="AU1112" s="97"/>
      <c r="AV1112" s="97">
        <f t="shared" ref="AV1112" si="9737">O1112*AU1112*$AV$2/1000</f>
        <v>0</v>
      </c>
      <c r="AW1112" s="97">
        <v>1.5</v>
      </c>
      <c r="AX1112" s="97">
        <f t="shared" ref="AX1112" si="9738">O1112*AW1112*$AX$2/1000</f>
        <v>20.991890699999995</v>
      </c>
      <c r="AY1112" s="97">
        <f t="shared" ref="AY1112" si="9739">SUM(AS1112+AU1112+AW1112)</f>
        <v>4.5</v>
      </c>
      <c r="AZ1112" s="97">
        <f t="shared" ref="AZ1112" si="9740">SUM(AT1112+AV1112+AX1112)</f>
        <v>61.158572699999993</v>
      </c>
      <c r="BA1112" s="97">
        <f t="shared" ref="BA1112" si="9741">SUM(AQ1112+AY1112)</f>
        <v>5</v>
      </c>
      <c r="BB1112" s="97">
        <f t="shared" ref="BB1112" si="9742">SUM(AR1112,AZ1112)</f>
        <v>68.021047372399991</v>
      </c>
    </row>
    <row r="1113" spans="1:54">
      <c r="A1113" s="498">
        <v>771</v>
      </c>
      <c r="B1113" s="13"/>
      <c r="C1113" s="302"/>
      <c r="D1113" s="13"/>
      <c r="E1113" s="13" t="s">
        <v>1677</v>
      </c>
      <c r="F1113" s="23"/>
      <c r="G1113" s="23" t="s">
        <v>1105</v>
      </c>
      <c r="H1113" s="269" t="s">
        <v>366</v>
      </c>
      <c r="I1113" s="74">
        <v>10.06</v>
      </c>
      <c r="J1113" s="171"/>
      <c r="K1113" s="74">
        <v>10.06</v>
      </c>
      <c r="L1113" s="171"/>
      <c r="M1113" s="74">
        <v>10.06</v>
      </c>
      <c r="N1113" s="171"/>
      <c r="O1113" s="74">
        <v>10.06</v>
      </c>
      <c r="P1113" s="171"/>
      <c r="Q1113" s="119">
        <f t="shared" si="9649"/>
        <v>0</v>
      </c>
      <c r="R1113" s="349">
        <f t="shared" si="9650"/>
        <v>0</v>
      </c>
      <c r="S1113" s="119"/>
      <c r="T1113" s="119">
        <f t="shared" si="9715"/>
        <v>0</v>
      </c>
      <c r="U1113" s="119"/>
      <c r="V1113" s="119">
        <f t="shared" si="9716"/>
        <v>0</v>
      </c>
      <c r="W1113" s="119"/>
      <c r="X1113" s="119">
        <f t="shared" si="9717"/>
        <v>0</v>
      </c>
      <c r="Y1113" s="119">
        <f>SUM(S1113+U1113+W1113)</f>
        <v>0</v>
      </c>
      <c r="Z1113" s="119">
        <f t="shared" ref="Z1113" si="9743">SUM(T1113+V1113+X1113)</f>
        <v>0</v>
      </c>
      <c r="AA1113" s="119"/>
      <c r="AB1113" s="119">
        <f t="shared" si="9718"/>
        <v>0</v>
      </c>
      <c r="AC1113" s="119"/>
      <c r="AD1113" s="119">
        <f t="shared" si="9647"/>
        <v>0</v>
      </c>
      <c r="AE1113" s="119"/>
      <c r="AF1113" s="522">
        <f t="shared" si="9648"/>
        <v>0</v>
      </c>
      <c r="AG1113" s="119">
        <f t="shared" ref="AG1113" si="9744">SUM(AA1113+AC1113+AE1113)</f>
        <v>0</v>
      </c>
      <c r="AH1113" s="119">
        <f t="shared" ref="AH1113" si="9745">SUM(AB1113+AD1113+AF1113)</f>
        <v>0</v>
      </c>
      <c r="AI1113" s="119">
        <f t="shared" ref="AI1113" si="9746">SUM(Y1113+AG1113)</f>
        <v>0</v>
      </c>
      <c r="AJ1113" s="119">
        <f t="shared" ref="AJ1113" si="9747">SUM(Z1113,AH1113)</f>
        <v>0</v>
      </c>
      <c r="AK1113" s="119"/>
      <c r="AL1113" s="119">
        <f t="shared" ref="AL1113" si="9748">M1113*AK1113*$AL$2/1000</f>
        <v>0</v>
      </c>
      <c r="AM1113" s="119"/>
      <c r="AN1113" s="119">
        <f t="shared" ref="AN1113" si="9749">M1113*AM1113*$AN$2/1000</f>
        <v>0</v>
      </c>
      <c r="AO1113" s="119"/>
      <c r="AP1113" s="119">
        <f t="shared" ref="AP1113" si="9750">M1113*AO1113*$AP$2/1000</f>
        <v>0</v>
      </c>
      <c r="AQ1113" s="119">
        <f t="shared" ref="AQ1113" si="9751">SUM(AK1113+AM1113+AO1113)</f>
        <v>0</v>
      </c>
      <c r="AR1113" s="119">
        <f t="shared" ref="AR1113" si="9752">SUM(AL1113+AN1113+AP1113)</f>
        <v>0</v>
      </c>
      <c r="AS1113" s="119"/>
      <c r="AT1113" s="119">
        <f t="shared" ref="AT1113" si="9753">O1113*AS1113*$AT$2/1000</f>
        <v>0</v>
      </c>
      <c r="AU1113" s="119"/>
      <c r="AV1113" s="119">
        <f t="shared" ref="AV1113" si="9754">O1113*AU1113*$AV$2/1000</f>
        <v>0</v>
      </c>
      <c r="AW1113" s="119"/>
      <c r="AX1113" s="119">
        <f t="shared" ref="AX1113" si="9755">O1113*AW1113*$AX$2/1000</f>
        <v>0</v>
      </c>
      <c r="AY1113" s="119">
        <f t="shared" ref="AY1113" si="9756">SUM(AS1113+AU1113+AW1113)</f>
        <v>0</v>
      </c>
      <c r="AZ1113" s="119">
        <f t="shared" ref="AZ1113" si="9757">SUM(AT1113+AV1113+AX1113)</f>
        <v>0</v>
      </c>
      <c r="BA1113" s="119">
        <f t="shared" ref="BA1113" si="9758">SUM(AQ1113+AY1113)</f>
        <v>0</v>
      </c>
      <c r="BB1113" s="119">
        <f t="shared" ref="BB1113" si="9759">SUM(AR1113,AZ1113)</f>
        <v>0</v>
      </c>
    </row>
    <row r="1114" spans="1:54">
      <c r="A1114" s="498">
        <v>766</v>
      </c>
      <c r="B1114" s="13"/>
      <c r="C1114" s="302"/>
      <c r="D1114" s="13"/>
      <c r="E1114" s="523" t="s">
        <v>1572</v>
      </c>
      <c r="F1114" s="525"/>
      <c r="G1114" s="525" t="s">
        <v>1105</v>
      </c>
      <c r="H1114" s="526" t="s">
        <v>367</v>
      </c>
      <c r="I1114" s="504">
        <v>10.06</v>
      </c>
      <c r="J1114" s="505"/>
      <c r="K1114" s="504">
        <v>10.06</v>
      </c>
      <c r="L1114" s="505"/>
      <c r="M1114" s="504">
        <v>10.06</v>
      </c>
      <c r="N1114" s="505"/>
      <c r="O1114" s="504">
        <v>10.06</v>
      </c>
      <c r="P1114" s="505"/>
      <c r="Q1114" s="528">
        <f t="shared" si="9649"/>
        <v>15.427</v>
      </c>
      <c r="R1114" s="529">
        <f t="shared" si="9650"/>
        <v>211.58547278960003</v>
      </c>
      <c r="S1114" s="528"/>
      <c r="T1114" s="528">
        <f t="shared" si="9715"/>
        <v>0</v>
      </c>
      <c r="U1114" s="528"/>
      <c r="V1114" s="528">
        <f t="shared" si="9716"/>
        <v>0</v>
      </c>
      <c r="W1114" s="528"/>
      <c r="X1114" s="528">
        <f t="shared" si="9717"/>
        <v>0</v>
      </c>
      <c r="Y1114" s="528">
        <f t="shared" ref="Y1114:Y1115" si="9760">SUM(S1114+U1114+W1114)</f>
        <v>0</v>
      </c>
      <c r="Z1114" s="528">
        <f t="shared" ref="Z1114:Z1116" si="9761">SUM(T1114+V1114+X1114)</f>
        <v>0</v>
      </c>
      <c r="AA1114" s="528"/>
      <c r="AB1114" s="528">
        <f t="shared" si="9718"/>
        <v>0</v>
      </c>
      <c r="AC1114" s="528">
        <v>2.76</v>
      </c>
      <c r="AD1114" s="528">
        <f t="shared" si="9647"/>
        <v>38.028598728000006</v>
      </c>
      <c r="AE1114" s="528">
        <v>1</v>
      </c>
      <c r="AF1114" s="544">
        <f t="shared" si="9648"/>
        <v>13.871029800000001</v>
      </c>
      <c r="AG1114" s="528">
        <f t="shared" ref="AG1114" si="9762">SUM(AA1114+AC1114+AE1114)</f>
        <v>3.76</v>
      </c>
      <c r="AH1114" s="528">
        <f t="shared" ref="AH1114" si="9763">SUM(AB1114+AD1114+AF1114)</f>
        <v>51.899628528000008</v>
      </c>
      <c r="AI1114" s="528">
        <f t="shared" ref="AI1114:AI1116" si="9764">SUM(Y1114+AG1114)</f>
        <v>3.76</v>
      </c>
      <c r="AJ1114" s="528">
        <f t="shared" ref="AJ1114:AJ1116" si="9765">SUM(Z1114,AH1114)</f>
        <v>51.899628528000008</v>
      </c>
      <c r="AK1114" s="528">
        <v>0.66700000000000004</v>
      </c>
      <c r="AL1114" s="528">
        <f t="shared" ref="AL1114:AL1116" si="9766">M1114*AK1114*$AL$2/1000</f>
        <v>9.2804944616000018</v>
      </c>
      <c r="AM1114" s="528">
        <v>2</v>
      </c>
      <c r="AN1114" s="528">
        <f t="shared" ref="AN1114:AN1116" si="9767">M1114*AM1114*$AN$2/1000</f>
        <v>27.385331999999998</v>
      </c>
      <c r="AO1114" s="528">
        <v>5</v>
      </c>
      <c r="AP1114" s="528">
        <f t="shared" si="9606"/>
        <v>67.019216999999998</v>
      </c>
      <c r="AQ1114" s="528">
        <f t="shared" ref="AQ1114:AQ1116" si="9768">SUM(AK1114+AM1114+AO1114)</f>
        <v>7.6669999999999998</v>
      </c>
      <c r="AR1114" s="528">
        <f t="shared" ref="AR1114:AR1116" si="9769">SUM(AL1114+AN1114+AP1114)</f>
        <v>103.6850434616</v>
      </c>
      <c r="AS1114" s="528"/>
      <c r="AT1114" s="528">
        <f t="shared" ref="AT1114:AT1116" si="9770">O1114*AS1114*$AT$2/1000</f>
        <v>0</v>
      </c>
      <c r="AU1114" s="528">
        <v>4</v>
      </c>
      <c r="AV1114" s="528">
        <f t="shared" ref="AV1114:AV1116" si="9771">O1114*AU1114*$AV$2/1000</f>
        <v>56.000800800000007</v>
      </c>
      <c r="AW1114" s="528"/>
      <c r="AX1114" s="528">
        <f t="shared" ref="AX1114:AX1116" si="9772">O1114*AW1114*$AX$2/1000</f>
        <v>0</v>
      </c>
      <c r="AY1114" s="528">
        <f t="shared" ref="AY1114:AY1116" si="9773">SUM(AS1114+AU1114+AW1114)</f>
        <v>4</v>
      </c>
      <c r="AZ1114" s="528">
        <f t="shared" ref="AZ1114:AZ1116" si="9774">SUM(AT1114+AV1114+AX1114)</f>
        <v>56.000800800000007</v>
      </c>
      <c r="BA1114" s="528">
        <f t="shared" ref="BA1114:BA1116" si="9775">SUM(AQ1114+AY1114)</f>
        <v>11.667</v>
      </c>
      <c r="BB1114" s="528">
        <f t="shared" ref="BB1114:BB1116" si="9776">SUM(AR1114,AZ1114)</f>
        <v>159.68584426160001</v>
      </c>
    </row>
    <row r="1115" spans="1:54">
      <c r="A1115" s="498" t="s">
        <v>1683</v>
      </c>
      <c r="B1115" s="13"/>
      <c r="C1115" s="302"/>
      <c r="D1115" s="13"/>
      <c r="E1115" s="90" t="s">
        <v>1685</v>
      </c>
      <c r="F1115" s="430"/>
      <c r="G1115" s="430" t="s">
        <v>1105</v>
      </c>
      <c r="H1115" s="287" t="s">
        <v>366</v>
      </c>
      <c r="I1115" s="76">
        <v>10.06</v>
      </c>
      <c r="J1115" s="168"/>
      <c r="K1115" s="76">
        <v>10.06</v>
      </c>
      <c r="L1115" s="168"/>
      <c r="M1115" s="76">
        <v>10.06</v>
      </c>
      <c r="N1115" s="168"/>
      <c r="O1115" s="76">
        <v>10.06</v>
      </c>
      <c r="P1115" s="168"/>
      <c r="Q1115" s="131">
        <f t="shared" si="9649"/>
        <v>0</v>
      </c>
      <c r="R1115" s="352">
        <f t="shared" si="9650"/>
        <v>0</v>
      </c>
      <c r="S1115" s="131"/>
      <c r="T1115" s="131">
        <f t="shared" si="9715"/>
        <v>0</v>
      </c>
      <c r="U1115" s="131"/>
      <c r="V1115" s="131">
        <f t="shared" si="9716"/>
        <v>0</v>
      </c>
      <c r="W1115" s="131"/>
      <c r="X1115" s="131">
        <f t="shared" si="9717"/>
        <v>0</v>
      </c>
      <c r="Y1115" s="131">
        <f t="shared" si="9760"/>
        <v>0</v>
      </c>
      <c r="Z1115" s="131">
        <f t="shared" si="9761"/>
        <v>0</v>
      </c>
      <c r="AA1115" s="131"/>
      <c r="AB1115" s="131">
        <f t="shared" si="9718"/>
        <v>0</v>
      </c>
      <c r="AC1115" s="131"/>
      <c r="AD1115" s="131">
        <f t="shared" si="9647"/>
        <v>0</v>
      </c>
      <c r="AE1115" s="131"/>
      <c r="AF1115" s="434">
        <f t="shared" si="9648"/>
        <v>0</v>
      </c>
      <c r="AG1115" s="131">
        <f t="shared" ref="AG1115" si="9777">SUM(AA1115+AC1115+AE1115)</f>
        <v>0</v>
      </c>
      <c r="AH1115" s="131">
        <f t="shared" ref="AH1115" si="9778">SUM(AB1115+AD1115+AF1115)</f>
        <v>0</v>
      </c>
      <c r="AI1115" s="131">
        <f t="shared" si="9764"/>
        <v>0</v>
      </c>
      <c r="AJ1115" s="131">
        <f t="shared" si="9765"/>
        <v>0</v>
      </c>
      <c r="AK1115" s="131"/>
      <c r="AL1115" s="131">
        <f t="shared" si="9766"/>
        <v>0</v>
      </c>
      <c r="AM1115" s="131"/>
      <c r="AN1115" s="131">
        <f t="shared" si="9767"/>
        <v>0</v>
      </c>
      <c r="AO1115" s="131"/>
      <c r="AP1115" s="131">
        <f t="shared" si="9606"/>
        <v>0</v>
      </c>
      <c r="AQ1115" s="131">
        <f t="shared" si="9768"/>
        <v>0</v>
      </c>
      <c r="AR1115" s="131">
        <f t="shared" ref="AR1115" si="9779">SUM(AL1115+AN1115+AP1115)</f>
        <v>0</v>
      </c>
      <c r="AS1115" s="131"/>
      <c r="AT1115" s="131">
        <f t="shared" si="9770"/>
        <v>0</v>
      </c>
      <c r="AU1115" s="131"/>
      <c r="AV1115" s="131">
        <f t="shared" si="9771"/>
        <v>0</v>
      </c>
      <c r="AW1115" s="131"/>
      <c r="AX1115" s="131">
        <f t="shared" si="9772"/>
        <v>0</v>
      </c>
      <c r="AY1115" s="131">
        <f t="shared" si="9773"/>
        <v>0</v>
      </c>
      <c r="AZ1115" s="131">
        <f>SUM(AT1115+AV1115+AX1115)</f>
        <v>0</v>
      </c>
      <c r="BA1115" s="131">
        <f t="shared" si="9775"/>
        <v>0</v>
      </c>
      <c r="BB1115" s="131">
        <f t="shared" si="9776"/>
        <v>0</v>
      </c>
    </row>
    <row r="1116" spans="1:54">
      <c r="A1116" s="498">
        <v>771</v>
      </c>
      <c r="B1116" s="13"/>
      <c r="C1116" s="302"/>
      <c r="D1116" s="24"/>
      <c r="E1116" s="13" t="s">
        <v>1644</v>
      </c>
      <c r="F1116" s="23"/>
      <c r="G1116" s="23" t="s">
        <v>1105</v>
      </c>
      <c r="H1116" s="269" t="s">
        <v>367</v>
      </c>
      <c r="I1116" s="74">
        <v>11.6</v>
      </c>
      <c r="J1116" s="171"/>
      <c r="K1116" s="74">
        <v>11.6</v>
      </c>
      <c r="L1116" s="171"/>
      <c r="M1116" s="74">
        <v>11.6</v>
      </c>
      <c r="N1116" s="171"/>
      <c r="O1116" s="74">
        <v>11.6</v>
      </c>
      <c r="P1116" s="171"/>
      <c r="Q1116" s="119">
        <f t="shared" si="9649"/>
        <v>0</v>
      </c>
      <c r="R1116" s="349">
        <f t="shared" si="9650"/>
        <v>0</v>
      </c>
      <c r="S1116" s="119"/>
      <c r="T1116" s="119">
        <f t="shared" si="9715"/>
        <v>0</v>
      </c>
      <c r="U1116" s="119"/>
      <c r="V1116" s="119">
        <f t="shared" si="9716"/>
        <v>0</v>
      </c>
      <c r="W1116" s="119"/>
      <c r="X1116" s="119">
        <f t="shared" si="9717"/>
        <v>0</v>
      </c>
      <c r="Y1116" s="119">
        <f>SUM(S1116+U1116+W1116)</f>
        <v>0</v>
      </c>
      <c r="Z1116" s="119">
        <f t="shared" si="9761"/>
        <v>0</v>
      </c>
      <c r="AA1116" s="119"/>
      <c r="AB1116" s="119">
        <f t="shared" si="9718"/>
        <v>0</v>
      </c>
      <c r="AC1116" s="119"/>
      <c r="AD1116" s="119">
        <f t="shared" si="9647"/>
        <v>0</v>
      </c>
      <c r="AE1116" s="119"/>
      <c r="AF1116" s="522">
        <f t="shared" si="9648"/>
        <v>0</v>
      </c>
      <c r="AG1116" s="119">
        <f t="shared" ref="AG1116" si="9780">SUM(AA1116+AC1116+AE1116)</f>
        <v>0</v>
      </c>
      <c r="AH1116" s="119">
        <f t="shared" ref="AH1116" si="9781">SUM(AB1116+AD1116+AF1116)</f>
        <v>0</v>
      </c>
      <c r="AI1116" s="119">
        <f t="shared" si="9764"/>
        <v>0</v>
      </c>
      <c r="AJ1116" s="119">
        <f t="shared" si="9765"/>
        <v>0</v>
      </c>
      <c r="AK1116" s="119"/>
      <c r="AL1116" s="119">
        <f t="shared" si="9766"/>
        <v>0</v>
      </c>
      <c r="AM1116" s="119"/>
      <c r="AN1116" s="119">
        <f t="shared" si="9767"/>
        <v>0</v>
      </c>
      <c r="AO1116" s="119"/>
      <c r="AP1116" s="119">
        <f t="shared" ref="AP1116" si="9782">M1116*AO1116*$AP$2/1000</f>
        <v>0</v>
      </c>
      <c r="AQ1116" s="119">
        <f t="shared" si="9768"/>
        <v>0</v>
      </c>
      <c r="AR1116" s="119">
        <f t="shared" si="9769"/>
        <v>0</v>
      </c>
      <c r="AS1116" s="119"/>
      <c r="AT1116" s="119">
        <f t="shared" si="9770"/>
        <v>0</v>
      </c>
      <c r="AU1116" s="119"/>
      <c r="AV1116" s="119">
        <f t="shared" si="9771"/>
        <v>0</v>
      </c>
      <c r="AW1116" s="119"/>
      <c r="AX1116" s="119">
        <f t="shared" si="9772"/>
        <v>0</v>
      </c>
      <c r="AY1116" s="119">
        <f t="shared" si="9773"/>
        <v>0</v>
      </c>
      <c r="AZ1116" s="119">
        <f t="shared" si="9774"/>
        <v>0</v>
      </c>
      <c r="BA1116" s="119">
        <f t="shared" si="9775"/>
        <v>0</v>
      </c>
      <c r="BB1116" s="119">
        <f t="shared" si="9776"/>
        <v>0</v>
      </c>
    </row>
    <row r="1117" spans="1:54">
      <c r="A1117" s="498">
        <v>775</v>
      </c>
      <c r="B1117" s="13"/>
      <c r="C1117" s="305" t="s">
        <v>511</v>
      </c>
      <c r="D1117" s="13" t="s">
        <v>396</v>
      </c>
      <c r="E1117" s="31" t="s">
        <v>397</v>
      </c>
      <c r="F1117" s="314" t="s">
        <v>398</v>
      </c>
      <c r="G1117" s="314" t="s">
        <v>1105</v>
      </c>
      <c r="H1117" s="274" t="s">
        <v>441</v>
      </c>
      <c r="I1117" s="62">
        <v>4.08</v>
      </c>
      <c r="J1117" s="164"/>
      <c r="K1117" s="62">
        <v>4.08</v>
      </c>
      <c r="L1117" s="164"/>
      <c r="M1117" s="62">
        <v>4.08</v>
      </c>
      <c r="N1117" s="164"/>
      <c r="O1117" s="62">
        <v>4.08</v>
      </c>
      <c r="P1117" s="164"/>
      <c r="Q1117" s="122">
        <f t="shared" si="7455"/>
        <v>0</v>
      </c>
      <c r="R1117" s="346">
        <f t="shared" si="7455"/>
        <v>0</v>
      </c>
      <c r="S1117" s="122"/>
      <c r="T1117" s="122">
        <f t="shared" si="7456"/>
        <v>0</v>
      </c>
      <c r="U1117" s="122"/>
      <c r="V1117" s="122">
        <f t="shared" si="8697"/>
        <v>0</v>
      </c>
      <c r="W1117" s="122"/>
      <c r="X1117" s="122">
        <f t="shared" si="7458"/>
        <v>0</v>
      </c>
      <c r="Y1117" s="122">
        <f t="shared" si="9598"/>
        <v>0</v>
      </c>
      <c r="Z1117" s="122">
        <f t="shared" si="9598"/>
        <v>0</v>
      </c>
      <c r="AA1117" s="122"/>
      <c r="AB1117" s="122">
        <f t="shared" si="8539"/>
        <v>0</v>
      </c>
      <c r="AC1117" s="122"/>
      <c r="AD1117" s="122">
        <f t="shared" si="7501"/>
        <v>0</v>
      </c>
      <c r="AE1117" s="122"/>
      <c r="AF1117" s="125">
        <f t="shared" ref="AF1117:AF1125" si="9783">K1117*AE1117*$AF$2/1000</f>
        <v>0</v>
      </c>
      <c r="AG1117" s="122">
        <f>SUM(AA1117+AC1117+AE1117)</f>
        <v>0</v>
      </c>
      <c r="AH1117" s="122">
        <f>SUM(AB1117+AD1117+AF1117)</f>
        <v>0</v>
      </c>
      <c r="AI1117" s="122">
        <f t="shared" si="9602"/>
        <v>0</v>
      </c>
      <c r="AJ1117" s="122">
        <f t="shared" si="9603"/>
        <v>0</v>
      </c>
      <c r="AK1117" s="122"/>
      <c r="AL1117" s="122">
        <f t="shared" si="9604"/>
        <v>0</v>
      </c>
      <c r="AM1117" s="122"/>
      <c r="AN1117" s="122">
        <f t="shared" si="9605"/>
        <v>0</v>
      </c>
      <c r="AO1117" s="122"/>
      <c r="AP1117" s="122">
        <f t="shared" si="8701"/>
        <v>0</v>
      </c>
      <c r="AQ1117" s="122">
        <f t="shared" si="9607"/>
        <v>0</v>
      </c>
      <c r="AR1117" s="122">
        <f>SUM(AL1117+AN1117+AP1117)</f>
        <v>0</v>
      </c>
      <c r="AS1117" s="122"/>
      <c r="AT1117" s="122">
        <f t="shared" si="9608"/>
        <v>0</v>
      </c>
      <c r="AU1117" s="122"/>
      <c r="AV1117" s="122">
        <f t="shared" si="9609"/>
        <v>0</v>
      </c>
      <c r="AW1117" s="122"/>
      <c r="AX1117" s="122">
        <f t="shared" si="9610"/>
        <v>0</v>
      </c>
      <c r="AY1117" s="122">
        <f t="shared" si="9611"/>
        <v>0</v>
      </c>
      <c r="AZ1117" s="122">
        <f>SUM(AT1117+AV1117+AX1117)</f>
        <v>0</v>
      </c>
      <c r="BA1117" s="122">
        <f t="shared" si="9612"/>
        <v>0</v>
      </c>
      <c r="BB1117" s="122">
        <f t="shared" si="9613"/>
        <v>0</v>
      </c>
    </row>
    <row r="1118" spans="1:54">
      <c r="A1118" s="498">
        <v>776</v>
      </c>
      <c r="B1118" s="13"/>
      <c r="C1118" s="13"/>
      <c r="D1118" s="13" t="s">
        <v>1128</v>
      </c>
      <c r="E1118" s="21" t="s">
        <v>1129</v>
      </c>
      <c r="F1118" s="314" t="s">
        <v>398</v>
      </c>
      <c r="G1118" s="22" t="s">
        <v>1115</v>
      </c>
      <c r="H1118" s="268" t="s">
        <v>1119</v>
      </c>
      <c r="I1118" s="55">
        <v>4.08</v>
      </c>
      <c r="J1118" s="102"/>
      <c r="K1118" s="55">
        <v>4.08</v>
      </c>
      <c r="L1118" s="163"/>
      <c r="M1118" s="55">
        <v>4.08</v>
      </c>
      <c r="N1118" s="163"/>
      <c r="O1118" s="55">
        <v>4.08</v>
      </c>
      <c r="P1118" s="102"/>
      <c r="Q1118" s="97">
        <f t="shared" si="7455"/>
        <v>0</v>
      </c>
      <c r="R1118" s="342">
        <f t="shared" si="7455"/>
        <v>0</v>
      </c>
      <c r="S1118" s="97"/>
      <c r="T1118" s="97">
        <f>I1118*S1118*$T$2/1000</f>
        <v>0</v>
      </c>
      <c r="U1118" s="97"/>
      <c r="V1118" s="177">
        <f>I1118*U1118*$V$2/1000</f>
        <v>0</v>
      </c>
      <c r="W1118" s="207"/>
      <c r="X1118" s="206">
        <f>I1118*W1118*$X$2/1000</f>
        <v>0</v>
      </c>
      <c r="Y1118" s="189">
        <f>SUM(S1118+U1118+W1118)</f>
        <v>0</v>
      </c>
      <c r="Z1118" s="177">
        <f t="shared" ref="Z1118" si="9784">SUM(T1118+V1118+X1118)</f>
        <v>0</v>
      </c>
      <c r="AA1118" s="207"/>
      <c r="AB1118" s="206">
        <f>K1118*AA1118*$AB$2/1000</f>
        <v>0</v>
      </c>
      <c r="AC1118" s="207"/>
      <c r="AD1118" s="177">
        <f>K1118*AC1118*$AD$2/1000</f>
        <v>0</v>
      </c>
      <c r="AE1118" s="207"/>
      <c r="AF1118" s="206">
        <f t="shared" si="9783"/>
        <v>0</v>
      </c>
      <c r="AG1118" s="189">
        <f>SUM(AA1118+AC1118+AE1118)</f>
        <v>0</v>
      </c>
      <c r="AH1118" s="97">
        <f>SUM(AB1118+AD1118+AF1118)</f>
        <v>0</v>
      </c>
      <c r="AI1118" s="97">
        <f t="shared" si="9602"/>
        <v>0</v>
      </c>
      <c r="AJ1118" s="177">
        <f t="shared" si="9603"/>
        <v>0</v>
      </c>
      <c r="AK1118" s="207"/>
      <c r="AL1118" s="177">
        <f t="shared" si="9604"/>
        <v>0</v>
      </c>
      <c r="AM1118" s="245"/>
      <c r="AN1118" s="177">
        <f t="shared" si="9605"/>
        <v>0</v>
      </c>
      <c r="AO1118" s="207"/>
      <c r="AP1118" s="206">
        <f t="shared" si="8701"/>
        <v>0</v>
      </c>
      <c r="AQ1118" s="189">
        <f>SUM(AK1118+AM1118+AO1118)</f>
        <v>0</v>
      </c>
      <c r="AR1118" s="97">
        <f>SUM(AL1118+AN1118+AP1118)</f>
        <v>0</v>
      </c>
      <c r="AS1118" s="97"/>
      <c r="AT1118" s="177">
        <f t="shared" si="9608"/>
        <v>0</v>
      </c>
      <c r="AU1118" s="207"/>
      <c r="AV1118" s="177">
        <f t="shared" si="9609"/>
        <v>0</v>
      </c>
      <c r="AW1118" s="207"/>
      <c r="AX1118" s="206">
        <f t="shared" si="9610"/>
        <v>0</v>
      </c>
      <c r="AY1118" s="189">
        <f>SUM(AS1118+AU1118+AW1118)</f>
        <v>0</v>
      </c>
      <c r="AZ1118" s="97">
        <f>SUM(AT1118+AV1118+AX1118)</f>
        <v>0</v>
      </c>
      <c r="BA1118" s="97">
        <f t="shared" si="9612"/>
        <v>0</v>
      </c>
      <c r="BB1118" s="97">
        <f t="shared" si="9613"/>
        <v>0</v>
      </c>
    </row>
    <row r="1119" spans="1:54">
      <c r="A1119" s="498">
        <v>777</v>
      </c>
      <c r="B1119" s="13"/>
      <c r="C1119" s="302"/>
      <c r="D1119" s="13" t="s">
        <v>399</v>
      </c>
      <c r="E1119" s="21" t="s">
        <v>400</v>
      </c>
      <c r="F1119" s="46" t="s">
        <v>398</v>
      </c>
      <c r="G1119" s="46" t="s">
        <v>1105</v>
      </c>
      <c r="H1119" s="268" t="s">
        <v>441</v>
      </c>
      <c r="I1119" s="55">
        <v>4.08</v>
      </c>
      <c r="J1119" s="163"/>
      <c r="K1119" s="55">
        <v>4.08</v>
      </c>
      <c r="L1119" s="163"/>
      <c r="M1119" s="55">
        <v>4.08</v>
      </c>
      <c r="N1119" s="163"/>
      <c r="O1119" s="55">
        <v>4.08</v>
      </c>
      <c r="P1119" s="163"/>
      <c r="Q1119" s="97">
        <f t="shared" si="7455"/>
        <v>0</v>
      </c>
      <c r="R1119" s="342">
        <f t="shared" si="7455"/>
        <v>0</v>
      </c>
      <c r="S1119" s="97"/>
      <c r="T1119" s="97">
        <f t="shared" si="7456"/>
        <v>0</v>
      </c>
      <c r="U1119" s="97"/>
      <c r="V1119" s="97">
        <f t="shared" si="8697"/>
        <v>0</v>
      </c>
      <c r="W1119" s="97"/>
      <c r="X1119" s="97">
        <f t="shared" si="7458"/>
        <v>0</v>
      </c>
      <c r="Y1119" s="97">
        <f t="shared" si="9598"/>
        <v>0</v>
      </c>
      <c r="Z1119" s="97">
        <f t="shared" si="9598"/>
        <v>0</v>
      </c>
      <c r="AA1119" s="97"/>
      <c r="AB1119" s="97">
        <f t="shared" si="8539"/>
        <v>0</v>
      </c>
      <c r="AC1119" s="97"/>
      <c r="AD1119" s="97">
        <f t="shared" si="7501"/>
        <v>0</v>
      </c>
      <c r="AE1119" s="97"/>
      <c r="AF1119" s="96">
        <f t="shared" si="9783"/>
        <v>0</v>
      </c>
      <c r="AG1119" s="97">
        <f t="shared" si="9601"/>
        <v>0</v>
      </c>
      <c r="AH1119" s="97">
        <f t="shared" si="9601"/>
        <v>0</v>
      </c>
      <c r="AI1119" s="97">
        <f t="shared" si="9602"/>
        <v>0</v>
      </c>
      <c r="AJ1119" s="97">
        <f t="shared" si="9603"/>
        <v>0</v>
      </c>
      <c r="AK1119" s="97"/>
      <c r="AL1119" s="97">
        <f t="shared" si="9604"/>
        <v>0</v>
      </c>
      <c r="AM1119" s="97"/>
      <c r="AN1119" s="97">
        <f t="shared" si="9605"/>
        <v>0</v>
      </c>
      <c r="AO1119" s="97"/>
      <c r="AP1119" s="97">
        <f t="shared" si="8701"/>
        <v>0</v>
      </c>
      <c r="AQ1119" s="97">
        <f t="shared" si="9607"/>
        <v>0</v>
      </c>
      <c r="AR1119" s="97">
        <f t="shared" si="9607"/>
        <v>0</v>
      </c>
      <c r="AS1119" s="97"/>
      <c r="AT1119" s="97">
        <f t="shared" si="9608"/>
        <v>0</v>
      </c>
      <c r="AU1119" s="97"/>
      <c r="AV1119" s="97">
        <f t="shared" si="9609"/>
        <v>0</v>
      </c>
      <c r="AW1119" s="97"/>
      <c r="AX1119" s="97">
        <f t="shared" si="9610"/>
        <v>0</v>
      </c>
      <c r="AY1119" s="97">
        <f t="shared" si="9611"/>
        <v>0</v>
      </c>
      <c r="AZ1119" s="97">
        <f t="shared" si="9611"/>
        <v>0</v>
      </c>
      <c r="BA1119" s="97">
        <f t="shared" si="9612"/>
        <v>0</v>
      </c>
      <c r="BB1119" s="97">
        <f t="shared" si="9613"/>
        <v>0</v>
      </c>
    </row>
    <row r="1120" spans="1:54">
      <c r="A1120" s="498">
        <v>778</v>
      </c>
      <c r="B1120" s="13"/>
      <c r="C1120" s="302"/>
      <c r="D1120" s="13" t="s">
        <v>514</v>
      </c>
      <c r="E1120" s="21" t="s">
        <v>401</v>
      </c>
      <c r="F1120" s="46" t="s">
        <v>398</v>
      </c>
      <c r="G1120" s="46" t="s">
        <v>1105</v>
      </c>
      <c r="H1120" s="268" t="s">
        <v>441</v>
      </c>
      <c r="I1120" s="55">
        <v>4.08</v>
      </c>
      <c r="J1120" s="163"/>
      <c r="K1120" s="55">
        <v>4.08</v>
      </c>
      <c r="L1120" s="163"/>
      <c r="M1120" s="55">
        <v>4.08</v>
      </c>
      <c r="N1120" s="163"/>
      <c r="O1120" s="55">
        <v>4.08</v>
      </c>
      <c r="P1120" s="163"/>
      <c r="Q1120" s="97">
        <f t="shared" si="7455"/>
        <v>0</v>
      </c>
      <c r="R1120" s="342">
        <f t="shared" si="7455"/>
        <v>0</v>
      </c>
      <c r="S1120" s="97"/>
      <c r="T1120" s="97">
        <f t="shared" si="7456"/>
        <v>0</v>
      </c>
      <c r="U1120" s="97"/>
      <c r="V1120" s="97">
        <f t="shared" si="8697"/>
        <v>0</v>
      </c>
      <c r="W1120" s="97"/>
      <c r="X1120" s="97">
        <f t="shared" si="7458"/>
        <v>0</v>
      </c>
      <c r="Y1120" s="97">
        <f t="shared" ref="Y1120:Z1120" si="9785">SUM(S1120+U1120+W1120)</f>
        <v>0</v>
      </c>
      <c r="Z1120" s="97">
        <f t="shared" si="9785"/>
        <v>0</v>
      </c>
      <c r="AA1120" s="97"/>
      <c r="AB1120" s="97">
        <f t="shared" si="8539"/>
        <v>0</v>
      </c>
      <c r="AC1120" s="97"/>
      <c r="AD1120" s="97">
        <f t="shared" si="7501"/>
        <v>0</v>
      </c>
      <c r="AE1120" s="97"/>
      <c r="AF1120" s="96">
        <f t="shared" si="9783"/>
        <v>0</v>
      </c>
      <c r="AG1120" s="97">
        <f>SUM(AA1120+AC1120+AE1120)</f>
        <v>0</v>
      </c>
      <c r="AH1120" s="97">
        <f>SUM(AB1120+AD1120+AF1120)</f>
        <v>0</v>
      </c>
      <c r="AI1120" s="97">
        <f t="shared" ref="AI1120" si="9786">SUM(Y1120+AG1120)</f>
        <v>0</v>
      </c>
      <c r="AJ1120" s="97">
        <f t="shared" ref="AJ1120" si="9787">SUM(Z1120,AH1120)</f>
        <v>0</v>
      </c>
      <c r="AK1120" s="97"/>
      <c r="AL1120" s="97">
        <f t="shared" ref="AL1120" si="9788">M1120*AK1120*$AL$2/1000</f>
        <v>0</v>
      </c>
      <c r="AM1120" s="97"/>
      <c r="AN1120" s="97">
        <f t="shared" ref="AN1120" si="9789">M1120*AM1120*$AN$2/1000</f>
        <v>0</v>
      </c>
      <c r="AO1120" s="97"/>
      <c r="AP1120" s="97">
        <f t="shared" ref="AP1120" si="9790">M1120*AO1120*$AP$2/1000</f>
        <v>0</v>
      </c>
      <c r="AQ1120" s="97">
        <f t="shared" ref="AQ1120" si="9791">SUM(AK1120+AM1120+AO1120)</f>
        <v>0</v>
      </c>
      <c r="AR1120" s="97">
        <f>SUM(AL1120+AN1120+AP1120)</f>
        <v>0</v>
      </c>
      <c r="AS1120" s="97"/>
      <c r="AT1120" s="97">
        <f t="shared" ref="AT1120" si="9792">O1120*AS1120*$AT$2/1000</f>
        <v>0</v>
      </c>
      <c r="AU1120" s="97"/>
      <c r="AV1120" s="97">
        <f t="shared" ref="AV1120" si="9793">O1120*AU1120*$AV$2/1000</f>
        <v>0</v>
      </c>
      <c r="AW1120" s="97"/>
      <c r="AX1120" s="97">
        <f t="shared" ref="AX1120" si="9794">O1120*AW1120*$AX$2/1000</f>
        <v>0</v>
      </c>
      <c r="AY1120" s="97">
        <f t="shared" ref="AY1120" si="9795">SUM(AS1120+AU1120+AW1120)</f>
        <v>0</v>
      </c>
      <c r="AZ1120" s="97">
        <f>SUM(AT1120+AV1120+AX1120)</f>
        <v>0</v>
      </c>
      <c r="BA1120" s="97">
        <f t="shared" ref="BA1120" si="9796">SUM(AQ1120+AY1120)</f>
        <v>0</v>
      </c>
      <c r="BB1120" s="97">
        <f t="shared" ref="BB1120" si="9797">SUM(AR1120,AZ1120)</f>
        <v>0</v>
      </c>
    </row>
    <row r="1121" spans="1:54">
      <c r="A1121" s="498">
        <v>779</v>
      </c>
      <c r="B1121" s="13"/>
      <c r="C1121" s="302"/>
      <c r="D1121" s="13" t="s">
        <v>402</v>
      </c>
      <c r="E1121" s="21" t="s">
        <v>403</v>
      </c>
      <c r="F1121" s="46" t="s">
        <v>398</v>
      </c>
      <c r="G1121" s="46" t="s">
        <v>1105</v>
      </c>
      <c r="H1121" s="268" t="s">
        <v>441</v>
      </c>
      <c r="I1121" s="55">
        <v>4.5999999999999996</v>
      </c>
      <c r="J1121" s="163"/>
      <c r="K1121" s="55">
        <v>4.5999999999999996</v>
      </c>
      <c r="L1121" s="163"/>
      <c r="M1121" s="55">
        <v>4.5999999999999996</v>
      </c>
      <c r="N1121" s="163"/>
      <c r="O1121" s="55">
        <v>4.5999999999999996</v>
      </c>
      <c r="P1121" s="163"/>
      <c r="Q1121" s="97">
        <f t="shared" si="7455"/>
        <v>0</v>
      </c>
      <c r="R1121" s="342">
        <f t="shared" si="7455"/>
        <v>0</v>
      </c>
      <c r="S1121" s="97"/>
      <c r="T1121" s="97">
        <f t="shared" si="7456"/>
        <v>0</v>
      </c>
      <c r="U1121" s="97"/>
      <c r="V1121" s="97">
        <f t="shared" si="8697"/>
        <v>0</v>
      </c>
      <c r="W1121" s="97"/>
      <c r="X1121" s="97">
        <f t="shared" si="7458"/>
        <v>0</v>
      </c>
      <c r="Y1121" s="97">
        <f>SUM(S1121+U1121+W1121)</f>
        <v>0</v>
      </c>
      <c r="Z1121" s="97">
        <f>SUM(T1121+V1121+X1121)</f>
        <v>0</v>
      </c>
      <c r="AA1121" s="97"/>
      <c r="AB1121" s="97">
        <f t="shared" si="8539"/>
        <v>0</v>
      </c>
      <c r="AC1121" s="97"/>
      <c r="AD1121" s="97">
        <f t="shared" si="7501"/>
        <v>0</v>
      </c>
      <c r="AE1121" s="97"/>
      <c r="AF1121" s="96">
        <f t="shared" si="9783"/>
        <v>0</v>
      </c>
      <c r="AG1121" s="97">
        <f>SUM(AA1121+AC1121+AE1121)</f>
        <v>0</v>
      </c>
      <c r="AH1121" s="97">
        <f>SUM(AB1121+AD1121+AF1121)</f>
        <v>0</v>
      </c>
      <c r="AI1121" s="97">
        <f>SUM(Y1121+AG1121)</f>
        <v>0</v>
      </c>
      <c r="AJ1121" s="97">
        <f>SUM(Z1121,AH1121)</f>
        <v>0</v>
      </c>
      <c r="AK1121" s="97"/>
      <c r="AL1121" s="97">
        <f>M1121*AK1121*$AL$2/1000</f>
        <v>0</v>
      </c>
      <c r="AM1121" s="97"/>
      <c r="AN1121" s="97">
        <f>M1121*AM1121*$AN$2/1000</f>
        <v>0</v>
      </c>
      <c r="AO1121" s="97"/>
      <c r="AP1121" s="97">
        <f>M1121*AO1121*$AP$2/1000</f>
        <v>0</v>
      </c>
      <c r="AQ1121" s="97">
        <f>SUM(AK1121+AM1121+AO1121)</f>
        <v>0</v>
      </c>
      <c r="AR1121" s="97">
        <f>SUM(AL1121+AN1121+AP1121)</f>
        <v>0</v>
      </c>
      <c r="AS1121" s="97"/>
      <c r="AT1121" s="97">
        <f>O1121*AS1121*$AT$2/1000</f>
        <v>0</v>
      </c>
      <c r="AU1121" s="97"/>
      <c r="AV1121" s="97">
        <f>O1121*AU1121*$AV$2/1000</f>
        <v>0</v>
      </c>
      <c r="AW1121" s="97"/>
      <c r="AX1121" s="97">
        <f>O1121*AW1121*$AX$2/1000</f>
        <v>0</v>
      </c>
      <c r="AY1121" s="97">
        <f>SUM(AS1121+AU1121+AW1121)</f>
        <v>0</v>
      </c>
      <c r="AZ1121" s="97">
        <f>SUM(AT1121+AV1121+AX1121)</f>
        <v>0</v>
      </c>
      <c r="BA1121" s="97">
        <f>SUM(AQ1121+AY1121)</f>
        <v>0</v>
      </c>
      <c r="BB1121" s="97">
        <f>SUM(AR1121,AZ1121)</f>
        <v>0</v>
      </c>
    </row>
    <row r="1122" spans="1:54">
      <c r="A1122" s="498">
        <v>780</v>
      </c>
      <c r="B1122" s="13"/>
      <c r="C1122" s="302"/>
      <c r="D1122" s="13" t="s">
        <v>515</v>
      </c>
      <c r="E1122" s="21" t="s">
        <v>404</v>
      </c>
      <c r="F1122" s="46" t="s">
        <v>398</v>
      </c>
      <c r="G1122" s="46" t="s">
        <v>1105</v>
      </c>
      <c r="H1122" s="268" t="s">
        <v>441</v>
      </c>
      <c r="I1122" s="55">
        <v>4.5999999999999996</v>
      </c>
      <c r="J1122" s="163"/>
      <c r="K1122" s="55">
        <v>4.5999999999999996</v>
      </c>
      <c r="L1122" s="163"/>
      <c r="M1122" s="55">
        <v>4.5999999999999996</v>
      </c>
      <c r="N1122" s="163"/>
      <c r="O1122" s="55">
        <v>4.5999999999999996</v>
      </c>
      <c r="P1122" s="163"/>
      <c r="Q1122" s="97">
        <f t="shared" si="7455"/>
        <v>0</v>
      </c>
      <c r="R1122" s="342">
        <f t="shared" si="7455"/>
        <v>0</v>
      </c>
      <c r="S1122" s="97"/>
      <c r="T1122" s="97">
        <f t="shared" si="7456"/>
        <v>0</v>
      </c>
      <c r="U1122" s="97"/>
      <c r="V1122" s="97">
        <f t="shared" si="8697"/>
        <v>0</v>
      </c>
      <c r="W1122" s="97"/>
      <c r="X1122" s="97">
        <f t="shared" si="7458"/>
        <v>0</v>
      </c>
      <c r="Y1122" s="97">
        <f t="shared" ref="Y1122:Z1123" si="9798">SUM(S1122+U1122+W1122)</f>
        <v>0</v>
      </c>
      <c r="Z1122" s="97">
        <f t="shared" si="9798"/>
        <v>0</v>
      </c>
      <c r="AA1122" s="97"/>
      <c r="AB1122" s="97">
        <f t="shared" si="8539"/>
        <v>0</v>
      </c>
      <c r="AC1122" s="97"/>
      <c r="AD1122" s="97">
        <f t="shared" si="7501"/>
        <v>0</v>
      </c>
      <c r="AE1122" s="97"/>
      <c r="AF1122" s="96">
        <f t="shared" si="9783"/>
        <v>0</v>
      </c>
      <c r="AG1122" s="97">
        <f t="shared" ref="AG1122:AG1123" si="9799">SUM(AA1122+AC1122+AE1122)</f>
        <v>0</v>
      </c>
      <c r="AH1122" s="97">
        <f t="shared" ref="AH1122:AH1123" si="9800">SUM(AB1122+AD1122+AF1122)</f>
        <v>0</v>
      </c>
      <c r="AI1122" s="97">
        <f t="shared" ref="AI1122:AI1123" si="9801">SUM(Y1122+AG1122)</f>
        <v>0</v>
      </c>
      <c r="AJ1122" s="97">
        <f t="shared" ref="AJ1122:AJ1123" si="9802">SUM(Z1122,AH1122)</f>
        <v>0</v>
      </c>
      <c r="AK1122" s="97"/>
      <c r="AL1122" s="97">
        <f t="shared" ref="AL1122:AL1123" si="9803">M1122*AK1122*$AL$2/1000</f>
        <v>0</v>
      </c>
      <c r="AM1122" s="97"/>
      <c r="AN1122" s="97">
        <f t="shared" ref="AN1122:AN1123" si="9804">M1122*AM1122*$AN$2/1000</f>
        <v>0</v>
      </c>
      <c r="AO1122" s="97"/>
      <c r="AP1122" s="97">
        <f>M1122*AO1122*$AP$2/1000</f>
        <v>0</v>
      </c>
      <c r="AQ1122" s="97">
        <f t="shared" ref="AQ1122:AQ1123" si="9805">SUM(AK1122+AM1122+AO1122)</f>
        <v>0</v>
      </c>
      <c r="AR1122" s="97">
        <f t="shared" ref="AR1122:AR1123" si="9806">SUM(AL1122+AN1122+AP1122)</f>
        <v>0</v>
      </c>
      <c r="AS1122" s="97"/>
      <c r="AT1122" s="97">
        <f t="shared" ref="AT1122:AT1123" si="9807">O1122*AS1122*$AT$2/1000</f>
        <v>0</v>
      </c>
      <c r="AU1122" s="97"/>
      <c r="AV1122" s="97">
        <f t="shared" ref="AV1122:AV1123" si="9808">O1122*AU1122*$AV$2/1000</f>
        <v>0</v>
      </c>
      <c r="AW1122" s="97"/>
      <c r="AX1122" s="97">
        <f t="shared" ref="AX1122:AX1123" si="9809">O1122*AW1122*$AX$2/1000</f>
        <v>0</v>
      </c>
      <c r="AY1122" s="97">
        <f t="shared" ref="AY1122:AY1123" si="9810">SUM(AS1122+AU1122+AW1122)</f>
        <v>0</v>
      </c>
      <c r="AZ1122" s="97">
        <f t="shared" ref="AZ1122:AZ1123" si="9811">SUM(AT1122+AV1122+AX1122)</f>
        <v>0</v>
      </c>
      <c r="BA1122" s="97">
        <f t="shared" ref="BA1122:BA1123" si="9812">SUM(AQ1122+AY1122)</f>
        <v>0</v>
      </c>
      <c r="BB1122" s="97">
        <f t="shared" ref="BB1122:BB1123" si="9813">SUM(AR1122,AZ1122)</f>
        <v>0</v>
      </c>
    </row>
    <row r="1123" spans="1:54">
      <c r="A1123" s="498">
        <v>781</v>
      </c>
      <c r="B1123" s="13"/>
      <c r="C1123" s="302"/>
      <c r="D1123" s="13" t="s">
        <v>405</v>
      </c>
      <c r="E1123" s="21" t="s">
        <v>516</v>
      </c>
      <c r="F1123" s="46" t="s">
        <v>398</v>
      </c>
      <c r="G1123" s="46" t="s">
        <v>1105</v>
      </c>
      <c r="H1123" s="268" t="s">
        <v>441</v>
      </c>
      <c r="I1123" s="55">
        <v>5.69</v>
      </c>
      <c r="J1123" s="163"/>
      <c r="K1123" s="55">
        <v>5.69</v>
      </c>
      <c r="L1123" s="163"/>
      <c r="M1123" s="55">
        <v>5.69</v>
      </c>
      <c r="N1123" s="163"/>
      <c r="O1123" s="55">
        <v>5.69</v>
      </c>
      <c r="P1123" s="163"/>
      <c r="Q1123" s="97">
        <f t="shared" si="7455"/>
        <v>0.4</v>
      </c>
      <c r="R1123" s="342">
        <f t="shared" si="7455"/>
        <v>3.1674409200000007</v>
      </c>
      <c r="S1123" s="97"/>
      <c r="T1123" s="97">
        <f t="shared" si="7456"/>
        <v>0</v>
      </c>
      <c r="U1123" s="97"/>
      <c r="V1123" s="97">
        <f t="shared" si="8697"/>
        <v>0</v>
      </c>
      <c r="W1123" s="97"/>
      <c r="X1123" s="97">
        <f t="shared" si="7458"/>
        <v>0</v>
      </c>
      <c r="Y1123" s="97">
        <f t="shared" si="9798"/>
        <v>0</v>
      </c>
      <c r="Z1123" s="97">
        <f t="shared" si="9798"/>
        <v>0</v>
      </c>
      <c r="AA1123" s="97"/>
      <c r="AB1123" s="97">
        <f t="shared" si="8539"/>
        <v>0</v>
      </c>
      <c r="AC1123" s="97"/>
      <c r="AD1123" s="97">
        <f>K1123*AC1123*$AD$2/1000</f>
        <v>0</v>
      </c>
      <c r="AE1123" s="97"/>
      <c r="AF1123" s="96">
        <f>K1123*AE1123*$AF$2/1000</f>
        <v>0</v>
      </c>
      <c r="AG1123" s="97">
        <f t="shared" si="9799"/>
        <v>0</v>
      </c>
      <c r="AH1123" s="97">
        <f t="shared" si="9800"/>
        <v>0</v>
      </c>
      <c r="AI1123" s="97">
        <f t="shared" si="9801"/>
        <v>0</v>
      </c>
      <c r="AJ1123" s="97">
        <f t="shared" si="9802"/>
        <v>0</v>
      </c>
      <c r="AK1123" s="97"/>
      <c r="AL1123" s="97">
        <f t="shared" si="9803"/>
        <v>0</v>
      </c>
      <c r="AM1123" s="97"/>
      <c r="AN1123" s="97">
        <f t="shared" si="9804"/>
        <v>0</v>
      </c>
      <c r="AO1123" s="97"/>
      <c r="AP1123" s="97">
        <f t="shared" ref="AP1123" si="9814">M1123*AO1123*$AP$2/1000</f>
        <v>0</v>
      </c>
      <c r="AQ1123" s="97">
        <f t="shared" si="9805"/>
        <v>0</v>
      </c>
      <c r="AR1123" s="97">
        <f t="shared" si="9806"/>
        <v>0</v>
      </c>
      <c r="AS1123" s="97"/>
      <c r="AT1123" s="97">
        <f t="shared" si="9807"/>
        <v>0</v>
      </c>
      <c r="AU1123" s="97">
        <v>0.4</v>
      </c>
      <c r="AV1123" s="97">
        <f t="shared" si="9808"/>
        <v>3.1674409200000007</v>
      </c>
      <c r="AW1123" s="97"/>
      <c r="AX1123" s="97">
        <f t="shared" si="9809"/>
        <v>0</v>
      </c>
      <c r="AY1123" s="97">
        <f t="shared" si="9810"/>
        <v>0.4</v>
      </c>
      <c r="AZ1123" s="97">
        <f t="shared" si="9811"/>
        <v>3.1674409200000007</v>
      </c>
      <c r="BA1123" s="97">
        <f t="shared" si="9812"/>
        <v>0.4</v>
      </c>
      <c r="BB1123" s="97">
        <f t="shared" si="9813"/>
        <v>3.1674409200000007</v>
      </c>
    </row>
    <row r="1124" spans="1:54">
      <c r="A1124" s="498">
        <v>782</v>
      </c>
      <c r="B1124" s="13"/>
      <c r="C1124" s="302"/>
      <c r="D1124" s="13" t="s">
        <v>812</v>
      </c>
      <c r="E1124" s="21" t="s">
        <v>811</v>
      </c>
      <c r="F1124" s="46" t="s">
        <v>398</v>
      </c>
      <c r="G1124" s="46" t="s">
        <v>1105</v>
      </c>
      <c r="H1124" s="268" t="s">
        <v>366</v>
      </c>
      <c r="I1124" s="55">
        <v>5.16</v>
      </c>
      <c r="J1124" s="163"/>
      <c r="K1124" s="55">
        <v>5.16</v>
      </c>
      <c r="L1124" s="163"/>
      <c r="M1124" s="55">
        <v>5.16</v>
      </c>
      <c r="N1124" s="163"/>
      <c r="O1124" s="55">
        <v>5.58</v>
      </c>
      <c r="P1124" s="163"/>
      <c r="Q1124" s="97">
        <f>SUM(AI1124+BA1124)</f>
        <v>1</v>
      </c>
      <c r="R1124" s="342">
        <f>SUM(AJ1124+BB1124)</f>
        <v>7.2893261759999994</v>
      </c>
      <c r="S1124" s="97"/>
      <c r="T1124" s="97">
        <f t="shared" ref="T1124" si="9815">I1124*S1124*$T$2/1000</f>
        <v>0</v>
      </c>
      <c r="U1124" s="97"/>
      <c r="V1124" s="97">
        <f t="shared" ref="V1124" si="9816">I1124*U1124*$V$2/1000</f>
        <v>0</v>
      </c>
      <c r="W1124" s="97">
        <v>0.5</v>
      </c>
      <c r="X1124" s="97">
        <f t="shared" ref="X1124" si="9817">I1124*W1124*$X$2/1000</f>
        <v>3.4329479999999997</v>
      </c>
      <c r="Y1124" s="97">
        <f>SUM(S1124+U1124+W1124)</f>
        <v>0.5</v>
      </c>
      <c r="Z1124" s="97">
        <f>SUM(T1124+V1124+X1124)</f>
        <v>3.4329479999999997</v>
      </c>
      <c r="AA1124" s="97"/>
      <c r="AB1124" s="97">
        <f t="shared" si="8539"/>
        <v>0</v>
      </c>
      <c r="AC1124" s="97"/>
      <c r="AD1124" s="97">
        <f t="shared" ref="AD1124" si="9818">K1124*AC1124*$AD$2/1000</f>
        <v>0</v>
      </c>
      <c r="AE1124" s="97"/>
      <c r="AF1124" s="96">
        <f t="shared" ref="AF1124" si="9819">K1124*AE1124*$AF$2/1000</f>
        <v>0</v>
      </c>
      <c r="AG1124" s="97">
        <f>SUM(AA1124+AC1124+AE1124)</f>
        <v>0</v>
      </c>
      <c r="AH1124" s="97">
        <f>SUM(AB1124+AD1124+AF1124)</f>
        <v>0</v>
      </c>
      <c r="AI1124" s="97">
        <f>SUM(Y1124+AG1124)</f>
        <v>0.5</v>
      </c>
      <c r="AJ1124" s="97">
        <f>SUM(Z1124,AH1124)</f>
        <v>3.4329479999999997</v>
      </c>
      <c r="AK1124" s="97"/>
      <c r="AL1124" s="97">
        <f>M1124*AK1124*$AL$2/1000</f>
        <v>0</v>
      </c>
      <c r="AM1124" s="97"/>
      <c r="AN1124" s="97">
        <f>M1124*AM1124*$AN$2/1000</f>
        <v>0</v>
      </c>
      <c r="AO1124" s="97"/>
      <c r="AP1124" s="97">
        <f>M1124*AO1124*$AP$2/1000</f>
        <v>0</v>
      </c>
      <c r="AQ1124" s="97">
        <f>SUM(AK1124+AM1124+AO1124)</f>
        <v>0</v>
      </c>
      <c r="AR1124" s="97">
        <f>SUM(AL1124+AN1124+AP1124)</f>
        <v>0</v>
      </c>
      <c r="AS1124" s="97">
        <v>0.14000000000000001</v>
      </c>
      <c r="AT1124" s="97">
        <f>O1124*AS1124*$AT$2/1000</f>
        <v>1.0607914800000002</v>
      </c>
      <c r="AU1124" s="97">
        <v>0.36</v>
      </c>
      <c r="AV1124" s="97">
        <f>O1124*AU1124*$AV$2/1000</f>
        <v>2.795586696</v>
      </c>
      <c r="AW1124" s="97"/>
      <c r="AX1124" s="97">
        <f>O1124*AW1124*$AX$2/1000</f>
        <v>0</v>
      </c>
      <c r="AY1124" s="97">
        <f>SUM(AS1124+AU1124+AW1124)</f>
        <v>0.5</v>
      </c>
      <c r="AZ1124" s="97">
        <f>SUM(AT1124+AV1124+AX1124)</f>
        <v>3.8563781760000002</v>
      </c>
      <c r="BA1124" s="97">
        <f>SUM(AQ1124+AY1124)</f>
        <v>0.5</v>
      </c>
      <c r="BB1124" s="97">
        <f>SUM(AR1124,AZ1124)</f>
        <v>3.8563781760000002</v>
      </c>
    </row>
    <row r="1125" spans="1:54">
      <c r="A1125" s="498">
        <v>783</v>
      </c>
      <c r="B1125" s="13"/>
      <c r="C1125" s="302"/>
      <c r="D1125" s="24" t="s">
        <v>405</v>
      </c>
      <c r="E1125" s="24" t="s">
        <v>406</v>
      </c>
      <c r="F1125" s="371" t="s">
        <v>398</v>
      </c>
      <c r="G1125" s="371" t="s">
        <v>1105</v>
      </c>
      <c r="H1125" s="285" t="s">
        <v>441</v>
      </c>
      <c r="I1125" s="80">
        <v>13.97</v>
      </c>
      <c r="J1125" s="172"/>
      <c r="K1125" s="80">
        <v>13.97</v>
      </c>
      <c r="L1125" s="172"/>
      <c r="M1125" s="80">
        <v>13.97</v>
      </c>
      <c r="N1125" s="172"/>
      <c r="O1125" s="80">
        <v>13.97</v>
      </c>
      <c r="P1125" s="172"/>
      <c r="Q1125" s="134">
        <f t="shared" si="7455"/>
        <v>0</v>
      </c>
      <c r="R1125" s="347">
        <f t="shared" si="7455"/>
        <v>0</v>
      </c>
      <c r="S1125" s="134"/>
      <c r="T1125" s="134">
        <f t="shared" si="7456"/>
        <v>0</v>
      </c>
      <c r="U1125" s="134"/>
      <c r="V1125" s="134">
        <f t="shared" si="8697"/>
        <v>0</v>
      </c>
      <c r="W1125" s="134"/>
      <c r="X1125" s="134">
        <f t="shared" si="7458"/>
        <v>0</v>
      </c>
      <c r="Y1125" s="134">
        <f>SUM(S1125+U1125+W1125)</f>
        <v>0</v>
      </c>
      <c r="Z1125" s="134">
        <f>SUM(T1125+V1125+X1125)</f>
        <v>0</v>
      </c>
      <c r="AA1125" s="134"/>
      <c r="AB1125" s="134">
        <f t="shared" si="8539"/>
        <v>0</v>
      </c>
      <c r="AC1125" s="134"/>
      <c r="AD1125" s="134">
        <f t="shared" si="7501"/>
        <v>0</v>
      </c>
      <c r="AE1125" s="134"/>
      <c r="AF1125" s="411">
        <f t="shared" si="9783"/>
        <v>0</v>
      </c>
      <c r="AG1125" s="134">
        <f>SUM(AA1125+AC1125+AE1125)</f>
        <v>0</v>
      </c>
      <c r="AH1125" s="134">
        <f>SUM(AB1125+AD1125+AF1125)</f>
        <v>0</v>
      </c>
      <c r="AI1125" s="134">
        <f>SUM(Y1125+AG1125)</f>
        <v>0</v>
      </c>
      <c r="AJ1125" s="134">
        <f>SUM(Z1125,AH1125)</f>
        <v>0</v>
      </c>
      <c r="AK1125" s="134"/>
      <c r="AL1125" s="134">
        <f>M1125*AK1125*$AL$2/1000</f>
        <v>0</v>
      </c>
      <c r="AM1125" s="134"/>
      <c r="AN1125" s="134">
        <f>M1125*AM1125*$AN$2/1000</f>
        <v>0</v>
      </c>
      <c r="AO1125" s="134"/>
      <c r="AP1125" s="134">
        <f>M1125*AO1125*$AP$2/1000</f>
        <v>0</v>
      </c>
      <c r="AQ1125" s="134">
        <f>SUM(AK1125+AM1125+AO1125)</f>
        <v>0</v>
      </c>
      <c r="AR1125" s="134">
        <f>SUM(AL1125+AN1125+AP1125)</f>
        <v>0</v>
      </c>
      <c r="AS1125" s="134"/>
      <c r="AT1125" s="134">
        <f>O1125*AS1125*$AT$2/1000</f>
        <v>0</v>
      </c>
      <c r="AU1125" s="134"/>
      <c r="AV1125" s="134">
        <f>O1125*AU1125*$AV$2/1000</f>
        <v>0</v>
      </c>
      <c r="AW1125" s="134"/>
      <c r="AX1125" s="134">
        <f>O1125*AW1125*$AX$2/1000</f>
        <v>0</v>
      </c>
      <c r="AY1125" s="134">
        <f>SUM(AS1125+AU1125+AW1125)</f>
        <v>0</v>
      </c>
      <c r="AZ1125" s="134">
        <f>SUM(AT1125+AV1125+AX1125)</f>
        <v>0</v>
      </c>
      <c r="BA1125" s="134">
        <f>SUM(AQ1125+AY1125)</f>
        <v>0</v>
      </c>
      <c r="BB1125" s="134">
        <f>SUM(AR1125,AZ1125)</f>
        <v>0</v>
      </c>
    </row>
    <row r="1126" spans="1:54" ht="11.25" customHeight="1">
      <c r="A1126" s="498">
        <v>784</v>
      </c>
      <c r="B1126" s="26"/>
      <c r="C1126" s="27" t="s">
        <v>135</v>
      </c>
      <c r="D1126" s="28"/>
      <c r="E1126" s="39"/>
      <c r="F1126" s="39"/>
      <c r="G1126" s="39"/>
      <c r="H1126" s="276"/>
      <c r="I1126" s="330"/>
      <c r="J1126" s="332"/>
      <c r="K1126" s="330"/>
      <c r="L1126" s="333"/>
      <c r="M1126" s="330"/>
      <c r="N1126" s="333"/>
      <c r="O1126" s="331"/>
      <c r="P1126" s="332"/>
      <c r="Q1126" s="123">
        <f t="shared" ref="Q1126:BB1126" si="9820">SUM(Q887:Q1125)</f>
        <v>503.5750000000001</v>
      </c>
      <c r="R1126" s="123">
        <f t="shared" si="9820"/>
        <v>7345.5254026904995</v>
      </c>
      <c r="S1126" s="123">
        <f t="shared" si="9820"/>
        <v>42.356000000000009</v>
      </c>
      <c r="T1126" s="123">
        <f t="shared" si="9820"/>
        <v>583.73869266000008</v>
      </c>
      <c r="U1126" s="123">
        <f t="shared" si="9820"/>
        <v>41.015999999999991</v>
      </c>
      <c r="V1126" s="123">
        <f t="shared" si="9820"/>
        <v>619.96550863200002</v>
      </c>
      <c r="W1126" s="123">
        <f t="shared" si="9820"/>
        <v>53.046999999999997</v>
      </c>
      <c r="X1126" s="123">
        <f t="shared" si="9820"/>
        <v>777.57451111599994</v>
      </c>
      <c r="Y1126" s="123">
        <f t="shared" si="9820"/>
        <v>136.41899999999998</v>
      </c>
      <c r="Z1126" s="123">
        <f t="shared" si="9820"/>
        <v>1981.278712408</v>
      </c>
      <c r="AA1126" s="123">
        <f t="shared" si="9820"/>
        <v>73.813000000000002</v>
      </c>
      <c r="AB1126" s="123">
        <f t="shared" si="9820"/>
        <v>1075.4835984019999</v>
      </c>
      <c r="AC1126" s="123">
        <f t="shared" si="9820"/>
        <v>49.792999999999992</v>
      </c>
      <c r="AD1126" s="123">
        <f t="shared" si="9820"/>
        <v>798.95304756849998</v>
      </c>
      <c r="AE1126" s="123">
        <f t="shared" si="9820"/>
        <v>17.03</v>
      </c>
      <c r="AF1126" s="123">
        <f t="shared" si="9820"/>
        <v>249.07626345600002</v>
      </c>
      <c r="AG1126" s="123">
        <f t="shared" si="9820"/>
        <v>140.63600000000002</v>
      </c>
      <c r="AH1126" s="123">
        <f t="shared" si="9820"/>
        <v>2123.5129094264998</v>
      </c>
      <c r="AI1126" s="123">
        <f t="shared" si="9820"/>
        <v>277.05500000000001</v>
      </c>
      <c r="AJ1126" s="123">
        <f t="shared" si="9820"/>
        <v>4104.791621834499</v>
      </c>
      <c r="AK1126" s="123">
        <f t="shared" si="9820"/>
        <v>26.913000000000004</v>
      </c>
      <c r="AL1126" s="123">
        <f t="shared" si="9820"/>
        <v>377.27221952880001</v>
      </c>
      <c r="AM1126" s="123">
        <f t="shared" si="9820"/>
        <v>36.056999999999995</v>
      </c>
      <c r="AN1126" s="123">
        <f t="shared" si="9820"/>
        <v>502.46138935199997</v>
      </c>
      <c r="AO1126" s="123">
        <f t="shared" si="9820"/>
        <v>39.25</v>
      </c>
      <c r="AP1126" s="123">
        <f t="shared" si="9820"/>
        <v>538.76655279000011</v>
      </c>
      <c r="AQ1126" s="123">
        <f t="shared" si="9820"/>
        <v>102.22</v>
      </c>
      <c r="AR1126" s="123">
        <f t="shared" si="9820"/>
        <v>1418.5001616708</v>
      </c>
      <c r="AS1126" s="123">
        <f t="shared" si="9820"/>
        <v>39.515000000000001</v>
      </c>
      <c r="AT1126" s="123">
        <f t="shared" si="9820"/>
        <v>591.82292651000023</v>
      </c>
      <c r="AU1126" s="123">
        <f t="shared" si="9820"/>
        <v>39.385000000000005</v>
      </c>
      <c r="AV1126" s="123">
        <f t="shared" si="9820"/>
        <v>559.43742330000009</v>
      </c>
      <c r="AW1126" s="123">
        <f t="shared" si="9820"/>
        <v>45.4</v>
      </c>
      <c r="AX1126" s="123">
        <f t="shared" si="9820"/>
        <v>670.97326937519972</v>
      </c>
      <c r="AY1126" s="123">
        <f t="shared" si="9820"/>
        <v>124.30000000000001</v>
      </c>
      <c r="AZ1126" s="123">
        <f t="shared" si="9820"/>
        <v>1822.2336191851994</v>
      </c>
      <c r="BA1126" s="123">
        <f t="shared" si="9820"/>
        <v>226.51999999999998</v>
      </c>
      <c r="BB1126" s="123">
        <f t="shared" si="9820"/>
        <v>3240.7337808560001</v>
      </c>
    </row>
    <row r="1127" spans="1:54">
      <c r="A1127" s="498">
        <v>785</v>
      </c>
      <c r="B1127" s="13"/>
      <c r="C1127" s="306" t="s">
        <v>517</v>
      </c>
      <c r="D1127" s="263" t="s">
        <v>360</v>
      </c>
      <c r="E1127" s="31" t="s">
        <v>655</v>
      </c>
      <c r="F1127" s="314" t="s">
        <v>447</v>
      </c>
      <c r="G1127" s="314" t="s">
        <v>1105</v>
      </c>
      <c r="H1127" s="274" t="s">
        <v>446</v>
      </c>
      <c r="I1127" s="62">
        <v>47.81</v>
      </c>
      <c r="J1127" s="164"/>
      <c r="K1127" s="62">
        <v>47.81</v>
      </c>
      <c r="L1127" s="164"/>
      <c r="M1127" s="62">
        <v>47.81</v>
      </c>
      <c r="N1127" s="164"/>
      <c r="O1127" s="62">
        <v>47.81</v>
      </c>
      <c r="P1127" s="164"/>
      <c r="Q1127" s="122">
        <f t="shared" ref="Q1127:R1135" si="9821">SUM(AI1127+BA1127)</f>
        <v>0</v>
      </c>
      <c r="R1127" s="346">
        <f t="shared" si="9821"/>
        <v>0</v>
      </c>
      <c r="S1127" s="122"/>
      <c r="T1127" s="122">
        <f t="shared" ref="T1127:T1135" si="9822">I1127*S1127*$T$2/1000</f>
        <v>0</v>
      </c>
      <c r="U1127" s="122"/>
      <c r="V1127" s="122">
        <f t="shared" ref="V1127:V1135" si="9823">I1127*U1127*$V$2/1000</f>
        <v>0</v>
      </c>
      <c r="W1127" s="122"/>
      <c r="X1127" s="122">
        <f t="shared" ref="X1127:X1135" si="9824">I1127*W1127*$X$2/1000</f>
        <v>0</v>
      </c>
      <c r="Y1127" s="122">
        <f t="shared" ref="Y1127:Y1135" si="9825">SUM(S1127+U1127+W1127)</f>
        <v>0</v>
      </c>
      <c r="Z1127" s="122">
        <f t="shared" ref="Z1127:Z1135" si="9826">SUM(T1127+V1127+X1127)</f>
        <v>0</v>
      </c>
      <c r="AA1127" s="122"/>
      <c r="AB1127" s="122">
        <f t="shared" ref="AB1127:AB1135" si="9827">K1127*AA1127*$AB$2/1000</f>
        <v>0</v>
      </c>
      <c r="AC1127" s="122"/>
      <c r="AD1127" s="122">
        <f t="shared" ref="AD1127:AD1135" si="9828">K1127*AC1127*$AD$2/1000</f>
        <v>0</v>
      </c>
      <c r="AE1127" s="122"/>
      <c r="AF1127" s="122">
        <f>K1127*AE1127*$AF$2/1000</f>
        <v>0</v>
      </c>
      <c r="AG1127" s="122">
        <f t="shared" ref="AG1127:AG1135" si="9829">SUM(AA1127+AC1127+AE1127)</f>
        <v>0</v>
      </c>
      <c r="AH1127" s="122">
        <f t="shared" ref="AH1127:AH1135" si="9830">SUM(AB1127+AD1127+AF1127)</f>
        <v>0</v>
      </c>
      <c r="AI1127" s="122">
        <f t="shared" ref="AI1127:AI1135" si="9831">SUM(Y1127+AG1127)</f>
        <v>0</v>
      </c>
      <c r="AJ1127" s="122">
        <f t="shared" ref="AJ1127:AJ1135" si="9832">SUM(Z1127,AH1127)</f>
        <v>0</v>
      </c>
      <c r="AK1127" s="122"/>
      <c r="AL1127" s="122">
        <f t="shared" ref="AL1127:AL1135" si="9833">M1127*AK1127*$AL$2/1000</f>
        <v>0</v>
      </c>
      <c r="AM1127" s="122"/>
      <c r="AN1127" s="122">
        <f t="shared" ref="AN1127:AN1135" si="9834">M1127*AM1127*$AN$2/1000</f>
        <v>0</v>
      </c>
      <c r="AO1127" s="122"/>
      <c r="AP1127" s="122">
        <f t="shared" ref="AP1127:AP1135" si="9835">M1127*AO1127*$AP$2/1000</f>
        <v>0</v>
      </c>
      <c r="AQ1127" s="122">
        <f t="shared" ref="AQ1127:AQ1135" si="9836">SUM(AK1127+AM1127+AO1127)</f>
        <v>0</v>
      </c>
      <c r="AR1127" s="122">
        <f t="shared" ref="AR1127:AR1135" si="9837">SUM(AL1127+AN1127+AP1127)</f>
        <v>0</v>
      </c>
      <c r="AS1127" s="122"/>
      <c r="AT1127" s="122">
        <f t="shared" ref="AT1127:AT1135" si="9838">O1127*AS1127*$AT$2/1000</f>
        <v>0</v>
      </c>
      <c r="AU1127" s="122"/>
      <c r="AV1127" s="122">
        <f t="shared" ref="AV1127:AV1135" si="9839">O1127*AU1127*$AV$2/1000</f>
        <v>0</v>
      </c>
      <c r="AW1127" s="122"/>
      <c r="AX1127" s="122">
        <f t="shared" ref="AX1127:AX1135" si="9840">O1127*AW1127*$AX$2/1000</f>
        <v>0</v>
      </c>
      <c r="AY1127" s="122">
        <f t="shared" ref="AY1127:AY1135" si="9841">SUM(AS1127+AU1127+AW1127)</f>
        <v>0</v>
      </c>
      <c r="AZ1127" s="122">
        <f t="shared" ref="AZ1127:AZ1135" si="9842">SUM(AT1127+AV1127+AX1127)</f>
        <v>0</v>
      </c>
      <c r="BA1127" s="122">
        <f t="shared" ref="BA1127:BA1135" si="9843">SUM(AQ1127+AY1127)</f>
        <v>0</v>
      </c>
      <c r="BB1127" s="122">
        <f t="shared" ref="BB1127:BB1135" si="9844">SUM(AR1127,AZ1127)</f>
        <v>0</v>
      </c>
    </row>
    <row r="1128" spans="1:54" s="6" customFormat="1">
      <c r="A1128" s="498">
        <v>786</v>
      </c>
      <c r="B1128" s="14"/>
      <c r="C1128" s="40"/>
      <c r="D1128" s="14" t="s">
        <v>360</v>
      </c>
      <c r="E1128" s="16" t="s">
        <v>542</v>
      </c>
      <c r="F1128" s="45" t="s">
        <v>461</v>
      </c>
      <c r="G1128" s="45" t="s">
        <v>1105</v>
      </c>
      <c r="H1128" s="267" t="s">
        <v>446</v>
      </c>
      <c r="I1128" s="234">
        <v>51.21</v>
      </c>
      <c r="J1128" s="241"/>
      <c r="K1128" s="234">
        <v>51.21</v>
      </c>
      <c r="L1128" s="241"/>
      <c r="M1128" s="234">
        <v>51.21</v>
      </c>
      <c r="N1128" s="241"/>
      <c r="O1128" s="234">
        <v>51.21</v>
      </c>
      <c r="P1128" s="241"/>
      <c r="Q1128" s="96">
        <f t="shared" ref="Q1128" si="9845">SUM(AI1128+BA1128)</f>
        <v>0</v>
      </c>
      <c r="R1128" s="340">
        <f t="shared" ref="R1128" si="9846">SUM(AJ1128+BB1128)</f>
        <v>0</v>
      </c>
      <c r="S1128" s="96"/>
      <c r="T1128" s="96">
        <f t="shared" si="9822"/>
        <v>0</v>
      </c>
      <c r="U1128" s="96"/>
      <c r="V1128" s="96">
        <f t="shared" si="9823"/>
        <v>0</v>
      </c>
      <c r="W1128" s="96"/>
      <c r="X1128" s="96">
        <f t="shared" si="9824"/>
        <v>0</v>
      </c>
      <c r="Y1128" s="96">
        <f>SUM(S1128+U1128+W1128)</f>
        <v>0</v>
      </c>
      <c r="Z1128" s="96">
        <f t="shared" ref="Z1128" si="9847">SUM(T1128+V1128+X1128)</f>
        <v>0</v>
      </c>
      <c r="AA1128" s="96"/>
      <c r="AB1128" s="96">
        <f t="shared" si="9827"/>
        <v>0</v>
      </c>
      <c r="AC1128" s="96"/>
      <c r="AD1128" s="96">
        <f t="shared" si="9828"/>
        <v>0</v>
      </c>
      <c r="AE1128" s="96"/>
      <c r="AF1128" s="97">
        <f t="shared" ref="AF1128:AF1135" si="9848">K1128*AE1128*$AF$2/1000</f>
        <v>0</v>
      </c>
      <c r="AG1128" s="96">
        <f t="shared" ref="AG1128" si="9849">SUM(AA1128+AC1128+AE1128)</f>
        <v>0</v>
      </c>
      <c r="AH1128" s="96">
        <f t="shared" ref="AH1128" si="9850">SUM(AB1128+AD1128+AF1128)</f>
        <v>0</v>
      </c>
      <c r="AI1128" s="96">
        <f t="shared" ref="AI1128" si="9851">SUM(Y1128+AG1128)</f>
        <v>0</v>
      </c>
      <c r="AJ1128" s="96">
        <f t="shared" ref="AJ1128" si="9852">SUM(Z1128,AH1128)</f>
        <v>0</v>
      </c>
      <c r="AK1128" s="96"/>
      <c r="AL1128" s="96">
        <f t="shared" ref="AL1128" si="9853">M1128*AK1128*$AL$2/1000</f>
        <v>0</v>
      </c>
      <c r="AM1128" s="96"/>
      <c r="AN1128" s="96">
        <f t="shared" ref="AN1128" si="9854">M1128*AM1128*$AN$2/1000</f>
        <v>0</v>
      </c>
      <c r="AO1128" s="96"/>
      <c r="AP1128" s="96">
        <f t="shared" si="9835"/>
        <v>0</v>
      </c>
      <c r="AQ1128" s="96">
        <f t="shared" ref="AQ1128" si="9855">SUM(AK1128+AM1128+AO1128)</f>
        <v>0</v>
      </c>
      <c r="AR1128" s="96">
        <f t="shared" ref="AR1128" si="9856">SUM(AL1128+AN1128+AP1128)</f>
        <v>0</v>
      </c>
      <c r="AS1128" s="96"/>
      <c r="AT1128" s="96">
        <f t="shared" ref="AT1128" si="9857">O1128*AS1128*$AT$2/1000</f>
        <v>0</v>
      </c>
      <c r="AU1128" s="96"/>
      <c r="AV1128" s="96">
        <f t="shared" ref="AV1128" si="9858">O1128*AU1128*$AV$2/1000</f>
        <v>0</v>
      </c>
      <c r="AW1128" s="96"/>
      <c r="AX1128" s="96">
        <f t="shared" ref="AX1128" si="9859">O1128*AW1128*$AX$2/1000</f>
        <v>0</v>
      </c>
      <c r="AY1128" s="96">
        <f t="shared" ref="AY1128" si="9860">SUM(AS1128+AU1128+AW1128)</f>
        <v>0</v>
      </c>
      <c r="AZ1128" s="96">
        <f t="shared" ref="AZ1128" si="9861">SUM(AT1128+AV1128+AX1128)</f>
        <v>0</v>
      </c>
      <c r="BA1128" s="96">
        <f t="shared" ref="BA1128" si="9862">SUM(AQ1128+AY1128)</f>
        <v>0</v>
      </c>
      <c r="BB1128" s="96">
        <f t="shared" ref="BB1128" si="9863">SUM(AR1128,AZ1128)</f>
        <v>0</v>
      </c>
    </row>
    <row r="1129" spans="1:54" s="6" customFormat="1">
      <c r="A1129" s="498">
        <v>787</v>
      </c>
      <c r="B1129" s="14"/>
      <c r="C1129" s="40"/>
      <c r="D1129" s="14" t="s">
        <v>360</v>
      </c>
      <c r="E1129" s="16" t="s">
        <v>489</v>
      </c>
      <c r="F1129" s="45" t="s">
        <v>490</v>
      </c>
      <c r="G1129" s="45" t="s">
        <v>1105</v>
      </c>
      <c r="H1129" s="267" t="s">
        <v>366</v>
      </c>
      <c r="I1129" s="234">
        <v>51.21</v>
      </c>
      <c r="J1129" s="241"/>
      <c r="K1129" s="234">
        <v>51.21</v>
      </c>
      <c r="L1129" s="241"/>
      <c r="M1129" s="234">
        <v>51.21</v>
      </c>
      <c r="N1129" s="241"/>
      <c r="O1129" s="234">
        <v>51.21</v>
      </c>
      <c r="P1129" s="241"/>
      <c r="Q1129" s="96">
        <f t="shared" ref="Q1129" si="9864">SUM(AI1129+BA1129)</f>
        <v>0</v>
      </c>
      <c r="R1129" s="340">
        <f t="shared" ref="R1129" si="9865">SUM(AJ1129+BB1129)</f>
        <v>0</v>
      </c>
      <c r="S1129" s="96"/>
      <c r="T1129" s="96">
        <f t="shared" ref="T1129" si="9866">I1129*S1129*$T$2/1000</f>
        <v>0</v>
      </c>
      <c r="U1129" s="96"/>
      <c r="V1129" s="96">
        <f t="shared" ref="V1129" si="9867">I1129*U1129*$V$2/1000</f>
        <v>0</v>
      </c>
      <c r="W1129" s="96"/>
      <c r="X1129" s="96">
        <f t="shared" ref="X1129" si="9868">I1129*W1129*$X$2/1000</f>
        <v>0</v>
      </c>
      <c r="Y1129" s="96">
        <f t="shared" ref="Y1129" si="9869">SUM(S1129+U1129+W1129)</f>
        <v>0</v>
      </c>
      <c r="Z1129" s="96">
        <f t="shared" ref="Z1129" si="9870">SUM(T1129+V1129+X1129)</f>
        <v>0</v>
      </c>
      <c r="AA1129" s="96"/>
      <c r="AB1129" s="96">
        <f t="shared" si="9827"/>
        <v>0</v>
      </c>
      <c r="AC1129" s="96"/>
      <c r="AD1129" s="96">
        <f t="shared" ref="AD1129" si="9871">K1129*AC1129*$AD$2/1000</f>
        <v>0</v>
      </c>
      <c r="AE1129" s="96"/>
      <c r="AF1129" s="97">
        <f t="shared" si="9848"/>
        <v>0</v>
      </c>
      <c r="AG1129" s="96">
        <f t="shared" ref="AG1129" si="9872">SUM(AA1129+AC1129+AE1129)</f>
        <v>0</v>
      </c>
      <c r="AH1129" s="96">
        <f t="shared" ref="AH1129" si="9873">SUM(AB1129+AD1129+AF1129)</f>
        <v>0</v>
      </c>
      <c r="AI1129" s="96">
        <f t="shared" ref="AI1129" si="9874">SUM(Y1129+AG1129)</f>
        <v>0</v>
      </c>
      <c r="AJ1129" s="96">
        <f t="shared" ref="AJ1129" si="9875">SUM(Z1129,AH1129)</f>
        <v>0</v>
      </c>
      <c r="AK1129" s="96"/>
      <c r="AL1129" s="96">
        <f t="shared" ref="AL1129" si="9876">M1129*AK1129*$AL$2/1000</f>
        <v>0</v>
      </c>
      <c r="AM1129" s="96"/>
      <c r="AN1129" s="96">
        <f t="shared" ref="AN1129" si="9877">M1129*AM1129*$AN$2/1000</f>
        <v>0</v>
      </c>
      <c r="AO1129" s="96"/>
      <c r="AP1129" s="96">
        <f t="shared" ref="AP1129" si="9878">M1129*AO1129*$AP$2/1000</f>
        <v>0</v>
      </c>
      <c r="AQ1129" s="96">
        <f t="shared" ref="AQ1129" si="9879">SUM(AK1129+AM1129+AO1129)</f>
        <v>0</v>
      </c>
      <c r="AR1129" s="96">
        <f t="shared" ref="AR1129" si="9880">SUM(AL1129+AN1129+AP1129)</f>
        <v>0</v>
      </c>
      <c r="AS1129" s="96"/>
      <c r="AT1129" s="96">
        <f t="shared" ref="AT1129" si="9881">O1129*AS1129*$AT$2/1000</f>
        <v>0</v>
      </c>
      <c r="AU1129" s="96"/>
      <c r="AV1129" s="96">
        <f t="shared" ref="AV1129" si="9882">O1129*AU1129*$AV$2/1000</f>
        <v>0</v>
      </c>
      <c r="AW1129" s="96"/>
      <c r="AX1129" s="96">
        <f t="shared" ref="AX1129" si="9883">O1129*AW1129*$AX$2/1000</f>
        <v>0</v>
      </c>
      <c r="AY1129" s="96">
        <f t="shared" ref="AY1129" si="9884">SUM(AS1129+AU1129+AW1129)</f>
        <v>0</v>
      </c>
      <c r="AZ1129" s="96">
        <f t="shared" ref="AZ1129" si="9885">SUM(AT1129+AV1129+AX1129)</f>
        <v>0</v>
      </c>
      <c r="BA1129" s="96">
        <f t="shared" ref="BA1129" si="9886">SUM(AQ1129+AY1129)</f>
        <v>0</v>
      </c>
      <c r="BB1129" s="96">
        <f t="shared" ref="BB1129" si="9887">SUM(AR1129,AZ1129)</f>
        <v>0</v>
      </c>
    </row>
    <row r="1130" spans="1:54">
      <c r="A1130" s="498">
        <v>788</v>
      </c>
      <c r="B1130" s="13"/>
      <c r="C1130" s="236"/>
      <c r="D1130" s="13" t="s">
        <v>361</v>
      </c>
      <c r="E1130" s="21" t="s">
        <v>448</v>
      </c>
      <c r="F1130" s="46" t="s">
        <v>447</v>
      </c>
      <c r="G1130" s="46" t="s">
        <v>1105</v>
      </c>
      <c r="H1130" s="268" t="s">
        <v>446</v>
      </c>
      <c r="I1130" s="55">
        <v>48.03</v>
      </c>
      <c r="J1130" s="163"/>
      <c r="K1130" s="55">
        <v>48.03</v>
      </c>
      <c r="L1130" s="163"/>
      <c r="M1130" s="55">
        <v>48.03</v>
      </c>
      <c r="N1130" s="163"/>
      <c r="O1130" s="55">
        <v>48.03</v>
      </c>
      <c r="P1130" s="163"/>
      <c r="Q1130" s="97">
        <f t="shared" si="9821"/>
        <v>0</v>
      </c>
      <c r="R1130" s="342">
        <f t="shared" si="9821"/>
        <v>0</v>
      </c>
      <c r="S1130" s="97"/>
      <c r="T1130" s="97">
        <f t="shared" si="9822"/>
        <v>0</v>
      </c>
      <c r="U1130" s="97"/>
      <c r="V1130" s="97">
        <f t="shared" si="9823"/>
        <v>0</v>
      </c>
      <c r="W1130" s="97"/>
      <c r="X1130" s="97">
        <f t="shared" si="9824"/>
        <v>0</v>
      </c>
      <c r="Y1130" s="97">
        <f t="shared" si="9825"/>
        <v>0</v>
      </c>
      <c r="Z1130" s="97">
        <f t="shared" si="9826"/>
        <v>0</v>
      </c>
      <c r="AA1130" s="97"/>
      <c r="AB1130" s="97">
        <f t="shared" si="9827"/>
        <v>0</v>
      </c>
      <c r="AC1130" s="97"/>
      <c r="AD1130" s="97">
        <f t="shared" si="9828"/>
        <v>0</v>
      </c>
      <c r="AE1130" s="97"/>
      <c r="AF1130" s="97">
        <f t="shared" si="9848"/>
        <v>0</v>
      </c>
      <c r="AG1130" s="97">
        <f t="shared" si="9829"/>
        <v>0</v>
      </c>
      <c r="AH1130" s="97">
        <f t="shared" si="9830"/>
        <v>0</v>
      </c>
      <c r="AI1130" s="97">
        <f t="shared" si="9831"/>
        <v>0</v>
      </c>
      <c r="AJ1130" s="97">
        <f t="shared" si="9832"/>
        <v>0</v>
      </c>
      <c r="AK1130" s="97"/>
      <c r="AL1130" s="97">
        <f t="shared" si="9833"/>
        <v>0</v>
      </c>
      <c r="AM1130" s="97"/>
      <c r="AN1130" s="97">
        <f t="shared" si="9834"/>
        <v>0</v>
      </c>
      <c r="AO1130" s="97"/>
      <c r="AP1130" s="97">
        <f t="shared" si="9835"/>
        <v>0</v>
      </c>
      <c r="AQ1130" s="97">
        <f t="shared" si="9836"/>
        <v>0</v>
      </c>
      <c r="AR1130" s="97">
        <f t="shared" si="9837"/>
        <v>0</v>
      </c>
      <c r="AS1130" s="97"/>
      <c r="AT1130" s="97">
        <f t="shared" si="9838"/>
        <v>0</v>
      </c>
      <c r="AU1130" s="97"/>
      <c r="AV1130" s="97">
        <f t="shared" si="9839"/>
        <v>0</v>
      </c>
      <c r="AW1130" s="97"/>
      <c r="AX1130" s="97">
        <f t="shared" si="9840"/>
        <v>0</v>
      </c>
      <c r="AY1130" s="97">
        <f t="shared" si="9841"/>
        <v>0</v>
      </c>
      <c r="AZ1130" s="97">
        <f t="shared" si="9842"/>
        <v>0</v>
      </c>
      <c r="BA1130" s="97">
        <f t="shared" si="9843"/>
        <v>0</v>
      </c>
      <c r="BB1130" s="97">
        <f t="shared" si="9844"/>
        <v>0</v>
      </c>
    </row>
    <row r="1131" spans="1:54" s="6" customFormat="1">
      <c r="A1131" s="498">
        <v>789</v>
      </c>
      <c r="B1131" s="14"/>
      <c r="C1131" s="40"/>
      <c r="D1131" s="14" t="s">
        <v>361</v>
      </c>
      <c r="E1131" s="16" t="s">
        <v>462</v>
      </c>
      <c r="F1131" s="45" t="s">
        <v>461</v>
      </c>
      <c r="G1131" s="45" t="s">
        <v>1105</v>
      </c>
      <c r="H1131" s="267" t="s">
        <v>446</v>
      </c>
      <c r="I1131" s="234">
        <v>51.43</v>
      </c>
      <c r="J1131" s="241"/>
      <c r="K1131" s="234">
        <v>51.43</v>
      </c>
      <c r="L1131" s="241"/>
      <c r="M1131" s="234">
        <v>51.43</v>
      </c>
      <c r="N1131" s="241"/>
      <c r="O1131" s="234">
        <v>51.43</v>
      </c>
      <c r="P1131" s="241"/>
      <c r="Q1131" s="96">
        <f t="shared" ref="Q1131:Q1134" si="9888">SUM(AI1131+BA1131)</f>
        <v>0</v>
      </c>
      <c r="R1131" s="340">
        <f t="shared" ref="R1131:R1134" si="9889">SUM(AJ1131+BB1131)</f>
        <v>0</v>
      </c>
      <c r="S1131" s="96"/>
      <c r="T1131" s="96">
        <f t="shared" si="9822"/>
        <v>0</v>
      </c>
      <c r="U1131" s="96"/>
      <c r="V1131" s="96">
        <f t="shared" si="9823"/>
        <v>0</v>
      </c>
      <c r="W1131" s="96"/>
      <c r="X1131" s="96">
        <f t="shared" si="9824"/>
        <v>0</v>
      </c>
      <c r="Y1131" s="96">
        <f>SUM(S1131+U1131+W1131)</f>
        <v>0</v>
      </c>
      <c r="Z1131" s="96">
        <f t="shared" ref="Z1131:Z1134" si="9890">SUM(T1131+V1131+X1131)</f>
        <v>0</v>
      </c>
      <c r="AA1131" s="96"/>
      <c r="AB1131" s="96">
        <f t="shared" si="9827"/>
        <v>0</v>
      </c>
      <c r="AC1131" s="96"/>
      <c r="AD1131" s="96">
        <f t="shared" si="9828"/>
        <v>0</v>
      </c>
      <c r="AE1131" s="96"/>
      <c r="AF1131" s="97">
        <f t="shared" si="9848"/>
        <v>0</v>
      </c>
      <c r="AG1131" s="96">
        <f>SUM(AA1131+AC1131+AE1131)</f>
        <v>0</v>
      </c>
      <c r="AH1131" s="96">
        <f t="shared" ref="AH1131:AH1134" si="9891">SUM(AB1131+AD1131+AF1131)</f>
        <v>0</v>
      </c>
      <c r="AI1131" s="96">
        <f t="shared" ref="AI1131:AI1134" si="9892">SUM(Y1131+AG1131)</f>
        <v>0</v>
      </c>
      <c r="AJ1131" s="96">
        <f t="shared" ref="AJ1131:AJ1134" si="9893">SUM(Z1131,AH1131)</f>
        <v>0</v>
      </c>
      <c r="AK1131" s="96"/>
      <c r="AL1131" s="96">
        <f t="shared" ref="AL1131:AL1134" si="9894">M1131*AK1131*$AL$2/1000</f>
        <v>0</v>
      </c>
      <c r="AM1131" s="96"/>
      <c r="AN1131" s="96">
        <f t="shared" ref="AN1131:AN1134" si="9895">M1131*AM1131*$AN$2/1000</f>
        <v>0</v>
      </c>
      <c r="AO1131" s="96"/>
      <c r="AP1131" s="96">
        <f t="shared" si="9835"/>
        <v>0</v>
      </c>
      <c r="AQ1131" s="96">
        <f t="shared" ref="AQ1131:AQ1134" si="9896">SUM(AK1131+AM1131+AO1131)</f>
        <v>0</v>
      </c>
      <c r="AR1131" s="96">
        <f t="shared" ref="AR1131:AR1134" si="9897">SUM(AL1131+AN1131+AP1131)</f>
        <v>0</v>
      </c>
      <c r="AS1131" s="96"/>
      <c r="AT1131" s="96">
        <f t="shared" ref="AT1131:AT1134" si="9898">O1131*AS1131*$AT$2/1000</f>
        <v>0</v>
      </c>
      <c r="AU1131" s="96"/>
      <c r="AV1131" s="96">
        <f t="shared" ref="AV1131:AV1134" si="9899">O1131*AU1131*$AV$2/1000</f>
        <v>0</v>
      </c>
      <c r="AW1131" s="96"/>
      <c r="AX1131" s="96">
        <f t="shared" ref="AX1131:AX1134" si="9900">O1131*AW1131*$AX$2/1000</f>
        <v>0</v>
      </c>
      <c r="AY1131" s="96">
        <f t="shared" ref="AY1131:AY1134" si="9901">SUM(AS1131+AU1131+AW1131)</f>
        <v>0</v>
      </c>
      <c r="AZ1131" s="96">
        <f t="shared" ref="AZ1131:AZ1134" si="9902">SUM(AT1131+AV1131+AX1131)</f>
        <v>0</v>
      </c>
      <c r="BA1131" s="96">
        <f t="shared" ref="BA1131:BA1134" si="9903">SUM(AQ1131+AY1131)</f>
        <v>0</v>
      </c>
      <c r="BB1131" s="96">
        <f t="shared" ref="BB1131:BB1134" si="9904">SUM(AR1131,AZ1131)</f>
        <v>0</v>
      </c>
    </row>
    <row r="1132" spans="1:54" s="6" customFormat="1">
      <c r="A1132" s="498">
        <v>790</v>
      </c>
      <c r="B1132" s="14"/>
      <c r="C1132" s="40"/>
      <c r="D1132" s="14" t="s">
        <v>361</v>
      </c>
      <c r="E1132" s="16" t="s">
        <v>491</v>
      </c>
      <c r="F1132" s="45" t="s">
        <v>492</v>
      </c>
      <c r="G1132" s="45" t="s">
        <v>1105</v>
      </c>
      <c r="H1132" s="267" t="s">
        <v>366</v>
      </c>
      <c r="I1132" s="234">
        <v>51.43</v>
      </c>
      <c r="J1132" s="241"/>
      <c r="K1132" s="234">
        <v>51.43</v>
      </c>
      <c r="L1132" s="241"/>
      <c r="M1132" s="234">
        <v>51.43</v>
      </c>
      <c r="N1132" s="241"/>
      <c r="O1132" s="234">
        <v>51.43</v>
      </c>
      <c r="P1132" s="241"/>
      <c r="Q1132" s="96">
        <f t="shared" ref="Q1132" si="9905">SUM(AI1132+BA1132)</f>
        <v>0</v>
      </c>
      <c r="R1132" s="340">
        <f t="shared" ref="R1132" si="9906">SUM(AJ1132+BB1132)</f>
        <v>0</v>
      </c>
      <c r="S1132" s="96"/>
      <c r="T1132" s="96">
        <f t="shared" ref="T1132" si="9907">I1132*S1132*$T$2/1000</f>
        <v>0</v>
      </c>
      <c r="U1132" s="96"/>
      <c r="V1132" s="96">
        <f t="shared" ref="V1132" si="9908">I1132*U1132*$V$2/1000</f>
        <v>0</v>
      </c>
      <c r="W1132" s="96"/>
      <c r="X1132" s="96">
        <f t="shared" ref="X1132" si="9909">I1132*W1132*$X$2/1000</f>
        <v>0</v>
      </c>
      <c r="Y1132" s="96">
        <f t="shared" ref="Y1132" si="9910">SUM(S1132+U1132+W1132)</f>
        <v>0</v>
      </c>
      <c r="Z1132" s="96">
        <f t="shared" ref="Z1132" si="9911">SUM(T1132+V1132+X1132)</f>
        <v>0</v>
      </c>
      <c r="AA1132" s="96"/>
      <c r="AB1132" s="96">
        <f t="shared" si="9827"/>
        <v>0</v>
      </c>
      <c r="AC1132" s="96"/>
      <c r="AD1132" s="96">
        <f t="shared" ref="AD1132" si="9912">K1132*AC1132*$AD$2/1000</f>
        <v>0</v>
      </c>
      <c r="AE1132" s="96"/>
      <c r="AF1132" s="97">
        <f t="shared" si="9848"/>
        <v>0</v>
      </c>
      <c r="AG1132" s="96">
        <f t="shared" ref="AG1132" si="9913">SUM(AA1132+AC1132+AE1132)</f>
        <v>0</v>
      </c>
      <c r="AH1132" s="96">
        <f t="shared" ref="AH1132" si="9914">SUM(AB1132+AD1132+AF1132)</f>
        <v>0</v>
      </c>
      <c r="AI1132" s="96">
        <f t="shared" ref="AI1132" si="9915">SUM(Y1132+AG1132)</f>
        <v>0</v>
      </c>
      <c r="AJ1132" s="96">
        <f t="shared" ref="AJ1132" si="9916">SUM(Z1132,AH1132)</f>
        <v>0</v>
      </c>
      <c r="AK1132" s="96"/>
      <c r="AL1132" s="96">
        <f t="shared" ref="AL1132" si="9917">M1132*AK1132*$AL$2/1000</f>
        <v>0</v>
      </c>
      <c r="AM1132" s="96"/>
      <c r="AN1132" s="96">
        <f t="shared" ref="AN1132" si="9918">M1132*AM1132*$AN$2/1000</f>
        <v>0</v>
      </c>
      <c r="AO1132" s="96"/>
      <c r="AP1132" s="96">
        <f t="shared" ref="AP1132" si="9919">M1132*AO1132*$AP$2/1000</f>
        <v>0</v>
      </c>
      <c r="AQ1132" s="96">
        <f t="shared" ref="AQ1132" si="9920">SUM(AK1132+AM1132+AO1132)</f>
        <v>0</v>
      </c>
      <c r="AR1132" s="96">
        <f t="shared" ref="AR1132" si="9921">SUM(AL1132+AN1132+AP1132)</f>
        <v>0</v>
      </c>
      <c r="AS1132" s="96"/>
      <c r="AT1132" s="96">
        <f t="shared" ref="AT1132" si="9922">O1132*AS1132*$AT$2/1000</f>
        <v>0</v>
      </c>
      <c r="AU1132" s="96"/>
      <c r="AV1132" s="96">
        <f t="shared" ref="AV1132" si="9923">O1132*AU1132*$AV$2/1000</f>
        <v>0</v>
      </c>
      <c r="AW1132" s="96"/>
      <c r="AX1132" s="96">
        <f t="shared" ref="AX1132" si="9924">O1132*AW1132*$AX$2/1000</f>
        <v>0</v>
      </c>
      <c r="AY1132" s="96">
        <f t="shared" ref="AY1132" si="9925">SUM(AS1132+AU1132+AW1132)</f>
        <v>0</v>
      </c>
      <c r="AZ1132" s="96">
        <f t="shared" ref="AZ1132" si="9926">SUM(AT1132+AV1132+AX1132)</f>
        <v>0</v>
      </c>
      <c r="BA1132" s="96">
        <f t="shared" ref="BA1132" si="9927">SUM(AQ1132+AY1132)</f>
        <v>0</v>
      </c>
      <c r="BB1132" s="96">
        <f t="shared" ref="BB1132" si="9928">SUM(AR1132,AZ1132)</f>
        <v>0</v>
      </c>
    </row>
    <row r="1133" spans="1:54">
      <c r="A1133" s="498">
        <v>791</v>
      </c>
      <c r="B1133" s="13"/>
      <c r="C1133" s="236"/>
      <c r="D1133" s="13" t="s">
        <v>362</v>
      </c>
      <c r="E1133" s="21" t="s">
        <v>656</v>
      </c>
      <c r="F1133" s="46" t="s">
        <v>447</v>
      </c>
      <c r="G1133" s="46" t="s">
        <v>1105</v>
      </c>
      <c r="H1133" s="268" t="s">
        <v>446</v>
      </c>
      <c r="I1133" s="55">
        <v>48.37</v>
      </c>
      <c r="J1133" s="163"/>
      <c r="K1133" s="55">
        <v>48.37</v>
      </c>
      <c r="L1133" s="163"/>
      <c r="M1133" s="55">
        <v>48.37</v>
      </c>
      <c r="N1133" s="163"/>
      <c r="O1133" s="55">
        <v>48.37</v>
      </c>
      <c r="P1133" s="163"/>
      <c r="Q1133" s="97">
        <f t="shared" si="9888"/>
        <v>0</v>
      </c>
      <c r="R1133" s="342">
        <f t="shared" si="9889"/>
        <v>0</v>
      </c>
      <c r="S1133" s="97"/>
      <c r="T1133" s="97">
        <f t="shared" si="9822"/>
        <v>0</v>
      </c>
      <c r="U1133" s="97"/>
      <c r="V1133" s="97">
        <f t="shared" si="9823"/>
        <v>0</v>
      </c>
      <c r="W1133" s="97"/>
      <c r="X1133" s="97">
        <f t="shared" si="9824"/>
        <v>0</v>
      </c>
      <c r="Y1133" s="97">
        <f>SUM(S1133+U1133+W1133)</f>
        <v>0</v>
      </c>
      <c r="Z1133" s="97">
        <f t="shared" si="9890"/>
        <v>0</v>
      </c>
      <c r="AA1133" s="97"/>
      <c r="AB1133" s="97">
        <f t="shared" si="9827"/>
        <v>0</v>
      </c>
      <c r="AC1133" s="97"/>
      <c r="AD1133" s="97">
        <f t="shared" si="9828"/>
        <v>0</v>
      </c>
      <c r="AE1133" s="97"/>
      <c r="AF1133" s="97">
        <f t="shared" si="9848"/>
        <v>0</v>
      </c>
      <c r="AG1133" s="97">
        <f t="shared" ref="AG1133:AG1134" si="9929">SUM(AA1133+AC1133+AE1133)</f>
        <v>0</v>
      </c>
      <c r="AH1133" s="97">
        <f t="shared" si="9891"/>
        <v>0</v>
      </c>
      <c r="AI1133" s="97">
        <f t="shared" si="9892"/>
        <v>0</v>
      </c>
      <c r="AJ1133" s="97">
        <f t="shared" si="9893"/>
        <v>0</v>
      </c>
      <c r="AK1133" s="97"/>
      <c r="AL1133" s="97">
        <f t="shared" si="9894"/>
        <v>0</v>
      </c>
      <c r="AM1133" s="97"/>
      <c r="AN1133" s="97">
        <f t="shared" si="9895"/>
        <v>0</v>
      </c>
      <c r="AO1133" s="97"/>
      <c r="AP1133" s="97">
        <f t="shared" si="9835"/>
        <v>0</v>
      </c>
      <c r="AQ1133" s="97">
        <f t="shared" si="9896"/>
        <v>0</v>
      </c>
      <c r="AR1133" s="97">
        <f t="shared" si="9897"/>
        <v>0</v>
      </c>
      <c r="AS1133" s="97"/>
      <c r="AT1133" s="97">
        <f t="shared" si="9898"/>
        <v>0</v>
      </c>
      <c r="AU1133" s="97"/>
      <c r="AV1133" s="97">
        <f t="shared" si="9899"/>
        <v>0</v>
      </c>
      <c r="AW1133" s="97"/>
      <c r="AX1133" s="97">
        <f t="shared" si="9900"/>
        <v>0</v>
      </c>
      <c r="AY1133" s="97">
        <f t="shared" si="9901"/>
        <v>0</v>
      </c>
      <c r="AZ1133" s="97">
        <f t="shared" si="9902"/>
        <v>0</v>
      </c>
      <c r="BA1133" s="97">
        <f t="shared" si="9903"/>
        <v>0</v>
      </c>
      <c r="BB1133" s="97">
        <f t="shared" si="9904"/>
        <v>0</v>
      </c>
    </row>
    <row r="1134" spans="1:54" s="6" customFormat="1">
      <c r="A1134" s="498">
        <v>792</v>
      </c>
      <c r="B1134" s="14"/>
      <c r="C1134" s="40"/>
      <c r="D1134" s="14" t="s">
        <v>362</v>
      </c>
      <c r="E1134" s="16" t="s">
        <v>464</v>
      </c>
      <c r="F1134" s="45" t="s">
        <v>463</v>
      </c>
      <c r="G1134" s="45" t="s">
        <v>1105</v>
      </c>
      <c r="H1134" s="267" t="s">
        <v>366</v>
      </c>
      <c r="I1134" s="234">
        <v>51.77</v>
      </c>
      <c r="J1134" s="241"/>
      <c r="K1134" s="234">
        <v>51.77</v>
      </c>
      <c r="L1134" s="241"/>
      <c r="M1134" s="234">
        <v>51.77</v>
      </c>
      <c r="N1134" s="241"/>
      <c r="O1134" s="234">
        <v>51.77</v>
      </c>
      <c r="P1134" s="241"/>
      <c r="Q1134" s="96">
        <f t="shared" si="9888"/>
        <v>0</v>
      </c>
      <c r="R1134" s="340">
        <f t="shared" si="9889"/>
        <v>0</v>
      </c>
      <c r="S1134" s="96"/>
      <c r="T1134" s="96">
        <f t="shared" ref="T1134" si="9930">I1134*S1134*$T$2/1000</f>
        <v>0</v>
      </c>
      <c r="U1134" s="96"/>
      <c r="V1134" s="96">
        <f t="shared" ref="V1134" si="9931">I1134*U1134*$V$2/1000</f>
        <v>0</v>
      </c>
      <c r="W1134" s="96"/>
      <c r="X1134" s="96">
        <f t="shared" ref="X1134" si="9932">I1134*W1134*$X$2/1000</f>
        <v>0</v>
      </c>
      <c r="Y1134" s="96">
        <f t="shared" ref="Y1134" si="9933">SUM(S1134+U1134+W1134)</f>
        <v>0</v>
      </c>
      <c r="Z1134" s="96">
        <f t="shared" si="9890"/>
        <v>0</v>
      </c>
      <c r="AA1134" s="96"/>
      <c r="AB1134" s="96">
        <f t="shared" si="9827"/>
        <v>0</v>
      </c>
      <c r="AC1134" s="96"/>
      <c r="AD1134" s="96">
        <f t="shared" ref="AD1134" si="9934">K1134*AC1134*$AD$2/1000</f>
        <v>0</v>
      </c>
      <c r="AE1134" s="96"/>
      <c r="AF1134" s="97">
        <f t="shared" si="9848"/>
        <v>0</v>
      </c>
      <c r="AG1134" s="96">
        <f t="shared" si="9929"/>
        <v>0</v>
      </c>
      <c r="AH1134" s="96">
        <f t="shared" si="9891"/>
        <v>0</v>
      </c>
      <c r="AI1134" s="96">
        <f t="shared" si="9892"/>
        <v>0</v>
      </c>
      <c r="AJ1134" s="96">
        <f t="shared" si="9893"/>
        <v>0</v>
      </c>
      <c r="AK1134" s="96"/>
      <c r="AL1134" s="96">
        <f t="shared" si="9894"/>
        <v>0</v>
      </c>
      <c r="AM1134" s="96"/>
      <c r="AN1134" s="96">
        <f t="shared" si="9895"/>
        <v>0</v>
      </c>
      <c r="AO1134" s="96"/>
      <c r="AP1134" s="96">
        <f t="shared" ref="AP1134" si="9935">M1134*AO1134*$AP$2/1000</f>
        <v>0</v>
      </c>
      <c r="AQ1134" s="96">
        <f t="shared" si="9896"/>
        <v>0</v>
      </c>
      <c r="AR1134" s="96">
        <f t="shared" si="9897"/>
        <v>0</v>
      </c>
      <c r="AS1134" s="96"/>
      <c r="AT1134" s="96">
        <f t="shared" si="9898"/>
        <v>0</v>
      </c>
      <c r="AU1134" s="96"/>
      <c r="AV1134" s="96">
        <f t="shared" si="9899"/>
        <v>0</v>
      </c>
      <c r="AW1134" s="96"/>
      <c r="AX1134" s="96">
        <f t="shared" si="9900"/>
        <v>0</v>
      </c>
      <c r="AY1134" s="96">
        <f t="shared" si="9901"/>
        <v>0</v>
      </c>
      <c r="AZ1134" s="96">
        <f t="shared" si="9902"/>
        <v>0</v>
      </c>
      <c r="BA1134" s="96">
        <f t="shared" si="9903"/>
        <v>0</v>
      </c>
      <c r="BB1134" s="96">
        <f t="shared" si="9904"/>
        <v>0</v>
      </c>
    </row>
    <row r="1135" spans="1:54" s="6" customFormat="1">
      <c r="A1135" s="498">
        <v>793</v>
      </c>
      <c r="B1135" s="14"/>
      <c r="C1135" s="40"/>
      <c r="D1135" s="14" t="s">
        <v>362</v>
      </c>
      <c r="E1135" s="70" t="s">
        <v>493</v>
      </c>
      <c r="F1135" s="317" t="s">
        <v>492</v>
      </c>
      <c r="G1135" s="317" t="s">
        <v>1105</v>
      </c>
      <c r="H1135" s="270" t="s">
        <v>446</v>
      </c>
      <c r="I1135" s="326">
        <v>51.77</v>
      </c>
      <c r="J1135" s="327"/>
      <c r="K1135" s="326">
        <v>51.77</v>
      </c>
      <c r="L1135" s="327"/>
      <c r="M1135" s="326">
        <v>51.77</v>
      </c>
      <c r="N1135" s="327"/>
      <c r="O1135" s="326">
        <v>51.77</v>
      </c>
      <c r="P1135" s="327"/>
      <c r="Q1135" s="120">
        <f t="shared" si="9821"/>
        <v>0</v>
      </c>
      <c r="R1135" s="344">
        <f t="shared" si="9821"/>
        <v>0</v>
      </c>
      <c r="S1135" s="120"/>
      <c r="T1135" s="120">
        <f t="shared" si="9822"/>
        <v>0</v>
      </c>
      <c r="U1135" s="120"/>
      <c r="V1135" s="120">
        <f t="shared" si="9823"/>
        <v>0</v>
      </c>
      <c r="W1135" s="120"/>
      <c r="X1135" s="120">
        <f t="shared" si="9824"/>
        <v>0</v>
      </c>
      <c r="Y1135" s="120">
        <f t="shared" si="9825"/>
        <v>0</v>
      </c>
      <c r="Z1135" s="120">
        <f t="shared" si="9826"/>
        <v>0</v>
      </c>
      <c r="AA1135" s="120"/>
      <c r="AB1135" s="120">
        <f t="shared" si="9827"/>
        <v>0</v>
      </c>
      <c r="AC1135" s="120"/>
      <c r="AD1135" s="120">
        <f t="shared" si="9828"/>
        <v>0</v>
      </c>
      <c r="AE1135" s="120"/>
      <c r="AF1135" s="95">
        <f t="shared" si="9848"/>
        <v>0</v>
      </c>
      <c r="AG1135" s="120">
        <f t="shared" si="9829"/>
        <v>0</v>
      </c>
      <c r="AH1135" s="120">
        <f t="shared" si="9830"/>
        <v>0</v>
      </c>
      <c r="AI1135" s="120">
        <f t="shared" si="9831"/>
        <v>0</v>
      </c>
      <c r="AJ1135" s="120">
        <f t="shared" si="9832"/>
        <v>0</v>
      </c>
      <c r="AK1135" s="120"/>
      <c r="AL1135" s="120">
        <f t="shared" si="9833"/>
        <v>0</v>
      </c>
      <c r="AM1135" s="120"/>
      <c r="AN1135" s="120">
        <f t="shared" si="9834"/>
        <v>0</v>
      </c>
      <c r="AO1135" s="120"/>
      <c r="AP1135" s="120">
        <f t="shared" si="9835"/>
        <v>0</v>
      </c>
      <c r="AQ1135" s="120">
        <f t="shared" si="9836"/>
        <v>0</v>
      </c>
      <c r="AR1135" s="120">
        <f t="shared" si="9837"/>
        <v>0</v>
      </c>
      <c r="AS1135" s="120"/>
      <c r="AT1135" s="120">
        <f t="shared" si="9838"/>
        <v>0</v>
      </c>
      <c r="AU1135" s="120"/>
      <c r="AV1135" s="120">
        <f t="shared" si="9839"/>
        <v>0</v>
      </c>
      <c r="AW1135" s="120"/>
      <c r="AX1135" s="120">
        <f t="shared" si="9840"/>
        <v>0</v>
      </c>
      <c r="AY1135" s="120">
        <f t="shared" si="9841"/>
        <v>0</v>
      </c>
      <c r="AZ1135" s="120">
        <f t="shared" si="9842"/>
        <v>0</v>
      </c>
      <c r="BA1135" s="120">
        <f t="shared" si="9843"/>
        <v>0</v>
      </c>
      <c r="BB1135" s="120">
        <f t="shared" si="9844"/>
        <v>0</v>
      </c>
    </row>
    <row r="1136" spans="1:54" ht="11.25" customHeight="1">
      <c r="A1136" s="498">
        <v>794</v>
      </c>
      <c r="B1136" s="26"/>
      <c r="C1136" s="27" t="s">
        <v>135</v>
      </c>
      <c r="D1136" s="89"/>
      <c r="E1136" s="26"/>
      <c r="F1136" s="26"/>
      <c r="G1136" s="26"/>
      <c r="H1136" s="276"/>
      <c r="I1136" s="330"/>
      <c r="J1136" s="333"/>
      <c r="K1136" s="330"/>
      <c r="L1136" s="333"/>
      <c r="M1136" s="330"/>
      <c r="N1136" s="333"/>
      <c r="O1136" s="330"/>
      <c r="P1136" s="333"/>
      <c r="Q1136" s="123">
        <f>SUM(Q1127:Q1135)</f>
        <v>0</v>
      </c>
      <c r="R1136" s="123">
        <f t="shared" ref="R1136:BB1136" si="9936">SUM(R1127:R1135)</f>
        <v>0</v>
      </c>
      <c r="S1136" s="123">
        <f t="shared" si="9936"/>
        <v>0</v>
      </c>
      <c r="T1136" s="123">
        <f t="shared" si="9936"/>
        <v>0</v>
      </c>
      <c r="U1136" s="123">
        <f t="shared" si="9936"/>
        <v>0</v>
      </c>
      <c r="V1136" s="123">
        <f t="shared" si="9936"/>
        <v>0</v>
      </c>
      <c r="W1136" s="123">
        <f t="shared" si="9936"/>
        <v>0</v>
      </c>
      <c r="X1136" s="123">
        <f t="shared" si="9936"/>
        <v>0</v>
      </c>
      <c r="Y1136" s="123">
        <f t="shared" si="9936"/>
        <v>0</v>
      </c>
      <c r="Z1136" s="123">
        <f t="shared" si="9936"/>
        <v>0</v>
      </c>
      <c r="AA1136" s="123">
        <f t="shared" si="9936"/>
        <v>0</v>
      </c>
      <c r="AB1136" s="123">
        <f t="shared" si="9936"/>
        <v>0</v>
      </c>
      <c r="AC1136" s="123">
        <f t="shared" si="9936"/>
        <v>0</v>
      </c>
      <c r="AD1136" s="123">
        <f t="shared" si="9936"/>
        <v>0</v>
      </c>
      <c r="AE1136" s="123">
        <f t="shared" si="9936"/>
        <v>0</v>
      </c>
      <c r="AF1136" s="123">
        <f t="shared" si="9936"/>
        <v>0</v>
      </c>
      <c r="AG1136" s="123">
        <f t="shared" si="9936"/>
        <v>0</v>
      </c>
      <c r="AH1136" s="123">
        <f t="shared" si="9936"/>
        <v>0</v>
      </c>
      <c r="AI1136" s="123">
        <f t="shared" si="9936"/>
        <v>0</v>
      </c>
      <c r="AJ1136" s="123">
        <f t="shared" si="9936"/>
        <v>0</v>
      </c>
      <c r="AK1136" s="123">
        <f t="shared" si="9936"/>
        <v>0</v>
      </c>
      <c r="AL1136" s="123">
        <f t="shared" si="9936"/>
        <v>0</v>
      </c>
      <c r="AM1136" s="123">
        <f t="shared" si="9936"/>
        <v>0</v>
      </c>
      <c r="AN1136" s="123">
        <f t="shared" si="9936"/>
        <v>0</v>
      </c>
      <c r="AO1136" s="123">
        <f t="shared" si="9936"/>
        <v>0</v>
      </c>
      <c r="AP1136" s="123">
        <f t="shared" si="9936"/>
        <v>0</v>
      </c>
      <c r="AQ1136" s="123">
        <f t="shared" si="9936"/>
        <v>0</v>
      </c>
      <c r="AR1136" s="123">
        <f t="shared" si="9936"/>
        <v>0</v>
      </c>
      <c r="AS1136" s="123">
        <f t="shared" si="9936"/>
        <v>0</v>
      </c>
      <c r="AT1136" s="123">
        <f t="shared" si="9936"/>
        <v>0</v>
      </c>
      <c r="AU1136" s="123">
        <f t="shared" si="9936"/>
        <v>0</v>
      </c>
      <c r="AV1136" s="123">
        <f t="shared" si="9936"/>
        <v>0</v>
      </c>
      <c r="AW1136" s="123">
        <f t="shared" si="9936"/>
        <v>0</v>
      </c>
      <c r="AX1136" s="123">
        <f t="shared" si="9936"/>
        <v>0</v>
      </c>
      <c r="AY1136" s="123">
        <f t="shared" si="9936"/>
        <v>0</v>
      </c>
      <c r="AZ1136" s="123">
        <f t="shared" si="9936"/>
        <v>0</v>
      </c>
      <c r="BA1136" s="123">
        <f t="shared" si="9936"/>
        <v>0</v>
      </c>
      <c r="BB1136" s="123">
        <f t="shared" si="9936"/>
        <v>0</v>
      </c>
    </row>
    <row r="1137" spans="1:54">
      <c r="A1137" s="498">
        <v>795</v>
      </c>
      <c r="B1137" s="13"/>
      <c r="C1137" s="13" t="s">
        <v>266</v>
      </c>
      <c r="D1137" s="53" t="s">
        <v>440</v>
      </c>
      <c r="E1137" s="31" t="s">
        <v>579</v>
      </c>
      <c r="F1137" s="314"/>
      <c r="G1137" s="314" t="s">
        <v>1105</v>
      </c>
      <c r="H1137" s="274" t="s">
        <v>441</v>
      </c>
      <c r="I1137" s="62">
        <v>4.7</v>
      </c>
      <c r="J1137" s="164"/>
      <c r="K1137" s="62">
        <v>4.7</v>
      </c>
      <c r="L1137" s="164"/>
      <c r="M1137" s="62">
        <v>4.7</v>
      </c>
      <c r="N1137" s="164"/>
      <c r="O1137" s="62">
        <v>4.7</v>
      </c>
      <c r="P1137" s="164"/>
      <c r="Q1137" s="122">
        <f t="shared" ref="Q1137:R1141" si="9937">SUM(AI1137+BA1137)</f>
        <v>0</v>
      </c>
      <c r="R1137" s="346">
        <f t="shared" si="9937"/>
        <v>0</v>
      </c>
      <c r="S1137" s="122"/>
      <c r="T1137" s="122">
        <f t="shared" ref="T1137:T1141" si="9938">I1137*S1137*$T$2/1000</f>
        <v>0</v>
      </c>
      <c r="U1137" s="122"/>
      <c r="V1137" s="122">
        <f t="shared" ref="V1137:V1141" si="9939">I1137*U1137*$V$2/1000</f>
        <v>0</v>
      </c>
      <c r="W1137" s="122"/>
      <c r="X1137" s="122">
        <f t="shared" ref="X1137:X1141" si="9940">I1137*W1137*$X$2/1000</f>
        <v>0</v>
      </c>
      <c r="Y1137" s="122">
        <f t="shared" ref="Y1137:Y1141" si="9941">SUM(S1137+U1137+W1137)</f>
        <v>0</v>
      </c>
      <c r="Z1137" s="122">
        <f t="shared" ref="Z1137:Z1141" si="9942">SUM(T1137+V1137+X1137)</f>
        <v>0</v>
      </c>
      <c r="AA1137" s="122"/>
      <c r="AB1137" s="122">
        <f>K1137*AA1137*$AB$2/1000</f>
        <v>0</v>
      </c>
      <c r="AC1137" s="122"/>
      <c r="AD1137" s="122">
        <f t="shared" ref="AD1137:AD1141" si="9943">K1137*AC1137*$AD$2/1000</f>
        <v>0</v>
      </c>
      <c r="AE1137" s="122"/>
      <c r="AF1137" s="122">
        <f>K1137*AE1137*$AF$2/1000</f>
        <v>0</v>
      </c>
      <c r="AG1137" s="122">
        <f t="shared" ref="AG1137:AG1141" si="9944">SUM(AA1137+AC1137+AE1137)</f>
        <v>0</v>
      </c>
      <c r="AH1137" s="122">
        <f t="shared" ref="AH1137:AH1141" si="9945">SUM(AB1137+AD1137+AF1137)</f>
        <v>0</v>
      </c>
      <c r="AI1137" s="122"/>
      <c r="AJ1137" s="122">
        <f t="shared" ref="AJ1137:AJ1141" si="9946">SUM(Z1137,AH1137)</f>
        <v>0</v>
      </c>
      <c r="AK1137" s="122"/>
      <c r="AL1137" s="122">
        <f t="shared" ref="AL1137:AL1140" si="9947">M1137*AK1137*$AL$2/1000</f>
        <v>0</v>
      </c>
      <c r="AM1137" s="122"/>
      <c r="AN1137" s="122">
        <f t="shared" ref="AN1137:AN1141" si="9948">M1137*AM1137*$AN$2/1000</f>
        <v>0</v>
      </c>
      <c r="AO1137" s="122"/>
      <c r="AP1137" s="122">
        <f>M1137*AO1137*$AP$2/1000</f>
        <v>0</v>
      </c>
      <c r="AQ1137" s="122">
        <f t="shared" ref="AQ1137:AQ1141" si="9949">SUM(AK1137+AM1137+AO1137)</f>
        <v>0</v>
      </c>
      <c r="AR1137" s="122">
        <f t="shared" ref="AR1137:AR1141" si="9950">SUM(AL1137+AN1137+AP1137)</f>
        <v>0</v>
      </c>
      <c r="AS1137" s="122"/>
      <c r="AT1137" s="122">
        <f t="shared" ref="AT1137:AT1141" si="9951">O1137*AS1137*$AT$2/1000</f>
        <v>0</v>
      </c>
      <c r="AU1137" s="122"/>
      <c r="AV1137" s="122">
        <f t="shared" ref="AV1137:AV1141" si="9952">O1137*AU1137*$AV$2/1000</f>
        <v>0</v>
      </c>
      <c r="AW1137" s="122"/>
      <c r="AX1137" s="122">
        <f t="shared" ref="AX1137:AX1141" si="9953">O1137*AW1137*$AX$2/1000</f>
        <v>0</v>
      </c>
      <c r="AY1137" s="122">
        <f t="shared" ref="AY1137" si="9954">SUM(AS1137+AU1137+AW1137)</f>
        <v>0</v>
      </c>
      <c r="AZ1137" s="122">
        <f t="shared" ref="AZ1137" si="9955">SUM(AT1137+AV1137+AX1137)</f>
        <v>0</v>
      </c>
      <c r="BA1137" s="122">
        <f>SUM(AQ1137+AY1137)</f>
        <v>0</v>
      </c>
      <c r="BB1137" s="122">
        <f t="shared" ref="BB1137" si="9956">SUM(AR1137,AZ1137)</f>
        <v>0</v>
      </c>
    </row>
    <row r="1138" spans="1:54">
      <c r="A1138" s="498">
        <v>796</v>
      </c>
      <c r="B1138" s="13"/>
      <c r="C1138" s="13"/>
      <c r="D1138" s="13" t="s">
        <v>442</v>
      </c>
      <c r="E1138" s="21" t="s">
        <v>543</v>
      </c>
      <c r="F1138" s="46"/>
      <c r="G1138" s="46" t="s">
        <v>1105</v>
      </c>
      <c r="H1138" s="268" t="s">
        <v>441</v>
      </c>
      <c r="I1138" s="55">
        <v>7.35</v>
      </c>
      <c r="J1138" s="163"/>
      <c r="K1138" s="55">
        <v>7.35</v>
      </c>
      <c r="L1138" s="163"/>
      <c r="M1138" s="55">
        <v>7.35</v>
      </c>
      <c r="N1138" s="163"/>
      <c r="O1138" s="55">
        <v>7.35</v>
      </c>
      <c r="P1138" s="163"/>
      <c r="Q1138" s="97">
        <f t="shared" si="9937"/>
        <v>0</v>
      </c>
      <c r="R1138" s="342">
        <f t="shared" si="9937"/>
        <v>0</v>
      </c>
      <c r="S1138" s="97"/>
      <c r="T1138" s="97">
        <f t="shared" si="9938"/>
        <v>0</v>
      </c>
      <c r="U1138" s="97"/>
      <c r="V1138" s="97">
        <f t="shared" si="9939"/>
        <v>0</v>
      </c>
      <c r="W1138" s="97"/>
      <c r="X1138" s="97">
        <f t="shared" si="9940"/>
        <v>0</v>
      </c>
      <c r="Y1138" s="97">
        <f t="shared" si="9941"/>
        <v>0</v>
      </c>
      <c r="Z1138" s="97">
        <f t="shared" si="9942"/>
        <v>0</v>
      </c>
      <c r="AA1138" s="97"/>
      <c r="AB1138" s="97">
        <f>K1138*AA1138*$AB$2/1000</f>
        <v>0</v>
      </c>
      <c r="AC1138" s="97"/>
      <c r="AD1138" s="97">
        <f t="shared" si="9943"/>
        <v>0</v>
      </c>
      <c r="AE1138" s="97"/>
      <c r="AF1138" s="97">
        <f t="shared" ref="AF1138:AF1141" si="9957">K1138*AE1138*$AF$2/1000</f>
        <v>0</v>
      </c>
      <c r="AG1138" s="97">
        <f t="shared" si="9944"/>
        <v>0</v>
      </c>
      <c r="AH1138" s="97">
        <f t="shared" si="9945"/>
        <v>0</v>
      </c>
      <c r="AI1138" s="97"/>
      <c r="AJ1138" s="97">
        <f t="shared" si="9946"/>
        <v>0</v>
      </c>
      <c r="AK1138" s="97"/>
      <c r="AL1138" s="97">
        <f t="shared" si="9947"/>
        <v>0</v>
      </c>
      <c r="AM1138" s="97"/>
      <c r="AN1138" s="97">
        <f t="shared" si="9948"/>
        <v>0</v>
      </c>
      <c r="AO1138" s="97"/>
      <c r="AP1138" s="97">
        <f t="shared" ref="AP1138:AP1141" si="9958">M1138*AO1138*$AP$2/1000</f>
        <v>0</v>
      </c>
      <c r="AQ1138" s="97">
        <f t="shared" si="9949"/>
        <v>0</v>
      </c>
      <c r="AR1138" s="97">
        <f t="shared" si="9950"/>
        <v>0</v>
      </c>
      <c r="AS1138" s="97"/>
      <c r="AT1138" s="97">
        <f t="shared" si="9951"/>
        <v>0</v>
      </c>
      <c r="AU1138" s="97"/>
      <c r="AV1138" s="97">
        <f t="shared" si="9952"/>
        <v>0</v>
      </c>
      <c r="AW1138" s="97"/>
      <c r="AX1138" s="97">
        <f t="shared" si="9953"/>
        <v>0</v>
      </c>
      <c r="AY1138" s="97">
        <f t="shared" ref="AY1138" si="9959">SUM(AS1138+AU1138+AW1138)</f>
        <v>0</v>
      </c>
      <c r="AZ1138" s="97">
        <f t="shared" ref="AZ1138" si="9960">SUM(AT1138+AV1138+AX1138)</f>
        <v>0</v>
      </c>
      <c r="BA1138" s="97">
        <f>SUM(AQ1138+AY1138)</f>
        <v>0</v>
      </c>
      <c r="BB1138" s="97">
        <f t="shared" ref="BB1138" si="9961">SUM(AR1138,AZ1138)</f>
        <v>0</v>
      </c>
    </row>
    <row r="1139" spans="1:54">
      <c r="A1139" s="498">
        <v>797</v>
      </c>
      <c r="B1139" s="13"/>
      <c r="C1139" s="13"/>
      <c r="D1139" s="13" t="s">
        <v>443</v>
      </c>
      <c r="E1139" s="21" t="s">
        <v>544</v>
      </c>
      <c r="F1139" s="46"/>
      <c r="G1139" s="46" t="s">
        <v>1105</v>
      </c>
      <c r="H1139" s="268" t="s">
        <v>441</v>
      </c>
      <c r="I1139" s="55">
        <v>7.35</v>
      </c>
      <c r="J1139" s="163"/>
      <c r="K1139" s="55">
        <v>7.35</v>
      </c>
      <c r="L1139" s="163"/>
      <c r="M1139" s="55">
        <v>7.35</v>
      </c>
      <c r="N1139" s="163"/>
      <c r="O1139" s="55">
        <v>7.35</v>
      </c>
      <c r="P1139" s="163"/>
      <c r="Q1139" s="97">
        <f t="shared" si="9937"/>
        <v>0</v>
      </c>
      <c r="R1139" s="342">
        <f t="shared" si="9937"/>
        <v>0</v>
      </c>
      <c r="S1139" s="97"/>
      <c r="T1139" s="97">
        <f t="shared" si="9938"/>
        <v>0</v>
      </c>
      <c r="U1139" s="97"/>
      <c r="V1139" s="97">
        <f t="shared" si="9939"/>
        <v>0</v>
      </c>
      <c r="W1139" s="97"/>
      <c r="X1139" s="97">
        <f t="shared" si="9940"/>
        <v>0</v>
      </c>
      <c r="Y1139" s="97">
        <f t="shared" si="9941"/>
        <v>0</v>
      </c>
      <c r="Z1139" s="97">
        <f t="shared" si="9942"/>
        <v>0</v>
      </c>
      <c r="AA1139" s="97"/>
      <c r="AB1139" s="97">
        <f>K1139*AA1139*$AB$2/1000</f>
        <v>0</v>
      </c>
      <c r="AC1139" s="97"/>
      <c r="AD1139" s="97">
        <f t="shared" si="9943"/>
        <v>0</v>
      </c>
      <c r="AE1139" s="97"/>
      <c r="AF1139" s="97">
        <f t="shared" si="9957"/>
        <v>0</v>
      </c>
      <c r="AG1139" s="97">
        <f t="shared" si="9944"/>
        <v>0</v>
      </c>
      <c r="AH1139" s="97">
        <f t="shared" si="9945"/>
        <v>0</v>
      </c>
      <c r="AI1139" s="97"/>
      <c r="AJ1139" s="97">
        <f t="shared" si="9946"/>
        <v>0</v>
      </c>
      <c r="AK1139" s="97"/>
      <c r="AL1139" s="97">
        <f t="shared" si="9947"/>
        <v>0</v>
      </c>
      <c r="AM1139" s="97"/>
      <c r="AN1139" s="97">
        <f t="shared" si="9948"/>
        <v>0</v>
      </c>
      <c r="AO1139" s="97"/>
      <c r="AP1139" s="97">
        <f t="shared" si="9958"/>
        <v>0</v>
      </c>
      <c r="AQ1139" s="97">
        <f t="shared" si="9949"/>
        <v>0</v>
      </c>
      <c r="AR1139" s="97">
        <f t="shared" si="9950"/>
        <v>0</v>
      </c>
      <c r="AS1139" s="97"/>
      <c r="AT1139" s="97">
        <f t="shared" si="9951"/>
        <v>0</v>
      </c>
      <c r="AU1139" s="97"/>
      <c r="AV1139" s="97">
        <f t="shared" si="9952"/>
        <v>0</v>
      </c>
      <c r="AW1139" s="97"/>
      <c r="AX1139" s="97">
        <f t="shared" si="9953"/>
        <v>0</v>
      </c>
      <c r="AY1139" s="97">
        <f t="shared" ref="AY1139" si="9962">SUM(AS1139+AU1139+AW1139)</f>
        <v>0</v>
      </c>
      <c r="AZ1139" s="97">
        <f t="shared" ref="AZ1139" si="9963">SUM(AT1139+AV1139+AX1139)</f>
        <v>0</v>
      </c>
      <c r="BA1139" s="97">
        <f>SUM(AQ1139+AY1139)</f>
        <v>0</v>
      </c>
      <c r="BB1139" s="97">
        <f t="shared" ref="BB1139" si="9964">SUM(AR1139,AZ1139)</f>
        <v>0</v>
      </c>
    </row>
    <row r="1140" spans="1:54">
      <c r="A1140" s="498">
        <v>798</v>
      </c>
      <c r="B1140" s="13"/>
      <c r="C1140" s="13"/>
      <c r="D1140" s="13" t="s">
        <v>445</v>
      </c>
      <c r="E1140" s="21" t="s">
        <v>545</v>
      </c>
      <c r="F1140" s="46"/>
      <c r="G1140" s="46" t="s">
        <v>1105</v>
      </c>
      <c r="H1140" s="268" t="s">
        <v>446</v>
      </c>
      <c r="I1140" s="55">
        <v>3.85</v>
      </c>
      <c r="J1140" s="163"/>
      <c r="K1140" s="55">
        <v>3.85</v>
      </c>
      <c r="L1140" s="163"/>
      <c r="M1140" s="55">
        <v>3.85</v>
      </c>
      <c r="N1140" s="163"/>
      <c r="O1140" s="55">
        <v>3.85</v>
      </c>
      <c r="P1140" s="163"/>
      <c r="Q1140" s="97">
        <f t="shared" si="9937"/>
        <v>0</v>
      </c>
      <c r="R1140" s="342">
        <f t="shared" si="9937"/>
        <v>0</v>
      </c>
      <c r="S1140" s="97"/>
      <c r="T1140" s="97">
        <f t="shared" si="9938"/>
        <v>0</v>
      </c>
      <c r="U1140" s="97"/>
      <c r="V1140" s="97">
        <f t="shared" si="9939"/>
        <v>0</v>
      </c>
      <c r="W1140" s="97"/>
      <c r="X1140" s="97">
        <f t="shared" si="9940"/>
        <v>0</v>
      </c>
      <c r="Y1140" s="97">
        <f t="shared" si="9941"/>
        <v>0</v>
      </c>
      <c r="Z1140" s="97">
        <f t="shared" si="9942"/>
        <v>0</v>
      </c>
      <c r="AA1140" s="97"/>
      <c r="AB1140" s="97">
        <f>K1140*AA1140*$AB$2/1000</f>
        <v>0</v>
      </c>
      <c r="AC1140" s="97"/>
      <c r="AD1140" s="97">
        <f t="shared" si="9943"/>
        <v>0</v>
      </c>
      <c r="AE1140" s="97"/>
      <c r="AF1140" s="97">
        <f t="shared" si="9957"/>
        <v>0</v>
      </c>
      <c r="AG1140" s="97">
        <f t="shared" si="9944"/>
        <v>0</v>
      </c>
      <c r="AH1140" s="97">
        <f t="shared" si="9945"/>
        <v>0</v>
      </c>
      <c r="AI1140" s="97"/>
      <c r="AJ1140" s="97">
        <f t="shared" si="9946"/>
        <v>0</v>
      </c>
      <c r="AK1140" s="97"/>
      <c r="AL1140" s="97">
        <f t="shared" si="9947"/>
        <v>0</v>
      </c>
      <c r="AM1140" s="97"/>
      <c r="AN1140" s="97">
        <f t="shared" si="9948"/>
        <v>0</v>
      </c>
      <c r="AO1140" s="97"/>
      <c r="AP1140" s="97">
        <f t="shared" si="9958"/>
        <v>0</v>
      </c>
      <c r="AQ1140" s="97">
        <f t="shared" si="9949"/>
        <v>0</v>
      </c>
      <c r="AR1140" s="97">
        <f t="shared" si="9950"/>
        <v>0</v>
      </c>
      <c r="AS1140" s="97"/>
      <c r="AT1140" s="97">
        <f t="shared" si="9951"/>
        <v>0</v>
      </c>
      <c r="AU1140" s="97"/>
      <c r="AV1140" s="97">
        <f t="shared" si="9952"/>
        <v>0</v>
      </c>
      <c r="AW1140" s="97"/>
      <c r="AX1140" s="97">
        <f t="shared" si="9953"/>
        <v>0</v>
      </c>
      <c r="AY1140" s="97">
        <f t="shared" ref="AY1140" si="9965">SUM(AS1140+AU1140+AW1140)</f>
        <v>0</v>
      </c>
      <c r="AZ1140" s="97">
        <f t="shared" ref="AZ1140" si="9966">SUM(AT1140+AV1140+AX1140)</f>
        <v>0</v>
      </c>
      <c r="BA1140" s="97">
        <f>SUM(AQ1140+AY1140)</f>
        <v>0</v>
      </c>
      <c r="BB1140" s="97">
        <f t="shared" ref="BB1140" si="9967">SUM(AR1140,AZ1140)</f>
        <v>0</v>
      </c>
    </row>
    <row r="1141" spans="1:54">
      <c r="A1141" s="498">
        <v>799</v>
      </c>
      <c r="B1141" s="13"/>
      <c r="C1141" s="13"/>
      <c r="D1141" s="24" t="s">
        <v>444</v>
      </c>
      <c r="E1141" s="51" t="s">
        <v>546</v>
      </c>
      <c r="F1141" s="65"/>
      <c r="G1141" s="65" t="s">
        <v>1105</v>
      </c>
      <c r="H1141" s="275" t="s">
        <v>441</v>
      </c>
      <c r="I1141" s="58">
        <v>9.1</v>
      </c>
      <c r="J1141" s="167"/>
      <c r="K1141" s="58">
        <v>9.1</v>
      </c>
      <c r="L1141" s="167"/>
      <c r="M1141" s="58">
        <v>9.1</v>
      </c>
      <c r="N1141" s="167"/>
      <c r="O1141" s="58">
        <v>9.1</v>
      </c>
      <c r="P1141" s="167"/>
      <c r="Q1141" s="95">
        <f t="shared" si="9937"/>
        <v>0</v>
      </c>
      <c r="R1141" s="343">
        <f t="shared" si="9937"/>
        <v>0</v>
      </c>
      <c r="S1141" s="95"/>
      <c r="T1141" s="95">
        <f t="shared" si="9938"/>
        <v>0</v>
      </c>
      <c r="U1141" s="95"/>
      <c r="V1141" s="95">
        <f t="shared" si="9939"/>
        <v>0</v>
      </c>
      <c r="W1141" s="95"/>
      <c r="X1141" s="95">
        <f t="shared" si="9940"/>
        <v>0</v>
      </c>
      <c r="Y1141" s="95">
        <f t="shared" si="9941"/>
        <v>0</v>
      </c>
      <c r="Z1141" s="95">
        <f t="shared" si="9942"/>
        <v>0</v>
      </c>
      <c r="AA1141" s="95"/>
      <c r="AB1141" s="95">
        <f>K1141*AA1141*$AB$2/1000</f>
        <v>0</v>
      </c>
      <c r="AC1141" s="95"/>
      <c r="AD1141" s="95">
        <f t="shared" si="9943"/>
        <v>0</v>
      </c>
      <c r="AE1141" s="95"/>
      <c r="AF1141" s="95">
        <f t="shared" si="9957"/>
        <v>0</v>
      </c>
      <c r="AG1141" s="95">
        <f t="shared" si="9944"/>
        <v>0</v>
      </c>
      <c r="AH1141" s="95">
        <f t="shared" si="9945"/>
        <v>0</v>
      </c>
      <c r="AI1141" s="95"/>
      <c r="AJ1141" s="95">
        <f t="shared" si="9946"/>
        <v>0</v>
      </c>
      <c r="AK1141" s="95"/>
      <c r="AL1141" s="95">
        <f>M1141*AK1141*$AL$2/1000</f>
        <v>0</v>
      </c>
      <c r="AM1141" s="95"/>
      <c r="AN1141" s="95">
        <f t="shared" si="9948"/>
        <v>0</v>
      </c>
      <c r="AO1141" s="95"/>
      <c r="AP1141" s="95">
        <f t="shared" si="9958"/>
        <v>0</v>
      </c>
      <c r="AQ1141" s="95">
        <f t="shared" si="9949"/>
        <v>0</v>
      </c>
      <c r="AR1141" s="95">
        <f t="shared" si="9950"/>
        <v>0</v>
      </c>
      <c r="AS1141" s="95"/>
      <c r="AT1141" s="95">
        <f t="shared" si="9951"/>
        <v>0</v>
      </c>
      <c r="AU1141" s="95"/>
      <c r="AV1141" s="95">
        <f t="shared" si="9952"/>
        <v>0</v>
      </c>
      <c r="AW1141" s="95"/>
      <c r="AX1141" s="95">
        <f t="shared" si="9953"/>
        <v>0</v>
      </c>
      <c r="AY1141" s="95">
        <f t="shared" ref="AY1141" si="9968">SUM(AS1141+AU1141+AW1141)</f>
        <v>0</v>
      </c>
      <c r="AZ1141" s="95">
        <f t="shared" ref="AZ1141" si="9969">SUM(AT1141+AV1141+AX1141)</f>
        <v>0</v>
      </c>
      <c r="BA1141" s="95">
        <f>SUM(AQ1141+AY1141)</f>
        <v>0</v>
      </c>
      <c r="BB1141" s="95">
        <f t="shared" ref="BB1141" si="9970">SUM(AR1141,AZ1141)</f>
        <v>0</v>
      </c>
    </row>
    <row r="1142" spans="1:54">
      <c r="A1142" s="498">
        <v>800</v>
      </c>
      <c r="B1142" s="26"/>
      <c r="C1142" s="27" t="s">
        <v>135</v>
      </c>
      <c r="D1142" s="28"/>
      <c r="E1142" s="28"/>
      <c r="F1142" s="28"/>
      <c r="G1142" s="28"/>
      <c r="H1142" s="272"/>
      <c r="I1142" s="73"/>
      <c r="J1142" s="118"/>
      <c r="K1142" s="73"/>
      <c r="L1142" s="174"/>
      <c r="M1142" s="73"/>
      <c r="N1142" s="174"/>
      <c r="O1142" s="151"/>
      <c r="P1142" s="118"/>
      <c r="Q1142" s="121">
        <f t="shared" ref="Q1142:BB1142" si="9971">SUM(Q1137:Q1141)</f>
        <v>0</v>
      </c>
      <c r="R1142" s="121">
        <f t="shared" si="9971"/>
        <v>0</v>
      </c>
      <c r="S1142" s="121">
        <f t="shared" si="9971"/>
        <v>0</v>
      </c>
      <c r="T1142" s="121">
        <f t="shared" si="9971"/>
        <v>0</v>
      </c>
      <c r="U1142" s="121">
        <f t="shared" si="9971"/>
        <v>0</v>
      </c>
      <c r="V1142" s="121">
        <f t="shared" si="9971"/>
        <v>0</v>
      </c>
      <c r="W1142" s="121">
        <f t="shared" si="9971"/>
        <v>0</v>
      </c>
      <c r="X1142" s="121">
        <f t="shared" si="9971"/>
        <v>0</v>
      </c>
      <c r="Y1142" s="121">
        <f t="shared" si="9971"/>
        <v>0</v>
      </c>
      <c r="Z1142" s="121">
        <f t="shared" si="9971"/>
        <v>0</v>
      </c>
      <c r="AA1142" s="121">
        <f t="shared" si="9971"/>
        <v>0</v>
      </c>
      <c r="AB1142" s="121">
        <f t="shared" si="9971"/>
        <v>0</v>
      </c>
      <c r="AC1142" s="121">
        <f t="shared" si="9971"/>
        <v>0</v>
      </c>
      <c r="AD1142" s="121">
        <f t="shared" si="9971"/>
        <v>0</v>
      </c>
      <c r="AE1142" s="121">
        <f t="shared" si="9971"/>
        <v>0</v>
      </c>
      <c r="AF1142" s="121">
        <f t="shared" si="9971"/>
        <v>0</v>
      </c>
      <c r="AG1142" s="121">
        <f t="shared" si="9971"/>
        <v>0</v>
      </c>
      <c r="AH1142" s="121">
        <f t="shared" si="9971"/>
        <v>0</v>
      </c>
      <c r="AI1142" s="121">
        <f t="shared" si="9971"/>
        <v>0</v>
      </c>
      <c r="AJ1142" s="121">
        <f t="shared" si="9971"/>
        <v>0</v>
      </c>
      <c r="AK1142" s="121">
        <f t="shared" si="9971"/>
        <v>0</v>
      </c>
      <c r="AL1142" s="121">
        <f t="shared" si="9971"/>
        <v>0</v>
      </c>
      <c r="AM1142" s="121">
        <f t="shared" si="9971"/>
        <v>0</v>
      </c>
      <c r="AN1142" s="121">
        <f t="shared" si="9971"/>
        <v>0</v>
      </c>
      <c r="AO1142" s="121">
        <f t="shared" si="9971"/>
        <v>0</v>
      </c>
      <c r="AP1142" s="121">
        <f t="shared" si="9971"/>
        <v>0</v>
      </c>
      <c r="AQ1142" s="121">
        <f t="shared" si="9971"/>
        <v>0</v>
      </c>
      <c r="AR1142" s="121">
        <f t="shared" si="9971"/>
        <v>0</v>
      </c>
      <c r="AS1142" s="121">
        <f t="shared" si="9971"/>
        <v>0</v>
      </c>
      <c r="AT1142" s="121">
        <f t="shared" si="9971"/>
        <v>0</v>
      </c>
      <c r="AU1142" s="121">
        <f t="shared" si="9971"/>
        <v>0</v>
      </c>
      <c r="AV1142" s="121">
        <f t="shared" si="9971"/>
        <v>0</v>
      </c>
      <c r="AW1142" s="121">
        <f t="shared" si="9971"/>
        <v>0</v>
      </c>
      <c r="AX1142" s="121">
        <f t="shared" si="9971"/>
        <v>0</v>
      </c>
      <c r="AY1142" s="121">
        <f t="shared" si="9971"/>
        <v>0</v>
      </c>
      <c r="AZ1142" s="121">
        <f t="shared" si="9971"/>
        <v>0</v>
      </c>
      <c r="BA1142" s="121">
        <f t="shared" si="9971"/>
        <v>0</v>
      </c>
      <c r="BB1142" s="121">
        <f t="shared" si="9971"/>
        <v>0</v>
      </c>
    </row>
    <row r="1143" spans="1:54">
      <c r="A1143" s="498">
        <v>801</v>
      </c>
      <c r="B1143" s="59" t="s">
        <v>156</v>
      </c>
      <c r="C1143" s="60"/>
      <c r="D1143" s="60"/>
      <c r="E1143" s="60"/>
      <c r="F1143" s="60"/>
      <c r="G1143" s="60"/>
      <c r="H1143" s="282"/>
      <c r="I1143" s="78"/>
      <c r="J1143" s="104"/>
      <c r="K1143" s="78"/>
      <c r="L1143" s="61"/>
      <c r="M1143" s="78"/>
      <c r="N1143" s="61"/>
      <c r="O1143" s="155"/>
      <c r="P1143" s="104"/>
      <c r="Q1143" s="127">
        <f t="shared" ref="Q1143:BB1143" si="9972">Q886+Q1126+Q1142+Q1136</f>
        <v>535.83100000000013</v>
      </c>
      <c r="R1143" s="127">
        <f t="shared" si="9972"/>
        <v>7549.5803187134998</v>
      </c>
      <c r="S1143" s="127">
        <f t="shared" si="9972"/>
        <v>42.356000000000009</v>
      </c>
      <c r="T1143" s="127">
        <f t="shared" si="9972"/>
        <v>583.73869266000008</v>
      </c>
      <c r="U1143" s="127">
        <f t="shared" si="9972"/>
        <v>41.015999999999991</v>
      </c>
      <c r="V1143" s="127">
        <f t="shared" si="9972"/>
        <v>619.96550863200002</v>
      </c>
      <c r="W1143" s="127">
        <f t="shared" si="9972"/>
        <v>56.747</v>
      </c>
      <c r="X1143" s="127">
        <f t="shared" si="9972"/>
        <v>805.98149051599989</v>
      </c>
      <c r="Y1143" s="127">
        <f t="shared" si="9972"/>
        <v>140.11899999999997</v>
      </c>
      <c r="Z1143" s="127">
        <f t="shared" si="9972"/>
        <v>2009.685691808</v>
      </c>
      <c r="AA1143" s="127">
        <f t="shared" si="9972"/>
        <v>76.313000000000002</v>
      </c>
      <c r="AB1143" s="127">
        <f t="shared" si="9972"/>
        <v>1095.1610294019999</v>
      </c>
      <c r="AC1143" s="127">
        <f t="shared" si="9972"/>
        <v>50.548999999999992</v>
      </c>
      <c r="AD1143" s="127">
        <f t="shared" si="9972"/>
        <v>804.92753798410001</v>
      </c>
      <c r="AE1143" s="127">
        <f t="shared" si="9972"/>
        <v>20.630000000000003</v>
      </c>
      <c r="AF1143" s="127">
        <f t="shared" si="9972"/>
        <v>277.71732021600002</v>
      </c>
      <c r="AG1143" s="127">
        <f t="shared" si="9972"/>
        <v>147.49200000000002</v>
      </c>
      <c r="AH1143" s="127">
        <f t="shared" si="9972"/>
        <v>2177.8058876021</v>
      </c>
      <c r="AI1143" s="127">
        <f t="shared" si="9972"/>
        <v>287.61099999999999</v>
      </c>
      <c r="AJ1143" s="127">
        <f t="shared" si="9972"/>
        <v>4187.4915794100989</v>
      </c>
      <c r="AK1143" s="127">
        <f t="shared" si="9972"/>
        <v>27.413000000000004</v>
      </c>
      <c r="AL1143" s="127">
        <f t="shared" si="9972"/>
        <v>380.1421105288</v>
      </c>
      <c r="AM1143" s="127">
        <f t="shared" si="9972"/>
        <v>37.056999999999995</v>
      </c>
      <c r="AN1143" s="127">
        <f t="shared" si="9972"/>
        <v>508.10995435199999</v>
      </c>
      <c r="AO1143" s="127">
        <f t="shared" si="9972"/>
        <v>44.25</v>
      </c>
      <c r="AP1143" s="127">
        <f t="shared" si="9972"/>
        <v>566.41364529000009</v>
      </c>
      <c r="AQ1143" s="127">
        <f t="shared" si="9972"/>
        <v>108.72</v>
      </c>
      <c r="AR1143" s="127">
        <f t="shared" si="9972"/>
        <v>1454.6657101708001</v>
      </c>
      <c r="AS1143" s="127">
        <f t="shared" si="9972"/>
        <v>47.814999999999998</v>
      </c>
      <c r="AT1143" s="127">
        <f t="shared" si="9972"/>
        <v>637.78105201000028</v>
      </c>
      <c r="AU1143" s="127">
        <f t="shared" si="9972"/>
        <v>45.258000000000003</v>
      </c>
      <c r="AV1143" s="127">
        <f t="shared" si="9972"/>
        <v>592.73606447370014</v>
      </c>
      <c r="AW1143" s="127">
        <f t="shared" si="9972"/>
        <v>46.427</v>
      </c>
      <c r="AX1143" s="127">
        <f t="shared" si="9972"/>
        <v>676.90591264889974</v>
      </c>
      <c r="AY1143" s="127">
        <f t="shared" si="9972"/>
        <v>139.5</v>
      </c>
      <c r="AZ1143" s="127">
        <f t="shared" si="9972"/>
        <v>1907.4230291325994</v>
      </c>
      <c r="BA1143" s="127">
        <f t="shared" si="9972"/>
        <v>248.21999999999997</v>
      </c>
      <c r="BB1143" s="127">
        <f t="shared" si="9972"/>
        <v>3362.0887393034</v>
      </c>
    </row>
    <row r="1144" spans="1:54" hidden="1">
      <c r="A1144" s="498">
        <v>802</v>
      </c>
      <c r="B1144" s="13" t="s">
        <v>522</v>
      </c>
      <c r="C1144" s="53" t="s">
        <v>216</v>
      </c>
      <c r="D1144" s="53" t="s">
        <v>524</v>
      </c>
      <c r="E1144" s="51" t="s">
        <v>657</v>
      </c>
      <c r="F1144" s="65"/>
      <c r="G1144" s="65" t="s">
        <v>1105</v>
      </c>
      <c r="H1144" s="275" t="s">
        <v>365</v>
      </c>
      <c r="I1144" s="58">
        <v>13.01</v>
      </c>
      <c r="J1144" s="108"/>
      <c r="K1144" s="58"/>
      <c r="L1144" s="167"/>
      <c r="M1144" s="58"/>
      <c r="N1144" s="167"/>
      <c r="O1144" s="145"/>
      <c r="P1144" s="108"/>
      <c r="Q1144" s="95">
        <f t="shared" ref="Q1144" si="9973">SUM(AI1144+BA1144)</f>
        <v>0</v>
      </c>
      <c r="R1144" s="343">
        <f t="shared" ref="R1144" si="9974">SUM(AJ1144+BB1144)</f>
        <v>0</v>
      </c>
      <c r="S1144" s="95"/>
      <c r="T1144" s="95">
        <f>I1144*S1144*$T$2/1000</f>
        <v>0</v>
      </c>
      <c r="U1144" s="95"/>
      <c r="V1144" s="181">
        <f>I1144*U1144*$V$2/1000</f>
        <v>0</v>
      </c>
      <c r="W1144" s="214"/>
      <c r="X1144" s="215">
        <f>I1144*W1144*$X$2/1000</f>
        <v>0</v>
      </c>
      <c r="Y1144" s="193">
        <f t="shared" ref="Y1144" si="9975">SUM(S1144+U1144+W1144)</f>
        <v>0</v>
      </c>
      <c r="Z1144" s="181">
        <f t="shared" ref="Z1144" si="9976">SUM(T1144+V1144+X1144)</f>
        <v>0</v>
      </c>
      <c r="AA1144" s="214"/>
      <c r="AB1144" s="215">
        <f>K1144*AA1144*$AB$2/1000</f>
        <v>0</v>
      </c>
      <c r="AC1144" s="214"/>
      <c r="AD1144" s="181">
        <f>K1144*AC1144*$AD$2/1000</f>
        <v>0</v>
      </c>
      <c r="AE1144" s="214"/>
      <c r="AF1144" s="215">
        <f>K1144*AE1144*$AF$2/1000</f>
        <v>0</v>
      </c>
      <c r="AG1144" s="193">
        <f t="shared" ref="AG1144" si="9977">SUM(AA1144+AC1144+AE1144)</f>
        <v>0</v>
      </c>
      <c r="AH1144" s="95">
        <f t="shared" ref="AH1144" si="9978">SUM(AB1144+AD1144+AF1144)</f>
        <v>0</v>
      </c>
      <c r="AI1144" s="95">
        <f t="shared" ref="AI1144" si="9979">SUM(Y1144+AG1144)</f>
        <v>0</v>
      </c>
      <c r="AJ1144" s="181">
        <f>SUM(Z1144,AH1144)</f>
        <v>0</v>
      </c>
      <c r="AK1144" s="214"/>
      <c r="AL1144" s="181">
        <f t="shared" ref="AL1144" si="9980">M1144*AK1144*$AL$2/1000</f>
        <v>0</v>
      </c>
      <c r="AM1144" s="249"/>
      <c r="AN1144" s="181">
        <f t="shared" ref="AN1144" si="9981">M1144*AM1144*$AN$2/1000</f>
        <v>0</v>
      </c>
      <c r="AO1144" s="214"/>
      <c r="AP1144" s="215">
        <f t="shared" ref="AP1144" si="9982">M1144*AO1144*$AP$2/1000</f>
        <v>0</v>
      </c>
      <c r="AQ1144" s="193">
        <f t="shared" ref="AQ1144" si="9983">SUM(AK1144+AM1144+AO1144)</f>
        <v>0</v>
      </c>
      <c r="AR1144" s="95">
        <f t="shared" ref="AR1144" si="9984">SUM(AL1144+AN1144+AP1144)</f>
        <v>0</v>
      </c>
      <c r="AS1144" s="95"/>
      <c r="AT1144" s="181">
        <f t="shared" ref="AT1144" si="9985">O1144*AS1144*$AT$2/1000</f>
        <v>0</v>
      </c>
      <c r="AU1144" s="214"/>
      <c r="AV1144" s="181">
        <f>O1144*AU1144*$AV$2/1000</f>
        <v>0</v>
      </c>
      <c r="AW1144" s="214"/>
      <c r="AX1144" s="215">
        <f>O1144*AW1144*$AX$2/1000</f>
        <v>0</v>
      </c>
      <c r="AY1144" s="193">
        <f t="shared" ref="AY1144" si="9986">SUM(AS1144+AU1144+AW1144)</f>
        <v>0</v>
      </c>
      <c r="AZ1144" s="95">
        <f t="shared" ref="AZ1144" si="9987">SUM(AT1144+AV1144+AX1144)</f>
        <v>0</v>
      </c>
      <c r="BA1144" s="95">
        <f t="shared" ref="BA1144" si="9988">SUM(AQ1144+AY1144)</f>
        <v>0</v>
      </c>
      <c r="BB1144" s="95">
        <f>SUM(AR1144,AZ1144)</f>
        <v>0</v>
      </c>
    </row>
    <row r="1145" spans="1:54" hidden="1">
      <c r="A1145" s="498">
        <v>803</v>
      </c>
      <c r="B1145" s="59" t="s">
        <v>156</v>
      </c>
      <c r="C1145" s="60"/>
      <c r="D1145" s="60"/>
      <c r="E1145" s="60"/>
      <c r="F1145" s="60"/>
      <c r="G1145" s="60"/>
      <c r="H1145" s="282"/>
      <c r="I1145" s="78"/>
      <c r="J1145" s="104"/>
      <c r="K1145" s="78"/>
      <c r="L1145" s="61"/>
      <c r="M1145" s="78"/>
      <c r="N1145" s="61"/>
      <c r="O1145" s="155"/>
      <c r="P1145" s="104"/>
      <c r="Q1145" s="127">
        <f t="shared" ref="Q1145:BB1145" si="9989">SUM(Q1144:Q1144)</f>
        <v>0</v>
      </c>
      <c r="R1145" s="127">
        <f t="shared" si="9989"/>
        <v>0</v>
      </c>
      <c r="S1145" s="127">
        <f t="shared" si="9989"/>
        <v>0</v>
      </c>
      <c r="T1145" s="127">
        <f t="shared" si="9989"/>
        <v>0</v>
      </c>
      <c r="U1145" s="127">
        <f t="shared" si="9989"/>
        <v>0</v>
      </c>
      <c r="V1145" s="127">
        <f t="shared" si="9989"/>
        <v>0</v>
      </c>
      <c r="W1145" s="127">
        <f t="shared" si="9989"/>
        <v>0</v>
      </c>
      <c r="X1145" s="127">
        <f t="shared" si="9989"/>
        <v>0</v>
      </c>
      <c r="Y1145" s="127">
        <f t="shared" si="9989"/>
        <v>0</v>
      </c>
      <c r="Z1145" s="127">
        <f t="shared" si="9989"/>
        <v>0</v>
      </c>
      <c r="AA1145" s="127">
        <f t="shared" si="9989"/>
        <v>0</v>
      </c>
      <c r="AB1145" s="127">
        <f t="shared" si="9989"/>
        <v>0</v>
      </c>
      <c r="AC1145" s="127">
        <f t="shared" si="9989"/>
        <v>0</v>
      </c>
      <c r="AD1145" s="127">
        <f t="shared" si="9989"/>
        <v>0</v>
      </c>
      <c r="AE1145" s="127">
        <f t="shared" si="9989"/>
        <v>0</v>
      </c>
      <c r="AF1145" s="127">
        <f t="shared" si="9989"/>
        <v>0</v>
      </c>
      <c r="AG1145" s="127">
        <f t="shared" si="9989"/>
        <v>0</v>
      </c>
      <c r="AH1145" s="127">
        <f t="shared" si="9989"/>
        <v>0</v>
      </c>
      <c r="AI1145" s="127">
        <f t="shared" si="9989"/>
        <v>0</v>
      </c>
      <c r="AJ1145" s="127">
        <f t="shared" si="9989"/>
        <v>0</v>
      </c>
      <c r="AK1145" s="127">
        <f t="shared" si="9989"/>
        <v>0</v>
      </c>
      <c r="AL1145" s="127">
        <f t="shared" si="9989"/>
        <v>0</v>
      </c>
      <c r="AM1145" s="127">
        <f t="shared" si="9989"/>
        <v>0</v>
      </c>
      <c r="AN1145" s="127">
        <f t="shared" si="9989"/>
        <v>0</v>
      </c>
      <c r="AO1145" s="127">
        <f t="shared" si="9989"/>
        <v>0</v>
      </c>
      <c r="AP1145" s="127">
        <f t="shared" si="9989"/>
        <v>0</v>
      </c>
      <c r="AQ1145" s="127">
        <f t="shared" si="9989"/>
        <v>0</v>
      </c>
      <c r="AR1145" s="127">
        <f t="shared" si="9989"/>
        <v>0</v>
      </c>
      <c r="AS1145" s="127">
        <f t="shared" si="9989"/>
        <v>0</v>
      </c>
      <c r="AT1145" s="127">
        <f t="shared" si="9989"/>
        <v>0</v>
      </c>
      <c r="AU1145" s="127">
        <f t="shared" si="9989"/>
        <v>0</v>
      </c>
      <c r="AV1145" s="127">
        <f t="shared" si="9989"/>
        <v>0</v>
      </c>
      <c r="AW1145" s="127">
        <f t="shared" si="9989"/>
        <v>0</v>
      </c>
      <c r="AX1145" s="127">
        <f t="shared" si="9989"/>
        <v>0</v>
      </c>
      <c r="AY1145" s="127">
        <f t="shared" si="9989"/>
        <v>0</v>
      </c>
      <c r="AZ1145" s="127">
        <f t="shared" si="9989"/>
        <v>0</v>
      </c>
      <c r="BA1145" s="127">
        <f t="shared" si="9989"/>
        <v>0</v>
      </c>
      <c r="BB1145" s="127">
        <f t="shared" si="9989"/>
        <v>0</v>
      </c>
    </row>
    <row r="1146" spans="1:54" hidden="1">
      <c r="A1146" s="498">
        <v>804</v>
      </c>
      <c r="B1146" s="13" t="s">
        <v>287</v>
      </c>
      <c r="C1146" s="53" t="s">
        <v>216</v>
      </c>
      <c r="D1146" s="53" t="s">
        <v>523</v>
      </c>
      <c r="E1146" s="31" t="s">
        <v>288</v>
      </c>
      <c r="F1146" s="32"/>
      <c r="G1146" s="32" t="s">
        <v>1105</v>
      </c>
      <c r="H1146" s="274" t="s">
        <v>364</v>
      </c>
      <c r="I1146" s="62">
        <v>4.76</v>
      </c>
      <c r="J1146" s="105"/>
      <c r="K1146" s="62">
        <v>4.76</v>
      </c>
      <c r="L1146" s="164"/>
      <c r="M1146" s="62"/>
      <c r="N1146" s="164"/>
      <c r="O1146" s="62"/>
      <c r="P1146" s="105"/>
      <c r="Q1146" s="122">
        <f t="shared" ref="Q1146:Q1149" si="9990">SUM(AI1146+BA1146)</f>
        <v>0</v>
      </c>
      <c r="R1146" s="346">
        <f t="shared" ref="R1146:R1149" si="9991">SUM(AJ1146+BB1146)</f>
        <v>0</v>
      </c>
      <c r="S1146" s="122"/>
      <c r="T1146" s="122">
        <f>I1146*S1146*$T$2/1000</f>
        <v>0</v>
      </c>
      <c r="U1146" s="122"/>
      <c r="V1146" s="180">
        <f>I1146*U1146*$V$2/1000</f>
        <v>0</v>
      </c>
      <c r="W1146" s="212"/>
      <c r="X1146" s="213">
        <f>I1146*W1146*$X$2/1000</f>
        <v>0</v>
      </c>
      <c r="Y1146" s="191">
        <f t="shared" ref="Y1146:Y1149" si="9992">SUM(S1146+U1146+W1146)</f>
        <v>0</v>
      </c>
      <c r="Z1146" s="180">
        <f t="shared" ref="Z1146:Z1148" si="9993">SUM(T1146+V1146+X1146)</f>
        <v>0</v>
      </c>
      <c r="AA1146" s="212"/>
      <c r="AB1146" s="213">
        <f>K1146*AA1146*$AB$2/1000</f>
        <v>0</v>
      </c>
      <c r="AC1146" s="212"/>
      <c r="AD1146" s="180">
        <f>K1146*AC1146*$AD$2/1000</f>
        <v>0</v>
      </c>
      <c r="AE1146" s="212"/>
      <c r="AF1146" s="213">
        <f>K1146*AE1146*$AF$2/1000</f>
        <v>0</v>
      </c>
      <c r="AG1146" s="191">
        <f t="shared" ref="AG1146:AG1149" si="9994">SUM(AA1146+AC1146+AE1146)</f>
        <v>0</v>
      </c>
      <c r="AH1146" s="122">
        <f t="shared" ref="AH1146:AH1148" si="9995">SUM(AB1146+AD1146+AF1146)</f>
        <v>0</v>
      </c>
      <c r="AI1146" s="122">
        <f t="shared" ref="AI1146:AI1149" si="9996">SUM(Y1146+AG1146)</f>
        <v>0</v>
      </c>
      <c r="AJ1146" s="180">
        <f t="shared" ref="AJ1146:AJ1149" si="9997">SUM(Z1146,AH1146)</f>
        <v>0</v>
      </c>
      <c r="AK1146" s="212"/>
      <c r="AL1146" s="180">
        <f t="shared" ref="AL1146:AL1149" si="9998">M1146*AK1146*$AL$2/1000</f>
        <v>0</v>
      </c>
      <c r="AM1146" s="248"/>
      <c r="AN1146" s="180">
        <f>M1146*AM1146*$AN$2/1000</f>
        <v>0</v>
      </c>
      <c r="AO1146" s="212"/>
      <c r="AP1146" s="213">
        <f t="shared" ref="AP1146:AP1149" si="9999">M1146*AO1146*$AP$2/1000</f>
        <v>0</v>
      </c>
      <c r="AQ1146" s="191">
        <f t="shared" ref="AQ1146:AQ1149" si="10000">SUM(AK1146+AM1146+AO1146)</f>
        <v>0</v>
      </c>
      <c r="AR1146" s="122">
        <f t="shared" ref="AR1146:AR1148" si="10001">SUM(AL1146+AN1146+AP1146)</f>
        <v>0</v>
      </c>
      <c r="AS1146" s="122"/>
      <c r="AT1146" s="180">
        <f t="shared" ref="AT1146:AT1149" si="10002">O1146*AS1146*$AT$2/1000</f>
        <v>0</v>
      </c>
      <c r="AU1146" s="212"/>
      <c r="AV1146" s="180">
        <f t="shared" ref="AV1146:AV1149" si="10003">O1146*AU1146*$AV$2/1000</f>
        <v>0</v>
      </c>
      <c r="AW1146" s="212"/>
      <c r="AX1146" s="213">
        <f>O1146*AW1146*$AX$2/1000</f>
        <v>0</v>
      </c>
      <c r="AY1146" s="191">
        <f t="shared" ref="AY1146:AY1149" si="10004">SUM(AS1146+AU1146+AW1146)</f>
        <v>0</v>
      </c>
      <c r="AZ1146" s="122">
        <f t="shared" ref="AZ1146:AZ1148" si="10005">SUM(AT1146+AV1146+AX1146)</f>
        <v>0</v>
      </c>
      <c r="BA1146" s="122">
        <f t="shared" ref="BA1146:BA1149" si="10006">SUM(AQ1146+AY1146)</f>
        <v>0</v>
      </c>
      <c r="BB1146" s="122">
        <f t="shared" ref="BB1146:BB1149" si="10007">SUM(AR1146,AZ1146)</f>
        <v>0</v>
      </c>
    </row>
    <row r="1147" spans="1:54" hidden="1">
      <c r="A1147" s="498">
        <v>805</v>
      </c>
      <c r="B1147" s="13"/>
      <c r="C1147" s="13"/>
      <c r="D1147" s="13"/>
      <c r="E1147" s="21" t="s">
        <v>289</v>
      </c>
      <c r="F1147" s="22"/>
      <c r="G1147" s="22" t="s">
        <v>1105</v>
      </c>
      <c r="H1147" s="268" t="s">
        <v>364</v>
      </c>
      <c r="I1147" s="55">
        <v>21.3</v>
      </c>
      <c r="J1147" s="102"/>
      <c r="K1147" s="55">
        <v>21.3</v>
      </c>
      <c r="L1147" s="163"/>
      <c r="M1147" s="55"/>
      <c r="N1147" s="163"/>
      <c r="O1147" s="55"/>
      <c r="P1147" s="102"/>
      <c r="Q1147" s="97">
        <f t="shared" si="9990"/>
        <v>0</v>
      </c>
      <c r="R1147" s="342">
        <f t="shared" si="9991"/>
        <v>0</v>
      </c>
      <c r="S1147" s="97"/>
      <c r="T1147" s="97">
        <f>I1147*S1147*$T$2/1000</f>
        <v>0</v>
      </c>
      <c r="U1147" s="97"/>
      <c r="V1147" s="177">
        <f>I1147*U1147*$V$2/1000</f>
        <v>0</v>
      </c>
      <c r="W1147" s="207"/>
      <c r="X1147" s="206">
        <f>I1147*W1147*$X$2/1000</f>
        <v>0</v>
      </c>
      <c r="Y1147" s="189">
        <f t="shared" si="9992"/>
        <v>0</v>
      </c>
      <c r="Z1147" s="177">
        <f t="shared" si="9993"/>
        <v>0</v>
      </c>
      <c r="AA1147" s="207"/>
      <c r="AB1147" s="206">
        <f>K1147*AA1147*$AB$2/1000</f>
        <v>0</v>
      </c>
      <c r="AC1147" s="207"/>
      <c r="AD1147" s="177">
        <f>K1147*AC1147*$AD$2/1000</f>
        <v>0</v>
      </c>
      <c r="AE1147" s="207"/>
      <c r="AF1147" s="206">
        <f t="shared" ref="AF1147:AF1149" si="10008">K1147*AE1147*$AF$2/1000</f>
        <v>0</v>
      </c>
      <c r="AG1147" s="189">
        <f t="shared" si="9994"/>
        <v>0</v>
      </c>
      <c r="AH1147" s="97">
        <f t="shared" si="9995"/>
        <v>0</v>
      </c>
      <c r="AI1147" s="97">
        <f t="shared" si="9996"/>
        <v>0</v>
      </c>
      <c r="AJ1147" s="177">
        <f t="shared" si="9997"/>
        <v>0</v>
      </c>
      <c r="AK1147" s="207"/>
      <c r="AL1147" s="177">
        <f t="shared" si="9998"/>
        <v>0</v>
      </c>
      <c r="AM1147" s="245"/>
      <c r="AN1147" s="177">
        <f t="shared" ref="AN1147:AN1149" si="10009">M1147*AM1147*$AN$2/1000</f>
        <v>0</v>
      </c>
      <c r="AO1147" s="207"/>
      <c r="AP1147" s="206">
        <f t="shared" si="9999"/>
        <v>0</v>
      </c>
      <c r="AQ1147" s="189">
        <f t="shared" si="10000"/>
        <v>0</v>
      </c>
      <c r="AR1147" s="97">
        <f t="shared" si="10001"/>
        <v>0</v>
      </c>
      <c r="AS1147" s="97"/>
      <c r="AT1147" s="177">
        <f t="shared" si="10002"/>
        <v>0</v>
      </c>
      <c r="AU1147" s="207"/>
      <c r="AV1147" s="177">
        <f t="shared" si="10003"/>
        <v>0</v>
      </c>
      <c r="AW1147" s="207"/>
      <c r="AX1147" s="206">
        <f t="shared" ref="AX1147:AX1149" si="10010">O1147*AW1147*$AX$2/1000</f>
        <v>0</v>
      </c>
      <c r="AY1147" s="189">
        <f t="shared" si="10004"/>
        <v>0</v>
      </c>
      <c r="AZ1147" s="97">
        <f t="shared" si="10005"/>
        <v>0</v>
      </c>
      <c r="BA1147" s="97">
        <f t="shared" si="10006"/>
        <v>0</v>
      </c>
      <c r="BB1147" s="97">
        <f t="shared" si="10007"/>
        <v>0</v>
      </c>
    </row>
    <row r="1148" spans="1:54" hidden="1">
      <c r="A1148" s="498">
        <v>806</v>
      </c>
      <c r="B1148" s="13"/>
      <c r="C1148" s="13"/>
      <c r="D1148" s="13"/>
      <c r="E1148" s="63" t="s">
        <v>290</v>
      </c>
      <c r="F1148" s="64"/>
      <c r="G1148" s="64" t="s">
        <v>1105</v>
      </c>
      <c r="H1148" s="284" t="s">
        <v>364</v>
      </c>
      <c r="I1148" s="67">
        <v>11.44</v>
      </c>
      <c r="J1148" s="107"/>
      <c r="K1148" s="67">
        <v>11.44</v>
      </c>
      <c r="L1148" s="166"/>
      <c r="M1148" s="67"/>
      <c r="N1148" s="166"/>
      <c r="O1148" s="67"/>
      <c r="P1148" s="107"/>
      <c r="Q1148" s="129">
        <f t="shared" si="9990"/>
        <v>0</v>
      </c>
      <c r="R1148" s="350">
        <f t="shared" si="9991"/>
        <v>0</v>
      </c>
      <c r="S1148" s="129"/>
      <c r="T1148" s="129">
        <f>I1148*S1148*$T$2/1000</f>
        <v>0</v>
      </c>
      <c r="U1148" s="129"/>
      <c r="V1148" s="184">
        <f>I1148*U1148*$V$2/1000</f>
        <v>0</v>
      </c>
      <c r="W1148" s="222"/>
      <c r="X1148" s="223">
        <f>I1148*W1148*$X$2/1000</f>
        <v>0</v>
      </c>
      <c r="Y1148" s="197">
        <f t="shared" si="9992"/>
        <v>0</v>
      </c>
      <c r="Z1148" s="184">
        <f t="shared" si="9993"/>
        <v>0</v>
      </c>
      <c r="AA1148" s="222"/>
      <c r="AB1148" s="223">
        <f>K1148*AA1148*$AB$2/1000</f>
        <v>0</v>
      </c>
      <c r="AC1148" s="222"/>
      <c r="AD1148" s="184">
        <f>K1148*AC1148*$AD$2/1000</f>
        <v>0</v>
      </c>
      <c r="AE1148" s="222"/>
      <c r="AF1148" s="206">
        <f t="shared" si="10008"/>
        <v>0</v>
      </c>
      <c r="AG1148" s="197">
        <f t="shared" si="9994"/>
        <v>0</v>
      </c>
      <c r="AH1148" s="129">
        <f t="shared" si="9995"/>
        <v>0</v>
      </c>
      <c r="AI1148" s="129">
        <f t="shared" si="9996"/>
        <v>0</v>
      </c>
      <c r="AJ1148" s="184">
        <f t="shared" si="9997"/>
        <v>0</v>
      </c>
      <c r="AK1148" s="222"/>
      <c r="AL1148" s="184">
        <f t="shared" si="9998"/>
        <v>0</v>
      </c>
      <c r="AM1148" s="253"/>
      <c r="AN1148" s="184">
        <f t="shared" si="10009"/>
        <v>0</v>
      </c>
      <c r="AO1148" s="222"/>
      <c r="AP1148" s="223">
        <f t="shared" si="9999"/>
        <v>0</v>
      </c>
      <c r="AQ1148" s="197">
        <f t="shared" si="10000"/>
        <v>0</v>
      </c>
      <c r="AR1148" s="129">
        <f t="shared" si="10001"/>
        <v>0</v>
      </c>
      <c r="AS1148" s="129"/>
      <c r="AT1148" s="184">
        <f t="shared" si="10002"/>
        <v>0</v>
      </c>
      <c r="AU1148" s="222"/>
      <c r="AV1148" s="184">
        <f t="shared" si="10003"/>
        <v>0</v>
      </c>
      <c r="AW1148" s="222"/>
      <c r="AX1148" s="223">
        <f t="shared" si="10010"/>
        <v>0</v>
      </c>
      <c r="AY1148" s="197">
        <f t="shared" si="10004"/>
        <v>0</v>
      </c>
      <c r="AZ1148" s="129">
        <f t="shared" si="10005"/>
        <v>0</v>
      </c>
      <c r="BA1148" s="129">
        <f t="shared" si="10006"/>
        <v>0</v>
      </c>
      <c r="BB1148" s="129">
        <f t="shared" si="10007"/>
        <v>0</v>
      </c>
    </row>
    <row r="1149" spans="1:54" hidden="1">
      <c r="A1149" s="498">
        <v>807</v>
      </c>
      <c r="B1149" s="13"/>
      <c r="C1149" s="24"/>
      <c r="D1149" s="24"/>
      <c r="E1149" s="51" t="s">
        <v>291</v>
      </c>
      <c r="F1149" s="37"/>
      <c r="G1149" s="37" t="s">
        <v>1105</v>
      </c>
      <c r="H1149" s="275" t="s">
        <v>364</v>
      </c>
      <c r="I1149" s="58">
        <v>9.26</v>
      </c>
      <c r="J1149" s="108"/>
      <c r="K1149" s="58">
        <v>9.26</v>
      </c>
      <c r="L1149" s="167"/>
      <c r="M1149" s="58"/>
      <c r="N1149" s="167"/>
      <c r="O1149" s="58"/>
      <c r="P1149" s="108"/>
      <c r="Q1149" s="95">
        <f t="shared" si="9990"/>
        <v>0</v>
      </c>
      <c r="R1149" s="343">
        <f t="shared" si="9991"/>
        <v>0</v>
      </c>
      <c r="S1149" s="95"/>
      <c r="T1149" s="95">
        <f>I1149*S1149*$T$2/1000</f>
        <v>0</v>
      </c>
      <c r="U1149" s="95"/>
      <c r="V1149" s="181">
        <f>I1149*U1149*$V$2/1000</f>
        <v>0</v>
      </c>
      <c r="W1149" s="214"/>
      <c r="X1149" s="215">
        <f>I1149*W1149*$X$2/1000</f>
        <v>0</v>
      </c>
      <c r="Y1149" s="193">
        <f t="shared" si="9992"/>
        <v>0</v>
      </c>
      <c r="Z1149" s="181">
        <f>SUM(T1149+V1149+X1149)</f>
        <v>0</v>
      </c>
      <c r="AA1149" s="214"/>
      <c r="AB1149" s="215">
        <f>K1149*AA1149*$AB$2/1000</f>
        <v>0</v>
      </c>
      <c r="AC1149" s="214"/>
      <c r="AD1149" s="181">
        <f>K1149*AC1149*$AD$2/1000</f>
        <v>0</v>
      </c>
      <c r="AE1149" s="214"/>
      <c r="AF1149" s="225">
        <f t="shared" si="10008"/>
        <v>0</v>
      </c>
      <c r="AG1149" s="193">
        <f t="shared" si="9994"/>
        <v>0</v>
      </c>
      <c r="AH1149" s="95">
        <f>SUM(AB1149+AD1149+AF1149)</f>
        <v>0</v>
      </c>
      <c r="AI1149" s="95">
        <f t="shared" si="9996"/>
        <v>0</v>
      </c>
      <c r="AJ1149" s="181">
        <f t="shared" si="9997"/>
        <v>0</v>
      </c>
      <c r="AK1149" s="214"/>
      <c r="AL1149" s="181">
        <f t="shared" si="9998"/>
        <v>0</v>
      </c>
      <c r="AM1149" s="249"/>
      <c r="AN1149" s="181">
        <f t="shared" si="10009"/>
        <v>0</v>
      </c>
      <c r="AO1149" s="214"/>
      <c r="AP1149" s="215">
        <f t="shared" si="9999"/>
        <v>0</v>
      </c>
      <c r="AQ1149" s="193">
        <f t="shared" si="10000"/>
        <v>0</v>
      </c>
      <c r="AR1149" s="95">
        <f>SUM(AL1149+AN1149+AP1149)</f>
        <v>0</v>
      </c>
      <c r="AS1149" s="95"/>
      <c r="AT1149" s="181">
        <f t="shared" si="10002"/>
        <v>0</v>
      </c>
      <c r="AU1149" s="214"/>
      <c r="AV1149" s="181">
        <f t="shared" si="10003"/>
        <v>0</v>
      </c>
      <c r="AW1149" s="214"/>
      <c r="AX1149" s="215">
        <f t="shared" si="10010"/>
        <v>0</v>
      </c>
      <c r="AY1149" s="193">
        <f t="shared" si="10004"/>
        <v>0</v>
      </c>
      <c r="AZ1149" s="95">
        <f>SUM(AT1149+AV1149+AX1149)</f>
        <v>0</v>
      </c>
      <c r="BA1149" s="95">
        <f t="shared" si="10006"/>
        <v>0</v>
      </c>
      <c r="BB1149" s="95">
        <f t="shared" si="10007"/>
        <v>0</v>
      </c>
    </row>
    <row r="1150" spans="1:54" hidden="1">
      <c r="A1150" s="498">
        <v>808</v>
      </c>
      <c r="B1150" s="201" t="s">
        <v>156</v>
      </c>
      <c r="C1150" s="81"/>
      <c r="D1150" s="81"/>
      <c r="E1150" s="81"/>
      <c r="F1150" s="81"/>
      <c r="G1150" s="81"/>
      <c r="H1150" s="288"/>
      <c r="I1150" s="135"/>
      <c r="J1150" s="136"/>
      <c r="K1150" s="135"/>
      <c r="L1150" s="175"/>
      <c r="M1150" s="135"/>
      <c r="N1150" s="175"/>
      <c r="O1150" s="157"/>
      <c r="P1150" s="136"/>
      <c r="Q1150" s="133">
        <f t="shared" ref="Q1150:BB1150" si="10011">SUM(Q1146:Q1149)</f>
        <v>0</v>
      </c>
      <c r="R1150" s="133">
        <f t="shared" si="10011"/>
        <v>0</v>
      </c>
      <c r="S1150" s="133">
        <f t="shared" si="10011"/>
        <v>0</v>
      </c>
      <c r="T1150" s="133">
        <f t="shared" si="10011"/>
        <v>0</v>
      </c>
      <c r="U1150" s="133">
        <f t="shared" si="10011"/>
        <v>0</v>
      </c>
      <c r="V1150" s="133">
        <f t="shared" si="10011"/>
        <v>0</v>
      </c>
      <c r="W1150" s="133">
        <f t="shared" si="10011"/>
        <v>0</v>
      </c>
      <c r="X1150" s="133">
        <f t="shared" si="10011"/>
        <v>0</v>
      </c>
      <c r="Y1150" s="133">
        <f t="shared" si="10011"/>
        <v>0</v>
      </c>
      <c r="Z1150" s="133">
        <f t="shared" si="10011"/>
        <v>0</v>
      </c>
      <c r="AA1150" s="133">
        <f t="shared" si="10011"/>
        <v>0</v>
      </c>
      <c r="AB1150" s="133">
        <f t="shared" si="10011"/>
        <v>0</v>
      </c>
      <c r="AC1150" s="133">
        <f t="shared" si="10011"/>
        <v>0</v>
      </c>
      <c r="AD1150" s="133">
        <f t="shared" si="10011"/>
        <v>0</v>
      </c>
      <c r="AE1150" s="133">
        <f t="shared" si="10011"/>
        <v>0</v>
      </c>
      <c r="AF1150" s="133">
        <f t="shared" si="10011"/>
        <v>0</v>
      </c>
      <c r="AG1150" s="133">
        <f t="shared" si="10011"/>
        <v>0</v>
      </c>
      <c r="AH1150" s="133">
        <f t="shared" si="10011"/>
        <v>0</v>
      </c>
      <c r="AI1150" s="133">
        <f t="shared" si="10011"/>
        <v>0</v>
      </c>
      <c r="AJ1150" s="133">
        <f t="shared" si="10011"/>
        <v>0</v>
      </c>
      <c r="AK1150" s="133">
        <f t="shared" si="10011"/>
        <v>0</v>
      </c>
      <c r="AL1150" s="133">
        <f t="shared" si="10011"/>
        <v>0</v>
      </c>
      <c r="AM1150" s="133">
        <f t="shared" si="10011"/>
        <v>0</v>
      </c>
      <c r="AN1150" s="133">
        <f t="shared" si="10011"/>
        <v>0</v>
      </c>
      <c r="AO1150" s="133">
        <f t="shared" si="10011"/>
        <v>0</v>
      </c>
      <c r="AP1150" s="133">
        <f t="shared" si="10011"/>
        <v>0</v>
      </c>
      <c r="AQ1150" s="133">
        <f t="shared" si="10011"/>
        <v>0</v>
      </c>
      <c r="AR1150" s="133">
        <f t="shared" si="10011"/>
        <v>0</v>
      </c>
      <c r="AS1150" s="133">
        <f t="shared" si="10011"/>
        <v>0</v>
      </c>
      <c r="AT1150" s="133">
        <f t="shared" si="10011"/>
        <v>0</v>
      </c>
      <c r="AU1150" s="133">
        <f t="shared" si="10011"/>
        <v>0</v>
      </c>
      <c r="AV1150" s="133">
        <f t="shared" si="10011"/>
        <v>0</v>
      </c>
      <c r="AW1150" s="133">
        <f t="shared" si="10011"/>
        <v>0</v>
      </c>
      <c r="AX1150" s="133">
        <f t="shared" si="10011"/>
        <v>0</v>
      </c>
      <c r="AY1150" s="133">
        <f t="shared" si="10011"/>
        <v>0</v>
      </c>
      <c r="AZ1150" s="133">
        <f t="shared" si="10011"/>
        <v>0</v>
      </c>
      <c r="BA1150" s="133">
        <f t="shared" si="10011"/>
        <v>0</v>
      </c>
      <c r="BB1150" s="133">
        <f t="shared" si="10011"/>
        <v>0</v>
      </c>
    </row>
    <row r="1151" spans="1:54">
      <c r="A1151" s="498">
        <v>812</v>
      </c>
      <c r="B1151" s="13" t="s">
        <v>1548</v>
      </c>
      <c r="C1151" s="13" t="s">
        <v>1549</v>
      </c>
      <c r="D1151" s="13" t="s">
        <v>1550</v>
      </c>
      <c r="E1151" s="21" t="s">
        <v>1551</v>
      </c>
      <c r="F1151" s="22"/>
      <c r="G1151" s="22" t="s">
        <v>1106</v>
      </c>
      <c r="H1151" s="268" t="s">
        <v>366</v>
      </c>
      <c r="I1151" s="55"/>
      <c r="J1151" s="163">
        <v>30400</v>
      </c>
      <c r="K1151" s="55"/>
      <c r="L1151" s="163">
        <v>30400</v>
      </c>
      <c r="M1151" s="55"/>
      <c r="N1151" s="163">
        <v>30400</v>
      </c>
      <c r="O1151" s="143"/>
      <c r="P1151" s="163">
        <v>30400</v>
      </c>
      <c r="Q1151" s="97">
        <f>SUM(AI1151+BA1151)</f>
        <v>20.48</v>
      </c>
      <c r="R1151" s="342">
        <f t="shared" ref="R1151:R1152" si="10012">SUM(AJ1151+BB1151)</f>
        <v>622.5920000000001</v>
      </c>
      <c r="S1151" s="97"/>
      <c r="T1151" s="97">
        <f t="shared" ref="T1151:T1152" si="10013">J1151*S1151/1000</f>
        <v>0</v>
      </c>
      <c r="U1151" s="97"/>
      <c r="V1151" s="97">
        <f t="shared" ref="V1151:V1152" si="10014">J1151*U1151/1000</f>
        <v>0</v>
      </c>
      <c r="W1151" s="207"/>
      <c r="X1151" s="97">
        <f t="shared" ref="X1151:X1152" si="10015">J1151*W1151/1000</f>
        <v>0</v>
      </c>
      <c r="Y1151" s="189">
        <f t="shared" ref="Y1151:Y1152" si="10016">SUM(S1151+U1151+W1151)</f>
        <v>0</v>
      </c>
      <c r="Z1151" s="177">
        <f t="shared" ref="Z1151:Z1152" si="10017">SUM(T1151+V1151+X1151)</f>
        <v>0</v>
      </c>
      <c r="AA1151" s="207"/>
      <c r="AB1151" s="206">
        <f t="shared" ref="AB1151:AB1152" si="10018">L1151*AA1151/1000</f>
        <v>0</v>
      </c>
      <c r="AC1151" s="207"/>
      <c r="AD1151" s="206">
        <f t="shared" ref="AD1151:AD1152" si="10019">L1151*AC1151/1000</f>
        <v>0</v>
      </c>
      <c r="AE1151" s="207"/>
      <c r="AF1151" s="206">
        <f t="shared" ref="AF1151:AF1152" si="10020">L1151*AE1151/1000</f>
        <v>0</v>
      </c>
      <c r="AG1151" s="189">
        <f t="shared" ref="AG1151:AG1152" si="10021">SUM(AA1151+AC1151+AE1151)</f>
        <v>0</v>
      </c>
      <c r="AH1151" s="97">
        <f t="shared" ref="AH1151:AH1152" si="10022">SUM(AB1151+AD1151+AF1151)</f>
        <v>0</v>
      </c>
      <c r="AI1151" s="97">
        <f t="shared" ref="AI1151:AI1152" si="10023">SUM(Y1151+AG1151)</f>
        <v>0</v>
      </c>
      <c r="AJ1151" s="177">
        <f t="shared" ref="AJ1151:AJ1152" si="10024">SUM(Z1151,AH1151)</f>
        <v>0</v>
      </c>
      <c r="AK1151" s="207"/>
      <c r="AL1151" s="177">
        <f t="shared" ref="AL1151:AL1152" si="10025">N1151*AK1151/1000</f>
        <v>0</v>
      </c>
      <c r="AM1151" s="245">
        <v>1.08</v>
      </c>
      <c r="AN1151" s="177">
        <f t="shared" ref="AN1151:AN1152" si="10026">N1151*AM1151/1000</f>
        <v>32.832000000000001</v>
      </c>
      <c r="AO1151" s="207">
        <v>1.8</v>
      </c>
      <c r="AP1151" s="97">
        <f t="shared" ref="AP1151:AP1152" si="10027">N1151*AO1151/1000</f>
        <v>54.72</v>
      </c>
      <c r="AQ1151" s="189">
        <f t="shared" ref="AQ1151:AQ1152" si="10028">SUM(AK1151+AM1151+AO1151)</f>
        <v>2.88</v>
      </c>
      <c r="AR1151" s="97">
        <f t="shared" ref="AR1151:AR1152" si="10029">SUM(AL1151+AN1151+AP1151)</f>
        <v>87.551999999999992</v>
      </c>
      <c r="AS1151" s="97">
        <v>8.1</v>
      </c>
      <c r="AT1151" s="177">
        <f t="shared" ref="AT1151:AT1152" si="10030">P1151*AS1151/1000</f>
        <v>246.24</v>
      </c>
      <c r="AU1151" s="207">
        <v>5.38</v>
      </c>
      <c r="AV1151" s="177">
        <f t="shared" ref="AV1151:AV1152" si="10031">P1151*AU1151/1000</f>
        <v>163.55199999999999</v>
      </c>
      <c r="AW1151" s="207">
        <v>4.12</v>
      </c>
      <c r="AX1151" s="206">
        <f t="shared" ref="AX1151:AX1152" si="10032">P1151*AW1151/1000</f>
        <v>125.248</v>
      </c>
      <c r="AY1151" s="189">
        <f t="shared" ref="AY1151:AY1152" si="10033">SUM(AS1151+AU1151+AW1151)</f>
        <v>17.600000000000001</v>
      </c>
      <c r="AZ1151" s="97">
        <f t="shared" ref="AZ1151:AZ1152" si="10034">SUM(AT1151+AV1151+AX1151)</f>
        <v>535.04000000000008</v>
      </c>
      <c r="BA1151" s="97">
        <f t="shared" ref="BA1151:BA1152" si="10035">SUM(AQ1151+AY1151)</f>
        <v>20.48</v>
      </c>
      <c r="BB1151" s="97">
        <f t="shared" ref="BB1151:BB1152" si="10036">SUM(AR1151,AZ1151)</f>
        <v>622.5920000000001</v>
      </c>
    </row>
    <row r="1152" spans="1:54">
      <c r="A1152" s="498">
        <v>812</v>
      </c>
      <c r="B1152" s="13"/>
      <c r="C1152" s="13"/>
      <c r="D1152" s="13"/>
      <c r="E1152" s="21" t="s">
        <v>1608</v>
      </c>
      <c r="F1152" s="22"/>
      <c r="G1152" s="22" t="s">
        <v>1106</v>
      </c>
      <c r="H1152" s="268" t="s">
        <v>366</v>
      </c>
      <c r="I1152" s="55"/>
      <c r="J1152" s="163">
        <v>30400</v>
      </c>
      <c r="K1152" s="55"/>
      <c r="L1152" s="163">
        <v>30400</v>
      </c>
      <c r="M1152" s="55"/>
      <c r="N1152" s="163">
        <v>30400</v>
      </c>
      <c r="O1152" s="143"/>
      <c r="P1152" s="163">
        <v>30400</v>
      </c>
      <c r="Q1152" s="97">
        <f>SUM(AI1152+BA1152)</f>
        <v>54.608000000000004</v>
      </c>
      <c r="R1152" s="342">
        <f t="shared" si="10012"/>
        <v>1660.0832</v>
      </c>
      <c r="S1152" s="97">
        <v>6.48</v>
      </c>
      <c r="T1152" s="97">
        <f t="shared" si="10013"/>
        <v>196.99199999999999</v>
      </c>
      <c r="U1152" s="97">
        <v>3.52</v>
      </c>
      <c r="V1152" s="97">
        <f t="shared" si="10014"/>
        <v>107.008</v>
      </c>
      <c r="W1152" s="207"/>
      <c r="X1152" s="97">
        <f t="shared" si="10015"/>
        <v>0</v>
      </c>
      <c r="Y1152" s="189">
        <f t="shared" si="10016"/>
        <v>10</v>
      </c>
      <c r="Z1152" s="177">
        <f t="shared" si="10017"/>
        <v>304</v>
      </c>
      <c r="AA1152" s="207">
        <v>5.0000000000000001E-3</v>
      </c>
      <c r="AB1152" s="206">
        <f t="shared" si="10018"/>
        <v>0.152</v>
      </c>
      <c r="AC1152" s="207"/>
      <c r="AD1152" s="206">
        <f t="shared" si="10019"/>
        <v>0</v>
      </c>
      <c r="AE1152" s="207"/>
      <c r="AF1152" s="206">
        <f t="shared" si="10020"/>
        <v>0</v>
      </c>
      <c r="AG1152" s="189">
        <f t="shared" si="10021"/>
        <v>5.0000000000000001E-3</v>
      </c>
      <c r="AH1152" s="97">
        <f t="shared" si="10022"/>
        <v>0.152</v>
      </c>
      <c r="AI1152" s="97">
        <f t="shared" si="10023"/>
        <v>10.005000000000001</v>
      </c>
      <c r="AJ1152" s="177">
        <f t="shared" si="10024"/>
        <v>304.15199999999999</v>
      </c>
      <c r="AK1152" s="207"/>
      <c r="AL1152" s="177">
        <f t="shared" si="10025"/>
        <v>0</v>
      </c>
      <c r="AM1152" s="245">
        <v>7</v>
      </c>
      <c r="AN1152" s="177">
        <f t="shared" si="10026"/>
        <v>212.8</v>
      </c>
      <c r="AO1152" s="207">
        <v>8</v>
      </c>
      <c r="AP1152" s="97">
        <f t="shared" si="10027"/>
        <v>243.2</v>
      </c>
      <c r="AQ1152" s="189">
        <f t="shared" si="10028"/>
        <v>15</v>
      </c>
      <c r="AR1152" s="97">
        <f t="shared" si="10029"/>
        <v>456</v>
      </c>
      <c r="AS1152" s="97">
        <v>11.603</v>
      </c>
      <c r="AT1152" s="177">
        <f t="shared" si="10030"/>
        <v>352.7312</v>
      </c>
      <c r="AU1152" s="207">
        <v>10.08</v>
      </c>
      <c r="AV1152" s="177">
        <f t="shared" si="10031"/>
        <v>306.43200000000002</v>
      </c>
      <c r="AW1152" s="207">
        <v>7.92</v>
      </c>
      <c r="AX1152" s="206">
        <f t="shared" si="10032"/>
        <v>240.768</v>
      </c>
      <c r="AY1152" s="189">
        <f t="shared" si="10033"/>
        <v>29.603000000000002</v>
      </c>
      <c r="AZ1152" s="97">
        <f t="shared" si="10034"/>
        <v>899.93119999999999</v>
      </c>
      <c r="BA1152" s="97">
        <f t="shared" si="10035"/>
        <v>44.603000000000002</v>
      </c>
      <c r="BB1152" s="97">
        <f t="shared" si="10036"/>
        <v>1355.9312</v>
      </c>
    </row>
    <row r="1153" spans="1:54">
      <c r="A1153" s="498">
        <v>812</v>
      </c>
      <c r="B1153" s="13"/>
      <c r="C1153" s="13"/>
      <c r="D1153" s="13" t="s">
        <v>1750</v>
      </c>
      <c r="E1153" s="21" t="s">
        <v>1751</v>
      </c>
      <c r="F1153" s="22"/>
      <c r="G1153" s="22" t="s">
        <v>1106</v>
      </c>
      <c r="H1153" s="268" t="s">
        <v>366</v>
      </c>
      <c r="I1153" s="55"/>
      <c r="J1153" s="163">
        <v>30400</v>
      </c>
      <c r="K1153" s="55"/>
      <c r="L1153" s="163">
        <v>31500</v>
      </c>
      <c r="M1153" s="55"/>
      <c r="N1153" s="163">
        <v>31500</v>
      </c>
      <c r="O1153" s="143"/>
      <c r="P1153" s="163">
        <v>31500</v>
      </c>
      <c r="Q1153" s="97">
        <f>SUM(AI1153+BA1153)</f>
        <v>1.498</v>
      </c>
      <c r="R1153" s="342">
        <f t="shared" ref="R1153" si="10037">SUM(AJ1153+BB1153)</f>
        <v>47.186999999999998</v>
      </c>
      <c r="S1153" s="97"/>
      <c r="T1153" s="97">
        <f t="shared" ref="T1153" si="10038">J1153*S1153/1000</f>
        <v>0</v>
      </c>
      <c r="U1153" s="97"/>
      <c r="V1153" s="97">
        <f t="shared" ref="V1153" si="10039">J1153*U1153/1000</f>
        <v>0</v>
      </c>
      <c r="W1153" s="207"/>
      <c r="X1153" s="97">
        <f t="shared" ref="X1153" si="10040">J1153*W1153/1000</f>
        <v>0</v>
      </c>
      <c r="Y1153" s="189">
        <f t="shared" ref="Y1153" si="10041">SUM(S1153+U1153+W1153)</f>
        <v>0</v>
      </c>
      <c r="Z1153" s="177">
        <f t="shared" ref="Z1153" si="10042">SUM(T1153+V1153+X1153)</f>
        <v>0</v>
      </c>
      <c r="AA1153" s="207"/>
      <c r="AB1153" s="206">
        <f t="shared" ref="AB1153" si="10043">L1153*AA1153/1000</f>
        <v>0</v>
      </c>
      <c r="AC1153" s="207">
        <v>0.03</v>
      </c>
      <c r="AD1153" s="206">
        <f t="shared" ref="AD1153" si="10044">L1153*AC1153/1000</f>
        <v>0.94499999999999995</v>
      </c>
      <c r="AE1153" s="207"/>
      <c r="AF1153" s="206">
        <f t="shared" ref="AF1153" si="10045">L1153*AE1153/1000</f>
        <v>0</v>
      </c>
      <c r="AG1153" s="189">
        <f t="shared" ref="AG1153" si="10046">SUM(AA1153+AC1153+AE1153)</f>
        <v>0.03</v>
      </c>
      <c r="AH1153" s="97">
        <f t="shared" ref="AH1153" si="10047">SUM(AB1153+AD1153+AF1153)</f>
        <v>0.94499999999999995</v>
      </c>
      <c r="AI1153" s="97">
        <f t="shared" ref="AI1153" si="10048">SUM(Y1153+AG1153)</f>
        <v>0.03</v>
      </c>
      <c r="AJ1153" s="177">
        <f t="shared" ref="AJ1153" si="10049">SUM(Z1153,AH1153)</f>
        <v>0.94499999999999995</v>
      </c>
      <c r="AK1153" s="207">
        <v>1.2</v>
      </c>
      <c r="AL1153" s="177">
        <f t="shared" ref="AL1153" si="10050">N1153*AK1153/1000</f>
        <v>37.799999999999997</v>
      </c>
      <c r="AM1153" s="245">
        <v>0.03</v>
      </c>
      <c r="AN1153" s="177">
        <f t="shared" ref="AN1153" si="10051">N1153*AM1153/1000</f>
        <v>0.94499999999999995</v>
      </c>
      <c r="AO1153" s="207"/>
      <c r="AP1153" s="97">
        <f t="shared" ref="AP1153" si="10052">N1153*AO1153/1000</f>
        <v>0</v>
      </c>
      <c r="AQ1153" s="189">
        <f t="shared" ref="AQ1153" si="10053">SUM(AK1153+AM1153+AO1153)</f>
        <v>1.23</v>
      </c>
      <c r="AR1153" s="97">
        <f t="shared" ref="AR1153" si="10054">SUM(AL1153+AN1153+AP1153)</f>
        <v>38.744999999999997</v>
      </c>
      <c r="AS1153" s="97"/>
      <c r="AT1153" s="177">
        <f t="shared" ref="AT1153" si="10055">P1153*AS1153/1000</f>
        <v>0</v>
      </c>
      <c r="AU1153" s="207"/>
      <c r="AV1153" s="177">
        <f t="shared" ref="AV1153" si="10056">P1153*AU1153/1000</f>
        <v>0</v>
      </c>
      <c r="AW1153" s="207">
        <v>0.23799999999999999</v>
      </c>
      <c r="AX1153" s="206">
        <f t="shared" ref="AX1153" si="10057">P1153*AW1153/1000</f>
        <v>7.4969999999999999</v>
      </c>
      <c r="AY1153" s="189">
        <f t="shared" ref="AY1153" si="10058">SUM(AS1153+AU1153+AW1153)</f>
        <v>0.23799999999999999</v>
      </c>
      <c r="AZ1153" s="97">
        <f t="shared" ref="AZ1153" si="10059">SUM(AT1153+AV1153+AX1153)</f>
        <v>7.4969999999999999</v>
      </c>
      <c r="BA1153" s="97">
        <f t="shared" ref="BA1153" si="10060">SUM(AQ1153+AY1153)</f>
        <v>1.468</v>
      </c>
      <c r="BB1153" s="97">
        <f t="shared" ref="BB1153" si="10061">SUM(AR1153,AZ1153)</f>
        <v>46.241999999999997</v>
      </c>
    </row>
    <row r="1154" spans="1:54">
      <c r="A1154" s="498">
        <v>810</v>
      </c>
      <c r="B1154" s="59" t="s">
        <v>156</v>
      </c>
      <c r="C1154" s="60"/>
      <c r="D1154" s="60"/>
      <c r="E1154" s="81"/>
      <c r="F1154" s="81"/>
      <c r="G1154" s="81"/>
      <c r="H1154" s="288"/>
      <c r="I1154" s="135"/>
      <c r="J1154" s="136"/>
      <c r="K1154" s="135"/>
      <c r="L1154" s="175"/>
      <c r="M1154" s="135"/>
      <c r="N1154" s="175"/>
      <c r="O1154" s="157"/>
      <c r="P1154" s="136"/>
      <c r="Q1154" s="133">
        <f>SUM(Q1151:Q1153)</f>
        <v>76.586000000000013</v>
      </c>
      <c r="R1154" s="133">
        <f>SUM(R1151:R1153)</f>
        <v>2329.8622</v>
      </c>
      <c r="S1154" s="133">
        <f>SUM(S1151:S1153)</f>
        <v>6.48</v>
      </c>
      <c r="T1154" s="133">
        <f t="shared" ref="T1154:BB1154" si="10062">SUM(T1151:T1153)</f>
        <v>196.99199999999999</v>
      </c>
      <c r="U1154" s="133">
        <f t="shared" si="10062"/>
        <v>3.52</v>
      </c>
      <c r="V1154" s="133">
        <f t="shared" si="10062"/>
        <v>107.008</v>
      </c>
      <c r="W1154" s="133">
        <f t="shared" si="10062"/>
        <v>0</v>
      </c>
      <c r="X1154" s="133">
        <f t="shared" si="10062"/>
        <v>0</v>
      </c>
      <c r="Y1154" s="133">
        <f t="shared" si="10062"/>
        <v>10</v>
      </c>
      <c r="Z1154" s="133">
        <f t="shared" si="10062"/>
        <v>304</v>
      </c>
      <c r="AA1154" s="133">
        <f t="shared" si="10062"/>
        <v>5.0000000000000001E-3</v>
      </c>
      <c r="AB1154" s="133">
        <f t="shared" si="10062"/>
        <v>0.152</v>
      </c>
      <c r="AC1154" s="133">
        <f t="shared" si="10062"/>
        <v>0.03</v>
      </c>
      <c r="AD1154" s="133">
        <f t="shared" si="10062"/>
        <v>0.94499999999999995</v>
      </c>
      <c r="AE1154" s="133">
        <f t="shared" si="10062"/>
        <v>0</v>
      </c>
      <c r="AF1154" s="133">
        <f t="shared" si="10062"/>
        <v>0</v>
      </c>
      <c r="AG1154" s="133">
        <f t="shared" si="10062"/>
        <v>3.4999999999999996E-2</v>
      </c>
      <c r="AH1154" s="133">
        <f t="shared" si="10062"/>
        <v>1.097</v>
      </c>
      <c r="AI1154" s="133">
        <f t="shared" si="10062"/>
        <v>10.035</v>
      </c>
      <c r="AJ1154" s="133">
        <f t="shared" si="10062"/>
        <v>305.09699999999998</v>
      </c>
      <c r="AK1154" s="133">
        <f t="shared" si="10062"/>
        <v>1.2</v>
      </c>
      <c r="AL1154" s="133">
        <f t="shared" si="10062"/>
        <v>37.799999999999997</v>
      </c>
      <c r="AM1154" s="133">
        <f t="shared" si="10062"/>
        <v>8.11</v>
      </c>
      <c r="AN1154" s="133">
        <f t="shared" si="10062"/>
        <v>246.577</v>
      </c>
      <c r="AO1154" s="133">
        <f t="shared" si="10062"/>
        <v>9.8000000000000007</v>
      </c>
      <c r="AP1154" s="133">
        <f t="shared" si="10062"/>
        <v>297.91999999999996</v>
      </c>
      <c r="AQ1154" s="133">
        <f t="shared" si="10062"/>
        <v>19.11</v>
      </c>
      <c r="AR1154" s="133">
        <f t="shared" si="10062"/>
        <v>582.29700000000003</v>
      </c>
      <c r="AS1154" s="133">
        <f t="shared" si="10062"/>
        <v>19.702999999999999</v>
      </c>
      <c r="AT1154" s="133">
        <f t="shared" si="10062"/>
        <v>598.97119999999995</v>
      </c>
      <c r="AU1154" s="133">
        <f t="shared" si="10062"/>
        <v>15.46</v>
      </c>
      <c r="AV1154" s="133">
        <f t="shared" si="10062"/>
        <v>469.98400000000004</v>
      </c>
      <c r="AW1154" s="133">
        <f t="shared" si="10062"/>
        <v>12.277999999999999</v>
      </c>
      <c r="AX1154" s="133">
        <f t="shared" si="10062"/>
        <v>373.51300000000003</v>
      </c>
      <c r="AY1154" s="133">
        <f t="shared" si="10062"/>
        <v>47.441000000000003</v>
      </c>
      <c r="AZ1154" s="133">
        <f t="shared" si="10062"/>
        <v>1442.4682</v>
      </c>
      <c r="BA1154" s="133">
        <f>SUM(BA1151:BA1153)</f>
        <v>66.551000000000002</v>
      </c>
      <c r="BB1154" s="133">
        <f t="shared" si="10062"/>
        <v>2024.7652</v>
      </c>
    </row>
    <row r="1155" spans="1:54">
      <c r="A1155" s="498">
        <v>811</v>
      </c>
      <c r="B1155" s="13" t="s">
        <v>658</v>
      </c>
      <c r="C1155" s="53" t="s">
        <v>659</v>
      </c>
      <c r="D1155" s="53" t="s">
        <v>660</v>
      </c>
      <c r="E1155" s="31" t="s">
        <v>826</v>
      </c>
      <c r="F1155" s="32"/>
      <c r="G1155" s="32" t="s">
        <v>1106</v>
      </c>
      <c r="H1155" s="274" t="s">
        <v>366</v>
      </c>
      <c r="I1155" s="62"/>
      <c r="J1155" s="164">
        <v>90000</v>
      </c>
      <c r="K1155" s="62"/>
      <c r="L1155" s="164">
        <v>90000</v>
      </c>
      <c r="M1155" s="62"/>
      <c r="N1155" s="164">
        <v>90000</v>
      </c>
      <c r="O1155" s="147"/>
      <c r="P1155" s="164">
        <v>50000</v>
      </c>
      <c r="Q1155" s="122">
        <f t="shared" ref="Q1155:Q1160" si="10063">SUM(AI1155+BA1155)</f>
        <v>7.0000000000000001E-3</v>
      </c>
      <c r="R1155" s="346">
        <f t="shared" ref="R1155:R1160" si="10064">SUM(AJ1155+BB1155)</f>
        <v>0.35</v>
      </c>
      <c r="S1155" s="122"/>
      <c r="T1155" s="122">
        <f t="shared" ref="T1155:T1156" si="10065">J1155*S1155/1000</f>
        <v>0</v>
      </c>
      <c r="U1155" s="122"/>
      <c r="V1155" s="122">
        <f>J1155*U1155/1000</f>
        <v>0</v>
      </c>
      <c r="W1155" s="212"/>
      <c r="X1155" s="122">
        <f>J1155*W1155/1000</f>
        <v>0</v>
      </c>
      <c r="Y1155" s="191">
        <f t="shared" ref="Y1155:Y1160" si="10066">SUM(S1155+U1155+W1155)</f>
        <v>0</v>
      </c>
      <c r="Z1155" s="180">
        <f t="shared" ref="Z1155" si="10067">SUM(T1155+V1155+X1155)</f>
        <v>0</v>
      </c>
      <c r="AA1155" s="212"/>
      <c r="AB1155" s="213">
        <f t="shared" ref="AB1155:AB1160" si="10068">L1155*AA1155/1000</f>
        <v>0</v>
      </c>
      <c r="AC1155" s="212"/>
      <c r="AD1155" s="213">
        <f t="shared" ref="AD1155:AD1156" si="10069">L1155*AC1155/1000</f>
        <v>0</v>
      </c>
      <c r="AE1155" s="212"/>
      <c r="AF1155" s="213">
        <f>L1155*AE1155/1000</f>
        <v>0</v>
      </c>
      <c r="AG1155" s="191">
        <f>SUM(AA1155+AC1155+AE1155)</f>
        <v>0</v>
      </c>
      <c r="AH1155" s="122">
        <f>SUM(AB1155+AD1155+AF1155)</f>
        <v>0</v>
      </c>
      <c r="AI1155" s="122">
        <f>SUM(Y1155+AG1155)</f>
        <v>0</v>
      </c>
      <c r="AJ1155" s="180">
        <f t="shared" ref="AJ1155:AJ1160" si="10070">SUM(Z1155,AH1155)</f>
        <v>0</v>
      </c>
      <c r="AK1155" s="212"/>
      <c r="AL1155" s="180">
        <f t="shared" ref="AL1155:AL1156" si="10071">N1155*AK1155/1000</f>
        <v>0</v>
      </c>
      <c r="AM1155" s="248"/>
      <c r="AN1155" s="180">
        <f>N1155*AM1155/1000</f>
        <v>0</v>
      </c>
      <c r="AO1155" s="212"/>
      <c r="AP1155" s="122">
        <f>N1155*AO1155/1000</f>
        <v>0</v>
      </c>
      <c r="AQ1155" s="191">
        <f>SUM(AK1155+AM1155+AO1155)</f>
        <v>0</v>
      </c>
      <c r="AR1155" s="122">
        <f>SUM(AL1155+AN1155+AP1155)</f>
        <v>0</v>
      </c>
      <c r="AS1155" s="122"/>
      <c r="AT1155" s="180">
        <f>P1155*AS1155/1000</f>
        <v>0</v>
      </c>
      <c r="AU1155" s="212">
        <v>7.0000000000000001E-3</v>
      </c>
      <c r="AV1155" s="180">
        <f>P1155*AU1155/1000</f>
        <v>0.35</v>
      </c>
      <c r="AW1155" s="212"/>
      <c r="AX1155" s="213">
        <f t="shared" ref="AX1155:AX1156" si="10072">P1155*AW1155/1000</f>
        <v>0</v>
      </c>
      <c r="AY1155" s="191">
        <f>SUM(AS1155+AU1155+AW1155)</f>
        <v>7.0000000000000001E-3</v>
      </c>
      <c r="AZ1155" s="122">
        <f>SUM(AT1155+AV1155+AX1155)</f>
        <v>0.35</v>
      </c>
      <c r="BA1155" s="122">
        <f>SUM(AQ1155+AY1155)</f>
        <v>7.0000000000000001E-3</v>
      </c>
      <c r="BB1155" s="122">
        <f t="shared" ref="BB1155:BB1160" si="10073">SUM(AR1155,AZ1155)</f>
        <v>0.35</v>
      </c>
    </row>
    <row r="1156" spans="1:54">
      <c r="A1156" s="498">
        <v>812</v>
      </c>
      <c r="B1156" s="13"/>
      <c r="C1156" s="13"/>
      <c r="D1156" s="13" t="s">
        <v>716</v>
      </c>
      <c r="E1156" s="21" t="s">
        <v>1154</v>
      </c>
      <c r="F1156" s="22"/>
      <c r="G1156" s="22" t="s">
        <v>1107</v>
      </c>
      <c r="H1156" s="268" t="s">
        <v>366</v>
      </c>
      <c r="I1156" s="55"/>
      <c r="J1156" s="163">
        <v>160000</v>
      </c>
      <c r="K1156" s="55"/>
      <c r="L1156" s="163">
        <v>130000</v>
      </c>
      <c r="M1156" s="55"/>
      <c r="N1156" s="163">
        <v>130000</v>
      </c>
      <c r="O1156" s="143"/>
      <c r="P1156" s="163">
        <v>130000</v>
      </c>
      <c r="Q1156" s="97">
        <f>SUM(AI1156+BA1156)</f>
        <v>1E-3</v>
      </c>
      <c r="R1156" s="342">
        <f t="shared" ref="R1156" si="10074">SUM(AJ1156+BB1156)</f>
        <v>0.13</v>
      </c>
      <c r="S1156" s="97"/>
      <c r="T1156" s="97">
        <f t="shared" si="10065"/>
        <v>0</v>
      </c>
      <c r="U1156" s="97"/>
      <c r="V1156" s="97">
        <f t="shared" ref="V1156" si="10075">J1156*U1156/1000</f>
        <v>0</v>
      </c>
      <c r="W1156" s="207"/>
      <c r="X1156" s="97">
        <f t="shared" ref="X1156:X1158" si="10076">J1156*W1156/1000</f>
        <v>0</v>
      </c>
      <c r="Y1156" s="189">
        <f t="shared" ref="Y1156" si="10077">SUM(S1156+U1156+W1156)</f>
        <v>0</v>
      </c>
      <c r="Z1156" s="177">
        <f t="shared" ref="Z1156" si="10078">SUM(T1156+V1156+X1156)</f>
        <v>0</v>
      </c>
      <c r="AA1156" s="207"/>
      <c r="AB1156" s="206">
        <f t="shared" si="10068"/>
        <v>0</v>
      </c>
      <c r="AC1156" s="207">
        <v>1E-3</v>
      </c>
      <c r="AD1156" s="206">
        <f t="shared" si="10069"/>
        <v>0.13</v>
      </c>
      <c r="AE1156" s="207"/>
      <c r="AF1156" s="206">
        <f t="shared" ref="AF1156" si="10079">L1156*AE1156/1000</f>
        <v>0</v>
      </c>
      <c r="AG1156" s="189">
        <f t="shared" ref="AG1156" si="10080">SUM(AA1156+AC1156+AE1156)</f>
        <v>1E-3</v>
      </c>
      <c r="AH1156" s="97">
        <f t="shared" ref="AH1156" si="10081">SUM(AB1156+AD1156+AF1156)</f>
        <v>0.13</v>
      </c>
      <c r="AI1156" s="97">
        <f t="shared" ref="AI1156" si="10082">SUM(Y1156+AG1156)</f>
        <v>1E-3</v>
      </c>
      <c r="AJ1156" s="177">
        <f t="shared" ref="AJ1156" si="10083">SUM(Z1156,AH1156)</f>
        <v>0.13</v>
      </c>
      <c r="AK1156" s="207"/>
      <c r="AL1156" s="177">
        <f t="shared" si="10071"/>
        <v>0</v>
      </c>
      <c r="AM1156" s="245"/>
      <c r="AN1156" s="177">
        <f t="shared" ref="AN1156" si="10084">N1156*AM1156/1000</f>
        <v>0</v>
      </c>
      <c r="AO1156" s="207"/>
      <c r="AP1156" s="97">
        <f t="shared" ref="AP1156" si="10085">N1156*AO1156/1000</f>
        <v>0</v>
      </c>
      <c r="AQ1156" s="189">
        <f t="shared" ref="AQ1156" si="10086">SUM(AK1156+AM1156+AO1156)</f>
        <v>0</v>
      </c>
      <c r="AR1156" s="97">
        <f t="shared" ref="AR1156" si="10087">SUM(AL1156+AN1156+AP1156)</f>
        <v>0</v>
      </c>
      <c r="AS1156" s="97"/>
      <c r="AT1156" s="177">
        <f t="shared" ref="AT1156" si="10088">P1156*AS1156/1000</f>
        <v>0</v>
      </c>
      <c r="AU1156" s="207"/>
      <c r="AV1156" s="177">
        <f t="shared" ref="AV1156" si="10089">P1156*AU1156/1000</f>
        <v>0</v>
      </c>
      <c r="AW1156" s="207"/>
      <c r="AX1156" s="206">
        <f t="shared" si="10072"/>
        <v>0</v>
      </c>
      <c r="AY1156" s="189">
        <f t="shared" ref="AY1156" si="10090">SUM(AS1156+AU1156+AW1156)</f>
        <v>0</v>
      </c>
      <c r="AZ1156" s="97">
        <f t="shared" ref="AZ1156" si="10091">SUM(AT1156+AV1156+AX1156)</f>
        <v>0</v>
      </c>
      <c r="BA1156" s="97">
        <f t="shared" ref="BA1156" si="10092">SUM(AQ1156+AY1156)</f>
        <v>0</v>
      </c>
      <c r="BB1156" s="97">
        <f t="shared" ref="BB1156" si="10093">SUM(AR1156,AZ1156)</f>
        <v>0</v>
      </c>
    </row>
    <row r="1157" spans="1:54">
      <c r="A1157" s="498">
        <v>813</v>
      </c>
      <c r="B1157" s="13"/>
      <c r="C1157" s="13"/>
      <c r="D1157" s="13" t="s">
        <v>661</v>
      </c>
      <c r="E1157" s="21" t="s">
        <v>662</v>
      </c>
      <c r="F1157" s="22"/>
      <c r="G1157" s="22" t="s">
        <v>1107</v>
      </c>
      <c r="H1157" s="268" t="s">
        <v>366</v>
      </c>
      <c r="I1157" s="55"/>
      <c r="J1157" s="163">
        <v>250000</v>
      </c>
      <c r="K1157" s="55"/>
      <c r="L1157" s="163">
        <v>250000</v>
      </c>
      <c r="M1157" s="55"/>
      <c r="N1157" s="163">
        <v>250000</v>
      </c>
      <c r="O1157" s="143"/>
      <c r="P1157" s="163">
        <v>250000</v>
      </c>
      <c r="Q1157" s="97">
        <f>SUM(AI1157+BA1157)</f>
        <v>0</v>
      </c>
      <c r="R1157" s="342">
        <f>SUM(AJ1157+BB1157)</f>
        <v>0</v>
      </c>
      <c r="S1157" s="97"/>
      <c r="T1157" s="97">
        <f>J1157*S1157/1000</f>
        <v>0</v>
      </c>
      <c r="U1157" s="97"/>
      <c r="V1157" s="97">
        <f>J1157*U1157/1000</f>
        <v>0</v>
      </c>
      <c r="W1157" s="207"/>
      <c r="X1157" s="97">
        <f>J1157*W1157/1000</f>
        <v>0</v>
      </c>
      <c r="Y1157" s="189">
        <f>SUM(S1157+U1157+W1157)</f>
        <v>0</v>
      </c>
      <c r="Z1157" s="177">
        <f>SUM(T1157+V1157+X1157)</f>
        <v>0</v>
      </c>
      <c r="AA1157" s="207"/>
      <c r="AB1157" s="206">
        <f t="shared" si="10068"/>
        <v>0</v>
      </c>
      <c r="AC1157" s="207"/>
      <c r="AD1157" s="206">
        <f>L1157*AC1157/1000</f>
        <v>0</v>
      </c>
      <c r="AE1157" s="207"/>
      <c r="AF1157" s="206">
        <f t="shared" ref="AF1157" si="10094">L1157*AE1157/1000</f>
        <v>0</v>
      </c>
      <c r="AG1157" s="189">
        <f>SUM(AA1157+AC1157+AE1157)</f>
        <v>0</v>
      </c>
      <c r="AH1157" s="97">
        <f>SUM(AB1157+AD1157+AF1157)</f>
        <v>0</v>
      </c>
      <c r="AI1157" s="97">
        <f>SUM(Y1157+AG1157)</f>
        <v>0</v>
      </c>
      <c r="AJ1157" s="177">
        <f>SUM(Z1157,AH1157)</f>
        <v>0</v>
      </c>
      <c r="AK1157" s="207"/>
      <c r="AL1157" s="177">
        <f>N1157*AK1157/1000</f>
        <v>0</v>
      </c>
      <c r="AM1157" s="245"/>
      <c r="AN1157" s="177">
        <f>N1157*AM1157/1000</f>
        <v>0</v>
      </c>
      <c r="AO1157" s="207"/>
      <c r="AP1157" s="97">
        <f t="shared" ref="AP1157" si="10095">N1157*AO1157/1000</f>
        <v>0</v>
      </c>
      <c r="AQ1157" s="189">
        <f>SUM(AK1157+AM1157+AO1157)</f>
        <v>0</v>
      </c>
      <c r="AR1157" s="97">
        <f>SUM(AL1157+AN1157+AP1157)</f>
        <v>0</v>
      </c>
      <c r="AS1157" s="97"/>
      <c r="AT1157" s="177">
        <f t="shared" ref="AT1157" si="10096">P1157*AS1157/1000</f>
        <v>0</v>
      </c>
      <c r="AU1157" s="207"/>
      <c r="AV1157" s="177">
        <f t="shared" ref="AV1157:AV1158" si="10097">P1157*AU1157/1000</f>
        <v>0</v>
      </c>
      <c r="AW1157" s="207"/>
      <c r="AX1157" s="206">
        <f>P1157*AW1157/1000</f>
        <v>0</v>
      </c>
      <c r="AY1157" s="189">
        <f>SUM(AS1157+AU1157+AW1157)</f>
        <v>0</v>
      </c>
      <c r="AZ1157" s="97">
        <f>SUM(AT1157+AV1157+AX1157)</f>
        <v>0</v>
      </c>
      <c r="BA1157" s="97">
        <f>SUM(AQ1157+AY1157)</f>
        <v>0</v>
      </c>
      <c r="BB1157" s="97">
        <f>SUM(AR1157,AZ1157)</f>
        <v>0</v>
      </c>
    </row>
    <row r="1158" spans="1:54" ht="12.75" customHeight="1">
      <c r="A1158" s="498">
        <v>814</v>
      </c>
      <c r="B1158" s="13"/>
      <c r="C1158" s="13"/>
      <c r="D1158" s="13" t="s">
        <v>717</v>
      </c>
      <c r="E1158" s="21" t="s">
        <v>718</v>
      </c>
      <c r="F1158" s="22"/>
      <c r="G1158" s="22" t="s">
        <v>1107</v>
      </c>
      <c r="H1158" s="268" t="s">
        <v>366</v>
      </c>
      <c r="I1158" s="55"/>
      <c r="J1158" s="163">
        <v>300000</v>
      </c>
      <c r="K1158" s="55"/>
      <c r="L1158" s="163">
        <v>300000</v>
      </c>
      <c r="M1158" s="55"/>
      <c r="N1158" s="163">
        <v>300000</v>
      </c>
      <c r="O1158" s="143"/>
      <c r="P1158" s="163">
        <v>300000</v>
      </c>
      <c r="Q1158" s="97">
        <f>SUM(AI1158+BA1158)</f>
        <v>0</v>
      </c>
      <c r="R1158" s="342">
        <f t="shared" ref="R1158:R1159" si="10098">SUM(AJ1158+BB1158)</f>
        <v>0</v>
      </c>
      <c r="S1158" s="97"/>
      <c r="T1158" s="97">
        <f t="shared" ref="T1158:T1159" si="10099">J1158*S1158/1000</f>
        <v>0</v>
      </c>
      <c r="U1158" s="97"/>
      <c r="V1158" s="97">
        <f t="shared" ref="V1158:V1159" si="10100">J1158*U1158/1000</f>
        <v>0</v>
      </c>
      <c r="W1158" s="207"/>
      <c r="X1158" s="97">
        <f t="shared" si="10076"/>
        <v>0</v>
      </c>
      <c r="Y1158" s="189">
        <f t="shared" ref="Y1158:Y1159" si="10101">SUM(S1158+U1158+W1158)</f>
        <v>0</v>
      </c>
      <c r="Z1158" s="177">
        <f t="shared" ref="Z1158:Z1159" si="10102">SUM(T1158+V1158+X1158)</f>
        <v>0</v>
      </c>
      <c r="AA1158" s="207"/>
      <c r="AB1158" s="206">
        <f t="shared" si="10068"/>
        <v>0</v>
      </c>
      <c r="AC1158" s="207"/>
      <c r="AD1158" s="206">
        <f t="shared" ref="AD1158:AD1159" si="10103">L1158*AC1158/1000</f>
        <v>0</v>
      </c>
      <c r="AE1158" s="207"/>
      <c r="AF1158" s="206">
        <f t="shared" ref="AF1158:AF1160" si="10104">L1158*AE1158/1000</f>
        <v>0</v>
      </c>
      <c r="AG1158" s="189">
        <f t="shared" ref="AG1158:AG1159" si="10105">SUM(AA1158+AC1158+AE1158)</f>
        <v>0</v>
      </c>
      <c r="AH1158" s="97">
        <f t="shared" ref="AH1158:AH1159" si="10106">SUM(AB1158+AD1158+AF1158)</f>
        <v>0</v>
      </c>
      <c r="AI1158" s="97">
        <f t="shared" ref="AI1158:AI1159" si="10107">SUM(Y1158+AG1158)</f>
        <v>0</v>
      </c>
      <c r="AJ1158" s="177">
        <f t="shared" ref="AJ1158:AJ1159" si="10108">SUM(Z1158,AH1158)</f>
        <v>0</v>
      </c>
      <c r="AK1158" s="207"/>
      <c r="AL1158" s="177">
        <f t="shared" ref="AL1158:AL1159" si="10109">N1158*AK1158/1000</f>
        <v>0</v>
      </c>
      <c r="AM1158" s="245"/>
      <c r="AN1158" s="177">
        <f t="shared" ref="AN1158:AN1159" si="10110">N1158*AM1158/1000</f>
        <v>0</v>
      </c>
      <c r="AO1158" s="207"/>
      <c r="AP1158" s="97">
        <f t="shared" ref="AP1158:AP1160" si="10111">N1158*AO1158/1000</f>
        <v>0</v>
      </c>
      <c r="AQ1158" s="189">
        <f t="shared" ref="AQ1158:AQ1159" si="10112">SUM(AK1158+AM1158+AO1158)</f>
        <v>0</v>
      </c>
      <c r="AR1158" s="97">
        <f t="shared" ref="AR1158:AR1159" si="10113">SUM(AL1158+AN1158+AP1158)</f>
        <v>0</v>
      </c>
      <c r="AS1158" s="97"/>
      <c r="AT1158" s="177">
        <f t="shared" ref="AT1158:AT1160" si="10114">P1158*AS1158/1000</f>
        <v>0</v>
      </c>
      <c r="AU1158" s="207"/>
      <c r="AV1158" s="177">
        <f t="shared" si="10097"/>
        <v>0</v>
      </c>
      <c r="AW1158" s="207"/>
      <c r="AX1158" s="206">
        <f t="shared" ref="AX1158:AX1159" si="10115">P1158*AW1158/1000</f>
        <v>0</v>
      </c>
      <c r="AY1158" s="189">
        <f t="shared" ref="AY1158:AY1159" si="10116">SUM(AS1158+AU1158+AW1158)</f>
        <v>0</v>
      </c>
      <c r="AZ1158" s="97">
        <f t="shared" ref="AZ1158:AZ1159" si="10117">SUM(AT1158+AV1158+AX1158)</f>
        <v>0</v>
      </c>
      <c r="BA1158" s="97">
        <f t="shared" ref="BA1158:BA1159" si="10118">SUM(AQ1158+AY1158)</f>
        <v>0</v>
      </c>
      <c r="BB1158" s="97">
        <f t="shared" ref="BB1158:BB1159" si="10119">SUM(AR1158,AZ1158)</f>
        <v>0</v>
      </c>
    </row>
    <row r="1159" spans="1:54">
      <c r="A1159" s="498">
        <v>815</v>
      </c>
      <c r="B1159" s="13"/>
      <c r="C1159" s="13"/>
      <c r="D1159" s="13" t="s">
        <v>663</v>
      </c>
      <c r="E1159" s="21" t="s">
        <v>664</v>
      </c>
      <c r="F1159" s="22"/>
      <c r="G1159" s="22" t="s">
        <v>1107</v>
      </c>
      <c r="H1159" s="268" t="s">
        <v>366</v>
      </c>
      <c r="I1159" s="483"/>
      <c r="J1159" s="484">
        <v>1100000</v>
      </c>
      <c r="K1159" s="483"/>
      <c r="L1159" s="484">
        <v>1100000</v>
      </c>
      <c r="M1159" s="483"/>
      <c r="N1159" s="484">
        <v>1100000</v>
      </c>
      <c r="O1159" s="485"/>
      <c r="P1159" s="484">
        <v>1100000</v>
      </c>
      <c r="Q1159" s="97">
        <f t="shared" ref="Q1159" si="10120">SUM(AI1159+BA1159)</f>
        <v>0</v>
      </c>
      <c r="R1159" s="342">
        <f t="shared" si="10098"/>
        <v>0</v>
      </c>
      <c r="S1159" s="97"/>
      <c r="T1159" s="97">
        <f t="shared" si="10099"/>
        <v>0</v>
      </c>
      <c r="U1159" s="97"/>
      <c r="V1159" s="97">
        <f t="shared" si="10100"/>
        <v>0</v>
      </c>
      <c r="W1159" s="207"/>
      <c r="X1159" s="97">
        <f t="shared" ref="X1159" si="10121">J1159*W1159/1000</f>
        <v>0</v>
      </c>
      <c r="Y1159" s="189">
        <f t="shared" si="10101"/>
        <v>0</v>
      </c>
      <c r="Z1159" s="177">
        <f t="shared" si="10102"/>
        <v>0</v>
      </c>
      <c r="AA1159" s="207"/>
      <c r="AB1159" s="206">
        <f t="shared" si="10068"/>
        <v>0</v>
      </c>
      <c r="AC1159" s="207"/>
      <c r="AD1159" s="206">
        <f t="shared" si="10103"/>
        <v>0</v>
      </c>
      <c r="AE1159" s="207"/>
      <c r="AF1159" s="206">
        <f t="shared" ref="AF1159" si="10122">L1159*AE1159/1000</f>
        <v>0</v>
      </c>
      <c r="AG1159" s="189">
        <f t="shared" si="10105"/>
        <v>0</v>
      </c>
      <c r="AH1159" s="97">
        <f t="shared" si="10106"/>
        <v>0</v>
      </c>
      <c r="AI1159" s="97">
        <f t="shared" si="10107"/>
        <v>0</v>
      </c>
      <c r="AJ1159" s="177">
        <f t="shared" si="10108"/>
        <v>0</v>
      </c>
      <c r="AK1159" s="207"/>
      <c r="AL1159" s="177">
        <f t="shared" si="10109"/>
        <v>0</v>
      </c>
      <c r="AM1159" s="245"/>
      <c r="AN1159" s="177">
        <f t="shared" si="10110"/>
        <v>0</v>
      </c>
      <c r="AO1159" s="207"/>
      <c r="AP1159" s="97">
        <f t="shared" ref="AP1159" si="10123">N1159*AO1159/1000</f>
        <v>0</v>
      </c>
      <c r="AQ1159" s="189">
        <f t="shared" si="10112"/>
        <v>0</v>
      </c>
      <c r="AR1159" s="97">
        <f t="shared" si="10113"/>
        <v>0</v>
      </c>
      <c r="AS1159" s="97"/>
      <c r="AT1159" s="177">
        <f t="shared" ref="AT1159" si="10124">P1159*AS1159/1000</f>
        <v>0</v>
      </c>
      <c r="AU1159" s="207"/>
      <c r="AV1159" s="177">
        <f t="shared" ref="AV1159" si="10125">P1159*AU1159/1000</f>
        <v>0</v>
      </c>
      <c r="AW1159" s="207"/>
      <c r="AX1159" s="206">
        <f t="shared" si="10115"/>
        <v>0</v>
      </c>
      <c r="AY1159" s="189">
        <f t="shared" si="10116"/>
        <v>0</v>
      </c>
      <c r="AZ1159" s="97">
        <f t="shared" si="10117"/>
        <v>0</v>
      </c>
      <c r="BA1159" s="97">
        <f t="shared" si="10118"/>
        <v>0</v>
      </c>
      <c r="BB1159" s="97">
        <f t="shared" si="10119"/>
        <v>0</v>
      </c>
    </row>
    <row r="1160" spans="1:54">
      <c r="A1160" s="498">
        <v>816</v>
      </c>
      <c r="B1160" s="13"/>
      <c r="C1160" s="24"/>
      <c r="D1160" s="24" t="s">
        <v>1079</v>
      </c>
      <c r="E1160" s="51" t="s">
        <v>1028</v>
      </c>
      <c r="F1160" s="37"/>
      <c r="G1160" s="37" t="s">
        <v>1103</v>
      </c>
      <c r="H1160" s="275"/>
      <c r="I1160" s="58"/>
      <c r="J1160" s="167">
        <v>100000</v>
      </c>
      <c r="K1160" s="58"/>
      <c r="L1160" s="167">
        <v>100000</v>
      </c>
      <c r="M1160" s="58"/>
      <c r="N1160" s="167">
        <v>100000</v>
      </c>
      <c r="O1160" s="145"/>
      <c r="P1160" s="167">
        <v>100000</v>
      </c>
      <c r="Q1160" s="95">
        <f t="shared" si="10063"/>
        <v>0</v>
      </c>
      <c r="R1160" s="343">
        <f t="shared" si="10064"/>
        <v>0</v>
      </c>
      <c r="S1160" s="95"/>
      <c r="T1160" s="95">
        <f>J1160*S1160/1000</f>
        <v>0</v>
      </c>
      <c r="U1160" s="95"/>
      <c r="V1160" s="95">
        <f t="shared" ref="V1160" si="10126">J1160*U1160/1000</f>
        <v>0</v>
      </c>
      <c r="W1160" s="214"/>
      <c r="X1160" s="95">
        <f t="shared" ref="X1160" si="10127">J1160*W1160/1000</f>
        <v>0</v>
      </c>
      <c r="Y1160" s="193">
        <f t="shared" si="10066"/>
        <v>0</v>
      </c>
      <c r="Z1160" s="181">
        <f>SUM(T1160+V1160+X1160)</f>
        <v>0</v>
      </c>
      <c r="AA1160" s="214"/>
      <c r="AB1160" s="215">
        <f t="shared" si="10068"/>
        <v>0</v>
      </c>
      <c r="AC1160" s="214"/>
      <c r="AD1160" s="215">
        <f t="shared" ref="AD1160" si="10128">L1160*AC1160/1000</f>
        <v>0</v>
      </c>
      <c r="AE1160" s="214"/>
      <c r="AF1160" s="215">
        <f t="shared" si="10104"/>
        <v>0</v>
      </c>
      <c r="AG1160" s="193">
        <f t="shared" ref="AG1160" si="10129">SUM(AA1160+AC1160+AE1160)</f>
        <v>0</v>
      </c>
      <c r="AH1160" s="95">
        <f>SUM(AB1160+AD1160+AF1160)</f>
        <v>0</v>
      </c>
      <c r="AI1160" s="95">
        <f t="shared" ref="AI1160" si="10130">SUM(Y1160+AG1160)</f>
        <v>0</v>
      </c>
      <c r="AJ1160" s="181">
        <f t="shared" si="10070"/>
        <v>0</v>
      </c>
      <c r="AK1160" s="214"/>
      <c r="AL1160" s="181">
        <f t="shared" ref="AL1160" si="10131">N1160*AK1160/1000</f>
        <v>0</v>
      </c>
      <c r="AM1160" s="249"/>
      <c r="AN1160" s="181">
        <f t="shared" ref="AN1160" si="10132">N1160*AM1160/1000</f>
        <v>0</v>
      </c>
      <c r="AO1160" s="214"/>
      <c r="AP1160" s="95">
        <f t="shared" si="10111"/>
        <v>0</v>
      </c>
      <c r="AQ1160" s="193">
        <f t="shared" ref="AQ1160" si="10133">SUM(AK1160+AM1160+AO1160)</f>
        <v>0</v>
      </c>
      <c r="AR1160" s="95">
        <f>SUM(AL1160+AN1160+AP1160)</f>
        <v>0</v>
      </c>
      <c r="AS1160" s="95"/>
      <c r="AT1160" s="181">
        <f t="shared" si="10114"/>
        <v>0</v>
      </c>
      <c r="AU1160" s="214"/>
      <c r="AV1160" s="181">
        <f t="shared" ref="AV1160" si="10134">P1160*AU1160/1000</f>
        <v>0</v>
      </c>
      <c r="AW1160" s="214"/>
      <c r="AX1160" s="215">
        <f>P1160*AW1160/1000</f>
        <v>0</v>
      </c>
      <c r="AY1160" s="193">
        <f t="shared" ref="AY1160" si="10135">SUM(AS1160+AU1160+AW1160)</f>
        <v>0</v>
      </c>
      <c r="AZ1160" s="95">
        <f>SUM(AT1160+AV1160+AX1160)</f>
        <v>0</v>
      </c>
      <c r="BA1160" s="95">
        <f t="shared" ref="BA1160" si="10136">SUM(AQ1160+AY1160)</f>
        <v>0</v>
      </c>
      <c r="BB1160" s="95">
        <f t="shared" si="10073"/>
        <v>0</v>
      </c>
    </row>
    <row r="1161" spans="1:54">
      <c r="A1161" s="498">
        <v>817</v>
      </c>
      <c r="B1161" s="201" t="s">
        <v>156</v>
      </c>
      <c r="C1161" s="370"/>
      <c r="D1161" s="370"/>
      <c r="E1161" s="60"/>
      <c r="F1161" s="60"/>
      <c r="G1161" s="60"/>
      <c r="H1161" s="282"/>
      <c r="I1161" s="82"/>
      <c r="J1161" s="109"/>
      <c r="K1161" s="82"/>
      <c r="L1161" s="68"/>
      <c r="M1161" s="82"/>
      <c r="N1161" s="68"/>
      <c r="O1161" s="157"/>
      <c r="P1161" s="136"/>
      <c r="Q1161" s="127">
        <f t="shared" ref="Q1161:BB1161" si="10137">SUM(Q1155:Q1160)</f>
        <v>8.0000000000000002E-3</v>
      </c>
      <c r="R1161" s="127">
        <f t="shared" si="10137"/>
        <v>0.48</v>
      </c>
      <c r="S1161" s="127">
        <f t="shared" si="10137"/>
        <v>0</v>
      </c>
      <c r="T1161" s="127">
        <f t="shared" si="10137"/>
        <v>0</v>
      </c>
      <c r="U1161" s="127">
        <f t="shared" si="10137"/>
        <v>0</v>
      </c>
      <c r="V1161" s="127">
        <f t="shared" si="10137"/>
        <v>0</v>
      </c>
      <c r="W1161" s="127">
        <f t="shared" si="10137"/>
        <v>0</v>
      </c>
      <c r="X1161" s="127">
        <f t="shared" si="10137"/>
        <v>0</v>
      </c>
      <c r="Y1161" s="127">
        <f t="shared" si="10137"/>
        <v>0</v>
      </c>
      <c r="Z1161" s="127">
        <f t="shared" si="10137"/>
        <v>0</v>
      </c>
      <c r="AA1161" s="127">
        <f t="shared" si="10137"/>
        <v>0</v>
      </c>
      <c r="AB1161" s="127">
        <f t="shared" si="10137"/>
        <v>0</v>
      </c>
      <c r="AC1161" s="127">
        <f t="shared" si="10137"/>
        <v>1E-3</v>
      </c>
      <c r="AD1161" s="127">
        <f t="shared" si="10137"/>
        <v>0.13</v>
      </c>
      <c r="AE1161" s="127">
        <f t="shared" si="10137"/>
        <v>0</v>
      </c>
      <c r="AF1161" s="127">
        <f t="shared" si="10137"/>
        <v>0</v>
      </c>
      <c r="AG1161" s="127">
        <f t="shared" si="10137"/>
        <v>1E-3</v>
      </c>
      <c r="AH1161" s="127">
        <f t="shared" si="10137"/>
        <v>0.13</v>
      </c>
      <c r="AI1161" s="127">
        <f t="shared" si="10137"/>
        <v>1E-3</v>
      </c>
      <c r="AJ1161" s="127">
        <f t="shared" si="10137"/>
        <v>0.13</v>
      </c>
      <c r="AK1161" s="127">
        <f t="shared" si="10137"/>
        <v>0</v>
      </c>
      <c r="AL1161" s="127">
        <f t="shared" si="10137"/>
        <v>0</v>
      </c>
      <c r="AM1161" s="127">
        <f t="shared" si="10137"/>
        <v>0</v>
      </c>
      <c r="AN1161" s="127">
        <f t="shared" si="10137"/>
        <v>0</v>
      </c>
      <c r="AO1161" s="127">
        <f t="shared" si="10137"/>
        <v>0</v>
      </c>
      <c r="AP1161" s="127">
        <f t="shared" si="10137"/>
        <v>0</v>
      </c>
      <c r="AQ1161" s="127">
        <f t="shared" si="10137"/>
        <v>0</v>
      </c>
      <c r="AR1161" s="127">
        <f t="shared" si="10137"/>
        <v>0</v>
      </c>
      <c r="AS1161" s="127">
        <f t="shared" si="10137"/>
        <v>0</v>
      </c>
      <c r="AT1161" s="127">
        <f t="shared" si="10137"/>
        <v>0</v>
      </c>
      <c r="AU1161" s="127">
        <f t="shared" si="10137"/>
        <v>7.0000000000000001E-3</v>
      </c>
      <c r="AV1161" s="127">
        <f t="shared" si="10137"/>
        <v>0.35</v>
      </c>
      <c r="AW1161" s="127">
        <f t="shared" si="10137"/>
        <v>0</v>
      </c>
      <c r="AX1161" s="127">
        <f t="shared" si="10137"/>
        <v>0</v>
      </c>
      <c r="AY1161" s="127">
        <f t="shared" si="10137"/>
        <v>7.0000000000000001E-3</v>
      </c>
      <c r="AZ1161" s="127">
        <f t="shared" si="10137"/>
        <v>0.35</v>
      </c>
      <c r="BA1161" s="127">
        <f t="shared" si="10137"/>
        <v>7.0000000000000001E-3</v>
      </c>
      <c r="BB1161" s="127">
        <f t="shared" si="10137"/>
        <v>0.35</v>
      </c>
    </row>
    <row r="1162" spans="1:54">
      <c r="A1162" s="498">
        <v>301</v>
      </c>
      <c r="B1162" s="13" t="s">
        <v>1826</v>
      </c>
      <c r="C1162" s="13" t="s">
        <v>1827</v>
      </c>
      <c r="D1162" s="13"/>
      <c r="E1162" s="21" t="s">
        <v>1828</v>
      </c>
      <c r="F1162" s="255"/>
      <c r="G1162" s="23"/>
      <c r="H1162" s="268" t="s">
        <v>365</v>
      </c>
      <c r="I1162" s="55"/>
      <c r="J1162" s="102"/>
      <c r="K1162" s="55"/>
      <c r="L1162" s="102"/>
      <c r="M1162" s="55"/>
      <c r="N1162" s="164">
        <v>1688</v>
      </c>
      <c r="O1162" s="143"/>
      <c r="P1162" s="164">
        <v>1688</v>
      </c>
      <c r="Q1162" s="97">
        <f>SUM(AI1162+BA1162)</f>
        <v>313</v>
      </c>
      <c r="R1162" s="342">
        <f>SUM(AJ1162+BB1162)</f>
        <v>528.34400000000005</v>
      </c>
      <c r="S1162" s="97"/>
      <c r="T1162" s="97">
        <f>J1162*S1162/1000</f>
        <v>0</v>
      </c>
      <c r="U1162" s="97"/>
      <c r="V1162" s="177">
        <f>J1162*U1162/1000</f>
        <v>0</v>
      </c>
      <c r="W1162" s="207"/>
      <c r="X1162" s="206">
        <f>J1162*W1162/1000</f>
        <v>0</v>
      </c>
      <c r="Y1162" s="189">
        <f>SUM(S1162+U1162+W1162)</f>
        <v>0</v>
      </c>
      <c r="Z1162" s="177">
        <f t="shared" ref="Z1162:Z1164" si="10138">SUM(T1162+V1162+X1162)</f>
        <v>0</v>
      </c>
      <c r="AA1162" s="207"/>
      <c r="AB1162" s="206">
        <f>L1162*AA1162/1000</f>
        <v>0</v>
      </c>
      <c r="AC1162" s="207"/>
      <c r="AD1162" s="177">
        <f>L1162*AC1162/1000</f>
        <v>0</v>
      </c>
      <c r="AE1162" s="207"/>
      <c r="AF1162" s="221">
        <f t="shared" ref="AF1162" si="10139">L1162*AE1162/1000</f>
        <v>0</v>
      </c>
      <c r="AG1162" s="189">
        <f>SUM(AA1162+AC1162+AE1162)</f>
        <v>0</v>
      </c>
      <c r="AH1162" s="97">
        <f t="shared" ref="AH1162:AH1164" si="10140">SUM(AB1162+AD1162+AF1162)</f>
        <v>0</v>
      </c>
      <c r="AI1162" s="97">
        <f>SUM(Y1162+AG1162)</f>
        <v>0</v>
      </c>
      <c r="AJ1162" s="177">
        <f>SUM(Z1162,AH1162)</f>
        <v>0</v>
      </c>
      <c r="AK1162" s="207"/>
      <c r="AL1162" s="177">
        <f>N1162*AK1162/1000</f>
        <v>0</v>
      </c>
      <c r="AM1162" s="245">
        <v>50</v>
      </c>
      <c r="AN1162" s="177">
        <f>N1162*AM1162/1000</f>
        <v>84.4</v>
      </c>
      <c r="AO1162" s="207">
        <v>51</v>
      </c>
      <c r="AP1162" s="206">
        <f>N1162*AO1162/1000</f>
        <v>86.087999999999994</v>
      </c>
      <c r="AQ1162" s="189">
        <f>SUM(AK1162+AM1162+AO1162)</f>
        <v>101</v>
      </c>
      <c r="AR1162" s="97">
        <f t="shared" ref="AR1162:AR1164" si="10141">SUM(AL1162+AN1162+AP1162)</f>
        <v>170.488</v>
      </c>
      <c r="AS1162" s="97">
        <v>100</v>
      </c>
      <c r="AT1162" s="177">
        <f t="shared" ref="AT1162:AT1164" si="10142">P1162*AS1162/1000</f>
        <v>168.8</v>
      </c>
      <c r="AU1162" s="207">
        <v>112</v>
      </c>
      <c r="AV1162" s="177">
        <f>P1162*AU1162/1000</f>
        <v>189.05600000000001</v>
      </c>
      <c r="AW1162" s="207"/>
      <c r="AX1162" s="206">
        <f>P1162*AW1162/1000</f>
        <v>0</v>
      </c>
      <c r="AY1162" s="189">
        <f>SUM(AS1162+AU1162+AW1162)</f>
        <v>212</v>
      </c>
      <c r="AZ1162" s="97">
        <f t="shared" ref="AZ1162:AZ1164" si="10143">SUM(AT1162+AV1162+AX1162)</f>
        <v>357.85599999999999</v>
      </c>
      <c r="BA1162" s="97">
        <f>SUM(AQ1162+AY1162)</f>
        <v>313</v>
      </c>
      <c r="BB1162" s="97">
        <f>SUM(AR1162,AZ1162)</f>
        <v>528.34400000000005</v>
      </c>
    </row>
    <row r="1163" spans="1:54">
      <c r="A1163" s="498">
        <v>302</v>
      </c>
      <c r="B1163" s="13"/>
      <c r="C1163" s="13"/>
      <c r="D1163" s="13"/>
      <c r="E1163" s="93" t="s">
        <v>1829</v>
      </c>
      <c r="F1163" s="94"/>
      <c r="G1163" s="94"/>
      <c r="H1163" s="278" t="s">
        <v>365</v>
      </c>
      <c r="I1163" s="79"/>
      <c r="J1163" s="113"/>
      <c r="K1163" s="79"/>
      <c r="L1163" s="113"/>
      <c r="M1163" s="79"/>
      <c r="N1163" s="169">
        <v>6175</v>
      </c>
      <c r="O1163" s="156"/>
      <c r="P1163" s="169">
        <v>6175</v>
      </c>
      <c r="Q1163" s="132">
        <f t="shared" ref="Q1163" si="10144">SUM(AI1163+BA1163)</f>
        <v>107.92699999999999</v>
      </c>
      <c r="R1163" s="351">
        <f t="shared" ref="R1163" si="10145">SUM(AJ1163+BB1163)</f>
        <v>666.44922500000007</v>
      </c>
      <c r="S1163" s="132"/>
      <c r="T1163" s="132">
        <f>J1163*S1163/1000</f>
        <v>0</v>
      </c>
      <c r="U1163" s="132"/>
      <c r="V1163" s="186">
        <f>J1163*U1163/1000</f>
        <v>0</v>
      </c>
      <c r="W1163" s="226"/>
      <c r="X1163" s="227">
        <f>L1163*W1163/1000</f>
        <v>0</v>
      </c>
      <c r="Y1163" s="199">
        <f t="shared" ref="Y1163" si="10146">SUM(S1163+U1163+W1163)</f>
        <v>0</v>
      </c>
      <c r="Z1163" s="186">
        <f t="shared" ref="Z1163" si="10147">SUM(T1163+V1163+X1163)</f>
        <v>0</v>
      </c>
      <c r="AA1163" s="226"/>
      <c r="AB1163" s="227">
        <f>L1163*AA1163/1000</f>
        <v>0</v>
      </c>
      <c r="AC1163" s="226"/>
      <c r="AD1163" s="186">
        <f>L1163*AC1163/1000</f>
        <v>0</v>
      </c>
      <c r="AE1163" s="226"/>
      <c r="AF1163" s="227">
        <f>L1163*AE1163/1000</f>
        <v>0</v>
      </c>
      <c r="AG1163" s="199">
        <f t="shared" ref="AG1163" si="10148">SUM(AA1163+AC1163+AE1163)</f>
        <v>0</v>
      </c>
      <c r="AH1163" s="132">
        <f t="shared" ref="AH1163" si="10149">SUM(AB1163+AD1163+AF1163)</f>
        <v>0</v>
      </c>
      <c r="AI1163" s="132">
        <f t="shared" ref="AI1163" si="10150">SUM(Y1163+AG1163)</f>
        <v>0</v>
      </c>
      <c r="AJ1163" s="186">
        <f>SUM(Z1163,AH1163)</f>
        <v>0</v>
      </c>
      <c r="AK1163" s="226"/>
      <c r="AL1163" s="186">
        <f>N1163*AK1163/1000</f>
        <v>0</v>
      </c>
      <c r="AM1163" s="250"/>
      <c r="AN1163" s="186">
        <f>N1163*AM1163/1000</f>
        <v>0</v>
      </c>
      <c r="AO1163" s="226">
        <v>22.5</v>
      </c>
      <c r="AP1163" s="227">
        <f t="shared" ref="AP1163" si="10151">N1163*AO1163/1000</f>
        <v>138.9375</v>
      </c>
      <c r="AQ1163" s="199">
        <f t="shared" ref="AQ1163" si="10152">SUM(AK1163+AM1163+AO1163)</f>
        <v>22.5</v>
      </c>
      <c r="AR1163" s="132">
        <f t="shared" ref="AR1163" si="10153">SUM(AL1163+AN1163+AP1163)</f>
        <v>138.9375</v>
      </c>
      <c r="AS1163" s="132">
        <v>49.427</v>
      </c>
      <c r="AT1163" s="186">
        <f t="shared" ref="AT1163" si="10154">P1163*AS1163/1000</f>
        <v>305.211725</v>
      </c>
      <c r="AU1163" s="226">
        <v>36</v>
      </c>
      <c r="AV1163" s="186">
        <f>P1163*AU1163/1000</f>
        <v>222.3</v>
      </c>
      <c r="AW1163" s="226"/>
      <c r="AX1163" s="227">
        <f t="shared" ref="AX1163" si="10155">P1163*AW1163/1000</f>
        <v>0</v>
      </c>
      <c r="AY1163" s="199">
        <f t="shared" ref="AY1163" si="10156">SUM(AS1163+AU1163+AW1163)</f>
        <v>85.426999999999992</v>
      </c>
      <c r="AZ1163" s="132">
        <f t="shared" ref="AZ1163" si="10157">SUM(AT1163+AV1163+AX1163)</f>
        <v>527.51172500000007</v>
      </c>
      <c r="BA1163" s="132">
        <f t="shared" ref="BA1163" si="10158">SUM(AQ1163+AY1163)</f>
        <v>107.92699999999999</v>
      </c>
      <c r="BB1163" s="132">
        <f>SUM(AR1163,AZ1163)</f>
        <v>666.44922500000007</v>
      </c>
    </row>
    <row r="1164" spans="1:54">
      <c r="A1164" s="498">
        <v>302</v>
      </c>
      <c r="B1164" s="13"/>
      <c r="C1164" s="13"/>
      <c r="D1164" s="13"/>
      <c r="E1164" s="93" t="s">
        <v>1830</v>
      </c>
      <c r="F1164" s="94"/>
      <c r="G1164" s="94"/>
      <c r="H1164" s="278" t="s">
        <v>365</v>
      </c>
      <c r="I1164" s="79"/>
      <c r="J1164" s="113"/>
      <c r="K1164" s="79"/>
      <c r="L1164" s="113"/>
      <c r="M1164" s="79"/>
      <c r="N1164" s="169">
        <v>5718</v>
      </c>
      <c r="O1164" s="156"/>
      <c r="P1164" s="169">
        <v>5718</v>
      </c>
      <c r="Q1164" s="132">
        <f t="shared" ref="Q1164" si="10159">SUM(AI1164+BA1164)</f>
        <v>1</v>
      </c>
      <c r="R1164" s="351">
        <f t="shared" ref="R1164" si="10160">SUM(AJ1164+BB1164)</f>
        <v>5.718</v>
      </c>
      <c r="S1164" s="132"/>
      <c r="T1164" s="132">
        <f>J1164*S1164/1000</f>
        <v>0</v>
      </c>
      <c r="U1164" s="132"/>
      <c r="V1164" s="186">
        <f>J1164*U1164/1000</f>
        <v>0</v>
      </c>
      <c r="W1164" s="226"/>
      <c r="X1164" s="227">
        <f>L1164*W1164/1000</f>
        <v>0</v>
      </c>
      <c r="Y1164" s="199">
        <f t="shared" ref="Y1164" si="10161">SUM(S1164+U1164+W1164)</f>
        <v>0</v>
      </c>
      <c r="Z1164" s="186">
        <f t="shared" si="10138"/>
        <v>0</v>
      </c>
      <c r="AA1164" s="226"/>
      <c r="AB1164" s="227">
        <f>L1164*AA1164/1000</f>
        <v>0</v>
      </c>
      <c r="AC1164" s="226"/>
      <c r="AD1164" s="186">
        <f>L1164*AC1164/1000</f>
        <v>0</v>
      </c>
      <c r="AE1164" s="226"/>
      <c r="AF1164" s="227">
        <f>L1164*AE1164/1000</f>
        <v>0</v>
      </c>
      <c r="AG1164" s="199">
        <f t="shared" ref="AG1164" si="10162">SUM(AA1164+AC1164+AE1164)</f>
        <v>0</v>
      </c>
      <c r="AH1164" s="132">
        <f t="shared" si="10140"/>
        <v>0</v>
      </c>
      <c r="AI1164" s="132">
        <f t="shared" ref="AI1164" si="10163">SUM(Y1164+AG1164)</f>
        <v>0</v>
      </c>
      <c r="AJ1164" s="186">
        <f>SUM(Z1164,AH1164)</f>
        <v>0</v>
      </c>
      <c r="AK1164" s="226"/>
      <c r="AL1164" s="186">
        <f>N1164*AK1164/1000</f>
        <v>0</v>
      </c>
      <c r="AM1164" s="250"/>
      <c r="AN1164" s="186">
        <f>N1164*AM1164/1000</f>
        <v>0</v>
      </c>
      <c r="AO1164" s="226">
        <v>1</v>
      </c>
      <c r="AP1164" s="227">
        <f t="shared" ref="AP1164" si="10164">N1164*AO1164/1000</f>
        <v>5.718</v>
      </c>
      <c r="AQ1164" s="199">
        <f t="shared" ref="AQ1164" si="10165">SUM(AK1164+AM1164+AO1164)</f>
        <v>1</v>
      </c>
      <c r="AR1164" s="132">
        <f t="shared" si="10141"/>
        <v>5.718</v>
      </c>
      <c r="AS1164" s="132"/>
      <c r="AT1164" s="186">
        <f t="shared" si="10142"/>
        <v>0</v>
      </c>
      <c r="AU1164" s="226"/>
      <c r="AV1164" s="186">
        <f>P1164*AU1164/1000</f>
        <v>0</v>
      </c>
      <c r="AW1164" s="226"/>
      <c r="AX1164" s="227">
        <f t="shared" ref="AX1164" si="10166">P1164*AW1164/1000</f>
        <v>0</v>
      </c>
      <c r="AY1164" s="199">
        <f t="shared" ref="AY1164" si="10167">SUM(AS1164+AU1164+AW1164)</f>
        <v>0</v>
      </c>
      <c r="AZ1164" s="132">
        <f t="shared" si="10143"/>
        <v>0</v>
      </c>
      <c r="BA1164" s="132">
        <f t="shared" ref="BA1164" si="10168">SUM(AQ1164+AY1164)</f>
        <v>1</v>
      </c>
      <c r="BB1164" s="132">
        <f>SUM(AR1164,AZ1164)</f>
        <v>5.718</v>
      </c>
    </row>
    <row r="1165" spans="1:54">
      <c r="A1165" s="498">
        <v>303</v>
      </c>
      <c r="B1165" s="59" t="s">
        <v>156</v>
      </c>
      <c r="C1165" s="60"/>
      <c r="D1165" s="60"/>
      <c r="E1165" s="60"/>
      <c r="F1165" s="60"/>
      <c r="G1165" s="60"/>
      <c r="H1165" s="282"/>
      <c r="I1165" s="78"/>
      <c r="J1165" s="104"/>
      <c r="K1165" s="78"/>
      <c r="L1165" s="61"/>
      <c r="M1165" s="78"/>
      <c r="N1165" s="61"/>
      <c r="O1165" s="155"/>
      <c r="P1165" s="104"/>
      <c r="Q1165" s="127">
        <f>SUM(Q1162:Q1164)</f>
        <v>421.92700000000002</v>
      </c>
      <c r="R1165" s="127">
        <f t="shared" ref="R1165" si="10169">SUM(R1162:R1164)</f>
        <v>1200.5112250000002</v>
      </c>
      <c r="S1165" s="127">
        <f>SUM(S1162:S1164)</f>
        <v>0</v>
      </c>
      <c r="T1165" s="127">
        <f t="shared" ref="T1165:W1165" si="10170">SUM(T1162:T1164)</f>
        <v>0</v>
      </c>
      <c r="U1165" s="127">
        <f t="shared" si="10170"/>
        <v>0</v>
      </c>
      <c r="V1165" s="127">
        <f t="shared" si="10170"/>
        <v>0</v>
      </c>
      <c r="W1165" s="127">
        <f t="shared" si="10170"/>
        <v>0</v>
      </c>
      <c r="X1165" s="127">
        <f>SUM(X1162:X1164)</f>
        <v>0</v>
      </c>
      <c r="Y1165" s="127">
        <f t="shared" ref="Y1165:Z1165" si="10171">SUM(Y1162:Y1164)</f>
        <v>0</v>
      </c>
      <c r="Z1165" s="127">
        <f t="shared" si="10171"/>
        <v>0</v>
      </c>
      <c r="AA1165" s="127">
        <f>SUM(AA1162:AA1164)</f>
        <v>0</v>
      </c>
      <c r="AB1165" s="127">
        <f t="shared" ref="AB1165:AZ1165" si="10172">SUM(AB1162:AB1164)</f>
        <v>0</v>
      </c>
      <c r="AC1165" s="127">
        <f t="shared" si="10172"/>
        <v>0</v>
      </c>
      <c r="AD1165" s="127">
        <f t="shared" si="10172"/>
        <v>0</v>
      </c>
      <c r="AE1165" s="127">
        <f t="shared" si="10172"/>
        <v>0</v>
      </c>
      <c r="AF1165" s="127">
        <f t="shared" si="10172"/>
        <v>0</v>
      </c>
      <c r="AG1165" s="127">
        <f t="shared" si="10172"/>
        <v>0</v>
      </c>
      <c r="AH1165" s="127">
        <f t="shared" si="10172"/>
        <v>0</v>
      </c>
      <c r="AI1165" s="127">
        <f t="shared" si="10172"/>
        <v>0</v>
      </c>
      <c r="AJ1165" s="127">
        <f t="shared" si="10172"/>
        <v>0</v>
      </c>
      <c r="AK1165" s="127">
        <f t="shared" si="10172"/>
        <v>0</v>
      </c>
      <c r="AL1165" s="127">
        <f t="shared" si="10172"/>
        <v>0</v>
      </c>
      <c r="AM1165" s="127">
        <f t="shared" si="10172"/>
        <v>50</v>
      </c>
      <c r="AN1165" s="127">
        <f t="shared" si="10172"/>
        <v>84.4</v>
      </c>
      <c r="AO1165" s="127">
        <f t="shared" si="10172"/>
        <v>74.5</v>
      </c>
      <c r="AP1165" s="127">
        <f t="shared" si="10172"/>
        <v>230.74349999999998</v>
      </c>
      <c r="AQ1165" s="127">
        <f t="shared" si="10172"/>
        <v>124.5</v>
      </c>
      <c r="AR1165" s="127">
        <f t="shared" si="10172"/>
        <v>315.14350000000002</v>
      </c>
      <c r="AS1165" s="127">
        <f t="shared" si="10172"/>
        <v>149.42699999999999</v>
      </c>
      <c r="AT1165" s="127">
        <f t="shared" si="10172"/>
        <v>474.01172500000001</v>
      </c>
      <c r="AU1165" s="127">
        <f t="shared" si="10172"/>
        <v>148</v>
      </c>
      <c r="AV1165" s="127">
        <f t="shared" si="10172"/>
        <v>411.35599999999999</v>
      </c>
      <c r="AW1165" s="127">
        <f t="shared" si="10172"/>
        <v>0</v>
      </c>
      <c r="AX1165" s="127">
        <f t="shared" si="10172"/>
        <v>0</v>
      </c>
      <c r="AY1165" s="127">
        <f t="shared" si="10172"/>
        <v>297.42700000000002</v>
      </c>
      <c r="AZ1165" s="127">
        <f t="shared" si="10172"/>
        <v>885.36772500000006</v>
      </c>
      <c r="BA1165" s="127">
        <f>SUM(BA1162:BA1164)</f>
        <v>421.92700000000002</v>
      </c>
      <c r="BB1165" s="127">
        <f t="shared" ref="BB1165" si="10173">SUM(BB1162:BB1164)</f>
        <v>1200.5112250000002</v>
      </c>
    </row>
    <row r="1166" spans="1:54">
      <c r="A1166" s="498">
        <v>818</v>
      </c>
      <c r="B1166" s="83" t="s">
        <v>292</v>
      </c>
      <c r="C1166" s="24"/>
      <c r="D1166" s="24"/>
      <c r="E1166" s="24"/>
      <c r="F1166" s="84"/>
      <c r="G1166" s="84"/>
      <c r="H1166" s="285"/>
      <c r="I1166" s="80"/>
      <c r="J1166" s="172"/>
      <c r="K1166" s="80"/>
      <c r="L1166" s="172"/>
      <c r="M1166" s="80"/>
      <c r="N1166" s="172"/>
      <c r="O1166" s="57"/>
      <c r="P1166" s="173"/>
      <c r="Q1166" s="134">
        <f>SUM(S1166+U1166+W1166+AA1166+AC1166+AE1166+AK1166+AM1166+AO1166+AS1166+AU1166+AW1166)</f>
        <v>0.06</v>
      </c>
      <c r="R1166" s="353">
        <f>SUM(T1166+V1166+X1166+AB1166+AD1166+AF1166+AL1166+AN1166+AP1166+AT1166+AV1166+AX1166)</f>
        <v>582.986131</v>
      </c>
      <c r="S1166" s="134"/>
      <c r="T1166" s="134">
        <f>53.663381+10.73705</f>
        <v>64.400430999999998</v>
      </c>
      <c r="U1166" s="134"/>
      <c r="V1166" s="187">
        <f>14.730234+0.58512+0.3668+25.733304</f>
        <v>41.415458000000001</v>
      </c>
      <c r="W1166" s="229"/>
      <c r="X1166" s="230">
        <v>11.491338000000001</v>
      </c>
      <c r="Y1166" s="200">
        <f>SUM(S1166+U1166+W1166)</f>
        <v>0</v>
      </c>
      <c r="Z1166" s="187">
        <f>T1166+V1166+X1166</f>
        <v>117.307227</v>
      </c>
      <c r="AA1166" s="229"/>
      <c r="AB1166" s="230">
        <f>26.049812+59.998677</f>
        <v>86.048489000000004</v>
      </c>
      <c r="AC1166" s="229"/>
      <c r="AD1166" s="235">
        <f>171.78634+24.614236</f>
        <v>196.400576</v>
      </c>
      <c r="AE1166" s="229"/>
      <c r="AF1166" s="230">
        <f>-37.647+26.113978+7.915926</f>
        <v>-3.6170959999999992</v>
      </c>
      <c r="AG1166" s="200">
        <f>SUM(AA1166+AC1166+AE1166)</f>
        <v>0</v>
      </c>
      <c r="AH1166" s="187">
        <f>AB1166+AD1166+AF1166</f>
        <v>278.83196900000002</v>
      </c>
      <c r="AI1166" s="134">
        <f>SUM(Y1166+AG1166)</f>
        <v>0</v>
      </c>
      <c r="AJ1166" s="134">
        <f>SUM(Z1166+AH1166)</f>
        <v>396.13919600000003</v>
      </c>
      <c r="AK1166" s="229"/>
      <c r="AL1166" s="235">
        <f>10.015678+23.685055</f>
        <v>33.700733</v>
      </c>
      <c r="AM1166" s="254">
        <v>0.06</v>
      </c>
      <c r="AN1166" s="185">
        <f>0.616458+7.904365</f>
        <v>8.520823</v>
      </c>
      <c r="AO1166" s="229"/>
      <c r="AP1166" s="230">
        <v>16.970372000000001</v>
      </c>
      <c r="AQ1166" s="134">
        <f>AK1166+AM1166+AO1166</f>
        <v>0.06</v>
      </c>
      <c r="AR1166" s="134">
        <f>AL1166+AN1166+AP1166</f>
        <v>59.191928000000004</v>
      </c>
      <c r="AS1166" s="134"/>
      <c r="AT1166" s="187">
        <v>27.464741</v>
      </c>
      <c r="AU1166" s="229"/>
      <c r="AV1166" s="235">
        <v>41.727088000000002</v>
      </c>
      <c r="AW1166" s="229"/>
      <c r="AX1166" s="230">
        <v>58.463177999999999</v>
      </c>
      <c r="AY1166" s="134">
        <f>AS1166+AU1166+AW1166</f>
        <v>0</v>
      </c>
      <c r="AZ1166" s="134">
        <f>AT1166+AV1166+AX1166</f>
        <v>127.655007</v>
      </c>
      <c r="BA1166" s="134">
        <f>SUM(AQ1166+AY1166)</f>
        <v>0.06</v>
      </c>
      <c r="BB1166" s="134">
        <f>SUM(AR1166+AZ1166)</f>
        <v>186.846935</v>
      </c>
    </row>
    <row r="1167" spans="1:54">
      <c r="B1167" s="478"/>
      <c r="C1167" s="478"/>
      <c r="D1167" s="478"/>
      <c r="E1167" s="478"/>
      <c r="F1167" s="479"/>
      <c r="G1167" s="479"/>
      <c r="H1167" s="480"/>
      <c r="I1167" s="476"/>
      <c r="J1167" s="477"/>
      <c r="K1167" s="476"/>
      <c r="L1167" s="477"/>
      <c r="M1167" s="476"/>
      <c r="N1167" s="477"/>
      <c r="O1167" s="476"/>
      <c r="P1167" s="477"/>
      <c r="Q1167" s="481"/>
      <c r="R1167" s="482"/>
      <c r="S1167" s="481"/>
      <c r="T1167" s="481"/>
      <c r="U1167" s="481"/>
      <c r="V1167" s="481"/>
      <c r="W1167" s="481"/>
      <c r="X1167" s="481"/>
      <c r="Y1167" s="481"/>
      <c r="Z1167" s="481"/>
      <c r="AA1167" s="481"/>
      <c r="AB1167" s="481"/>
      <c r="AC1167" s="481"/>
      <c r="AD1167" s="481"/>
      <c r="AE1167" s="481"/>
      <c r="AF1167" s="481"/>
      <c r="AG1167" s="481"/>
      <c r="AH1167" s="481"/>
      <c r="AI1167" s="481"/>
      <c r="AJ1167" s="481"/>
      <c r="AK1167" s="481"/>
      <c r="AL1167" s="481"/>
      <c r="AM1167" s="481"/>
      <c r="AN1167" s="481"/>
      <c r="AO1167" s="481"/>
      <c r="AP1167" s="481"/>
      <c r="AQ1167" s="481"/>
      <c r="AR1167" s="481"/>
      <c r="AS1167" s="481"/>
      <c r="AT1167" s="481"/>
      <c r="AU1167" s="481"/>
      <c r="AV1167" s="481"/>
      <c r="AW1167" s="481"/>
      <c r="AX1167" s="481"/>
      <c r="AY1167" s="481"/>
      <c r="AZ1167" s="481"/>
      <c r="BA1167" s="481"/>
      <c r="BB1167" s="481"/>
    </row>
    <row r="1168" spans="1:54">
      <c r="B1168" s="478"/>
      <c r="C1168" s="478"/>
      <c r="D1168" s="478"/>
      <c r="E1168" s="478"/>
      <c r="F1168" s="479"/>
      <c r="G1168" s="479"/>
      <c r="H1168" s="480"/>
      <c r="I1168" s="476"/>
      <c r="J1168" s="477"/>
      <c r="K1168" s="476"/>
      <c r="L1168" s="477"/>
      <c r="M1168" s="476"/>
      <c r="N1168" s="477"/>
      <c r="O1168" s="476"/>
      <c r="P1168" s="477"/>
      <c r="Q1168" s="481"/>
      <c r="R1168" s="482"/>
      <c r="S1168" s="481"/>
      <c r="T1168" s="481"/>
      <c r="U1168" s="481"/>
      <c r="V1168" s="481"/>
      <c r="W1168" s="481"/>
      <c r="X1168" s="481"/>
      <c r="Y1168" s="481"/>
      <c r="Z1168" s="481"/>
      <c r="AA1168" s="481"/>
      <c r="AB1168" s="481"/>
      <c r="AC1168" s="481"/>
      <c r="AD1168" s="481"/>
      <c r="AE1168" s="481"/>
      <c r="AF1168" s="481"/>
      <c r="AG1168" s="481"/>
      <c r="AH1168" s="481"/>
      <c r="AI1168" s="481"/>
      <c r="AJ1168" s="481"/>
      <c r="AK1168" s="481"/>
      <c r="AL1168" s="481"/>
      <c r="AM1168" s="481"/>
      <c r="AN1168" s="481"/>
      <c r="AO1168" s="481"/>
      <c r="AP1168" s="481"/>
      <c r="AQ1168" s="481"/>
      <c r="AR1168" s="481"/>
      <c r="AS1168" s="481"/>
      <c r="AT1168" s="481"/>
      <c r="AU1168" s="481"/>
      <c r="AV1168" s="481"/>
      <c r="AW1168" s="481"/>
      <c r="AX1168" s="481"/>
      <c r="AY1168" s="481"/>
      <c r="AZ1168" s="481"/>
      <c r="BA1168" s="481"/>
      <c r="BB1168" s="481"/>
    </row>
    <row r="1169" spans="1:54">
      <c r="A1169" s="1" t="s">
        <v>1111</v>
      </c>
      <c r="B1169" s="21"/>
      <c r="C1169" s="21"/>
      <c r="D1169" s="21"/>
      <c r="E1169" s="21"/>
      <c r="F1169" s="22"/>
      <c r="G1169" s="22"/>
      <c r="H1169" s="268"/>
      <c r="I1169" s="55">
        <v>11.3</v>
      </c>
      <c r="J1169" s="102"/>
      <c r="K1169" s="55"/>
      <c r="L1169" s="163"/>
      <c r="M1169" s="55"/>
      <c r="N1169" s="163"/>
      <c r="O1169" s="143"/>
      <c r="P1169" s="102"/>
      <c r="Q1169" s="97">
        <f t="shared" ref="Q1169" si="10174">SUM(AI1169+BA1169)</f>
        <v>0</v>
      </c>
      <c r="R1169" s="342">
        <f t="shared" ref="R1169" si="10175">SUM(AJ1169+BB1169)</f>
        <v>0</v>
      </c>
      <c r="S1169" s="97"/>
      <c r="T1169" s="97">
        <f>I1169*S1169*$T$2/1000</f>
        <v>0</v>
      </c>
      <c r="U1169" s="97"/>
      <c r="V1169" s="177">
        <f>I1169*U1169*$V$2/1000</f>
        <v>0</v>
      </c>
      <c r="W1169" s="207"/>
      <c r="X1169" s="206">
        <f>I1169*W1169*$X$2/1000</f>
        <v>0</v>
      </c>
      <c r="Y1169" s="189">
        <f t="shared" ref="Y1169" si="10176">SUM(S1169+U1169+W1169)</f>
        <v>0</v>
      </c>
      <c r="Z1169" s="177">
        <f t="shared" ref="Z1169" si="10177">SUM(T1169+V1169+X1169)</f>
        <v>0</v>
      </c>
      <c r="AA1169" s="207"/>
      <c r="AB1169" s="206">
        <f>K1169*AA1169*$AB$2/1000</f>
        <v>0</v>
      </c>
      <c r="AC1169" s="207"/>
      <c r="AD1169" s="177">
        <f>K1169*AC1169*$AD$2/1000</f>
        <v>0</v>
      </c>
      <c r="AE1169" s="207"/>
      <c r="AF1169" s="206">
        <f t="shared" ref="AF1169" si="10178">K1169*AE1169*$AF$2/1000</f>
        <v>0</v>
      </c>
      <c r="AG1169" s="189">
        <f t="shared" ref="AG1169" si="10179">SUM(AA1169+AC1169+AE1169)</f>
        <v>0</v>
      </c>
      <c r="AH1169" s="97">
        <f t="shared" ref="AH1169" si="10180">SUM(AB1169+AD1169+AF1169)</f>
        <v>0</v>
      </c>
      <c r="AI1169" s="97">
        <f t="shared" ref="AI1169" si="10181">SUM(Y1169+AG1169)</f>
        <v>0</v>
      </c>
      <c r="AJ1169" s="177">
        <f t="shared" ref="AJ1169" si="10182">SUM(Z1169,AH1169)</f>
        <v>0</v>
      </c>
      <c r="AK1169" s="207"/>
      <c r="AL1169" s="177">
        <f t="shared" ref="AL1169" si="10183">M1169*AK1169*$AL$2/1000</f>
        <v>0</v>
      </c>
      <c r="AM1169" s="245"/>
      <c r="AN1169" s="177">
        <f t="shared" ref="AN1169" si="10184">M1169*AM1169*$AN$2/1000</f>
        <v>0</v>
      </c>
      <c r="AO1169" s="207"/>
      <c r="AP1169" s="206">
        <f t="shared" ref="AP1169" si="10185">M1169*AO1169*$AP$2/1000</f>
        <v>0</v>
      </c>
      <c r="AQ1169" s="189">
        <f t="shared" ref="AQ1169" si="10186">SUM(AK1169+AM1169+AO1169)</f>
        <v>0</v>
      </c>
      <c r="AR1169" s="97">
        <f t="shared" ref="AR1169" si="10187">SUM(AL1169+AN1169+AP1169)</f>
        <v>0</v>
      </c>
      <c r="AS1169" s="97"/>
      <c r="AT1169" s="177">
        <f t="shared" ref="AT1169" si="10188">O1169*AS1169*$AT$2/1000</f>
        <v>0</v>
      </c>
      <c r="AU1169" s="207"/>
      <c r="AV1169" s="177">
        <f t="shared" ref="AV1169" si="10189">O1169*AU1169*$AV$2/1000</f>
        <v>0</v>
      </c>
      <c r="AW1169" s="207"/>
      <c r="AX1169" s="206">
        <f t="shared" ref="AX1169" si="10190">O1169*AW1169*$AX$2/1000</f>
        <v>0</v>
      </c>
      <c r="AY1169" s="189">
        <f t="shared" ref="AY1169" si="10191">SUM(AS1169+AU1169+AW1169)</f>
        <v>0</v>
      </c>
      <c r="AZ1169" s="97">
        <f t="shared" ref="AZ1169" si="10192">SUM(AT1169+AV1169+AX1169)</f>
        <v>0</v>
      </c>
      <c r="BA1169" s="97">
        <f t="shared" ref="BA1169" si="10193">SUM(AQ1169+AY1169)</f>
        <v>0</v>
      </c>
      <c r="BB1169" s="97">
        <f t="shared" ref="BB1169" si="10194">SUM(AR1169,AZ1169)</f>
        <v>0</v>
      </c>
    </row>
    <row r="1171" spans="1:54">
      <c r="A1171" s="1" t="s">
        <v>1112</v>
      </c>
      <c r="B1171" s="83"/>
      <c r="C1171" s="83"/>
      <c r="D1171" s="83"/>
      <c r="E1171" s="83"/>
      <c r="F1171" s="474"/>
      <c r="G1171" s="474"/>
      <c r="H1171" s="281"/>
      <c r="I1171" s="57"/>
      <c r="J1171" s="475">
        <v>1000000</v>
      </c>
      <c r="K1171" s="57"/>
      <c r="L1171" s="173"/>
      <c r="M1171" s="57"/>
      <c r="N1171" s="173"/>
      <c r="O1171" s="57"/>
      <c r="P1171" s="173"/>
      <c r="Q1171" s="98">
        <f t="shared" ref="Q1171" si="10195">SUM(AI1171+BA1171)</f>
        <v>0</v>
      </c>
      <c r="R1171" s="364">
        <f t="shared" ref="R1171" si="10196">SUM(AJ1171+BB1171)</f>
        <v>0</v>
      </c>
      <c r="S1171" s="98"/>
      <c r="T1171" s="98">
        <f t="shared" ref="T1171" si="10197">J1171*S1171/1000</f>
        <v>0</v>
      </c>
      <c r="U1171" s="98"/>
      <c r="V1171" s="98">
        <f t="shared" ref="V1171" si="10198">J1171*U1171/1000</f>
        <v>0</v>
      </c>
      <c r="W1171" s="98"/>
      <c r="X1171" s="98">
        <f t="shared" ref="X1171" si="10199">J1171*W1171/1000</f>
        <v>0</v>
      </c>
      <c r="Y1171" s="98">
        <f t="shared" ref="Y1171" si="10200">SUM(S1171+U1171+W1171)</f>
        <v>0</v>
      </c>
      <c r="Z1171" s="98">
        <f t="shared" ref="Z1171" si="10201">SUM(T1171+V1171+X1171)</f>
        <v>0</v>
      </c>
      <c r="AA1171" s="98"/>
      <c r="AB1171" s="98">
        <f t="shared" ref="AB1171" si="10202">L1171*AA1171/1000</f>
        <v>0</v>
      </c>
      <c r="AC1171" s="98"/>
      <c r="AD1171" s="98">
        <f t="shared" ref="AD1171" si="10203">L1171*AC1171/1000</f>
        <v>0</v>
      </c>
      <c r="AE1171" s="98"/>
      <c r="AF1171" s="98">
        <f t="shared" ref="AF1171" si="10204">L1171*AE1171/1000</f>
        <v>0</v>
      </c>
      <c r="AG1171" s="98">
        <f t="shared" ref="AG1171" si="10205">SUM(AA1171+AC1171+AE1171)</f>
        <v>0</v>
      </c>
      <c r="AH1171" s="98">
        <f t="shared" ref="AH1171" si="10206">SUM(AB1171+AD1171+AF1171)</f>
        <v>0</v>
      </c>
      <c r="AI1171" s="98">
        <f t="shared" ref="AI1171" si="10207">SUM(Y1171+AG1171)</f>
        <v>0</v>
      </c>
      <c r="AJ1171" s="98">
        <f t="shared" ref="AJ1171" si="10208">SUM(Z1171,AH1171)</f>
        <v>0</v>
      </c>
      <c r="AK1171" s="98"/>
      <c r="AL1171" s="98">
        <f t="shared" ref="AL1171" si="10209">N1171*AK1171/1000</f>
        <v>0</v>
      </c>
      <c r="AM1171" s="98"/>
      <c r="AN1171" s="98">
        <f t="shared" ref="AN1171" si="10210">N1171*AM1171/1000</f>
        <v>0</v>
      </c>
      <c r="AO1171" s="98"/>
      <c r="AP1171" s="98">
        <f t="shared" ref="AP1171" si="10211">N1171*AO1171/1000</f>
        <v>0</v>
      </c>
      <c r="AQ1171" s="98">
        <f t="shared" ref="AQ1171" si="10212">SUM(AK1171+AM1171+AO1171)</f>
        <v>0</v>
      </c>
      <c r="AR1171" s="98">
        <f t="shared" ref="AR1171" si="10213">SUM(AL1171+AN1171+AP1171)</f>
        <v>0</v>
      </c>
      <c r="AS1171" s="98"/>
      <c r="AT1171" s="98">
        <f t="shared" ref="AT1171" si="10214">P1171*AS1171/1000</f>
        <v>0</v>
      </c>
      <c r="AU1171" s="98"/>
      <c r="AV1171" s="98">
        <f t="shared" ref="AV1171" si="10215">P1171*AU1171/1000</f>
        <v>0</v>
      </c>
      <c r="AW1171" s="98"/>
      <c r="AX1171" s="98">
        <f t="shared" ref="AX1171" si="10216">P1171*AW1171/1000</f>
        <v>0</v>
      </c>
      <c r="AY1171" s="98">
        <f t="shared" ref="AY1171" si="10217">SUM(AS1171+AU1171+AW1171)</f>
        <v>0</v>
      </c>
      <c r="AZ1171" s="98">
        <f t="shared" ref="AZ1171" si="10218">SUM(AT1171+AV1171+AX1171)</f>
        <v>0</v>
      </c>
      <c r="BA1171" s="98">
        <f t="shared" ref="BA1171" si="10219">SUM(AQ1171+AY1171)</f>
        <v>0</v>
      </c>
      <c r="BB1171" s="98">
        <f t="shared" ref="BB1171" si="10220">SUM(AR1171,AZ1171)</f>
        <v>0</v>
      </c>
    </row>
    <row r="1173" spans="1:54" hidden="1" outlineLevel="1"/>
    <row r="1174" spans="1:54" ht="12.75" hidden="1" outlineLevel="1" thickBot="1">
      <c r="D1174" s="7"/>
      <c r="E1174" s="7"/>
      <c r="Q1174" s="1"/>
      <c r="R1174" s="298" t="e">
        <f>Q1176-R6</f>
        <v>#REF!</v>
      </c>
      <c r="S1174" s="1"/>
      <c r="T1174" s="298" t="e">
        <f>S1176-T6</f>
        <v>#REF!</v>
      </c>
      <c r="U1174" s="1"/>
      <c r="V1174" s="298" t="e">
        <f>U1176-V6</f>
        <v>#REF!</v>
      </c>
      <c r="X1174" s="298" t="e">
        <f>W1176-X6</f>
        <v>#REF!</v>
      </c>
      <c r="Z1174" s="298" t="e">
        <f>Y1176-Z6</f>
        <v>#REF!</v>
      </c>
      <c r="AB1174" s="298" t="e">
        <f>AA1176-AB6</f>
        <v>#REF!</v>
      </c>
      <c r="AD1174" s="298" t="e">
        <f>AC1176-AD6</f>
        <v>#REF!</v>
      </c>
      <c r="AF1174" s="298" t="e">
        <f>AE1176-AF6</f>
        <v>#REF!</v>
      </c>
      <c r="AH1174" s="298" t="e">
        <f>AG1176-AH6</f>
        <v>#REF!</v>
      </c>
      <c r="AJ1174" s="298" t="e">
        <f>AI1176-AJ6</f>
        <v>#REF!</v>
      </c>
      <c r="AL1174" s="298" t="e">
        <f>AK1176-AL6</f>
        <v>#REF!</v>
      </c>
      <c r="AN1174" s="298" t="e">
        <f>AM1176-AN6</f>
        <v>#REF!</v>
      </c>
      <c r="AP1174" s="298" t="e">
        <f>AO1176-AP6</f>
        <v>#REF!</v>
      </c>
      <c r="AR1174" s="298" t="e">
        <f>AQ1176-AR6</f>
        <v>#REF!</v>
      </c>
      <c r="AT1174" s="298" t="e">
        <f>AS1176-AT6</f>
        <v>#REF!</v>
      </c>
      <c r="AV1174" s="298" t="e">
        <f>AU1176-AV6</f>
        <v>#REF!</v>
      </c>
      <c r="AX1174" s="298" t="e">
        <f>AW1176-AX6</f>
        <v>#REF!</v>
      </c>
      <c r="AZ1174" s="298" t="e">
        <f>AY1176-AZ6</f>
        <v>#REF!</v>
      </c>
      <c r="BB1174" s="298" t="e">
        <f>BA1176-BB6</f>
        <v>#REF!</v>
      </c>
    </row>
    <row r="1175" spans="1:54" ht="14.25" hidden="1" outlineLevel="1" thickBot="1">
      <c r="D1175" s="570" t="s">
        <v>795</v>
      </c>
      <c r="E1175" s="571"/>
      <c r="F1175" s="571"/>
      <c r="G1175" s="571"/>
      <c r="H1175" s="572"/>
      <c r="Q1175" s="578" t="str">
        <f>Q3</f>
        <v>년계</v>
      </c>
      <c r="R1175" s="579"/>
      <c r="S1175" s="580" t="str">
        <f>S3</f>
        <v>1월</v>
      </c>
      <c r="T1175" s="560"/>
      <c r="U1175" s="559" t="str">
        <f>U3</f>
        <v>2월</v>
      </c>
      <c r="V1175" s="560"/>
      <c r="W1175" s="559" t="str">
        <f>W3</f>
        <v>3월</v>
      </c>
      <c r="X1175" s="560"/>
      <c r="Y1175" s="559" t="str">
        <f>Y3</f>
        <v>1분기</v>
      </c>
      <c r="Z1175" s="560"/>
      <c r="AA1175" s="559" t="str">
        <f>AA3</f>
        <v>4월</v>
      </c>
      <c r="AB1175" s="560"/>
      <c r="AC1175" s="559" t="str">
        <f>AC3</f>
        <v>5월</v>
      </c>
      <c r="AD1175" s="560"/>
      <c r="AE1175" s="559" t="str">
        <f>AE3</f>
        <v>6월</v>
      </c>
      <c r="AF1175" s="560"/>
      <c r="AG1175" s="559" t="str">
        <f>AG3</f>
        <v>2분기</v>
      </c>
      <c r="AH1175" s="560"/>
      <c r="AI1175" s="559" t="str">
        <f>AI3</f>
        <v>상반기</v>
      </c>
      <c r="AJ1175" s="560"/>
      <c r="AK1175" s="559" t="str">
        <f>AK3</f>
        <v>7월</v>
      </c>
      <c r="AL1175" s="560"/>
      <c r="AM1175" s="559" t="str">
        <f>AM3</f>
        <v>8월</v>
      </c>
      <c r="AN1175" s="560"/>
      <c r="AO1175" s="559" t="str">
        <f>AO3</f>
        <v>9월</v>
      </c>
      <c r="AP1175" s="560"/>
      <c r="AQ1175" s="559" t="str">
        <f>AQ3</f>
        <v>3분기</v>
      </c>
      <c r="AR1175" s="560"/>
      <c r="AS1175" s="559" t="str">
        <f>AS3</f>
        <v>10월</v>
      </c>
      <c r="AT1175" s="560"/>
      <c r="AU1175" s="559" t="str">
        <f>AU3</f>
        <v>11월</v>
      </c>
      <c r="AV1175" s="560"/>
      <c r="AW1175" s="559" t="str">
        <f>AW3</f>
        <v>12월</v>
      </c>
      <c r="AX1175" s="560"/>
      <c r="AY1175" s="559" t="str">
        <f>AY3</f>
        <v>4분기</v>
      </c>
      <c r="AZ1175" s="560"/>
      <c r="BA1175" s="559" t="str">
        <f>BA3</f>
        <v>하반기</v>
      </c>
      <c r="BB1175" s="560"/>
    </row>
    <row r="1176" spans="1:54" s="385" customFormat="1" ht="17.25" hidden="1" customHeight="1" outlineLevel="1" thickBot="1">
      <c r="D1176" s="391"/>
      <c r="E1176" s="392" t="s">
        <v>794</v>
      </c>
      <c r="F1176" s="392"/>
      <c r="G1176" s="392"/>
      <c r="H1176" s="392"/>
      <c r="I1176" s="393"/>
      <c r="J1176" s="393"/>
      <c r="K1176" s="393"/>
      <c r="L1176" s="393"/>
      <c r="M1176" s="393"/>
      <c r="N1176" s="393"/>
      <c r="O1176" s="393"/>
      <c r="P1176" s="393"/>
      <c r="Q1176" s="588" t="e">
        <f t="shared" ref="Q1176" si="10221">R1187+R1191+R1195+R1200+R1203+R1204+R1205+R1206</f>
        <v>#REF!</v>
      </c>
      <c r="R1176" s="589"/>
      <c r="S1176" s="573" t="e">
        <f t="shared" ref="S1176" si="10222">T1187+T1191+T1195+T1200+T1203+T1204+T1205+T1206</f>
        <v>#REF!</v>
      </c>
      <c r="T1176" s="558"/>
      <c r="U1176" s="557" t="e">
        <f t="shared" ref="U1176" si="10223">V1187+V1191+V1195+V1200+V1203+V1204+V1205+V1206</f>
        <v>#REF!</v>
      </c>
      <c r="V1176" s="558"/>
      <c r="W1176" s="557" t="e">
        <f t="shared" ref="W1176" si="10224">X1187+X1191+X1195+X1200+X1203+X1204+X1205+X1206</f>
        <v>#REF!</v>
      </c>
      <c r="X1176" s="558"/>
      <c r="Y1176" s="557" t="e">
        <f t="shared" ref="Y1176" si="10225">Z1187+Z1191+Z1195+Z1200+Z1203+Z1204+Z1205+Z1206</f>
        <v>#REF!</v>
      </c>
      <c r="Z1176" s="558"/>
      <c r="AA1176" s="557" t="e">
        <f t="shared" ref="AA1176" si="10226">AB1187+AB1191+AB1195+AB1200+AB1203+AB1204+AB1205+AB1206</f>
        <v>#REF!</v>
      </c>
      <c r="AB1176" s="558"/>
      <c r="AC1176" s="557" t="e">
        <f t="shared" ref="AC1176" si="10227">AD1187+AD1191+AD1195+AD1200+AD1203+AD1204+AD1205+AD1206</f>
        <v>#REF!</v>
      </c>
      <c r="AD1176" s="558"/>
      <c r="AE1176" s="557" t="e">
        <f>AF1187+AF1191+AF1195+AF1200+AF1203+AF1204+AF1205+AF1206</f>
        <v>#REF!</v>
      </c>
      <c r="AF1176" s="558"/>
      <c r="AG1176" s="557" t="e">
        <f t="shared" ref="AG1176" si="10228">AH1187+AH1191+AH1195+AH1200+AH1203+AH1204+AH1205+AH1206</f>
        <v>#REF!</v>
      </c>
      <c r="AH1176" s="558"/>
      <c r="AI1176" s="557" t="e">
        <f t="shared" ref="AI1176" si="10229">AJ1187+AJ1191+AJ1195+AJ1200+AJ1203+AJ1204+AJ1205+AJ1206</f>
        <v>#REF!</v>
      </c>
      <c r="AJ1176" s="558"/>
      <c r="AK1176" s="557" t="e">
        <f t="shared" ref="AK1176" si="10230">AL1187+AL1191+AL1195+AL1200+AL1203+AL1204+AL1205+AL1206</f>
        <v>#REF!</v>
      </c>
      <c r="AL1176" s="558"/>
      <c r="AM1176" s="557" t="e">
        <f t="shared" ref="AM1176" si="10231">AN1187+AN1191+AN1195+AN1200+AN1203+AN1204+AN1205+AN1206</f>
        <v>#REF!</v>
      </c>
      <c r="AN1176" s="558"/>
      <c r="AO1176" s="557" t="e">
        <f t="shared" ref="AO1176" si="10232">AP1187+AP1191+AP1195+AP1200+AP1203+AP1204+AP1205+AP1206</f>
        <v>#REF!</v>
      </c>
      <c r="AP1176" s="558"/>
      <c r="AQ1176" s="557" t="e">
        <f t="shared" ref="AQ1176" si="10233">AR1187+AR1191+AR1195+AR1200+AR1203+AR1204+AR1205+AR1206</f>
        <v>#REF!</v>
      </c>
      <c r="AR1176" s="558"/>
      <c r="AS1176" s="557" t="e">
        <f t="shared" ref="AS1176" si="10234">AT1187+AT1191+AT1195+AT1200+AT1203+AT1204+AT1205+AT1206</f>
        <v>#REF!</v>
      </c>
      <c r="AT1176" s="558"/>
      <c r="AU1176" s="557" t="e">
        <f t="shared" ref="AU1176" si="10235">AV1187+AV1191+AV1195+AV1200+AV1203+AV1204+AV1205+AV1206</f>
        <v>#REF!</v>
      </c>
      <c r="AV1176" s="558"/>
      <c r="AW1176" s="557" t="e">
        <f t="shared" ref="AW1176" si="10236">AX1187+AX1191+AX1195+AX1200+AX1203+AX1204+AX1205+AX1206</f>
        <v>#REF!</v>
      </c>
      <c r="AX1176" s="558"/>
      <c r="AY1176" s="557" t="e">
        <f t="shared" ref="AY1176" si="10237">AZ1187+AZ1191+AZ1195+AZ1200+AZ1203+AZ1204+AZ1205+AZ1206</f>
        <v>#REF!</v>
      </c>
      <c r="AZ1176" s="558"/>
      <c r="BA1176" s="557" t="e">
        <f t="shared" ref="BA1176" si="10238">BB1187+BB1191+BB1195+BB1200+BB1203+BB1204+BB1205+BB1206</f>
        <v>#REF!</v>
      </c>
      <c r="BB1176" s="558"/>
    </row>
    <row r="1177" spans="1:54" ht="13.5" hidden="1" outlineLevel="1">
      <c r="D1177" s="378" t="s">
        <v>782</v>
      </c>
      <c r="E1177" s="378" t="s">
        <v>783</v>
      </c>
      <c r="F1177" s="564" t="s">
        <v>784</v>
      </c>
      <c r="G1177" s="565"/>
      <c r="H1177" s="565"/>
      <c r="Q1177" s="399">
        <f>Q29</f>
        <v>257.666</v>
      </c>
      <c r="R1177" s="400">
        <f>R29</f>
        <v>2901.9584041313001</v>
      </c>
      <c r="S1177" s="394">
        <f>S29</f>
        <v>10.945</v>
      </c>
      <c r="T1177" s="390">
        <f>T29</f>
        <v>134.10925672740004</v>
      </c>
      <c r="U1177" s="390">
        <f>U29</f>
        <v>25.415999999999997</v>
      </c>
      <c r="V1177" s="390">
        <f>V29</f>
        <v>316.98589344000004</v>
      </c>
      <c r="W1177" s="390">
        <f>W29</f>
        <v>22.893999999999998</v>
      </c>
      <c r="X1177" s="390">
        <f>X29</f>
        <v>258.60737917599999</v>
      </c>
      <c r="Y1177" s="390">
        <f>Y29</f>
        <v>59.255000000000003</v>
      </c>
      <c r="Z1177" s="390">
        <f>Z29</f>
        <v>709.7025293434001</v>
      </c>
      <c r="AA1177" s="390">
        <f>AA29</f>
        <v>26.753999999999998</v>
      </c>
      <c r="AB1177" s="390">
        <f>AB29</f>
        <v>301.90133637839995</v>
      </c>
      <c r="AC1177" s="390">
        <f>AC29</f>
        <v>27.131999999999998</v>
      </c>
      <c r="AD1177" s="390">
        <f>AD29</f>
        <v>315.80788837740005</v>
      </c>
      <c r="AE1177" s="390">
        <f>AE29</f>
        <v>28.455000000000002</v>
      </c>
      <c r="AF1177" s="390">
        <f>AF29</f>
        <v>310.87455539309997</v>
      </c>
      <c r="AG1177" s="390">
        <f>AG29</f>
        <v>82.340999999999994</v>
      </c>
      <c r="AH1177" s="390">
        <f>AH29</f>
        <v>928.58378014890002</v>
      </c>
      <c r="AI1177" s="390">
        <f>AI29</f>
        <v>141.596</v>
      </c>
      <c r="AJ1177" s="390">
        <f>AJ29</f>
        <v>1638.2863094923</v>
      </c>
      <c r="AK1177" s="390">
        <f>AK29</f>
        <v>30.842999999999996</v>
      </c>
      <c r="AL1177" s="390">
        <f>AL29</f>
        <v>357.39955902600002</v>
      </c>
      <c r="AM1177" s="390">
        <f>AM29</f>
        <v>21.681000000000001</v>
      </c>
      <c r="AN1177" s="390">
        <f>AN29</f>
        <v>234.28925991899996</v>
      </c>
      <c r="AO1177" s="390">
        <f>AO29</f>
        <v>14.228</v>
      </c>
      <c r="AP1177" s="390">
        <f>AP29</f>
        <v>143.09879259120001</v>
      </c>
      <c r="AQ1177" s="390">
        <f>AQ29</f>
        <v>66.751999999999995</v>
      </c>
      <c r="AR1177" s="390">
        <f>AR29</f>
        <v>734.78761153620007</v>
      </c>
      <c r="AS1177" s="390">
        <f>AS29</f>
        <v>20.202999999999999</v>
      </c>
      <c r="AT1177" s="390">
        <f>AT29</f>
        <v>211.25602576600002</v>
      </c>
      <c r="AU1177" s="390">
        <f>AU29</f>
        <v>9.1980000000000004</v>
      </c>
      <c r="AV1177" s="390">
        <f>AV29</f>
        <v>113.67963553590002</v>
      </c>
      <c r="AW1177" s="390">
        <f>AW29</f>
        <v>19.917000000000002</v>
      </c>
      <c r="AX1177" s="390">
        <f>AX29</f>
        <v>203.94882180089999</v>
      </c>
      <c r="AY1177" s="390">
        <f>AY29</f>
        <v>49.317999999999998</v>
      </c>
      <c r="AZ1177" s="390">
        <f>AZ29</f>
        <v>528.8844831028</v>
      </c>
      <c r="BA1177" s="390">
        <f>BA29</f>
        <v>116.07</v>
      </c>
      <c r="BB1177" s="390">
        <f>BB29</f>
        <v>1263.6720946390001</v>
      </c>
    </row>
    <row r="1178" spans="1:54" ht="13.5" hidden="1" outlineLevel="1">
      <c r="D1178" s="378"/>
      <c r="E1178" s="378"/>
      <c r="F1178" s="561" t="s">
        <v>785</v>
      </c>
      <c r="G1178" s="562"/>
      <c r="H1178" s="563"/>
      <c r="Q1178" s="401">
        <f>Q67+Q110</f>
        <v>4352.2080000000005</v>
      </c>
      <c r="R1178" s="402">
        <f>R67+R110</f>
        <v>68208.171566336838</v>
      </c>
      <c r="S1178" s="395">
        <f>S67+S110</f>
        <v>259.185</v>
      </c>
      <c r="T1178" s="384">
        <f>T67+T110</f>
        <v>3769.9368752525997</v>
      </c>
      <c r="U1178" s="384">
        <f>U67+U110</f>
        <v>336.82099999999997</v>
      </c>
      <c r="V1178" s="384">
        <f>V67+V110</f>
        <v>5439.8672117920014</v>
      </c>
      <c r="W1178" s="384">
        <f>W67+W110</f>
        <v>377.36800000000005</v>
      </c>
      <c r="X1178" s="384">
        <f>X67+X110</f>
        <v>5827.7068064659998</v>
      </c>
      <c r="Y1178" s="384">
        <f>Y67+Y110</f>
        <v>973.37399999999991</v>
      </c>
      <c r="Z1178" s="384">
        <f>Z67+Z110</f>
        <v>15037.510893510598</v>
      </c>
      <c r="AA1178" s="384">
        <f>AA67+AA110</f>
        <v>348.74299999999999</v>
      </c>
      <c r="AB1178" s="384">
        <f>AB67+AB110</f>
        <v>5788.4120016599991</v>
      </c>
      <c r="AC1178" s="384">
        <f>AC67+AC110</f>
        <v>486.09600000000006</v>
      </c>
      <c r="AD1178" s="384">
        <f>AD67+AD110</f>
        <v>7207.0580626397987</v>
      </c>
      <c r="AE1178" s="384">
        <f>AE67+AE110</f>
        <v>494.22500000000002</v>
      </c>
      <c r="AF1178" s="384">
        <f>AF67+AF110</f>
        <v>7973.2331239046389</v>
      </c>
      <c r="AG1178" s="384">
        <f>AG67+AG110</f>
        <v>1329.0639999999999</v>
      </c>
      <c r="AH1178" s="384">
        <f>AH67+AH110</f>
        <v>20968.703188204432</v>
      </c>
      <c r="AI1178" s="384">
        <f>AI67+AI110</f>
        <v>2302.4379999999996</v>
      </c>
      <c r="AJ1178" s="384">
        <f>AJ67+AJ110</f>
        <v>36006.214081715043</v>
      </c>
      <c r="AK1178" s="384">
        <f>AK67+AK110</f>
        <v>460.77100000000002</v>
      </c>
      <c r="AL1178" s="384">
        <f>AL67+AL110</f>
        <v>7801.3255387473982</v>
      </c>
      <c r="AM1178" s="384">
        <f>AM67+AM110</f>
        <v>404.62899999999996</v>
      </c>
      <c r="AN1178" s="384">
        <f>AN67+AN110</f>
        <v>6647.8504631954993</v>
      </c>
      <c r="AO1178" s="384">
        <f>AO67+AO110</f>
        <v>365.48399999999998</v>
      </c>
      <c r="AP1178" s="384">
        <f>AP67+AP110</f>
        <v>5260.9115631558006</v>
      </c>
      <c r="AQ1178" s="384">
        <f>AQ67+AQ110</f>
        <v>1230.8839999999998</v>
      </c>
      <c r="AR1178" s="384">
        <f>AR67+AR110</f>
        <v>19710.087565098704</v>
      </c>
      <c r="AS1178" s="384">
        <f>AS67+AS110</f>
        <v>245.26500000000001</v>
      </c>
      <c r="AT1178" s="384">
        <f>AT67+AT110</f>
        <v>3834.6684556300011</v>
      </c>
      <c r="AU1178" s="384">
        <f>AU67+AU110</f>
        <v>291.86799999999999</v>
      </c>
      <c r="AV1178" s="384">
        <f>AV67+AV110</f>
        <v>4194.7176406621502</v>
      </c>
      <c r="AW1178" s="384">
        <f>AW67+AW110</f>
        <v>281.75299999999999</v>
      </c>
      <c r="AX1178" s="384">
        <f>AX67+AX110</f>
        <v>4462.4838232309494</v>
      </c>
      <c r="AY1178" s="384">
        <f>AY67+AY110</f>
        <v>818.88600000000008</v>
      </c>
      <c r="AZ1178" s="384">
        <f>AZ67+AZ110</f>
        <v>12491.8699195231</v>
      </c>
      <c r="BA1178" s="384">
        <f>BA67+BA110</f>
        <v>2049.77</v>
      </c>
      <c r="BB1178" s="384">
        <f>BB67+BB110</f>
        <v>32201.957484621798</v>
      </c>
    </row>
    <row r="1179" spans="1:54" s="385" customFormat="1" ht="13.5" hidden="1" outlineLevel="1">
      <c r="D1179" s="381"/>
      <c r="E1179" s="383"/>
      <c r="F1179" s="568" t="s">
        <v>786</v>
      </c>
      <c r="G1179" s="568"/>
      <c r="H1179" s="569"/>
      <c r="Q1179" s="403">
        <f t="shared" ref="Q1179:AE1179" si="10239">SUM(Q1177:Q1178)</f>
        <v>4609.8740000000007</v>
      </c>
      <c r="R1179" s="404">
        <f t="shared" si="10239"/>
        <v>71110.129970468144</v>
      </c>
      <c r="S1179" s="396">
        <f t="shared" si="10239"/>
        <v>270.13</v>
      </c>
      <c r="T1179" s="388">
        <f t="shared" si="10239"/>
        <v>3904.0461319799997</v>
      </c>
      <c r="U1179" s="388">
        <f t="shared" si="10239"/>
        <v>362.23699999999997</v>
      </c>
      <c r="V1179" s="388">
        <f t="shared" si="10239"/>
        <v>5756.8531052320013</v>
      </c>
      <c r="W1179" s="388">
        <f t="shared" si="10239"/>
        <v>400.26200000000006</v>
      </c>
      <c r="X1179" s="388">
        <f t="shared" si="10239"/>
        <v>6086.3141856419998</v>
      </c>
      <c r="Y1179" s="388">
        <f t="shared" si="10239"/>
        <v>1032.6289999999999</v>
      </c>
      <c r="Z1179" s="388">
        <f t="shared" si="10239"/>
        <v>15747.213422853998</v>
      </c>
      <c r="AA1179" s="388">
        <f t="shared" si="10239"/>
        <v>375.49700000000001</v>
      </c>
      <c r="AB1179" s="388">
        <f t="shared" si="10239"/>
        <v>6090.3133380383988</v>
      </c>
      <c r="AC1179" s="388">
        <f t="shared" si="10239"/>
        <v>513.22800000000007</v>
      </c>
      <c r="AD1179" s="388">
        <f t="shared" si="10239"/>
        <v>7522.8659510171983</v>
      </c>
      <c r="AE1179" s="388">
        <f t="shared" si="10239"/>
        <v>522.68000000000006</v>
      </c>
      <c r="AF1179" s="388">
        <f>SUM(AF1177:AF1178)</f>
        <v>8284.1076792977383</v>
      </c>
      <c r="AG1179" s="388">
        <f t="shared" ref="AG1179:BB1179" si="10240">SUM(AG1177:AG1178)</f>
        <v>1411.4049999999997</v>
      </c>
      <c r="AH1179" s="388">
        <f t="shared" si="10240"/>
        <v>21897.286968353332</v>
      </c>
      <c r="AI1179" s="388">
        <f t="shared" si="10240"/>
        <v>2444.0339999999997</v>
      </c>
      <c r="AJ1179" s="388">
        <f t="shared" si="10240"/>
        <v>37644.500391207344</v>
      </c>
      <c r="AK1179" s="388">
        <f t="shared" si="10240"/>
        <v>491.61400000000003</v>
      </c>
      <c r="AL1179" s="388">
        <f t="shared" si="10240"/>
        <v>8158.7250977733984</v>
      </c>
      <c r="AM1179" s="388">
        <f t="shared" si="10240"/>
        <v>426.30999999999995</v>
      </c>
      <c r="AN1179" s="388">
        <f t="shared" si="10240"/>
        <v>6882.1397231144992</v>
      </c>
      <c r="AO1179" s="388">
        <f t="shared" si="10240"/>
        <v>379.71199999999999</v>
      </c>
      <c r="AP1179" s="388">
        <f t="shared" si="10240"/>
        <v>5404.0103557470011</v>
      </c>
      <c r="AQ1179" s="388">
        <f t="shared" si="10240"/>
        <v>1297.6359999999997</v>
      </c>
      <c r="AR1179" s="388">
        <f t="shared" si="10240"/>
        <v>20444.875176634905</v>
      </c>
      <c r="AS1179" s="388">
        <f t="shared" si="10240"/>
        <v>265.46800000000002</v>
      </c>
      <c r="AT1179" s="388">
        <f t="shared" si="10240"/>
        <v>4045.9244813960013</v>
      </c>
      <c r="AU1179" s="388">
        <f t="shared" si="10240"/>
        <v>301.06599999999997</v>
      </c>
      <c r="AV1179" s="388">
        <f t="shared" si="10240"/>
        <v>4308.3972761980503</v>
      </c>
      <c r="AW1179" s="388">
        <f t="shared" si="10240"/>
        <v>301.66999999999996</v>
      </c>
      <c r="AX1179" s="388">
        <f t="shared" si="10240"/>
        <v>4666.4326450318495</v>
      </c>
      <c r="AY1179" s="388">
        <f t="shared" si="10240"/>
        <v>868.20400000000006</v>
      </c>
      <c r="AZ1179" s="388">
        <f t="shared" si="10240"/>
        <v>13020.7544026259</v>
      </c>
      <c r="BA1179" s="388">
        <f t="shared" si="10240"/>
        <v>2165.84</v>
      </c>
      <c r="BB1179" s="388">
        <f t="shared" si="10240"/>
        <v>33465.6295792608</v>
      </c>
    </row>
    <row r="1180" spans="1:54" ht="13.5" hidden="1" outlineLevel="1">
      <c r="D1180" s="378"/>
      <c r="E1180" s="378" t="s">
        <v>787</v>
      </c>
      <c r="F1180" s="564" t="s">
        <v>785</v>
      </c>
      <c r="G1180" s="565"/>
      <c r="H1180" s="565"/>
      <c r="Q1180" s="401">
        <f>Q105</f>
        <v>1315.1270000000002</v>
      </c>
      <c r="R1180" s="402">
        <f>R105</f>
        <v>6907.6821996400986</v>
      </c>
      <c r="S1180" s="395">
        <f>S105</f>
        <v>77.700999999999993</v>
      </c>
      <c r="T1180" s="384">
        <f>T105</f>
        <v>465.53364971639996</v>
      </c>
      <c r="U1180" s="384">
        <f>U105</f>
        <v>104.13600000000001</v>
      </c>
      <c r="V1180" s="384">
        <f>V105</f>
        <v>581.06076777600015</v>
      </c>
      <c r="W1180" s="384">
        <f>W105</f>
        <v>124.07899999999999</v>
      </c>
      <c r="X1180" s="384">
        <f>X105</f>
        <v>661.24500980599998</v>
      </c>
      <c r="Y1180" s="384">
        <f>Y105</f>
        <v>305.91599999999994</v>
      </c>
      <c r="Z1180" s="384">
        <f>Z105</f>
        <v>1707.8394272984001</v>
      </c>
      <c r="AA1180" s="384">
        <f>AA105</f>
        <v>106.19000000000001</v>
      </c>
      <c r="AB1180" s="384">
        <f>AB105</f>
        <v>559.68127537040004</v>
      </c>
      <c r="AC1180" s="384">
        <f>AC105</f>
        <v>123.503</v>
      </c>
      <c r="AD1180" s="384">
        <f>AD105</f>
        <v>640.19298875570007</v>
      </c>
      <c r="AE1180" s="384">
        <f>AE105</f>
        <v>152.33799999999997</v>
      </c>
      <c r="AF1180" s="384">
        <f>AF105</f>
        <v>765.24838871879979</v>
      </c>
      <c r="AG1180" s="384">
        <f>AG105</f>
        <v>382.03099999999995</v>
      </c>
      <c r="AH1180" s="384">
        <f>AH105</f>
        <v>1965.1226528448997</v>
      </c>
      <c r="AI1180" s="384">
        <f>AI105</f>
        <v>687.947</v>
      </c>
      <c r="AJ1180" s="384">
        <f>AJ105</f>
        <v>3672.9620801432998</v>
      </c>
      <c r="AK1180" s="384">
        <f>AK105</f>
        <v>93.995000000000005</v>
      </c>
      <c r="AL1180" s="384">
        <f>AL105</f>
        <v>505.51409413479996</v>
      </c>
      <c r="AM1180" s="384">
        <f>AM105</f>
        <v>151.58999999999995</v>
      </c>
      <c r="AN1180" s="384">
        <f>AN105</f>
        <v>779.63028089699992</v>
      </c>
      <c r="AO1180" s="384">
        <f>AO105</f>
        <v>117.843</v>
      </c>
      <c r="AP1180" s="384">
        <f>AP105</f>
        <v>582.39766192499997</v>
      </c>
      <c r="AQ1180" s="384">
        <f>AQ105</f>
        <v>363.42799999999994</v>
      </c>
      <c r="AR1180" s="384">
        <f>AR105</f>
        <v>1867.5420369567998</v>
      </c>
      <c r="AS1180" s="384">
        <f>AS105</f>
        <v>96.72</v>
      </c>
      <c r="AT1180" s="384">
        <f>AT105</f>
        <v>488.61205710099989</v>
      </c>
      <c r="AU1180" s="384">
        <f>AU105</f>
        <v>56.154000000000003</v>
      </c>
      <c r="AV1180" s="384">
        <f>AV105</f>
        <v>300.03692664959999</v>
      </c>
      <c r="AW1180" s="384">
        <f>AW105</f>
        <v>110.878</v>
      </c>
      <c r="AX1180" s="384">
        <f>AX105</f>
        <v>578.52909878939988</v>
      </c>
      <c r="AY1180" s="384">
        <f>AY105</f>
        <v>263.75200000000001</v>
      </c>
      <c r="AZ1180" s="384">
        <f>AZ105</f>
        <v>1367.1780825400001</v>
      </c>
      <c r="BA1180" s="384">
        <f>BA105</f>
        <v>627.18000000000006</v>
      </c>
      <c r="BB1180" s="384">
        <f>BB105</f>
        <v>3234.7201194967997</v>
      </c>
    </row>
    <row r="1181" spans="1:54" ht="13.5" hidden="1" outlineLevel="1">
      <c r="D1181" s="378"/>
      <c r="E1181" s="378"/>
      <c r="F1181" s="561" t="s">
        <v>788</v>
      </c>
      <c r="G1181" s="562"/>
      <c r="H1181" s="563"/>
      <c r="Q1181" s="401" t="e">
        <f>Q144+Q197+Q238+Q239+Q240+#REF!+Q242+Q253+#REF!+Q257+Q258</f>
        <v>#REF!</v>
      </c>
      <c r="R1181" s="402" t="e">
        <f>R144+R197+R238+R239+R240+#REF!+R242+R253+#REF!+R257+R258</f>
        <v>#REF!</v>
      </c>
      <c r="S1181" s="395" t="e">
        <f>S144+S197+S238+S239+S240+#REF!+S242+S253+#REF!+S257+S258</f>
        <v>#REF!</v>
      </c>
      <c r="T1181" s="384" t="e">
        <f>T144+T197+T238+T239+T240+#REF!+T242+T253+#REF!+T257+T258</f>
        <v>#REF!</v>
      </c>
      <c r="U1181" s="384" t="e">
        <f>U144+U197+U238+U239+U240+#REF!+U242+U253+#REF!+U257+U258</f>
        <v>#REF!</v>
      </c>
      <c r="V1181" s="384" t="e">
        <f>V144+V197+V238+V239+V240+#REF!+V242+V253+#REF!+V257+V258</f>
        <v>#REF!</v>
      </c>
      <c r="W1181" s="384" t="e">
        <f>W144+W197+W238+W239+W240+#REF!+W242+W253+#REF!+W257+W258</f>
        <v>#REF!</v>
      </c>
      <c r="X1181" s="384" t="e">
        <f>X144+X197+X238+X239+X240+#REF!+X242+X253+#REF!+X257+X258</f>
        <v>#REF!</v>
      </c>
      <c r="Y1181" s="384" t="e">
        <f>Y144+Y197+Y238+Y239+Y240+#REF!+Y242+Y253+#REF!+Y257+Y258</f>
        <v>#REF!</v>
      </c>
      <c r="Z1181" s="384" t="e">
        <f>Z144+Z197+Z238+Z239+Z240+#REF!+Z242+Z253+#REF!+Z257+Z258</f>
        <v>#REF!</v>
      </c>
      <c r="AA1181" s="384" t="e">
        <f>AA144+AA197+AA238+AA239+AA240+#REF!+AA242+AA253+#REF!+AA257+AA258</f>
        <v>#REF!</v>
      </c>
      <c r="AB1181" s="384" t="e">
        <f>AB144+AB197+AB238+AB239+AB240+#REF!+AB242+AB253+#REF!+AB257+AB258</f>
        <v>#REF!</v>
      </c>
      <c r="AC1181" s="384" t="e">
        <f>AC144+AC197+AC238+AC239+AC240+#REF!+AC242+AC253+#REF!+AC257+AC258</f>
        <v>#REF!</v>
      </c>
      <c r="AD1181" s="384" t="e">
        <f>AD144+AD197+AD238+AD239+AD240+#REF!+AD242+AD253+#REF!+AD257+AD258</f>
        <v>#REF!</v>
      </c>
      <c r="AE1181" s="384" t="e">
        <f>AE144+AE197+AE238+AE239+AE240+#REF!+AE242+AE253+#REF!+AE257+AE258</f>
        <v>#REF!</v>
      </c>
      <c r="AF1181" s="384" t="e">
        <f>AF144+AF197+AF238+AF239+AF240+#REF!+AF242+AF253+#REF!+AF257+AF258</f>
        <v>#REF!</v>
      </c>
      <c r="AG1181" s="384" t="e">
        <f>AG144+AG197+AG238+AG239+AG240+#REF!+AG242+AG253+#REF!+AG257+AG258</f>
        <v>#REF!</v>
      </c>
      <c r="AH1181" s="384" t="e">
        <f>AH144+AH197+AH238+AH239+AH240+#REF!+AH242+AH253+#REF!+AH257+AH258</f>
        <v>#REF!</v>
      </c>
      <c r="AI1181" s="384" t="e">
        <f>AI144+AI197+AI238+AI239+AI240+#REF!+AI242+AI253+#REF!+AI257+AI258</f>
        <v>#REF!</v>
      </c>
      <c r="AJ1181" s="384" t="e">
        <f>AJ144+AJ197+AJ238+AJ239+AJ240+#REF!+AJ242+AJ253+#REF!+AJ257+AJ258</f>
        <v>#REF!</v>
      </c>
      <c r="AK1181" s="384" t="e">
        <f>AK144+AK197+AK238+AK239+AK240+#REF!+AK242+AK253+#REF!+AK257+AK258</f>
        <v>#REF!</v>
      </c>
      <c r="AL1181" s="384" t="e">
        <f>AL144+AL197+AL238+AL239+AL240+#REF!+AL242+AL253+#REF!+AL257+AL258</f>
        <v>#REF!</v>
      </c>
      <c r="AM1181" s="384" t="e">
        <f>AM144+AM197+AM238+AM239+AM240+#REF!+AM242+AM253+#REF!+AM257+AM258</f>
        <v>#REF!</v>
      </c>
      <c r="AN1181" s="384" t="e">
        <f>AN144+AN197+AN238+AN239+AN240+#REF!+AN242+AN253+#REF!+AN257+AN258</f>
        <v>#REF!</v>
      </c>
      <c r="AO1181" s="384" t="e">
        <f>AO144+AO197+AO238+AO239+AO240+#REF!+AO242+AO253+#REF!+AO257+AO258</f>
        <v>#REF!</v>
      </c>
      <c r="AP1181" s="384" t="e">
        <f>AP144+AP197+AP238+AP239+AP240+#REF!+AP242+AP253+#REF!+AP257+AP258</f>
        <v>#REF!</v>
      </c>
      <c r="AQ1181" s="384" t="e">
        <f>AQ144+AQ197+AQ238+AQ239+AQ240+#REF!+AQ242+AQ253+#REF!+AQ257+AQ258</f>
        <v>#REF!</v>
      </c>
      <c r="AR1181" s="384" t="e">
        <f>AR144+AR197+AR238+AR239+AR240+#REF!+AR242+AR253+#REF!+AR257+AR258</f>
        <v>#REF!</v>
      </c>
      <c r="AS1181" s="384" t="e">
        <f>AS144+AS197+AS238+AS239+AS240+#REF!+AS242+AS253+#REF!+AS257+AS258</f>
        <v>#REF!</v>
      </c>
      <c r="AT1181" s="384" t="e">
        <f>AT144+AT197+AT238+AT239+AT240+#REF!+AT242+AT253+#REF!+AT257+AT258</f>
        <v>#REF!</v>
      </c>
      <c r="AU1181" s="384" t="e">
        <f>AU144+AU197+AU238+AU239+AU240+#REF!+AU242+AU253+#REF!+AU257+AU258</f>
        <v>#REF!</v>
      </c>
      <c r="AV1181" s="384" t="e">
        <f>AV144+AV197+AV238+AV239+AV240+#REF!+AV242+AV253+#REF!+AV257+AV258</f>
        <v>#REF!</v>
      </c>
      <c r="AW1181" s="384" t="e">
        <f>AW144+AW197+AW238+AW239+AW240+#REF!+AW242+AW253+#REF!+AW257+AW258</f>
        <v>#REF!</v>
      </c>
      <c r="AX1181" s="384" t="e">
        <f>AX144+AX197+AX238+AX239+AX240+#REF!+AX242+AX253+#REF!+AX257+AX258</f>
        <v>#REF!</v>
      </c>
      <c r="AY1181" s="384" t="e">
        <f>AY144+AY197+AY238+AY239+AY240+#REF!+AY242+AY253+#REF!+AY257+AY258</f>
        <v>#REF!</v>
      </c>
      <c r="AZ1181" s="384" t="e">
        <f>AZ144+AZ197+AZ238+AZ239+AZ240+#REF!+AZ242+AZ253+#REF!+AZ257+AZ258</f>
        <v>#REF!</v>
      </c>
      <c r="BA1181" s="384" t="e">
        <f>BA144+BA197+BA238+BA239+BA240+#REF!+BA242+BA253+#REF!+BA257+BA258</f>
        <v>#REF!</v>
      </c>
      <c r="BB1181" s="384" t="e">
        <f>BB144+BB197+BB238+BB239+BB240+#REF!+BB242+BB253+#REF!+BB257+BB258</f>
        <v>#REF!</v>
      </c>
    </row>
    <row r="1182" spans="1:54" s="385" customFormat="1" ht="13.5" hidden="1" outlineLevel="1">
      <c r="D1182" s="381"/>
      <c r="E1182" s="383"/>
      <c r="F1182" s="568" t="s">
        <v>789</v>
      </c>
      <c r="G1182" s="568"/>
      <c r="H1182" s="569"/>
      <c r="Q1182" s="405" t="e">
        <f t="shared" ref="Q1182:AE1182" si="10241">SUM(Q1180:Q1181)</f>
        <v>#REF!</v>
      </c>
      <c r="R1182" s="406" t="e">
        <f t="shared" si="10241"/>
        <v>#REF!</v>
      </c>
      <c r="S1182" s="397" t="e">
        <f t="shared" si="10241"/>
        <v>#REF!</v>
      </c>
      <c r="T1182" s="389" t="e">
        <f t="shared" si="10241"/>
        <v>#REF!</v>
      </c>
      <c r="U1182" s="389" t="e">
        <f t="shared" si="10241"/>
        <v>#REF!</v>
      </c>
      <c r="V1182" s="389" t="e">
        <f t="shared" si="10241"/>
        <v>#REF!</v>
      </c>
      <c r="W1182" s="389" t="e">
        <f t="shared" si="10241"/>
        <v>#REF!</v>
      </c>
      <c r="X1182" s="389" t="e">
        <f t="shared" si="10241"/>
        <v>#REF!</v>
      </c>
      <c r="Y1182" s="389" t="e">
        <f t="shared" si="10241"/>
        <v>#REF!</v>
      </c>
      <c r="Z1182" s="389" t="e">
        <f t="shared" si="10241"/>
        <v>#REF!</v>
      </c>
      <c r="AA1182" s="389" t="e">
        <f t="shared" si="10241"/>
        <v>#REF!</v>
      </c>
      <c r="AB1182" s="389" t="e">
        <f t="shared" si="10241"/>
        <v>#REF!</v>
      </c>
      <c r="AC1182" s="389" t="e">
        <f t="shared" si="10241"/>
        <v>#REF!</v>
      </c>
      <c r="AD1182" s="389" t="e">
        <f t="shared" si="10241"/>
        <v>#REF!</v>
      </c>
      <c r="AE1182" s="389" t="e">
        <f t="shared" si="10241"/>
        <v>#REF!</v>
      </c>
      <c r="AF1182" s="389" t="e">
        <f>SUM(AF1180:AF1181)</f>
        <v>#REF!</v>
      </c>
      <c r="AG1182" s="389" t="e">
        <f t="shared" ref="AG1182:BB1182" si="10242">SUM(AG1180:AG1181)</f>
        <v>#REF!</v>
      </c>
      <c r="AH1182" s="389" t="e">
        <f t="shared" si="10242"/>
        <v>#REF!</v>
      </c>
      <c r="AI1182" s="389" t="e">
        <f t="shared" si="10242"/>
        <v>#REF!</v>
      </c>
      <c r="AJ1182" s="389" t="e">
        <f t="shared" si="10242"/>
        <v>#REF!</v>
      </c>
      <c r="AK1182" s="389" t="e">
        <f t="shared" si="10242"/>
        <v>#REF!</v>
      </c>
      <c r="AL1182" s="389" t="e">
        <f t="shared" si="10242"/>
        <v>#REF!</v>
      </c>
      <c r="AM1182" s="389" t="e">
        <f t="shared" si="10242"/>
        <v>#REF!</v>
      </c>
      <c r="AN1182" s="389" t="e">
        <f t="shared" si="10242"/>
        <v>#REF!</v>
      </c>
      <c r="AO1182" s="389" t="e">
        <f t="shared" si="10242"/>
        <v>#REF!</v>
      </c>
      <c r="AP1182" s="389" t="e">
        <f t="shared" si="10242"/>
        <v>#REF!</v>
      </c>
      <c r="AQ1182" s="389" t="e">
        <f t="shared" si="10242"/>
        <v>#REF!</v>
      </c>
      <c r="AR1182" s="389" t="e">
        <f t="shared" si="10242"/>
        <v>#REF!</v>
      </c>
      <c r="AS1182" s="389" t="e">
        <f t="shared" si="10242"/>
        <v>#REF!</v>
      </c>
      <c r="AT1182" s="389" t="e">
        <f t="shared" si="10242"/>
        <v>#REF!</v>
      </c>
      <c r="AU1182" s="389" t="e">
        <f t="shared" si="10242"/>
        <v>#REF!</v>
      </c>
      <c r="AV1182" s="389" t="e">
        <f t="shared" si="10242"/>
        <v>#REF!</v>
      </c>
      <c r="AW1182" s="389" t="e">
        <f t="shared" si="10242"/>
        <v>#REF!</v>
      </c>
      <c r="AX1182" s="389" t="e">
        <f t="shared" si="10242"/>
        <v>#REF!</v>
      </c>
      <c r="AY1182" s="389" t="e">
        <f t="shared" si="10242"/>
        <v>#REF!</v>
      </c>
      <c r="AZ1182" s="389" t="e">
        <f t="shared" si="10242"/>
        <v>#REF!</v>
      </c>
      <c r="BA1182" s="389" t="e">
        <f t="shared" si="10242"/>
        <v>#REF!</v>
      </c>
      <c r="BB1182" s="389" t="e">
        <f t="shared" si="10242"/>
        <v>#REF!</v>
      </c>
    </row>
    <row r="1183" spans="1:54" ht="13.5" hidden="1" outlineLevel="1">
      <c r="D1183" s="378"/>
      <c r="E1183" s="378" t="s">
        <v>790</v>
      </c>
      <c r="F1183" s="564" t="s">
        <v>785</v>
      </c>
      <c r="G1183" s="565"/>
      <c r="H1183" s="565"/>
      <c r="Q1183" s="401" t="e">
        <f>Q138+Q286+Q289+Q297+#REF!+Q319+Q320+Q321+Q322+Q328+Q323+#REF!</f>
        <v>#REF!</v>
      </c>
      <c r="R1183" s="402" t="e">
        <f>R138+R286+R289+R297+#REF!+R319+R320+R321+R322+R328+R323+#REF!</f>
        <v>#REF!</v>
      </c>
      <c r="S1183" s="395" t="e">
        <f>S138+S286+S289+S297+#REF!+S319+S320+S321+S322+S328+S323+#REF!</f>
        <v>#REF!</v>
      </c>
      <c r="T1183" s="384" t="e">
        <f>T138+T286+T289+T297+#REF!+T319+T320+T321+T322+T328+T323+#REF!</f>
        <v>#REF!</v>
      </c>
      <c r="U1183" s="384" t="e">
        <f>U138+U286+U289+U297+#REF!+U319+U320+U321+U322+U328+U323+#REF!</f>
        <v>#REF!</v>
      </c>
      <c r="V1183" s="384" t="e">
        <f>V138+V286+V289+V297+#REF!+V319+V320+V321+V322+V328+V323+#REF!</f>
        <v>#REF!</v>
      </c>
      <c r="W1183" s="384" t="e">
        <f>W138+W286+W289+W297+#REF!+W319+W320+W321+W322+W328+W323+#REF!</f>
        <v>#REF!</v>
      </c>
      <c r="X1183" s="384" t="e">
        <f>X138+X286+X289+X297+#REF!+X319+X320+X321+X322+X328+X323+#REF!</f>
        <v>#REF!</v>
      </c>
      <c r="Y1183" s="384" t="e">
        <f>Y138+Y286+Y289+Y297+#REF!+Y319+Y320+Y321+Y322+Y328+Y323+#REF!</f>
        <v>#REF!</v>
      </c>
      <c r="Z1183" s="384" t="e">
        <f>Z138+Z286+Z289+Z297+#REF!+Z319+Z320+Z321+Z322+Z328+Z323+#REF!</f>
        <v>#REF!</v>
      </c>
      <c r="AA1183" s="384" t="e">
        <f>AA138+AA286+AA289+AA297+#REF!+AA319+AA320+AA321+AA322+AA328+AA323+#REF!</f>
        <v>#REF!</v>
      </c>
      <c r="AB1183" s="384" t="e">
        <f>AB138+AB286+AB289+AB297+#REF!+AB319+AB320+AB321+AB322+AB328+AB323+#REF!</f>
        <v>#REF!</v>
      </c>
      <c r="AC1183" s="384" t="e">
        <f>AC138+AC286+AC289+AC297+#REF!+AC319+AC320+AC321+AC322+AC328+AC323+#REF!</f>
        <v>#REF!</v>
      </c>
      <c r="AD1183" s="384" t="e">
        <f>AD138+AD286+AD289+AD297+#REF!+AD319+AD320+AD321+AD322+AD328+AD323+#REF!</f>
        <v>#REF!</v>
      </c>
      <c r="AE1183" s="384" t="e">
        <f>AE138+AE286+AE289+AE297+#REF!+AE319+AE320+AE321+AE322+AE328+AE323+#REF!</f>
        <v>#REF!</v>
      </c>
      <c r="AF1183" s="384" t="e">
        <f>AF138+AF286+AF289+AF297+#REF!+AF319+AF320+AF321+AF322+AF328+AF323+#REF!</f>
        <v>#REF!</v>
      </c>
      <c r="AG1183" s="384" t="e">
        <f>AG138+AG286+AG289+AG297+#REF!+AG319+AG320+AG321+AG322+AG328+AG323+#REF!</f>
        <v>#REF!</v>
      </c>
      <c r="AH1183" s="384" t="e">
        <f>AH138+AH286+AH289+AH297+#REF!+AH319+AH320+AH321+AH322+AH328+AH323+#REF!</f>
        <v>#REF!</v>
      </c>
      <c r="AI1183" s="384" t="e">
        <f>AI138+AI286+AI289+AI297+#REF!+AI319+AI320+AI321+AI322+AI328+AI323+#REF!</f>
        <v>#REF!</v>
      </c>
      <c r="AJ1183" s="384" t="e">
        <f>AJ138+AJ286+AJ289+AJ297+#REF!+AJ319+AJ320+AJ321+AJ322+AJ328+AJ323+#REF!</f>
        <v>#REF!</v>
      </c>
      <c r="AK1183" s="384" t="e">
        <f>AK138+AK286+AK289+AK297+#REF!+AK319+AK320+AK321+AK322+AK328+AK323+#REF!</f>
        <v>#REF!</v>
      </c>
      <c r="AL1183" s="384" t="e">
        <f>AL138+AL286+AL289+AL297+#REF!+AL319+AL320+AL321+AL322+AL328+AL323+#REF!</f>
        <v>#REF!</v>
      </c>
      <c r="AM1183" s="384" t="e">
        <f>AM138+AM286+AM289+AM297+#REF!+AM319+AM320+AM321+AM322+AM328+AM323+#REF!</f>
        <v>#REF!</v>
      </c>
      <c r="AN1183" s="384" t="e">
        <f>AN138+AN286+AN289+AN297+#REF!+AN319+AN320+AN321+AN322+AN328+AN323+#REF!</f>
        <v>#REF!</v>
      </c>
      <c r="AO1183" s="384" t="e">
        <f>AO138+AO286+AO289+AO297+#REF!+AO319+AO320+AO321+AO322+AO328+AO323+#REF!</f>
        <v>#REF!</v>
      </c>
      <c r="AP1183" s="384" t="e">
        <f>AP138+AP286+AP289+AP297+#REF!+AP319+AP320+AP321+AP322+AP328+AP323+#REF!</f>
        <v>#REF!</v>
      </c>
      <c r="AQ1183" s="384" t="e">
        <f>AQ138+AQ286+AQ289+AQ297+#REF!+AQ319+AQ320+AQ321+AQ322+AQ328+AQ323+#REF!</f>
        <v>#REF!</v>
      </c>
      <c r="AR1183" s="384" t="e">
        <f>AR138+AR286+AR289+AR297+#REF!+AR319+AR320+AR321+AR322+AR328+AR323+#REF!</f>
        <v>#REF!</v>
      </c>
      <c r="AS1183" s="384" t="e">
        <f>AS138+AS286+AS289+AS297+#REF!+AS319+AS320+AS321+AS322+AS328+AS323+#REF!</f>
        <v>#REF!</v>
      </c>
      <c r="AT1183" s="384" t="e">
        <f>AT138+AT286+AT289+AT297+#REF!+AT319+AT320+AT321+AT322+AT328+AT323+#REF!</f>
        <v>#REF!</v>
      </c>
      <c r="AU1183" s="384" t="e">
        <f>AU138+AU286+AU289+AU297+#REF!+AU319+AU320+AU321+AU322+AU328+AU323+#REF!</f>
        <v>#REF!</v>
      </c>
      <c r="AV1183" s="384" t="e">
        <f>AV138+AV286+AV289+AV297+#REF!+AV319+AV320+AV321+AV322+AV328+AV323+#REF!</f>
        <v>#REF!</v>
      </c>
      <c r="AW1183" s="384" t="e">
        <f>AW138+AW286+AW289+AW297+#REF!+AW319+AW320+AW321+AW322+AW328+AW323+#REF!</f>
        <v>#REF!</v>
      </c>
      <c r="AX1183" s="384" t="e">
        <f>AX138+AX286+AX289+AX297+#REF!+AX319+AX320+AX321+AX322+AX328+AX323+#REF!</f>
        <v>#REF!</v>
      </c>
      <c r="AY1183" s="384" t="e">
        <f>AY138+AY286+AY289+AY297+#REF!+AY319+AY320+AY321+AY322+AY328+AY323+#REF!</f>
        <v>#REF!</v>
      </c>
      <c r="AZ1183" s="384" t="e">
        <f>AZ138+AZ286+AZ289+AZ297+#REF!+AZ319+AZ320+AZ321+AZ322+AZ328+AZ323+#REF!</f>
        <v>#REF!</v>
      </c>
      <c r="BA1183" s="384" t="e">
        <f>BA138+BA286+BA289+BA297+#REF!+BA319+BA320+BA321+BA322+BA328+BA323+#REF!</f>
        <v>#REF!</v>
      </c>
      <c r="BB1183" s="384" t="e">
        <f>BB138+BB286+BB289+BB297+#REF!+BB319+BB320+BB321+BB322+BB328+BB323+#REF!</f>
        <v>#REF!</v>
      </c>
    </row>
    <row r="1184" spans="1:54" ht="13.5" hidden="1" outlineLevel="1">
      <c r="D1184" s="378"/>
      <c r="E1184" s="378"/>
      <c r="F1184" s="561" t="s">
        <v>788</v>
      </c>
      <c r="G1184" s="562"/>
      <c r="H1184" s="563"/>
      <c r="Q1184" s="401" t="e">
        <f>Q214+Q293+#REF!+#REF!+#REF!+#REF!+#REF!+#REF!+#REF!+#REF!</f>
        <v>#REF!</v>
      </c>
      <c r="R1184" s="402" t="e">
        <f>R214+R293+#REF!+#REF!+#REF!+#REF!+#REF!+#REF!+#REF!+#REF!</f>
        <v>#REF!</v>
      </c>
      <c r="S1184" s="395" t="e">
        <f>S214+S293+#REF!+#REF!+#REF!+#REF!+#REF!+#REF!+#REF!+#REF!</f>
        <v>#REF!</v>
      </c>
      <c r="T1184" s="384" t="e">
        <f>T214+T293+#REF!+#REF!+#REF!+#REF!+#REF!+#REF!+#REF!+#REF!</f>
        <v>#REF!</v>
      </c>
      <c r="U1184" s="384" t="e">
        <f>U214+U293+#REF!+#REF!+#REF!+#REF!+#REF!+#REF!+#REF!+#REF!</f>
        <v>#REF!</v>
      </c>
      <c r="V1184" s="384" t="e">
        <f>V214+V293+#REF!+#REF!+#REF!+#REF!+#REF!+#REF!+#REF!+#REF!</f>
        <v>#REF!</v>
      </c>
      <c r="W1184" s="384" t="e">
        <f>W214+W293+#REF!+#REF!+#REF!+#REF!+#REF!+#REF!+#REF!+#REF!</f>
        <v>#REF!</v>
      </c>
      <c r="X1184" s="384" t="e">
        <f>X214+X293+#REF!+#REF!+#REF!+#REF!+#REF!+#REF!+#REF!+#REF!</f>
        <v>#REF!</v>
      </c>
      <c r="Y1184" s="384" t="e">
        <f>Y214+Y293+#REF!+#REF!+#REF!+#REF!+#REF!+#REF!+#REF!+#REF!</f>
        <v>#REF!</v>
      </c>
      <c r="Z1184" s="384" t="e">
        <f>Z214+Z293+#REF!+#REF!+#REF!+#REF!+#REF!+#REF!+#REF!+#REF!</f>
        <v>#REF!</v>
      </c>
      <c r="AA1184" s="384" t="e">
        <f>AA214+AA293+#REF!+#REF!+#REF!+#REF!+#REF!+#REF!+#REF!+#REF!</f>
        <v>#REF!</v>
      </c>
      <c r="AB1184" s="384" t="e">
        <f>AB214+AB293+#REF!+#REF!+#REF!+#REF!+#REF!+#REF!+#REF!+#REF!</f>
        <v>#REF!</v>
      </c>
      <c r="AC1184" s="384" t="e">
        <f>AC214+AC293+#REF!+#REF!+#REF!+#REF!+#REF!+#REF!+#REF!+#REF!</f>
        <v>#REF!</v>
      </c>
      <c r="AD1184" s="384" t="e">
        <f>AD214+AD293+#REF!+#REF!+#REF!+#REF!+#REF!+#REF!+#REF!+#REF!</f>
        <v>#REF!</v>
      </c>
      <c r="AE1184" s="384" t="e">
        <f>AE214+AE293+#REF!+#REF!+#REF!+#REF!+#REF!+#REF!+#REF!+#REF!</f>
        <v>#REF!</v>
      </c>
      <c r="AF1184" s="384" t="e">
        <f>AF214+AF293+#REF!+#REF!+#REF!+#REF!+#REF!+#REF!+#REF!+#REF!</f>
        <v>#REF!</v>
      </c>
      <c r="AG1184" s="384" t="e">
        <f>AG214+AG293+#REF!+#REF!+#REF!+#REF!+#REF!+#REF!+#REF!+#REF!</f>
        <v>#REF!</v>
      </c>
      <c r="AH1184" s="384" t="e">
        <f>AH214+AH293+#REF!+#REF!+#REF!+#REF!+#REF!+#REF!+#REF!+#REF!</f>
        <v>#REF!</v>
      </c>
      <c r="AI1184" s="384" t="e">
        <f>AI214+AI293+#REF!+#REF!+#REF!+#REF!+#REF!+#REF!+#REF!+#REF!</f>
        <v>#REF!</v>
      </c>
      <c r="AJ1184" s="384" t="e">
        <f>AJ214+AJ293+#REF!+#REF!+#REF!+#REF!+#REF!+#REF!+#REF!+#REF!</f>
        <v>#REF!</v>
      </c>
      <c r="AK1184" s="384" t="e">
        <f>AK214+AK293+#REF!+#REF!+#REF!+#REF!+#REF!+#REF!+#REF!+#REF!</f>
        <v>#REF!</v>
      </c>
      <c r="AL1184" s="384" t="e">
        <f>AL214+AL293+#REF!+#REF!+#REF!+#REF!+#REF!+#REF!+#REF!+#REF!</f>
        <v>#REF!</v>
      </c>
      <c r="AM1184" s="384" t="e">
        <f>AM214+AM293+#REF!+#REF!+#REF!+#REF!+#REF!+#REF!+#REF!+#REF!</f>
        <v>#REF!</v>
      </c>
      <c r="AN1184" s="384" t="e">
        <f>AN214+AN293+#REF!+#REF!+#REF!+#REF!+#REF!+#REF!+#REF!+#REF!</f>
        <v>#REF!</v>
      </c>
      <c r="AO1184" s="384" t="e">
        <f>AO214+AO293+#REF!+#REF!+#REF!+#REF!+#REF!+#REF!+#REF!+#REF!</f>
        <v>#REF!</v>
      </c>
      <c r="AP1184" s="384" t="e">
        <f>AP214+AP293+#REF!+#REF!+#REF!+#REF!+#REF!+#REF!+#REF!+#REF!</f>
        <v>#REF!</v>
      </c>
      <c r="AQ1184" s="384" t="e">
        <f>AQ214+AQ293+#REF!+#REF!+#REF!+#REF!+#REF!+#REF!+#REF!+#REF!</f>
        <v>#REF!</v>
      </c>
      <c r="AR1184" s="384" t="e">
        <f>AR214+AR293+#REF!+#REF!+#REF!+#REF!+#REF!+#REF!+#REF!+#REF!</f>
        <v>#REF!</v>
      </c>
      <c r="AS1184" s="384" t="e">
        <f>AS214+AS293+#REF!+#REF!+#REF!+#REF!+#REF!+#REF!+#REF!+#REF!</f>
        <v>#REF!</v>
      </c>
      <c r="AT1184" s="384" t="e">
        <f>AT214+AT293+#REF!+#REF!+#REF!+#REF!+#REF!+#REF!+#REF!+#REF!</f>
        <v>#REF!</v>
      </c>
      <c r="AU1184" s="384" t="e">
        <f>AU214+AU293+#REF!+#REF!+#REF!+#REF!+#REF!+#REF!+#REF!+#REF!</f>
        <v>#REF!</v>
      </c>
      <c r="AV1184" s="384" t="e">
        <f>AV214+AV293+#REF!+#REF!+#REF!+#REF!+#REF!+#REF!+#REF!+#REF!</f>
        <v>#REF!</v>
      </c>
      <c r="AW1184" s="384" t="e">
        <f>AW214+AW293+#REF!+#REF!+#REF!+#REF!+#REF!+#REF!+#REF!+#REF!</f>
        <v>#REF!</v>
      </c>
      <c r="AX1184" s="384" t="e">
        <f>AX214+AX293+#REF!+#REF!+#REF!+#REF!+#REF!+#REF!+#REF!+#REF!</f>
        <v>#REF!</v>
      </c>
      <c r="AY1184" s="384" t="e">
        <f>AY214+AY293+#REF!+#REF!+#REF!+#REF!+#REF!+#REF!+#REF!+#REF!</f>
        <v>#REF!</v>
      </c>
      <c r="AZ1184" s="384" t="e">
        <f>AZ214+AZ293+#REF!+#REF!+#REF!+#REF!+#REF!+#REF!+#REF!+#REF!</f>
        <v>#REF!</v>
      </c>
      <c r="BA1184" s="384" t="e">
        <f>BA214+BA293+#REF!+#REF!+#REF!+#REF!+#REF!+#REF!+#REF!+#REF!</f>
        <v>#REF!</v>
      </c>
      <c r="BB1184" s="384" t="e">
        <f>BB214+BB293+#REF!+#REF!+#REF!+#REF!+#REF!+#REF!+#REF!+#REF!</f>
        <v>#REF!</v>
      </c>
    </row>
    <row r="1185" spans="4:54" s="385" customFormat="1" ht="13.5" hidden="1" outlineLevel="1">
      <c r="D1185" s="381"/>
      <c r="E1185" s="383"/>
      <c r="F1185" s="568" t="s">
        <v>789</v>
      </c>
      <c r="G1185" s="568"/>
      <c r="H1185" s="569"/>
      <c r="Q1185" s="403" t="e">
        <f t="shared" ref="Q1185:AE1185" si="10243">SUM(Q1183:Q1184)</f>
        <v>#REF!</v>
      </c>
      <c r="R1185" s="404" t="e">
        <f t="shared" si="10243"/>
        <v>#REF!</v>
      </c>
      <c r="S1185" s="396" t="e">
        <f t="shared" si="10243"/>
        <v>#REF!</v>
      </c>
      <c r="T1185" s="388" t="e">
        <f t="shared" si="10243"/>
        <v>#REF!</v>
      </c>
      <c r="U1185" s="388" t="e">
        <f t="shared" si="10243"/>
        <v>#REF!</v>
      </c>
      <c r="V1185" s="388" t="e">
        <f t="shared" si="10243"/>
        <v>#REF!</v>
      </c>
      <c r="W1185" s="388" t="e">
        <f t="shared" si="10243"/>
        <v>#REF!</v>
      </c>
      <c r="X1185" s="388" t="e">
        <f t="shared" si="10243"/>
        <v>#REF!</v>
      </c>
      <c r="Y1185" s="388" t="e">
        <f t="shared" si="10243"/>
        <v>#REF!</v>
      </c>
      <c r="Z1185" s="388" t="e">
        <f t="shared" si="10243"/>
        <v>#REF!</v>
      </c>
      <c r="AA1185" s="388" t="e">
        <f t="shared" si="10243"/>
        <v>#REF!</v>
      </c>
      <c r="AB1185" s="388" t="e">
        <f t="shared" si="10243"/>
        <v>#REF!</v>
      </c>
      <c r="AC1185" s="388" t="e">
        <f t="shared" si="10243"/>
        <v>#REF!</v>
      </c>
      <c r="AD1185" s="388" t="e">
        <f t="shared" si="10243"/>
        <v>#REF!</v>
      </c>
      <c r="AE1185" s="388" t="e">
        <f t="shared" si="10243"/>
        <v>#REF!</v>
      </c>
      <c r="AF1185" s="388" t="e">
        <f>SUM(AF1183:AF1184)</f>
        <v>#REF!</v>
      </c>
      <c r="AG1185" s="388" t="e">
        <f t="shared" ref="AG1185:BB1185" si="10244">SUM(AG1183:AG1184)</f>
        <v>#REF!</v>
      </c>
      <c r="AH1185" s="388" t="e">
        <f t="shared" si="10244"/>
        <v>#REF!</v>
      </c>
      <c r="AI1185" s="388" t="e">
        <f t="shared" si="10244"/>
        <v>#REF!</v>
      </c>
      <c r="AJ1185" s="388" t="e">
        <f t="shared" si="10244"/>
        <v>#REF!</v>
      </c>
      <c r="AK1185" s="388" t="e">
        <f t="shared" si="10244"/>
        <v>#REF!</v>
      </c>
      <c r="AL1185" s="388" t="e">
        <f t="shared" si="10244"/>
        <v>#REF!</v>
      </c>
      <c r="AM1185" s="388" t="e">
        <f t="shared" si="10244"/>
        <v>#REF!</v>
      </c>
      <c r="AN1185" s="388" t="e">
        <f t="shared" si="10244"/>
        <v>#REF!</v>
      </c>
      <c r="AO1185" s="388" t="e">
        <f t="shared" si="10244"/>
        <v>#REF!</v>
      </c>
      <c r="AP1185" s="388" t="e">
        <f t="shared" si="10244"/>
        <v>#REF!</v>
      </c>
      <c r="AQ1185" s="388" t="e">
        <f t="shared" si="10244"/>
        <v>#REF!</v>
      </c>
      <c r="AR1185" s="388" t="e">
        <f t="shared" si="10244"/>
        <v>#REF!</v>
      </c>
      <c r="AS1185" s="388" t="e">
        <f t="shared" si="10244"/>
        <v>#REF!</v>
      </c>
      <c r="AT1185" s="388" t="e">
        <f t="shared" si="10244"/>
        <v>#REF!</v>
      </c>
      <c r="AU1185" s="388" t="e">
        <f t="shared" si="10244"/>
        <v>#REF!</v>
      </c>
      <c r="AV1185" s="388" t="e">
        <f t="shared" si="10244"/>
        <v>#REF!</v>
      </c>
      <c r="AW1185" s="388" t="e">
        <f t="shared" si="10244"/>
        <v>#REF!</v>
      </c>
      <c r="AX1185" s="388" t="e">
        <f t="shared" si="10244"/>
        <v>#REF!</v>
      </c>
      <c r="AY1185" s="388" t="e">
        <f t="shared" si="10244"/>
        <v>#REF!</v>
      </c>
      <c r="AZ1185" s="388" t="e">
        <f t="shared" si="10244"/>
        <v>#REF!</v>
      </c>
      <c r="BA1185" s="388" t="e">
        <f t="shared" si="10244"/>
        <v>#REF!</v>
      </c>
      <c r="BB1185" s="388" t="e">
        <f t="shared" si="10244"/>
        <v>#REF!</v>
      </c>
    </row>
    <row r="1186" spans="4:54" ht="13.5" hidden="1" outlineLevel="1">
      <c r="D1186" s="378"/>
      <c r="E1186" s="378" t="s">
        <v>791</v>
      </c>
      <c r="F1186" s="564" t="s">
        <v>788</v>
      </c>
      <c r="G1186" s="565"/>
      <c r="H1186" s="565"/>
      <c r="Q1186" s="401">
        <f>Q228+Q259+Q260+Q275+Q519</f>
        <v>0</v>
      </c>
      <c r="R1186" s="401">
        <f>R228+R259+R260+R275+R519</f>
        <v>0</v>
      </c>
      <c r="S1186" s="395">
        <f>S228+S259+S260+S275+S516</f>
        <v>0</v>
      </c>
      <c r="T1186" s="395">
        <f>T228+T259+T260+T275+T516</f>
        <v>0</v>
      </c>
      <c r="U1186" s="395">
        <f>U228+U259+U260+U275+U516</f>
        <v>0</v>
      </c>
      <c r="V1186" s="395">
        <f>V228+V259+V260+V275+V516</f>
        <v>0</v>
      </c>
      <c r="W1186" s="395">
        <f>W228+W259+W260+W275+W516</f>
        <v>0</v>
      </c>
      <c r="X1186" s="395">
        <f>X228+X259+X260+X275+X516</f>
        <v>0</v>
      </c>
      <c r="Y1186" s="395">
        <f>Y228+Y259+Y260+Y275+Y516</f>
        <v>0</v>
      </c>
      <c r="Z1186" s="395">
        <f>Z228+Z259+Z260+Z275+Z516</f>
        <v>0</v>
      </c>
      <c r="AA1186" s="395">
        <f>AA228+AA259+AA260+AA275+AA516</f>
        <v>0</v>
      </c>
      <c r="AB1186" s="395">
        <f>AB228+AB259+AB260+AB275+AB516</f>
        <v>0</v>
      </c>
      <c r="AC1186" s="395">
        <f>AC228+AC259+AC260+AC275+AC516</f>
        <v>0</v>
      </c>
      <c r="AD1186" s="395">
        <f>AD228+AD259+AD260+AD275+AD516</f>
        <v>0</v>
      </c>
      <c r="AE1186" s="395">
        <f>AE228+AE259+AE260+AE275+AE516</f>
        <v>0</v>
      </c>
      <c r="AF1186" s="395">
        <f>AF228+AF259+AF260+AF275+AF516</f>
        <v>0</v>
      </c>
      <c r="AG1186" s="395">
        <f>AG228+AG259+AG260+AG275+AG516</f>
        <v>0</v>
      </c>
      <c r="AH1186" s="395">
        <f>AH228+AH259+AH260+AH275+AH516</f>
        <v>0</v>
      </c>
      <c r="AI1186" s="395">
        <f>AI228+AI259+AI260+AI275+AI516</f>
        <v>0</v>
      </c>
      <c r="AJ1186" s="395">
        <f>AJ228+AJ259+AJ260+AJ275+AJ516</f>
        <v>0</v>
      </c>
      <c r="AK1186" s="395">
        <f>AK228+AK259+AK260+AK275+AK516</f>
        <v>0</v>
      </c>
      <c r="AL1186" s="395">
        <f>AL228+AL259+AL260+AL275+AL516</f>
        <v>0</v>
      </c>
      <c r="AM1186" s="395">
        <f>AM228+AM259+AM260+AM275+AM516</f>
        <v>0</v>
      </c>
      <c r="AN1186" s="395">
        <f>AN228+AN259+AN260+AN275+AN516</f>
        <v>0</v>
      </c>
      <c r="AO1186" s="395">
        <f>AO228+AO259+AO260+AO275+AO516</f>
        <v>0</v>
      </c>
      <c r="AP1186" s="395">
        <f>AP228+AP259+AP260+AP275+AP516</f>
        <v>0</v>
      </c>
      <c r="AQ1186" s="395">
        <f>AQ228+AQ259+AQ260+AQ275+AQ516</f>
        <v>0</v>
      </c>
      <c r="AR1186" s="395">
        <f>AR228+AR259+AR260+AR275+AR516</f>
        <v>0</v>
      </c>
      <c r="AS1186" s="395">
        <f>AS228+AS259+AS260+AS275+AS516</f>
        <v>0</v>
      </c>
      <c r="AT1186" s="395">
        <f>AT228+AT259+AT260+AT275+AT516</f>
        <v>0</v>
      </c>
      <c r="AU1186" s="395">
        <f>AU228+AU259+AU260+AU275+AU516</f>
        <v>0</v>
      </c>
      <c r="AV1186" s="395">
        <f>AV228+AV259+AV260+AV275+AV516</f>
        <v>0</v>
      </c>
      <c r="AW1186" s="395">
        <f>AW228+AW259+AW260+AW275+AW516</f>
        <v>0</v>
      </c>
      <c r="AX1186" s="395">
        <f>AX228+AX259+AX260+AX275+AX516</f>
        <v>0</v>
      </c>
      <c r="AY1186" s="395">
        <f>AY228+AY259+AY260+AY275+AY516</f>
        <v>0</v>
      </c>
      <c r="AZ1186" s="395">
        <f>AZ228+AZ259+AZ260+AZ275+AZ516</f>
        <v>0</v>
      </c>
      <c r="BA1186" s="395">
        <f>BA228+BA259+BA260+BA275+BA516</f>
        <v>0</v>
      </c>
      <c r="BB1186" s="395">
        <f>BB228+BB259+BB260+BB275+BB516</f>
        <v>0</v>
      </c>
    </row>
    <row r="1187" spans="4:54" s="385" customFormat="1" ht="13.5" hidden="1" outlineLevel="1">
      <c r="D1187" s="379"/>
      <c r="E1187" s="566" t="s">
        <v>792</v>
      </c>
      <c r="F1187" s="566"/>
      <c r="G1187" s="566"/>
      <c r="H1187" s="567"/>
      <c r="I1187" s="386"/>
      <c r="J1187" s="386"/>
      <c r="K1187" s="386"/>
      <c r="L1187" s="386"/>
      <c r="M1187" s="386"/>
      <c r="N1187" s="386"/>
      <c r="O1187" s="386"/>
      <c r="P1187" s="386"/>
      <c r="Q1187" s="407" t="e">
        <f t="shared" ref="Q1187:AE1187" si="10245">Q1179+Q1182+Q1185+Q1186</f>
        <v>#REF!</v>
      </c>
      <c r="R1187" s="408" t="e">
        <f t="shared" si="10245"/>
        <v>#REF!</v>
      </c>
      <c r="S1187" s="398" t="e">
        <f t="shared" si="10245"/>
        <v>#REF!</v>
      </c>
      <c r="T1187" s="387" t="e">
        <f t="shared" si="10245"/>
        <v>#REF!</v>
      </c>
      <c r="U1187" s="387" t="e">
        <f t="shared" si="10245"/>
        <v>#REF!</v>
      </c>
      <c r="V1187" s="387" t="e">
        <f t="shared" si="10245"/>
        <v>#REF!</v>
      </c>
      <c r="W1187" s="387" t="e">
        <f t="shared" si="10245"/>
        <v>#REF!</v>
      </c>
      <c r="X1187" s="387" t="e">
        <f t="shared" si="10245"/>
        <v>#REF!</v>
      </c>
      <c r="Y1187" s="387" t="e">
        <f t="shared" si="10245"/>
        <v>#REF!</v>
      </c>
      <c r="Z1187" s="387" t="e">
        <f t="shared" si="10245"/>
        <v>#REF!</v>
      </c>
      <c r="AA1187" s="387" t="e">
        <f t="shared" si="10245"/>
        <v>#REF!</v>
      </c>
      <c r="AB1187" s="387" t="e">
        <f t="shared" si="10245"/>
        <v>#REF!</v>
      </c>
      <c r="AC1187" s="387" t="e">
        <f t="shared" si="10245"/>
        <v>#REF!</v>
      </c>
      <c r="AD1187" s="387" t="e">
        <f t="shared" si="10245"/>
        <v>#REF!</v>
      </c>
      <c r="AE1187" s="387" t="e">
        <f t="shared" si="10245"/>
        <v>#REF!</v>
      </c>
      <c r="AF1187" s="387" t="e">
        <f>AF1179+AF1182+AF1185+AF1186</f>
        <v>#REF!</v>
      </c>
      <c r="AG1187" s="387" t="e">
        <f t="shared" ref="AG1187:BB1187" si="10246">AG1179+AG1182+AG1185+AG1186</f>
        <v>#REF!</v>
      </c>
      <c r="AH1187" s="387" t="e">
        <f t="shared" si="10246"/>
        <v>#REF!</v>
      </c>
      <c r="AI1187" s="387" t="e">
        <f t="shared" si="10246"/>
        <v>#REF!</v>
      </c>
      <c r="AJ1187" s="387" t="e">
        <f t="shared" si="10246"/>
        <v>#REF!</v>
      </c>
      <c r="AK1187" s="387" t="e">
        <f t="shared" si="10246"/>
        <v>#REF!</v>
      </c>
      <c r="AL1187" s="387" t="e">
        <f t="shared" si="10246"/>
        <v>#REF!</v>
      </c>
      <c r="AM1187" s="387" t="e">
        <f t="shared" si="10246"/>
        <v>#REF!</v>
      </c>
      <c r="AN1187" s="387" t="e">
        <f t="shared" si="10246"/>
        <v>#REF!</v>
      </c>
      <c r="AO1187" s="387" t="e">
        <f t="shared" si="10246"/>
        <v>#REF!</v>
      </c>
      <c r="AP1187" s="387" t="e">
        <f t="shared" si="10246"/>
        <v>#REF!</v>
      </c>
      <c r="AQ1187" s="387" t="e">
        <f t="shared" si="10246"/>
        <v>#REF!</v>
      </c>
      <c r="AR1187" s="387" t="e">
        <f t="shared" si="10246"/>
        <v>#REF!</v>
      </c>
      <c r="AS1187" s="387" t="e">
        <f t="shared" si="10246"/>
        <v>#REF!</v>
      </c>
      <c r="AT1187" s="387" t="e">
        <f t="shared" si="10246"/>
        <v>#REF!</v>
      </c>
      <c r="AU1187" s="387" t="e">
        <f t="shared" si="10246"/>
        <v>#REF!</v>
      </c>
      <c r="AV1187" s="387" t="e">
        <f t="shared" si="10246"/>
        <v>#REF!</v>
      </c>
      <c r="AW1187" s="387" t="e">
        <f t="shared" si="10246"/>
        <v>#REF!</v>
      </c>
      <c r="AX1187" s="387" t="e">
        <f t="shared" si="10246"/>
        <v>#REF!</v>
      </c>
      <c r="AY1187" s="387" t="e">
        <f t="shared" si="10246"/>
        <v>#REF!</v>
      </c>
      <c r="AZ1187" s="387" t="e">
        <f t="shared" si="10246"/>
        <v>#REF!</v>
      </c>
      <c r="BA1187" s="387" t="e">
        <f t="shared" si="10246"/>
        <v>#REF!</v>
      </c>
      <c r="BB1187" s="387" t="e">
        <f t="shared" si="10246"/>
        <v>#REF!</v>
      </c>
    </row>
    <row r="1188" spans="4:54" ht="13.5" hidden="1" outlineLevel="1">
      <c r="D1188" s="376" t="s">
        <v>762</v>
      </c>
      <c r="E1188" s="378" t="s">
        <v>763</v>
      </c>
      <c r="F1188" s="564" t="s">
        <v>764</v>
      </c>
      <c r="G1188" s="565"/>
      <c r="H1188" s="565"/>
      <c r="Q1188" s="401">
        <f>Q382</f>
        <v>305.94499999999994</v>
      </c>
      <c r="R1188" s="402">
        <f>R382</f>
        <v>1935.7172800000001</v>
      </c>
      <c r="S1188" s="395">
        <f>S382</f>
        <v>48.809999999999995</v>
      </c>
      <c r="T1188" s="384">
        <f>T382</f>
        <v>330.08106000000004</v>
      </c>
      <c r="U1188" s="384">
        <f>U382</f>
        <v>47.443000000000005</v>
      </c>
      <c r="V1188" s="384">
        <f>V382</f>
        <v>312.72004999999996</v>
      </c>
      <c r="W1188" s="384">
        <f>W382</f>
        <v>29.029999999999998</v>
      </c>
      <c r="X1188" s="384">
        <f>X382</f>
        <v>164.40002999999999</v>
      </c>
      <c r="Y1188" s="384">
        <f>Y382</f>
        <v>125.28299999999997</v>
      </c>
      <c r="Z1188" s="384">
        <f>Z382</f>
        <v>807.2011399999999</v>
      </c>
      <c r="AA1188" s="384">
        <f>AA382</f>
        <v>24.64</v>
      </c>
      <c r="AB1188" s="384">
        <f>AB382</f>
        <v>145.59296000000001</v>
      </c>
      <c r="AC1188" s="384">
        <f>AC382</f>
        <v>34.080000000000005</v>
      </c>
      <c r="AD1188" s="384">
        <f>AD382</f>
        <v>202.6592</v>
      </c>
      <c r="AE1188" s="384">
        <f>AE382</f>
        <v>17.399999999999999</v>
      </c>
      <c r="AF1188" s="384">
        <f>AF382</f>
        <v>113.03759999999998</v>
      </c>
      <c r="AG1188" s="384">
        <f>AG382</f>
        <v>76.12</v>
      </c>
      <c r="AH1188" s="384">
        <f>AH382</f>
        <v>461.28976000000006</v>
      </c>
      <c r="AI1188" s="384">
        <f>AI382</f>
        <v>201.40300000000002</v>
      </c>
      <c r="AJ1188" s="384">
        <f>AJ382</f>
        <v>1268.4909</v>
      </c>
      <c r="AK1188" s="384">
        <f>AK382</f>
        <v>28.04</v>
      </c>
      <c r="AL1188" s="384">
        <f>AL382</f>
        <v>186.00039999999998</v>
      </c>
      <c r="AM1188" s="384">
        <f>AM382</f>
        <v>3.6</v>
      </c>
      <c r="AN1188" s="384">
        <f>AN382</f>
        <v>21.42</v>
      </c>
      <c r="AO1188" s="384">
        <f>AO382</f>
        <v>15.817999999999998</v>
      </c>
      <c r="AP1188" s="384">
        <f>AP382</f>
        <v>94.835359999999994</v>
      </c>
      <c r="AQ1188" s="384">
        <f>AQ382</f>
        <v>47.457999999999998</v>
      </c>
      <c r="AR1188" s="384">
        <f>AR382</f>
        <v>302.25576000000001</v>
      </c>
      <c r="AS1188" s="384">
        <f>AS382</f>
        <v>17.009999999999998</v>
      </c>
      <c r="AT1188" s="384">
        <f>AT382</f>
        <v>101.3015</v>
      </c>
      <c r="AU1188" s="384">
        <f>AU382</f>
        <v>15.35</v>
      </c>
      <c r="AV1188" s="384">
        <f>AV382</f>
        <v>102.81319999999999</v>
      </c>
      <c r="AW1188" s="384">
        <f>AW382</f>
        <v>24.723999999999997</v>
      </c>
      <c r="AX1188" s="384">
        <f>AX382</f>
        <v>160.85592</v>
      </c>
      <c r="AY1188" s="384">
        <f>AY382</f>
        <v>57.083999999999996</v>
      </c>
      <c r="AZ1188" s="384">
        <f>AZ382</f>
        <v>364.97062</v>
      </c>
      <c r="BA1188" s="384">
        <f>BA382</f>
        <v>104.542</v>
      </c>
      <c r="BB1188" s="384">
        <f>BB382</f>
        <v>667.22638000000018</v>
      </c>
    </row>
    <row r="1189" spans="4:54" ht="13.5" hidden="1" outlineLevel="1">
      <c r="D1189" s="378"/>
      <c r="E1189" s="377" t="s">
        <v>793</v>
      </c>
      <c r="F1189" s="561" t="s">
        <v>760</v>
      </c>
      <c r="G1189" s="562"/>
      <c r="H1189" s="563"/>
      <c r="Q1189" s="401">
        <f>Q451</f>
        <v>1005.6290000000001</v>
      </c>
      <c r="R1189" s="402">
        <f>R451</f>
        <v>7940.571488275601</v>
      </c>
      <c r="S1189" s="395">
        <f>S451</f>
        <v>81.744</v>
      </c>
      <c r="T1189" s="384">
        <f>T451</f>
        <v>657.89825658480004</v>
      </c>
      <c r="U1189" s="384">
        <f>U451</f>
        <v>67.849999999999994</v>
      </c>
      <c r="V1189" s="384">
        <f>V451</f>
        <v>568.68493918400009</v>
      </c>
      <c r="W1189" s="384">
        <f>W451</f>
        <v>124.86200000000001</v>
      </c>
      <c r="X1189" s="384">
        <f>X451</f>
        <v>964.51718600799995</v>
      </c>
      <c r="Y1189" s="384">
        <f>Y451</f>
        <v>274.45600000000002</v>
      </c>
      <c r="Z1189" s="384">
        <f>Z451</f>
        <v>2191.1003817768001</v>
      </c>
      <c r="AA1189" s="384">
        <f>AA451</f>
        <v>80.124000000000009</v>
      </c>
      <c r="AB1189" s="384">
        <f>AB451</f>
        <v>625.56093865440005</v>
      </c>
      <c r="AC1189" s="384">
        <f>AC451</f>
        <v>73.453999999999994</v>
      </c>
      <c r="AD1189" s="384">
        <f>AD451</f>
        <v>594.17825843920014</v>
      </c>
      <c r="AE1189" s="384">
        <f>AE451</f>
        <v>94.87</v>
      </c>
      <c r="AF1189" s="384">
        <f>AF451</f>
        <v>746.22148083360003</v>
      </c>
      <c r="AG1189" s="384">
        <f>AG451</f>
        <v>248.44800000000004</v>
      </c>
      <c r="AH1189" s="384">
        <f>AH451</f>
        <v>1965.9606779271999</v>
      </c>
      <c r="AI1189" s="384">
        <f>AI451</f>
        <v>522.904</v>
      </c>
      <c r="AJ1189" s="384">
        <f>AJ451</f>
        <v>4157.0610597039995</v>
      </c>
      <c r="AK1189" s="384">
        <f>AK451</f>
        <v>90.411999999999992</v>
      </c>
      <c r="AL1189" s="384">
        <f>AL451</f>
        <v>720.67902779679991</v>
      </c>
      <c r="AM1189" s="384">
        <f>AM451</f>
        <v>58.152999999999992</v>
      </c>
      <c r="AN1189" s="384">
        <f>AN451</f>
        <v>451.89514759600002</v>
      </c>
      <c r="AO1189" s="384">
        <f>AO451</f>
        <v>93.028000000000006</v>
      </c>
      <c r="AP1189" s="384">
        <f>AP451</f>
        <v>698.26712987399992</v>
      </c>
      <c r="AQ1189" s="384">
        <f>AQ451</f>
        <v>241.59300000000002</v>
      </c>
      <c r="AR1189" s="384">
        <f>AR451</f>
        <v>1870.8413052668</v>
      </c>
      <c r="AS1189" s="384">
        <f>AS451</f>
        <v>99.032999999999973</v>
      </c>
      <c r="AT1189" s="384">
        <f>AT451</f>
        <v>765.63558129199998</v>
      </c>
      <c r="AU1189" s="384">
        <f>AU451</f>
        <v>76.809999999999988</v>
      </c>
      <c r="AV1189" s="384">
        <f>AV451</f>
        <v>608.23764837320005</v>
      </c>
      <c r="AW1189" s="384">
        <f>AW451</f>
        <v>65.289000000000001</v>
      </c>
      <c r="AX1189" s="384">
        <f>AX451</f>
        <v>538.79589363959997</v>
      </c>
      <c r="AY1189" s="384">
        <f>AY451</f>
        <v>241.13200000000003</v>
      </c>
      <c r="AZ1189" s="384">
        <f>AZ451</f>
        <v>1912.6691233048002</v>
      </c>
      <c r="BA1189" s="384">
        <f>BA451</f>
        <v>482.72499999999997</v>
      </c>
      <c r="BB1189" s="384">
        <f>BB451</f>
        <v>3783.5104285716011</v>
      </c>
    </row>
    <row r="1190" spans="4:54" ht="13.5" hidden="1" outlineLevel="1">
      <c r="D1190" s="378"/>
      <c r="E1190" s="378" t="s">
        <v>765</v>
      </c>
      <c r="F1190" s="564" t="s">
        <v>759</v>
      </c>
      <c r="G1190" s="565"/>
      <c r="H1190" s="565"/>
      <c r="Q1190" s="401">
        <f>Q458</f>
        <v>191.57</v>
      </c>
      <c r="R1190" s="402">
        <f>R458</f>
        <v>2269.7004019999999</v>
      </c>
      <c r="S1190" s="395">
        <f>S458</f>
        <v>3.4850000000000003</v>
      </c>
      <c r="T1190" s="384">
        <f>T458</f>
        <v>41.236083999999998</v>
      </c>
      <c r="U1190" s="384">
        <f>U458</f>
        <v>10.048999999999999</v>
      </c>
      <c r="V1190" s="384">
        <f>V458</f>
        <v>123.92897499999999</v>
      </c>
      <c r="W1190" s="384">
        <f>W458</f>
        <v>13.797000000000001</v>
      </c>
      <c r="X1190" s="384">
        <f>X458</f>
        <v>162.81209999999999</v>
      </c>
      <c r="Y1190" s="384">
        <f>Y458</f>
        <v>27.330999999999996</v>
      </c>
      <c r="Z1190" s="384">
        <f>Z458</f>
        <v>327.97715899999997</v>
      </c>
      <c r="AA1190" s="384">
        <f>AA458</f>
        <v>25.560000000000002</v>
      </c>
      <c r="AB1190" s="384">
        <f>AB458</f>
        <v>302.36948400000006</v>
      </c>
      <c r="AC1190" s="384">
        <f>AC458</f>
        <v>16.858000000000001</v>
      </c>
      <c r="AD1190" s="384">
        <f>AD458</f>
        <v>194.95197200000001</v>
      </c>
      <c r="AE1190" s="384">
        <f>AE458</f>
        <v>15.285</v>
      </c>
      <c r="AF1190" s="384">
        <f>AF458</f>
        <v>182.08695700000001</v>
      </c>
      <c r="AG1190" s="384">
        <f>AG458</f>
        <v>57.703000000000003</v>
      </c>
      <c r="AH1190" s="384">
        <f>AH458</f>
        <v>679.40841300000011</v>
      </c>
      <c r="AI1190" s="384">
        <f>AI458</f>
        <v>85.033999999999992</v>
      </c>
      <c r="AJ1190" s="384">
        <f>AJ458</f>
        <v>1007.385572</v>
      </c>
      <c r="AK1190" s="384">
        <f>AK458</f>
        <v>26.493000000000002</v>
      </c>
      <c r="AL1190" s="384">
        <f>AL458</f>
        <v>305.36888299999998</v>
      </c>
      <c r="AM1190" s="384">
        <f>AM458</f>
        <v>19.561999999999998</v>
      </c>
      <c r="AN1190" s="384">
        <f>AN458</f>
        <v>223.75590700000001</v>
      </c>
      <c r="AO1190" s="384">
        <f>AO458</f>
        <v>16.855</v>
      </c>
      <c r="AP1190" s="384">
        <f>AP458</f>
        <v>203.42859299999998</v>
      </c>
      <c r="AQ1190" s="384">
        <f>AQ458</f>
        <v>62.91</v>
      </c>
      <c r="AR1190" s="384">
        <f>AR458</f>
        <v>732.55338299999994</v>
      </c>
      <c r="AS1190" s="384">
        <f>AS458</f>
        <v>10.574999999999999</v>
      </c>
      <c r="AT1190" s="384">
        <f>AT458</f>
        <v>124.59016000000001</v>
      </c>
      <c r="AU1190" s="384">
        <f>AU458</f>
        <v>22.181000000000001</v>
      </c>
      <c r="AV1190" s="384">
        <f>AV458</f>
        <v>271.75481000000002</v>
      </c>
      <c r="AW1190" s="384">
        <f>AW458</f>
        <v>10.87</v>
      </c>
      <c r="AX1190" s="384">
        <f>AX458</f>
        <v>133.41647699999999</v>
      </c>
      <c r="AY1190" s="384">
        <f>AY458</f>
        <v>43.625999999999998</v>
      </c>
      <c r="AZ1190" s="384">
        <f>AZ458</f>
        <v>529.76144700000009</v>
      </c>
      <c r="BA1190" s="384">
        <f>BA458</f>
        <v>106.536</v>
      </c>
      <c r="BB1190" s="384">
        <f>BB458</f>
        <v>1262.3148299999998</v>
      </c>
    </row>
    <row r="1191" spans="4:54" s="385" customFormat="1" ht="13.5" hidden="1" outlineLevel="1">
      <c r="D1191" s="379"/>
      <c r="E1191" s="566" t="s">
        <v>761</v>
      </c>
      <c r="F1191" s="566"/>
      <c r="G1191" s="566"/>
      <c r="H1191" s="567"/>
      <c r="I1191" s="386"/>
      <c r="J1191" s="386"/>
      <c r="K1191" s="386"/>
      <c r="L1191" s="386"/>
      <c r="M1191" s="386"/>
      <c r="N1191" s="386"/>
      <c r="O1191" s="386"/>
      <c r="P1191" s="386"/>
      <c r="Q1191" s="407">
        <f t="shared" ref="Q1191:AE1191" si="10247">SUM(Q1188:Q1190)</f>
        <v>1503.144</v>
      </c>
      <c r="R1191" s="408">
        <f t="shared" si="10247"/>
        <v>12145.989170275601</v>
      </c>
      <c r="S1191" s="398">
        <f t="shared" si="10247"/>
        <v>134.03900000000002</v>
      </c>
      <c r="T1191" s="387">
        <f t="shared" si="10247"/>
        <v>1029.2154005847999</v>
      </c>
      <c r="U1191" s="387">
        <f t="shared" si="10247"/>
        <v>125.34200000000001</v>
      </c>
      <c r="V1191" s="387">
        <f t="shared" si="10247"/>
        <v>1005.333964184</v>
      </c>
      <c r="W1191" s="387">
        <f t="shared" si="10247"/>
        <v>167.68899999999999</v>
      </c>
      <c r="X1191" s="387">
        <f t="shared" si="10247"/>
        <v>1291.7293160079998</v>
      </c>
      <c r="Y1191" s="387">
        <f t="shared" si="10247"/>
        <v>427.07</v>
      </c>
      <c r="Z1191" s="387">
        <f t="shared" si="10247"/>
        <v>3326.2786807767998</v>
      </c>
      <c r="AA1191" s="387">
        <f t="shared" si="10247"/>
        <v>130.32400000000001</v>
      </c>
      <c r="AB1191" s="387">
        <f t="shared" si="10247"/>
        <v>1073.5233826544002</v>
      </c>
      <c r="AC1191" s="387">
        <f t="shared" si="10247"/>
        <v>124.392</v>
      </c>
      <c r="AD1191" s="387">
        <f t="shared" si="10247"/>
        <v>991.78943043920026</v>
      </c>
      <c r="AE1191" s="387">
        <f t="shared" si="10247"/>
        <v>127.55500000000001</v>
      </c>
      <c r="AF1191" s="387">
        <f>SUM(AF1188:AF1190)</f>
        <v>1041.3460378336001</v>
      </c>
      <c r="AG1191" s="387">
        <f t="shared" ref="AG1191:BB1191" si="10248">SUM(AG1188:AG1190)</f>
        <v>382.27100000000007</v>
      </c>
      <c r="AH1191" s="387">
        <f t="shared" si="10248"/>
        <v>3106.6588509272001</v>
      </c>
      <c r="AI1191" s="387">
        <f t="shared" si="10248"/>
        <v>809.34100000000001</v>
      </c>
      <c r="AJ1191" s="387">
        <f t="shared" si="10248"/>
        <v>6432.9375317039994</v>
      </c>
      <c r="AK1191" s="387">
        <f t="shared" si="10248"/>
        <v>144.94499999999999</v>
      </c>
      <c r="AL1191" s="387">
        <f t="shared" si="10248"/>
        <v>1212.0483107967998</v>
      </c>
      <c r="AM1191" s="387">
        <f t="shared" si="10248"/>
        <v>81.314999999999998</v>
      </c>
      <c r="AN1191" s="387">
        <f t="shared" si="10248"/>
        <v>697.07105459600007</v>
      </c>
      <c r="AO1191" s="387">
        <f t="shared" si="10248"/>
        <v>125.70100000000001</v>
      </c>
      <c r="AP1191" s="387">
        <f t="shared" si="10248"/>
        <v>996.53108287399994</v>
      </c>
      <c r="AQ1191" s="387">
        <f t="shared" si="10248"/>
        <v>351.96100000000001</v>
      </c>
      <c r="AR1191" s="387">
        <f t="shared" si="10248"/>
        <v>2905.6504482668001</v>
      </c>
      <c r="AS1191" s="387">
        <f t="shared" si="10248"/>
        <v>126.61799999999998</v>
      </c>
      <c r="AT1191" s="387">
        <f t="shared" si="10248"/>
        <v>991.52724129199999</v>
      </c>
      <c r="AU1191" s="387">
        <f t="shared" si="10248"/>
        <v>114.34099999999998</v>
      </c>
      <c r="AV1191" s="387">
        <f t="shared" si="10248"/>
        <v>982.80565837320012</v>
      </c>
      <c r="AW1191" s="387">
        <f t="shared" si="10248"/>
        <v>100.88300000000001</v>
      </c>
      <c r="AX1191" s="387">
        <f t="shared" si="10248"/>
        <v>833.06829063959992</v>
      </c>
      <c r="AY1191" s="387">
        <f t="shared" si="10248"/>
        <v>341.84199999999998</v>
      </c>
      <c r="AZ1191" s="387">
        <f t="shared" si="10248"/>
        <v>2807.4011903048004</v>
      </c>
      <c r="BA1191" s="387">
        <f t="shared" si="10248"/>
        <v>693.80299999999988</v>
      </c>
      <c r="BB1191" s="387">
        <f t="shared" si="10248"/>
        <v>5713.0516385716019</v>
      </c>
    </row>
    <row r="1192" spans="4:54" ht="13.5" hidden="1" outlineLevel="1">
      <c r="D1192" s="376" t="s">
        <v>766</v>
      </c>
      <c r="E1192" s="378" t="s">
        <v>767</v>
      </c>
      <c r="F1192" s="564" t="s">
        <v>764</v>
      </c>
      <c r="G1192" s="565"/>
      <c r="H1192" s="565"/>
      <c r="Q1192" s="401">
        <f>Q487</f>
        <v>98.731999999999999</v>
      </c>
      <c r="R1192" s="402">
        <f>R487</f>
        <v>2198.1215975077002</v>
      </c>
      <c r="S1192" s="395">
        <f>S487</f>
        <v>1.5219999999999998</v>
      </c>
      <c r="T1192" s="384">
        <f>T487</f>
        <v>39.538007496900008</v>
      </c>
      <c r="U1192" s="384">
        <f>U487</f>
        <v>5.1120000000000001</v>
      </c>
      <c r="V1192" s="384">
        <f>V487</f>
        <v>104.90619084799999</v>
      </c>
      <c r="W1192" s="384">
        <f>W487</f>
        <v>3.516</v>
      </c>
      <c r="X1192" s="384">
        <f>X487</f>
        <v>93.373630848000005</v>
      </c>
      <c r="Y1192" s="384">
        <f>Y487</f>
        <v>10.149999999999999</v>
      </c>
      <c r="Z1192" s="384">
        <f>Z487</f>
        <v>237.81782919289998</v>
      </c>
      <c r="AA1192" s="384">
        <f>AA487</f>
        <v>10.151999999999999</v>
      </c>
      <c r="AB1192" s="384">
        <f>AB487</f>
        <v>188.74439033760001</v>
      </c>
      <c r="AC1192" s="384">
        <f>AC487</f>
        <v>13.016</v>
      </c>
      <c r="AD1192" s="384">
        <f>AD487</f>
        <v>310.52569114160002</v>
      </c>
      <c r="AE1192" s="384">
        <f>AE487</f>
        <v>12.216000000000001</v>
      </c>
      <c r="AF1192" s="384">
        <f>AF487</f>
        <v>298.29354515279999</v>
      </c>
      <c r="AG1192" s="384">
        <f>AG487</f>
        <v>35.384</v>
      </c>
      <c r="AH1192" s="384">
        <f>AH487</f>
        <v>797.56362663200002</v>
      </c>
      <c r="AI1192" s="384">
        <f>AI487</f>
        <v>45.534000000000006</v>
      </c>
      <c r="AJ1192" s="384">
        <f>AJ487</f>
        <v>1035.3814558249001</v>
      </c>
      <c r="AK1192" s="384">
        <f>AK487</f>
        <v>15.048</v>
      </c>
      <c r="AL1192" s="384">
        <f>AL487</f>
        <v>395.5490408352</v>
      </c>
      <c r="AM1192" s="384">
        <f>AM487</f>
        <v>8.1120000000000001</v>
      </c>
      <c r="AN1192" s="384">
        <f>AN487</f>
        <v>160.53003953999999</v>
      </c>
      <c r="AO1192" s="384">
        <f>AO487</f>
        <v>9.9600000000000009</v>
      </c>
      <c r="AP1192" s="384">
        <f>AP487</f>
        <v>207.09241837920001</v>
      </c>
      <c r="AQ1192" s="384">
        <f>AQ487</f>
        <v>33.119999999999997</v>
      </c>
      <c r="AR1192" s="384">
        <f>AR487</f>
        <v>763.17149875440009</v>
      </c>
      <c r="AS1192" s="384">
        <f>AS487</f>
        <v>5.9759999999999991</v>
      </c>
      <c r="AT1192" s="384">
        <f>AT487</f>
        <v>141.120137712</v>
      </c>
      <c r="AU1192" s="384">
        <f>AU487</f>
        <v>7.4740000000000002</v>
      </c>
      <c r="AV1192" s="384">
        <f>AV487</f>
        <v>179.76630024360003</v>
      </c>
      <c r="AW1192" s="384">
        <f>AW487</f>
        <v>6.6280000000000001</v>
      </c>
      <c r="AX1192" s="384">
        <f>AX487</f>
        <v>78.682204972799994</v>
      </c>
      <c r="AY1192" s="384">
        <f>AY487</f>
        <v>20.077999999999999</v>
      </c>
      <c r="AZ1192" s="384">
        <f>AZ487</f>
        <v>399.56864292840004</v>
      </c>
      <c r="BA1192" s="384">
        <f>BA487</f>
        <v>53.198000000000008</v>
      </c>
      <c r="BB1192" s="384">
        <f>BB487</f>
        <v>1162.7401416828</v>
      </c>
    </row>
    <row r="1193" spans="4:54" ht="13.5" hidden="1" outlineLevel="1">
      <c r="D1193" s="378"/>
      <c r="E1193" s="378"/>
      <c r="F1193" s="561" t="s">
        <v>768</v>
      </c>
      <c r="G1193" s="562"/>
      <c r="H1193" s="563"/>
      <c r="Q1193" s="401">
        <f>Q507</f>
        <v>215.50099999999998</v>
      </c>
      <c r="R1193" s="402">
        <f>R507</f>
        <v>3136.0314556896001</v>
      </c>
      <c r="S1193" s="395">
        <f>S507</f>
        <v>11.391999999999998</v>
      </c>
      <c r="T1193" s="384">
        <f>T507</f>
        <v>123.28210518</v>
      </c>
      <c r="U1193" s="384">
        <f>U507</f>
        <v>18.39</v>
      </c>
      <c r="V1193" s="384">
        <f>V507</f>
        <v>233.20541688000003</v>
      </c>
      <c r="W1193" s="384">
        <f>W507</f>
        <v>20.196000000000002</v>
      </c>
      <c r="X1193" s="384">
        <f>X507</f>
        <v>250.82331595199997</v>
      </c>
      <c r="Y1193" s="384">
        <f>Y507</f>
        <v>49.977999999999994</v>
      </c>
      <c r="Z1193" s="384">
        <f>Z507</f>
        <v>607.31083801199998</v>
      </c>
      <c r="AA1193" s="384">
        <f>AA507</f>
        <v>16.462</v>
      </c>
      <c r="AB1193" s="384">
        <f>AB507</f>
        <v>259.5406359584</v>
      </c>
      <c r="AC1193" s="384">
        <f>AC507</f>
        <v>32.554000000000002</v>
      </c>
      <c r="AD1193" s="384">
        <f>AD507</f>
        <v>425.23113533020006</v>
      </c>
      <c r="AE1193" s="384">
        <f>AE507</f>
        <v>21.515999999999998</v>
      </c>
      <c r="AF1193" s="384">
        <f>AF507</f>
        <v>273.17104193999995</v>
      </c>
      <c r="AG1193" s="384">
        <f>AG507</f>
        <v>70.531999999999996</v>
      </c>
      <c r="AH1193" s="384">
        <f>AH507</f>
        <v>957.94281322860002</v>
      </c>
      <c r="AI1193" s="384">
        <f>AI507</f>
        <v>120.51000000000003</v>
      </c>
      <c r="AJ1193" s="384">
        <f>AJ507</f>
        <v>1565.2536512406</v>
      </c>
      <c r="AK1193" s="384">
        <f>AK507</f>
        <v>18.968000000000004</v>
      </c>
      <c r="AL1193" s="384">
        <f>AL507</f>
        <v>318.49820726719997</v>
      </c>
      <c r="AM1193" s="384">
        <f>AM507</f>
        <v>15.918000000000001</v>
      </c>
      <c r="AN1193" s="384">
        <f>AN507</f>
        <v>268.71459583799998</v>
      </c>
      <c r="AO1193" s="384">
        <f>AO507</f>
        <v>15.254999999999999</v>
      </c>
      <c r="AP1193" s="384">
        <f>AP507</f>
        <v>307.42639516560007</v>
      </c>
      <c r="AQ1193" s="384">
        <f>AQ507</f>
        <v>50.140999999999998</v>
      </c>
      <c r="AR1193" s="384">
        <f>AR507</f>
        <v>894.63919827080008</v>
      </c>
      <c r="AS1193" s="384">
        <f>AS507</f>
        <v>14.327999999999999</v>
      </c>
      <c r="AT1193" s="384">
        <f>AT507</f>
        <v>286.40169576400001</v>
      </c>
      <c r="AU1193" s="384">
        <f>AU507</f>
        <v>10.160000000000002</v>
      </c>
      <c r="AV1193" s="384">
        <f>AV507</f>
        <v>146.95077731040001</v>
      </c>
      <c r="AW1193" s="384">
        <f>AW507</f>
        <v>20.362000000000002</v>
      </c>
      <c r="AX1193" s="384">
        <f>AX507</f>
        <v>242.78613310379998</v>
      </c>
      <c r="AY1193" s="384">
        <f>AY507</f>
        <v>44.850000000000009</v>
      </c>
      <c r="AZ1193" s="384">
        <f>AZ507</f>
        <v>676.13860617820001</v>
      </c>
      <c r="BA1193" s="384">
        <f>BA507</f>
        <v>94.990999999999985</v>
      </c>
      <c r="BB1193" s="384">
        <f>BB507</f>
        <v>1570.7778044490001</v>
      </c>
    </row>
    <row r="1194" spans="4:54" ht="13.5" hidden="1" outlineLevel="1">
      <c r="D1194" s="378"/>
      <c r="E1194" s="378"/>
      <c r="F1194" s="564" t="s">
        <v>769</v>
      </c>
      <c r="G1194" s="565"/>
      <c r="H1194" s="565"/>
      <c r="Q1194" s="401">
        <f>Q510</f>
        <v>0</v>
      </c>
      <c r="R1194" s="402">
        <f>R510</f>
        <v>0</v>
      </c>
      <c r="S1194" s="395">
        <f>S510</f>
        <v>0</v>
      </c>
      <c r="T1194" s="384">
        <f>T510</f>
        <v>0</v>
      </c>
      <c r="U1194" s="384">
        <f>U510</f>
        <v>0</v>
      </c>
      <c r="V1194" s="384">
        <f>V510</f>
        <v>0</v>
      </c>
      <c r="W1194" s="384">
        <f>W510</f>
        <v>0</v>
      </c>
      <c r="X1194" s="384">
        <f>X510</f>
        <v>0</v>
      </c>
      <c r="Y1194" s="384">
        <f>Y510</f>
        <v>0</v>
      </c>
      <c r="Z1194" s="384">
        <f>Z510</f>
        <v>0</v>
      </c>
      <c r="AA1194" s="384">
        <f>AA510</f>
        <v>0</v>
      </c>
      <c r="AB1194" s="384">
        <f>AB510</f>
        <v>0</v>
      </c>
      <c r="AC1194" s="384">
        <f>AC510</f>
        <v>0</v>
      </c>
      <c r="AD1194" s="384">
        <f>AD510</f>
        <v>0</v>
      </c>
      <c r="AE1194" s="384">
        <f>AE510</f>
        <v>0</v>
      </c>
      <c r="AF1194" s="384">
        <f>AF510</f>
        <v>0</v>
      </c>
      <c r="AG1194" s="384">
        <f>AG510</f>
        <v>0</v>
      </c>
      <c r="AH1194" s="384">
        <f>AH510</f>
        <v>0</v>
      </c>
      <c r="AI1194" s="384">
        <f>AI510</f>
        <v>0</v>
      </c>
      <c r="AJ1194" s="384">
        <f>AJ510</f>
        <v>0</v>
      </c>
      <c r="AK1194" s="384">
        <f>AK510</f>
        <v>0</v>
      </c>
      <c r="AL1194" s="384">
        <f>AL510</f>
        <v>0</v>
      </c>
      <c r="AM1194" s="384">
        <f>AM510</f>
        <v>0</v>
      </c>
      <c r="AN1194" s="384">
        <f>AN510</f>
        <v>0</v>
      </c>
      <c r="AO1194" s="384">
        <f>AO510</f>
        <v>0</v>
      </c>
      <c r="AP1194" s="384">
        <f>AP510</f>
        <v>0</v>
      </c>
      <c r="AQ1194" s="384">
        <f>AQ510</f>
        <v>0</v>
      </c>
      <c r="AR1194" s="384">
        <f>AR510</f>
        <v>0</v>
      </c>
      <c r="AS1194" s="384">
        <f>AS510</f>
        <v>0</v>
      </c>
      <c r="AT1194" s="384">
        <f>AT510</f>
        <v>0</v>
      </c>
      <c r="AU1194" s="384">
        <f>AU510</f>
        <v>0</v>
      </c>
      <c r="AV1194" s="384">
        <f>AV510</f>
        <v>0</v>
      </c>
      <c r="AW1194" s="384">
        <f>AW510</f>
        <v>0</v>
      </c>
      <c r="AX1194" s="384">
        <f>AX510</f>
        <v>0</v>
      </c>
      <c r="AY1194" s="384">
        <f>AY510</f>
        <v>0</v>
      </c>
      <c r="AZ1194" s="384">
        <f>AZ510</f>
        <v>0</v>
      </c>
      <c r="BA1194" s="384">
        <f>BA510</f>
        <v>0</v>
      </c>
      <c r="BB1194" s="384">
        <f>BB510</f>
        <v>0</v>
      </c>
    </row>
    <row r="1195" spans="4:54" s="385" customFormat="1" ht="13.5" hidden="1" outlineLevel="1">
      <c r="D1195" s="379"/>
      <c r="E1195" s="566" t="s">
        <v>761</v>
      </c>
      <c r="F1195" s="566"/>
      <c r="G1195" s="566"/>
      <c r="H1195" s="567"/>
      <c r="I1195" s="386"/>
      <c r="J1195" s="386"/>
      <c r="K1195" s="386"/>
      <c r="L1195" s="386"/>
      <c r="M1195" s="386"/>
      <c r="N1195" s="386"/>
      <c r="O1195" s="386"/>
      <c r="P1195" s="386"/>
      <c r="Q1195" s="407">
        <f t="shared" ref="Q1195:AE1195" si="10249">SUM(Q1192:Q1194)</f>
        <v>314.23299999999995</v>
      </c>
      <c r="R1195" s="408">
        <f t="shared" si="10249"/>
        <v>5334.1530531973003</v>
      </c>
      <c r="S1195" s="398">
        <f t="shared" si="10249"/>
        <v>12.913999999999998</v>
      </c>
      <c r="T1195" s="387">
        <f t="shared" si="10249"/>
        <v>162.82011267690001</v>
      </c>
      <c r="U1195" s="387">
        <f t="shared" si="10249"/>
        <v>23.502000000000002</v>
      </c>
      <c r="V1195" s="387">
        <f t="shared" si="10249"/>
        <v>338.11160772800002</v>
      </c>
      <c r="W1195" s="387">
        <f t="shared" si="10249"/>
        <v>23.712000000000003</v>
      </c>
      <c r="X1195" s="387">
        <f t="shared" si="10249"/>
        <v>344.19694679999998</v>
      </c>
      <c r="Y1195" s="387">
        <f t="shared" si="10249"/>
        <v>60.127999999999993</v>
      </c>
      <c r="Z1195" s="387">
        <f t="shared" si="10249"/>
        <v>845.12866720490001</v>
      </c>
      <c r="AA1195" s="387">
        <f t="shared" si="10249"/>
        <v>26.613999999999997</v>
      </c>
      <c r="AB1195" s="387">
        <f t="shared" si="10249"/>
        <v>448.28502629600001</v>
      </c>
      <c r="AC1195" s="387">
        <f t="shared" si="10249"/>
        <v>45.57</v>
      </c>
      <c r="AD1195" s="387">
        <f t="shared" si="10249"/>
        <v>735.75682647180008</v>
      </c>
      <c r="AE1195" s="387">
        <f t="shared" si="10249"/>
        <v>33.731999999999999</v>
      </c>
      <c r="AF1195" s="387">
        <f>SUM(AF1192:AF1194)</f>
        <v>571.4645870928</v>
      </c>
      <c r="AG1195" s="387">
        <f t="shared" ref="AG1195:BB1195" si="10250">SUM(AG1192:AG1194)</f>
        <v>105.916</v>
      </c>
      <c r="AH1195" s="387">
        <f t="shared" si="10250"/>
        <v>1755.5064398606</v>
      </c>
      <c r="AI1195" s="387">
        <f t="shared" si="10250"/>
        <v>166.04400000000004</v>
      </c>
      <c r="AJ1195" s="387">
        <f t="shared" si="10250"/>
        <v>2600.6351070655001</v>
      </c>
      <c r="AK1195" s="387">
        <f t="shared" si="10250"/>
        <v>34.016000000000005</v>
      </c>
      <c r="AL1195" s="387">
        <f t="shared" si="10250"/>
        <v>714.04724810239998</v>
      </c>
      <c r="AM1195" s="387">
        <f t="shared" si="10250"/>
        <v>24.03</v>
      </c>
      <c r="AN1195" s="387">
        <f t="shared" si="10250"/>
        <v>429.244635378</v>
      </c>
      <c r="AO1195" s="387">
        <f t="shared" si="10250"/>
        <v>25.215</v>
      </c>
      <c r="AP1195" s="387">
        <f t="shared" si="10250"/>
        <v>514.51881354480008</v>
      </c>
      <c r="AQ1195" s="387">
        <f t="shared" si="10250"/>
        <v>83.260999999999996</v>
      </c>
      <c r="AR1195" s="387">
        <f t="shared" si="10250"/>
        <v>1657.8106970252002</v>
      </c>
      <c r="AS1195" s="387">
        <f t="shared" si="10250"/>
        <v>20.303999999999998</v>
      </c>
      <c r="AT1195" s="387">
        <f t="shared" si="10250"/>
        <v>427.52183347599998</v>
      </c>
      <c r="AU1195" s="387">
        <f t="shared" si="10250"/>
        <v>17.634</v>
      </c>
      <c r="AV1195" s="387">
        <f t="shared" si="10250"/>
        <v>326.71707755400007</v>
      </c>
      <c r="AW1195" s="387">
        <f t="shared" si="10250"/>
        <v>26.990000000000002</v>
      </c>
      <c r="AX1195" s="387">
        <f t="shared" si="10250"/>
        <v>321.46833807659999</v>
      </c>
      <c r="AY1195" s="387">
        <f t="shared" si="10250"/>
        <v>64.928000000000011</v>
      </c>
      <c r="AZ1195" s="387">
        <f t="shared" si="10250"/>
        <v>1075.7072491066001</v>
      </c>
      <c r="BA1195" s="387">
        <f t="shared" si="10250"/>
        <v>148.18899999999999</v>
      </c>
      <c r="BB1195" s="387">
        <f t="shared" si="10250"/>
        <v>2733.5179461318003</v>
      </c>
    </row>
    <row r="1196" spans="4:54" ht="13.5" hidden="1" outlineLevel="1">
      <c r="D1196" s="376" t="s">
        <v>770</v>
      </c>
      <c r="E1196" s="380" t="s">
        <v>58</v>
      </c>
      <c r="F1196" s="564" t="s">
        <v>759</v>
      </c>
      <c r="G1196" s="565"/>
      <c r="H1196" s="565"/>
      <c r="Q1196" s="401">
        <f>Q644</f>
        <v>1444.8250000000005</v>
      </c>
      <c r="R1196" s="402">
        <f>R644</f>
        <v>25251.306280000004</v>
      </c>
      <c r="S1196" s="395">
        <f>S644</f>
        <v>98.884</v>
      </c>
      <c r="T1196" s="384">
        <f>T644</f>
        <v>1823.9573279999997</v>
      </c>
      <c r="U1196" s="384">
        <f>U644</f>
        <v>113.26900000000003</v>
      </c>
      <c r="V1196" s="384">
        <f>V644</f>
        <v>1905.380539</v>
      </c>
      <c r="W1196" s="384">
        <f>W644</f>
        <v>126.88299999999998</v>
      </c>
      <c r="X1196" s="384">
        <f>X644</f>
        <v>2249.1783150000001</v>
      </c>
      <c r="Y1196" s="384">
        <f>Y644</f>
        <v>339.03599999999994</v>
      </c>
      <c r="Z1196" s="384">
        <f>Z644</f>
        <v>5978.5161820000003</v>
      </c>
      <c r="AA1196" s="384">
        <f>AA644</f>
        <v>145.90699999999998</v>
      </c>
      <c r="AB1196" s="384">
        <f>AB644</f>
        <v>2677.7093050000003</v>
      </c>
      <c r="AC1196" s="384">
        <f>AC644</f>
        <v>144.44899999999998</v>
      </c>
      <c r="AD1196" s="384">
        <f>AD644</f>
        <v>2857.6992829999995</v>
      </c>
      <c r="AE1196" s="384">
        <f>AE644</f>
        <v>120.62100000000001</v>
      </c>
      <c r="AF1196" s="384">
        <f>AF644</f>
        <v>2168.9811219999992</v>
      </c>
      <c r="AG1196" s="384">
        <f>AG644</f>
        <v>410.97700000000003</v>
      </c>
      <c r="AH1196" s="384">
        <f>AH644</f>
        <v>7704.3897100000004</v>
      </c>
      <c r="AI1196" s="384">
        <f>AI644</f>
        <v>750.01300000000015</v>
      </c>
      <c r="AJ1196" s="384">
        <f>AJ644</f>
        <v>13682.905891999997</v>
      </c>
      <c r="AK1196" s="384">
        <f>AK644</f>
        <v>126.30500000000001</v>
      </c>
      <c r="AL1196" s="384">
        <f>AL644</f>
        <v>2330.9688310000006</v>
      </c>
      <c r="AM1196" s="384">
        <f>AM644</f>
        <v>128.364</v>
      </c>
      <c r="AN1196" s="384">
        <f>AN644</f>
        <v>2153.3164450000008</v>
      </c>
      <c r="AO1196" s="384">
        <f>AO644</f>
        <v>105.60600000000001</v>
      </c>
      <c r="AP1196" s="384">
        <f>AP644</f>
        <v>1855.0266439999996</v>
      </c>
      <c r="AQ1196" s="384">
        <f>AQ644</f>
        <v>360.27499999999998</v>
      </c>
      <c r="AR1196" s="384">
        <f>AR644</f>
        <v>6339.3119200000019</v>
      </c>
      <c r="AS1196" s="384">
        <f>AS644</f>
        <v>126.26200000000001</v>
      </c>
      <c r="AT1196" s="384">
        <f>AT644</f>
        <v>2188.8845780000001</v>
      </c>
      <c r="AU1196" s="384">
        <f>AU644</f>
        <v>106.45</v>
      </c>
      <c r="AV1196" s="384">
        <f>AV644</f>
        <v>1457.8508119999999</v>
      </c>
      <c r="AW1196" s="384">
        <f>AW644</f>
        <v>101.82500000000002</v>
      </c>
      <c r="AX1196" s="384">
        <f>AX644</f>
        <v>1582.3530779999999</v>
      </c>
      <c r="AY1196" s="384">
        <f>AY644</f>
        <v>334.53699999999986</v>
      </c>
      <c r="AZ1196" s="384">
        <f>AZ644</f>
        <v>5229.088467999999</v>
      </c>
      <c r="BA1196" s="384">
        <f>BA644</f>
        <v>694.81200000000001</v>
      </c>
      <c r="BB1196" s="384">
        <f>BB644</f>
        <v>11568.400388000002</v>
      </c>
    </row>
    <row r="1197" spans="4:54" ht="13.5" hidden="1" outlineLevel="1">
      <c r="D1197" s="378"/>
      <c r="E1197" s="377" t="s">
        <v>225</v>
      </c>
      <c r="F1197" s="561" t="s">
        <v>759</v>
      </c>
      <c r="G1197" s="562"/>
      <c r="H1197" s="563"/>
      <c r="Q1197" s="401">
        <f>Q669</f>
        <v>489.58000000000004</v>
      </c>
      <c r="R1197" s="402">
        <f>R669</f>
        <v>6790.4823990000004</v>
      </c>
      <c r="S1197" s="395">
        <f>S669</f>
        <v>33.855000000000004</v>
      </c>
      <c r="T1197" s="384">
        <f>T669</f>
        <v>464.23437100000001</v>
      </c>
      <c r="U1197" s="384">
        <f>U669</f>
        <v>29.472999999999995</v>
      </c>
      <c r="V1197" s="384">
        <f>V669</f>
        <v>389.237076</v>
      </c>
      <c r="W1197" s="384">
        <f>W669</f>
        <v>39.676000000000009</v>
      </c>
      <c r="X1197" s="384">
        <f>X669</f>
        <v>547.21940600000005</v>
      </c>
      <c r="Y1197" s="384">
        <f>Y669</f>
        <v>103.004</v>
      </c>
      <c r="Z1197" s="384">
        <f>Z669</f>
        <v>1400.6908530000001</v>
      </c>
      <c r="AA1197" s="384">
        <f>AA669</f>
        <v>45.846999999999994</v>
      </c>
      <c r="AB1197" s="384">
        <f>AB669</f>
        <v>606.60110500000008</v>
      </c>
      <c r="AC1197" s="384">
        <f>AC669</f>
        <v>47.463000000000001</v>
      </c>
      <c r="AD1197" s="384">
        <f>AD669</f>
        <v>704.09551299999976</v>
      </c>
      <c r="AE1197" s="384">
        <f>AE669</f>
        <v>40.265000000000001</v>
      </c>
      <c r="AF1197" s="384">
        <f>AF669</f>
        <v>571.00997100000006</v>
      </c>
      <c r="AG1197" s="384">
        <f>AG669</f>
        <v>133.57499999999999</v>
      </c>
      <c r="AH1197" s="384">
        <f>AH669</f>
        <v>1881.7065889999997</v>
      </c>
      <c r="AI1197" s="384">
        <f>AI669</f>
        <v>236.57900000000001</v>
      </c>
      <c r="AJ1197" s="384">
        <f>AJ669</f>
        <v>3282.3974420000004</v>
      </c>
      <c r="AK1197" s="384">
        <f>AK669</f>
        <v>32.530000000000008</v>
      </c>
      <c r="AL1197" s="384">
        <f>AL669</f>
        <v>455.77316300000001</v>
      </c>
      <c r="AM1197" s="384">
        <f>AM669</f>
        <v>33.312000000000005</v>
      </c>
      <c r="AN1197" s="384">
        <f>AN669</f>
        <v>458.50896</v>
      </c>
      <c r="AO1197" s="384">
        <f>AO669</f>
        <v>38.840000000000011</v>
      </c>
      <c r="AP1197" s="384">
        <f>AP669</f>
        <v>503.64620000000002</v>
      </c>
      <c r="AQ1197" s="384">
        <f>AQ669</f>
        <v>104.68199999999999</v>
      </c>
      <c r="AR1197" s="384">
        <f>AR669</f>
        <v>1417.9283229999999</v>
      </c>
      <c r="AS1197" s="384">
        <f>AS669</f>
        <v>47.412999999999997</v>
      </c>
      <c r="AT1197" s="384">
        <f>AT669</f>
        <v>683.88087899999994</v>
      </c>
      <c r="AU1197" s="384">
        <f>AU669</f>
        <v>53.779999999999994</v>
      </c>
      <c r="AV1197" s="384">
        <f>AV669</f>
        <v>752.99173099999985</v>
      </c>
      <c r="AW1197" s="384">
        <f>AW669</f>
        <v>47.125999999999998</v>
      </c>
      <c r="AX1197" s="384">
        <f>AX669</f>
        <v>653.28402400000004</v>
      </c>
      <c r="AY1197" s="384">
        <f>AY669</f>
        <v>148.31900000000002</v>
      </c>
      <c r="AZ1197" s="384">
        <f>AZ669</f>
        <v>2090.1566340000004</v>
      </c>
      <c r="BA1197" s="384">
        <f>BA669</f>
        <v>253.001</v>
      </c>
      <c r="BB1197" s="384">
        <f>BB669</f>
        <v>3508.084957</v>
      </c>
    </row>
    <row r="1198" spans="4:54" ht="13.5" hidden="1" outlineLevel="1">
      <c r="D1198" s="378"/>
      <c r="E1198" s="376" t="s">
        <v>771</v>
      </c>
      <c r="F1198" s="564" t="s">
        <v>759</v>
      </c>
      <c r="G1198" s="565"/>
      <c r="H1198" s="565"/>
      <c r="Q1198" s="401">
        <f>Q767</f>
        <v>713.06299999999987</v>
      </c>
      <c r="R1198" s="402">
        <f>R767</f>
        <v>5386.3565443790012</v>
      </c>
      <c r="S1198" s="395">
        <f>S767</f>
        <v>55.160999999999994</v>
      </c>
      <c r="T1198" s="384">
        <f>T767</f>
        <v>418.81558653859997</v>
      </c>
      <c r="U1198" s="384">
        <f>U767</f>
        <v>49.49499999999999</v>
      </c>
      <c r="V1198" s="384">
        <f>V767</f>
        <v>374.95858372000004</v>
      </c>
      <c r="W1198" s="384">
        <f>W767</f>
        <v>61.597999999999992</v>
      </c>
      <c r="X1198" s="384">
        <f>X767</f>
        <v>449.8528192</v>
      </c>
      <c r="Y1198" s="384">
        <f>Y767</f>
        <v>166.25399999999999</v>
      </c>
      <c r="Z1198" s="384">
        <f>Z767</f>
        <v>1243.6269894586001</v>
      </c>
      <c r="AA1198" s="384">
        <f>AA767</f>
        <v>61.241999999999997</v>
      </c>
      <c r="AB1198" s="384">
        <f>AB767</f>
        <v>521.83492042720013</v>
      </c>
      <c r="AC1198" s="384">
        <f>AC767</f>
        <v>47.841999999999999</v>
      </c>
      <c r="AD1198" s="384">
        <f>AD767</f>
        <v>382.09586225099997</v>
      </c>
      <c r="AE1198" s="384">
        <f>AE767</f>
        <v>62.240999999999993</v>
      </c>
      <c r="AF1198" s="384">
        <f>AF767</f>
        <v>439.91960141640004</v>
      </c>
      <c r="AG1198" s="384">
        <f>AG767</f>
        <v>171.32500000000002</v>
      </c>
      <c r="AH1198" s="384">
        <f>AH767</f>
        <v>1343.8503840945998</v>
      </c>
      <c r="AI1198" s="384">
        <f>AI767</f>
        <v>337.57900000000006</v>
      </c>
      <c r="AJ1198" s="384">
        <f>AJ767</f>
        <v>2587.4773735531994</v>
      </c>
      <c r="AK1198" s="384">
        <f>AK767</f>
        <v>71.217000000000013</v>
      </c>
      <c r="AL1198" s="384">
        <f>AL767</f>
        <v>532.94471048480023</v>
      </c>
      <c r="AM1198" s="384">
        <f>AM767</f>
        <v>77.580000000000013</v>
      </c>
      <c r="AN1198" s="384">
        <f>AN767</f>
        <v>568.7668966680003</v>
      </c>
      <c r="AO1198" s="384">
        <f>AO767</f>
        <v>45.709000000000003</v>
      </c>
      <c r="AP1198" s="384">
        <f>AP767</f>
        <v>337.4210882887001</v>
      </c>
      <c r="AQ1198" s="384">
        <f>AQ767</f>
        <v>194.50599999999997</v>
      </c>
      <c r="AR1198" s="384">
        <f>AR767</f>
        <v>1439.1326954414999</v>
      </c>
      <c r="AS1198" s="384">
        <f>AS767</f>
        <v>50.947999999999986</v>
      </c>
      <c r="AT1198" s="384">
        <f>AT767</f>
        <v>373.86885887400007</v>
      </c>
      <c r="AU1198" s="384">
        <f>AU767</f>
        <v>58.579000000000022</v>
      </c>
      <c r="AV1198" s="384">
        <f>AV767</f>
        <v>444.78586501150005</v>
      </c>
      <c r="AW1198" s="384">
        <f>AW767</f>
        <v>71.451000000000008</v>
      </c>
      <c r="AX1198" s="384">
        <f>AX767</f>
        <v>541.09175149880002</v>
      </c>
      <c r="AY1198" s="384">
        <f>AY767</f>
        <v>180.97799999999989</v>
      </c>
      <c r="AZ1198" s="384">
        <f>AZ767</f>
        <v>1359.7464753843001</v>
      </c>
      <c r="BA1198" s="384">
        <f>BA767</f>
        <v>375.48399999999981</v>
      </c>
      <c r="BB1198" s="384">
        <f>BB767</f>
        <v>2798.8791708258009</v>
      </c>
    </row>
    <row r="1199" spans="4:54" ht="13.5" hidden="1" outlineLevel="1">
      <c r="D1199" s="382"/>
      <c r="E1199" s="581" t="s">
        <v>229</v>
      </c>
      <c r="F1199" s="586"/>
      <c r="G1199" s="586"/>
      <c r="H1199" s="587"/>
      <c r="Q1199" s="401">
        <f>Q771+Q787</f>
        <v>366.38900000000001</v>
      </c>
      <c r="R1199" s="402">
        <f>R771+R787</f>
        <v>1256.6844850000002</v>
      </c>
      <c r="S1199" s="395">
        <f>S771+S787</f>
        <v>20.6</v>
      </c>
      <c r="T1199" s="384">
        <f>T771+T787</f>
        <v>75.564725999999993</v>
      </c>
      <c r="U1199" s="384">
        <f>U771+U787</f>
        <v>53.692999999999998</v>
      </c>
      <c r="V1199" s="384">
        <f>V771+V787</f>
        <v>180.20813199999998</v>
      </c>
      <c r="W1199" s="384">
        <f>W771+W787</f>
        <v>62.234000000000002</v>
      </c>
      <c r="X1199" s="384">
        <f>X771+X787</f>
        <v>197.69973300000001</v>
      </c>
      <c r="Y1199" s="384">
        <f>Y771+Y787</f>
        <v>136.52699999999999</v>
      </c>
      <c r="Z1199" s="384">
        <f>Z771+Z787</f>
        <v>453.47259100000008</v>
      </c>
      <c r="AA1199" s="384">
        <f>AA771+AA787</f>
        <v>27.545000000000002</v>
      </c>
      <c r="AB1199" s="384">
        <f>AB771+AB787</f>
        <v>115.79547100000002</v>
      </c>
      <c r="AC1199" s="384">
        <f>AC771+AC787</f>
        <v>14.388999999999999</v>
      </c>
      <c r="AD1199" s="384">
        <f>AD771+AD787</f>
        <v>63.490095999999994</v>
      </c>
      <c r="AE1199" s="384">
        <f>AE771+AE787</f>
        <v>23.774999999999999</v>
      </c>
      <c r="AF1199" s="384">
        <f>AF771+AF787</f>
        <v>83.254012000000003</v>
      </c>
      <c r="AG1199" s="384">
        <f>AG771+AG787</f>
        <v>65.709000000000003</v>
      </c>
      <c r="AH1199" s="384">
        <f>AH771+AH787</f>
        <v>262.539579</v>
      </c>
      <c r="AI1199" s="384">
        <f>AI771+AI787</f>
        <v>202.23599999999999</v>
      </c>
      <c r="AJ1199" s="384">
        <f>AJ771+AJ787</f>
        <v>716.0121700000002</v>
      </c>
      <c r="AK1199" s="384">
        <f>AK771+AK787</f>
        <v>13.769</v>
      </c>
      <c r="AL1199" s="384">
        <f>AL771+AL787</f>
        <v>33.540914000000001</v>
      </c>
      <c r="AM1199" s="384">
        <f>AM771+AM787</f>
        <v>20.704000000000001</v>
      </c>
      <c r="AN1199" s="384">
        <f>AN771+AN787</f>
        <v>90.437779999999989</v>
      </c>
      <c r="AO1199" s="384">
        <f>AO771+AO787</f>
        <v>43.197000000000003</v>
      </c>
      <c r="AP1199" s="384">
        <f>AP771+AP787</f>
        <v>134.53015600000001</v>
      </c>
      <c r="AQ1199" s="384">
        <f>AQ771+AQ787</f>
        <v>77.670000000000016</v>
      </c>
      <c r="AR1199" s="384">
        <f>AR771+AR787</f>
        <v>258.50885000000005</v>
      </c>
      <c r="AS1199" s="384">
        <f>AS771+AS787</f>
        <v>14.753999999999998</v>
      </c>
      <c r="AT1199" s="384">
        <f>AT771+AT787</f>
        <v>48.298683999999994</v>
      </c>
      <c r="AU1199" s="384">
        <f>AU771+AU787</f>
        <v>30.717999999999996</v>
      </c>
      <c r="AV1199" s="384">
        <f>AV771+AV787</f>
        <v>102.35111099999999</v>
      </c>
      <c r="AW1199" s="384">
        <f>AW771+AW787</f>
        <v>41.010999999999996</v>
      </c>
      <c r="AX1199" s="384">
        <f>AX771+AX787</f>
        <v>131.51366999999999</v>
      </c>
      <c r="AY1199" s="384">
        <f>AY771+AY787</f>
        <v>86.483000000000004</v>
      </c>
      <c r="AZ1199" s="384">
        <f>AZ771+AZ787</f>
        <v>282.16346499999997</v>
      </c>
      <c r="BA1199" s="384">
        <f>BA771+BA787</f>
        <v>164.15300000000002</v>
      </c>
      <c r="BB1199" s="384">
        <f>BB771+BB787</f>
        <v>540.67231500000003</v>
      </c>
    </row>
    <row r="1200" spans="4:54" s="385" customFormat="1" ht="13.5" hidden="1" outlineLevel="1">
      <c r="D1200" s="379"/>
      <c r="E1200" s="566" t="s">
        <v>761</v>
      </c>
      <c r="F1200" s="566"/>
      <c r="G1200" s="566"/>
      <c r="H1200" s="567"/>
      <c r="I1200" s="386"/>
      <c r="J1200" s="386"/>
      <c r="K1200" s="386"/>
      <c r="L1200" s="386"/>
      <c r="M1200" s="386"/>
      <c r="N1200" s="386"/>
      <c r="O1200" s="386"/>
      <c r="P1200" s="386"/>
      <c r="Q1200" s="407">
        <f t="shared" ref="Q1200:AE1200" si="10251">SUM(Q1196:Q1199)</f>
        <v>3013.8570000000009</v>
      </c>
      <c r="R1200" s="408">
        <f t="shared" si="10251"/>
        <v>38684.829708379002</v>
      </c>
      <c r="S1200" s="398">
        <f t="shared" si="10251"/>
        <v>208.5</v>
      </c>
      <c r="T1200" s="387">
        <f t="shared" si="10251"/>
        <v>2782.5720115385998</v>
      </c>
      <c r="U1200" s="387">
        <f t="shared" si="10251"/>
        <v>245.93</v>
      </c>
      <c r="V1200" s="387">
        <f t="shared" si="10251"/>
        <v>2849.7843307200001</v>
      </c>
      <c r="W1200" s="387">
        <f t="shared" si="10251"/>
        <v>290.39099999999996</v>
      </c>
      <c r="X1200" s="387">
        <f t="shared" si="10251"/>
        <v>3443.9502732000001</v>
      </c>
      <c r="Y1200" s="387">
        <f t="shared" si="10251"/>
        <v>744.82099999999991</v>
      </c>
      <c r="Z1200" s="387">
        <f t="shared" si="10251"/>
        <v>9076.3066154585995</v>
      </c>
      <c r="AA1200" s="387">
        <f t="shared" si="10251"/>
        <v>280.54099999999994</v>
      </c>
      <c r="AB1200" s="387">
        <f t="shared" si="10251"/>
        <v>3921.9408014272008</v>
      </c>
      <c r="AC1200" s="387">
        <f t="shared" si="10251"/>
        <v>254.14299999999997</v>
      </c>
      <c r="AD1200" s="387">
        <f t="shared" si="10251"/>
        <v>4007.380754250999</v>
      </c>
      <c r="AE1200" s="387">
        <f t="shared" si="10251"/>
        <v>246.90200000000002</v>
      </c>
      <c r="AF1200" s="387">
        <f>SUM(AF1196:AF1199)</f>
        <v>3263.164706416399</v>
      </c>
      <c r="AG1200" s="387">
        <f t="shared" ref="AG1200:BB1200" si="10252">SUM(AG1196:AG1199)</f>
        <v>781.58600000000001</v>
      </c>
      <c r="AH1200" s="387">
        <f t="shared" si="10252"/>
        <v>11192.486262094601</v>
      </c>
      <c r="AI1200" s="387">
        <f t="shared" si="10252"/>
        <v>1526.4070000000002</v>
      </c>
      <c r="AJ1200" s="387">
        <f t="shared" si="10252"/>
        <v>20268.792877553198</v>
      </c>
      <c r="AK1200" s="387">
        <f t="shared" si="10252"/>
        <v>243.82100000000003</v>
      </c>
      <c r="AL1200" s="387">
        <f t="shared" si="10252"/>
        <v>3353.2276184848006</v>
      </c>
      <c r="AM1200" s="387">
        <f t="shared" si="10252"/>
        <v>259.96000000000004</v>
      </c>
      <c r="AN1200" s="387">
        <f t="shared" si="10252"/>
        <v>3271.0300816680015</v>
      </c>
      <c r="AO1200" s="387">
        <f t="shared" si="10252"/>
        <v>233.35200000000003</v>
      </c>
      <c r="AP1200" s="387">
        <f t="shared" si="10252"/>
        <v>2830.6240882886996</v>
      </c>
      <c r="AQ1200" s="387">
        <f t="shared" si="10252"/>
        <v>737.13300000000004</v>
      </c>
      <c r="AR1200" s="387">
        <f t="shared" si="10252"/>
        <v>9454.8817884415021</v>
      </c>
      <c r="AS1200" s="387">
        <f t="shared" si="10252"/>
        <v>239.37699999999998</v>
      </c>
      <c r="AT1200" s="387">
        <f t="shared" si="10252"/>
        <v>3294.932999874</v>
      </c>
      <c r="AU1200" s="387">
        <f t="shared" si="10252"/>
        <v>249.52700000000002</v>
      </c>
      <c r="AV1200" s="387">
        <f t="shared" si="10252"/>
        <v>2757.9795190114996</v>
      </c>
      <c r="AW1200" s="387">
        <f t="shared" si="10252"/>
        <v>261.41300000000001</v>
      </c>
      <c r="AX1200" s="387">
        <f t="shared" si="10252"/>
        <v>2908.2425234987995</v>
      </c>
      <c r="AY1200" s="387">
        <f t="shared" si="10252"/>
        <v>750.31699999999978</v>
      </c>
      <c r="AZ1200" s="387">
        <f t="shared" si="10252"/>
        <v>8961.1550423842982</v>
      </c>
      <c r="BA1200" s="387">
        <f t="shared" si="10252"/>
        <v>1487.4499999999998</v>
      </c>
      <c r="BB1200" s="387">
        <f t="shared" si="10252"/>
        <v>18416.0368308258</v>
      </c>
    </row>
    <row r="1201" spans="4:54" ht="13.5" hidden="1" outlineLevel="1">
      <c r="D1201" s="376" t="s">
        <v>772</v>
      </c>
      <c r="E1201" s="378" t="s">
        <v>773</v>
      </c>
      <c r="F1201" s="564" t="s">
        <v>759</v>
      </c>
      <c r="G1201" s="565"/>
      <c r="H1201" s="565"/>
      <c r="Q1201" s="401">
        <f t="shared" ref="Q1201:BB1201" si="10253">Q886</f>
        <v>32.256</v>
      </c>
      <c r="R1201" s="402">
        <f t="shared" si="10253"/>
        <v>204.054916023</v>
      </c>
      <c r="S1201" s="395">
        <f t="shared" si="10253"/>
        <v>0</v>
      </c>
      <c r="T1201" s="384">
        <f t="shared" si="10253"/>
        <v>0</v>
      </c>
      <c r="U1201" s="384">
        <f t="shared" si="10253"/>
        <v>0</v>
      </c>
      <c r="V1201" s="384">
        <f t="shared" si="10253"/>
        <v>0</v>
      </c>
      <c r="W1201" s="384">
        <f t="shared" si="10253"/>
        <v>3.7</v>
      </c>
      <c r="X1201" s="384">
        <f t="shared" si="10253"/>
        <v>28.406979399999997</v>
      </c>
      <c r="Y1201" s="384">
        <f t="shared" si="10253"/>
        <v>3.7</v>
      </c>
      <c r="Z1201" s="384">
        <f t="shared" si="10253"/>
        <v>28.406979399999997</v>
      </c>
      <c r="AA1201" s="384">
        <f t="shared" si="10253"/>
        <v>2.5</v>
      </c>
      <c r="AB1201" s="384">
        <f t="shared" si="10253"/>
        <v>19.677430999999999</v>
      </c>
      <c r="AC1201" s="384">
        <f t="shared" si="10253"/>
        <v>0.75600000000000001</v>
      </c>
      <c r="AD1201" s="384">
        <f t="shared" si="10253"/>
        <v>5.9744904156</v>
      </c>
      <c r="AE1201" s="384">
        <f t="shared" si="10253"/>
        <v>3.5999999999999996</v>
      </c>
      <c r="AF1201" s="384">
        <f t="shared" si="10253"/>
        <v>28.641056759999998</v>
      </c>
      <c r="AG1201" s="384">
        <f t="shared" si="10253"/>
        <v>6.8559999999999999</v>
      </c>
      <c r="AH1201" s="384">
        <f t="shared" si="10253"/>
        <v>54.292978175599998</v>
      </c>
      <c r="AI1201" s="384">
        <f t="shared" si="10253"/>
        <v>10.556000000000001</v>
      </c>
      <c r="AJ1201" s="384">
        <f t="shared" si="10253"/>
        <v>82.699957575599996</v>
      </c>
      <c r="AK1201" s="384">
        <f t="shared" si="10253"/>
        <v>0.5</v>
      </c>
      <c r="AL1201" s="384">
        <f t="shared" si="10253"/>
        <v>2.869891</v>
      </c>
      <c r="AM1201" s="384">
        <f t="shared" si="10253"/>
        <v>1</v>
      </c>
      <c r="AN1201" s="384">
        <f t="shared" si="10253"/>
        <v>5.6485650000000005</v>
      </c>
      <c r="AO1201" s="384">
        <f t="shared" si="10253"/>
        <v>5</v>
      </c>
      <c r="AP1201" s="384">
        <f t="shared" si="10253"/>
        <v>27.647092500000003</v>
      </c>
      <c r="AQ1201" s="384">
        <f t="shared" si="10253"/>
        <v>6.5</v>
      </c>
      <c r="AR1201" s="384">
        <f t="shared" si="10253"/>
        <v>36.1655485</v>
      </c>
      <c r="AS1201" s="384">
        <f t="shared" si="10253"/>
        <v>8.3000000000000007</v>
      </c>
      <c r="AT1201" s="384">
        <f t="shared" si="10253"/>
        <v>45.958125500000008</v>
      </c>
      <c r="AU1201" s="384">
        <f t="shared" si="10253"/>
        <v>5.8730000000000002</v>
      </c>
      <c r="AV1201" s="384">
        <f t="shared" si="10253"/>
        <v>33.298641173700005</v>
      </c>
      <c r="AW1201" s="384">
        <f t="shared" si="10253"/>
        <v>1.0269999999999999</v>
      </c>
      <c r="AX1201" s="384">
        <f t="shared" si="10253"/>
        <v>5.9326432737000001</v>
      </c>
      <c r="AY1201" s="384">
        <f t="shared" si="10253"/>
        <v>15.2</v>
      </c>
      <c r="AZ1201" s="384">
        <f t="shared" si="10253"/>
        <v>85.189409947400009</v>
      </c>
      <c r="BA1201" s="384">
        <f t="shared" si="10253"/>
        <v>21.7</v>
      </c>
      <c r="BB1201" s="384">
        <f t="shared" si="10253"/>
        <v>121.35495844740001</v>
      </c>
    </row>
    <row r="1202" spans="4:54" ht="13.5" hidden="1" outlineLevel="1">
      <c r="D1202" s="378"/>
      <c r="E1202" s="380"/>
      <c r="F1202" s="561" t="s">
        <v>774</v>
      </c>
      <c r="G1202" s="562"/>
      <c r="H1202" s="563"/>
      <c r="Q1202" s="401">
        <f t="shared" ref="Q1202:BB1202" si="10254">Q1143-Q886</f>
        <v>503.57500000000016</v>
      </c>
      <c r="R1202" s="402">
        <f t="shared" si="10254"/>
        <v>7345.5254026904995</v>
      </c>
      <c r="S1202" s="395">
        <f t="shared" si="10254"/>
        <v>42.356000000000009</v>
      </c>
      <c r="T1202" s="384">
        <f t="shared" si="10254"/>
        <v>583.73869266000008</v>
      </c>
      <c r="U1202" s="384">
        <f t="shared" si="10254"/>
        <v>41.015999999999991</v>
      </c>
      <c r="V1202" s="384">
        <f t="shared" si="10254"/>
        <v>619.96550863200002</v>
      </c>
      <c r="W1202" s="384">
        <f t="shared" si="10254"/>
        <v>53.046999999999997</v>
      </c>
      <c r="X1202" s="384">
        <f t="shared" si="10254"/>
        <v>777.57451111599994</v>
      </c>
      <c r="Y1202" s="384">
        <f t="shared" si="10254"/>
        <v>136.41899999999998</v>
      </c>
      <c r="Z1202" s="384">
        <f t="shared" si="10254"/>
        <v>1981.278712408</v>
      </c>
      <c r="AA1202" s="384">
        <f t="shared" si="10254"/>
        <v>73.813000000000002</v>
      </c>
      <c r="AB1202" s="384">
        <f t="shared" si="10254"/>
        <v>1075.4835984019999</v>
      </c>
      <c r="AC1202" s="384">
        <f t="shared" si="10254"/>
        <v>49.792999999999992</v>
      </c>
      <c r="AD1202" s="384">
        <f t="shared" si="10254"/>
        <v>798.95304756849998</v>
      </c>
      <c r="AE1202" s="384">
        <f t="shared" si="10254"/>
        <v>17.03</v>
      </c>
      <c r="AF1202" s="384">
        <f t="shared" si="10254"/>
        <v>249.07626345600002</v>
      </c>
      <c r="AG1202" s="384">
        <f t="shared" si="10254"/>
        <v>140.63600000000002</v>
      </c>
      <c r="AH1202" s="384">
        <f t="shared" si="10254"/>
        <v>2123.5129094264998</v>
      </c>
      <c r="AI1202" s="384">
        <f t="shared" si="10254"/>
        <v>277.05500000000001</v>
      </c>
      <c r="AJ1202" s="384">
        <f t="shared" si="10254"/>
        <v>4104.791621834499</v>
      </c>
      <c r="AK1202" s="384">
        <f t="shared" si="10254"/>
        <v>26.913000000000004</v>
      </c>
      <c r="AL1202" s="384">
        <f t="shared" si="10254"/>
        <v>377.27221952880001</v>
      </c>
      <c r="AM1202" s="384">
        <f t="shared" si="10254"/>
        <v>36.056999999999995</v>
      </c>
      <c r="AN1202" s="384">
        <f t="shared" si="10254"/>
        <v>502.46138935199997</v>
      </c>
      <c r="AO1202" s="384">
        <f t="shared" si="10254"/>
        <v>39.25</v>
      </c>
      <c r="AP1202" s="384">
        <f t="shared" si="10254"/>
        <v>538.76655279000011</v>
      </c>
      <c r="AQ1202" s="384">
        <f t="shared" si="10254"/>
        <v>102.22</v>
      </c>
      <c r="AR1202" s="384">
        <f t="shared" si="10254"/>
        <v>1418.5001616708</v>
      </c>
      <c r="AS1202" s="384">
        <f t="shared" si="10254"/>
        <v>39.515000000000001</v>
      </c>
      <c r="AT1202" s="384">
        <f t="shared" si="10254"/>
        <v>591.82292651000023</v>
      </c>
      <c r="AU1202" s="384">
        <f t="shared" si="10254"/>
        <v>39.385000000000005</v>
      </c>
      <c r="AV1202" s="384">
        <f t="shared" si="10254"/>
        <v>559.43742330000009</v>
      </c>
      <c r="AW1202" s="384">
        <f t="shared" si="10254"/>
        <v>45.4</v>
      </c>
      <c r="AX1202" s="384">
        <f t="shared" si="10254"/>
        <v>670.97326937519972</v>
      </c>
      <c r="AY1202" s="384">
        <f t="shared" si="10254"/>
        <v>124.3</v>
      </c>
      <c r="AZ1202" s="384">
        <f t="shared" si="10254"/>
        <v>1822.2336191851994</v>
      </c>
      <c r="BA1202" s="384">
        <f t="shared" si="10254"/>
        <v>226.51999999999998</v>
      </c>
      <c r="BB1202" s="384">
        <f t="shared" si="10254"/>
        <v>3240.7337808560001</v>
      </c>
    </row>
    <row r="1203" spans="4:54" s="385" customFormat="1" ht="13.5" hidden="1" outlineLevel="1">
      <c r="D1203" s="379"/>
      <c r="E1203" s="584" t="s">
        <v>761</v>
      </c>
      <c r="F1203" s="584"/>
      <c r="G1203" s="584"/>
      <c r="H1203" s="585"/>
      <c r="I1203" s="386"/>
      <c r="J1203" s="386"/>
      <c r="K1203" s="386"/>
      <c r="L1203" s="386"/>
      <c r="M1203" s="386"/>
      <c r="N1203" s="386"/>
      <c r="O1203" s="386"/>
      <c r="P1203" s="386"/>
      <c r="Q1203" s="407">
        <f t="shared" ref="Q1203:AE1203" si="10255">SUM(Q1201:Q1202)</f>
        <v>535.83100000000013</v>
      </c>
      <c r="R1203" s="408">
        <f t="shared" si="10255"/>
        <v>7549.5803187134998</v>
      </c>
      <c r="S1203" s="398">
        <f t="shared" si="10255"/>
        <v>42.356000000000009</v>
      </c>
      <c r="T1203" s="387">
        <f t="shared" si="10255"/>
        <v>583.73869266000008</v>
      </c>
      <c r="U1203" s="387">
        <f t="shared" si="10255"/>
        <v>41.015999999999991</v>
      </c>
      <c r="V1203" s="387">
        <f t="shared" si="10255"/>
        <v>619.96550863200002</v>
      </c>
      <c r="W1203" s="387">
        <f t="shared" si="10255"/>
        <v>56.747</v>
      </c>
      <c r="X1203" s="387">
        <f t="shared" si="10255"/>
        <v>805.98149051599989</v>
      </c>
      <c r="Y1203" s="387">
        <f t="shared" si="10255"/>
        <v>140.11899999999997</v>
      </c>
      <c r="Z1203" s="387">
        <f t="shared" si="10255"/>
        <v>2009.685691808</v>
      </c>
      <c r="AA1203" s="387">
        <f t="shared" si="10255"/>
        <v>76.313000000000002</v>
      </c>
      <c r="AB1203" s="387">
        <f t="shared" si="10255"/>
        <v>1095.1610294019999</v>
      </c>
      <c r="AC1203" s="387">
        <f t="shared" si="10255"/>
        <v>50.548999999999992</v>
      </c>
      <c r="AD1203" s="387">
        <f t="shared" si="10255"/>
        <v>804.92753798410001</v>
      </c>
      <c r="AE1203" s="387">
        <f t="shared" si="10255"/>
        <v>20.630000000000003</v>
      </c>
      <c r="AF1203" s="387">
        <f>SUM(AF1201:AF1202)</f>
        <v>277.71732021600002</v>
      </c>
      <c r="AG1203" s="387">
        <f t="shared" ref="AG1203:BB1203" si="10256">SUM(AG1201:AG1202)</f>
        <v>147.49200000000002</v>
      </c>
      <c r="AH1203" s="387">
        <f t="shared" si="10256"/>
        <v>2177.8058876021</v>
      </c>
      <c r="AI1203" s="387">
        <f t="shared" si="10256"/>
        <v>287.61099999999999</v>
      </c>
      <c r="AJ1203" s="387">
        <f t="shared" si="10256"/>
        <v>4187.4915794100989</v>
      </c>
      <c r="AK1203" s="387">
        <f t="shared" si="10256"/>
        <v>27.413000000000004</v>
      </c>
      <c r="AL1203" s="387">
        <f t="shared" si="10256"/>
        <v>380.1421105288</v>
      </c>
      <c r="AM1203" s="387">
        <f t="shared" si="10256"/>
        <v>37.056999999999995</v>
      </c>
      <c r="AN1203" s="387">
        <f t="shared" si="10256"/>
        <v>508.10995435199999</v>
      </c>
      <c r="AO1203" s="387">
        <f t="shared" si="10256"/>
        <v>44.25</v>
      </c>
      <c r="AP1203" s="387">
        <f t="shared" si="10256"/>
        <v>566.41364529000009</v>
      </c>
      <c r="AQ1203" s="387">
        <f t="shared" si="10256"/>
        <v>108.72</v>
      </c>
      <c r="AR1203" s="387">
        <f t="shared" si="10256"/>
        <v>1454.6657101708001</v>
      </c>
      <c r="AS1203" s="387">
        <f t="shared" si="10256"/>
        <v>47.814999999999998</v>
      </c>
      <c r="AT1203" s="387">
        <f t="shared" si="10256"/>
        <v>637.78105201000028</v>
      </c>
      <c r="AU1203" s="387">
        <f t="shared" si="10256"/>
        <v>45.258000000000003</v>
      </c>
      <c r="AV1203" s="387">
        <f t="shared" si="10256"/>
        <v>592.73606447370014</v>
      </c>
      <c r="AW1203" s="387">
        <f t="shared" si="10256"/>
        <v>46.427</v>
      </c>
      <c r="AX1203" s="387">
        <f t="shared" si="10256"/>
        <v>676.90591264889974</v>
      </c>
      <c r="AY1203" s="387">
        <f t="shared" si="10256"/>
        <v>139.5</v>
      </c>
      <c r="AZ1203" s="387">
        <f t="shared" si="10256"/>
        <v>1907.4230291325994</v>
      </c>
      <c r="BA1203" s="387">
        <f t="shared" si="10256"/>
        <v>248.21999999999997</v>
      </c>
      <c r="BB1203" s="387">
        <f t="shared" si="10256"/>
        <v>3362.0887393034</v>
      </c>
    </row>
    <row r="1204" spans="4:54" ht="13.5" hidden="1" outlineLevel="1">
      <c r="D1204" s="377" t="s">
        <v>775</v>
      </c>
      <c r="E1204" s="378" t="s">
        <v>776</v>
      </c>
      <c r="F1204" s="564" t="s">
        <v>777</v>
      </c>
      <c r="G1204" s="565"/>
      <c r="H1204" s="565"/>
      <c r="Q1204" s="401">
        <f>Q540</f>
        <v>47.242999999999995</v>
      </c>
      <c r="R1204" s="402">
        <f>R540</f>
        <v>1188.8170642457999</v>
      </c>
      <c r="S1204" s="395">
        <f>S540</f>
        <v>3.024</v>
      </c>
      <c r="T1204" s="384">
        <f>T540</f>
        <v>101.83126739400001</v>
      </c>
      <c r="U1204" s="384">
        <f>U540</f>
        <v>3.5640000000000001</v>
      </c>
      <c r="V1204" s="384">
        <f>V540</f>
        <v>72.718067520000005</v>
      </c>
      <c r="W1204" s="384">
        <f>W540</f>
        <v>2.9409999999999998</v>
      </c>
      <c r="X1204" s="384">
        <f>X540</f>
        <v>89.668468700000005</v>
      </c>
      <c r="Y1204" s="384">
        <f>Y540</f>
        <v>9.5289999999999999</v>
      </c>
      <c r="Z1204" s="384">
        <f>Z540</f>
        <v>264.21780361399999</v>
      </c>
      <c r="AA1204" s="384">
        <f>AA540</f>
        <v>5.25</v>
      </c>
      <c r="AB1204" s="384">
        <f>AB540</f>
        <v>123.75624028799999</v>
      </c>
      <c r="AC1204" s="384">
        <f>AC540</f>
        <v>9.4270000000000014</v>
      </c>
      <c r="AD1204" s="384">
        <f>AD540</f>
        <v>174.15533004260001</v>
      </c>
      <c r="AE1204" s="384">
        <f>AE540</f>
        <v>4.5819999999999999</v>
      </c>
      <c r="AF1204" s="384">
        <f>AF540</f>
        <v>126.48559121999998</v>
      </c>
      <c r="AG1204" s="384">
        <f>AG540</f>
        <v>19.258999999999997</v>
      </c>
      <c r="AH1204" s="384">
        <f>AH540</f>
        <v>424.3971615506</v>
      </c>
      <c r="AI1204" s="384">
        <f>AI540</f>
        <v>28.787999999999997</v>
      </c>
      <c r="AJ1204" s="384">
        <f>AJ540</f>
        <v>688.61496516459988</v>
      </c>
      <c r="AK1204" s="384">
        <f>AK540</f>
        <v>2.1240000000000001</v>
      </c>
      <c r="AL1204" s="384">
        <f>AL540</f>
        <v>74.758516775999993</v>
      </c>
      <c r="AM1204" s="384">
        <f>AM540</f>
        <v>3.1500000000000004</v>
      </c>
      <c r="AN1204" s="384">
        <f>AN540</f>
        <v>93.258488699999987</v>
      </c>
      <c r="AO1204" s="384">
        <f>AO540</f>
        <v>5.1119999999999992</v>
      </c>
      <c r="AP1204" s="384">
        <f>AP540</f>
        <v>127.2697329132</v>
      </c>
      <c r="AQ1204" s="384">
        <f>AQ540</f>
        <v>10.385999999999999</v>
      </c>
      <c r="AR1204" s="384">
        <f>AR540</f>
        <v>295.28673838919997</v>
      </c>
      <c r="AS1204" s="384">
        <f>AS540</f>
        <v>4.3420000000000005</v>
      </c>
      <c r="AT1204" s="384">
        <f>AT540</f>
        <v>91.194119780000008</v>
      </c>
      <c r="AU1204" s="384">
        <f>AU540</f>
        <v>1.2330000000000001</v>
      </c>
      <c r="AV1204" s="384">
        <f>AV540</f>
        <v>41.933800440000013</v>
      </c>
      <c r="AW1204" s="384">
        <f>AW540</f>
        <v>2.4939999999999998</v>
      </c>
      <c r="AX1204" s="384">
        <f>AX540</f>
        <v>71.787440472</v>
      </c>
      <c r="AY1204" s="384">
        <f>AY540</f>
        <v>8.0690000000000008</v>
      </c>
      <c r="AZ1204" s="384">
        <f>AZ540</f>
        <v>204.91536069199998</v>
      </c>
      <c r="BA1204" s="384">
        <f>BA540</f>
        <v>18.454999999999998</v>
      </c>
      <c r="BB1204" s="384">
        <f>BB540</f>
        <v>500.2020990812</v>
      </c>
    </row>
    <row r="1205" spans="4:54" ht="13.5" hidden="1" outlineLevel="1">
      <c r="D1205" s="376" t="s">
        <v>778</v>
      </c>
      <c r="E1205" s="377" t="s">
        <v>779</v>
      </c>
      <c r="F1205" s="561" t="s">
        <v>780</v>
      </c>
      <c r="G1205" s="562"/>
      <c r="H1205" s="563"/>
      <c r="Q1205" s="401">
        <f t="shared" ref="Q1205:AE1205" si="10257">Q1161</f>
        <v>8.0000000000000002E-3</v>
      </c>
      <c r="R1205" s="402">
        <f t="shared" si="10257"/>
        <v>0.48</v>
      </c>
      <c r="S1205" s="395">
        <f t="shared" si="10257"/>
        <v>0</v>
      </c>
      <c r="T1205" s="384">
        <f t="shared" si="10257"/>
        <v>0</v>
      </c>
      <c r="U1205" s="384">
        <f t="shared" si="10257"/>
        <v>0</v>
      </c>
      <c r="V1205" s="384">
        <f t="shared" si="10257"/>
        <v>0</v>
      </c>
      <c r="W1205" s="384">
        <f t="shared" si="10257"/>
        <v>0</v>
      </c>
      <c r="X1205" s="384">
        <f t="shared" si="10257"/>
        <v>0</v>
      </c>
      <c r="Y1205" s="384">
        <f t="shared" si="10257"/>
        <v>0</v>
      </c>
      <c r="Z1205" s="384">
        <f t="shared" si="10257"/>
        <v>0</v>
      </c>
      <c r="AA1205" s="384">
        <f t="shared" si="10257"/>
        <v>0</v>
      </c>
      <c r="AB1205" s="384">
        <f t="shared" si="10257"/>
        <v>0</v>
      </c>
      <c r="AC1205" s="384">
        <f t="shared" si="10257"/>
        <v>1E-3</v>
      </c>
      <c r="AD1205" s="384">
        <f t="shared" si="10257"/>
        <v>0.13</v>
      </c>
      <c r="AE1205" s="384">
        <f t="shared" si="10257"/>
        <v>0</v>
      </c>
      <c r="AF1205" s="384">
        <f>AF1161</f>
        <v>0</v>
      </c>
      <c r="AG1205" s="384">
        <f t="shared" ref="AG1205:BB1205" si="10258">AG1161</f>
        <v>1E-3</v>
      </c>
      <c r="AH1205" s="384">
        <f t="shared" si="10258"/>
        <v>0.13</v>
      </c>
      <c r="AI1205" s="384">
        <f t="shared" si="10258"/>
        <v>1E-3</v>
      </c>
      <c r="AJ1205" s="384">
        <f t="shared" si="10258"/>
        <v>0.13</v>
      </c>
      <c r="AK1205" s="384">
        <f t="shared" si="10258"/>
        <v>0</v>
      </c>
      <c r="AL1205" s="384">
        <f t="shared" si="10258"/>
        <v>0</v>
      </c>
      <c r="AM1205" s="384">
        <f t="shared" si="10258"/>
        <v>0</v>
      </c>
      <c r="AN1205" s="384">
        <f t="shared" si="10258"/>
        <v>0</v>
      </c>
      <c r="AO1205" s="384">
        <f t="shared" si="10258"/>
        <v>0</v>
      </c>
      <c r="AP1205" s="384">
        <f t="shared" si="10258"/>
        <v>0</v>
      </c>
      <c r="AQ1205" s="384">
        <f t="shared" si="10258"/>
        <v>0</v>
      </c>
      <c r="AR1205" s="384">
        <f t="shared" si="10258"/>
        <v>0</v>
      </c>
      <c r="AS1205" s="384">
        <f t="shared" si="10258"/>
        <v>0</v>
      </c>
      <c r="AT1205" s="384">
        <f t="shared" si="10258"/>
        <v>0</v>
      </c>
      <c r="AU1205" s="384">
        <f t="shared" si="10258"/>
        <v>7.0000000000000001E-3</v>
      </c>
      <c r="AV1205" s="384">
        <f t="shared" si="10258"/>
        <v>0.35</v>
      </c>
      <c r="AW1205" s="384">
        <f t="shared" si="10258"/>
        <v>0</v>
      </c>
      <c r="AX1205" s="384">
        <f t="shared" si="10258"/>
        <v>0</v>
      </c>
      <c r="AY1205" s="384">
        <f t="shared" si="10258"/>
        <v>7.0000000000000001E-3</v>
      </c>
      <c r="AZ1205" s="384">
        <f t="shared" si="10258"/>
        <v>0.35</v>
      </c>
      <c r="BA1205" s="384">
        <f t="shared" si="10258"/>
        <v>7.0000000000000001E-3</v>
      </c>
      <c r="BB1205" s="384">
        <f t="shared" si="10258"/>
        <v>0.35</v>
      </c>
    </row>
    <row r="1206" spans="4:54" ht="14.25" hidden="1" outlineLevel="1" thickBot="1">
      <c r="D1206" s="581" t="s">
        <v>781</v>
      </c>
      <c r="E1206" s="582"/>
      <c r="F1206" s="582"/>
      <c r="G1206" s="582"/>
      <c r="H1206" s="583"/>
      <c r="Q1206" s="409">
        <f>Q1166+Q236+Q1154+Q1150+Q1145+Q462+Q813+Q231</f>
        <v>806.94599999999991</v>
      </c>
      <c r="R1206" s="409">
        <f>R1166+R236+R1154+R1150+R1145+R462+R813+R231</f>
        <v>5080.2454710000002</v>
      </c>
      <c r="S1206" s="395">
        <f>S1166+S236+S1154+S1150+S1145+S462+S813+S231</f>
        <v>21.48</v>
      </c>
      <c r="T1206" s="395">
        <f>T1166+T236+T1154+T1150+T1145+T462+T813+T231</f>
        <v>303.42243099999996</v>
      </c>
      <c r="U1206" s="384">
        <f>U1166+U236+U1154+U1150+U1145+U462+U813+U231</f>
        <v>46.144000000000005</v>
      </c>
      <c r="V1206" s="384">
        <f>V1166+V236+V1154+V1150+V1145+V462+V813+V231</f>
        <v>268.950378</v>
      </c>
      <c r="W1206" s="384">
        <f>W1166+W236+W1154+W1150+W1145+W462+W813+W231</f>
        <v>64.488</v>
      </c>
      <c r="X1206" s="384">
        <f>X1166+X236+X1154+X1150+X1145+X462+X813+X231</f>
        <v>195.69289800000004</v>
      </c>
      <c r="Y1206" s="384">
        <f>Y1166+Y236+Y1154+Y1150+Y1145+Y462+Y813+Y231</f>
        <v>132.11199999999999</v>
      </c>
      <c r="Z1206" s="384">
        <f>Z1166+Z236+Z1154+Z1150+Z1145+Z462+Z813+Z231</f>
        <v>768.06570699999997</v>
      </c>
      <c r="AA1206" s="384">
        <f>AA1166+AA236+AA1154+AA1150+AA1145+AA462+AA813+AA231</f>
        <v>64.068999999999988</v>
      </c>
      <c r="AB1206" s="384">
        <f>AB1166+AB236+AB1154+AB1150+AB1145+AB462+AB813+AB231</f>
        <v>273.78340900000001</v>
      </c>
      <c r="AC1206" s="384">
        <f>AC1166+AC236+AC1154+AC1150+AC1145+AC462+AC813+AC231</f>
        <v>102.07799999999999</v>
      </c>
      <c r="AD1206" s="384">
        <f>AD1166+AD236+AD1154+AD1150+AD1145+AD462+AD813+AD231</f>
        <v>502.37321600000001</v>
      </c>
      <c r="AE1206" s="384">
        <f>AE1166+AE236+AE1154+AE1150+AE1145+AE462+AE813+AE231</f>
        <v>82.12</v>
      </c>
      <c r="AF1206" s="384">
        <f>AF1166+AF236+AF1154+AF1150+AF1145+AF462+AF813+AF231</f>
        <v>241.70898399999999</v>
      </c>
      <c r="AG1206" s="384">
        <f>AG1166+AG236+AG1154+AG1150+AG1145+AG462+AG813+AG231</f>
        <v>248.267</v>
      </c>
      <c r="AH1206" s="384">
        <f>AH1166+AH236+AH1154+AH1150+AH1145+AH462+AH813+AH231</f>
        <v>1017.8656089999999</v>
      </c>
      <c r="AI1206" s="384">
        <f>AI1166+AI236+AI1154+AI1150+AI1145+AI462+AI813+AI231</f>
        <v>380.37899999999996</v>
      </c>
      <c r="AJ1206" s="384">
        <f>AJ1166+AJ236+AJ1154+AJ1150+AJ1145+AJ462+AJ813+AJ231</f>
        <v>1785.9313160000002</v>
      </c>
      <c r="AK1206" s="384">
        <f>AK1166+AK236+AK1154+AK1150+AK1145+AK462+AK813+AK231</f>
        <v>85.695999999999998</v>
      </c>
      <c r="AL1206" s="384">
        <f>AL1166+AL236+AL1154+AL1150+AL1145+AL462+AL813+AL231</f>
        <v>323.46989300000001</v>
      </c>
      <c r="AM1206" s="384">
        <f>AM1166+AM236+AM1154+AM1150+AM1145+AM462+AM813+AM231</f>
        <v>67.569999999999993</v>
      </c>
      <c r="AN1206" s="384">
        <f>AN1166+AN236+AN1154+AN1150+AN1145+AN462+AN813+AN231</f>
        <v>424.84214300000002</v>
      </c>
      <c r="AO1206" s="384">
        <f>AO1166+AO236+AO1154+AO1150+AO1145+AO462+AO813+AO231</f>
        <v>68.8</v>
      </c>
      <c r="AP1206" s="384">
        <f>AP1166+AP236+AP1154+AP1150+AP1145+AP462+AP813+AP231</f>
        <v>501.58913199999995</v>
      </c>
      <c r="AQ1206" s="384">
        <f>AQ1166+AQ236+AQ1154+AQ1150+AQ1145+AQ462+AQ813+AQ231</f>
        <v>222.06600000000003</v>
      </c>
      <c r="AR1206" s="384">
        <f>AR1166+AR236+AR1154+AR1150+AR1145+AR462+AR813+AR231</f>
        <v>1249.9011679999999</v>
      </c>
      <c r="AS1206" s="384">
        <f>AS1166+AS236+AS1154+AS1150+AS1145+AS462+AS813+AS231</f>
        <v>87.870999999999995</v>
      </c>
      <c r="AT1206" s="384">
        <f>AT1166+AT236+AT1154+AT1150+AT1145+AT462+AT813+AT231</f>
        <v>831.19118099999992</v>
      </c>
      <c r="AU1206" s="384">
        <f>AU1166+AU236+AU1154+AU1150+AU1145+AU462+AU813+AU231</f>
        <v>55.3</v>
      </c>
      <c r="AV1206" s="384">
        <f>AV1166+AV236+AV1154+AV1150+AV1145+AV462+AV813+AV231</f>
        <v>632.60532799999999</v>
      </c>
      <c r="AW1206" s="384">
        <f>AW1166+AW236+AW1154+AW1150+AW1145+AW462+AW813+AW231</f>
        <v>61.330000000000005</v>
      </c>
      <c r="AX1206" s="384">
        <f>AX1166+AX236+AX1154+AX1150+AX1145+AX462+AX813+AX231</f>
        <v>580.61647800000003</v>
      </c>
      <c r="AY1206" s="384">
        <f>AY1166+AY236+AY1154+AY1150+AY1145+AY462+AY813+AY231</f>
        <v>204.501</v>
      </c>
      <c r="AZ1206" s="384">
        <f>AZ1166+AZ236+AZ1154+AZ1150+AZ1145+AZ462+AZ813+AZ231</f>
        <v>2044.4129870000002</v>
      </c>
      <c r="BA1206" s="384">
        <f>BA1166+BA236+BA1154+BA1150+BA1145+BA462+BA813+BA231</f>
        <v>426.56700000000006</v>
      </c>
      <c r="BB1206" s="384">
        <f>BB1166+BB236+BB1154+BB1150+BB1145+BB462+BB813+BB231</f>
        <v>3294.3141549999996</v>
      </c>
    </row>
    <row r="1207" spans="4:54" collapsed="1"/>
    <row r="1208" spans="4:54">
      <c r="E1208" s="7"/>
    </row>
  </sheetData>
  <autoFilter ref="A7:BG1166" xr:uid="{00000000-0009-0000-0000-000000000000}"/>
  <mergeCells count="101">
    <mergeCell ref="BA3:BB3"/>
    <mergeCell ref="AK3:AL3"/>
    <mergeCell ref="AM3:AN3"/>
    <mergeCell ref="AO3:AP3"/>
    <mergeCell ref="AQ3:AR3"/>
    <mergeCell ref="AS3:AT3"/>
    <mergeCell ref="AU3:AV3"/>
    <mergeCell ref="AW3:AX3"/>
    <mergeCell ref="AY3:AZ3"/>
    <mergeCell ref="B3:B5"/>
    <mergeCell ref="C3:C5"/>
    <mergeCell ref="D3:D5"/>
    <mergeCell ref="Q3:R3"/>
    <mergeCell ref="H3:H5"/>
    <mergeCell ref="M4:N4"/>
    <mergeCell ref="O4:P4"/>
    <mergeCell ref="I3:P3"/>
    <mergeCell ref="E3:E5"/>
    <mergeCell ref="F3:F5"/>
    <mergeCell ref="I4:J4"/>
    <mergeCell ref="K4:L4"/>
    <mergeCell ref="G3:G5"/>
    <mergeCell ref="AI3:AJ3"/>
    <mergeCell ref="Y3:Z3"/>
    <mergeCell ref="AA3:AB3"/>
    <mergeCell ref="AC3:AD3"/>
    <mergeCell ref="AE3:AF3"/>
    <mergeCell ref="AG3:AH3"/>
    <mergeCell ref="S3:T3"/>
    <mergeCell ref="U3:V3"/>
    <mergeCell ref="W3:X3"/>
    <mergeCell ref="F1197:H1197"/>
    <mergeCell ref="F1196:H1196"/>
    <mergeCell ref="E1195:H1195"/>
    <mergeCell ref="F1194:H1194"/>
    <mergeCell ref="F1193:H1193"/>
    <mergeCell ref="Q1176:R1176"/>
    <mergeCell ref="F1192:H1192"/>
    <mergeCell ref="E1191:H1191"/>
    <mergeCell ref="F1190:H1190"/>
    <mergeCell ref="D1206:H1206"/>
    <mergeCell ref="F1205:H1205"/>
    <mergeCell ref="F1204:H1204"/>
    <mergeCell ref="E1203:H1203"/>
    <mergeCell ref="F1202:H1202"/>
    <mergeCell ref="F1201:H1201"/>
    <mergeCell ref="E1200:H1200"/>
    <mergeCell ref="E1199:H1199"/>
    <mergeCell ref="F1198:H1198"/>
    <mergeCell ref="B6:F6"/>
    <mergeCell ref="Q1175:R1175"/>
    <mergeCell ref="U1175:V1175"/>
    <mergeCell ref="W1175:X1175"/>
    <mergeCell ref="Y1175:Z1175"/>
    <mergeCell ref="AA1175:AB1175"/>
    <mergeCell ref="AC1175:AD1175"/>
    <mergeCell ref="AE1175:AF1175"/>
    <mergeCell ref="AG1175:AH1175"/>
    <mergeCell ref="S1175:T1175"/>
    <mergeCell ref="AI1175:AJ1175"/>
    <mergeCell ref="AK1175:AL1175"/>
    <mergeCell ref="AM1175:AN1175"/>
    <mergeCell ref="AO1175:AP1175"/>
    <mergeCell ref="AQ1175:AR1175"/>
    <mergeCell ref="AS1175:AT1175"/>
    <mergeCell ref="AU1175:AV1175"/>
    <mergeCell ref="AW1175:AX1175"/>
    <mergeCell ref="AY1175:AZ1175"/>
    <mergeCell ref="BA1175:BB1175"/>
    <mergeCell ref="F1189:H1189"/>
    <mergeCell ref="F1188:H1188"/>
    <mergeCell ref="E1187:H1187"/>
    <mergeCell ref="F1186:H1186"/>
    <mergeCell ref="F1185:H1185"/>
    <mergeCell ref="F1184:H1184"/>
    <mergeCell ref="F1183:H1183"/>
    <mergeCell ref="F1182:H1182"/>
    <mergeCell ref="F1181:H1181"/>
    <mergeCell ref="F1180:H1180"/>
    <mergeCell ref="F1179:H1179"/>
    <mergeCell ref="F1178:H1178"/>
    <mergeCell ref="F1177:H1177"/>
    <mergeCell ref="D1175:H1175"/>
    <mergeCell ref="S1176:T1176"/>
    <mergeCell ref="U1176:V1176"/>
    <mergeCell ref="AY1176:AZ1176"/>
    <mergeCell ref="BA1176:BB1176"/>
    <mergeCell ref="AK1176:AL1176"/>
    <mergeCell ref="AM1176:AN1176"/>
    <mergeCell ref="AO1176:AP1176"/>
    <mergeCell ref="AQ1176:AR1176"/>
    <mergeCell ref="AS1176:AT1176"/>
    <mergeCell ref="W1176:X1176"/>
    <mergeCell ref="Y1176:Z1176"/>
    <mergeCell ref="AA1176:AB1176"/>
    <mergeCell ref="AC1176:AD1176"/>
    <mergeCell ref="AE1176:AF1176"/>
    <mergeCell ref="AG1176:AH1176"/>
    <mergeCell ref="AI1176:AJ1176"/>
    <mergeCell ref="AU1176:AV1176"/>
    <mergeCell ref="AW1176:AX1176"/>
  </mergeCells>
  <phoneticPr fontId="12" type="noConversion"/>
  <pageMargins left="0.7" right="0.7" top="0.75" bottom="0.75" header="0.3" footer="0.3"/>
  <pageSetup paperSize="9" orientation="portrait" r:id="rId1"/>
  <ignoredErrors>
    <ignoredError sqref="AT67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D2EB-6E79-400A-967A-D5169B1A7B1F}">
  <dimension ref="B1:K4290"/>
  <sheetViews>
    <sheetView workbookViewId="0">
      <pane ySplit="2" topLeftCell="A4001" activePane="bottomLeft" state="frozen"/>
      <selection activeCell="G1" sqref="G1"/>
      <selection pane="bottomLeft" activeCell="F4006" sqref="F4006"/>
    </sheetView>
  </sheetViews>
  <sheetFormatPr defaultRowHeight="16.5"/>
  <cols>
    <col min="1" max="1" width="4.625" customWidth="1"/>
    <col min="2" max="2" width="9" style="555"/>
    <col min="3" max="3" width="13" style="555" bestFit="1" customWidth="1"/>
    <col min="4" max="4" width="21.125" bestFit="1" customWidth="1"/>
    <col min="5" max="6" width="25.625" bestFit="1" customWidth="1"/>
    <col min="7" max="7" width="10.625" bestFit="1" customWidth="1"/>
    <col min="8" max="8" width="12.75" bestFit="1" customWidth="1"/>
  </cols>
  <sheetData>
    <row r="1" spans="2:8">
      <c r="G1">
        <f>SUBTOTAL(9,G3:G10000)</f>
        <v>23460549</v>
      </c>
      <c r="H1">
        <f>SUBTOTAL(9,H3:H10000)</f>
        <v>230087.92759297986</v>
      </c>
    </row>
    <row r="2" spans="2:8">
      <c r="B2" s="555" t="s">
        <v>2092</v>
      </c>
      <c r="C2" s="555" t="s">
        <v>2103</v>
      </c>
      <c r="D2" t="s">
        <v>1836</v>
      </c>
      <c r="E2" t="s">
        <v>1837</v>
      </c>
      <c r="F2" t="s">
        <v>1838</v>
      </c>
      <c r="G2" t="s">
        <v>1839</v>
      </c>
      <c r="H2" t="s">
        <v>1840</v>
      </c>
    </row>
    <row r="3" spans="2:8">
      <c r="B3" s="555" t="s">
        <v>2093</v>
      </c>
      <c r="C3" s="555" t="str">
        <f>VLOOKUP(D3,기본!$D$13:$E$74,2,0)</f>
        <v>AV JDM</v>
      </c>
      <c r="D3" t="s">
        <v>1841</v>
      </c>
      <c r="E3" t="s">
        <v>1842</v>
      </c>
      <c r="F3" t="s">
        <v>1680</v>
      </c>
      <c r="G3" s="554">
        <v>5440</v>
      </c>
      <c r="H3">
        <v>47.701641600000002</v>
      </c>
    </row>
    <row r="4" spans="2:8">
      <c r="B4" s="555" t="s">
        <v>2093</v>
      </c>
      <c r="C4" s="555" t="str">
        <f>VLOOKUP(D4,기본!$D$13:$E$74,2,0)</f>
        <v>AV JDM</v>
      </c>
      <c r="D4" t="s">
        <v>1841</v>
      </c>
      <c r="E4" t="s">
        <v>1843</v>
      </c>
      <c r="F4" t="s">
        <v>1228</v>
      </c>
      <c r="G4" s="554">
        <v>3024</v>
      </c>
      <c r="H4">
        <v>29.204600544000005</v>
      </c>
    </row>
    <row r="5" spans="2:8">
      <c r="B5" s="555" t="s">
        <v>2093</v>
      </c>
      <c r="C5" s="555" t="str">
        <f>VLOOKUP(D5,기본!$D$13:$E$74,2,0)</f>
        <v>AV JDM</v>
      </c>
      <c r="D5" t="s">
        <v>1841</v>
      </c>
      <c r="E5" t="s">
        <v>1844</v>
      </c>
      <c r="F5" t="s">
        <v>1229</v>
      </c>
      <c r="G5" s="554">
        <v>45360</v>
      </c>
      <c r="H5">
        <v>368.75476512</v>
      </c>
    </row>
    <row r="6" spans="2:8">
      <c r="B6" s="555" t="s">
        <v>2093</v>
      </c>
      <c r="C6" s="555" t="str">
        <f>VLOOKUP(D6,기본!$D$13:$E$74,2,0)</f>
        <v>AV JDM</v>
      </c>
      <c r="D6" t="s">
        <v>1841</v>
      </c>
      <c r="E6" t="s">
        <v>1654</v>
      </c>
      <c r="F6" t="s">
        <v>1654</v>
      </c>
      <c r="G6" s="554">
        <v>7496</v>
      </c>
      <c r="H6">
        <v>59.269441200000003</v>
      </c>
    </row>
    <row r="7" spans="2:8">
      <c r="B7" s="555" t="s">
        <v>2093</v>
      </c>
      <c r="C7" s="555" t="str">
        <f>VLOOKUP(D7,기본!$D$13:$E$74,2,0)</f>
        <v>AV JDM</v>
      </c>
      <c r="D7" t="s">
        <v>1841</v>
      </c>
      <c r="E7" t="s">
        <v>1656</v>
      </c>
      <c r="F7" t="s">
        <v>1656</v>
      </c>
      <c r="G7" s="554">
        <v>8602</v>
      </c>
      <c r="H7">
        <v>73.189625019999994</v>
      </c>
    </row>
    <row r="8" spans="2:8">
      <c r="B8" s="555" t="s">
        <v>2093</v>
      </c>
      <c r="C8" s="555" t="str">
        <f>VLOOKUP(D8,기본!$D$13:$E$74,2,0)</f>
        <v>AV JDM</v>
      </c>
      <c r="D8" t="s">
        <v>1841</v>
      </c>
      <c r="E8" t="s">
        <v>1657</v>
      </c>
      <c r="F8" t="s">
        <v>1657</v>
      </c>
      <c r="G8" s="554">
        <v>332</v>
      </c>
      <c r="H8">
        <v>2.8491609200000001</v>
      </c>
    </row>
    <row r="9" spans="2:8">
      <c r="B9" s="555" t="s">
        <v>2093</v>
      </c>
      <c r="C9" s="555" t="str">
        <f>VLOOKUP(D9,기본!$D$13:$E$74,2,0)</f>
        <v>AV JDM</v>
      </c>
      <c r="D9" t="s">
        <v>1841</v>
      </c>
      <c r="E9" t="s">
        <v>1658</v>
      </c>
      <c r="F9" t="s">
        <v>1658</v>
      </c>
      <c r="G9" s="554">
        <v>2520</v>
      </c>
      <c r="H9">
        <v>22.993613160000002</v>
      </c>
    </row>
    <row r="10" spans="2:8">
      <c r="B10" s="555" t="s">
        <v>2093</v>
      </c>
      <c r="C10" s="555" t="str">
        <f>VLOOKUP(D10,기본!$D$13:$E$74,2,0)</f>
        <v>AV JDM</v>
      </c>
      <c r="D10" t="s">
        <v>1841</v>
      </c>
      <c r="E10" t="s">
        <v>1655</v>
      </c>
      <c r="F10" t="s">
        <v>1655</v>
      </c>
      <c r="G10" s="554">
        <v>102</v>
      </c>
      <c r="H10">
        <v>0.81520643999999998</v>
      </c>
    </row>
    <row r="11" spans="2:8">
      <c r="B11" s="555" t="s">
        <v>2093</v>
      </c>
      <c r="C11" s="555" t="str">
        <f>VLOOKUP(D11,기본!$D$13:$E$74,2,0)</f>
        <v>AV JDM</v>
      </c>
      <c r="D11" t="s">
        <v>1841</v>
      </c>
      <c r="E11" t="s">
        <v>1845</v>
      </c>
      <c r="F11" t="s">
        <v>1340</v>
      </c>
      <c r="G11" s="554">
        <v>24192</v>
      </c>
      <c r="H11">
        <v>241.346996856</v>
      </c>
    </row>
    <row r="12" spans="2:8">
      <c r="B12" s="555" t="s">
        <v>2093</v>
      </c>
      <c r="C12" s="555" t="str">
        <f>VLOOKUP(D12,기본!$D$13:$E$74,2,0)</f>
        <v>AV JDM</v>
      </c>
      <c r="D12" t="s">
        <v>1841</v>
      </c>
      <c r="E12" t="s">
        <v>1846</v>
      </c>
      <c r="F12" t="s">
        <v>1341</v>
      </c>
      <c r="G12" s="554">
        <v>252</v>
      </c>
      <c r="H12">
        <v>2.7066569039999999</v>
      </c>
    </row>
    <row r="13" spans="2:8">
      <c r="B13" s="555" t="s">
        <v>2093</v>
      </c>
      <c r="C13" s="555" t="str">
        <f>VLOOKUP(D13,기본!$D$13:$E$74,2,0)</f>
        <v>AV JDM</v>
      </c>
      <c r="D13" t="s">
        <v>1841</v>
      </c>
      <c r="E13" t="s">
        <v>1847</v>
      </c>
      <c r="F13" t="s">
        <v>1336</v>
      </c>
      <c r="G13" s="554">
        <v>4920</v>
      </c>
      <c r="H13">
        <v>43.479569600000005</v>
      </c>
    </row>
    <row r="14" spans="2:8">
      <c r="B14" s="555" t="s">
        <v>2093</v>
      </c>
      <c r="C14" s="555" t="str">
        <f>VLOOKUP(D14,기본!$D$13:$E$74,2,0)</f>
        <v>AV JDM</v>
      </c>
      <c r="D14" t="s">
        <v>1841</v>
      </c>
      <c r="E14" t="s">
        <v>1006</v>
      </c>
      <c r="F14" t="s">
        <v>1006</v>
      </c>
      <c r="G14" s="554">
        <v>28120</v>
      </c>
      <c r="H14">
        <v>304.53326856000001</v>
      </c>
    </row>
    <row r="15" spans="2:8">
      <c r="B15" s="555" t="s">
        <v>2093</v>
      </c>
      <c r="C15" s="555" t="str">
        <f>VLOOKUP(D15,기본!$D$13:$E$74,2,0)</f>
        <v>AV JDM</v>
      </c>
      <c r="D15" t="s">
        <v>1841</v>
      </c>
      <c r="E15" t="s">
        <v>1848</v>
      </c>
      <c r="F15" t="s">
        <v>1848</v>
      </c>
      <c r="G15" s="554">
        <v>6280</v>
      </c>
      <c r="H15">
        <v>74.027139559999995</v>
      </c>
    </row>
    <row r="16" spans="2:8">
      <c r="B16" s="555" t="s">
        <v>2093</v>
      </c>
      <c r="C16" s="555" t="str">
        <f>VLOOKUP(D16,기본!$D$13:$E$74,2,0)</f>
        <v>삼성 VD</v>
      </c>
      <c r="D16" t="s">
        <v>1849</v>
      </c>
      <c r="E16" t="s">
        <v>1164</v>
      </c>
      <c r="F16" t="s">
        <v>1850</v>
      </c>
      <c r="G16" s="554">
        <v>8820</v>
      </c>
      <c r="H16">
        <v>224.34016608000002</v>
      </c>
    </row>
    <row r="17" spans="2:8">
      <c r="B17" s="555" t="s">
        <v>2093</v>
      </c>
      <c r="C17" s="555" t="str">
        <f>VLOOKUP(D17,기본!$D$13:$E$74,2,0)</f>
        <v>삼성 VD</v>
      </c>
      <c r="D17" t="s">
        <v>1849</v>
      </c>
      <c r="E17" t="s">
        <v>1163</v>
      </c>
      <c r="F17" t="s">
        <v>1162</v>
      </c>
      <c r="G17" s="554">
        <v>3090</v>
      </c>
      <c r="H17">
        <v>93.908557710000011</v>
      </c>
    </row>
    <row r="18" spans="2:8">
      <c r="B18" s="555" t="s">
        <v>2093</v>
      </c>
      <c r="C18" s="555" t="str">
        <f>VLOOKUP(D18,기본!$D$13:$E$74,2,0)</f>
        <v>삼성 VD</v>
      </c>
      <c r="D18" t="s">
        <v>1849</v>
      </c>
      <c r="E18" t="s">
        <v>1851</v>
      </c>
      <c r="F18" t="s">
        <v>1852</v>
      </c>
      <c r="G18" s="554">
        <v>384</v>
      </c>
      <c r="H18">
        <v>2.7983854079999997</v>
      </c>
    </row>
    <row r="19" spans="2:8">
      <c r="B19" s="555" t="s">
        <v>2093</v>
      </c>
      <c r="C19" s="555" t="str">
        <f>VLOOKUP(D19,기본!$D$13:$E$74,2,0)</f>
        <v>삼성 VD</v>
      </c>
      <c r="D19" t="s">
        <v>1849</v>
      </c>
      <c r="E19" t="s">
        <v>1853</v>
      </c>
      <c r="F19" t="s">
        <v>1854</v>
      </c>
      <c r="G19" s="554">
        <v>720</v>
      </c>
      <c r="H19">
        <v>10.260973439999999</v>
      </c>
    </row>
    <row r="20" spans="2:8">
      <c r="B20" s="555" t="s">
        <v>2093</v>
      </c>
      <c r="C20" s="555" t="str">
        <f>VLOOKUP(D20,기본!$D$13:$E$74,2,0)</f>
        <v>삼성 VD</v>
      </c>
      <c r="D20" t="s">
        <v>1849</v>
      </c>
      <c r="E20" t="s">
        <v>1855</v>
      </c>
      <c r="F20" t="s">
        <v>1856</v>
      </c>
      <c r="G20" s="554">
        <v>1311</v>
      </c>
      <c r="H20">
        <v>19.070928215999999</v>
      </c>
    </row>
    <row r="21" spans="2:8">
      <c r="B21" s="555" t="s">
        <v>2093</v>
      </c>
      <c r="C21" s="555" t="str">
        <f>VLOOKUP(D21,기본!$D$13:$E$74,2,0)</f>
        <v>삼성 VD</v>
      </c>
      <c r="D21" t="s">
        <v>1849</v>
      </c>
      <c r="E21" t="s">
        <v>1857</v>
      </c>
      <c r="F21" t="s">
        <v>1858</v>
      </c>
      <c r="G21" s="554">
        <v>4224</v>
      </c>
      <c r="H21">
        <v>41.393172480000004</v>
      </c>
    </row>
    <row r="22" spans="2:8">
      <c r="B22" s="555" t="s">
        <v>2093</v>
      </c>
      <c r="C22" s="555" t="str">
        <f>VLOOKUP(D22,기본!$D$13:$E$74,2,0)</f>
        <v>삼성 VD</v>
      </c>
      <c r="D22" t="s">
        <v>1849</v>
      </c>
      <c r="E22" t="s">
        <v>1859</v>
      </c>
      <c r="F22" t="s">
        <v>1860</v>
      </c>
      <c r="G22" s="554">
        <v>288</v>
      </c>
      <c r="H22">
        <v>4.9950167040000011</v>
      </c>
    </row>
    <row r="23" spans="2:8">
      <c r="B23" s="555" t="s">
        <v>2093</v>
      </c>
      <c r="C23" s="555" t="str">
        <f>VLOOKUP(D23,기본!$D$13:$E$74,2,0)</f>
        <v>삼성 VD</v>
      </c>
      <c r="D23" t="s">
        <v>1849</v>
      </c>
      <c r="E23" t="s">
        <v>1861</v>
      </c>
      <c r="F23" t="s">
        <v>1862</v>
      </c>
      <c r="G23" s="554">
        <v>82</v>
      </c>
      <c r="H23">
        <v>1.38774832</v>
      </c>
    </row>
    <row r="24" spans="2:8">
      <c r="B24" s="555" t="s">
        <v>2093</v>
      </c>
      <c r="C24" s="555" t="str">
        <f>VLOOKUP(D24,기본!$D$13:$E$74,2,0)</f>
        <v>삼성 VD</v>
      </c>
      <c r="D24" t="s">
        <v>1849</v>
      </c>
      <c r="E24" t="s">
        <v>1863</v>
      </c>
      <c r="F24" t="s">
        <v>1864</v>
      </c>
      <c r="G24" s="554">
        <v>208</v>
      </c>
      <c r="H24">
        <v>1.6575744000000001</v>
      </c>
    </row>
    <row r="25" spans="2:8">
      <c r="B25" s="555" t="s">
        <v>2093</v>
      </c>
      <c r="C25" s="555" t="str">
        <f>VLOOKUP(D25,기본!$D$13:$E$74,2,0)</f>
        <v>삼성 VD</v>
      </c>
      <c r="D25" t="s">
        <v>1849</v>
      </c>
      <c r="E25" t="s">
        <v>1309</v>
      </c>
      <c r="F25" t="s">
        <v>1308</v>
      </c>
      <c r="G25" s="554">
        <v>624</v>
      </c>
      <c r="H25">
        <v>13.780233216000001</v>
      </c>
    </row>
    <row r="26" spans="2:8">
      <c r="B26" s="555" t="s">
        <v>2093</v>
      </c>
      <c r="C26" s="555" t="str">
        <f>VLOOKUP(D26,기본!$D$13:$E$74,2,0)</f>
        <v>삼성 VD</v>
      </c>
      <c r="D26" t="s">
        <v>1849</v>
      </c>
      <c r="E26" t="s">
        <v>1865</v>
      </c>
      <c r="F26" t="s">
        <v>1866</v>
      </c>
      <c r="G26" s="554">
        <v>996</v>
      </c>
      <c r="H26">
        <v>41.30086905600001</v>
      </c>
    </row>
    <row r="27" spans="2:8">
      <c r="B27" s="555" t="s">
        <v>2093</v>
      </c>
      <c r="C27" s="555" t="str">
        <f>VLOOKUP(D27,기본!$D$13:$E$74,2,0)</f>
        <v>삼성 VD</v>
      </c>
      <c r="D27" t="s">
        <v>1849</v>
      </c>
      <c r="E27" t="s">
        <v>1867</v>
      </c>
      <c r="F27" t="s">
        <v>1868</v>
      </c>
      <c r="G27" s="554">
        <v>1176</v>
      </c>
      <c r="H27">
        <v>9.5982768000000007</v>
      </c>
    </row>
    <row r="28" spans="2:8">
      <c r="B28" s="555" t="s">
        <v>2093</v>
      </c>
      <c r="C28" s="555" t="str">
        <f>VLOOKUP(D28,기본!$D$13:$E$74,2,0)</f>
        <v>삼성 VD</v>
      </c>
      <c r="D28" t="s">
        <v>1849</v>
      </c>
      <c r="E28" t="s">
        <v>709</v>
      </c>
      <c r="F28" t="s">
        <v>1869</v>
      </c>
      <c r="G28" s="554">
        <v>74976</v>
      </c>
      <c r="H28">
        <v>253.37789399999997</v>
      </c>
    </row>
    <row r="29" spans="2:8">
      <c r="B29" s="555" t="s">
        <v>2093</v>
      </c>
      <c r="C29" s="555" t="str">
        <f>VLOOKUP(D29,기본!$D$13:$E$74,2,0)</f>
        <v>삼성 VD</v>
      </c>
      <c r="D29" t="s">
        <v>1849</v>
      </c>
      <c r="E29" t="s">
        <v>1156</v>
      </c>
      <c r="F29" t="s">
        <v>1870</v>
      </c>
      <c r="G29" s="554">
        <v>2156</v>
      </c>
      <c r="H29">
        <v>9.7573578080000001</v>
      </c>
    </row>
    <row r="30" spans="2:8">
      <c r="B30" s="555" t="s">
        <v>2093</v>
      </c>
      <c r="C30" s="555" t="str">
        <f>VLOOKUP(D30,기본!$D$13:$E$74,2,0)</f>
        <v>삼성 VD</v>
      </c>
      <c r="D30" t="s">
        <v>1871</v>
      </c>
      <c r="E30" t="s">
        <v>1164</v>
      </c>
      <c r="F30" t="s">
        <v>1850</v>
      </c>
      <c r="G30" s="554">
        <v>3052</v>
      </c>
      <c r="H30">
        <v>80.800088544000019</v>
      </c>
    </row>
    <row r="31" spans="2:8">
      <c r="B31" s="555" t="s">
        <v>2093</v>
      </c>
      <c r="C31" s="555" t="str">
        <f>VLOOKUP(D31,기본!$D$13:$E$74,2,0)</f>
        <v>삼성 VD</v>
      </c>
      <c r="D31" t="s">
        <v>1871</v>
      </c>
      <c r="E31" t="s">
        <v>1163</v>
      </c>
      <c r="F31" t="s">
        <v>1162</v>
      </c>
      <c r="G31" s="554">
        <v>4700</v>
      </c>
      <c r="H31">
        <v>143.7479208</v>
      </c>
    </row>
    <row r="32" spans="2:8">
      <c r="B32" s="555" t="s">
        <v>2093</v>
      </c>
      <c r="C32" s="555" t="str">
        <f>VLOOKUP(D32,기본!$D$13:$E$74,2,0)</f>
        <v>삼성 VD</v>
      </c>
      <c r="D32" t="s">
        <v>1871</v>
      </c>
      <c r="E32" t="s">
        <v>1872</v>
      </c>
      <c r="F32" t="s">
        <v>1873</v>
      </c>
      <c r="G32" s="554">
        <v>700</v>
      </c>
      <c r="H32">
        <v>21.409264799999999</v>
      </c>
    </row>
    <row r="33" spans="2:8">
      <c r="B33" s="555" t="s">
        <v>2093</v>
      </c>
      <c r="C33" s="555" t="str">
        <f>VLOOKUP(D33,기본!$D$13:$E$74,2,0)</f>
        <v>삼성 VD</v>
      </c>
      <c r="D33" t="s">
        <v>1871</v>
      </c>
      <c r="E33" t="s">
        <v>1853</v>
      </c>
      <c r="F33" t="s">
        <v>1854</v>
      </c>
      <c r="G33" s="554">
        <v>1034</v>
      </c>
      <c r="H33">
        <v>14.727121375999999</v>
      </c>
    </row>
    <row r="34" spans="2:8">
      <c r="B34" s="555" t="s">
        <v>2093</v>
      </c>
      <c r="C34" s="555" t="str">
        <f>VLOOKUP(D34,기본!$D$13:$E$74,2,0)</f>
        <v>삼성 VD</v>
      </c>
      <c r="D34" t="s">
        <v>1871</v>
      </c>
      <c r="E34" t="s">
        <v>1874</v>
      </c>
      <c r="F34" t="s">
        <v>1875</v>
      </c>
      <c r="G34" s="554">
        <v>4680</v>
      </c>
      <c r="H34">
        <v>74.128732800000009</v>
      </c>
    </row>
    <row r="35" spans="2:8">
      <c r="B35" s="555" t="s">
        <v>2093</v>
      </c>
      <c r="C35" s="555" t="str">
        <f>VLOOKUP(D35,기본!$D$13:$E$74,2,0)</f>
        <v>삼성 VD</v>
      </c>
      <c r="D35" t="s">
        <v>1871</v>
      </c>
      <c r="E35" t="s">
        <v>1876</v>
      </c>
      <c r="F35" t="s">
        <v>1877</v>
      </c>
      <c r="G35" s="554">
        <v>3120</v>
      </c>
      <c r="H35">
        <v>20.983322879999999</v>
      </c>
    </row>
    <row r="36" spans="2:8">
      <c r="B36" s="555" t="s">
        <v>2093</v>
      </c>
      <c r="C36" s="555" t="str">
        <f>VLOOKUP(D36,기본!$D$13:$E$74,2,0)</f>
        <v>삼성 VD</v>
      </c>
      <c r="D36" t="s">
        <v>1871</v>
      </c>
      <c r="E36" t="s">
        <v>1878</v>
      </c>
      <c r="F36" t="s">
        <v>1879</v>
      </c>
      <c r="G36" s="554">
        <v>288</v>
      </c>
      <c r="H36">
        <v>1.9446543360000004</v>
      </c>
    </row>
    <row r="37" spans="2:8">
      <c r="B37" s="555" t="s">
        <v>2093</v>
      </c>
      <c r="C37" s="555" t="str">
        <f>VLOOKUP(D37,기본!$D$13:$E$74,2,0)</f>
        <v>삼성 VD</v>
      </c>
      <c r="D37" t="s">
        <v>1880</v>
      </c>
      <c r="E37" t="s">
        <v>1855</v>
      </c>
      <c r="F37" t="s">
        <v>1856</v>
      </c>
      <c r="G37" s="554">
        <v>5336</v>
      </c>
      <c r="H37">
        <v>76.934485397999993</v>
      </c>
    </row>
    <row r="38" spans="2:8">
      <c r="B38" s="555" t="s">
        <v>2093</v>
      </c>
      <c r="C38" s="555" t="str">
        <f>VLOOKUP(D38,기본!$D$13:$E$74,2,0)</f>
        <v>삼성 VD</v>
      </c>
      <c r="D38" t="s">
        <v>1881</v>
      </c>
      <c r="E38" t="s">
        <v>1165</v>
      </c>
      <c r="F38" t="s">
        <v>1882</v>
      </c>
      <c r="G38" s="554">
        <v>138</v>
      </c>
      <c r="H38">
        <v>3.8612372400000003</v>
      </c>
    </row>
    <row r="39" spans="2:8">
      <c r="B39" s="555" t="s">
        <v>2093</v>
      </c>
      <c r="C39" s="555" t="str">
        <f>VLOOKUP(D39,기본!$D$13:$E$74,2,0)</f>
        <v>삼성 VD</v>
      </c>
      <c r="D39" t="s">
        <v>1881</v>
      </c>
      <c r="E39" t="s">
        <v>1853</v>
      </c>
      <c r="F39" t="s">
        <v>1854</v>
      </c>
      <c r="G39" s="554">
        <v>120</v>
      </c>
      <c r="H39">
        <v>1.6920827999999999</v>
      </c>
    </row>
    <row r="40" spans="2:8">
      <c r="B40" s="555" t="s">
        <v>2093</v>
      </c>
      <c r="C40" s="555" t="str">
        <f>VLOOKUP(D40,기본!$D$13:$E$74,2,0)</f>
        <v>삼성 VD</v>
      </c>
      <c r="D40" t="s">
        <v>1881</v>
      </c>
      <c r="E40" t="s">
        <v>1855</v>
      </c>
      <c r="F40" t="s">
        <v>1856</v>
      </c>
      <c r="G40" s="554">
        <v>345</v>
      </c>
      <c r="H40">
        <v>4.9656091499999997</v>
      </c>
    </row>
    <row r="41" spans="2:8">
      <c r="B41" s="555" t="s">
        <v>2093</v>
      </c>
      <c r="C41" s="555" t="str">
        <f>VLOOKUP(D41,기본!$D$13:$E$74,2,0)</f>
        <v>삼성 VD</v>
      </c>
      <c r="D41" t="s">
        <v>1881</v>
      </c>
      <c r="E41" t="s">
        <v>1874</v>
      </c>
      <c r="F41" t="s">
        <v>1875</v>
      </c>
      <c r="G41" s="554">
        <v>736</v>
      </c>
      <c r="H41">
        <v>11.542099200000001</v>
      </c>
    </row>
    <row r="42" spans="2:8">
      <c r="B42" s="555" t="s">
        <v>2093</v>
      </c>
      <c r="C42" s="555" t="str">
        <f>VLOOKUP(D42,기본!$D$13:$E$74,2,0)</f>
        <v>기타</v>
      </c>
      <c r="D42" t="s">
        <v>1883</v>
      </c>
      <c r="E42" t="s">
        <v>229</v>
      </c>
      <c r="F42" t="s">
        <v>229</v>
      </c>
      <c r="G42" s="554">
        <v>0</v>
      </c>
      <c r="H42">
        <v>10.270078</v>
      </c>
    </row>
    <row r="43" spans="2:8">
      <c r="B43" s="555" t="s">
        <v>2093</v>
      </c>
      <c r="C43" s="555" t="str">
        <f>VLOOKUP(D43,기본!$D$13:$E$74,2,0)</f>
        <v>MNT JDM</v>
      </c>
      <c r="D43" t="s">
        <v>1884</v>
      </c>
      <c r="E43" t="s">
        <v>709</v>
      </c>
      <c r="F43" t="s">
        <v>1885</v>
      </c>
      <c r="G43" s="554">
        <v>90816</v>
      </c>
      <c r="H43">
        <v>401.87984390400004</v>
      </c>
    </row>
    <row r="44" spans="2:8">
      <c r="B44" s="555" t="s">
        <v>2093</v>
      </c>
      <c r="C44" s="555" t="str">
        <f>VLOOKUP(D44,기본!$D$13:$E$74,2,0)</f>
        <v>MNT JDM</v>
      </c>
      <c r="D44" t="s">
        <v>1884</v>
      </c>
      <c r="E44" t="s">
        <v>710</v>
      </c>
      <c r="F44" t="s">
        <v>1886</v>
      </c>
      <c r="G44" s="554">
        <v>8448</v>
      </c>
      <c r="H44">
        <v>44.648892287999999</v>
      </c>
    </row>
    <row r="45" spans="2:8">
      <c r="B45" s="555" t="s">
        <v>2093</v>
      </c>
      <c r="C45" s="555" t="str">
        <f>VLOOKUP(D45,기본!$D$13:$E$74,2,0)</f>
        <v>MNT JDM</v>
      </c>
      <c r="D45" t="s">
        <v>1884</v>
      </c>
      <c r="E45" t="s">
        <v>1156</v>
      </c>
      <c r="F45" t="s">
        <v>1870</v>
      </c>
      <c r="G45" s="554">
        <v>20064</v>
      </c>
      <c r="H45">
        <v>109.311994176</v>
      </c>
    </row>
    <row r="46" spans="2:8">
      <c r="B46" s="555" t="s">
        <v>2093</v>
      </c>
      <c r="C46" s="555" t="str">
        <f>VLOOKUP(D46,기본!$D$13:$E$74,2,0)</f>
        <v>MNT JDM</v>
      </c>
      <c r="D46" t="s">
        <v>1884</v>
      </c>
      <c r="E46" t="s">
        <v>1157</v>
      </c>
      <c r="F46" t="s">
        <v>1887</v>
      </c>
      <c r="G46" s="554">
        <v>4224</v>
      </c>
      <c r="H46">
        <v>27.420721151999999</v>
      </c>
    </row>
    <row r="47" spans="2:8">
      <c r="B47" s="555" t="s">
        <v>2093</v>
      </c>
      <c r="C47" s="555" t="str">
        <f>VLOOKUP(D47,기본!$D$13:$E$74,2,0)</f>
        <v>MNT JDM</v>
      </c>
      <c r="D47" t="s">
        <v>157</v>
      </c>
      <c r="E47" t="s">
        <v>709</v>
      </c>
      <c r="F47" t="s">
        <v>1885</v>
      </c>
      <c r="G47" s="554">
        <v>38016</v>
      </c>
      <c r="H47">
        <v>161.34243839999999</v>
      </c>
    </row>
    <row r="48" spans="2:8">
      <c r="B48" s="555" t="s">
        <v>2093</v>
      </c>
      <c r="C48" s="555" t="str">
        <f>VLOOKUP(D48,기본!$D$13:$E$74,2,0)</f>
        <v>MNT JDM</v>
      </c>
      <c r="D48" t="s">
        <v>157</v>
      </c>
      <c r="E48" t="s">
        <v>710</v>
      </c>
      <c r="F48" t="s">
        <v>1886</v>
      </c>
      <c r="G48" s="554">
        <v>33792</v>
      </c>
      <c r="H48">
        <v>172.58843289600003</v>
      </c>
    </row>
    <row r="49" spans="2:8">
      <c r="B49" s="555" t="s">
        <v>2093</v>
      </c>
      <c r="C49" s="555" t="str">
        <f>VLOOKUP(D49,기본!$D$13:$E$74,2,0)</f>
        <v>MNT JDM</v>
      </c>
      <c r="D49" t="s">
        <v>157</v>
      </c>
      <c r="E49" t="s">
        <v>1156</v>
      </c>
      <c r="F49" t="s">
        <v>1870</v>
      </c>
      <c r="G49" s="554">
        <v>13728</v>
      </c>
      <c r="H49">
        <v>71.997235200000006</v>
      </c>
    </row>
    <row r="50" spans="2:8">
      <c r="B50" s="555" t="s">
        <v>2093</v>
      </c>
      <c r="C50" s="555" t="str">
        <f>VLOOKUP(D50,기본!$D$13:$E$74,2,0)</f>
        <v>AV JDM</v>
      </c>
      <c r="D50" t="s">
        <v>1888</v>
      </c>
      <c r="E50" t="s">
        <v>1842</v>
      </c>
      <c r="F50" t="s">
        <v>1680</v>
      </c>
      <c r="G50" s="554">
        <v>47920</v>
      </c>
      <c r="H50">
        <v>417.38835599999999</v>
      </c>
    </row>
    <row r="51" spans="2:8">
      <c r="B51" s="555" t="s">
        <v>2093</v>
      </c>
      <c r="C51" s="555" t="str">
        <f>VLOOKUP(D51,기본!$D$13:$E$74,2,0)</f>
        <v>AV JDM</v>
      </c>
      <c r="D51" t="s">
        <v>1888</v>
      </c>
      <c r="E51" t="s">
        <v>105</v>
      </c>
      <c r="F51" t="s">
        <v>104</v>
      </c>
      <c r="G51" s="554">
        <v>7480</v>
      </c>
      <c r="H51">
        <v>72.515169319999998</v>
      </c>
    </row>
    <row r="52" spans="2:8">
      <c r="B52" s="555" t="s">
        <v>2093</v>
      </c>
      <c r="C52" s="555" t="str">
        <f>VLOOKUP(D52,기본!$D$13:$E$74,2,0)</f>
        <v>AV JDM</v>
      </c>
      <c r="D52" t="s">
        <v>1888</v>
      </c>
      <c r="E52" t="s">
        <v>690</v>
      </c>
      <c r="F52" t="s">
        <v>689</v>
      </c>
      <c r="G52" s="554">
        <v>1520</v>
      </c>
      <c r="H52">
        <v>15.143163999999999</v>
      </c>
    </row>
    <row r="53" spans="2:8">
      <c r="B53" s="555" t="s">
        <v>2093</v>
      </c>
      <c r="C53" s="555" t="str">
        <f>VLOOKUP(D53,기본!$D$13:$E$74,2,0)</f>
        <v>AV JDM</v>
      </c>
      <c r="D53" t="s">
        <v>1888</v>
      </c>
      <c r="E53" t="s">
        <v>1889</v>
      </c>
      <c r="F53" t="s">
        <v>1890</v>
      </c>
      <c r="G53" s="554">
        <v>40320</v>
      </c>
      <c r="H53">
        <v>304.30159200000003</v>
      </c>
    </row>
    <row r="54" spans="2:8">
      <c r="B54" s="555" t="s">
        <v>2093</v>
      </c>
      <c r="C54" s="555" t="str">
        <f>VLOOKUP(D54,기본!$D$13:$E$74,2,0)</f>
        <v>AV JDM</v>
      </c>
      <c r="D54" t="s">
        <v>1888</v>
      </c>
      <c r="E54" t="s">
        <v>1891</v>
      </c>
      <c r="F54" t="s">
        <v>1892</v>
      </c>
      <c r="G54" s="554">
        <v>576</v>
      </c>
      <c r="H54">
        <v>23.008672512</v>
      </c>
    </row>
    <row r="55" spans="2:8">
      <c r="B55" s="555" t="s">
        <v>2093</v>
      </c>
      <c r="C55" s="555" t="str">
        <f>VLOOKUP(D55,기본!$D$13:$E$74,2,0)</f>
        <v>AV JDM</v>
      </c>
      <c r="D55" t="s">
        <v>1888</v>
      </c>
      <c r="E55" t="s">
        <v>1893</v>
      </c>
      <c r="F55" t="s">
        <v>1256</v>
      </c>
      <c r="G55" s="554">
        <v>2016</v>
      </c>
      <c r="H55">
        <v>18.403967231999999</v>
      </c>
    </row>
    <row r="56" spans="2:8">
      <c r="B56" s="555" t="s">
        <v>2093</v>
      </c>
      <c r="C56" s="555" t="str">
        <f>VLOOKUP(D56,기본!$D$13:$E$74,2,0)</f>
        <v>AV JDM</v>
      </c>
      <c r="D56" t="s">
        <v>1888</v>
      </c>
      <c r="E56" t="s">
        <v>1845</v>
      </c>
      <c r="F56" t="s">
        <v>1340</v>
      </c>
      <c r="G56" s="554">
        <v>17850</v>
      </c>
      <c r="H56">
        <v>178.84360090800001</v>
      </c>
    </row>
    <row r="57" spans="2:8">
      <c r="B57" s="555" t="s">
        <v>2093</v>
      </c>
      <c r="C57" s="555" t="str">
        <f>VLOOKUP(D57,기본!$D$13:$E$74,2,0)</f>
        <v>AV JDM</v>
      </c>
      <c r="D57" t="s">
        <v>1888</v>
      </c>
      <c r="E57" t="s">
        <v>1846</v>
      </c>
      <c r="F57" t="s">
        <v>1341</v>
      </c>
      <c r="G57" s="554">
        <v>210</v>
      </c>
      <c r="H57">
        <v>2.3370647999999998</v>
      </c>
    </row>
    <row r="58" spans="2:8">
      <c r="B58" s="555" t="s">
        <v>2093</v>
      </c>
      <c r="C58" s="555" t="str">
        <f>VLOOKUP(D58,기본!$D$13:$E$74,2,0)</f>
        <v>AV JDM</v>
      </c>
      <c r="D58" t="s">
        <v>1888</v>
      </c>
      <c r="E58" t="s">
        <v>1847</v>
      </c>
      <c r="F58" t="s">
        <v>1336</v>
      </c>
      <c r="G58" s="554">
        <v>61000</v>
      </c>
      <c r="H58">
        <v>531.44322</v>
      </c>
    </row>
    <row r="59" spans="2:8">
      <c r="B59" s="555" t="s">
        <v>2093</v>
      </c>
      <c r="C59" s="555" t="str">
        <f>VLOOKUP(D59,기본!$D$13:$E$74,2,0)</f>
        <v>AV JDM</v>
      </c>
      <c r="D59" t="s">
        <v>1888</v>
      </c>
      <c r="E59" t="s">
        <v>1894</v>
      </c>
      <c r="F59" t="s">
        <v>1337</v>
      </c>
      <c r="G59" s="554">
        <v>320</v>
      </c>
      <c r="H59">
        <v>3.1422720000000002</v>
      </c>
    </row>
    <row r="60" spans="2:8">
      <c r="B60" s="555" t="s">
        <v>2093</v>
      </c>
      <c r="C60" s="555" t="str">
        <f>VLOOKUP(D60,기본!$D$13:$E$74,2,0)</f>
        <v>AV JDM</v>
      </c>
      <c r="D60" t="s">
        <v>1888</v>
      </c>
      <c r="E60" t="s">
        <v>1015</v>
      </c>
      <c r="F60" t="s">
        <v>1015</v>
      </c>
      <c r="G60" s="554">
        <v>32448</v>
      </c>
      <c r="H60">
        <v>222.123131328</v>
      </c>
    </row>
    <row r="61" spans="2:8">
      <c r="B61" s="555" t="s">
        <v>2093</v>
      </c>
      <c r="C61" s="555" t="str">
        <f>VLOOKUP(D61,기본!$D$13:$E$74,2,0)</f>
        <v>AV JDM</v>
      </c>
      <c r="D61" t="s">
        <v>1888</v>
      </c>
      <c r="E61" t="s">
        <v>1016</v>
      </c>
      <c r="F61" t="s">
        <v>1016</v>
      </c>
      <c r="G61" s="554">
        <v>36608</v>
      </c>
      <c r="H61">
        <v>296.74272153600003</v>
      </c>
    </row>
    <row r="62" spans="2:8">
      <c r="B62" s="555" t="s">
        <v>2093</v>
      </c>
      <c r="C62" s="555" t="str">
        <f>VLOOKUP(D62,기본!$D$13:$E$74,2,0)</f>
        <v>AV JDM</v>
      </c>
      <c r="D62" t="s">
        <v>1888</v>
      </c>
      <c r="E62" t="s">
        <v>1047</v>
      </c>
      <c r="F62" t="s">
        <v>1047</v>
      </c>
      <c r="G62" s="554">
        <v>256</v>
      </c>
      <c r="H62">
        <v>2.2480542720000001</v>
      </c>
    </row>
    <row r="63" spans="2:8">
      <c r="B63" s="555" t="s">
        <v>2093</v>
      </c>
      <c r="C63" s="555" t="str">
        <f>VLOOKUP(D63,기본!$D$13:$E$74,2,0)</f>
        <v>AV JDM</v>
      </c>
      <c r="D63" t="s">
        <v>1888</v>
      </c>
      <c r="E63" t="s">
        <v>1895</v>
      </c>
      <c r="F63" t="s">
        <v>1895</v>
      </c>
      <c r="G63" s="554">
        <v>140</v>
      </c>
      <c r="H63">
        <v>1.189632</v>
      </c>
    </row>
    <row r="64" spans="2:8">
      <c r="B64" s="555" t="s">
        <v>2093</v>
      </c>
      <c r="C64" s="555" t="str">
        <f>VLOOKUP(D64,기본!$D$13:$E$74,2,0)</f>
        <v>JDM</v>
      </c>
      <c r="D64" t="s">
        <v>1896</v>
      </c>
      <c r="E64" t="s">
        <v>1897</v>
      </c>
      <c r="F64" t="s">
        <v>1897</v>
      </c>
      <c r="G64" s="554">
        <v>150</v>
      </c>
      <c r="H64">
        <v>8.2591184999999996</v>
      </c>
    </row>
    <row r="65" spans="2:8">
      <c r="B65" s="555" t="s">
        <v>2093</v>
      </c>
      <c r="C65" s="555" t="str">
        <f>VLOOKUP(D65,기본!$D$13:$E$74,2,0)</f>
        <v>MNT JDM</v>
      </c>
      <c r="D65" t="s">
        <v>1898</v>
      </c>
      <c r="E65" t="s">
        <v>709</v>
      </c>
      <c r="F65" t="s">
        <v>1885</v>
      </c>
      <c r="G65" s="554">
        <v>16896</v>
      </c>
      <c r="H65">
        <v>72.725469696000005</v>
      </c>
    </row>
    <row r="66" spans="2:8">
      <c r="B66" s="555" t="s">
        <v>2093</v>
      </c>
      <c r="C66" s="555" t="str">
        <f>VLOOKUP(D66,기본!$D$13:$E$74,2,0)</f>
        <v>MNT JDM</v>
      </c>
      <c r="D66" t="s">
        <v>1898</v>
      </c>
      <c r="E66" t="s">
        <v>1156</v>
      </c>
      <c r="F66" t="s">
        <v>1870</v>
      </c>
      <c r="G66" s="554">
        <v>14784</v>
      </c>
      <c r="H66">
        <v>77.3862144</v>
      </c>
    </row>
    <row r="67" spans="2:8">
      <c r="B67" s="555" t="s">
        <v>2093</v>
      </c>
      <c r="C67" s="555" t="str">
        <f>VLOOKUP(D67,기본!$D$13:$E$74,2,0)</f>
        <v>AV JDM</v>
      </c>
      <c r="D67" t="s">
        <v>1899</v>
      </c>
      <c r="E67" t="s">
        <v>436</v>
      </c>
      <c r="F67" t="s">
        <v>1229</v>
      </c>
      <c r="G67" s="554">
        <v>31544</v>
      </c>
      <c r="H67">
        <v>256.645580016</v>
      </c>
    </row>
    <row r="68" spans="2:8">
      <c r="B68" s="555" t="s">
        <v>2093</v>
      </c>
      <c r="C68" s="555" t="str">
        <f>VLOOKUP(D68,기본!$D$13:$E$74,2,0)</f>
        <v>MNT JDM</v>
      </c>
      <c r="D68" t="s">
        <v>1900</v>
      </c>
      <c r="E68" t="s">
        <v>709</v>
      </c>
      <c r="F68" t="s">
        <v>1885</v>
      </c>
      <c r="G68" s="554">
        <v>70752</v>
      </c>
      <c r="H68">
        <v>299.62998489600005</v>
      </c>
    </row>
    <row r="69" spans="2:8">
      <c r="B69" s="555" t="s">
        <v>2093</v>
      </c>
      <c r="C69" s="555" t="str">
        <f>VLOOKUP(D69,기본!$D$13:$E$74,2,0)</f>
        <v>MNT JDM</v>
      </c>
      <c r="D69" t="s">
        <v>1900</v>
      </c>
      <c r="E69" t="s">
        <v>1156</v>
      </c>
      <c r="F69" t="s">
        <v>1870</v>
      </c>
      <c r="G69" s="554">
        <v>8448</v>
      </c>
      <c r="H69">
        <v>44.275545600000001</v>
      </c>
    </row>
    <row r="70" spans="2:8">
      <c r="B70" s="555" t="s">
        <v>2093</v>
      </c>
      <c r="C70" s="555" t="str">
        <f>VLOOKUP(D70,기본!$D$13:$E$74,2,0)</f>
        <v>MNT JDM</v>
      </c>
      <c r="D70" t="s">
        <v>1900</v>
      </c>
      <c r="E70" t="s">
        <v>1157</v>
      </c>
      <c r="F70" t="s">
        <v>1887</v>
      </c>
      <c r="G70" s="554">
        <v>1056</v>
      </c>
      <c r="H70">
        <v>6.7179974399999995</v>
      </c>
    </row>
    <row r="71" spans="2:8">
      <c r="B71" s="555" t="s">
        <v>2093</v>
      </c>
      <c r="C71" s="555" t="str">
        <f>VLOOKUP(D71,기본!$D$13:$E$74,2,0)</f>
        <v>한화비전</v>
      </c>
      <c r="D71" t="s">
        <v>1901</v>
      </c>
      <c r="E71" t="s">
        <v>1902</v>
      </c>
      <c r="F71" t="s">
        <v>1903</v>
      </c>
      <c r="G71" s="554">
        <v>1044</v>
      </c>
      <c r="H71">
        <v>35.427283920000001</v>
      </c>
    </row>
    <row r="72" spans="2:8">
      <c r="B72" s="555" t="s">
        <v>2093</v>
      </c>
      <c r="C72" s="555" t="str">
        <f>VLOOKUP(D72,기본!$D$13:$E$74,2,0)</f>
        <v>MNT JDM</v>
      </c>
      <c r="D72" t="s">
        <v>1904</v>
      </c>
      <c r="E72" t="s">
        <v>709</v>
      </c>
      <c r="F72" t="s">
        <v>1885</v>
      </c>
      <c r="G72" s="554">
        <v>43296</v>
      </c>
      <c r="H72">
        <v>186.32458944000001</v>
      </c>
    </row>
    <row r="73" spans="2:8">
      <c r="B73" s="555" t="s">
        <v>2093</v>
      </c>
      <c r="C73" s="555" t="str">
        <f>VLOOKUP(D73,기본!$D$13:$E$74,2,0)</f>
        <v>MNT JDM</v>
      </c>
      <c r="D73" t="s">
        <v>1904</v>
      </c>
      <c r="E73" t="s">
        <v>710</v>
      </c>
      <c r="F73" t="s">
        <v>1886</v>
      </c>
      <c r="G73" s="554">
        <v>5280</v>
      </c>
      <c r="H73">
        <v>26.950809599999999</v>
      </c>
    </row>
    <row r="74" spans="2:8">
      <c r="B74" s="555" t="s">
        <v>2093</v>
      </c>
      <c r="C74" s="555" t="str">
        <f>VLOOKUP(D74,기본!$D$13:$E$74,2,0)</f>
        <v>MNT JDM</v>
      </c>
      <c r="D74" t="s">
        <v>1904</v>
      </c>
      <c r="E74" t="s">
        <v>1156</v>
      </c>
      <c r="F74" t="s">
        <v>1870</v>
      </c>
      <c r="G74" s="554">
        <v>13778</v>
      </c>
      <c r="H74">
        <v>72.797502763999987</v>
      </c>
    </row>
    <row r="75" spans="2:8">
      <c r="B75" s="555" t="s">
        <v>2093</v>
      </c>
      <c r="C75" s="555" t="str">
        <f>VLOOKUP(D75,기본!$D$13:$E$74,2,0)</f>
        <v>MNT JDM</v>
      </c>
      <c r="D75" t="s">
        <v>1904</v>
      </c>
      <c r="E75" t="s">
        <v>1157</v>
      </c>
      <c r="F75" t="s">
        <v>1887</v>
      </c>
      <c r="G75" s="554">
        <v>1056</v>
      </c>
      <c r="H75">
        <v>6.5925826559999994</v>
      </c>
    </row>
    <row r="76" spans="2:8">
      <c r="B76" s="555" t="s">
        <v>2093</v>
      </c>
      <c r="C76" s="555" t="str">
        <f>VLOOKUP(D76,기본!$D$13:$E$74,2,0)</f>
        <v>코웨이</v>
      </c>
      <c r="D76" t="s">
        <v>1905</v>
      </c>
      <c r="E76" t="s">
        <v>1066</v>
      </c>
      <c r="F76" t="s">
        <v>1066</v>
      </c>
      <c r="G76" s="554">
        <v>22</v>
      </c>
      <c r="H76">
        <v>0.17210732000000001</v>
      </c>
    </row>
    <row r="77" spans="2:8">
      <c r="B77" s="555" t="s">
        <v>2093</v>
      </c>
      <c r="C77" s="555" t="str">
        <f>VLOOKUP(D77,기본!$D$13:$E$74,2,0)</f>
        <v>코웨이</v>
      </c>
      <c r="D77" t="s">
        <v>1905</v>
      </c>
      <c r="E77" t="s">
        <v>1906</v>
      </c>
      <c r="F77" t="s">
        <v>1906</v>
      </c>
      <c r="G77" s="554">
        <v>13632</v>
      </c>
      <c r="H77">
        <v>86.979144192000007</v>
      </c>
    </row>
    <row r="78" spans="2:8">
      <c r="B78" s="555" t="s">
        <v>2093</v>
      </c>
      <c r="C78" s="555" t="str">
        <f>VLOOKUP(D78,기본!$D$13:$E$74,2,0)</f>
        <v>코웨이</v>
      </c>
      <c r="D78" t="s">
        <v>1905</v>
      </c>
      <c r="E78" t="s">
        <v>1907</v>
      </c>
      <c r="F78" t="s">
        <v>1907</v>
      </c>
      <c r="G78" s="554">
        <v>2000</v>
      </c>
      <c r="H78">
        <v>14.669280000000001</v>
      </c>
    </row>
    <row r="79" spans="2:8">
      <c r="B79" s="555" t="s">
        <v>2093</v>
      </c>
      <c r="C79" s="555" t="str">
        <f>VLOOKUP(D79,기본!$D$13:$E$74,2,0)</f>
        <v>코웨이</v>
      </c>
      <c r="D79" t="s">
        <v>1905</v>
      </c>
      <c r="E79" t="s">
        <v>1908</v>
      </c>
      <c r="F79" t="s">
        <v>1908</v>
      </c>
      <c r="G79" s="554">
        <v>1000</v>
      </c>
      <c r="H79">
        <v>6.63992</v>
      </c>
    </row>
    <row r="80" spans="2:8">
      <c r="B80" s="555" t="s">
        <v>2093</v>
      </c>
      <c r="C80" s="555" t="str">
        <f>VLOOKUP(D80,기본!$D$13:$E$74,2,0)</f>
        <v>코웨이</v>
      </c>
      <c r="D80" t="s">
        <v>1905</v>
      </c>
      <c r="E80" t="s">
        <v>1909</v>
      </c>
      <c r="F80" t="s">
        <v>1909</v>
      </c>
      <c r="G80" s="554">
        <v>912</v>
      </c>
      <c r="H80">
        <v>4.9762550399999999</v>
      </c>
    </row>
    <row r="81" spans="2:8">
      <c r="B81" s="555" t="s">
        <v>2093</v>
      </c>
      <c r="C81" s="555" t="str">
        <f>VLOOKUP(D81,기본!$D$13:$E$74,2,0)</f>
        <v>코웨이</v>
      </c>
      <c r="D81" t="s">
        <v>1905</v>
      </c>
      <c r="E81" t="s">
        <v>1910</v>
      </c>
      <c r="F81" t="s">
        <v>1910</v>
      </c>
      <c r="G81" s="554">
        <v>3360</v>
      </c>
      <c r="H81">
        <v>19.656793727999997</v>
      </c>
    </row>
    <row r="82" spans="2:8">
      <c r="B82" s="555" t="s">
        <v>2093</v>
      </c>
      <c r="C82" s="555" t="str">
        <f>VLOOKUP(D82,기본!$D$13:$E$74,2,0)</f>
        <v>코웨이</v>
      </c>
      <c r="D82" t="s">
        <v>1905</v>
      </c>
      <c r="E82" t="s">
        <v>1332</v>
      </c>
      <c r="F82" t="s">
        <v>1332</v>
      </c>
      <c r="G82" s="554">
        <v>985</v>
      </c>
      <c r="H82">
        <v>7.5799295999999998</v>
      </c>
    </row>
    <row r="83" spans="2:8">
      <c r="B83" s="555" t="s">
        <v>2093</v>
      </c>
      <c r="C83" s="555" t="str">
        <f>VLOOKUP(D83,기본!$D$13:$E$74,2,0)</f>
        <v>코웨이</v>
      </c>
      <c r="D83" t="s">
        <v>1905</v>
      </c>
      <c r="E83" t="s">
        <v>1911</v>
      </c>
      <c r="F83" t="s">
        <v>1911</v>
      </c>
      <c r="G83" s="554">
        <v>1000</v>
      </c>
      <c r="H83">
        <v>6.1927079999999997</v>
      </c>
    </row>
    <row r="84" spans="2:8">
      <c r="B84" s="555" t="s">
        <v>2093</v>
      </c>
      <c r="C84" s="555" t="str">
        <f>VLOOKUP(D84,기본!$D$13:$E$74,2,0)</f>
        <v>삼성 VD</v>
      </c>
      <c r="D84" t="s">
        <v>1912</v>
      </c>
      <c r="E84" t="s">
        <v>1165</v>
      </c>
      <c r="F84" t="s">
        <v>1882</v>
      </c>
      <c r="G84" s="554">
        <v>354</v>
      </c>
      <c r="H84">
        <v>10.31819376</v>
      </c>
    </row>
    <row r="85" spans="2:8">
      <c r="B85" s="555" t="s">
        <v>2093</v>
      </c>
      <c r="C85" s="555" t="str">
        <f>VLOOKUP(D85,기본!$D$13:$E$74,2,0)</f>
        <v>삼성 VD</v>
      </c>
      <c r="D85" t="s">
        <v>1912</v>
      </c>
      <c r="E85" t="s">
        <v>1164</v>
      </c>
      <c r="F85" t="s">
        <v>1850</v>
      </c>
      <c r="G85" s="554">
        <v>1080</v>
      </c>
      <c r="H85">
        <v>28.592429760000002</v>
      </c>
    </row>
    <row r="86" spans="2:8">
      <c r="B86" s="555" t="s">
        <v>2093</v>
      </c>
      <c r="C86" s="555" t="str">
        <f>VLOOKUP(D86,기본!$D$13:$E$74,2,0)</f>
        <v>삼성 VD</v>
      </c>
      <c r="D86" t="s">
        <v>1912</v>
      </c>
      <c r="E86" t="s">
        <v>1853</v>
      </c>
      <c r="F86" t="s">
        <v>1854</v>
      </c>
      <c r="G86" s="554">
        <v>990</v>
      </c>
      <c r="H86">
        <v>14.108838480000001</v>
      </c>
    </row>
    <row r="87" spans="2:8">
      <c r="B87" s="555" t="s">
        <v>2093</v>
      </c>
      <c r="C87" s="555" t="str">
        <f>VLOOKUP(D87,기본!$D$13:$E$74,2,0)</f>
        <v>삼성 VD</v>
      </c>
      <c r="D87" t="s">
        <v>1912</v>
      </c>
      <c r="E87" t="s">
        <v>1855</v>
      </c>
      <c r="F87" t="s">
        <v>1856</v>
      </c>
      <c r="G87" s="554">
        <v>1472</v>
      </c>
      <c r="H87">
        <v>21.412972032000003</v>
      </c>
    </row>
    <row r="88" spans="2:8">
      <c r="B88" s="555" t="s">
        <v>2093</v>
      </c>
      <c r="C88" s="555" t="str">
        <f>VLOOKUP(D88,기본!$D$13:$E$74,2,0)</f>
        <v>삼성 VD</v>
      </c>
      <c r="D88" t="s">
        <v>1912</v>
      </c>
      <c r="E88" t="s">
        <v>1874</v>
      </c>
      <c r="F88" t="s">
        <v>1875</v>
      </c>
      <c r="G88" s="554">
        <v>1725</v>
      </c>
      <c r="H88">
        <v>27.340835999999999</v>
      </c>
    </row>
    <row r="89" spans="2:8">
      <c r="B89" s="555" t="s">
        <v>2093</v>
      </c>
      <c r="C89" s="555" t="str">
        <f>VLOOKUP(D89,기본!$D$13:$E$74,2,0)</f>
        <v>삼성 VD</v>
      </c>
      <c r="D89" t="s">
        <v>1912</v>
      </c>
      <c r="E89" t="s">
        <v>1865</v>
      </c>
      <c r="F89" t="s">
        <v>1866</v>
      </c>
      <c r="G89" s="554">
        <v>1116</v>
      </c>
      <c r="H89">
        <v>46.237585295999992</v>
      </c>
    </row>
    <row r="90" spans="2:8">
      <c r="B90" s="555" t="s">
        <v>2093</v>
      </c>
      <c r="C90" s="555" t="str">
        <f>VLOOKUP(D90,기본!$D$13:$E$74,2,0)</f>
        <v>삼성 VD</v>
      </c>
      <c r="D90" t="s">
        <v>1912</v>
      </c>
      <c r="E90" t="s">
        <v>1786</v>
      </c>
      <c r="F90" t="s">
        <v>1671</v>
      </c>
      <c r="G90" s="554">
        <v>22464</v>
      </c>
      <c r="H90">
        <v>235.86019776000003</v>
      </c>
    </row>
    <row r="91" spans="2:8">
      <c r="B91" s="555" t="s">
        <v>2093</v>
      </c>
      <c r="C91" s="555" t="str">
        <f>VLOOKUP(D91,기본!$D$13:$E$74,2,0)</f>
        <v>삼성 VD</v>
      </c>
      <c r="D91" t="s">
        <v>1912</v>
      </c>
      <c r="E91" t="s">
        <v>1788</v>
      </c>
      <c r="F91" t="s">
        <v>1913</v>
      </c>
      <c r="G91" s="554">
        <v>73008</v>
      </c>
      <c r="H91">
        <v>865.35463795199985</v>
      </c>
    </row>
    <row r="92" spans="2:8">
      <c r="B92" s="555" t="s">
        <v>2093</v>
      </c>
      <c r="C92" s="555" t="str">
        <f>VLOOKUP(D92,기본!$D$13:$E$74,2,0)</f>
        <v>삼성 VD</v>
      </c>
      <c r="D92" t="s">
        <v>1912</v>
      </c>
      <c r="E92" t="s">
        <v>1790</v>
      </c>
      <c r="F92" t="s">
        <v>1914</v>
      </c>
      <c r="G92" s="554">
        <v>22176</v>
      </c>
      <c r="H92">
        <v>289.91045635199998</v>
      </c>
    </row>
    <row r="93" spans="2:8">
      <c r="B93" s="555" t="s">
        <v>2093</v>
      </c>
      <c r="C93" s="555" t="str">
        <f>VLOOKUP(D93,기본!$D$13:$E$74,2,0)</f>
        <v>삼성 VD</v>
      </c>
      <c r="D93" t="s">
        <v>1912</v>
      </c>
      <c r="E93" t="s">
        <v>1792</v>
      </c>
      <c r="F93" t="s">
        <v>1915</v>
      </c>
      <c r="G93" s="554">
        <v>12096</v>
      </c>
      <c r="H93">
        <v>205.41978777600002</v>
      </c>
    </row>
    <row r="94" spans="2:8">
      <c r="B94" s="555" t="s">
        <v>2093</v>
      </c>
      <c r="C94" s="555" t="str">
        <f>VLOOKUP(D94,기본!$D$13:$E$74,2,0)</f>
        <v>삼성 VD</v>
      </c>
      <c r="D94" t="s">
        <v>1916</v>
      </c>
      <c r="E94" t="s">
        <v>1165</v>
      </c>
      <c r="F94" t="s">
        <v>1882</v>
      </c>
      <c r="G94" s="554">
        <v>918</v>
      </c>
      <c r="H94">
        <v>26.604495119999996</v>
      </c>
    </row>
    <row r="95" spans="2:8">
      <c r="B95" s="555" t="s">
        <v>2093</v>
      </c>
      <c r="C95" s="555" t="str">
        <f>VLOOKUP(D95,기본!$D$13:$E$74,2,0)</f>
        <v>삼성 VD</v>
      </c>
      <c r="D95" t="s">
        <v>1916</v>
      </c>
      <c r="E95" t="s">
        <v>1164</v>
      </c>
      <c r="F95" t="s">
        <v>1850</v>
      </c>
      <c r="G95" s="554">
        <v>2148</v>
      </c>
      <c r="H95">
        <v>56.248052615999995</v>
      </c>
    </row>
    <row r="96" spans="2:8">
      <c r="B96" s="555" t="s">
        <v>2093</v>
      </c>
      <c r="C96" s="555" t="str">
        <f>VLOOKUP(D96,기본!$D$13:$E$74,2,0)</f>
        <v>삼성 VD</v>
      </c>
      <c r="D96" t="s">
        <v>1916</v>
      </c>
      <c r="E96" t="s">
        <v>1851</v>
      </c>
      <c r="F96" t="s">
        <v>1852</v>
      </c>
      <c r="G96" s="554">
        <v>1952</v>
      </c>
      <c r="H96">
        <v>13.742322048</v>
      </c>
    </row>
    <row r="97" spans="2:8">
      <c r="B97" s="555" t="s">
        <v>2093</v>
      </c>
      <c r="C97" s="555" t="str">
        <f>VLOOKUP(D97,기본!$D$13:$E$74,2,0)</f>
        <v>삼성 VD</v>
      </c>
      <c r="D97" t="s">
        <v>1916</v>
      </c>
      <c r="E97" t="s">
        <v>1917</v>
      </c>
      <c r="F97" t="s">
        <v>1918</v>
      </c>
      <c r="G97" s="554">
        <v>16</v>
      </c>
      <c r="H97">
        <v>0.13100304000000002</v>
      </c>
    </row>
    <row r="98" spans="2:8">
      <c r="B98" s="555" t="s">
        <v>2093</v>
      </c>
      <c r="C98" s="555" t="str">
        <f>VLOOKUP(D98,기본!$D$13:$E$74,2,0)</f>
        <v>삼성 VD</v>
      </c>
      <c r="D98" t="s">
        <v>1916</v>
      </c>
      <c r="E98" t="s">
        <v>1853</v>
      </c>
      <c r="F98" t="s">
        <v>1854</v>
      </c>
      <c r="G98" s="554">
        <v>200</v>
      </c>
      <c r="H98">
        <v>2.8472147200000002</v>
      </c>
    </row>
    <row r="99" spans="2:8">
      <c r="B99" s="555" t="s">
        <v>2093</v>
      </c>
      <c r="C99" s="555" t="str">
        <f>VLOOKUP(D99,기본!$D$13:$E$74,2,0)</f>
        <v>삼성 VD</v>
      </c>
      <c r="D99" t="s">
        <v>1916</v>
      </c>
      <c r="E99" t="s">
        <v>1855</v>
      </c>
      <c r="F99" t="s">
        <v>1856</v>
      </c>
      <c r="G99" s="554">
        <v>204</v>
      </c>
      <c r="H99">
        <v>2.964404928</v>
      </c>
    </row>
    <row r="100" spans="2:8">
      <c r="B100" s="555" t="s">
        <v>2093</v>
      </c>
      <c r="C100" s="555" t="str">
        <f>VLOOKUP(D100,기본!$D$13:$E$74,2,0)</f>
        <v>삼성 VD</v>
      </c>
      <c r="D100" t="s">
        <v>1916</v>
      </c>
      <c r="E100" t="s">
        <v>1874</v>
      </c>
      <c r="F100" t="s">
        <v>1875</v>
      </c>
      <c r="G100" s="554">
        <v>434</v>
      </c>
      <c r="H100">
        <v>6.8731884800000014</v>
      </c>
    </row>
    <row r="101" spans="2:8">
      <c r="B101" s="555" t="s">
        <v>2093</v>
      </c>
      <c r="C101" s="555" t="str">
        <f>VLOOKUP(D101,기본!$D$13:$E$74,2,0)</f>
        <v>삼성 VD</v>
      </c>
      <c r="D101" t="s">
        <v>1916</v>
      </c>
      <c r="E101" t="s">
        <v>1002</v>
      </c>
      <c r="F101" t="s">
        <v>1001</v>
      </c>
      <c r="G101" s="554">
        <v>528</v>
      </c>
      <c r="H101">
        <v>4.8623168579999998</v>
      </c>
    </row>
    <row r="102" spans="2:8">
      <c r="B102" s="555" t="s">
        <v>2093</v>
      </c>
      <c r="C102" s="555" t="str">
        <f>VLOOKUP(D102,기본!$D$13:$E$74,2,0)</f>
        <v>삼성 VD</v>
      </c>
      <c r="D102" t="s">
        <v>1916</v>
      </c>
      <c r="E102" t="s">
        <v>1040</v>
      </c>
      <c r="F102" t="s">
        <v>1039</v>
      </c>
      <c r="G102" s="554">
        <v>16</v>
      </c>
      <c r="H102">
        <v>0.15988560000000002</v>
      </c>
    </row>
    <row r="103" spans="2:8">
      <c r="B103" s="555" t="s">
        <v>2093</v>
      </c>
      <c r="C103" s="555" t="str">
        <f>VLOOKUP(D103,기본!$D$13:$E$74,2,0)</f>
        <v>삼성 VD</v>
      </c>
      <c r="D103" t="s">
        <v>1916</v>
      </c>
      <c r="E103" t="s">
        <v>1857</v>
      </c>
      <c r="F103" t="s">
        <v>1858</v>
      </c>
      <c r="G103" s="554">
        <v>1856</v>
      </c>
      <c r="H103">
        <v>17.864559999999997</v>
      </c>
    </row>
    <row r="104" spans="2:8">
      <c r="B104" s="555" t="s">
        <v>2093</v>
      </c>
      <c r="C104" s="555" t="str">
        <f>VLOOKUP(D104,기본!$D$13:$E$74,2,0)</f>
        <v>삼성 VD</v>
      </c>
      <c r="D104" t="s">
        <v>1916</v>
      </c>
      <c r="E104" t="s">
        <v>1861</v>
      </c>
      <c r="F104" t="s">
        <v>1862</v>
      </c>
      <c r="G104" s="554">
        <v>2756</v>
      </c>
      <c r="H104">
        <v>46.447584624000001</v>
      </c>
    </row>
    <row r="105" spans="2:8">
      <c r="B105" s="555" t="s">
        <v>2093</v>
      </c>
      <c r="C105" s="555" t="str">
        <f>VLOOKUP(D105,기본!$D$13:$E$74,2,0)</f>
        <v>삼성 VD</v>
      </c>
      <c r="D105" t="s">
        <v>1916</v>
      </c>
      <c r="E105" t="s">
        <v>1786</v>
      </c>
      <c r="F105" t="s">
        <v>1671</v>
      </c>
      <c r="G105" s="554">
        <v>4320</v>
      </c>
      <c r="H105">
        <v>46.335352320000005</v>
      </c>
    </row>
    <row r="106" spans="2:8">
      <c r="B106" s="555" t="s">
        <v>2093</v>
      </c>
      <c r="C106" s="555" t="str">
        <f>VLOOKUP(D106,기본!$D$13:$E$74,2,0)</f>
        <v>삼성 VD</v>
      </c>
      <c r="D106" t="s">
        <v>1916</v>
      </c>
      <c r="E106" t="s">
        <v>1777</v>
      </c>
      <c r="F106" t="s">
        <v>1672</v>
      </c>
      <c r="G106" s="554">
        <v>8676</v>
      </c>
      <c r="H106">
        <v>96.684216840000005</v>
      </c>
    </row>
    <row r="107" spans="2:8">
      <c r="B107" s="555" t="s">
        <v>2093</v>
      </c>
      <c r="C107" s="555" t="str">
        <f>VLOOKUP(D107,기본!$D$13:$E$74,2,0)</f>
        <v>삼성 VD</v>
      </c>
      <c r="D107" t="s">
        <v>1916</v>
      </c>
      <c r="E107" t="s">
        <v>1788</v>
      </c>
      <c r="F107" t="s">
        <v>1913</v>
      </c>
      <c r="G107" s="554">
        <v>7452</v>
      </c>
      <c r="H107">
        <v>89.431869311999989</v>
      </c>
    </row>
    <row r="108" spans="2:8">
      <c r="B108" s="555" t="s">
        <v>2093</v>
      </c>
      <c r="C108" s="555" t="str">
        <f>VLOOKUP(D108,기본!$D$13:$E$74,2,0)</f>
        <v>삼성 VD</v>
      </c>
      <c r="D108" t="s">
        <v>1916</v>
      </c>
      <c r="E108" t="s">
        <v>1778</v>
      </c>
      <c r="F108" t="s">
        <v>1919</v>
      </c>
      <c r="G108" s="554">
        <v>28548</v>
      </c>
      <c r="H108">
        <v>360.64890522000002</v>
      </c>
    </row>
    <row r="109" spans="2:8">
      <c r="B109" s="555" t="s">
        <v>2093</v>
      </c>
      <c r="C109" s="555" t="str">
        <f>VLOOKUP(D109,기본!$D$13:$E$74,2,0)</f>
        <v>삼성 VD</v>
      </c>
      <c r="D109" t="s">
        <v>1916</v>
      </c>
      <c r="E109" t="s">
        <v>1790</v>
      </c>
      <c r="F109" t="s">
        <v>1914</v>
      </c>
      <c r="G109" s="554">
        <v>3531</v>
      </c>
      <c r="H109">
        <v>45.719078723999999</v>
      </c>
    </row>
    <row r="110" spans="2:8">
      <c r="B110" s="555" t="s">
        <v>2093</v>
      </c>
      <c r="C110" s="555" t="str">
        <f>VLOOKUP(D110,기본!$D$13:$E$74,2,0)</f>
        <v>삼성 VD</v>
      </c>
      <c r="D110" t="s">
        <v>1916</v>
      </c>
      <c r="E110" t="s">
        <v>1779</v>
      </c>
      <c r="F110" t="s">
        <v>1920</v>
      </c>
      <c r="G110" s="554">
        <v>10989</v>
      </c>
      <c r="H110">
        <v>154.79922958500001</v>
      </c>
    </row>
    <row r="111" spans="2:8">
      <c r="B111" s="555" t="s">
        <v>2093</v>
      </c>
      <c r="C111" s="555" t="str">
        <f>VLOOKUP(D111,기본!$D$13:$E$74,2,0)</f>
        <v>삼성 VD</v>
      </c>
      <c r="D111" t="s">
        <v>1916</v>
      </c>
      <c r="E111" t="s">
        <v>1792</v>
      </c>
      <c r="F111" t="s">
        <v>1915</v>
      </c>
      <c r="G111" s="554">
        <v>4520</v>
      </c>
      <c r="H111">
        <v>78.38992476</v>
      </c>
    </row>
    <row r="112" spans="2:8">
      <c r="B112" s="555" t="s">
        <v>2093</v>
      </c>
      <c r="C112" s="555" t="str">
        <f>VLOOKUP(D112,기본!$D$13:$E$74,2,0)</f>
        <v>삼성 VD</v>
      </c>
      <c r="D112" t="s">
        <v>1916</v>
      </c>
      <c r="E112" t="s">
        <v>1921</v>
      </c>
      <c r="F112" t="s">
        <v>1922</v>
      </c>
      <c r="G112" s="554">
        <v>812</v>
      </c>
      <c r="H112">
        <v>23.818050360000001</v>
      </c>
    </row>
    <row r="113" spans="2:8">
      <c r="B113" s="555" t="s">
        <v>2093</v>
      </c>
      <c r="C113" s="555" t="str">
        <f>VLOOKUP(D113,기본!$D$13:$E$74,2,0)</f>
        <v>삼성 VD</v>
      </c>
      <c r="D113" t="s">
        <v>1916</v>
      </c>
      <c r="E113" t="s">
        <v>1923</v>
      </c>
      <c r="F113" t="s">
        <v>1924</v>
      </c>
      <c r="G113" s="554">
        <v>38456</v>
      </c>
      <c r="H113">
        <v>187.17303659999999</v>
      </c>
    </row>
    <row r="114" spans="2:8">
      <c r="B114" s="555" t="s">
        <v>2093</v>
      </c>
      <c r="C114" s="555" t="str">
        <f>VLOOKUP(D114,기본!$D$13:$E$74,2,0)</f>
        <v>삼성 VD</v>
      </c>
      <c r="D114" t="s">
        <v>1916</v>
      </c>
      <c r="E114" t="s">
        <v>1925</v>
      </c>
      <c r="F114" t="s">
        <v>1926</v>
      </c>
      <c r="G114" s="554">
        <v>4452</v>
      </c>
      <c r="H114">
        <v>35.079364992000002</v>
      </c>
    </row>
    <row r="115" spans="2:8">
      <c r="B115" s="555" t="s">
        <v>2093</v>
      </c>
      <c r="C115" s="555" t="str">
        <f>VLOOKUP(D115,기본!$D$13:$E$74,2,0)</f>
        <v>삼성 VD</v>
      </c>
      <c r="D115" t="s">
        <v>1916</v>
      </c>
      <c r="E115" t="s">
        <v>709</v>
      </c>
      <c r="F115" t="s">
        <v>1869</v>
      </c>
      <c r="G115" s="554">
        <v>7920</v>
      </c>
      <c r="H115">
        <v>26.977547519999995</v>
      </c>
    </row>
    <row r="116" spans="2:8">
      <c r="B116" s="555" t="s">
        <v>2093</v>
      </c>
      <c r="C116" s="555" t="str">
        <f>VLOOKUP(D116,기본!$D$13:$E$74,2,0)</f>
        <v>삼성 VD</v>
      </c>
      <c r="D116" t="s">
        <v>1927</v>
      </c>
      <c r="E116" t="s">
        <v>1165</v>
      </c>
      <c r="F116" t="s">
        <v>1882</v>
      </c>
      <c r="G116" s="554">
        <v>1944</v>
      </c>
      <c r="H116">
        <v>56.017664639999992</v>
      </c>
    </row>
    <row r="117" spans="2:8">
      <c r="B117" s="555" t="s">
        <v>2093</v>
      </c>
      <c r="C117" s="555" t="str">
        <f>VLOOKUP(D117,기본!$D$13:$E$74,2,0)</f>
        <v>삼성 VD</v>
      </c>
      <c r="D117" t="s">
        <v>1927</v>
      </c>
      <c r="E117" t="s">
        <v>1164</v>
      </c>
      <c r="F117" t="s">
        <v>1850</v>
      </c>
      <c r="G117" s="554">
        <v>4536</v>
      </c>
      <c r="H117">
        <v>120.088204992</v>
      </c>
    </row>
    <row r="118" spans="2:8">
      <c r="B118" s="555" t="s">
        <v>2093</v>
      </c>
      <c r="C118" s="555" t="str">
        <f>VLOOKUP(D118,기본!$D$13:$E$74,2,0)</f>
        <v>삼성 VD</v>
      </c>
      <c r="D118" t="s">
        <v>1927</v>
      </c>
      <c r="E118" t="s">
        <v>1851</v>
      </c>
      <c r="F118" t="s">
        <v>1852</v>
      </c>
      <c r="G118" s="554">
        <v>2304</v>
      </c>
      <c r="H118">
        <v>16.656127487999999</v>
      </c>
    </row>
    <row r="119" spans="2:8">
      <c r="B119" s="555" t="s">
        <v>2093</v>
      </c>
      <c r="C119" s="555" t="str">
        <f>VLOOKUP(D119,기본!$D$13:$E$74,2,0)</f>
        <v>삼성 VD</v>
      </c>
      <c r="D119" t="s">
        <v>1927</v>
      </c>
      <c r="E119" t="s">
        <v>1917</v>
      </c>
      <c r="F119" t="s">
        <v>1918</v>
      </c>
      <c r="G119" s="554">
        <v>384</v>
      </c>
      <c r="H119">
        <v>3.2189318399999993</v>
      </c>
    </row>
    <row r="120" spans="2:8">
      <c r="B120" s="555" t="s">
        <v>2093</v>
      </c>
      <c r="C120" s="555" t="str">
        <f>VLOOKUP(D120,기본!$D$13:$E$74,2,0)</f>
        <v>삼성 VD</v>
      </c>
      <c r="D120" t="s">
        <v>1927</v>
      </c>
      <c r="E120" t="s">
        <v>1853</v>
      </c>
      <c r="F120" t="s">
        <v>1854</v>
      </c>
      <c r="G120" s="554">
        <v>1833</v>
      </c>
      <c r="H120">
        <v>25.769081001000004</v>
      </c>
    </row>
    <row r="121" spans="2:8">
      <c r="B121" s="555" t="s">
        <v>2093</v>
      </c>
      <c r="C121" s="555" t="str">
        <f>VLOOKUP(D121,기본!$D$13:$E$74,2,0)</f>
        <v>삼성 VD</v>
      </c>
      <c r="D121" t="s">
        <v>1927</v>
      </c>
      <c r="E121" t="s">
        <v>1855</v>
      </c>
      <c r="F121" t="s">
        <v>1856</v>
      </c>
      <c r="G121" s="554">
        <v>1434</v>
      </c>
      <c r="H121">
        <v>20.735449398000004</v>
      </c>
    </row>
    <row r="122" spans="2:8">
      <c r="B122" s="555" t="s">
        <v>2093</v>
      </c>
      <c r="C122" s="555" t="str">
        <f>VLOOKUP(D122,기본!$D$13:$E$74,2,0)</f>
        <v>삼성 VD</v>
      </c>
      <c r="D122" t="s">
        <v>1927</v>
      </c>
      <c r="E122" t="s">
        <v>1874</v>
      </c>
      <c r="F122" t="s">
        <v>1875</v>
      </c>
      <c r="G122" s="554">
        <v>6074</v>
      </c>
      <c r="H122">
        <v>95.081630540000006</v>
      </c>
    </row>
    <row r="123" spans="2:8">
      <c r="B123" s="555" t="s">
        <v>2093</v>
      </c>
      <c r="C123" s="555" t="str">
        <f>VLOOKUP(D123,기본!$D$13:$E$74,2,0)</f>
        <v>삼성 VD</v>
      </c>
      <c r="D123" t="s">
        <v>1927</v>
      </c>
      <c r="E123" t="s">
        <v>1928</v>
      </c>
      <c r="F123" t="s">
        <v>1929</v>
      </c>
      <c r="G123" s="554">
        <v>2170</v>
      </c>
      <c r="H123">
        <v>21.233954479999998</v>
      </c>
    </row>
    <row r="124" spans="2:8">
      <c r="B124" s="555" t="s">
        <v>2093</v>
      </c>
      <c r="C124" s="555" t="str">
        <f>VLOOKUP(D124,기본!$D$13:$E$74,2,0)</f>
        <v>삼성 VD</v>
      </c>
      <c r="D124" t="s">
        <v>1927</v>
      </c>
      <c r="E124" t="s">
        <v>1036</v>
      </c>
      <c r="F124" t="s">
        <v>1035</v>
      </c>
      <c r="G124" s="554">
        <v>102</v>
      </c>
      <c r="H124">
        <v>1.0546310400000001</v>
      </c>
    </row>
    <row r="125" spans="2:8">
      <c r="B125" s="555" t="s">
        <v>2093</v>
      </c>
      <c r="C125" s="555" t="str">
        <f>VLOOKUP(D125,기본!$D$13:$E$74,2,0)</f>
        <v>삼성 VD</v>
      </c>
      <c r="D125" t="s">
        <v>1927</v>
      </c>
      <c r="E125" t="s">
        <v>1859</v>
      </c>
      <c r="F125" t="s">
        <v>1860</v>
      </c>
      <c r="G125" s="554">
        <v>11520</v>
      </c>
      <c r="H125">
        <v>198.120282624</v>
      </c>
    </row>
    <row r="126" spans="2:8">
      <c r="B126" s="555" t="s">
        <v>2093</v>
      </c>
      <c r="C126" s="555" t="str">
        <f>VLOOKUP(D126,기본!$D$13:$E$74,2,0)</f>
        <v>삼성 VD</v>
      </c>
      <c r="D126" t="s">
        <v>1927</v>
      </c>
      <c r="E126" t="s">
        <v>1863</v>
      </c>
      <c r="F126" t="s">
        <v>1864</v>
      </c>
      <c r="G126" s="554">
        <v>187</v>
      </c>
      <c r="H126">
        <v>1.5070704000000001</v>
      </c>
    </row>
    <row r="127" spans="2:8">
      <c r="B127" s="555" t="s">
        <v>2093</v>
      </c>
      <c r="C127" s="555" t="str">
        <f>VLOOKUP(D127,기본!$D$13:$E$74,2,0)</f>
        <v>삼성 VD</v>
      </c>
      <c r="D127" t="s">
        <v>1927</v>
      </c>
      <c r="E127" t="s">
        <v>1930</v>
      </c>
      <c r="F127" t="s">
        <v>1931</v>
      </c>
      <c r="G127" s="554">
        <v>4716</v>
      </c>
      <c r="H127">
        <v>29.782864439999997</v>
      </c>
    </row>
    <row r="128" spans="2:8">
      <c r="B128" s="555" t="s">
        <v>2093</v>
      </c>
      <c r="C128" s="555" t="str">
        <f>VLOOKUP(D128,기본!$D$13:$E$74,2,0)</f>
        <v>삼성 VD</v>
      </c>
      <c r="D128" t="s">
        <v>1927</v>
      </c>
      <c r="E128" t="s">
        <v>1309</v>
      </c>
      <c r="F128" t="s">
        <v>1308</v>
      </c>
      <c r="G128" s="554">
        <v>3360</v>
      </c>
      <c r="H128">
        <v>73.280363519999995</v>
      </c>
    </row>
    <row r="129" spans="2:8">
      <c r="B129" s="555" t="s">
        <v>2093</v>
      </c>
      <c r="C129" s="555" t="str">
        <f>VLOOKUP(D129,기본!$D$13:$E$74,2,0)</f>
        <v>삼성 VD</v>
      </c>
      <c r="D129" t="s">
        <v>1927</v>
      </c>
      <c r="E129" t="s">
        <v>1311</v>
      </c>
      <c r="F129" t="s">
        <v>1310</v>
      </c>
      <c r="G129" s="554">
        <v>1147</v>
      </c>
      <c r="H129">
        <v>26.225159403999999</v>
      </c>
    </row>
    <row r="130" spans="2:8">
      <c r="B130" s="555" t="s">
        <v>2093</v>
      </c>
      <c r="C130" s="555" t="str">
        <f>VLOOKUP(D130,기본!$D$13:$E$74,2,0)</f>
        <v>삼성 VD</v>
      </c>
      <c r="D130" t="s">
        <v>1927</v>
      </c>
      <c r="E130" t="s">
        <v>1313</v>
      </c>
      <c r="F130" t="s">
        <v>1312</v>
      </c>
      <c r="G130" s="554">
        <v>576</v>
      </c>
      <c r="H130">
        <v>12.758035968</v>
      </c>
    </row>
    <row r="131" spans="2:8">
      <c r="B131" s="555" t="s">
        <v>2093</v>
      </c>
      <c r="C131" s="555" t="str">
        <f>VLOOKUP(D131,기본!$D$13:$E$74,2,0)</f>
        <v>삼성 VD</v>
      </c>
      <c r="D131" t="s">
        <v>1927</v>
      </c>
      <c r="E131" t="s">
        <v>1865</v>
      </c>
      <c r="F131" t="s">
        <v>1866</v>
      </c>
      <c r="G131" s="554">
        <v>11712</v>
      </c>
      <c r="H131">
        <v>485.67383231999997</v>
      </c>
    </row>
    <row r="132" spans="2:8">
      <c r="B132" s="555" t="s">
        <v>2093</v>
      </c>
      <c r="C132" s="555" t="str">
        <f>VLOOKUP(D132,기본!$D$13:$E$74,2,0)</f>
        <v>삼성 VD</v>
      </c>
      <c r="D132" t="s">
        <v>1927</v>
      </c>
      <c r="E132" t="s">
        <v>1932</v>
      </c>
      <c r="F132" t="s">
        <v>1933</v>
      </c>
      <c r="G132" s="554">
        <v>5184</v>
      </c>
      <c r="H132">
        <v>98.813448395999984</v>
      </c>
    </row>
    <row r="133" spans="2:8">
      <c r="B133" s="555" t="s">
        <v>2093</v>
      </c>
      <c r="C133" s="555" t="str">
        <f>VLOOKUP(D133,기본!$D$13:$E$74,2,0)</f>
        <v>삼성 VD</v>
      </c>
      <c r="D133" t="s">
        <v>1927</v>
      </c>
      <c r="E133" t="s">
        <v>1934</v>
      </c>
      <c r="F133" t="s">
        <v>1935</v>
      </c>
      <c r="G133" s="554">
        <v>1056</v>
      </c>
      <c r="H133">
        <v>4.6891595519999996</v>
      </c>
    </row>
    <row r="134" spans="2:8">
      <c r="B134" s="555" t="s">
        <v>2093</v>
      </c>
      <c r="C134" s="555" t="str">
        <f>VLOOKUP(D134,기본!$D$13:$E$74,2,0)</f>
        <v>삼성 VD</v>
      </c>
      <c r="D134" t="s">
        <v>1927</v>
      </c>
      <c r="E134" t="s">
        <v>1936</v>
      </c>
      <c r="F134" t="s">
        <v>1937</v>
      </c>
      <c r="G134" s="554">
        <v>2348</v>
      </c>
      <c r="H134">
        <v>12.493403868000001</v>
      </c>
    </row>
    <row r="135" spans="2:8">
      <c r="B135" s="555" t="s">
        <v>2093</v>
      </c>
      <c r="C135" s="555" t="str">
        <f>VLOOKUP(D135,기본!$D$13:$E$74,2,0)</f>
        <v>삼성 VD</v>
      </c>
      <c r="D135" t="s">
        <v>1927</v>
      </c>
      <c r="E135" t="s">
        <v>1923</v>
      </c>
      <c r="F135" t="s">
        <v>1924</v>
      </c>
      <c r="G135" s="554">
        <v>5764</v>
      </c>
      <c r="H135">
        <v>27.62257366</v>
      </c>
    </row>
    <row r="136" spans="2:8">
      <c r="B136" s="555" t="s">
        <v>2093</v>
      </c>
      <c r="C136" s="555" t="str">
        <f>VLOOKUP(D136,기본!$D$13:$E$74,2,0)</f>
        <v>삼성 VD</v>
      </c>
      <c r="D136" t="s">
        <v>1927</v>
      </c>
      <c r="E136" t="s">
        <v>1938</v>
      </c>
      <c r="F136" t="s">
        <v>1939</v>
      </c>
      <c r="G136" s="554">
        <v>10164</v>
      </c>
      <c r="H136">
        <v>54.898402943999997</v>
      </c>
    </row>
    <row r="137" spans="2:8">
      <c r="B137" s="555" t="s">
        <v>2093</v>
      </c>
      <c r="C137" s="555" t="str">
        <f>VLOOKUP(D137,기본!$D$13:$E$74,2,0)</f>
        <v>삼성 VD</v>
      </c>
      <c r="D137" t="s">
        <v>1927</v>
      </c>
      <c r="E137" t="s">
        <v>1940</v>
      </c>
      <c r="F137" t="s">
        <v>1941</v>
      </c>
      <c r="G137" s="554">
        <v>81</v>
      </c>
      <c r="H137">
        <v>1.0564402320000001</v>
      </c>
    </row>
    <row r="138" spans="2:8">
      <c r="B138" s="555" t="s">
        <v>2093</v>
      </c>
      <c r="C138" s="555" t="str">
        <f>VLOOKUP(D138,기본!$D$13:$E$74,2,0)</f>
        <v>삼성 VD</v>
      </c>
      <c r="D138" t="s">
        <v>1927</v>
      </c>
      <c r="E138" t="s">
        <v>1867</v>
      </c>
      <c r="F138" t="s">
        <v>1868</v>
      </c>
      <c r="G138" s="554">
        <v>1512</v>
      </c>
      <c r="H138">
        <v>12.335722560000001</v>
      </c>
    </row>
    <row r="139" spans="2:8">
      <c r="B139" s="555" t="s">
        <v>2093</v>
      </c>
      <c r="C139" s="555" t="str">
        <f>VLOOKUP(D139,기본!$D$13:$E$74,2,0)</f>
        <v>삼성 VD</v>
      </c>
      <c r="D139" t="s">
        <v>1927</v>
      </c>
      <c r="E139" t="s">
        <v>1925</v>
      </c>
      <c r="F139" t="s">
        <v>1926</v>
      </c>
      <c r="G139" s="554">
        <v>7056</v>
      </c>
      <c r="H139">
        <v>57.271527936000005</v>
      </c>
    </row>
    <row r="140" spans="2:8">
      <c r="B140" s="555" t="s">
        <v>2093</v>
      </c>
      <c r="C140" s="555" t="str">
        <f>VLOOKUP(D140,기본!$D$13:$E$74,2,0)</f>
        <v>삼성 VD</v>
      </c>
      <c r="D140" t="s">
        <v>1927</v>
      </c>
      <c r="E140" t="s">
        <v>1156</v>
      </c>
      <c r="F140" t="s">
        <v>1870</v>
      </c>
      <c r="G140" s="554">
        <v>4224</v>
      </c>
      <c r="H140">
        <v>18.543778176000004</v>
      </c>
    </row>
    <row r="141" spans="2:8">
      <c r="B141" s="555" t="s">
        <v>2093</v>
      </c>
      <c r="C141" s="555" t="str">
        <f>VLOOKUP(D141,기본!$D$13:$E$74,2,0)</f>
        <v>삼성 VD</v>
      </c>
      <c r="D141" t="s">
        <v>1927</v>
      </c>
      <c r="E141" t="s">
        <v>1157</v>
      </c>
      <c r="F141" t="s">
        <v>1887</v>
      </c>
      <c r="G141" s="554">
        <v>880</v>
      </c>
      <c r="H141">
        <v>4.0967618559999996</v>
      </c>
    </row>
    <row r="142" spans="2:8">
      <c r="B142" s="555" t="s">
        <v>2093</v>
      </c>
      <c r="C142" s="555" t="str">
        <f>VLOOKUP(D142,기본!$D$13:$E$74,2,0)</f>
        <v>삼성 생활가전</v>
      </c>
      <c r="D142" t="s">
        <v>1942</v>
      </c>
      <c r="E142" t="s">
        <v>1943</v>
      </c>
      <c r="F142" t="s">
        <v>1943</v>
      </c>
      <c r="G142" s="554">
        <v>23040</v>
      </c>
      <c r="H142">
        <v>173.71951027200001</v>
      </c>
    </row>
    <row r="143" spans="2:8">
      <c r="B143" s="555" t="s">
        <v>2093</v>
      </c>
      <c r="C143" s="555" t="str">
        <f>VLOOKUP(D143,기본!$D$13:$E$74,2,0)</f>
        <v>삼성 생활가전</v>
      </c>
      <c r="D143" t="s">
        <v>1942</v>
      </c>
      <c r="E143" t="s">
        <v>1944</v>
      </c>
      <c r="F143" t="s">
        <v>1944</v>
      </c>
      <c r="G143" s="554">
        <v>3840</v>
      </c>
      <c r="H143">
        <v>28.599459840000002</v>
      </c>
    </row>
    <row r="144" spans="2:8">
      <c r="B144" s="555" t="s">
        <v>2093</v>
      </c>
      <c r="C144" s="555" t="str">
        <f>VLOOKUP(D144,기본!$D$13:$E$74,2,0)</f>
        <v>삼성 생활가전</v>
      </c>
      <c r="D144" t="s">
        <v>1942</v>
      </c>
      <c r="E144" t="s">
        <v>1945</v>
      </c>
      <c r="F144" t="s">
        <v>1945</v>
      </c>
      <c r="G144" s="554">
        <v>11520</v>
      </c>
      <c r="H144">
        <v>93.862310400000013</v>
      </c>
    </row>
    <row r="145" spans="2:8">
      <c r="B145" s="555" t="s">
        <v>2093</v>
      </c>
      <c r="C145" s="555" t="str">
        <f>VLOOKUP(D145,기본!$D$13:$E$74,2,0)</f>
        <v>삼성 생활가전</v>
      </c>
      <c r="D145" t="s">
        <v>1942</v>
      </c>
      <c r="E145" t="s">
        <v>1314</v>
      </c>
      <c r="F145" t="s">
        <v>1314</v>
      </c>
      <c r="G145" s="554">
        <v>2160</v>
      </c>
      <c r="H145">
        <v>17.7434388</v>
      </c>
    </row>
    <row r="146" spans="2:8">
      <c r="B146" s="555" t="s">
        <v>2093</v>
      </c>
      <c r="C146" s="555" t="str">
        <f>VLOOKUP(D146,기본!$D$13:$E$74,2,0)</f>
        <v>삼성 생활가전</v>
      </c>
      <c r="D146" t="s">
        <v>1942</v>
      </c>
      <c r="E146" t="s">
        <v>1317</v>
      </c>
      <c r="F146" t="s">
        <v>1317</v>
      </c>
      <c r="G146" s="554">
        <v>360</v>
      </c>
      <c r="H146">
        <v>3.0582187200000002</v>
      </c>
    </row>
    <row r="147" spans="2:8">
      <c r="B147" s="555" t="s">
        <v>2093</v>
      </c>
      <c r="C147" s="555" t="str">
        <f>VLOOKUP(D147,기본!$D$13:$E$74,2,0)</f>
        <v>삼성 VD</v>
      </c>
      <c r="D147" t="s">
        <v>1946</v>
      </c>
      <c r="E147" t="s">
        <v>710</v>
      </c>
      <c r="F147" t="s">
        <v>1947</v>
      </c>
      <c r="G147" s="554">
        <v>2772</v>
      </c>
      <c r="H147">
        <v>12.398756832</v>
      </c>
    </row>
    <row r="148" spans="2:8">
      <c r="B148" s="555" t="s">
        <v>2093</v>
      </c>
      <c r="C148" s="555" t="str">
        <f>VLOOKUP(D148,기본!$D$13:$E$74,2,0)</f>
        <v>삼성 생활가전</v>
      </c>
      <c r="D148" t="s">
        <v>1948</v>
      </c>
      <c r="E148" t="s">
        <v>1949</v>
      </c>
      <c r="F148" t="s">
        <v>1949</v>
      </c>
      <c r="G148" s="554">
        <v>2640</v>
      </c>
      <c r="H148">
        <v>27.927884160000001</v>
      </c>
    </row>
    <row r="149" spans="2:8">
      <c r="B149" s="555" t="s">
        <v>2093</v>
      </c>
      <c r="C149" s="555" t="str">
        <f>VLOOKUP(D149,기본!$D$13:$E$74,2,0)</f>
        <v>AV JDM</v>
      </c>
      <c r="D149" t="s">
        <v>1950</v>
      </c>
      <c r="E149" t="s">
        <v>691</v>
      </c>
      <c r="F149" t="s">
        <v>1228</v>
      </c>
      <c r="G149" s="554">
        <v>2000</v>
      </c>
      <c r="H149">
        <v>19.315211999999999</v>
      </c>
    </row>
    <row r="150" spans="2:8">
      <c r="B150" s="555" t="s">
        <v>2093</v>
      </c>
      <c r="C150" s="555" t="str">
        <f>VLOOKUP(D150,기본!$D$13:$E$74,2,0)</f>
        <v>AV JDM</v>
      </c>
      <c r="D150" t="s">
        <v>1950</v>
      </c>
      <c r="E150" t="s">
        <v>436</v>
      </c>
      <c r="F150" t="s">
        <v>1229</v>
      </c>
      <c r="G150" s="554">
        <v>17262</v>
      </c>
      <c r="H150">
        <v>140.44559986799999</v>
      </c>
    </row>
    <row r="151" spans="2:8">
      <c r="B151" s="555" t="s">
        <v>2093</v>
      </c>
      <c r="C151" s="555" t="str">
        <f>VLOOKUP(D151,기본!$D$13:$E$74,2,0)</f>
        <v>MNT JDM</v>
      </c>
      <c r="D151" t="s">
        <v>1951</v>
      </c>
      <c r="E151" t="s">
        <v>709</v>
      </c>
      <c r="F151" t="s">
        <v>1869</v>
      </c>
      <c r="G151" s="554">
        <v>412</v>
      </c>
      <c r="H151">
        <v>2.6879143680000004</v>
      </c>
    </row>
    <row r="152" spans="2:8">
      <c r="B152" s="555" t="s">
        <v>2093</v>
      </c>
      <c r="C152" s="555" t="str">
        <f>VLOOKUP(D152,기본!$D$13:$E$74,2,0)</f>
        <v>HP</v>
      </c>
      <c r="D152" t="s">
        <v>1952</v>
      </c>
      <c r="E152" t="s">
        <v>1298</v>
      </c>
      <c r="F152" t="s">
        <v>1953</v>
      </c>
      <c r="G152" s="554">
        <v>1152</v>
      </c>
      <c r="H152">
        <v>32.916067200000001</v>
      </c>
    </row>
    <row r="153" spans="2:8">
      <c r="B153" s="555" t="s">
        <v>2093</v>
      </c>
      <c r="C153" s="555" t="str">
        <f>VLOOKUP(D153,기본!$D$13:$E$74,2,0)</f>
        <v>HP</v>
      </c>
      <c r="D153" t="s">
        <v>1952</v>
      </c>
      <c r="E153" t="s">
        <v>1954</v>
      </c>
      <c r="F153" t="s">
        <v>1955</v>
      </c>
      <c r="G153" s="554">
        <v>1120</v>
      </c>
      <c r="H153">
        <v>13.963471199999999</v>
      </c>
    </row>
    <row r="154" spans="2:8">
      <c r="B154" s="555" t="s">
        <v>2093</v>
      </c>
      <c r="C154" s="555" t="str">
        <f>VLOOKUP(D154,기본!$D$13:$E$74,2,0)</f>
        <v>HP</v>
      </c>
      <c r="D154" t="s">
        <v>1952</v>
      </c>
      <c r="E154" t="s">
        <v>1956</v>
      </c>
      <c r="F154" t="s">
        <v>1957</v>
      </c>
      <c r="G154" s="554">
        <v>245</v>
      </c>
      <c r="H154">
        <v>6.9256183499999997</v>
      </c>
    </row>
    <row r="155" spans="2:8">
      <c r="B155" s="555" t="s">
        <v>2093</v>
      </c>
      <c r="C155" s="555" t="str">
        <f>VLOOKUP(D155,기본!$D$13:$E$74,2,0)</f>
        <v>HP</v>
      </c>
      <c r="D155" t="s">
        <v>1952</v>
      </c>
      <c r="E155" t="s">
        <v>1958</v>
      </c>
      <c r="F155" t="s">
        <v>1959</v>
      </c>
      <c r="G155" s="554">
        <v>116</v>
      </c>
      <c r="H155">
        <v>1.5385567199999999</v>
      </c>
    </row>
    <row r="156" spans="2:8">
      <c r="B156" s="555" t="s">
        <v>2093</v>
      </c>
      <c r="C156" s="555" t="str">
        <f>VLOOKUP(D156,기본!$D$13:$E$74,2,0)</f>
        <v>HP</v>
      </c>
      <c r="D156" t="s">
        <v>1952</v>
      </c>
      <c r="E156" t="s">
        <v>1960</v>
      </c>
      <c r="F156" t="s">
        <v>671</v>
      </c>
      <c r="G156" s="554">
        <v>720</v>
      </c>
      <c r="H156">
        <v>5.6468080800000005</v>
      </c>
    </row>
    <row r="157" spans="2:8">
      <c r="B157" s="555" t="s">
        <v>2093</v>
      </c>
      <c r="C157" s="555" t="str">
        <f>VLOOKUP(D157,기본!$D$13:$E$74,2,0)</f>
        <v>HP</v>
      </c>
      <c r="D157" t="s">
        <v>1952</v>
      </c>
      <c r="E157" t="s">
        <v>1961</v>
      </c>
      <c r="F157" t="s">
        <v>1962</v>
      </c>
      <c r="G157" s="554">
        <v>752</v>
      </c>
      <c r="H157">
        <v>26.040266031999998</v>
      </c>
    </row>
    <row r="158" spans="2:8">
      <c r="B158" s="555" t="s">
        <v>2093</v>
      </c>
      <c r="C158" s="555" t="str">
        <f>VLOOKUP(D158,기본!$D$13:$E$74,2,0)</f>
        <v>HP</v>
      </c>
      <c r="D158" t="s">
        <v>1952</v>
      </c>
      <c r="E158" t="s">
        <v>1963</v>
      </c>
      <c r="F158" t="s">
        <v>1964</v>
      </c>
      <c r="G158" s="554">
        <v>8040</v>
      </c>
      <c r="H158">
        <v>64.307746559999998</v>
      </c>
    </row>
    <row r="159" spans="2:8">
      <c r="B159" s="555" t="s">
        <v>2093</v>
      </c>
      <c r="C159" s="555" t="str">
        <f>VLOOKUP(D159,기본!$D$13:$E$74,2,0)</f>
        <v>HP</v>
      </c>
      <c r="D159" t="s">
        <v>1952</v>
      </c>
      <c r="E159" t="s">
        <v>1965</v>
      </c>
      <c r="F159" t="s">
        <v>1966</v>
      </c>
      <c r="G159" s="554">
        <v>360</v>
      </c>
      <c r="H159">
        <v>5.5331442000000006</v>
      </c>
    </row>
    <row r="160" spans="2:8">
      <c r="B160" s="555" t="s">
        <v>2093</v>
      </c>
      <c r="C160" s="555" t="str">
        <f>VLOOKUP(D160,기본!$D$13:$E$74,2,0)</f>
        <v>HP</v>
      </c>
      <c r="D160" t="s">
        <v>1952</v>
      </c>
      <c r="E160" t="s">
        <v>1967</v>
      </c>
      <c r="F160" t="s">
        <v>1968</v>
      </c>
      <c r="G160" s="554">
        <v>119</v>
      </c>
      <c r="H160">
        <v>1.5973250999999999</v>
      </c>
    </row>
    <row r="161" spans="2:8">
      <c r="B161" s="555" t="s">
        <v>2093</v>
      </c>
      <c r="C161" s="555" t="str">
        <f>VLOOKUP(D161,기본!$D$13:$E$74,2,0)</f>
        <v>HP</v>
      </c>
      <c r="D161" t="s">
        <v>1952</v>
      </c>
      <c r="E161" t="s">
        <v>1969</v>
      </c>
      <c r="F161" t="s">
        <v>1970</v>
      </c>
      <c r="G161" s="554">
        <v>290</v>
      </c>
      <c r="H161">
        <v>3.3898094199999993</v>
      </c>
    </row>
    <row r="162" spans="2:8">
      <c r="B162" s="555" t="s">
        <v>2093</v>
      </c>
      <c r="C162" s="555" t="str">
        <f>VLOOKUP(D162,기본!$D$13:$E$74,2,0)</f>
        <v>AV JDM</v>
      </c>
      <c r="D162" t="s">
        <v>1971</v>
      </c>
      <c r="E162" t="s">
        <v>688</v>
      </c>
      <c r="F162" t="s">
        <v>1521</v>
      </c>
      <c r="G162" s="554">
        <v>2000</v>
      </c>
      <c r="H162">
        <v>20.103168</v>
      </c>
    </row>
    <row r="163" spans="2:8">
      <c r="B163" s="555" t="s">
        <v>2093</v>
      </c>
      <c r="C163" s="555" t="str">
        <f>VLOOKUP(D163,기본!$D$13:$E$74,2,0)</f>
        <v>AV JDM</v>
      </c>
      <c r="D163" t="s">
        <v>1971</v>
      </c>
      <c r="E163" t="s">
        <v>1889</v>
      </c>
      <c r="F163" t="s">
        <v>1520</v>
      </c>
      <c r="G163" s="554">
        <v>2016</v>
      </c>
      <c r="H163">
        <v>16.8962976</v>
      </c>
    </row>
    <row r="164" spans="2:8">
      <c r="B164" s="555" t="s">
        <v>2093</v>
      </c>
      <c r="C164" s="555" t="str">
        <f>VLOOKUP(D164,기본!$D$13:$E$74,2,0)</f>
        <v>경동나비엔</v>
      </c>
      <c r="D164" t="s">
        <v>1972</v>
      </c>
      <c r="E164" t="s">
        <v>1973</v>
      </c>
      <c r="F164" t="s">
        <v>1973</v>
      </c>
      <c r="G164" s="554">
        <v>6480</v>
      </c>
      <c r="H164">
        <v>196.99199999999999</v>
      </c>
    </row>
    <row r="165" spans="2:8">
      <c r="B165" s="555" t="s">
        <v>2093</v>
      </c>
      <c r="C165" s="555" t="str">
        <f>VLOOKUP(D165,기본!$D$13:$E$74,2,0)</f>
        <v>삼성 생활가전</v>
      </c>
      <c r="D165" t="s">
        <v>1974</v>
      </c>
      <c r="E165" t="s">
        <v>1975</v>
      </c>
      <c r="F165" t="s">
        <v>1975</v>
      </c>
      <c r="G165" s="554">
        <v>16128</v>
      </c>
      <c r="H165">
        <v>133.37855999999999</v>
      </c>
    </row>
    <row r="166" spans="2:8">
      <c r="B166" s="555" t="s">
        <v>2093</v>
      </c>
      <c r="C166" s="555" t="str">
        <f>VLOOKUP(D166,기본!$D$13:$E$74,2,0)</f>
        <v>대덕</v>
      </c>
      <c r="D166" t="s">
        <v>1976</v>
      </c>
      <c r="E166" t="s">
        <v>1977</v>
      </c>
      <c r="F166" t="s">
        <v>1977</v>
      </c>
      <c r="G166" s="554">
        <v>2751</v>
      </c>
      <c r="H166">
        <v>32.871115787999997</v>
      </c>
    </row>
    <row r="167" spans="2:8">
      <c r="B167" s="555" t="s">
        <v>2093</v>
      </c>
      <c r="C167" s="555" t="str">
        <f>VLOOKUP(D167,기본!$D$13:$E$74,2,0)</f>
        <v>대덕</v>
      </c>
      <c r="D167" t="s">
        <v>1976</v>
      </c>
      <c r="E167" t="s">
        <v>229</v>
      </c>
      <c r="F167" t="s">
        <v>229</v>
      </c>
      <c r="G167" s="554">
        <v>0</v>
      </c>
      <c r="H167">
        <v>3.5110000000000001</v>
      </c>
    </row>
    <row r="168" spans="2:8">
      <c r="B168" s="555" t="s">
        <v>2093</v>
      </c>
      <c r="C168" s="555" t="str">
        <f>VLOOKUP(D168,기본!$D$13:$E$74,2,0)</f>
        <v>대덕</v>
      </c>
      <c r="D168" t="s">
        <v>1978</v>
      </c>
      <c r="E168" t="s">
        <v>1979</v>
      </c>
      <c r="F168" t="s">
        <v>1979</v>
      </c>
      <c r="G168" s="554">
        <v>520</v>
      </c>
      <c r="H168">
        <v>4.6375711200000005</v>
      </c>
    </row>
    <row r="169" spans="2:8">
      <c r="B169" s="555" t="s">
        <v>2093</v>
      </c>
      <c r="C169" s="555" t="str">
        <f>VLOOKUP(D169,기본!$D$13:$E$74,2,0)</f>
        <v>대덕</v>
      </c>
      <c r="D169" t="s">
        <v>1978</v>
      </c>
      <c r="E169" t="s">
        <v>1980</v>
      </c>
      <c r="F169" t="s">
        <v>1980</v>
      </c>
      <c r="G169" s="554">
        <v>1112</v>
      </c>
      <c r="H169">
        <v>23.810376408</v>
      </c>
    </row>
    <row r="170" spans="2:8">
      <c r="B170" s="555" t="s">
        <v>2093</v>
      </c>
      <c r="C170" s="555" t="str">
        <f>VLOOKUP(D170,기본!$D$13:$E$74,2,0)</f>
        <v>대덕</v>
      </c>
      <c r="D170" t="s">
        <v>1978</v>
      </c>
      <c r="E170" t="s">
        <v>1981</v>
      </c>
      <c r="F170" t="s">
        <v>1981</v>
      </c>
      <c r="G170" s="554">
        <v>512</v>
      </c>
      <c r="H170">
        <v>11.305860608</v>
      </c>
    </row>
    <row r="171" spans="2:8">
      <c r="B171" s="555" t="s">
        <v>2093</v>
      </c>
      <c r="C171" s="555" t="str">
        <f>VLOOKUP(D171,기본!$D$13:$E$74,2,0)</f>
        <v>대덕</v>
      </c>
      <c r="D171" t="s">
        <v>1978</v>
      </c>
      <c r="E171" t="s">
        <v>1982</v>
      </c>
      <c r="F171" t="s">
        <v>1982</v>
      </c>
      <c r="G171" s="554">
        <v>1112</v>
      </c>
      <c r="H171">
        <v>24.822950263999999</v>
      </c>
    </row>
    <row r="172" spans="2:8">
      <c r="B172" s="555" t="s">
        <v>2093</v>
      </c>
      <c r="C172" s="555" t="str">
        <f>VLOOKUP(D172,기본!$D$13:$E$74,2,0)</f>
        <v>대덕</v>
      </c>
      <c r="D172" t="s">
        <v>1978</v>
      </c>
      <c r="E172" t="s">
        <v>1977</v>
      </c>
      <c r="F172" t="s">
        <v>1977</v>
      </c>
      <c r="G172" s="554">
        <v>1649</v>
      </c>
      <c r="H172">
        <v>19.829419582</v>
      </c>
    </row>
    <row r="173" spans="2:8">
      <c r="B173" s="555" t="s">
        <v>2093</v>
      </c>
      <c r="C173" s="555" t="str">
        <f>VLOOKUP(D173,기본!$D$13:$E$74,2,0)</f>
        <v>대덕</v>
      </c>
      <c r="D173" t="s">
        <v>1978</v>
      </c>
      <c r="E173" t="s">
        <v>1983</v>
      </c>
      <c r="F173" t="s">
        <v>1983</v>
      </c>
      <c r="G173" s="554">
        <v>15000</v>
      </c>
      <c r="H173">
        <v>200.68844999999999</v>
      </c>
    </row>
    <row r="174" spans="2:8">
      <c r="B174" s="555" t="s">
        <v>2093</v>
      </c>
      <c r="C174" s="555" t="str">
        <f>VLOOKUP(D174,기본!$D$13:$E$74,2,0)</f>
        <v>대덕</v>
      </c>
      <c r="D174" t="s">
        <v>1978</v>
      </c>
      <c r="E174" t="s">
        <v>1984</v>
      </c>
      <c r="F174" t="s">
        <v>1984</v>
      </c>
      <c r="G174" s="554">
        <v>4700</v>
      </c>
      <c r="H174">
        <v>70.327265600000004</v>
      </c>
    </row>
    <row r="175" spans="2:8">
      <c r="B175" s="555" t="s">
        <v>2093</v>
      </c>
      <c r="C175" s="555" t="str">
        <f>VLOOKUP(D175,기본!$D$13:$E$74,2,0)</f>
        <v>대덕</v>
      </c>
      <c r="D175" t="s">
        <v>1978</v>
      </c>
      <c r="E175" t="s">
        <v>1985</v>
      </c>
      <c r="F175" t="s">
        <v>1985</v>
      </c>
      <c r="G175" s="554">
        <v>15000</v>
      </c>
      <c r="H175">
        <v>199.88696249999998</v>
      </c>
    </row>
    <row r="176" spans="2:8">
      <c r="B176" s="555" t="s">
        <v>2093</v>
      </c>
      <c r="C176" s="555" t="str">
        <f>VLOOKUP(D176,기본!$D$13:$E$74,2,0)</f>
        <v>삼성 생활가전</v>
      </c>
      <c r="D176" t="s">
        <v>1986</v>
      </c>
      <c r="E176" t="s">
        <v>1987</v>
      </c>
      <c r="F176" t="s">
        <v>1987</v>
      </c>
      <c r="G176" s="554">
        <v>5760</v>
      </c>
      <c r="H176">
        <v>80.467200000000005</v>
      </c>
    </row>
    <row r="177" spans="2:8">
      <c r="B177" s="555" t="s">
        <v>2093</v>
      </c>
      <c r="C177" s="555" t="str">
        <f>VLOOKUP(D177,기본!$D$13:$E$74,2,0)</f>
        <v>머큐리</v>
      </c>
      <c r="D177" t="s">
        <v>1988</v>
      </c>
      <c r="E177" t="s">
        <v>1989</v>
      </c>
      <c r="F177" t="s">
        <v>1989</v>
      </c>
      <c r="G177" s="554">
        <v>15000</v>
      </c>
      <c r="H177">
        <v>42.03</v>
      </c>
    </row>
    <row r="178" spans="2:8">
      <c r="B178" s="555" t="s">
        <v>2093</v>
      </c>
      <c r="C178" s="555" t="str">
        <f>VLOOKUP(D178,기본!$D$13:$E$74,2,0)</f>
        <v>삼성 VD</v>
      </c>
      <c r="D178" t="s">
        <v>1990</v>
      </c>
      <c r="E178" t="s">
        <v>1786</v>
      </c>
      <c r="F178" t="s">
        <v>1671</v>
      </c>
      <c r="G178" s="554">
        <v>120</v>
      </c>
      <c r="H178">
        <v>1.3233546999999999</v>
      </c>
    </row>
    <row r="179" spans="2:8">
      <c r="B179" s="555" t="s">
        <v>2093</v>
      </c>
      <c r="C179" s="555" t="str">
        <f>VLOOKUP(D179,기본!$D$13:$E$74,2,0)</f>
        <v>삼성 VD</v>
      </c>
      <c r="D179" t="s">
        <v>1990</v>
      </c>
      <c r="E179" t="s">
        <v>1788</v>
      </c>
      <c r="F179" t="s">
        <v>1913</v>
      </c>
      <c r="G179" s="554">
        <v>116</v>
      </c>
      <c r="H179">
        <v>1.480941144</v>
      </c>
    </row>
    <row r="180" spans="2:8">
      <c r="B180" s="555" t="s">
        <v>2093</v>
      </c>
      <c r="C180" s="555" t="str">
        <f>VLOOKUP(D180,기본!$D$13:$E$74,2,0)</f>
        <v>삼성 VD</v>
      </c>
      <c r="D180" t="s">
        <v>1990</v>
      </c>
      <c r="E180" t="s">
        <v>1790</v>
      </c>
      <c r="F180" t="s">
        <v>1914</v>
      </c>
      <c r="G180" s="554">
        <v>143</v>
      </c>
      <c r="H180">
        <v>2.1159114480000003</v>
      </c>
    </row>
    <row r="181" spans="2:8">
      <c r="B181" s="555" t="s">
        <v>2093</v>
      </c>
      <c r="C181" s="555" t="str">
        <f>VLOOKUP(D181,기본!$D$13:$E$74,2,0)</f>
        <v>삼성 VD</v>
      </c>
      <c r="D181" t="s">
        <v>1990</v>
      </c>
      <c r="E181" t="s">
        <v>1792</v>
      </c>
      <c r="F181" t="s">
        <v>1915</v>
      </c>
      <c r="G181" s="554">
        <v>48</v>
      </c>
      <c r="H181">
        <v>1.0380628439999997</v>
      </c>
    </row>
    <row r="182" spans="2:8">
      <c r="B182" s="555" t="s">
        <v>2093</v>
      </c>
      <c r="C182" s="555" t="str">
        <f>VLOOKUP(D182,기본!$D$13:$E$74,2,0)</f>
        <v>삼성 VD</v>
      </c>
      <c r="D182" t="s">
        <v>1990</v>
      </c>
      <c r="E182" t="s">
        <v>1921</v>
      </c>
      <c r="F182" t="s">
        <v>1922</v>
      </c>
      <c r="G182" s="554">
        <v>38</v>
      </c>
      <c r="H182">
        <v>1.1026099599999999</v>
      </c>
    </row>
    <row r="183" spans="2:8">
      <c r="B183" s="555" t="s">
        <v>2093</v>
      </c>
      <c r="C183" s="555" t="str">
        <f>VLOOKUP(D183,기본!$D$13:$E$74,2,0)</f>
        <v>삼성 VD</v>
      </c>
      <c r="D183" t="s">
        <v>1990</v>
      </c>
      <c r="E183" t="s">
        <v>1660</v>
      </c>
      <c r="F183" t="s">
        <v>1660</v>
      </c>
      <c r="G183" s="554">
        <v>56</v>
      </c>
      <c r="H183">
        <v>0.79885545599999985</v>
      </c>
    </row>
    <row r="184" spans="2:8">
      <c r="B184" s="555" t="s">
        <v>2093</v>
      </c>
      <c r="C184" s="555" t="str">
        <f>VLOOKUP(D184,기본!$D$13:$E$74,2,0)</f>
        <v>삼성 VD</v>
      </c>
      <c r="D184" t="s">
        <v>1990</v>
      </c>
      <c r="E184" t="s">
        <v>1382</v>
      </c>
      <c r="F184" t="s">
        <v>1382</v>
      </c>
      <c r="G184" s="554">
        <v>300</v>
      </c>
      <c r="H184">
        <v>7.6872671999999991</v>
      </c>
    </row>
    <row r="185" spans="2:8">
      <c r="B185" s="555" t="s">
        <v>2093</v>
      </c>
      <c r="C185" s="555" t="str">
        <f>VLOOKUP(D185,기본!$D$13:$E$74,2,0)</f>
        <v>삼성 VD</v>
      </c>
      <c r="D185" t="s">
        <v>1990</v>
      </c>
      <c r="E185" t="s">
        <v>229</v>
      </c>
      <c r="F185" t="s">
        <v>229</v>
      </c>
      <c r="G185" s="554">
        <v>0</v>
      </c>
      <c r="H185">
        <v>8.8226709999999997</v>
      </c>
    </row>
    <row r="186" spans="2:8">
      <c r="B186" s="555" t="s">
        <v>2093</v>
      </c>
      <c r="C186" s="555" t="str">
        <f>VLOOKUP(D186,기본!$D$13:$E$74,2,0)</f>
        <v>삼성 생활가전</v>
      </c>
      <c r="D186" t="s">
        <v>1991</v>
      </c>
      <c r="E186" t="s">
        <v>914</v>
      </c>
      <c r="F186" t="s">
        <v>914</v>
      </c>
      <c r="G186" s="554">
        <v>2160</v>
      </c>
      <c r="H186">
        <v>12.546230399999999</v>
      </c>
    </row>
    <row r="187" spans="2:8">
      <c r="B187" s="555" t="s">
        <v>2093</v>
      </c>
      <c r="C187" s="555" t="str">
        <f>VLOOKUP(D187,기본!$D$13:$E$74,2,0)</f>
        <v>삼성 생활가전</v>
      </c>
      <c r="D187" t="s">
        <v>1991</v>
      </c>
      <c r="E187" t="s">
        <v>1992</v>
      </c>
      <c r="F187" t="s">
        <v>1992</v>
      </c>
      <c r="G187" s="554">
        <v>5400</v>
      </c>
      <c r="H187">
        <v>33.338546999999998</v>
      </c>
    </row>
    <row r="188" spans="2:8">
      <c r="B188" s="555" t="s">
        <v>2093</v>
      </c>
      <c r="C188" s="555" t="str">
        <f>VLOOKUP(D188,기본!$D$13:$E$74,2,0)</f>
        <v>삼성 생활가전</v>
      </c>
      <c r="D188" t="s">
        <v>1991</v>
      </c>
      <c r="E188" t="s">
        <v>1993</v>
      </c>
      <c r="F188" t="s">
        <v>1993</v>
      </c>
      <c r="G188" s="554">
        <v>2304</v>
      </c>
      <c r="H188">
        <v>17.123339519999995</v>
      </c>
    </row>
    <row r="189" spans="2:8">
      <c r="B189" s="555" t="s">
        <v>2093</v>
      </c>
      <c r="C189" s="555" t="str">
        <f>VLOOKUP(D189,기본!$D$13:$E$74,2,0)</f>
        <v>삼성 생활가전</v>
      </c>
      <c r="D189" t="s">
        <v>1991</v>
      </c>
      <c r="E189" t="s">
        <v>1994</v>
      </c>
      <c r="F189" t="s">
        <v>1994</v>
      </c>
      <c r="G189" s="554">
        <v>2160</v>
      </c>
      <c r="H189">
        <v>16.342376399999999</v>
      </c>
    </row>
    <row r="190" spans="2:8">
      <c r="B190" s="555" t="s">
        <v>2093</v>
      </c>
      <c r="C190" s="555" t="str">
        <f>VLOOKUP(D190,기본!$D$13:$E$74,2,0)</f>
        <v>삼성 생활가전</v>
      </c>
      <c r="D190" t="s">
        <v>1991</v>
      </c>
      <c r="E190" t="s">
        <v>1995</v>
      </c>
      <c r="F190" t="s">
        <v>1995</v>
      </c>
      <c r="G190" s="554">
        <v>6912</v>
      </c>
      <c r="H190">
        <v>52.384112639999998</v>
      </c>
    </row>
    <row r="191" spans="2:8">
      <c r="B191" s="555" t="s">
        <v>2093</v>
      </c>
      <c r="C191" s="555" t="str">
        <f>VLOOKUP(D191,기본!$D$13:$E$74,2,0)</f>
        <v>삼성 생활가전</v>
      </c>
      <c r="D191" t="s">
        <v>1991</v>
      </c>
      <c r="E191" t="s">
        <v>1996</v>
      </c>
      <c r="F191" t="s">
        <v>1996</v>
      </c>
      <c r="G191" s="554">
        <v>1440</v>
      </c>
      <c r="H191">
        <v>8.5679999999999996</v>
      </c>
    </row>
    <row r="192" spans="2:8">
      <c r="B192" s="555" t="s">
        <v>2093</v>
      </c>
      <c r="C192" s="555" t="str">
        <f>VLOOKUP(D192,기본!$D$13:$E$74,2,0)</f>
        <v>삼성 생활가전</v>
      </c>
      <c r="D192" t="s">
        <v>1991</v>
      </c>
      <c r="E192" t="s">
        <v>1997</v>
      </c>
      <c r="F192" t="s">
        <v>1997</v>
      </c>
      <c r="G192" s="554">
        <v>1440</v>
      </c>
      <c r="H192">
        <v>8.5535999999999994</v>
      </c>
    </row>
    <row r="193" spans="2:8">
      <c r="B193" s="555" t="s">
        <v>2093</v>
      </c>
      <c r="C193" s="555" t="str">
        <f>VLOOKUP(D193,기본!$D$13:$E$74,2,0)</f>
        <v>삼성 생활가전</v>
      </c>
      <c r="D193" t="s">
        <v>1991</v>
      </c>
      <c r="E193" t="s">
        <v>1998</v>
      </c>
      <c r="F193" t="s">
        <v>1998</v>
      </c>
      <c r="G193" s="554">
        <v>1440</v>
      </c>
      <c r="H193">
        <v>8.4960000000000004</v>
      </c>
    </row>
    <row r="194" spans="2:8">
      <c r="B194" s="555" t="s">
        <v>2093</v>
      </c>
      <c r="C194" s="555" t="str">
        <f>VLOOKUP(D194,기본!$D$13:$E$74,2,0)</f>
        <v>삼성 생활가전</v>
      </c>
      <c r="D194" t="s">
        <v>1991</v>
      </c>
      <c r="E194" t="s">
        <v>1999</v>
      </c>
      <c r="F194" t="s">
        <v>1999</v>
      </c>
      <c r="G194" s="554">
        <v>7200</v>
      </c>
      <c r="H194">
        <v>43.0488</v>
      </c>
    </row>
    <row r="195" spans="2:8">
      <c r="B195" s="555" t="s">
        <v>2093</v>
      </c>
      <c r="C195" s="555" t="str">
        <f>VLOOKUP(D195,기본!$D$13:$E$74,2,0)</f>
        <v>삼성 생활가전</v>
      </c>
      <c r="D195" t="s">
        <v>1991</v>
      </c>
      <c r="E195" t="s">
        <v>2000</v>
      </c>
      <c r="F195" t="s">
        <v>2000</v>
      </c>
      <c r="G195" s="554">
        <v>1440</v>
      </c>
      <c r="H195">
        <v>8.4960000000000004</v>
      </c>
    </row>
    <row r="196" spans="2:8">
      <c r="B196" s="555" t="s">
        <v>2093</v>
      </c>
      <c r="C196" s="555" t="str">
        <f>VLOOKUP(D196,기본!$D$13:$E$74,2,0)</f>
        <v>삼성 생활가전</v>
      </c>
      <c r="D196" t="s">
        <v>1991</v>
      </c>
      <c r="E196" t="s">
        <v>2001</v>
      </c>
      <c r="F196" t="s">
        <v>2001</v>
      </c>
      <c r="G196" s="554">
        <v>18480</v>
      </c>
      <c r="H196">
        <v>105.68856000000001</v>
      </c>
    </row>
    <row r="197" spans="2:8">
      <c r="B197" s="555" t="s">
        <v>2093</v>
      </c>
      <c r="C197" s="555" t="str">
        <f>VLOOKUP(D197,기본!$D$13:$E$74,2,0)</f>
        <v>삼성 생활가전</v>
      </c>
      <c r="D197" t="s">
        <v>1991</v>
      </c>
      <c r="E197" t="s">
        <v>2002</v>
      </c>
      <c r="F197" t="s">
        <v>2002</v>
      </c>
      <c r="G197" s="554">
        <v>9000</v>
      </c>
      <c r="H197">
        <v>88.911000000000001</v>
      </c>
    </row>
    <row r="198" spans="2:8">
      <c r="B198" s="555" t="s">
        <v>2093</v>
      </c>
      <c r="C198" s="555" t="str">
        <f>VLOOKUP(D198,기본!$D$13:$E$74,2,0)</f>
        <v>삼성 생활가전</v>
      </c>
      <c r="D198" t="s">
        <v>1991</v>
      </c>
      <c r="E198" t="s">
        <v>2003</v>
      </c>
      <c r="F198" t="s">
        <v>2003</v>
      </c>
      <c r="G198" s="554">
        <v>170</v>
      </c>
      <c r="H198">
        <v>1.8696600000000001</v>
      </c>
    </row>
    <row r="199" spans="2:8">
      <c r="B199" s="555" t="s">
        <v>2093</v>
      </c>
      <c r="C199" s="555" t="str">
        <f>VLOOKUP(D199,기본!$D$13:$E$74,2,0)</f>
        <v>삼성 생활가전</v>
      </c>
      <c r="D199" t="s">
        <v>1991</v>
      </c>
      <c r="E199" t="s">
        <v>1508</v>
      </c>
      <c r="F199" t="s">
        <v>1508</v>
      </c>
      <c r="G199" s="554">
        <v>855</v>
      </c>
      <c r="H199">
        <v>8.9709000000000003</v>
      </c>
    </row>
    <row r="200" spans="2:8">
      <c r="B200" s="555" t="s">
        <v>2093</v>
      </c>
      <c r="C200" s="555" t="str">
        <f>VLOOKUP(D200,기본!$D$13:$E$74,2,0)</f>
        <v>삼성 생활가전</v>
      </c>
      <c r="D200" t="s">
        <v>1991</v>
      </c>
      <c r="E200" t="s">
        <v>1509</v>
      </c>
      <c r="F200" t="s">
        <v>1509</v>
      </c>
      <c r="G200" s="554">
        <v>10</v>
      </c>
      <c r="H200">
        <v>0.1095</v>
      </c>
    </row>
    <row r="201" spans="2:8">
      <c r="B201" s="555" t="s">
        <v>2093</v>
      </c>
      <c r="C201" s="555" t="str">
        <f>VLOOKUP(D201,기본!$D$13:$E$74,2,0)</f>
        <v>삼성 생활가전</v>
      </c>
      <c r="D201" t="s">
        <v>1991</v>
      </c>
      <c r="E201" t="s">
        <v>1242</v>
      </c>
      <c r="F201" t="s">
        <v>1242</v>
      </c>
      <c r="G201" s="554">
        <v>13</v>
      </c>
      <c r="H201">
        <v>6.6689999999999999E-2</v>
      </c>
    </row>
    <row r="202" spans="2:8">
      <c r="B202" s="555" t="s">
        <v>2093</v>
      </c>
      <c r="C202" s="555" t="str">
        <f>VLOOKUP(D202,기본!$D$13:$E$74,2,0)</f>
        <v>삼성 생활가전</v>
      </c>
      <c r="D202" t="s">
        <v>1991</v>
      </c>
      <c r="E202" t="s">
        <v>1395</v>
      </c>
      <c r="F202" t="s">
        <v>1395</v>
      </c>
      <c r="G202" s="554">
        <v>7584</v>
      </c>
      <c r="H202">
        <v>41.393472000000003</v>
      </c>
    </row>
    <row r="203" spans="2:8">
      <c r="B203" s="555" t="s">
        <v>2093</v>
      </c>
      <c r="C203" s="555" t="str">
        <f>VLOOKUP(D203,기본!$D$13:$E$74,2,0)</f>
        <v>삼성 생활가전</v>
      </c>
      <c r="D203" t="s">
        <v>1991</v>
      </c>
      <c r="E203" t="s">
        <v>2004</v>
      </c>
      <c r="F203" t="s">
        <v>2004</v>
      </c>
      <c r="G203" s="554">
        <v>189</v>
      </c>
      <c r="H203">
        <v>2.0506500000000001</v>
      </c>
    </row>
    <row r="204" spans="2:8">
      <c r="B204" s="555" t="s">
        <v>2093</v>
      </c>
      <c r="C204" s="555" t="str">
        <f>VLOOKUP(D204,기본!$D$13:$E$74,2,0)</f>
        <v>삼성 생활가전</v>
      </c>
      <c r="D204" t="s">
        <v>1991</v>
      </c>
      <c r="E204" t="s">
        <v>1465</v>
      </c>
      <c r="F204" t="s">
        <v>1465</v>
      </c>
      <c r="G204" s="554">
        <v>1922</v>
      </c>
      <c r="H204">
        <v>24.861304000000001</v>
      </c>
    </row>
    <row r="205" spans="2:8">
      <c r="B205" s="555" t="s">
        <v>2093</v>
      </c>
      <c r="C205" s="555" t="str">
        <f>VLOOKUP(D205,기본!$D$13:$E$74,2,0)</f>
        <v>삼성 생활가전</v>
      </c>
      <c r="D205" t="s">
        <v>1991</v>
      </c>
      <c r="E205" t="s">
        <v>2005</v>
      </c>
      <c r="F205" t="s">
        <v>2005</v>
      </c>
      <c r="G205" s="554">
        <v>0</v>
      </c>
      <c r="H205">
        <v>5.462078</v>
      </c>
    </row>
    <row r="206" spans="2:8">
      <c r="B206" s="555" t="s">
        <v>2093</v>
      </c>
      <c r="C206" s="555" t="str">
        <f>VLOOKUP(D206,기본!$D$13:$E$74,2,0)</f>
        <v>삼성 생활가전</v>
      </c>
      <c r="D206" t="s">
        <v>2006</v>
      </c>
      <c r="E206" t="s">
        <v>1465</v>
      </c>
      <c r="F206" t="s">
        <v>1465</v>
      </c>
      <c r="G206" s="554">
        <v>336</v>
      </c>
      <c r="H206">
        <v>4.3461600000000002</v>
      </c>
    </row>
    <row r="207" spans="2:8">
      <c r="B207" s="555" t="s">
        <v>2093</v>
      </c>
      <c r="C207" s="555" t="str">
        <f>VLOOKUP(D207,기본!$D$13:$E$74,2,0)</f>
        <v>코웨이</v>
      </c>
      <c r="D207" t="s">
        <v>2007</v>
      </c>
      <c r="E207" t="s">
        <v>1072</v>
      </c>
      <c r="F207" t="s">
        <v>1072</v>
      </c>
      <c r="G207" s="554">
        <v>8029</v>
      </c>
      <c r="H207">
        <v>38.940650000000005</v>
      </c>
    </row>
    <row r="208" spans="2:8">
      <c r="B208" s="555" t="s">
        <v>2093</v>
      </c>
      <c r="C208" s="555" t="str">
        <f>VLOOKUP(D208,기본!$D$13:$E$74,2,0)</f>
        <v>코웨이</v>
      </c>
      <c r="D208" t="s">
        <v>2007</v>
      </c>
      <c r="E208" t="s">
        <v>1075</v>
      </c>
      <c r="F208" t="s">
        <v>1075</v>
      </c>
      <c r="G208" s="554">
        <v>7924</v>
      </c>
      <c r="H208">
        <v>11.053979999999999</v>
      </c>
    </row>
    <row r="209" spans="2:8">
      <c r="B209" s="555" t="s">
        <v>2093</v>
      </c>
      <c r="C209" s="555" t="str">
        <f>VLOOKUP(D209,기본!$D$13:$E$74,2,0)</f>
        <v>코웨이</v>
      </c>
      <c r="D209" t="s">
        <v>2008</v>
      </c>
      <c r="E209" t="s">
        <v>2009</v>
      </c>
      <c r="F209" t="s">
        <v>2009</v>
      </c>
      <c r="G209" s="554">
        <v>7800</v>
      </c>
      <c r="H209">
        <v>21.317399999999999</v>
      </c>
    </row>
    <row r="210" spans="2:8">
      <c r="B210" s="555" t="s">
        <v>2093</v>
      </c>
      <c r="C210" s="555" t="str">
        <f>VLOOKUP(D210,기본!$D$13:$E$74,2,0)</f>
        <v>코웨이</v>
      </c>
      <c r="D210" t="s">
        <v>2010</v>
      </c>
      <c r="E210" t="s">
        <v>2011</v>
      </c>
      <c r="F210" t="s">
        <v>2011</v>
      </c>
      <c r="G210" s="554">
        <v>35</v>
      </c>
      <c r="H210">
        <v>0.17346</v>
      </c>
    </row>
    <row r="211" spans="2:8">
      <c r="B211" s="555" t="s">
        <v>2093</v>
      </c>
      <c r="C211" s="555" t="str">
        <f>VLOOKUP(D211,기본!$D$13:$E$74,2,0)</f>
        <v>코웨이</v>
      </c>
      <c r="D211" t="s">
        <v>2010</v>
      </c>
      <c r="E211" t="s">
        <v>2012</v>
      </c>
      <c r="F211" t="s">
        <v>2012</v>
      </c>
      <c r="G211" s="554">
        <v>10</v>
      </c>
      <c r="H211">
        <v>4.956E-2</v>
      </c>
    </row>
    <row r="212" spans="2:8">
      <c r="B212" s="555" t="s">
        <v>2093</v>
      </c>
      <c r="C212" s="555" t="str">
        <f>VLOOKUP(D212,기본!$D$13:$E$74,2,0)</f>
        <v>코웨이</v>
      </c>
      <c r="D212" t="s">
        <v>2010</v>
      </c>
      <c r="E212" t="s">
        <v>2013</v>
      </c>
      <c r="F212" t="s">
        <v>2013</v>
      </c>
      <c r="G212" s="554">
        <v>2003</v>
      </c>
      <c r="H212">
        <v>17.562303999999997</v>
      </c>
    </row>
    <row r="213" spans="2:8">
      <c r="B213" s="555" t="s">
        <v>2093</v>
      </c>
      <c r="C213" s="555" t="str">
        <f>VLOOKUP(D213,기본!$D$13:$E$74,2,0)</f>
        <v>코웨이</v>
      </c>
      <c r="D213" t="s">
        <v>2010</v>
      </c>
      <c r="E213" t="s">
        <v>2014</v>
      </c>
      <c r="F213" t="s">
        <v>2014</v>
      </c>
      <c r="G213" s="554">
        <v>8105</v>
      </c>
      <c r="H213">
        <v>70.772860000000009</v>
      </c>
    </row>
    <row r="214" spans="2:8">
      <c r="B214" s="555" t="s">
        <v>2093</v>
      </c>
      <c r="C214" s="555" t="str">
        <f>VLOOKUP(D214,기본!$D$13:$E$74,2,0)</f>
        <v>코웨이</v>
      </c>
      <c r="D214" t="s">
        <v>2010</v>
      </c>
      <c r="E214" t="s">
        <v>1093</v>
      </c>
      <c r="F214" t="s">
        <v>1093</v>
      </c>
      <c r="G214" s="554">
        <v>45</v>
      </c>
      <c r="H214">
        <v>0.24951000000000001</v>
      </c>
    </row>
    <row r="215" spans="2:8">
      <c r="B215" s="555" t="s">
        <v>2093</v>
      </c>
      <c r="C215" s="555" t="str">
        <f>VLOOKUP(D215,기본!$D$13:$E$74,2,0)</f>
        <v>코웨이</v>
      </c>
      <c r="D215" t="s">
        <v>2010</v>
      </c>
      <c r="E215" t="s">
        <v>1094</v>
      </c>
      <c r="F215" t="s">
        <v>1094</v>
      </c>
      <c r="G215" s="554">
        <v>1058</v>
      </c>
      <c r="H215">
        <v>3.3165480000000001</v>
      </c>
    </row>
    <row r="216" spans="2:8">
      <c r="B216" s="555" t="s">
        <v>2093</v>
      </c>
      <c r="C216" s="555" t="str">
        <f>VLOOKUP(D216,기본!$D$13:$E$74,2,0)</f>
        <v>코웨이</v>
      </c>
      <c r="D216" t="s">
        <v>2010</v>
      </c>
      <c r="E216" t="s">
        <v>1095</v>
      </c>
      <c r="F216" t="s">
        <v>1095</v>
      </c>
      <c r="G216" s="554">
        <v>1815</v>
      </c>
      <c r="H216">
        <v>10.964879999999999</v>
      </c>
    </row>
    <row r="217" spans="2:8">
      <c r="B217" s="555" t="s">
        <v>2093</v>
      </c>
      <c r="C217" s="555" t="str">
        <f>VLOOKUP(D217,기본!$D$13:$E$74,2,0)</f>
        <v>코웨이</v>
      </c>
      <c r="D217" t="s">
        <v>2010</v>
      </c>
      <c r="E217" t="s">
        <v>2015</v>
      </c>
      <c r="F217" t="s">
        <v>2015</v>
      </c>
      <c r="G217" s="554">
        <v>13</v>
      </c>
      <c r="H217">
        <v>0.167518</v>
      </c>
    </row>
    <row r="218" spans="2:8">
      <c r="B218" s="555" t="s">
        <v>2093</v>
      </c>
      <c r="C218" s="555" t="str">
        <f>VLOOKUP(D218,기본!$D$13:$E$74,2,0)</f>
        <v>코웨이</v>
      </c>
      <c r="D218" t="s">
        <v>2010</v>
      </c>
      <c r="E218" t="s">
        <v>2016</v>
      </c>
      <c r="F218" t="s">
        <v>2016</v>
      </c>
      <c r="G218" s="554">
        <v>92</v>
      </c>
      <c r="H218">
        <v>0.65623600000000004</v>
      </c>
    </row>
    <row r="219" spans="2:8">
      <c r="B219" s="555" t="s">
        <v>2093</v>
      </c>
      <c r="C219" s="555" t="str">
        <f>VLOOKUP(D219,기본!$D$13:$E$74,2,0)</f>
        <v>코웨이</v>
      </c>
      <c r="D219" t="s">
        <v>2010</v>
      </c>
      <c r="E219" t="s">
        <v>2017</v>
      </c>
      <c r="F219" t="s">
        <v>2017</v>
      </c>
      <c r="G219" s="554">
        <v>3</v>
      </c>
      <c r="H219">
        <v>3.6887999999999997E-2</v>
      </c>
    </row>
    <row r="220" spans="2:8">
      <c r="B220" s="555" t="s">
        <v>2093</v>
      </c>
      <c r="C220" s="555" t="str">
        <f>VLOOKUP(D220,기본!$D$13:$E$74,2,0)</f>
        <v>코웨이</v>
      </c>
      <c r="D220" t="s">
        <v>2010</v>
      </c>
      <c r="E220" t="s">
        <v>2018</v>
      </c>
      <c r="F220" t="s">
        <v>2018</v>
      </c>
      <c r="G220" s="554">
        <v>300</v>
      </c>
      <c r="H220">
        <v>3.8511000000000002</v>
      </c>
    </row>
    <row r="221" spans="2:8">
      <c r="B221" s="555" t="s">
        <v>2093</v>
      </c>
      <c r="C221" s="555" t="str">
        <f>VLOOKUP(D221,기본!$D$13:$E$74,2,0)</f>
        <v>코웨이</v>
      </c>
      <c r="D221" t="s">
        <v>2010</v>
      </c>
      <c r="E221" t="s">
        <v>2019</v>
      </c>
      <c r="F221" t="s">
        <v>2019</v>
      </c>
      <c r="G221" s="554">
        <v>903</v>
      </c>
      <c r="H221">
        <v>14.932356</v>
      </c>
    </row>
    <row r="222" spans="2:8">
      <c r="B222" s="555" t="s">
        <v>2093</v>
      </c>
      <c r="C222" s="555" t="str">
        <f>VLOOKUP(D222,기본!$D$13:$E$74,2,0)</f>
        <v>코웨이</v>
      </c>
      <c r="D222" t="s">
        <v>2010</v>
      </c>
      <c r="E222" t="s">
        <v>2020</v>
      </c>
      <c r="F222" t="s">
        <v>2020</v>
      </c>
      <c r="G222" s="554">
        <v>48</v>
      </c>
      <c r="H222">
        <v>0.73996799999999996</v>
      </c>
    </row>
    <row r="223" spans="2:8">
      <c r="B223" s="555" t="s">
        <v>2093</v>
      </c>
      <c r="C223" s="555" t="str">
        <f>VLOOKUP(D223,기본!$D$13:$E$74,2,0)</f>
        <v>코웨이</v>
      </c>
      <c r="D223" t="s">
        <v>2010</v>
      </c>
      <c r="E223" t="s">
        <v>2021</v>
      </c>
      <c r="F223" t="s">
        <v>2021</v>
      </c>
      <c r="G223" s="554">
        <v>28953</v>
      </c>
      <c r="H223">
        <v>374.20030800000006</v>
      </c>
    </row>
    <row r="224" spans="2:8">
      <c r="B224" s="555" t="s">
        <v>2093</v>
      </c>
      <c r="C224" s="555" t="str">
        <f>VLOOKUP(D224,기본!$D$13:$E$74,2,0)</f>
        <v>코웨이</v>
      </c>
      <c r="D224" t="s">
        <v>2010</v>
      </c>
      <c r="E224" t="s">
        <v>1542</v>
      </c>
      <c r="F224" t="s">
        <v>1542</v>
      </c>
      <c r="G224" s="554">
        <v>343</v>
      </c>
      <c r="H224">
        <v>2.67883</v>
      </c>
    </row>
    <row r="225" spans="2:8">
      <c r="B225" s="555" t="s">
        <v>2093</v>
      </c>
      <c r="C225" s="555" t="str">
        <f>VLOOKUP(D225,기본!$D$13:$E$74,2,0)</f>
        <v>코웨이</v>
      </c>
      <c r="D225" t="s">
        <v>2010</v>
      </c>
      <c r="E225" t="s">
        <v>2022</v>
      </c>
      <c r="F225" t="s">
        <v>2022</v>
      </c>
      <c r="G225" s="554">
        <v>380</v>
      </c>
      <c r="H225">
        <v>2.9762</v>
      </c>
    </row>
    <row r="226" spans="2:8">
      <c r="B226" s="555" t="s">
        <v>2093</v>
      </c>
      <c r="C226" s="555" t="str">
        <f>VLOOKUP(D226,기본!$D$13:$E$74,2,0)</f>
        <v>코웨이</v>
      </c>
      <c r="D226" t="s">
        <v>2010</v>
      </c>
      <c r="E226" t="s">
        <v>2023</v>
      </c>
      <c r="F226" t="s">
        <v>2023</v>
      </c>
      <c r="G226" s="554">
        <v>763</v>
      </c>
      <c r="H226">
        <v>5.4440049999999998</v>
      </c>
    </row>
    <row r="227" spans="2:8">
      <c r="B227" s="555" t="s">
        <v>2093</v>
      </c>
      <c r="C227" s="555" t="str">
        <f>VLOOKUP(D227,기본!$D$13:$E$74,2,0)</f>
        <v>코웨이</v>
      </c>
      <c r="D227" t="s">
        <v>2010</v>
      </c>
      <c r="E227" t="s">
        <v>2024</v>
      </c>
      <c r="F227" t="s">
        <v>2024</v>
      </c>
      <c r="G227" s="554">
        <v>18</v>
      </c>
      <c r="H227">
        <v>0.16306199999999998</v>
      </c>
    </row>
    <row r="228" spans="2:8">
      <c r="B228" s="555" t="s">
        <v>2093</v>
      </c>
      <c r="C228" s="555" t="str">
        <f>VLOOKUP(D228,기본!$D$13:$E$74,2,0)</f>
        <v>코웨이</v>
      </c>
      <c r="D228" t="s">
        <v>2010</v>
      </c>
      <c r="E228" t="s">
        <v>2025</v>
      </c>
      <c r="F228" t="s">
        <v>2025</v>
      </c>
      <c r="G228" s="554">
        <v>542</v>
      </c>
      <c r="H228">
        <v>4.8167539999999995</v>
      </c>
    </row>
    <row r="229" spans="2:8">
      <c r="B229" s="555" t="s">
        <v>2093</v>
      </c>
      <c r="C229" s="555" t="str">
        <f>VLOOKUP(D229,기본!$D$13:$E$74,2,0)</f>
        <v>코웨이</v>
      </c>
      <c r="D229" t="s">
        <v>2010</v>
      </c>
      <c r="E229" t="s">
        <v>2026</v>
      </c>
      <c r="F229" t="s">
        <v>2026</v>
      </c>
      <c r="G229" s="554">
        <v>108</v>
      </c>
      <c r="H229">
        <v>1.84032</v>
      </c>
    </row>
    <row r="230" spans="2:8">
      <c r="B230" s="555" t="s">
        <v>2093</v>
      </c>
      <c r="C230" s="555" t="str">
        <f>VLOOKUP(D230,기본!$D$13:$E$74,2,0)</f>
        <v>코웨이</v>
      </c>
      <c r="D230" t="s">
        <v>2010</v>
      </c>
      <c r="E230" t="s">
        <v>2027</v>
      </c>
      <c r="F230" t="s">
        <v>2027</v>
      </c>
      <c r="G230" s="554">
        <v>63</v>
      </c>
      <c r="H230">
        <v>1.2222</v>
      </c>
    </row>
    <row r="231" spans="2:8">
      <c r="B231" s="555" t="s">
        <v>2093</v>
      </c>
      <c r="C231" s="555" t="str">
        <f>VLOOKUP(D231,기본!$D$13:$E$74,2,0)</f>
        <v>코웨이</v>
      </c>
      <c r="D231" t="s">
        <v>2010</v>
      </c>
      <c r="E231" t="s">
        <v>2028</v>
      </c>
      <c r="F231" t="s">
        <v>2028</v>
      </c>
      <c r="G231" s="554">
        <v>4</v>
      </c>
      <c r="H231">
        <v>7.5600000000000001E-2</v>
      </c>
    </row>
    <row r="232" spans="2:8">
      <c r="B232" s="555" t="s">
        <v>2093</v>
      </c>
      <c r="C232" s="555" t="str">
        <f>VLOOKUP(D232,기본!$D$13:$E$74,2,0)</f>
        <v>코웨이</v>
      </c>
      <c r="D232" t="s">
        <v>2010</v>
      </c>
      <c r="E232" t="s">
        <v>2029</v>
      </c>
      <c r="F232" t="s">
        <v>2029</v>
      </c>
      <c r="G232" s="554">
        <v>720</v>
      </c>
      <c r="H232">
        <v>14.82264</v>
      </c>
    </row>
    <row r="233" spans="2:8">
      <c r="B233" s="555" t="s">
        <v>2093</v>
      </c>
      <c r="C233" s="555" t="str">
        <f>VLOOKUP(D233,기본!$D$13:$E$74,2,0)</f>
        <v>코웨이</v>
      </c>
      <c r="D233" t="s">
        <v>2010</v>
      </c>
      <c r="E233" t="s">
        <v>2030</v>
      </c>
      <c r="F233" t="s">
        <v>2030</v>
      </c>
      <c r="G233" s="554">
        <v>395</v>
      </c>
      <c r="H233">
        <v>8.0541049999999998</v>
      </c>
    </row>
    <row r="234" spans="2:8">
      <c r="B234" s="555" t="s">
        <v>2093</v>
      </c>
      <c r="C234" s="555" t="str">
        <f>VLOOKUP(D234,기본!$D$13:$E$74,2,0)</f>
        <v>코웨이</v>
      </c>
      <c r="D234" t="s">
        <v>2010</v>
      </c>
      <c r="E234" t="s">
        <v>2031</v>
      </c>
      <c r="F234" t="s">
        <v>2031</v>
      </c>
      <c r="G234" s="554">
        <v>3</v>
      </c>
      <c r="H234">
        <v>4.1730000000000003E-2</v>
      </c>
    </row>
    <row r="235" spans="2:8">
      <c r="B235" s="555" t="s">
        <v>2093</v>
      </c>
      <c r="C235" s="555" t="str">
        <f>VLOOKUP(D235,기본!$D$13:$E$74,2,0)</f>
        <v>코웨이</v>
      </c>
      <c r="D235" t="s">
        <v>2010</v>
      </c>
      <c r="E235" t="s">
        <v>2032</v>
      </c>
      <c r="F235" t="s">
        <v>2032</v>
      </c>
      <c r="G235" s="554">
        <v>388</v>
      </c>
      <c r="H235">
        <v>0.85989899999999997</v>
      </c>
    </row>
    <row r="236" spans="2:8">
      <c r="B236" s="555" t="s">
        <v>2093</v>
      </c>
      <c r="C236" s="555" t="str">
        <f>VLOOKUP(D236,기본!$D$13:$E$74,2,0)</f>
        <v>코웨이</v>
      </c>
      <c r="D236" t="s">
        <v>2010</v>
      </c>
      <c r="E236" t="s">
        <v>2033</v>
      </c>
      <c r="F236" t="s">
        <v>2033</v>
      </c>
      <c r="G236" s="554">
        <v>4792</v>
      </c>
      <c r="H236">
        <v>28.330562000000004</v>
      </c>
    </row>
    <row r="237" spans="2:8">
      <c r="B237" s="555" t="s">
        <v>2093</v>
      </c>
      <c r="C237" s="555" t="str">
        <f>VLOOKUP(D237,기본!$D$13:$E$74,2,0)</f>
        <v>코웨이</v>
      </c>
      <c r="D237" t="s">
        <v>2010</v>
      </c>
      <c r="E237" t="s">
        <v>2034</v>
      </c>
      <c r="F237" t="s">
        <v>2034</v>
      </c>
      <c r="G237" s="554">
        <v>2143</v>
      </c>
      <c r="H237">
        <v>33.150239999999997</v>
      </c>
    </row>
    <row r="238" spans="2:8">
      <c r="B238" s="555" t="s">
        <v>2093</v>
      </c>
      <c r="C238" s="555" t="str">
        <f>VLOOKUP(D238,기본!$D$13:$E$74,2,0)</f>
        <v>코웨이</v>
      </c>
      <c r="D238" t="s">
        <v>2010</v>
      </c>
      <c r="E238" t="s">
        <v>2035</v>
      </c>
      <c r="F238" t="s">
        <v>2035</v>
      </c>
      <c r="G238" s="554">
        <v>150</v>
      </c>
      <c r="H238">
        <v>2.5189499999999998</v>
      </c>
    </row>
    <row r="239" spans="2:8">
      <c r="B239" s="555" t="s">
        <v>2093</v>
      </c>
      <c r="C239" s="555" t="str">
        <f>VLOOKUP(D239,기본!$D$13:$E$74,2,0)</f>
        <v>코웨이</v>
      </c>
      <c r="D239" t="s">
        <v>2010</v>
      </c>
      <c r="E239" t="s">
        <v>2036</v>
      </c>
      <c r="F239" t="s">
        <v>2036</v>
      </c>
      <c r="G239" s="554">
        <v>1041</v>
      </c>
      <c r="H239">
        <v>15.991035</v>
      </c>
    </row>
    <row r="240" spans="2:8">
      <c r="B240" s="555" t="s">
        <v>2093</v>
      </c>
      <c r="C240" s="555" t="str">
        <f>VLOOKUP(D240,기본!$D$13:$E$74,2,0)</f>
        <v>코웨이</v>
      </c>
      <c r="D240" t="s">
        <v>2010</v>
      </c>
      <c r="E240" t="s">
        <v>2037</v>
      </c>
      <c r="F240" t="s">
        <v>2037</v>
      </c>
      <c r="G240" s="554">
        <v>395</v>
      </c>
      <c r="H240">
        <v>6.1814999999999998</v>
      </c>
    </row>
    <row r="241" spans="2:8">
      <c r="B241" s="555" t="s">
        <v>2093</v>
      </c>
      <c r="C241" s="555" t="str">
        <f>VLOOKUP(D241,기본!$D$13:$E$74,2,0)</f>
        <v>코웨이</v>
      </c>
      <c r="D241" t="s">
        <v>2010</v>
      </c>
      <c r="E241" t="s">
        <v>2038</v>
      </c>
      <c r="F241" t="s">
        <v>2038</v>
      </c>
      <c r="G241" s="554">
        <v>54</v>
      </c>
      <c r="H241">
        <v>0.85811400000000004</v>
      </c>
    </row>
    <row r="242" spans="2:8">
      <c r="B242" s="555" t="s">
        <v>2093</v>
      </c>
      <c r="C242" s="555" t="str">
        <f>VLOOKUP(D242,기본!$D$13:$E$74,2,0)</f>
        <v>코웨이</v>
      </c>
      <c r="D242" t="s">
        <v>2010</v>
      </c>
      <c r="E242" t="s">
        <v>2039</v>
      </c>
      <c r="F242" t="s">
        <v>2039</v>
      </c>
      <c r="G242" s="554">
        <v>20</v>
      </c>
      <c r="H242">
        <v>0.33116000000000001</v>
      </c>
    </row>
    <row r="243" spans="2:8">
      <c r="B243" s="555" t="s">
        <v>2093</v>
      </c>
      <c r="C243" s="555" t="str">
        <f>VLOOKUP(D243,기본!$D$13:$E$74,2,0)</f>
        <v>코웨이</v>
      </c>
      <c r="D243" t="s">
        <v>2010</v>
      </c>
      <c r="E243" t="s">
        <v>2040</v>
      </c>
      <c r="F243" t="s">
        <v>2040</v>
      </c>
      <c r="G243" s="554">
        <v>30</v>
      </c>
      <c r="H243">
        <v>0.46944000000000002</v>
      </c>
    </row>
    <row r="244" spans="2:8">
      <c r="B244" s="555" t="s">
        <v>2093</v>
      </c>
      <c r="C244" s="555" t="str">
        <f>VLOOKUP(D244,기본!$D$13:$E$74,2,0)</f>
        <v>코웨이</v>
      </c>
      <c r="D244" t="s">
        <v>2010</v>
      </c>
      <c r="E244" t="s">
        <v>2041</v>
      </c>
      <c r="F244" t="s">
        <v>2041</v>
      </c>
      <c r="G244" s="554">
        <v>3137</v>
      </c>
      <c r="H244">
        <v>51.365238000000005</v>
      </c>
    </row>
    <row r="245" spans="2:8">
      <c r="B245" s="555" t="s">
        <v>2093</v>
      </c>
      <c r="C245" s="555" t="str">
        <f>VLOOKUP(D245,기본!$D$13:$E$74,2,0)</f>
        <v>코웨이</v>
      </c>
      <c r="D245" t="s">
        <v>2010</v>
      </c>
      <c r="E245" t="s">
        <v>1089</v>
      </c>
      <c r="F245" t="s">
        <v>1089</v>
      </c>
      <c r="G245" s="554">
        <v>529</v>
      </c>
      <c r="H245">
        <v>5.9544750000000004</v>
      </c>
    </row>
    <row r="246" spans="2:8">
      <c r="B246" s="555" t="s">
        <v>2093</v>
      </c>
      <c r="C246" s="555" t="str">
        <f>VLOOKUP(D246,기본!$D$13:$E$74,2,0)</f>
        <v>코웨이</v>
      </c>
      <c r="D246" t="s">
        <v>2010</v>
      </c>
      <c r="E246" t="s">
        <v>2042</v>
      </c>
      <c r="F246" t="s">
        <v>2042</v>
      </c>
      <c r="G246" s="554">
        <v>7</v>
      </c>
      <c r="H246">
        <v>4.9735000000000001E-2</v>
      </c>
    </row>
    <row r="247" spans="2:8">
      <c r="B247" s="555" t="s">
        <v>2093</v>
      </c>
      <c r="C247" s="555" t="str">
        <f>VLOOKUP(D247,기본!$D$13:$E$74,2,0)</f>
        <v>코웨이</v>
      </c>
      <c r="D247" t="s">
        <v>2010</v>
      </c>
      <c r="E247" t="s">
        <v>2043</v>
      </c>
      <c r="F247" t="s">
        <v>2043</v>
      </c>
      <c r="G247" s="554">
        <v>176</v>
      </c>
      <c r="H247">
        <v>1.4725919999999999</v>
      </c>
    </row>
    <row r="248" spans="2:8">
      <c r="B248" s="555" t="s">
        <v>2093</v>
      </c>
      <c r="C248" s="555" t="str">
        <f>VLOOKUP(D248,기본!$D$13:$E$74,2,0)</f>
        <v>코웨이</v>
      </c>
      <c r="D248" t="s">
        <v>2010</v>
      </c>
      <c r="E248" t="s">
        <v>2044</v>
      </c>
      <c r="F248" t="s">
        <v>2044</v>
      </c>
      <c r="G248" s="554">
        <v>103</v>
      </c>
      <c r="H248">
        <v>1.708942</v>
      </c>
    </row>
    <row r="249" spans="2:8">
      <c r="B249" s="555" t="s">
        <v>2093</v>
      </c>
      <c r="C249" s="555" t="str">
        <f>VLOOKUP(D249,기본!$D$13:$E$74,2,0)</f>
        <v>코웨이</v>
      </c>
      <c r="D249" t="s">
        <v>2010</v>
      </c>
      <c r="E249" t="s">
        <v>2045</v>
      </c>
      <c r="F249" t="s">
        <v>2045</v>
      </c>
      <c r="G249" s="554">
        <v>5</v>
      </c>
      <c r="H249">
        <v>8.4684999999999996E-2</v>
      </c>
    </row>
    <row r="250" spans="2:8">
      <c r="B250" s="555" t="s">
        <v>2093</v>
      </c>
      <c r="C250" s="555" t="str">
        <f>VLOOKUP(D250,기본!$D$13:$E$74,2,0)</f>
        <v>코웨이</v>
      </c>
      <c r="D250" t="s">
        <v>2010</v>
      </c>
      <c r="E250" t="s">
        <v>2046</v>
      </c>
      <c r="F250" t="s">
        <v>2046</v>
      </c>
      <c r="G250" s="554">
        <v>962</v>
      </c>
      <c r="H250">
        <v>14.975674000000001</v>
      </c>
    </row>
    <row r="251" spans="2:8">
      <c r="B251" s="555" t="s">
        <v>2093</v>
      </c>
      <c r="C251" s="555" t="str">
        <f>VLOOKUP(D251,기본!$D$13:$E$74,2,0)</f>
        <v>코웨이</v>
      </c>
      <c r="D251" t="s">
        <v>2010</v>
      </c>
      <c r="E251" t="s">
        <v>2047</v>
      </c>
      <c r="F251" t="s">
        <v>2047</v>
      </c>
      <c r="G251" s="554">
        <v>130</v>
      </c>
      <c r="H251">
        <v>1.0610599999999999</v>
      </c>
    </row>
    <row r="252" spans="2:8">
      <c r="B252" s="555" t="s">
        <v>2093</v>
      </c>
      <c r="C252" s="555" t="str">
        <f>VLOOKUP(D252,기본!$D$13:$E$74,2,0)</f>
        <v>코웨이</v>
      </c>
      <c r="D252" t="s">
        <v>2010</v>
      </c>
      <c r="E252" t="s">
        <v>2048</v>
      </c>
      <c r="F252" t="s">
        <v>2048</v>
      </c>
      <c r="G252" s="554">
        <v>5</v>
      </c>
      <c r="H252">
        <v>0.11028</v>
      </c>
    </row>
    <row r="253" spans="2:8">
      <c r="B253" s="555" t="s">
        <v>2093</v>
      </c>
      <c r="C253" s="555" t="str">
        <f>VLOOKUP(D253,기본!$D$13:$E$74,2,0)</f>
        <v>코웨이</v>
      </c>
      <c r="D253" t="s">
        <v>2010</v>
      </c>
      <c r="E253" t="s">
        <v>2049</v>
      </c>
      <c r="F253" t="s">
        <v>2049</v>
      </c>
      <c r="G253" s="554">
        <v>12</v>
      </c>
      <c r="H253">
        <v>0.28837200000000002</v>
      </c>
    </row>
    <row r="254" spans="2:8">
      <c r="B254" s="555" t="s">
        <v>2093</v>
      </c>
      <c r="C254" s="555" t="str">
        <f>VLOOKUP(D254,기본!$D$13:$E$74,2,0)</f>
        <v>코웨이</v>
      </c>
      <c r="D254" t="s">
        <v>2010</v>
      </c>
      <c r="E254" t="s">
        <v>1215</v>
      </c>
      <c r="F254" t="s">
        <v>1215</v>
      </c>
      <c r="G254" s="554">
        <v>251</v>
      </c>
      <c r="H254">
        <v>7.6755800000000001</v>
      </c>
    </row>
    <row r="255" spans="2:8">
      <c r="B255" s="555" t="s">
        <v>2093</v>
      </c>
      <c r="C255" s="555" t="str">
        <f>VLOOKUP(D255,기본!$D$13:$E$74,2,0)</f>
        <v>코웨이</v>
      </c>
      <c r="D255" t="s">
        <v>2010</v>
      </c>
      <c r="E255" t="s">
        <v>2050</v>
      </c>
      <c r="F255" t="s">
        <v>2050</v>
      </c>
      <c r="G255" s="554">
        <v>54</v>
      </c>
      <c r="H255">
        <v>1.3099860000000001</v>
      </c>
    </row>
    <row r="256" spans="2:8">
      <c r="B256" s="555" t="s">
        <v>2093</v>
      </c>
      <c r="C256" s="555" t="str">
        <f>VLOOKUP(D256,기본!$D$13:$E$74,2,0)</f>
        <v>코웨이</v>
      </c>
      <c r="D256" t="s">
        <v>2010</v>
      </c>
      <c r="E256" t="s">
        <v>2051</v>
      </c>
      <c r="F256" t="s">
        <v>2051</v>
      </c>
      <c r="G256" s="554">
        <v>858</v>
      </c>
      <c r="H256">
        <v>20.764366999999996</v>
      </c>
    </row>
    <row r="257" spans="2:8">
      <c r="B257" s="555" t="s">
        <v>2093</v>
      </c>
      <c r="C257" s="555" t="str">
        <f>VLOOKUP(D257,기본!$D$13:$E$74,2,0)</f>
        <v>코웨이</v>
      </c>
      <c r="D257" t="s">
        <v>2010</v>
      </c>
      <c r="E257" t="s">
        <v>2052</v>
      </c>
      <c r="F257" t="s">
        <v>2052</v>
      </c>
      <c r="G257" s="554">
        <v>128</v>
      </c>
      <c r="H257">
        <v>2.9491199999999997</v>
      </c>
    </row>
    <row r="258" spans="2:8">
      <c r="B258" s="555" t="s">
        <v>2093</v>
      </c>
      <c r="C258" s="555" t="str">
        <f>VLOOKUP(D258,기본!$D$13:$E$74,2,0)</f>
        <v>코웨이</v>
      </c>
      <c r="D258" t="s">
        <v>2010</v>
      </c>
      <c r="E258" t="s">
        <v>2053</v>
      </c>
      <c r="F258" t="s">
        <v>2053</v>
      </c>
      <c r="G258" s="554">
        <v>545</v>
      </c>
      <c r="H258">
        <v>14.17728</v>
      </c>
    </row>
    <row r="259" spans="2:8">
      <c r="B259" s="555" t="s">
        <v>2093</v>
      </c>
      <c r="C259" s="555" t="str">
        <f>VLOOKUP(D259,기본!$D$13:$E$74,2,0)</f>
        <v>코웨이</v>
      </c>
      <c r="D259" t="s">
        <v>2010</v>
      </c>
      <c r="E259" t="s">
        <v>1217</v>
      </c>
      <c r="F259" t="s">
        <v>1217</v>
      </c>
      <c r="G259" s="554">
        <v>122</v>
      </c>
      <c r="H259">
        <v>3.608206</v>
      </c>
    </row>
    <row r="260" spans="2:8">
      <c r="B260" s="555" t="s">
        <v>2093</v>
      </c>
      <c r="C260" s="555" t="str">
        <f>VLOOKUP(D260,기본!$D$13:$E$74,2,0)</f>
        <v>코웨이</v>
      </c>
      <c r="D260" t="s">
        <v>2010</v>
      </c>
      <c r="E260" t="s">
        <v>2054</v>
      </c>
      <c r="F260" t="s">
        <v>2054</v>
      </c>
      <c r="G260" s="554">
        <v>6</v>
      </c>
      <c r="H260">
        <v>0.189474</v>
      </c>
    </row>
    <row r="261" spans="2:8">
      <c r="B261" s="555" t="s">
        <v>2093</v>
      </c>
      <c r="C261" s="555" t="str">
        <f>VLOOKUP(D261,기본!$D$13:$E$74,2,0)</f>
        <v>코웨이</v>
      </c>
      <c r="D261" t="s">
        <v>2010</v>
      </c>
      <c r="E261" t="s">
        <v>2055</v>
      </c>
      <c r="F261" t="s">
        <v>2055</v>
      </c>
      <c r="G261" s="554">
        <v>5</v>
      </c>
      <c r="H261">
        <v>0.14319999999999999</v>
      </c>
    </row>
    <row r="262" spans="2:8">
      <c r="B262" s="555" t="s">
        <v>2093</v>
      </c>
      <c r="C262" s="555" t="str">
        <f>VLOOKUP(D262,기본!$D$13:$E$74,2,0)</f>
        <v>코웨이</v>
      </c>
      <c r="D262" t="s">
        <v>2010</v>
      </c>
      <c r="E262" t="s">
        <v>2056</v>
      </c>
      <c r="F262" t="s">
        <v>2056</v>
      </c>
      <c r="G262" s="554">
        <v>1542</v>
      </c>
      <c r="H262">
        <v>29.640743999999998</v>
      </c>
    </row>
    <row r="263" spans="2:8">
      <c r="B263" s="555" t="s">
        <v>2093</v>
      </c>
      <c r="C263" s="555" t="str">
        <f>VLOOKUP(D263,기본!$D$13:$E$74,2,0)</f>
        <v>코웨이</v>
      </c>
      <c r="D263" t="s">
        <v>2010</v>
      </c>
      <c r="E263" t="s">
        <v>2057</v>
      </c>
      <c r="F263" t="s">
        <v>2057</v>
      </c>
      <c r="G263" s="554">
        <v>101</v>
      </c>
      <c r="H263">
        <v>3.0129510000000002</v>
      </c>
    </row>
    <row r="264" spans="2:8">
      <c r="B264" s="555" t="s">
        <v>2093</v>
      </c>
      <c r="C264" s="555" t="str">
        <f>VLOOKUP(D264,기본!$D$13:$E$74,2,0)</f>
        <v>코웨이</v>
      </c>
      <c r="D264" t="s">
        <v>2010</v>
      </c>
      <c r="E264" t="s">
        <v>1328</v>
      </c>
      <c r="F264" t="s">
        <v>1328</v>
      </c>
      <c r="G264" s="554">
        <v>210</v>
      </c>
      <c r="H264">
        <v>0.64953000000000005</v>
      </c>
    </row>
    <row r="265" spans="2:8">
      <c r="B265" s="555" t="s">
        <v>2093</v>
      </c>
      <c r="C265" s="555" t="str">
        <f>VLOOKUP(D265,기본!$D$13:$E$74,2,0)</f>
        <v>코웨이</v>
      </c>
      <c r="D265" t="s">
        <v>2010</v>
      </c>
      <c r="E265" t="s">
        <v>1327</v>
      </c>
      <c r="F265" t="s">
        <v>1327</v>
      </c>
      <c r="G265" s="554">
        <v>211</v>
      </c>
      <c r="H265">
        <v>2.170979</v>
      </c>
    </row>
    <row r="266" spans="2:8">
      <c r="B266" s="555" t="s">
        <v>2093</v>
      </c>
      <c r="C266" s="555" t="str">
        <f>VLOOKUP(D266,기본!$D$13:$E$74,2,0)</f>
        <v>코웨이</v>
      </c>
      <c r="D266" t="s">
        <v>2010</v>
      </c>
      <c r="E266" t="s">
        <v>1325</v>
      </c>
      <c r="F266" t="s">
        <v>1325</v>
      </c>
      <c r="G266" s="554">
        <v>182</v>
      </c>
      <c r="H266">
        <v>6.066787999999999</v>
      </c>
    </row>
    <row r="267" spans="2:8">
      <c r="B267" s="555" t="s">
        <v>2093</v>
      </c>
      <c r="C267" s="555" t="str">
        <f>VLOOKUP(D267,기본!$D$13:$E$74,2,0)</f>
        <v>코웨이</v>
      </c>
      <c r="D267" t="s">
        <v>2010</v>
      </c>
      <c r="E267" t="s">
        <v>1326</v>
      </c>
      <c r="F267" t="s">
        <v>1326</v>
      </c>
      <c r="G267" s="554">
        <v>30</v>
      </c>
      <c r="H267">
        <v>0.97982999999999998</v>
      </c>
    </row>
    <row r="268" spans="2:8">
      <c r="B268" s="555" t="s">
        <v>2093</v>
      </c>
      <c r="C268" s="555" t="str">
        <f>VLOOKUP(D268,기본!$D$13:$E$74,2,0)</f>
        <v>코웨이</v>
      </c>
      <c r="D268" t="s">
        <v>2010</v>
      </c>
      <c r="E268" t="s">
        <v>2058</v>
      </c>
      <c r="F268" t="s">
        <v>2058</v>
      </c>
      <c r="G268" s="554">
        <v>2</v>
      </c>
      <c r="H268">
        <v>6.9318000000000005E-2</v>
      </c>
    </row>
    <row r="269" spans="2:8">
      <c r="B269" s="555" t="s">
        <v>2093</v>
      </c>
      <c r="C269" s="555" t="str">
        <f>VLOOKUP(D269,기본!$D$13:$E$74,2,0)</f>
        <v>코웨이</v>
      </c>
      <c r="D269" t="s">
        <v>2010</v>
      </c>
      <c r="E269" t="s">
        <v>2059</v>
      </c>
      <c r="F269" t="s">
        <v>2059</v>
      </c>
      <c r="G269" s="554">
        <v>100</v>
      </c>
      <c r="H269">
        <v>3.7307000000000001</v>
      </c>
    </row>
    <row r="270" spans="2:8">
      <c r="B270" s="555" t="s">
        <v>2093</v>
      </c>
      <c r="C270" s="555" t="str">
        <f>VLOOKUP(D270,기본!$D$13:$E$74,2,0)</f>
        <v>코웨이</v>
      </c>
      <c r="D270" t="s">
        <v>2010</v>
      </c>
      <c r="E270" t="s">
        <v>2060</v>
      </c>
      <c r="F270" t="s">
        <v>2060</v>
      </c>
      <c r="G270" s="554">
        <v>202</v>
      </c>
      <c r="H270">
        <v>1.1231680000000002</v>
      </c>
    </row>
    <row r="271" spans="2:8">
      <c r="B271" s="555" t="s">
        <v>2093</v>
      </c>
      <c r="C271" s="555" t="str">
        <f>VLOOKUP(D271,기본!$D$13:$E$74,2,0)</f>
        <v>코웨이</v>
      </c>
      <c r="D271" t="s">
        <v>2010</v>
      </c>
      <c r="E271" t="s">
        <v>1071</v>
      </c>
      <c r="F271" t="s">
        <v>1071</v>
      </c>
      <c r="G271" s="554">
        <v>162</v>
      </c>
      <c r="H271">
        <v>0.26175999999999999</v>
      </c>
    </row>
    <row r="272" spans="2:8">
      <c r="B272" s="555" t="s">
        <v>2093</v>
      </c>
      <c r="C272" s="555" t="str">
        <f>VLOOKUP(D272,기본!$D$13:$E$74,2,0)</f>
        <v>코웨이</v>
      </c>
      <c r="D272" t="s">
        <v>2010</v>
      </c>
      <c r="E272" t="s">
        <v>1069</v>
      </c>
      <c r="F272" t="s">
        <v>1069</v>
      </c>
      <c r="G272" s="554">
        <v>50</v>
      </c>
      <c r="H272">
        <v>0.2782</v>
      </c>
    </row>
    <row r="273" spans="2:8">
      <c r="B273" s="555" t="s">
        <v>2093</v>
      </c>
      <c r="C273" s="555" t="str">
        <f>VLOOKUP(D273,기본!$D$13:$E$74,2,0)</f>
        <v>코웨이</v>
      </c>
      <c r="D273" t="s">
        <v>2010</v>
      </c>
      <c r="E273" t="s">
        <v>2061</v>
      </c>
      <c r="F273" t="s">
        <v>2061</v>
      </c>
      <c r="G273" s="554">
        <v>34</v>
      </c>
      <c r="H273">
        <v>0.19053600000000001</v>
      </c>
    </row>
    <row r="274" spans="2:8">
      <c r="B274" s="555" t="s">
        <v>2093</v>
      </c>
      <c r="C274" s="555" t="str">
        <f>VLOOKUP(D274,기본!$D$13:$E$74,2,0)</f>
        <v>코웨이</v>
      </c>
      <c r="D274" t="s">
        <v>2010</v>
      </c>
      <c r="E274" t="s">
        <v>2062</v>
      </c>
      <c r="F274" t="s">
        <v>2062</v>
      </c>
      <c r="G274" s="554">
        <v>1872</v>
      </c>
      <c r="H274">
        <v>10.76004</v>
      </c>
    </row>
    <row r="275" spans="2:8">
      <c r="B275" s="555" t="s">
        <v>2093</v>
      </c>
      <c r="C275" s="555" t="str">
        <f>VLOOKUP(D275,기본!$D$13:$E$74,2,0)</f>
        <v>코웨이</v>
      </c>
      <c r="D275" t="s">
        <v>2010</v>
      </c>
      <c r="E275" t="s">
        <v>2063</v>
      </c>
      <c r="F275" t="s">
        <v>2063</v>
      </c>
      <c r="G275" s="554">
        <v>67</v>
      </c>
      <c r="H275">
        <v>0.39852200000000004</v>
      </c>
    </row>
    <row r="276" spans="2:8">
      <c r="B276" s="555" t="s">
        <v>2093</v>
      </c>
      <c r="C276" s="555" t="str">
        <f>VLOOKUP(D276,기본!$D$13:$E$74,2,0)</f>
        <v>코웨이</v>
      </c>
      <c r="D276" t="s">
        <v>2010</v>
      </c>
      <c r="E276" t="s">
        <v>2064</v>
      </c>
      <c r="F276" t="s">
        <v>2064</v>
      </c>
      <c r="G276" s="554">
        <v>4</v>
      </c>
      <c r="H276">
        <v>0.147312</v>
      </c>
    </row>
    <row r="277" spans="2:8">
      <c r="B277" s="555" t="s">
        <v>2093</v>
      </c>
      <c r="C277" s="555" t="str">
        <f>VLOOKUP(D277,기본!$D$13:$E$74,2,0)</f>
        <v>코웨이</v>
      </c>
      <c r="D277" t="s">
        <v>2010</v>
      </c>
      <c r="E277" t="s">
        <v>2065</v>
      </c>
      <c r="F277" t="s">
        <v>2065</v>
      </c>
      <c r="G277" s="554">
        <v>3</v>
      </c>
      <c r="H277">
        <v>3.2382000000000001E-2</v>
      </c>
    </row>
    <row r="278" spans="2:8">
      <c r="B278" s="555" t="s">
        <v>2093</v>
      </c>
      <c r="C278" s="555" t="str">
        <f>VLOOKUP(D278,기본!$D$13:$E$74,2,0)</f>
        <v>코웨이</v>
      </c>
      <c r="D278" t="s">
        <v>2010</v>
      </c>
      <c r="E278" t="s">
        <v>1289</v>
      </c>
      <c r="F278" t="s">
        <v>1289</v>
      </c>
      <c r="G278" s="554">
        <v>251</v>
      </c>
      <c r="H278">
        <v>2.100368</v>
      </c>
    </row>
    <row r="279" spans="2:8">
      <c r="B279" s="555" t="s">
        <v>2093</v>
      </c>
      <c r="C279" s="555" t="str">
        <f>VLOOKUP(D279,기본!$D$13:$E$74,2,0)</f>
        <v>코웨이</v>
      </c>
      <c r="D279" t="s">
        <v>2010</v>
      </c>
      <c r="E279" t="s">
        <v>1275</v>
      </c>
      <c r="F279" t="s">
        <v>1275</v>
      </c>
      <c r="G279" s="554">
        <v>4818</v>
      </c>
      <c r="H279">
        <v>34.631784000000003</v>
      </c>
    </row>
    <row r="280" spans="2:8">
      <c r="B280" s="555" t="s">
        <v>2093</v>
      </c>
      <c r="C280" s="555" t="str">
        <f>VLOOKUP(D280,기본!$D$13:$E$74,2,0)</f>
        <v>코웨이</v>
      </c>
      <c r="D280" t="s">
        <v>2010</v>
      </c>
      <c r="E280" t="s">
        <v>2066</v>
      </c>
      <c r="F280" t="s">
        <v>2066</v>
      </c>
      <c r="G280" s="554">
        <v>122</v>
      </c>
      <c r="H280">
        <v>0.97002200000000005</v>
      </c>
    </row>
    <row r="281" spans="2:8">
      <c r="B281" s="555" t="s">
        <v>2093</v>
      </c>
      <c r="C281" s="555" t="str">
        <f>VLOOKUP(D281,기본!$D$13:$E$74,2,0)</f>
        <v>코웨이</v>
      </c>
      <c r="D281" t="s">
        <v>2067</v>
      </c>
      <c r="E281" t="s">
        <v>2015</v>
      </c>
      <c r="F281" t="s">
        <v>2015</v>
      </c>
      <c r="G281" s="554">
        <v>810</v>
      </c>
      <c r="H281">
        <v>9.4186800000000002</v>
      </c>
    </row>
    <row r="282" spans="2:8">
      <c r="B282" s="555" t="s">
        <v>2093</v>
      </c>
      <c r="C282" s="555" t="str">
        <f>VLOOKUP(D282,기본!$D$13:$E$74,2,0)</f>
        <v>코웨이</v>
      </c>
      <c r="D282" t="s">
        <v>2067</v>
      </c>
      <c r="E282" t="s">
        <v>2016</v>
      </c>
      <c r="F282" t="s">
        <v>2016</v>
      </c>
      <c r="G282" s="554">
        <v>2764</v>
      </c>
      <c r="H282">
        <v>18.247928000000002</v>
      </c>
    </row>
    <row r="283" spans="2:8">
      <c r="B283" s="555" t="s">
        <v>2093</v>
      </c>
      <c r="C283" s="555" t="str">
        <f>VLOOKUP(D283,기본!$D$13:$E$74,2,0)</f>
        <v>코웨이</v>
      </c>
      <c r="D283" t="s">
        <v>2067</v>
      </c>
      <c r="E283" t="s">
        <v>2068</v>
      </c>
      <c r="F283" t="s">
        <v>2068</v>
      </c>
      <c r="G283" s="554">
        <v>424</v>
      </c>
      <c r="H283">
        <v>7.3102</v>
      </c>
    </row>
    <row r="284" spans="2:8">
      <c r="B284" s="555" t="s">
        <v>2093</v>
      </c>
      <c r="C284" s="555" t="str">
        <f>VLOOKUP(D284,기본!$D$13:$E$74,2,0)</f>
        <v>코웨이</v>
      </c>
      <c r="D284" t="s">
        <v>2067</v>
      </c>
      <c r="E284" t="s">
        <v>2069</v>
      </c>
      <c r="F284" t="s">
        <v>2069</v>
      </c>
      <c r="G284" s="554">
        <v>500</v>
      </c>
      <c r="H284">
        <v>8.7469999999999999</v>
      </c>
    </row>
    <row r="285" spans="2:8">
      <c r="B285" s="555" t="s">
        <v>2093</v>
      </c>
      <c r="C285" s="555" t="str">
        <f>VLOOKUP(D285,기본!$D$13:$E$74,2,0)</f>
        <v>코웨이</v>
      </c>
      <c r="D285" t="s">
        <v>2067</v>
      </c>
      <c r="E285" t="s">
        <v>2020</v>
      </c>
      <c r="F285" t="s">
        <v>2020</v>
      </c>
      <c r="G285" s="554">
        <v>500</v>
      </c>
      <c r="H285">
        <v>6.6425000000000001</v>
      </c>
    </row>
    <row r="286" spans="2:8">
      <c r="B286" s="555" t="s">
        <v>2093</v>
      </c>
      <c r="C286" s="555" t="str">
        <f>VLOOKUP(D286,기본!$D$13:$E$74,2,0)</f>
        <v>코웨이</v>
      </c>
      <c r="D286" t="s">
        <v>2067</v>
      </c>
      <c r="E286" t="s">
        <v>1544</v>
      </c>
      <c r="F286" t="s">
        <v>1544</v>
      </c>
      <c r="G286" s="554">
        <v>1331</v>
      </c>
      <c r="H286">
        <v>8.712726</v>
      </c>
    </row>
    <row r="287" spans="2:8">
      <c r="B287" s="555" t="s">
        <v>2093</v>
      </c>
      <c r="C287" s="555" t="str">
        <f>VLOOKUP(D287,기본!$D$13:$E$74,2,0)</f>
        <v>코웨이</v>
      </c>
      <c r="D287" t="s">
        <v>2067</v>
      </c>
      <c r="E287" t="s">
        <v>1545</v>
      </c>
      <c r="F287" t="s">
        <v>1545</v>
      </c>
      <c r="G287" s="554">
        <v>580</v>
      </c>
      <c r="H287">
        <v>3.4521600000000001</v>
      </c>
    </row>
    <row r="288" spans="2:8">
      <c r="B288" s="555" t="s">
        <v>2093</v>
      </c>
      <c r="C288" s="555" t="str">
        <f>VLOOKUP(D288,기본!$D$13:$E$74,2,0)</f>
        <v>코웨이</v>
      </c>
      <c r="D288" t="s">
        <v>2067</v>
      </c>
      <c r="E288" t="s">
        <v>912</v>
      </c>
      <c r="F288" t="s">
        <v>912</v>
      </c>
      <c r="G288" s="554">
        <v>9615</v>
      </c>
      <c r="H288">
        <v>61.530244999999994</v>
      </c>
    </row>
    <row r="289" spans="2:8">
      <c r="B289" s="555" t="s">
        <v>2093</v>
      </c>
      <c r="C289" s="555" t="str">
        <f>VLOOKUP(D289,기본!$D$13:$E$74,2,0)</f>
        <v>코웨이</v>
      </c>
      <c r="D289" t="s">
        <v>2067</v>
      </c>
      <c r="E289" t="s">
        <v>913</v>
      </c>
      <c r="F289" t="s">
        <v>913</v>
      </c>
      <c r="G289" s="554">
        <v>100</v>
      </c>
      <c r="H289">
        <v>1.8584000000000001</v>
      </c>
    </row>
    <row r="290" spans="2:8">
      <c r="B290" s="555" t="s">
        <v>2093</v>
      </c>
      <c r="C290" s="555" t="str">
        <f>VLOOKUP(D290,기본!$D$13:$E$74,2,0)</f>
        <v>코웨이</v>
      </c>
      <c r="D290" t="s">
        <v>2067</v>
      </c>
      <c r="E290" t="s">
        <v>2070</v>
      </c>
      <c r="F290" t="s">
        <v>2070</v>
      </c>
      <c r="G290" s="554">
        <v>8935</v>
      </c>
      <c r="H290">
        <v>163.92087000000004</v>
      </c>
    </row>
    <row r="291" spans="2:8">
      <c r="B291" s="555" t="s">
        <v>2093</v>
      </c>
      <c r="C291" s="555" t="str">
        <f>VLOOKUP(D291,기본!$D$13:$E$74,2,0)</f>
        <v>코웨이</v>
      </c>
      <c r="D291" t="s">
        <v>2067</v>
      </c>
      <c r="E291" t="s">
        <v>2024</v>
      </c>
      <c r="F291" t="s">
        <v>2024</v>
      </c>
      <c r="G291" s="554">
        <v>1100</v>
      </c>
      <c r="H291">
        <v>9.443500000000002</v>
      </c>
    </row>
    <row r="292" spans="2:8">
      <c r="B292" s="555" t="s">
        <v>2093</v>
      </c>
      <c r="C292" s="555" t="str">
        <f>VLOOKUP(D292,기본!$D$13:$E$74,2,0)</f>
        <v>코웨이</v>
      </c>
      <c r="D292" t="s">
        <v>2067</v>
      </c>
      <c r="E292" t="s">
        <v>2071</v>
      </c>
      <c r="F292" t="s">
        <v>2071</v>
      </c>
      <c r="G292" s="554">
        <v>896</v>
      </c>
      <c r="H292">
        <v>14.220331999999999</v>
      </c>
    </row>
    <row r="293" spans="2:8">
      <c r="B293" s="555" t="s">
        <v>2093</v>
      </c>
      <c r="C293" s="555" t="str">
        <f>VLOOKUP(D293,기본!$D$13:$E$74,2,0)</f>
        <v>코웨이</v>
      </c>
      <c r="D293" t="s">
        <v>2067</v>
      </c>
      <c r="E293" t="s">
        <v>2072</v>
      </c>
      <c r="F293" t="s">
        <v>2072</v>
      </c>
      <c r="G293" s="554">
        <v>596</v>
      </c>
      <c r="H293">
        <v>7.7200560000000014</v>
      </c>
    </row>
    <row r="294" spans="2:8">
      <c r="B294" s="555" t="s">
        <v>2093</v>
      </c>
      <c r="C294" s="555" t="str">
        <f>VLOOKUP(D294,기본!$D$13:$E$74,2,0)</f>
        <v>코웨이</v>
      </c>
      <c r="D294" t="s">
        <v>2067</v>
      </c>
      <c r="E294" t="s">
        <v>2034</v>
      </c>
      <c r="F294" t="s">
        <v>2034</v>
      </c>
      <c r="G294" s="554">
        <v>6245</v>
      </c>
      <c r="H294">
        <v>96.023119999999992</v>
      </c>
    </row>
    <row r="295" spans="2:8">
      <c r="B295" s="555" t="s">
        <v>2093</v>
      </c>
      <c r="C295" s="555" t="str">
        <f>VLOOKUP(D295,기본!$D$13:$E$74,2,0)</f>
        <v>코웨이</v>
      </c>
      <c r="D295" t="s">
        <v>2067</v>
      </c>
      <c r="E295" t="s">
        <v>2038</v>
      </c>
      <c r="F295" t="s">
        <v>2038</v>
      </c>
      <c r="G295" s="554">
        <v>1640</v>
      </c>
      <c r="H295">
        <v>25.564319999999999</v>
      </c>
    </row>
    <row r="296" spans="2:8">
      <c r="B296" s="555" t="s">
        <v>2093</v>
      </c>
      <c r="C296" s="555" t="str">
        <f>VLOOKUP(D296,기본!$D$13:$E$74,2,0)</f>
        <v>코웨이</v>
      </c>
      <c r="D296" t="s">
        <v>2067</v>
      </c>
      <c r="E296" t="s">
        <v>2073</v>
      </c>
      <c r="F296" t="s">
        <v>2073</v>
      </c>
      <c r="G296" s="554">
        <v>8943</v>
      </c>
      <c r="H296">
        <v>126.64182299999999</v>
      </c>
    </row>
    <row r="297" spans="2:8">
      <c r="B297" s="555" t="s">
        <v>2093</v>
      </c>
      <c r="C297" s="555" t="str">
        <f>VLOOKUP(D297,기본!$D$13:$E$74,2,0)</f>
        <v>코웨이</v>
      </c>
      <c r="D297" t="s">
        <v>2067</v>
      </c>
      <c r="E297" t="s">
        <v>2074</v>
      </c>
      <c r="F297" t="s">
        <v>2074</v>
      </c>
      <c r="G297" s="554">
        <v>135</v>
      </c>
      <c r="H297">
        <v>2.952585</v>
      </c>
    </row>
    <row r="298" spans="2:8">
      <c r="B298" s="555" t="s">
        <v>2093</v>
      </c>
      <c r="C298" s="555" t="str">
        <f>VLOOKUP(D298,기본!$D$13:$E$74,2,0)</f>
        <v>코웨이</v>
      </c>
      <c r="D298" t="s">
        <v>2067</v>
      </c>
      <c r="E298" t="s">
        <v>2075</v>
      </c>
      <c r="F298" t="s">
        <v>2075</v>
      </c>
      <c r="G298" s="554">
        <v>516</v>
      </c>
      <c r="H298">
        <v>11.323399999999999</v>
      </c>
    </row>
    <row r="299" spans="2:8">
      <c r="B299" s="555" t="s">
        <v>2093</v>
      </c>
      <c r="C299" s="555" t="str">
        <f>VLOOKUP(D299,기본!$D$13:$E$74,2,0)</f>
        <v>코웨이</v>
      </c>
      <c r="D299" t="s">
        <v>2067</v>
      </c>
      <c r="E299" t="s">
        <v>2076</v>
      </c>
      <c r="F299" t="s">
        <v>2076</v>
      </c>
      <c r="G299" s="554">
        <v>3195</v>
      </c>
      <c r="H299">
        <v>59.107500000000002</v>
      </c>
    </row>
    <row r="300" spans="2:8">
      <c r="B300" s="555" t="s">
        <v>2093</v>
      </c>
      <c r="C300" s="555" t="str">
        <f>VLOOKUP(D300,기본!$D$13:$E$74,2,0)</f>
        <v>코웨이</v>
      </c>
      <c r="D300" t="s">
        <v>2067</v>
      </c>
      <c r="E300" t="s">
        <v>2042</v>
      </c>
      <c r="F300" t="s">
        <v>2042</v>
      </c>
      <c r="G300" s="554">
        <v>250</v>
      </c>
      <c r="H300">
        <v>1.5987499999999999</v>
      </c>
    </row>
    <row r="301" spans="2:8">
      <c r="B301" s="555" t="s">
        <v>2093</v>
      </c>
      <c r="C301" s="555" t="str">
        <f>VLOOKUP(D301,기본!$D$13:$E$74,2,0)</f>
        <v>코웨이</v>
      </c>
      <c r="D301" t="s">
        <v>2067</v>
      </c>
      <c r="E301" t="s">
        <v>2058</v>
      </c>
      <c r="F301" t="s">
        <v>2058</v>
      </c>
      <c r="G301" s="554">
        <v>6154</v>
      </c>
      <c r="H301">
        <v>213.44540599999999</v>
      </c>
    </row>
    <row r="302" spans="2:8">
      <c r="B302" s="555" t="s">
        <v>2093</v>
      </c>
      <c r="C302" s="555" t="str">
        <f>VLOOKUP(D302,기본!$D$13:$E$74,2,0)</f>
        <v>코웨이</v>
      </c>
      <c r="D302" t="s">
        <v>2067</v>
      </c>
      <c r="E302" t="s">
        <v>2077</v>
      </c>
      <c r="F302" t="s">
        <v>2077</v>
      </c>
      <c r="G302" s="554">
        <v>236</v>
      </c>
      <c r="H302">
        <v>7.9553899999999995</v>
      </c>
    </row>
    <row r="303" spans="2:8">
      <c r="B303" s="555" t="s">
        <v>2093</v>
      </c>
      <c r="C303" s="555" t="str">
        <f>VLOOKUP(D303,기본!$D$13:$E$74,2,0)</f>
        <v>코웨이</v>
      </c>
      <c r="D303" t="s">
        <v>2067</v>
      </c>
      <c r="E303" t="s">
        <v>2078</v>
      </c>
      <c r="F303" t="s">
        <v>2078</v>
      </c>
      <c r="G303" s="554">
        <v>2808</v>
      </c>
      <c r="H303">
        <v>96.845112</v>
      </c>
    </row>
    <row r="304" spans="2:8">
      <c r="B304" s="555" t="s">
        <v>2093</v>
      </c>
      <c r="C304" s="555" t="str">
        <f>VLOOKUP(D304,기본!$D$13:$E$74,2,0)</f>
        <v>코웨이</v>
      </c>
      <c r="D304" t="s">
        <v>2079</v>
      </c>
      <c r="E304" t="s">
        <v>1093</v>
      </c>
      <c r="F304" t="s">
        <v>1093</v>
      </c>
      <c r="G304" s="554">
        <v>1300</v>
      </c>
      <c r="H304">
        <v>6.9367999999999999</v>
      </c>
    </row>
    <row r="305" spans="2:8">
      <c r="B305" s="555" t="s">
        <v>2093</v>
      </c>
      <c r="C305" s="555" t="str">
        <f>VLOOKUP(D305,기본!$D$13:$E$74,2,0)</f>
        <v>코웨이</v>
      </c>
      <c r="D305" t="s">
        <v>2079</v>
      </c>
      <c r="E305" t="s">
        <v>1094</v>
      </c>
      <c r="F305" t="s">
        <v>1094</v>
      </c>
      <c r="G305" s="554">
        <v>1300</v>
      </c>
      <c r="H305">
        <v>4.0508000000000006</v>
      </c>
    </row>
    <row r="306" spans="2:8">
      <c r="B306" s="555" t="s">
        <v>2093</v>
      </c>
      <c r="C306" s="555" t="str">
        <f>VLOOKUP(D306,기본!$D$13:$E$74,2,0)</f>
        <v>코웨이</v>
      </c>
      <c r="D306" t="s">
        <v>2079</v>
      </c>
      <c r="E306" t="s">
        <v>2017</v>
      </c>
      <c r="F306" t="s">
        <v>2017</v>
      </c>
      <c r="G306" s="554">
        <v>401</v>
      </c>
      <c r="H306">
        <v>4.766286</v>
      </c>
    </row>
    <row r="307" spans="2:8">
      <c r="B307" s="555" t="s">
        <v>2093</v>
      </c>
      <c r="C307" s="555" t="str">
        <f>VLOOKUP(D307,기본!$D$13:$E$74,2,0)</f>
        <v>코웨이</v>
      </c>
      <c r="D307" t="s">
        <v>2079</v>
      </c>
      <c r="E307" t="s">
        <v>2080</v>
      </c>
      <c r="F307" t="s">
        <v>2080</v>
      </c>
      <c r="G307" s="554">
        <v>250</v>
      </c>
      <c r="H307">
        <v>1.6757500000000001</v>
      </c>
    </row>
    <row r="308" spans="2:8">
      <c r="B308" s="555" t="s">
        <v>2093</v>
      </c>
      <c r="C308" s="555" t="str">
        <f>VLOOKUP(D308,기본!$D$13:$E$74,2,0)</f>
        <v>코웨이</v>
      </c>
      <c r="D308" t="s">
        <v>2079</v>
      </c>
      <c r="E308" t="s">
        <v>2081</v>
      </c>
      <c r="F308" t="s">
        <v>2081</v>
      </c>
      <c r="G308" s="554">
        <v>911</v>
      </c>
      <c r="H308">
        <v>7.2296959999999997</v>
      </c>
    </row>
    <row r="309" spans="2:8">
      <c r="B309" s="555" t="s">
        <v>2093</v>
      </c>
      <c r="C309" s="555" t="str">
        <f>VLOOKUP(D309,기본!$D$13:$E$74,2,0)</f>
        <v>코웨이</v>
      </c>
      <c r="D309" t="s">
        <v>2079</v>
      </c>
      <c r="E309" t="s">
        <v>1089</v>
      </c>
      <c r="F309" t="s">
        <v>1089</v>
      </c>
      <c r="G309" s="554">
        <v>4090</v>
      </c>
      <c r="H309">
        <v>45.852989999999998</v>
      </c>
    </row>
    <row r="310" spans="2:8">
      <c r="B310" s="555" t="s">
        <v>2093</v>
      </c>
      <c r="C310" s="555" t="str">
        <f>VLOOKUP(D310,기본!$D$13:$E$74,2,0)</f>
        <v>코웨이</v>
      </c>
      <c r="D310" t="s">
        <v>2079</v>
      </c>
      <c r="E310" t="s">
        <v>1118</v>
      </c>
      <c r="F310" t="s">
        <v>1118</v>
      </c>
      <c r="G310" s="554">
        <v>605</v>
      </c>
      <c r="H310">
        <v>10.958503</v>
      </c>
    </row>
    <row r="311" spans="2:8">
      <c r="B311" s="555" t="s">
        <v>2093</v>
      </c>
      <c r="C311" s="555" t="str">
        <f>VLOOKUP(D311,기본!$D$13:$E$74,2,0)</f>
        <v>코웨이</v>
      </c>
      <c r="D311" t="s">
        <v>2079</v>
      </c>
      <c r="E311" t="s">
        <v>2061</v>
      </c>
      <c r="F311" t="s">
        <v>2061</v>
      </c>
      <c r="G311" s="554">
        <v>1300</v>
      </c>
      <c r="H311">
        <v>7.2851999999999997</v>
      </c>
    </row>
    <row r="312" spans="2:8">
      <c r="B312" s="555" t="s">
        <v>2093</v>
      </c>
      <c r="C312" s="555" t="str">
        <f>VLOOKUP(D312,기본!$D$13:$E$74,2,0)</f>
        <v>코웨이</v>
      </c>
      <c r="D312" t="s">
        <v>2079</v>
      </c>
      <c r="E312" t="s">
        <v>230</v>
      </c>
      <c r="F312" t="s">
        <v>230</v>
      </c>
      <c r="G312" s="554">
        <v>960</v>
      </c>
      <c r="H312">
        <v>5.3366399999999992</v>
      </c>
    </row>
    <row r="313" spans="2:8">
      <c r="B313" s="555" t="s">
        <v>2093</v>
      </c>
      <c r="C313" s="555" t="str">
        <f>VLOOKUP(D313,기본!$D$13:$E$74,2,0)</f>
        <v>코웨이</v>
      </c>
      <c r="D313" t="s">
        <v>2082</v>
      </c>
      <c r="E313" t="s">
        <v>2083</v>
      </c>
      <c r="F313" t="s">
        <v>2083</v>
      </c>
      <c r="G313" s="554">
        <v>1200</v>
      </c>
      <c r="H313">
        <v>20.58</v>
      </c>
    </row>
    <row r="314" spans="2:8">
      <c r="B314" s="555" t="s">
        <v>2093</v>
      </c>
      <c r="C314" s="555" t="str">
        <f>VLOOKUP(D314,기본!$D$13:$E$74,2,0)</f>
        <v>코웨이</v>
      </c>
      <c r="D314" t="s">
        <v>2082</v>
      </c>
      <c r="E314" t="s">
        <v>2058</v>
      </c>
      <c r="F314" t="s">
        <v>2058</v>
      </c>
      <c r="G314" s="554">
        <v>15120</v>
      </c>
      <c r="H314">
        <v>524.04408000000012</v>
      </c>
    </row>
    <row r="315" spans="2:8">
      <c r="B315" s="555" t="s">
        <v>2093</v>
      </c>
      <c r="C315" s="555" t="str">
        <f>VLOOKUP(D315,기본!$D$13:$E$74,2,0)</f>
        <v>코웨이</v>
      </c>
      <c r="D315" t="s">
        <v>2082</v>
      </c>
      <c r="E315" t="s">
        <v>2077</v>
      </c>
      <c r="F315" t="s">
        <v>2077</v>
      </c>
      <c r="G315" s="554">
        <v>3456</v>
      </c>
      <c r="H315">
        <v>116.06975999999999</v>
      </c>
    </row>
    <row r="316" spans="2:8">
      <c r="B316" s="555" t="s">
        <v>2093</v>
      </c>
      <c r="C316" s="555" t="str">
        <f>VLOOKUP(D316,기본!$D$13:$E$74,2,0)</f>
        <v>삼성 생활가전</v>
      </c>
      <c r="D316" t="s">
        <v>2084</v>
      </c>
      <c r="E316" t="s">
        <v>2085</v>
      </c>
      <c r="F316" t="s">
        <v>2085</v>
      </c>
      <c r="G316" s="554">
        <v>1000</v>
      </c>
      <c r="H316">
        <v>5.5180199999999999</v>
      </c>
    </row>
    <row r="317" spans="2:8">
      <c r="B317" s="555" t="s">
        <v>2093</v>
      </c>
      <c r="C317" s="555" t="str">
        <f>VLOOKUP(D317,기본!$D$13:$E$74,2,0)</f>
        <v>삼성 생활가전</v>
      </c>
      <c r="D317" t="s">
        <v>2084</v>
      </c>
      <c r="E317" t="s">
        <v>2086</v>
      </c>
      <c r="F317" t="s">
        <v>2086</v>
      </c>
      <c r="G317" s="554">
        <v>30</v>
      </c>
      <c r="H317">
        <v>0.3135</v>
      </c>
    </row>
    <row r="318" spans="2:8">
      <c r="B318" s="555" t="s">
        <v>2093</v>
      </c>
      <c r="C318" s="555" t="str">
        <f>VLOOKUP(D318,기본!$D$13:$E$74,2,0)</f>
        <v>삼성 생활가전</v>
      </c>
      <c r="D318" t="s">
        <v>2084</v>
      </c>
      <c r="E318" t="s">
        <v>2087</v>
      </c>
      <c r="F318" t="s">
        <v>2087</v>
      </c>
      <c r="G318" s="554">
        <v>1008</v>
      </c>
      <c r="H318">
        <v>10.528539840000001</v>
      </c>
    </row>
    <row r="319" spans="2:8">
      <c r="B319" s="555" t="s">
        <v>2093</v>
      </c>
      <c r="C319" s="555" t="str">
        <f>VLOOKUP(D319,기본!$D$13:$E$74,2,0)</f>
        <v>삼성 생활가전</v>
      </c>
      <c r="D319" t="s">
        <v>2088</v>
      </c>
      <c r="E319" t="s">
        <v>1023</v>
      </c>
      <c r="F319" t="s">
        <v>1023</v>
      </c>
      <c r="G319" s="554">
        <v>5760</v>
      </c>
      <c r="H319">
        <v>40.2624</v>
      </c>
    </row>
    <row r="320" spans="2:8">
      <c r="B320" s="555" t="s">
        <v>2093</v>
      </c>
      <c r="C320" s="555" t="str">
        <f>VLOOKUP(D320,기본!$D$13:$E$74,2,0)</f>
        <v>삼성 생활가전</v>
      </c>
      <c r="D320" t="s">
        <v>2088</v>
      </c>
      <c r="E320" t="s">
        <v>1025</v>
      </c>
      <c r="F320" t="s">
        <v>1025</v>
      </c>
      <c r="G320" s="554">
        <v>1440</v>
      </c>
      <c r="H320">
        <v>10.036799999999999</v>
      </c>
    </row>
    <row r="321" spans="2:8">
      <c r="B321" s="555" t="s">
        <v>2093</v>
      </c>
      <c r="C321" s="555" t="str">
        <f>VLOOKUP(D321,기본!$D$13:$E$74,2,0)</f>
        <v>한화비전</v>
      </c>
      <c r="D321" t="s">
        <v>2089</v>
      </c>
      <c r="E321" t="s">
        <v>2090</v>
      </c>
      <c r="F321" t="s">
        <v>2091</v>
      </c>
      <c r="G321" s="554">
        <v>1980</v>
      </c>
      <c r="H321">
        <v>66.151384199999995</v>
      </c>
    </row>
    <row r="322" spans="2:8">
      <c r="B322" s="555" t="s">
        <v>2158</v>
      </c>
      <c r="C322" s="555" t="str">
        <f>VLOOKUP(D322,기본!$D$13:$E$74,2,0)</f>
        <v>AV JDM</v>
      </c>
      <c r="D322" t="s">
        <v>1841</v>
      </c>
      <c r="E322" t="s">
        <v>1842</v>
      </c>
      <c r="F322" t="s">
        <v>1680</v>
      </c>
      <c r="G322" s="554">
        <v>6080</v>
      </c>
      <c r="H322">
        <v>54.318132800000001</v>
      </c>
    </row>
    <row r="323" spans="2:8">
      <c r="B323" s="555" t="s">
        <v>2158</v>
      </c>
      <c r="C323" s="555" t="str">
        <f>VLOOKUP(D323,기본!$D$13:$E$74,2,0)</f>
        <v>AV JDM</v>
      </c>
      <c r="D323" t="s">
        <v>1841</v>
      </c>
      <c r="E323" t="s">
        <v>2104</v>
      </c>
      <c r="F323" t="s">
        <v>2105</v>
      </c>
      <c r="G323" s="554">
        <v>120</v>
      </c>
      <c r="H323">
        <v>1.1262798000000001</v>
      </c>
    </row>
    <row r="324" spans="2:8">
      <c r="B324" s="555" t="s">
        <v>2158</v>
      </c>
      <c r="C324" s="555" t="str">
        <f>VLOOKUP(D324,기본!$D$13:$E$74,2,0)</f>
        <v>AV JDM</v>
      </c>
      <c r="D324" t="s">
        <v>1841</v>
      </c>
      <c r="E324" t="s">
        <v>1654</v>
      </c>
      <c r="F324" t="s">
        <v>1654</v>
      </c>
      <c r="G324" s="554">
        <v>15349</v>
      </c>
      <c r="H324">
        <v>120.67830382</v>
      </c>
    </row>
    <row r="325" spans="2:8">
      <c r="B325" s="555" t="s">
        <v>2158</v>
      </c>
      <c r="C325" s="555" t="str">
        <f>VLOOKUP(D325,기본!$D$13:$E$74,2,0)</f>
        <v>AV JDM</v>
      </c>
      <c r="D325" t="s">
        <v>1841</v>
      </c>
      <c r="E325" t="s">
        <v>1656</v>
      </c>
      <c r="F325" t="s">
        <v>1656</v>
      </c>
      <c r="G325" s="554">
        <v>16275</v>
      </c>
      <c r="H325">
        <v>137.70167595499996</v>
      </c>
    </row>
    <row r="326" spans="2:8">
      <c r="B326" s="555" t="s">
        <v>2158</v>
      </c>
      <c r="C326" s="555" t="str">
        <f>VLOOKUP(D326,기본!$D$13:$E$74,2,0)</f>
        <v>AV JDM</v>
      </c>
      <c r="D326" t="s">
        <v>1841</v>
      </c>
      <c r="E326" t="s">
        <v>1657</v>
      </c>
      <c r="F326" t="s">
        <v>1657</v>
      </c>
      <c r="G326" s="554">
        <v>8864</v>
      </c>
      <c r="H326">
        <v>77.284859560000015</v>
      </c>
    </row>
    <row r="327" spans="2:8">
      <c r="B327" s="555" t="s">
        <v>2158</v>
      </c>
      <c r="C327" s="555" t="str">
        <f>VLOOKUP(D327,기본!$D$13:$E$74,2,0)</f>
        <v>AV JDM</v>
      </c>
      <c r="D327" t="s">
        <v>1841</v>
      </c>
      <c r="E327" t="s">
        <v>1658</v>
      </c>
      <c r="F327" t="s">
        <v>1658</v>
      </c>
      <c r="G327" s="554">
        <v>8294</v>
      </c>
      <c r="H327">
        <v>75.126156559999984</v>
      </c>
    </row>
    <row r="328" spans="2:8">
      <c r="B328" s="555" t="s">
        <v>2158</v>
      </c>
      <c r="C328" s="555" t="str">
        <f>VLOOKUP(D328,기본!$D$13:$E$74,2,0)</f>
        <v>AV JDM</v>
      </c>
      <c r="D328" t="s">
        <v>1841</v>
      </c>
      <c r="E328" t="s">
        <v>1655</v>
      </c>
      <c r="F328" t="s">
        <v>1655</v>
      </c>
      <c r="G328" s="554">
        <v>8138</v>
      </c>
      <c r="H328">
        <v>66.11008468</v>
      </c>
    </row>
    <row r="329" spans="2:8">
      <c r="B329" s="555" t="s">
        <v>2158</v>
      </c>
      <c r="C329" s="555" t="str">
        <f>VLOOKUP(D329,기본!$D$13:$E$74,2,0)</f>
        <v>AV JDM</v>
      </c>
      <c r="D329" t="s">
        <v>1841</v>
      </c>
      <c r="E329" t="s">
        <v>1889</v>
      </c>
      <c r="F329" t="s">
        <v>1229</v>
      </c>
      <c r="G329" s="554">
        <v>38304</v>
      </c>
      <c r="H329">
        <v>318.453331392</v>
      </c>
    </row>
    <row r="330" spans="2:8">
      <c r="B330" s="555" t="s">
        <v>2158</v>
      </c>
      <c r="C330" s="555" t="str">
        <f>VLOOKUP(D330,기본!$D$13:$E$74,2,0)</f>
        <v>AV JDM</v>
      </c>
      <c r="D330" t="s">
        <v>1841</v>
      </c>
      <c r="E330" t="s">
        <v>2106</v>
      </c>
      <c r="F330" t="s">
        <v>1228</v>
      </c>
      <c r="G330" s="554">
        <v>4032</v>
      </c>
      <c r="H330">
        <v>40.103665055999997</v>
      </c>
    </row>
    <row r="331" spans="2:8">
      <c r="B331" s="555" t="s">
        <v>2158</v>
      </c>
      <c r="C331" s="555" t="str">
        <f>VLOOKUP(D331,기본!$D$13:$E$74,2,0)</f>
        <v>AV JDM</v>
      </c>
      <c r="D331" t="s">
        <v>1841</v>
      </c>
      <c r="E331" t="s">
        <v>1845</v>
      </c>
      <c r="F331" t="s">
        <v>1340</v>
      </c>
      <c r="G331" s="554">
        <v>7308</v>
      </c>
      <c r="H331">
        <v>73.866237396000002</v>
      </c>
    </row>
    <row r="332" spans="2:8">
      <c r="B332" s="555" t="s">
        <v>2158</v>
      </c>
      <c r="C332" s="555" t="str">
        <f>VLOOKUP(D332,기본!$D$13:$E$74,2,0)</f>
        <v>AV JDM</v>
      </c>
      <c r="D332" t="s">
        <v>1841</v>
      </c>
      <c r="E332" t="s">
        <v>1846</v>
      </c>
      <c r="F332" t="s">
        <v>1341</v>
      </c>
      <c r="G332" s="554">
        <v>84</v>
      </c>
      <c r="H332">
        <v>0.92936810399999992</v>
      </c>
    </row>
    <row r="333" spans="2:8">
      <c r="B333" s="555" t="s">
        <v>2158</v>
      </c>
      <c r="C333" s="555" t="str">
        <f>VLOOKUP(D333,기본!$D$13:$E$74,2,0)</f>
        <v>AV JDM</v>
      </c>
      <c r="D333" t="s">
        <v>1841</v>
      </c>
      <c r="E333" t="s">
        <v>1847</v>
      </c>
      <c r="F333" t="s">
        <v>1336</v>
      </c>
      <c r="G333" s="554">
        <v>7080</v>
      </c>
      <c r="H333">
        <v>63.108720400000003</v>
      </c>
    </row>
    <row r="334" spans="2:8">
      <c r="B334" s="555" t="s">
        <v>2158</v>
      </c>
      <c r="C334" s="555" t="str">
        <f>VLOOKUP(D334,기본!$D$13:$E$74,2,0)</f>
        <v>AV JDM</v>
      </c>
      <c r="D334" t="s">
        <v>1841</v>
      </c>
      <c r="E334" t="s">
        <v>1894</v>
      </c>
      <c r="F334" t="s">
        <v>1337</v>
      </c>
      <c r="G334" s="554">
        <v>80</v>
      </c>
      <c r="H334">
        <v>0.78280440000000007</v>
      </c>
    </row>
    <row r="335" spans="2:8">
      <c r="B335" s="555" t="s">
        <v>2158</v>
      </c>
      <c r="C335" s="555" t="str">
        <f>VLOOKUP(D335,기본!$D$13:$E$74,2,0)</f>
        <v>AV JDM</v>
      </c>
      <c r="D335" t="s">
        <v>1841</v>
      </c>
      <c r="E335" t="s">
        <v>1016</v>
      </c>
      <c r="F335" t="s">
        <v>1016</v>
      </c>
      <c r="G335" s="554">
        <v>320</v>
      </c>
      <c r="H335">
        <v>2.6484262399999996</v>
      </c>
    </row>
    <row r="336" spans="2:8">
      <c r="B336" s="555" t="s">
        <v>2158</v>
      </c>
      <c r="C336" s="555" t="str">
        <f>VLOOKUP(D336,기본!$D$13:$E$74,2,0)</f>
        <v>AV JDM</v>
      </c>
      <c r="D336" t="s">
        <v>1841</v>
      </c>
      <c r="E336" t="s">
        <v>1006</v>
      </c>
      <c r="F336" t="s">
        <v>1006</v>
      </c>
      <c r="G336" s="554">
        <v>10080</v>
      </c>
      <c r="H336">
        <v>109.86398784000001</v>
      </c>
    </row>
    <row r="337" spans="2:8">
      <c r="B337" s="555" t="s">
        <v>2158</v>
      </c>
      <c r="C337" s="555" t="str">
        <f>VLOOKUP(D337,기본!$D$13:$E$74,2,0)</f>
        <v>AV JDM</v>
      </c>
      <c r="D337" t="s">
        <v>1841</v>
      </c>
      <c r="E337" t="s">
        <v>1848</v>
      </c>
      <c r="F337" t="s">
        <v>1848</v>
      </c>
      <c r="G337" s="554">
        <v>920</v>
      </c>
      <c r="H337">
        <v>10.813346039999999</v>
      </c>
    </row>
    <row r="338" spans="2:8">
      <c r="B338" s="555" t="s">
        <v>2158</v>
      </c>
      <c r="C338" s="555" t="str">
        <f>VLOOKUP(D338,기본!$D$13:$E$74,2,0)</f>
        <v>삼성 VD</v>
      </c>
      <c r="D338" t="s">
        <v>1849</v>
      </c>
      <c r="E338" t="s">
        <v>1165</v>
      </c>
      <c r="F338" t="s">
        <v>1882</v>
      </c>
      <c r="G338" s="554">
        <v>2376</v>
      </c>
      <c r="H338">
        <v>68.765911200000005</v>
      </c>
    </row>
    <row r="339" spans="2:8">
      <c r="B339" s="555" t="s">
        <v>2158</v>
      </c>
      <c r="C339" s="555" t="str">
        <f>VLOOKUP(D339,기본!$D$13:$E$74,2,0)</f>
        <v>삼성 VD</v>
      </c>
      <c r="D339" t="s">
        <v>1849</v>
      </c>
      <c r="E339" t="s">
        <v>1164</v>
      </c>
      <c r="F339" t="s">
        <v>1850</v>
      </c>
      <c r="G339" s="554">
        <v>1944</v>
      </c>
      <c r="H339">
        <v>51.075547920000012</v>
      </c>
    </row>
    <row r="340" spans="2:8">
      <c r="B340" s="555" t="s">
        <v>2158</v>
      </c>
      <c r="C340" s="555" t="str">
        <f>VLOOKUP(D340,기본!$D$13:$E$74,2,0)</f>
        <v>삼성 VD</v>
      </c>
      <c r="D340" t="s">
        <v>1849</v>
      </c>
      <c r="E340" t="s">
        <v>1163</v>
      </c>
      <c r="F340" t="s">
        <v>1162</v>
      </c>
      <c r="G340" s="554">
        <v>3834</v>
      </c>
      <c r="H340">
        <v>116.51082022799999</v>
      </c>
    </row>
    <row r="341" spans="2:8">
      <c r="B341" s="555" t="s">
        <v>2158</v>
      </c>
      <c r="C341" s="555" t="str">
        <f>VLOOKUP(D341,기본!$D$13:$E$74,2,0)</f>
        <v>삼성 VD</v>
      </c>
      <c r="D341" t="s">
        <v>1849</v>
      </c>
      <c r="E341" t="s">
        <v>1851</v>
      </c>
      <c r="F341" t="s">
        <v>1852</v>
      </c>
      <c r="G341" s="554">
        <v>640</v>
      </c>
      <c r="H341">
        <v>4.6582448640000003</v>
      </c>
    </row>
    <row r="342" spans="2:8">
      <c r="B342" s="555" t="s">
        <v>2158</v>
      </c>
      <c r="C342" s="555" t="str">
        <f>VLOOKUP(D342,기본!$D$13:$E$74,2,0)</f>
        <v>삼성 VD</v>
      </c>
      <c r="D342" t="s">
        <v>1849</v>
      </c>
      <c r="E342" t="s">
        <v>1853</v>
      </c>
      <c r="F342" t="s">
        <v>1854</v>
      </c>
      <c r="G342" s="554">
        <v>5490</v>
      </c>
      <c r="H342">
        <v>77.263059779999992</v>
      </c>
    </row>
    <row r="343" spans="2:8">
      <c r="B343" s="555" t="s">
        <v>2158</v>
      </c>
      <c r="C343" s="555" t="str">
        <f>VLOOKUP(D343,기본!$D$13:$E$74,2,0)</f>
        <v>삼성 VD</v>
      </c>
      <c r="D343" t="s">
        <v>1849</v>
      </c>
      <c r="E343" t="s">
        <v>1855</v>
      </c>
      <c r="F343" t="s">
        <v>1856</v>
      </c>
      <c r="G343" s="554">
        <v>5520</v>
      </c>
      <c r="H343">
        <v>79.260238728000004</v>
      </c>
    </row>
    <row r="344" spans="2:8">
      <c r="B344" s="555" t="s">
        <v>2158</v>
      </c>
      <c r="C344" s="555" t="str">
        <f>VLOOKUP(D344,기본!$D$13:$E$74,2,0)</f>
        <v>삼성 VD</v>
      </c>
      <c r="D344" t="s">
        <v>1849</v>
      </c>
      <c r="E344" t="s">
        <v>1874</v>
      </c>
      <c r="F344" t="s">
        <v>1875</v>
      </c>
      <c r="G344" s="554">
        <v>6624</v>
      </c>
      <c r="H344">
        <v>103.58968896</v>
      </c>
    </row>
    <row r="345" spans="2:8">
      <c r="B345" s="555" t="s">
        <v>2158</v>
      </c>
      <c r="C345" s="555" t="str">
        <f>VLOOKUP(D345,기본!$D$13:$E$74,2,0)</f>
        <v>삼성 VD</v>
      </c>
      <c r="D345" t="s">
        <v>1849</v>
      </c>
      <c r="E345" t="s">
        <v>1857</v>
      </c>
      <c r="F345" t="s">
        <v>1858</v>
      </c>
      <c r="G345" s="554">
        <v>2576</v>
      </c>
      <c r="H345">
        <v>25.029609279999999</v>
      </c>
    </row>
    <row r="346" spans="2:8">
      <c r="B346" s="555" t="s">
        <v>2158</v>
      </c>
      <c r="C346" s="555" t="str">
        <f>VLOOKUP(D346,기본!$D$13:$E$74,2,0)</f>
        <v>삼성 VD</v>
      </c>
      <c r="D346" t="s">
        <v>1849</v>
      </c>
      <c r="E346" t="s">
        <v>1861</v>
      </c>
      <c r="F346" t="s">
        <v>1862</v>
      </c>
      <c r="G346" s="554">
        <v>384</v>
      </c>
      <c r="H346">
        <v>6.5866245119999993</v>
      </c>
    </row>
    <row r="347" spans="2:8">
      <c r="B347" s="555" t="s">
        <v>2158</v>
      </c>
      <c r="C347" s="555" t="str">
        <f>VLOOKUP(D347,기본!$D$13:$E$74,2,0)</f>
        <v>삼성 VD</v>
      </c>
      <c r="D347" t="s">
        <v>1849</v>
      </c>
      <c r="E347" t="s">
        <v>1309</v>
      </c>
      <c r="F347" t="s">
        <v>1308</v>
      </c>
      <c r="G347" s="554">
        <v>1968</v>
      </c>
      <c r="H347">
        <v>43.156703424</v>
      </c>
    </row>
    <row r="348" spans="2:8">
      <c r="B348" s="555" t="s">
        <v>2158</v>
      </c>
      <c r="C348" s="555" t="str">
        <f>VLOOKUP(D348,기본!$D$13:$E$74,2,0)</f>
        <v>삼성 VD</v>
      </c>
      <c r="D348" t="s">
        <v>1849</v>
      </c>
      <c r="E348" t="s">
        <v>1865</v>
      </c>
      <c r="F348" t="s">
        <v>1866</v>
      </c>
      <c r="G348" s="554">
        <v>3816</v>
      </c>
      <c r="H348">
        <v>156.88096886400001</v>
      </c>
    </row>
    <row r="349" spans="2:8">
      <c r="B349" s="555" t="s">
        <v>2158</v>
      </c>
      <c r="C349" s="555" t="str">
        <f>VLOOKUP(D349,기본!$D$13:$E$74,2,0)</f>
        <v>삼성 VD</v>
      </c>
      <c r="D349" t="s">
        <v>1849</v>
      </c>
      <c r="E349" t="s">
        <v>1923</v>
      </c>
      <c r="F349" t="s">
        <v>1924</v>
      </c>
      <c r="G349" s="554">
        <v>16038</v>
      </c>
      <c r="H349">
        <v>74.86314462</v>
      </c>
    </row>
    <row r="350" spans="2:8">
      <c r="B350" s="555" t="s">
        <v>2158</v>
      </c>
      <c r="C350" s="555" t="str">
        <f>VLOOKUP(D350,기본!$D$13:$E$74,2,0)</f>
        <v>삼성 VD</v>
      </c>
      <c r="D350" t="s">
        <v>1849</v>
      </c>
      <c r="E350" t="s">
        <v>1867</v>
      </c>
      <c r="F350" t="s">
        <v>1868</v>
      </c>
      <c r="G350" s="554">
        <v>1302</v>
      </c>
      <c r="H350">
        <v>10.595560919999999</v>
      </c>
    </row>
    <row r="351" spans="2:8">
      <c r="B351" s="555" t="s">
        <v>2158</v>
      </c>
      <c r="C351" s="555" t="str">
        <f>VLOOKUP(D351,기본!$D$13:$E$74,2,0)</f>
        <v>삼성 VD</v>
      </c>
      <c r="D351" t="s">
        <v>1849</v>
      </c>
      <c r="E351" t="s">
        <v>709</v>
      </c>
      <c r="F351" t="s">
        <v>1869</v>
      </c>
      <c r="G351" s="554">
        <v>84480</v>
      </c>
      <c r="H351">
        <v>286.52307551999996</v>
      </c>
    </row>
    <row r="352" spans="2:8">
      <c r="B352" s="555" t="s">
        <v>2158</v>
      </c>
      <c r="C352" s="555" t="str">
        <f>VLOOKUP(D352,기본!$D$13:$E$74,2,0)</f>
        <v>삼성 VD</v>
      </c>
      <c r="D352" t="s">
        <v>1849</v>
      </c>
      <c r="E352" t="s">
        <v>1156</v>
      </c>
      <c r="F352" t="s">
        <v>1870</v>
      </c>
      <c r="G352" s="554">
        <v>4796</v>
      </c>
      <c r="H352">
        <v>21.520083992000004</v>
      </c>
    </row>
    <row r="353" spans="2:8">
      <c r="B353" s="555" t="s">
        <v>2158</v>
      </c>
      <c r="C353" s="555" t="str">
        <f>VLOOKUP(D353,기본!$D$13:$E$74,2,0)</f>
        <v>삼성 VD</v>
      </c>
      <c r="D353" t="s">
        <v>1871</v>
      </c>
      <c r="E353" t="s">
        <v>1165</v>
      </c>
      <c r="F353" t="s">
        <v>1882</v>
      </c>
      <c r="G353" s="554">
        <v>14924</v>
      </c>
      <c r="H353">
        <v>430.81652753999998</v>
      </c>
    </row>
    <row r="354" spans="2:8">
      <c r="B354" s="555" t="s">
        <v>2158</v>
      </c>
      <c r="C354" s="555" t="str">
        <f>VLOOKUP(D354,기본!$D$13:$E$74,2,0)</f>
        <v>삼성 VD</v>
      </c>
      <c r="D354" t="s">
        <v>1871</v>
      </c>
      <c r="E354" t="s">
        <v>1164</v>
      </c>
      <c r="F354" t="s">
        <v>1850</v>
      </c>
      <c r="G354" s="554">
        <v>30948</v>
      </c>
      <c r="H354">
        <v>811.61273899800005</v>
      </c>
    </row>
    <row r="355" spans="2:8">
      <c r="B355" s="555" t="s">
        <v>2158</v>
      </c>
      <c r="C355" s="555" t="str">
        <f>VLOOKUP(D355,기본!$D$13:$E$74,2,0)</f>
        <v>삼성 VD</v>
      </c>
      <c r="D355" t="s">
        <v>1871</v>
      </c>
      <c r="E355" t="s">
        <v>1163</v>
      </c>
      <c r="F355" t="s">
        <v>1162</v>
      </c>
      <c r="G355" s="554">
        <v>300</v>
      </c>
      <c r="H355">
        <v>9.0893286</v>
      </c>
    </row>
    <row r="356" spans="2:8">
      <c r="B356" s="555" t="s">
        <v>2158</v>
      </c>
      <c r="C356" s="555" t="str">
        <f>VLOOKUP(D356,기본!$D$13:$E$74,2,0)</f>
        <v>삼성 VD</v>
      </c>
      <c r="D356" t="s">
        <v>1871</v>
      </c>
      <c r="E356" t="s">
        <v>1872</v>
      </c>
      <c r="F356" t="s">
        <v>1873</v>
      </c>
      <c r="G356" s="554">
        <v>204</v>
      </c>
      <c r="H356">
        <v>6.1807434479999994</v>
      </c>
    </row>
    <row r="357" spans="2:8">
      <c r="B357" s="555" t="s">
        <v>2158</v>
      </c>
      <c r="C357" s="555" t="str">
        <f>VLOOKUP(D357,기본!$D$13:$E$74,2,0)</f>
        <v>삼성 VD</v>
      </c>
      <c r="D357" t="s">
        <v>1871</v>
      </c>
      <c r="E357" t="s">
        <v>1853</v>
      </c>
      <c r="F357" t="s">
        <v>1854</v>
      </c>
      <c r="G357" s="554">
        <v>10210</v>
      </c>
      <c r="H357">
        <v>144.13585265999998</v>
      </c>
    </row>
    <row r="358" spans="2:8">
      <c r="B358" s="555" t="s">
        <v>2158</v>
      </c>
      <c r="C358" s="555" t="str">
        <f>VLOOKUP(D358,기본!$D$13:$E$74,2,0)</f>
        <v>삼성 VD</v>
      </c>
      <c r="D358" t="s">
        <v>1871</v>
      </c>
      <c r="E358" t="s">
        <v>1874</v>
      </c>
      <c r="F358" t="s">
        <v>1875</v>
      </c>
      <c r="G358" s="554">
        <v>11234</v>
      </c>
      <c r="H358">
        <v>176.36443311999997</v>
      </c>
    </row>
    <row r="359" spans="2:8">
      <c r="B359" s="555" t="s">
        <v>2158</v>
      </c>
      <c r="C359" s="555" t="str">
        <f>VLOOKUP(D359,기본!$D$13:$E$74,2,0)</f>
        <v>삼성 VD</v>
      </c>
      <c r="D359" t="s">
        <v>1871</v>
      </c>
      <c r="E359" t="s">
        <v>1876</v>
      </c>
      <c r="F359" t="s">
        <v>1877</v>
      </c>
      <c r="G359" s="554">
        <v>8904</v>
      </c>
      <c r="H359">
        <v>59.35450406399999</v>
      </c>
    </row>
    <row r="360" spans="2:8">
      <c r="B360" s="555" t="s">
        <v>2158</v>
      </c>
      <c r="C360" s="555" t="str">
        <f>VLOOKUP(D360,기본!$D$13:$E$74,2,0)</f>
        <v>삼성 VD</v>
      </c>
      <c r="D360" t="s">
        <v>1871</v>
      </c>
      <c r="E360" t="s">
        <v>1878</v>
      </c>
      <c r="F360" t="s">
        <v>1879</v>
      </c>
      <c r="G360" s="554">
        <v>456</v>
      </c>
      <c r="H360">
        <v>3.051970608</v>
      </c>
    </row>
    <row r="361" spans="2:8">
      <c r="B361" s="555" t="s">
        <v>2158</v>
      </c>
      <c r="C361" s="555" t="str">
        <f>VLOOKUP(D361,기본!$D$13:$E$74,2,0)</f>
        <v>삼성 VD</v>
      </c>
      <c r="D361" t="s">
        <v>1880</v>
      </c>
      <c r="E361" t="s">
        <v>1855</v>
      </c>
      <c r="F361" t="s">
        <v>1856</v>
      </c>
      <c r="G361" s="554">
        <v>966</v>
      </c>
      <c r="H361">
        <v>13.948641455999999</v>
      </c>
    </row>
    <row r="362" spans="2:8">
      <c r="B362" s="555" t="s">
        <v>2158</v>
      </c>
      <c r="C362" s="555" t="str">
        <f>VLOOKUP(D362,기본!$D$13:$E$74,2,0)</f>
        <v>삼성 VD</v>
      </c>
      <c r="D362" t="s">
        <v>1881</v>
      </c>
      <c r="E362" t="s">
        <v>1165</v>
      </c>
      <c r="F362" t="s">
        <v>1882</v>
      </c>
      <c r="G362" s="554">
        <v>108</v>
      </c>
      <c r="H362">
        <v>3.1183941599999998</v>
      </c>
    </row>
    <row r="363" spans="2:8">
      <c r="B363" s="555" t="s">
        <v>2158</v>
      </c>
      <c r="C363" s="555" t="str">
        <f>VLOOKUP(D363,기본!$D$13:$E$74,2,0)</f>
        <v>삼성 VD</v>
      </c>
      <c r="D363" t="s">
        <v>1881</v>
      </c>
      <c r="E363" t="s">
        <v>1164</v>
      </c>
      <c r="F363" t="s">
        <v>1850</v>
      </c>
      <c r="G363" s="554">
        <v>1344</v>
      </c>
      <c r="H363">
        <v>35.277123564</v>
      </c>
    </row>
    <row r="364" spans="2:8">
      <c r="B364" s="555" t="s">
        <v>2158</v>
      </c>
      <c r="C364" s="555" t="str">
        <f>VLOOKUP(D364,기본!$D$13:$E$74,2,0)</f>
        <v>삼성 VD</v>
      </c>
      <c r="D364" t="s">
        <v>1881</v>
      </c>
      <c r="E364" t="s">
        <v>1853</v>
      </c>
      <c r="F364" t="s">
        <v>1854</v>
      </c>
      <c r="G364" s="554">
        <v>120</v>
      </c>
      <c r="H364">
        <v>1.6965389999999998</v>
      </c>
    </row>
    <row r="365" spans="2:8">
      <c r="B365" s="555" t="s">
        <v>2158</v>
      </c>
      <c r="C365" s="555" t="str">
        <f>VLOOKUP(D365,기본!$D$13:$E$74,2,0)</f>
        <v>삼성 VD</v>
      </c>
      <c r="D365" t="s">
        <v>1881</v>
      </c>
      <c r="E365" t="s">
        <v>1855</v>
      </c>
      <c r="F365" t="s">
        <v>1856</v>
      </c>
      <c r="G365" s="554">
        <v>10</v>
      </c>
      <c r="H365">
        <v>0.14410397999999999</v>
      </c>
    </row>
    <row r="366" spans="2:8">
      <c r="B366" s="555" t="s">
        <v>2158</v>
      </c>
      <c r="C366" s="555" t="str">
        <f>VLOOKUP(D366,기본!$D$13:$E$74,2,0)</f>
        <v>기타</v>
      </c>
      <c r="D366" t="s">
        <v>1883</v>
      </c>
      <c r="E366" t="s">
        <v>229</v>
      </c>
      <c r="F366" t="s">
        <v>229</v>
      </c>
      <c r="G366" s="554">
        <v>0</v>
      </c>
      <c r="H366">
        <v>0.189859</v>
      </c>
    </row>
    <row r="367" spans="2:8">
      <c r="B367" s="555" t="s">
        <v>2158</v>
      </c>
      <c r="C367" s="555" t="str">
        <f>VLOOKUP(D367,기본!$D$13:$E$74,2,0)</f>
        <v>MNT JDM</v>
      </c>
      <c r="D367" t="s">
        <v>2107</v>
      </c>
      <c r="E367" t="s">
        <v>709</v>
      </c>
      <c r="F367" t="s">
        <v>2108</v>
      </c>
      <c r="G367" s="554">
        <v>50688</v>
      </c>
      <c r="H367">
        <v>222.32989151999996</v>
      </c>
    </row>
    <row r="368" spans="2:8">
      <c r="B368" s="555" t="s">
        <v>2158</v>
      </c>
      <c r="C368" s="555" t="str">
        <f>VLOOKUP(D368,기본!$D$13:$E$74,2,0)</f>
        <v>MNT JDM</v>
      </c>
      <c r="D368" t="s">
        <v>2107</v>
      </c>
      <c r="E368" t="s">
        <v>710</v>
      </c>
      <c r="F368" t="s">
        <v>2109</v>
      </c>
      <c r="G368" s="554">
        <v>5280</v>
      </c>
      <c r="H368">
        <v>27.377887679999997</v>
      </c>
    </row>
    <row r="369" spans="2:8">
      <c r="B369" s="555" t="s">
        <v>2158</v>
      </c>
      <c r="C369" s="555" t="str">
        <f>VLOOKUP(D369,기본!$D$13:$E$74,2,0)</f>
        <v>MNT JDM</v>
      </c>
      <c r="D369" t="s">
        <v>2107</v>
      </c>
      <c r="E369" t="s">
        <v>1156</v>
      </c>
      <c r="F369" t="s">
        <v>1870</v>
      </c>
      <c r="G369" s="554">
        <v>10560</v>
      </c>
      <c r="H369">
        <v>56.933997120000001</v>
      </c>
    </row>
    <row r="370" spans="2:8">
      <c r="B370" s="555" t="s">
        <v>2158</v>
      </c>
      <c r="C370" s="555" t="str">
        <f>VLOOKUP(D370,기본!$D$13:$E$74,2,0)</f>
        <v>MNT JDM</v>
      </c>
      <c r="D370" t="s">
        <v>2107</v>
      </c>
      <c r="E370" t="s">
        <v>1157</v>
      </c>
      <c r="F370" t="s">
        <v>1887</v>
      </c>
      <c r="G370" s="554">
        <v>1056</v>
      </c>
      <c r="H370">
        <v>6.6756951359999999</v>
      </c>
    </row>
    <row r="371" spans="2:8">
      <c r="B371" s="555" t="s">
        <v>2158</v>
      </c>
      <c r="C371" s="555" t="str">
        <f>VLOOKUP(D371,기본!$D$13:$E$74,2,0)</f>
        <v>MNT JDM</v>
      </c>
      <c r="D371" t="s">
        <v>1884</v>
      </c>
      <c r="E371" t="s">
        <v>709</v>
      </c>
      <c r="F371" t="s">
        <v>2110</v>
      </c>
      <c r="G371" s="554">
        <v>103488</v>
      </c>
      <c r="H371">
        <v>464.38591372799999</v>
      </c>
    </row>
    <row r="372" spans="2:8">
      <c r="B372" s="555" t="s">
        <v>2158</v>
      </c>
      <c r="C372" s="555" t="str">
        <f>VLOOKUP(D372,기본!$D$13:$E$74,2,0)</f>
        <v>MNT JDM</v>
      </c>
      <c r="D372" t="s">
        <v>1884</v>
      </c>
      <c r="E372" t="s">
        <v>710</v>
      </c>
      <c r="F372" t="s">
        <v>2111</v>
      </c>
      <c r="G372" s="554">
        <v>10560</v>
      </c>
      <c r="H372">
        <v>56.626078079999999</v>
      </c>
    </row>
    <row r="373" spans="2:8">
      <c r="B373" s="555" t="s">
        <v>2158</v>
      </c>
      <c r="C373" s="555" t="str">
        <f>VLOOKUP(D373,기본!$D$13:$E$74,2,0)</f>
        <v>MNT JDM</v>
      </c>
      <c r="D373" t="s">
        <v>1884</v>
      </c>
      <c r="E373" t="s">
        <v>1156</v>
      </c>
      <c r="F373" t="s">
        <v>2112</v>
      </c>
      <c r="G373" s="554">
        <v>10560</v>
      </c>
      <c r="H373">
        <v>58.031191679999992</v>
      </c>
    </row>
    <row r="374" spans="2:8">
      <c r="B374" s="555" t="s">
        <v>2158</v>
      </c>
      <c r="C374" s="555" t="str">
        <f>VLOOKUP(D374,기본!$D$13:$E$74,2,0)</f>
        <v>MNT JDM</v>
      </c>
      <c r="D374" t="s">
        <v>157</v>
      </c>
      <c r="E374" t="s">
        <v>709</v>
      </c>
      <c r="F374" t="s">
        <v>1885</v>
      </c>
      <c r="G374" s="554">
        <v>30624</v>
      </c>
      <c r="H374">
        <v>132.14092319999997</v>
      </c>
    </row>
    <row r="375" spans="2:8">
      <c r="B375" s="555" t="s">
        <v>2158</v>
      </c>
      <c r="C375" s="555" t="str">
        <f>VLOOKUP(D375,기본!$D$13:$E$74,2,0)</f>
        <v>MNT JDM</v>
      </c>
      <c r="D375" t="s">
        <v>157</v>
      </c>
      <c r="E375" t="s">
        <v>710</v>
      </c>
      <c r="F375" t="s">
        <v>1886</v>
      </c>
      <c r="G375" s="554">
        <v>16896</v>
      </c>
      <c r="H375">
        <v>87.105925631999995</v>
      </c>
    </row>
    <row r="376" spans="2:8">
      <c r="B376" s="555" t="s">
        <v>2158</v>
      </c>
      <c r="C376" s="555" t="str">
        <f>VLOOKUP(D376,기본!$D$13:$E$74,2,0)</f>
        <v>MNT JDM</v>
      </c>
      <c r="D376" t="s">
        <v>157</v>
      </c>
      <c r="E376" t="s">
        <v>1156</v>
      </c>
      <c r="F376" t="s">
        <v>1870</v>
      </c>
      <c r="G376" s="554">
        <v>15840</v>
      </c>
      <c r="H376">
        <v>84.015782399999992</v>
      </c>
    </row>
    <row r="377" spans="2:8">
      <c r="B377" s="555" t="s">
        <v>2158</v>
      </c>
      <c r="C377" s="555" t="str">
        <f>VLOOKUP(D377,기본!$D$13:$E$74,2,0)</f>
        <v>AV JDM</v>
      </c>
      <c r="D377" t="s">
        <v>1888</v>
      </c>
      <c r="E377" t="s">
        <v>1842</v>
      </c>
      <c r="F377" t="s">
        <v>1680</v>
      </c>
      <c r="G377" s="554">
        <v>24880</v>
      </c>
      <c r="H377">
        <v>218.75288159999997</v>
      </c>
    </row>
    <row r="378" spans="2:8">
      <c r="B378" s="555" t="s">
        <v>2158</v>
      </c>
      <c r="C378" s="555" t="str">
        <f>VLOOKUP(D378,기본!$D$13:$E$74,2,0)</f>
        <v>AV JDM</v>
      </c>
      <c r="D378" t="s">
        <v>1888</v>
      </c>
      <c r="E378" t="s">
        <v>2104</v>
      </c>
      <c r="F378" t="s">
        <v>2105</v>
      </c>
      <c r="G378" s="554">
        <v>320</v>
      </c>
      <c r="H378">
        <v>3.0027360000000001</v>
      </c>
    </row>
    <row r="379" spans="2:8">
      <c r="B379" s="555" t="s">
        <v>2158</v>
      </c>
      <c r="C379" s="555" t="str">
        <f>VLOOKUP(D379,기본!$D$13:$E$74,2,0)</f>
        <v>AV JDM</v>
      </c>
      <c r="D379" t="s">
        <v>1888</v>
      </c>
      <c r="E379" t="s">
        <v>105</v>
      </c>
      <c r="F379" t="s">
        <v>104</v>
      </c>
      <c r="G379" s="554">
        <v>1920</v>
      </c>
      <c r="H379">
        <v>18.797922</v>
      </c>
    </row>
    <row r="380" spans="2:8">
      <c r="B380" s="555" t="s">
        <v>2158</v>
      </c>
      <c r="C380" s="555" t="str">
        <f>VLOOKUP(D380,기본!$D$13:$E$74,2,0)</f>
        <v>AV JDM</v>
      </c>
      <c r="D380" t="s">
        <v>1888</v>
      </c>
      <c r="E380" t="s">
        <v>690</v>
      </c>
      <c r="F380" t="s">
        <v>689</v>
      </c>
      <c r="G380" s="554">
        <v>800</v>
      </c>
      <c r="H380">
        <v>8.0269884000000005</v>
      </c>
    </row>
    <row r="381" spans="2:8">
      <c r="B381" s="555" t="s">
        <v>2158</v>
      </c>
      <c r="C381" s="555" t="str">
        <f>VLOOKUP(D381,기본!$D$13:$E$74,2,0)</f>
        <v>AV JDM</v>
      </c>
      <c r="D381" t="s">
        <v>1888</v>
      </c>
      <c r="E381" t="s">
        <v>1656</v>
      </c>
      <c r="F381" t="s">
        <v>1656</v>
      </c>
      <c r="G381" s="554">
        <v>150</v>
      </c>
      <c r="H381">
        <v>1.2664439999999999</v>
      </c>
    </row>
    <row r="382" spans="2:8">
      <c r="B382" s="555" t="s">
        <v>2158</v>
      </c>
      <c r="C382" s="555" t="str">
        <f>VLOOKUP(D382,기본!$D$13:$E$74,2,0)</f>
        <v>AV JDM</v>
      </c>
      <c r="D382" t="s">
        <v>1888</v>
      </c>
      <c r="E382" t="s">
        <v>1889</v>
      </c>
      <c r="F382" t="s">
        <v>1890</v>
      </c>
      <c r="G382" s="554">
        <v>25200</v>
      </c>
      <c r="H382">
        <v>192.80394000000001</v>
      </c>
    </row>
    <row r="383" spans="2:8">
      <c r="B383" s="555" t="s">
        <v>2158</v>
      </c>
      <c r="C383" s="555" t="str">
        <f>VLOOKUP(D383,기본!$D$13:$E$74,2,0)</f>
        <v>AV JDM</v>
      </c>
      <c r="D383" t="s">
        <v>1888</v>
      </c>
      <c r="E383" t="s">
        <v>2106</v>
      </c>
      <c r="F383" t="s">
        <v>1256</v>
      </c>
      <c r="G383" s="554">
        <v>4032</v>
      </c>
      <c r="H383">
        <v>38.036150208000002</v>
      </c>
    </row>
    <row r="384" spans="2:8">
      <c r="B384" s="555" t="s">
        <v>2158</v>
      </c>
      <c r="C384" s="555" t="str">
        <f>VLOOKUP(D384,기본!$D$13:$E$74,2,0)</f>
        <v>AV JDM</v>
      </c>
      <c r="D384" t="s">
        <v>1888</v>
      </c>
      <c r="E384" t="s">
        <v>1845</v>
      </c>
      <c r="F384" t="s">
        <v>1340</v>
      </c>
      <c r="G384" s="554">
        <v>17304</v>
      </c>
      <c r="H384">
        <v>174.72660122400001</v>
      </c>
    </row>
    <row r="385" spans="2:8">
      <c r="B385" s="555" t="s">
        <v>2158</v>
      </c>
      <c r="C385" s="555" t="str">
        <f>VLOOKUP(D385,기본!$D$13:$E$74,2,0)</f>
        <v>AV JDM</v>
      </c>
      <c r="D385" t="s">
        <v>1888</v>
      </c>
      <c r="E385" t="s">
        <v>1846</v>
      </c>
      <c r="F385" t="s">
        <v>1341</v>
      </c>
      <c r="G385" s="554">
        <v>294</v>
      </c>
      <c r="H385">
        <v>3.2633541359999998</v>
      </c>
    </row>
    <row r="386" spans="2:8">
      <c r="B386" s="555" t="s">
        <v>2158</v>
      </c>
      <c r="C386" s="555" t="str">
        <f>VLOOKUP(D386,기본!$D$13:$E$74,2,0)</f>
        <v>AV JDM</v>
      </c>
      <c r="D386" t="s">
        <v>1888</v>
      </c>
      <c r="E386" t="s">
        <v>1847</v>
      </c>
      <c r="F386" t="s">
        <v>1336</v>
      </c>
      <c r="G386" s="554">
        <v>41120</v>
      </c>
      <c r="H386">
        <v>361.59443759999999</v>
      </c>
    </row>
    <row r="387" spans="2:8">
      <c r="B387" s="555" t="s">
        <v>2158</v>
      </c>
      <c r="C387" s="555" t="str">
        <f>VLOOKUP(D387,기본!$D$13:$E$74,2,0)</f>
        <v>AV JDM</v>
      </c>
      <c r="D387" t="s">
        <v>1888</v>
      </c>
      <c r="E387" t="s">
        <v>1894</v>
      </c>
      <c r="F387" t="s">
        <v>1337</v>
      </c>
      <c r="G387" s="554">
        <v>1120</v>
      </c>
      <c r="H387">
        <v>11.009712</v>
      </c>
    </row>
    <row r="388" spans="2:8">
      <c r="B388" s="555" t="s">
        <v>2158</v>
      </c>
      <c r="C388" s="555" t="str">
        <f>VLOOKUP(D388,기본!$D$13:$E$74,2,0)</f>
        <v>AV JDM</v>
      </c>
      <c r="D388" t="s">
        <v>1888</v>
      </c>
      <c r="E388" t="s">
        <v>1015</v>
      </c>
      <c r="F388" t="s">
        <v>1015</v>
      </c>
      <c r="G388" s="554">
        <v>23104</v>
      </c>
      <c r="H388">
        <v>158.11778201600001</v>
      </c>
    </row>
    <row r="389" spans="2:8">
      <c r="B389" s="555" t="s">
        <v>2158</v>
      </c>
      <c r="C389" s="555" t="str">
        <f>VLOOKUP(D389,기본!$D$13:$E$74,2,0)</f>
        <v>AV JDM</v>
      </c>
      <c r="D389" t="s">
        <v>1888</v>
      </c>
      <c r="E389" t="s">
        <v>2113</v>
      </c>
      <c r="F389" t="s">
        <v>2113</v>
      </c>
      <c r="G389" s="554">
        <v>128</v>
      </c>
      <c r="H389">
        <v>0.96585676800000009</v>
      </c>
    </row>
    <row r="390" spans="2:8">
      <c r="B390" s="555" t="s">
        <v>2158</v>
      </c>
      <c r="C390" s="555" t="str">
        <f>VLOOKUP(D390,기본!$D$13:$E$74,2,0)</f>
        <v>AV JDM</v>
      </c>
      <c r="D390" t="s">
        <v>1888</v>
      </c>
      <c r="E390" t="s">
        <v>1016</v>
      </c>
      <c r="F390" t="s">
        <v>1016</v>
      </c>
      <c r="G390" s="554">
        <v>32704</v>
      </c>
      <c r="H390">
        <v>264.84229369600001</v>
      </c>
    </row>
    <row r="391" spans="2:8">
      <c r="B391" s="555" t="s">
        <v>2158</v>
      </c>
      <c r="C391" s="555" t="str">
        <f>VLOOKUP(D391,기본!$D$13:$E$74,2,0)</f>
        <v>AV JDM</v>
      </c>
      <c r="D391" t="s">
        <v>1888</v>
      </c>
      <c r="E391" t="s">
        <v>1047</v>
      </c>
      <c r="F391" t="s">
        <v>1047</v>
      </c>
      <c r="G391" s="554">
        <v>448</v>
      </c>
      <c r="H391">
        <v>3.9234988800000004</v>
      </c>
    </row>
    <row r="392" spans="2:8">
      <c r="B392" s="555" t="s">
        <v>2158</v>
      </c>
      <c r="C392" s="555" t="str">
        <f>VLOOKUP(D392,기본!$D$13:$E$74,2,0)</f>
        <v>AV JDM</v>
      </c>
      <c r="D392" t="s">
        <v>1888</v>
      </c>
      <c r="E392" t="s">
        <v>1895</v>
      </c>
      <c r="F392" t="s">
        <v>1895</v>
      </c>
      <c r="G392" s="554">
        <v>4300</v>
      </c>
      <c r="H392">
        <v>36.62514358</v>
      </c>
    </row>
    <row r="393" spans="2:8">
      <c r="B393" s="555" t="s">
        <v>2158</v>
      </c>
      <c r="C393" s="555" t="str">
        <f>VLOOKUP(D393,기본!$D$13:$E$74,2,0)</f>
        <v>JDM</v>
      </c>
      <c r="D393" t="s">
        <v>1896</v>
      </c>
      <c r="E393" t="s">
        <v>1897</v>
      </c>
      <c r="F393" t="s">
        <v>1897</v>
      </c>
      <c r="G393" s="554">
        <v>200</v>
      </c>
      <c r="H393">
        <v>11.150428</v>
      </c>
    </row>
    <row r="394" spans="2:8">
      <c r="B394" s="555" t="s">
        <v>2158</v>
      </c>
      <c r="C394" s="555" t="str">
        <f>VLOOKUP(D394,기본!$D$13:$E$74,2,0)</f>
        <v>MNT JDM</v>
      </c>
      <c r="D394" t="s">
        <v>1898</v>
      </c>
      <c r="E394" t="s">
        <v>1156</v>
      </c>
      <c r="F394" t="s">
        <v>2114</v>
      </c>
      <c r="G394" s="554">
        <v>5280</v>
      </c>
      <c r="H394">
        <v>28.102271999999996</v>
      </c>
    </row>
    <row r="395" spans="2:8">
      <c r="B395" s="555" t="s">
        <v>2158</v>
      </c>
      <c r="C395" s="555" t="str">
        <f>VLOOKUP(D395,기본!$D$13:$E$74,2,0)</f>
        <v>MNT JDM</v>
      </c>
      <c r="D395" t="s">
        <v>1900</v>
      </c>
      <c r="E395" t="s">
        <v>709</v>
      </c>
      <c r="F395" t="s">
        <v>2115</v>
      </c>
      <c r="G395" s="554">
        <v>26400</v>
      </c>
      <c r="H395">
        <v>114.8680368</v>
      </c>
    </row>
    <row r="396" spans="2:8">
      <c r="B396" s="555" t="s">
        <v>2158</v>
      </c>
      <c r="C396" s="555" t="str">
        <f>VLOOKUP(D396,기본!$D$13:$E$74,2,0)</f>
        <v>MNT JDM</v>
      </c>
      <c r="D396" t="s">
        <v>1900</v>
      </c>
      <c r="E396" t="s">
        <v>1156</v>
      </c>
      <c r="F396" t="s">
        <v>2116</v>
      </c>
      <c r="G396" s="554">
        <v>3168</v>
      </c>
      <c r="H396">
        <v>16.8613632</v>
      </c>
    </row>
    <row r="397" spans="2:8">
      <c r="B397" s="555" t="s">
        <v>2158</v>
      </c>
      <c r="C397" s="555" t="str">
        <f>VLOOKUP(D397,기본!$D$13:$E$74,2,0)</f>
        <v>한화비전</v>
      </c>
      <c r="D397" t="s">
        <v>1901</v>
      </c>
      <c r="E397" t="s">
        <v>2117</v>
      </c>
      <c r="F397" t="s">
        <v>2118</v>
      </c>
      <c r="G397" s="554">
        <v>1620</v>
      </c>
      <c r="H397">
        <v>5.7295123199999995</v>
      </c>
    </row>
    <row r="398" spans="2:8">
      <c r="B398" s="555" t="s">
        <v>2158</v>
      </c>
      <c r="C398" s="555" t="str">
        <f>VLOOKUP(D398,기본!$D$13:$E$74,2,0)</f>
        <v>한화비전</v>
      </c>
      <c r="D398" t="s">
        <v>1901</v>
      </c>
      <c r="E398" t="s">
        <v>1902</v>
      </c>
      <c r="F398" t="s">
        <v>1903</v>
      </c>
      <c r="G398" s="554">
        <v>1854</v>
      </c>
      <c r="H398">
        <v>64.104831000000004</v>
      </c>
    </row>
    <row r="399" spans="2:8">
      <c r="B399" s="555" t="s">
        <v>2158</v>
      </c>
      <c r="C399" s="555" t="str">
        <f>VLOOKUP(D399,기본!$D$13:$E$74,2,0)</f>
        <v>코웨이</v>
      </c>
      <c r="D399" t="s">
        <v>1905</v>
      </c>
      <c r="E399" t="s">
        <v>1066</v>
      </c>
      <c r="F399" t="s">
        <v>1066</v>
      </c>
      <c r="G399" s="554">
        <v>1000</v>
      </c>
      <c r="H399">
        <v>7.9194500000000003</v>
      </c>
    </row>
    <row r="400" spans="2:8">
      <c r="B400" s="555" t="s">
        <v>2158</v>
      </c>
      <c r="C400" s="555" t="str">
        <f>VLOOKUP(D400,기본!$D$13:$E$74,2,0)</f>
        <v>코웨이</v>
      </c>
      <c r="D400" t="s">
        <v>1905</v>
      </c>
      <c r="E400" t="s">
        <v>1906</v>
      </c>
      <c r="F400" t="s">
        <v>1906</v>
      </c>
      <c r="G400" s="554">
        <v>6240</v>
      </c>
      <c r="H400">
        <v>40.032220800000005</v>
      </c>
    </row>
    <row r="401" spans="2:8">
      <c r="B401" s="555" t="s">
        <v>2158</v>
      </c>
      <c r="C401" s="555" t="str">
        <f>VLOOKUP(D401,기본!$D$13:$E$74,2,0)</f>
        <v>코웨이</v>
      </c>
      <c r="D401" t="s">
        <v>1905</v>
      </c>
      <c r="E401" t="s">
        <v>1908</v>
      </c>
      <c r="F401" t="s">
        <v>1908</v>
      </c>
      <c r="G401" s="554">
        <v>720</v>
      </c>
      <c r="H401">
        <v>4.7628503999999996</v>
      </c>
    </row>
    <row r="402" spans="2:8">
      <c r="B402" s="555" t="s">
        <v>2158</v>
      </c>
      <c r="C402" s="555" t="str">
        <f>VLOOKUP(D402,기본!$D$13:$E$74,2,0)</f>
        <v>코웨이</v>
      </c>
      <c r="D402" t="s">
        <v>1905</v>
      </c>
      <c r="E402" t="s">
        <v>1909</v>
      </c>
      <c r="F402" t="s">
        <v>1909</v>
      </c>
      <c r="G402" s="554">
        <v>3088</v>
      </c>
      <c r="H402">
        <v>17.057031200000001</v>
      </c>
    </row>
    <row r="403" spans="2:8">
      <c r="B403" s="555" t="s">
        <v>2158</v>
      </c>
      <c r="C403" s="555" t="str">
        <f>VLOOKUP(D403,기본!$D$13:$E$74,2,0)</f>
        <v>코웨이</v>
      </c>
      <c r="D403" t="s">
        <v>1905</v>
      </c>
      <c r="E403" t="s">
        <v>1910</v>
      </c>
      <c r="F403" t="s">
        <v>1910</v>
      </c>
      <c r="G403" s="554">
        <v>2805</v>
      </c>
      <c r="H403">
        <v>16.501871099999999</v>
      </c>
    </row>
    <row r="404" spans="2:8">
      <c r="B404" s="555" t="s">
        <v>2158</v>
      </c>
      <c r="C404" s="555" t="str">
        <f>VLOOKUP(D404,기본!$D$13:$E$74,2,0)</f>
        <v>삼성 VD</v>
      </c>
      <c r="D404" t="s">
        <v>1912</v>
      </c>
      <c r="E404" t="s">
        <v>1165</v>
      </c>
      <c r="F404" t="s">
        <v>1882</v>
      </c>
      <c r="G404" s="554">
        <v>186</v>
      </c>
      <c r="H404">
        <v>5.3705677199999995</v>
      </c>
    </row>
    <row r="405" spans="2:8">
      <c r="B405" s="555" t="s">
        <v>2158</v>
      </c>
      <c r="C405" s="555" t="str">
        <f>VLOOKUP(D405,기본!$D$13:$E$74,2,0)</f>
        <v>삼성 VD</v>
      </c>
      <c r="D405" t="s">
        <v>1912</v>
      </c>
      <c r="E405" t="s">
        <v>1164</v>
      </c>
      <c r="F405" t="s">
        <v>1850</v>
      </c>
      <c r="G405" s="554">
        <v>3138</v>
      </c>
      <c r="H405">
        <v>82.184763348000004</v>
      </c>
    </row>
    <row r="406" spans="2:8">
      <c r="B406" s="555" t="s">
        <v>2158</v>
      </c>
      <c r="C406" s="555" t="str">
        <f>VLOOKUP(D406,기본!$D$13:$E$74,2,0)</f>
        <v>삼성 VD</v>
      </c>
      <c r="D406" t="s">
        <v>1912</v>
      </c>
      <c r="E406" t="s">
        <v>1786</v>
      </c>
      <c r="F406" t="s">
        <v>1671</v>
      </c>
      <c r="G406" s="554">
        <v>13824</v>
      </c>
      <c r="H406">
        <v>146.786834016</v>
      </c>
    </row>
    <row r="407" spans="2:8">
      <c r="B407" s="555" t="s">
        <v>2158</v>
      </c>
      <c r="C407" s="555" t="str">
        <f>VLOOKUP(D407,기본!$D$13:$E$74,2,0)</f>
        <v>삼성 VD</v>
      </c>
      <c r="D407" t="s">
        <v>1912</v>
      </c>
      <c r="E407" t="s">
        <v>1788</v>
      </c>
      <c r="F407" t="s">
        <v>1913</v>
      </c>
      <c r="G407" s="554">
        <v>55296</v>
      </c>
      <c r="H407">
        <v>657.20397427199998</v>
      </c>
    </row>
    <row r="408" spans="2:8">
      <c r="B408" s="555" t="s">
        <v>2158</v>
      </c>
      <c r="C408" s="555" t="str">
        <f>VLOOKUP(D408,기본!$D$13:$E$74,2,0)</f>
        <v>삼성 VD</v>
      </c>
      <c r="D408" t="s">
        <v>1912</v>
      </c>
      <c r="E408" t="s">
        <v>1790</v>
      </c>
      <c r="F408" t="s">
        <v>1914</v>
      </c>
      <c r="G408" s="554">
        <v>9537</v>
      </c>
      <c r="H408">
        <v>125.09169023999999</v>
      </c>
    </row>
    <row r="409" spans="2:8">
      <c r="B409" s="555" t="s">
        <v>2158</v>
      </c>
      <c r="C409" s="555" t="str">
        <f>VLOOKUP(D409,기본!$D$13:$E$74,2,0)</f>
        <v>삼성 VD</v>
      </c>
      <c r="D409" t="s">
        <v>1912</v>
      </c>
      <c r="E409" t="s">
        <v>1792</v>
      </c>
      <c r="F409" t="s">
        <v>1915</v>
      </c>
      <c r="G409" s="554">
        <v>6048</v>
      </c>
      <c r="H409">
        <v>103.986109152</v>
      </c>
    </row>
    <row r="410" spans="2:8">
      <c r="B410" s="555" t="s">
        <v>2158</v>
      </c>
      <c r="C410" s="555" t="str">
        <f>VLOOKUP(D410,기본!$D$13:$E$74,2,0)</f>
        <v>삼성 VD</v>
      </c>
      <c r="D410" t="s">
        <v>1912</v>
      </c>
      <c r="E410" t="s">
        <v>1923</v>
      </c>
      <c r="F410" t="s">
        <v>1924</v>
      </c>
      <c r="G410" s="554">
        <v>4048</v>
      </c>
      <c r="H410">
        <v>19.549502279999995</v>
      </c>
    </row>
    <row r="411" spans="2:8">
      <c r="B411" s="555" t="s">
        <v>2158</v>
      </c>
      <c r="C411" s="555" t="str">
        <f>VLOOKUP(D411,기본!$D$13:$E$74,2,0)</f>
        <v>삼성 VD</v>
      </c>
      <c r="D411" t="s">
        <v>1912</v>
      </c>
      <c r="E411" t="s">
        <v>1925</v>
      </c>
      <c r="F411" t="s">
        <v>1926</v>
      </c>
      <c r="G411" s="554">
        <v>1596</v>
      </c>
      <c r="H411">
        <v>12.911716607999999</v>
      </c>
    </row>
    <row r="412" spans="2:8">
      <c r="B412" s="555" t="s">
        <v>2158</v>
      </c>
      <c r="C412" s="555" t="str">
        <f>VLOOKUP(D412,기본!$D$13:$E$74,2,0)</f>
        <v>삼성 VD</v>
      </c>
      <c r="D412" t="s">
        <v>1916</v>
      </c>
      <c r="E412" t="s">
        <v>1165</v>
      </c>
      <c r="F412" t="s">
        <v>1882</v>
      </c>
      <c r="G412" s="554">
        <v>192</v>
      </c>
      <c r="H412">
        <v>5.5438118399999992</v>
      </c>
    </row>
    <row r="413" spans="2:8">
      <c r="B413" s="555" t="s">
        <v>2158</v>
      </c>
      <c r="C413" s="555" t="str">
        <f>VLOOKUP(D413,기본!$D$13:$E$74,2,0)</f>
        <v>삼성 VD</v>
      </c>
      <c r="D413" t="s">
        <v>1916</v>
      </c>
      <c r="E413" t="s">
        <v>1164</v>
      </c>
      <c r="F413" t="s">
        <v>1850</v>
      </c>
      <c r="G413" s="554">
        <v>648</v>
      </c>
      <c r="H413">
        <v>16.994529647999997</v>
      </c>
    </row>
    <row r="414" spans="2:8">
      <c r="B414" s="555" t="s">
        <v>2158</v>
      </c>
      <c r="C414" s="555" t="str">
        <f>VLOOKUP(D414,기본!$D$13:$E$74,2,0)</f>
        <v>삼성 VD</v>
      </c>
      <c r="D414" t="s">
        <v>1916</v>
      </c>
      <c r="E414" t="s">
        <v>1851</v>
      </c>
      <c r="F414" t="s">
        <v>1852</v>
      </c>
      <c r="G414" s="554">
        <v>2352</v>
      </c>
      <c r="H414">
        <v>17.054122176</v>
      </c>
    </row>
    <row r="415" spans="2:8">
      <c r="B415" s="555" t="s">
        <v>2158</v>
      </c>
      <c r="C415" s="555" t="str">
        <f>VLOOKUP(D415,기본!$D$13:$E$74,2,0)</f>
        <v>삼성 VD</v>
      </c>
      <c r="D415" t="s">
        <v>1916</v>
      </c>
      <c r="E415" t="s">
        <v>1853</v>
      </c>
      <c r="F415" t="s">
        <v>1854</v>
      </c>
      <c r="G415" s="554">
        <v>180</v>
      </c>
      <c r="H415">
        <v>2.5411798800000001</v>
      </c>
    </row>
    <row r="416" spans="2:8">
      <c r="B416" s="555" t="s">
        <v>2158</v>
      </c>
      <c r="C416" s="555" t="str">
        <f>VLOOKUP(D416,기본!$D$13:$E$74,2,0)</f>
        <v>삼성 VD</v>
      </c>
      <c r="D416" t="s">
        <v>1916</v>
      </c>
      <c r="E416" t="s">
        <v>1855</v>
      </c>
      <c r="F416" t="s">
        <v>1856</v>
      </c>
      <c r="G416" s="554">
        <v>161</v>
      </c>
      <c r="H416">
        <v>2.3200740780000002</v>
      </c>
    </row>
    <row r="417" spans="2:8">
      <c r="B417" s="555" t="s">
        <v>2158</v>
      </c>
      <c r="C417" s="555" t="str">
        <f>VLOOKUP(D417,기본!$D$13:$E$74,2,0)</f>
        <v>삼성 VD</v>
      </c>
      <c r="D417" t="s">
        <v>1916</v>
      </c>
      <c r="E417" t="s">
        <v>1874</v>
      </c>
      <c r="F417" t="s">
        <v>1875</v>
      </c>
      <c r="G417" s="554">
        <v>345</v>
      </c>
      <c r="H417">
        <v>5.4139957599999997</v>
      </c>
    </row>
    <row r="418" spans="2:8">
      <c r="B418" s="555" t="s">
        <v>2158</v>
      </c>
      <c r="C418" s="555" t="str">
        <f>VLOOKUP(D418,기본!$D$13:$E$74,2,0)</f>
        <v>삼성 VD</v>
      </c>
      <c r="D418" t="s">
        <v>1916</v>
      </c>
      <c r="E418" t="s">
        <v>1857</v>
      </c>
      <c r="F418" t="s">
        <v>1858</v>
      </c>
      <c r="G418" s="554">
        <v>864</v>
      </c>
      <c r="H418">
        <v>8.3923603199999981</v>
      </c>
    </row>
    <row r="419" spans="2:8">
      <c r="B419" s="555" t="s">
        <v>2158</v>
      </c>
      <c r="C419" s="555" t="str">
        <f>VLOOKUP(D419,기본!$D$13:$E$74,2,0)</f>
        <v>삼성 VD</v>
      </c>
      <c r="D419" t="s">
        <v>1916</v>
      </c>
      <c r="E419" t="s">
        <v>1786</v>
      </c>
      <c r="F419" t="s">
        <v>1671</v>
      </c>
      <c r="G419" s="554">
        <v>3060</v>
      </c>
      <c r="H419">
        <v>32.532371640000001</v>
      </c>
    </row>
    <row r="420" spans="2:8">
      <c r="B420" s="555" t="s">
        <v>2158</v>
      </c>
      <c r="C420" s="555" t="str">
        <f>VLOOKUP(D420,기본!$D$13:$E$74,2,0)</f>
        <v>삼성 VD</v>
      </c>
      <c r="D420" t="s">
        <v>1916</v>
      </c>
      <c r="E420" t="s">
        <v>1777</v>
      </c>
      <c r="F420" t="s">
        <v>1672</v>
      </c>
      <c r="G420" s="554">
        <v>27216</v>
      </c>
      <c r="H420">
        <v>300.39314184000006</v>
      </c>
    </row>
    <row r="421" spans="2:8">
      <c r="B421" s="555" t="s">
        <v>2158</v>
      </c>
      <c r="C421" s="555" t="str">
        <f>VLOOKUP(D421,기본!$D$13:$E$74,2,0)</f>
        <v>삼성 VD</v>
      </c>
      <c r="D421" t="s">
        <v>1916</v>
      </c>
      <c r="E421" t="s">
        <v>1788</v>
      </c>
      <c r="F421" t="s">
        <v>1913</v>
      </c>
      <c r="G421" s="554">
        <v>5508</v>
      </c>
      <c r="H421">
        <v>65.479828464000008</v>
      </c>
    </row>
    <row r="422" spans="2:8">
      <c r="B422" s="555" t="s">
        <v>2158</v>
      </c>
      <c r="C422" s="555" t="str">
        <f>VLOOKUP(D422,기본!$D$13:$E$74,2,0)</f>
        <v>삼성 VD</v>
      </c>
      <c r="D422" t="s">
        <v>1916</v>
      </c>
      <c r="E422" t="s">
        <v>1778</v>
      </c>
      <c r="F422" t="s">
        <v>1919</v>
      </c>
      <c r="G422" s="554">
        <v>54208</v>
      </c>
      <c r="H422">
        <v>677.20364332799988</v>
      </c>
    </row>
    <row r="423" spans="2:8">
      <c r="B423" s="555" t="s">
        <v>2158</v>
      </c>
      <c r="C423" s="555" t="str">
        <f>VLOOKUP(D423,기본!$D$13:$E$74,2,0)</f>
        <v>삼성 VD</v>
      </c>
      <c r="D423" t="s">
        <v>1916</v>
      </c>
      <c r="E423" t="s">
        <v>1790</v>
      </c>
      <c r="F423" t="s">
        <v>1914</v>
      </c>
      <c r="G423" s="554">
        <v>462</v>
      </c>
      <c r="H423">
        <v>6.0621547799999984</v>
      </c>
    </row>
    <row r="424" spans="2:8">
      <c r="B424" s="555" t="s">
        <v>2158</v>
      </c>
      <c r="C424" s="555" t="str">
        <f>VLOOKUP(D424,기본!$D$13:$E$74,2,0)</f>
        <v>삼성 VD</v>
      </c>
      <c r="D424" t="s">
        <v>1916</v>
      </c>
      <c r="E424" t="s">
        <v>1779</v>
      </c>
      <c r="F424" t="s">
        <v>1920</v>
      </c>
      <c r="G424" s="554">
        <v>30954</v>
      </c>
      <c r="H424">
        <v>431.06635779899995</v>
      </c>
    </row>
    <row r="425" spans="2:8">
      <c r="B425" s="555" t="s">
        <v>2158</v>
      </c>
      <c r="C425" s="555" t="str">
        <f>VLOOKUP(D425,기본!$D$13:$E$74,2,0)</f>
        <v>삼성 VD</v>
      </c>
      <c r="D425" t="s">
        <v>1916</v>
      </c>
      <c r="E425" t="s">
        <v>1792</v>
      </c>
      <c r="F425" t="s">
        <v>1915</v>
      </c>
      <c r="G425" s="554">
        <v>7740</v>
      </c>
      <c r="H425">
        <v>132.97817397599999</v>
      </c>
    </row>
    <row r="426" spans="2:8">
      <c r="B426" s="555" t="s">
        <v>2158</v>
      </c>
      <c r="C426" s="555" t="str">
        <f>VLOOKUP(D426,기본!$D$13:$E$74,2,0)</f>
        <v>삼성 VD</v>
      </c>
      <c r="D426" t="s">
        <v>1916</v>
      </c>
      <c r="E426" t="s">
        <v>1921</v>
      </c>
      <c r="F426" t="s">
        <v>1922</v>
      </c>
      <c r="G426" s="554">
        <v>864</v>
      </c>
      <c r="H426">
        <v>22.551411496</v>
      </c>
    </row>
    <row r="427" spans="2:8">
      <c r="B427" s="555" t="s">
        <v>2158</v>
      </c>
      <c r="C427" s="555" t="str">
        <f>VLOOKUP(D427,기본!$D$13:$E$74,2,0)</f>
        <v>삼성 VD</v>
      </c>
      <c r="D427" t="s">
        <v>1916</v>
      </c>
      <c r="E427" t="s">
        <v>1923</v>
      </c>
      <c r="F427" t="s">
        <v>1924</v>
      </c>
      <c r="G427" s="554">
        <v>51128</v>
      </c>
      <c r="H427">
        <v>248.03536164000002</v>
      </c>
    </row>
    <row r="428" spans="2:8">
      <c r="B428" s="555" t="s">
        <v>2158</v>
      </c>
      <c r="C428" s="555" t="str">
        <f>VLOOKUP(D428,기본!$D$13:$E$74,2,0)</f>
        <v>삼성 VD</v>
      </c>
      <c r="D428" t="s">
        <v>1916</v>
      </c>
      <c r="E428" t="s">
        <v>709</v>
      </c>
      <c r="F428" t="s">
        <v>1869</v>
      </c>
      <c r="G428" s="554">
        <v>3168</v>
      </c>
      <c r="H428">
        <v>10.749119039999998</v>
      </c>
    </row>
    <row r="429" spans="2:8">
      <c r="B429" s="555" t="s">
        <v>2158</v>
      </c>
      <c r="C429" s="555" t="str">
        <f>VLOOKUP(D429,기본!$D$13:$E$74,2,0)</f>
        <v>삼성 VD</v>
      </c>
      <c r="D429" t="s">
        <v>1927</v>
      </c>
      <c r="E429" t="s">
        <v>2119</v>
      </c>
      <c r="F429" t="s">
        <v>2120</v>
      </c>
      <c r="G429" s="554">
        <v>4512</v>
      </c>
      <c r="H429">
        <v>84.586226471999993</v>
      </c>
    </row>
    <row r="430" spans="2:8">
      <c r="B430" s="555" t="s">
        <v>2158</v>
      </c>
      <c r="C430" s="555" t="str">
        <f>VLOOKUP(D430,기본!$D$13:$E$74,2,0)</f>
        <v>삼성 VD</v>
      </c>
      <c r="D430" t="s">
        <v>1927</v>
      </c>
      <c r="E430" t="s">
        <v>2121</v>
      </c>
      <c r="F430" t="s">
        <v>874</v>
      </c>
      <c r="G430" s="554">
        <v>144</v>
      </c>
      <c r="H430">
        <v>2.7753710399999996</v>
      </c>
    </row>
    <row r="431" spans="2:8">
      <c r="B431" s="555" t="s">
        <v>2158</v>
      </c>
      <c r="C431" s="555" t="str">
        <f>VLOOKUP(D431,기본!$D$13:$E$74,2,0)</f>
        <v>삼성 VD</v>
      </c>
      <c r="D431" t="s">
        <v>1927</v>
      </c>
      <c r="E431" t="s">
        <v>1165</v>
      </c>
      <c r="F431" t="s">
        <v>1882</v>
      </c>
      <c r="G431" s="554">
        <v>7344</v>
      </c>
      <c r="H431">
        <v>211.90315607999997</v>
      </c>
    </row>
    <row r="432" spans="2:8">
      <c r="B432" s="555" t="s">
        <v>2158</v>
      </c>
      <c r="C432" s="555" t="str">
        <f>VLOOKUP(D432,기본!$D$13:$E$74,2,0)</f>
        <v>삼성 VD</v>
      </c>
      <c r="D432" t="s">
        <v>1927</v>
      </c>
      <c r="E432" t="s">
        <v>1164</v>
      </c>
      <c r="F432" t="s">
        <v>1850</v>
      </c>
      <c r="G432" s="554">
        <v>6048</v>
      </c>
      <c r="H432">
        <v>158.41469813399999</v>
      </c>
    </row>
    <row r="433" spans="2:8">
      <c r="B433" s="555" t="s">
        <v>2158</v>
      </c>
      <c r="C433" s="555" t="str">
        <f>VLOOKUP(D433,기본!$D$13:$E$74,2,0)</f>
        <v>삼성 VD</v>
      </c>
      <c r="D433" t="s">
        <v>1927</v>
      </c>
      <c r="E433" t="s">
        <v>1851</v>
      </c>
      <c r="F433" t="s">
        <v>1852</v>
      </c>
      <c r="G433" s="554">
        <v>2304</v>
      </c>
      <c r="H433">
        <v>16.711688447999997</v>
      </c>
    </row>
    <row r="434" spans="2:8">
      <c r="B434" s="555" t="s">
        <v>2158</v>
      </c>
      <c r="C434" s="555" t="str">
        <f>VLOOKUP(D434,기본!$D$13:$E$74,2,0)</f>
        <v>삼성 VD</v>
      </c>
      <c r="D434" t="s">
        <v>1927</v>
      </c>
      <c r="E434" t="s">
        <v>1917</v>
      </c>
      <c r="F434" t="s">
        <v>1918</v>
      </c>
      <c r="G434" s="554">
        <v>384</v>
      </c>
      <c r="H434">
        <v>3.2445350399999993</v>
      </c>
    </row>
    <row r="435" spans="2:8">
      <c r="B435" s="555" t="s">
        <v>2158</v>
      </c>
      <c r="C435" s="555" t="str">
        <f>VLOOKUP(D435,기본!$D$13:$E$74,2,0)</f>
        <v>삼성 VD</v>
      </c>
      <c r="D435" t="s">
        <v>1927</v>
      </c>
      <c r="E435" t="s">
        <v>1853</v>
      </c>
      <c r="F435" t="s">
        <v>1854</v>
      </c>
      <c r="G435" s="554">
        <v>720</v>
      </c>
      <c r="H435">
        <v>10.184581439999999</v>
      </c>
    </row>
    <row r="436" spans="2:8">
      <c r="B436" s="555" t="s">
        <v>2158</v>
      </c>
      <c r="C436" s="555" t="str">
        <f>VLOOKUP(D436,기본!$D$13:$E$74,2,0)</f>
        <v>삼성 VD</v>
      </c>
      <c r="D436" t="s">
        <v>1927</v>
      </c>
      <c r="E436" t="s">
        <v>1855</v>
      </c>
      <c r="F436" t="s">
        <v>1856</v>
      </c>
      <c r="G436" s="554">
        <v>1656</v>
      </c>
      <c r="H436">
        <v>23.910248736</v>
      </c>
    </row>
    <row r="437" spans="2:8">
      <c r="B437" s="555" t="s">
        <v>2158</v>
      </c>
      <c r="C437" s="555" t="str">
        <f>VLOOKUP(D437,기본!$D$13:$E$74,2,0)</f>
        <v>삼성 VD</v>
      </c>
      <c r="D437" t="s">
        <v>1927</v>
      </c>
      <c r="E437" t="s">
        <v>1874</v>
      </c>
      <c r="F437" t="s">
        <v>1875</v>
      </c>
      <c r="G437" s="554">
        <v>2484</v>
      </c>
      <c r="H437">
        <v>39.077691840000007</v>
      </c>
    </row>
    <row r="438" spans="2:8">
      <c r="B438" s="555" t="s">
        <v>2158</v>
      </c>
      <c r="C438" s="555" t="str">
        <f>VLOOKUP(D438,기본!$D$13:$E$74,2,0)</f>
        <v>삼성 VD</v>
      </c>
      <c r="D438" t="s">
        <v>1927</v>
      </c>
      <c r="E438" t="s">
        <v>1928</v>
      </c>
      <c r="F438" t="s">
        <v>1929</v>
      </c>
      <c r="G438" s="554">
        <v>2160</v>
      </c>
      <c r="H438">
        <v>21.046541039999997</v>
      </c>
    </row>
    <row r="439" spans="2:8">
      <c r="B439" s="555" t="s">
        <v>2158</v>
      </c>
      <c r="C439" s="555" t="str">
        <f>VLOOKUP(D439,기본!$D$13:$E$74,2,0)</f>
        <v>삼성 VD</v>
      </c>
      <c r="D439" t="s">
        <v>1927</v>
      </c>
      <c r="E439" t="s">
        <v>1036</v>
      </c>
      <c r="F439" t="s">
        <v>1035</v>
      </c>
      <c r="G439" s="554">
        <v>540</v>
      </c>
      <c r="H439">
        <v>5.6758892999999997</v>
      </c>
    </row>
    <row r="440" spans="2:8">
      <c r="B440" s="555" t="s">
        <v>2158</v>
      </c>
      <c r="C440" s="555" t="str">
        <f>VLOOKUP(D440,기본!$D$13:$E$74,2,0)</f>
        <v>삼성 VD</v>
      </c>
      <c r="D440" t="s">
        <v>1927</v>
      </c>
      <c r="E440" t="s">
        <v>1002</v>
      </c>
      <c r="F440" t="s">
        <v>1001</v>
      </c>
      <c r="G440" s="554">
        <v>1680</v>
      </c>
      <c r="H440">
        <v>15.620242799999998</v>
      </c>
    </row>
    <row r="441" spans="2:8">
      <c r="B441" s="555" t="s">
        <v>2158</v>
      </c>
      <c r="C441" s="555" t="str">
        <f>VLOOKUP(D441,기본!$D$13:$E$74,2,0)</f>
        <v>삼성 VD</v>
      </c>
      <c r="D441" t="s">
        <v>1927</v>
      </c>
      <c r="E441" t="s">
        <v>1040</v>
      </c>
      <c r="F441" t="s">
        <v>1039</v>
      </c>
      <c r="G441" s="554">
        <v>576</v>
      </c>
      <c r="H441">
        <v>5.9319119999999996</v>
      </c>
    </row>
    <row r="442" spans="2:8">
      <c r="B442" s="555" t="s">
        <v>2158</v>
      </c>
      <c r="C442" s="555" t="str">
        <f>VLOOKUP(D442,기본!$D$13:$E$74,2,0)</f>
        <v>삼성 VD</v>
      </c>
      <c r="D442" t="s">
        <v>1927</v>
      </c>
      <c r="E442" t="s">
        <v>1857</v>
      </c>
      <c r="F442" t="s">
        <v>1858</v>
      </c>
      <c r="G442" s="554">
        <v>5376</v>
      </c>
      <c r="H442">
        <v>52.157460479999997</v>
      </c>
    </row>
    <row r="443" spans="2:8">
      <c r="B443" s="555" t="s">
        <v>2158</v>
      </c>
      <c r="C443" s="555" t="str">
        <f>VLOOKUP(D443,기본!$D$13:$E$74,2,0)</f>
        <v>삼성 VD</v>
      </c>
      <c r="D443" t="s">
        <v>1927</v>
      </c>
      <c r="E443" t="s">
        <v>1859</v>
      </c>
      <c r="F443" t="s">
        <v>1860</v>
      </c>
      <c r="G443" s="554">
        <v>12672</v>
      </c>
      <c r="H443">
        <v>217.93662719999998</v>
      </c>
    </row>
    <row r="444" spans="2:8">
      <c r="B444" s="555" t="s">
        <v>2158</v>
      </c>
      <c r="C444" s="555" t="str">
        <f>VLOOKUP(D444,기본!$D$13:$E$74,2,0)</f>
        <v>삼성 VD</v>
      </c>
      <c r="D444" t="s">
        <v>1927</v>
      </c>
      <c r="E444" t="s">
        <v>1042</v>
      </c>
      <c r="F444" t="s">
        <v>1041</v>
      </c>
      <c r="G444" s="554">
        <v>160</v>
      </c>
      <c r="H444">
        <v>2.8276560000000002</v>
      </c>
    </row>
    <row r="445" spans="2:8">
      <c r="B445" s="555" t="s">
        <v>2158</v>
      </c>
      <c r="C445" s="555" t="str">
        <f>VLOOKUP(D445,기본!$D$13:$E$74,2,0)</f>
        <v>삼성 VD</v>
      </c>
      <c r="D445" t="s">
        <v>1927</v>
      </c>
      <c r="E445" t="s">
        <v>1861</v>
      </c>
      <c r="F445" t="s">
        <v>1862</v>
      </c>
      <c r="G445" s="554">
        <v>464</v>
      </c>
      <c r="H445">
        <v>7.9310191999999997</v>
      </c>
    </row>
    <row r="446" spans="2:8">
      <c r="B446" s="555" t="s">
        <v>2158</v>
      </c>
      <c r="C446" s="555" t="str">
        <f>VLOOKUP(D446,기본!$D$13:$E$74,2,0)</f>
        <v>삼성 VD</v>
      </c>
      <c r="D446" t="s">
        <v>1927</v>
      </c>
      <c r="E446" t="s">
        <v>1863</v>
      </c>
      <c r="F446" t="s">
        <v>1864</v>
      </c>
      <c r="G446" s="554">
        <v>402</v>
      </c>
      <c r="H446">
        <v>3.2130935999999997</v>
      </c>
    </row>
    <row r="447" spans="2:8">
      <c r="B447" s="555" t="s">
        <v>2158</v>
      </c>
      <c r="C447" s="555" t="str">
        <f>VLOOKUP(D447,기본!$D$13:$E$74,2,0)</f>
        <v>삼성 VD</v>
      </c>
      <c r="D447" t="s">
        <v>1927</v>
      </c>
      <c r="E447" t="s">
        <v>1930</v>
      </c>
      <c r="F447" t="s">
        <v>1931</v>
      </c>
      <c r="G447" s="554">
        <v>3562</v>
      </c>
      <c r="H447">
        <v>22.652054567999997</v>
      </c>
    </row>
    <row r="448" spans="2:8">
      <c r="B448" s="555" t="s">
        <v>2158</v>
      </c>
      <c r="C448" s="555" t="str">
        <f>VLOOKUP(D448,기본!$D$13:$E$74,2,0)</f>
        <v>삼성 VD</v>
      </c>
      <c r="D448" t="s">
        <v>1927</v>
      </c>
      <c r="E448" t="s">
        <v>1309</v>
      </c>
      <c r="F448" t="s">
        <v>1308</v>
      </c>
      <c r="G448" s="554">
        <v>11736</v>
      </c>
      <c r="H448">
        <v>255.04399563800001</v>
      </c>
    </row>
    <row r="449" spans="2:8">
      <c r="B449" s="555" t="s">
        <v>2158</v>
      </c>
      <c r="C449" s="555" t="str">
        <f>VLOOKUP(D449,기본!$D$13:$E$74,2,0)</f>
        <v>삼성 VD</v>
      </c>
      <c r="D449" t="s">
        <v>1927</v>
      </c>
      <c r="E449" t="s">
        <v>1311</v>
      </c>
      <c r="F449" t="s">
        <v>1310</v>
      </c>
      <c r="G449" s="554">
        <v>1728</v>
      </c>
      <c r="H449">
        <v>39.887322623999999</v>
      </c>
    </row>
    <row r="450" spans="2:8">
      <c r="B450" s="555" t="s">
        <v>2158</v>
      </c>
      <c r="C450" s="555" t="str">
        <f>VLOOKUP(D450,기본!$D$13:$E$74,2,0)</f>
        <v>삼성 VD</v>
      </c>
      <c r="D450" t="s">
        <v>1927</v>
      </c>
      <c r="E450" t="s">
        <v>1313</v>
      </c>
      <c r="F450" t="s">
        <v>1312</v>
      </c>
      <c r="G450" s="554">
        <v>1008</v>
      </c>
      <c r="H450">
        <v>22.077946511999997</v>
      </c>
    </row>
    <row r="451" spans="2:8">
      <c r="B451" s="555" t="s">
        <v>2158</v>
      </c>
      <c r="C451" s="555" t="str">
        <f>VLOOKUP(D451,기본!$D$13:$E$74,2,0)</f>
        <v>삼성 VD</v>
      </c>
      <c r="D451" t="s">
        <v>1927</v>
      </c>
      <c r="E451" t="s">
        <v>1865</v>
      </c>
      <c r="F451" t="s">
        <v>1866</v>
      </c>
      <c r="G451" s="554">
        <v>12180</v>
      </c>
      <c r="H451">
        <v>500.41407079199996</v>
      </c>
    </row>
    <row r="452" spans="2:8">
      <c r="B452" s="555" t="s">
        <v>2158</v>
      </c>
      <c r="C452" s="555" t="str">
        <f>VLOOKUP(D452,기본!$D$13:$E$74,2,0)</f>
        <v>삼성 VD</v>
      </c>
      <c r="D452" t="s">
        <v>1927</v>
      </c>
      <c r="E452" t="s">
        <v>1932</v>
      </c>
      <c r="F452" t="s">
        <v>1933</v>
      </c>
      <c r="G452" s="554">
        <v>13032</v>
      </c>
      <c r="H452">
        <v>234.65959379099999</v>
      </c>
    </row>
    <row r="453" spans="2:8">
      <c r="B453" s="555" t="s">
        <v>2158</v>
      </c>
      <c r="C453" s="555" t="str">
        <f>VLOOKUP(D453,기본!$D$13:$E$74,2,0)</f>
        <v>삼성 VD</v>
      </c>
      <c r="D453" t="s">
        <v>1927</v>
      </c>
      <c r="E453" t="s">
        <v>1934</v>
      </c>
      <c r="F453" t="s">
        <v>1935</v>
      </c>
      <c r="G453" s="554">
        <v>1914</v>
      </c>
      <c r="H453">
        <v>8.5430822399999986</v>
      </c>
    </row>
    <row r="454" spans="2:8">
      <c r="B454" s="555" t="s">
        <v>2158</v>
      </c>
      <c r="C454" s="555" t="str">
        <f>VLOOKUP(D454,기본!$D$13:$E$74,2,0)</f>
        <v>삼성 VD</v>
      </c>
      <c r="D454" t="s">
        <v>1927</v>
      </c>
      <c r="E454" t="s">
        <v>1936</v>
      </c>
      <c r="F454" t="s">
        <v>1937</v>
      </c>
      <c r="G454" s="554">
        <v>682</v>
      </c>
      <c r="H454">
        <v>3.7006165680000005</v>
      </c>
    </row>
    <row r="455" spans="2:8">
      <c r="B455" s="555" t="s">
        <v>2158</v>
      </c>
      <c r="C455" s="555" t="str">
        <f>VLOOKUP(D455,기본!$D$13:$E$74,2,0)</f>
        <v>삼성 VD</v>
      </c>
      <c r="D455" t="s">
        <v>1927</v>
      </c>
      <c r="E455" t="s">
        <v>1923</v>
      </c>
      <c r="F455" t="s">
        <v>1924</v>
      </c>
      <c r="G455" s="554">
        <v>1540</v>
      </c>
      <c r="H455">
        <v>7.4939172000000003</v>
      </c>
    </row>
    <row r="456" spans="2:8">
      <c r="B456" s="555" t="s">
        <v>2158</v>
      </c>
      <c r="C456" s="555" t="str">
        <f>VLOOKUP(D456,기본!$D$13:$E$74,2,0)</f>
        <v>삼성 VD</v>
      </c>
      <c r="D456" t="s">
        <v>1927</v>
      </c>
      <c r="E456" t="s">
        <v>1938</v>
      </c>
      <c r="F456" t="s">
        <v>1939</v>
      </c>
      <c r="G456" s="554">
        <v>7062</v>
      </c>
      <c r="H456">
        <v>37.95167112</v>
      </c>
    </row>
    <row r="457" spans="2:8">
      <c r="B457" s="555" t="s">
        <v>2158</v>
      </c>
      <c r="C457" s="555" t="str">
        <f>VLOOKUP(D457,기본!$D$13:$E$74,2,0)</f>
        <v>삼성 VD</v>
      </c>
      <c r="D457" t="s">
        <v>1927</v>
      </c>
      <c r="E457" t="s">
        <v>1940</v>
      </c>
      <c r="F457" t="s">
        <v>1941</v>
      </c>
      <c r="G457" s="554">
        <v>324</v>
      </c>
      <c r="H457">
        <v>4.177783818</v>
      </c>
    </row>
    <row r="458" spans="2:8">
      <c r="B458" s="555" t="s">
        <v>2158</v>
      </c>
      <c r="C458" s="555" t="str">
        <f>VLOOKUP(D458,기본!$D$13:$E$74,2,0)</f>
        <v>삼성 VD</v>
      </c>
      <c r="D458" t="s">
        <v>1927</v>
      </c>
      <c r="E458" t="s">
        <v>1867</v>
      </c>
      <c r="F458" t="s">
        <v>1868</v>
      </c>
      <c r="G458" s="554">
        <v>2016</v>
      </c>
      <c r="H458">
        <v>16.322297039999999</v>
      </c>
    </row>
    <row r="459" spans="2:8">
      <c r="B459" s="555" t="s">
        <v>2158</v>
      </c>
      <c r="C459" s="555" t="str">
        <f>VLOOKUP(D459,기본!$D$13:$E$74,2,0)</f>
        <v>삼성 VD</v>
      </c>
      <c r="D459" t="s">
        <v>1927</v>
      </c>
      <c r="E459" t="s">
        <v>1925</v>
      </c>
      <c r="F459" t="s">
        <v>1926</v>
      </c>
      <c r="G459" s="554">
        <v>5292</v>
      </c>
      <c r="H459">
        <v>42.763351680000007</v>
      </c>
    </row>
    <row r="460" spans="2:8">
      <c r="B460" s="555" t="s">
        <v>2158</v>
      </c>
      <c r="C460" s="555" t="str">
        <f>VLOOKUP(D460,기본!$D$13:$E$74,2,0)</f>
        <v>삼성 VD</v>
      </c>
      <c r="D460" t="s">
        <v>1927</v>
      </c>
      <c r="E460" t="s">
        <v>2122</v>
      </c>
      <c r="F460" t="s">
        <v>2123</v>
      </c>
      <c r="G460" s="554">
        <v>1762</v>
      </c>
      <c r="H460">
        <v>13.212053063999999</v>
      </c>
    </row>
    <row r="461" spans="2:8">
      <c r="B461" s="555" t="s">
        <v>2158</v>
      </c>
      <c r="C461" s="555" t="str">
        <f>VLOOKUP(D461,기본!$D$13:$E$74,2,0)</f>
        <v>삼성 VD</v>
      </c>
      <c r="D461" t="s">
        <v>1927</v>
      </c>
      <c r="E461" t="s">
        <v>1156</v>
      </c>
      <c r="F461" t="s">
        <v>1870</v>
      </c>
      <c r="G461" s="554">
        <v>6028</v>
      </c>
      <c r="H461">
        <v>27.064599407999999</v>
      </c>
    </row>
    <row r="462" spans="2:8">
      <c r="B462" s="555" t="s">
        <v>2158</v>
      </c>
      <c r="C462" s="555" t="str">
        <f>VLOOKUP(D462,기본!$D$13:$E$74,2,0)</f>
        <v>삼성 VD</v>
      </c>
      <c r="D462" t="s">
        <v>1927</v>
      </c>
      <c r="E462" t="s">
        <v>1157</v>
      </c>
      <c r="F462" t="s">
        <v>1887</v>
      </c>
      <c r="G462" s="554">
        <v>1320</v>
      </c>
      <c r="H462">
        <v>6.1573163520000005</v>
      </c>
    </row>
    <row r="463" spans="2:8">
      <c r="B463" s="555" t="s">
        <v>2158</v>
      </c>
      <c r="C463" s="555" t="str">
        <f>VLOOKUP(D463,기본!$D$13:$E$74,2,0)</f>
        <v>삼성 생활가전</v>
      </c>
      <c r="D463" t="s">
        <v>1942</v>
      </c>
      <c r="E463" t="s">
        <v>1943</v>
      </c>
      <c r="F463" t="s">
        <v>1943</v>
      </c>
      <c r="G463" s="554">
        <v>22080</v>
      </c>
      <c r="H463">
        <v>166.77562003200001</v>
      </c>
    </row>
    <row r="464" spans="2:8">
      <c r="B464" s="555" t="s">
        <v>2158</v>
      </c>
      <c r="C464" s="555" t="str">
        <f>VLOOKUP(D464,기본!$D$13:$E$74,2,0)</f>
        <v>삼성 생활가전</v>
      </c>
      <c r="D464" t="s">
        <v>1942</v>
      </c>
      <c r="E464" t="s">
        <v>1944</v>
      </c>
      <c r="F464" t="s">
        <v>1944</v>
      </c>
      <c r="G464" s="554">
        <v>1920</v>
      </c>
      <c r="H464">
        <v>14.3743488</v>
      </c>
    </row>
    <row r="465" spans="2:8">
      <c r="B465" s="555" t="s">
        <v>2158</v>
      </c>
      <c r="C465" s="555" t="str">
        <f>VLOOKUP(D465,기본!$D$13:$E$74,2,0)</f>
        <v>삼성 생활가전</v>
      </c>
      <c r="D465" t="s">
        <v>1942</v>
      </c>
      <c r="E465" t="s">
        <v>1945</v>
      </c>
      <c r="F465" t="s">
        <v>1945</v>
      </c>
      <c r="G465" s="554">
        <v>8928</v>
      </c>
      <c r="H465">
        <v>72.488203200000001</v>
      </c>
    </row>
    <row r="466" spans="2:8">
      <c r="B466" s="555" t="s">
        <v>2158</v>
      </c>
      <c r="C466" s="555" t="str">
        <f>VLOOKUP(D466,기본!$D$13:$E$74,2,0)</f>
        <v>삼성 VD</v>
      </c>
      <c r="D466" t="s">
        <v>1946</v>
      </c>
      <c r="E466" t="s">
        <v>1165</v>
      </c>
      <c r="F466" t="s">
        <v>1882</v>
      </c>
      <c r="G466" s="554">
        <v>36</v>
      </c>
      <c r="H466">
        <v>1.0394647199999998</v>
      </c>
    </row>
    <row r="467" spans="2:8">
      <c r="B467" s="555" t="s">
        <v>2158</v>
      </c>
      <c r="C467" s="555" t="str">
        <f>VLOOKUP(D467,기본!$D$13:$E$74,2,0)</f>
        <v>삼성 VD</v>
      </c>
      <c r="D467" t="s">
        <v>1946</v>
      </c>
      <c r="E467" t="s">
        <v>1164</v>
      </c>
      <c r="F467" t="s">
        <v>1850</v>
      </c>
      <c r="G467" s="554">
        <v>54</v>
      </c>
      <c r="H467">
        <v>1.4182330500000002</v>
      </c>
    </row>
    <row r="468" spans="2:8">
      <c r="B468" s="555" t="s">
        <v>2158</v>
      </c>
      <c r="C468" s="555" t="str">
        <f>VLOOKUP(D468,기본!$D$13:$E$74,2,0)</f>
        <v>삼성 VD</v>
      </c>
      <c r="D468" t="s">
        <v>1946</v>
      </c>
      <c r="E468" t="s">
        <v>1777</v>
      </c>
      <c r="F468" t="s">
        <v>1672</v>
      </c>
      <c r="G468" s="554">
        <v>216</v>
      </c>
      <c r="H468">
        <v>2.3854996800000001</v>
      </c>
    </row>
    <row r="469" spans="2:8">
      <c r="B469" s="555" t="s">
        <v>2158</v>
      </c>
      <c r="C469" s="555" t="str">
        <f>VLOOKUP(D469,기본!$D$13:$E$74,2,0)</f>
        <v>삼성 VD</v>
      </c>
      <c r="D469" t="s">
        <v>1946</v>
      </c>
      <c r="E469" t="s">
        <v>1778</v>
      </c>
      <c r="F469" t="s">
        <v>1919</v>
      </c>
      <c r="G469" s="554">
        <v>1188</v>
      </c>
      <c r="H469">
        <v>14.890331303999998</v>
      </c>
    </row>
    <row r="470" spans="2:8">
      <c r="B470" s="555" t="s">
        <v>2158</v>
      </c>
      <c r="C470" s="555" t="str">
        <f>VLOOKUP(D470,기본!$D$13:$E$74,2,0)</f>
        <v>삼성 VD</v>
      </c>
      <c r="D470" t="s">
        <v>1946</v>
      </c>
      <c r="E470" t="s">
        <v>1779</v>
      </c>
      <c r="F470" t="s">
        <v>1920</v>
      </c>
      <c r="G470" s="554">
        <v>231</v>
      </c>
      <c r="H470">
        <v>3.224296614</v>
      </c>
    </row>
    <row r="471" spans="2:8">
      <c r="B471" s="555" t="s">
        <v>2158</v>
      </c>
      <c r="C471" s="555" t="str">
        <f>VLOOKUP(D471,기본!$D$13:$E$74,2,0)</f>
        <v>삼성 VD</v>
      </c>
      <c r="D471" t="s">
        <v>1946</v>
      </c>
      <c r="E471" t="s">
        <v>1792</v>
      </c>
      <c r="F471" t="s">
        <v>1915</v>
      </c>
      <c r="G471" s="554">
        <v>162</v>
      </c>
      <c r="H471">
        <v>2.7893101679999996</v>
      </c>
    </row>
    <row r="472" spans="2:8">
      <c r="B472" s="555" t="s">
        <v>2158</v>
      </c>
      <c r="C472" s="555" t="str">
        <f>VLOOKUP(D472,기본!$D$13:$E$74,2,0)</f>
        <v>삼성 VD</v>
      </c>
      <c r="D472" t="s">
        <v>1946</v>
      </c>
      <c r="E472" t="s">
        <v>1921</v>
      </c>
      <c r="F472" t="s">
        <v>1922</v>
      </c>
      <c r="G472" s="554">
        <v>612</v>
      </c>
      <c r="H472">
        <v>14.268134519999998</v>
      </c>
    </row>
    <row r="473" spans="2:8">
      <c r="B473" s="555" t="s">
        <v>2158</v>
      </c>
      <c r="C473" s="555" t="str">
        <f>VLOOKUP(D473,기본!$D$13:$E$74,2,0)</f>
        <v>삼성 VD</v>
      </c>
      <c r="D473" t="s">
        <v>1946</v>
      </c>
      <c r="E473" t="s">
        <v>683</v>
      </c>
      <c r="F473" t="s">
        <v>152</v>
      </c>
      <c r="G473" s="554">
        <v>1218</v>
      </c>
      <c r="H473">
        <v>7.9737003359999994</v>
      </c>
    </row>
    <row r="474" spans="2:8">
      <c r="B474" s="555" t="s">
        <v>2158</v>
      </c>
      <c r="C474" s="555" t="str">
        <f>VLOOKUP(D474,기본!$D$13:$E$74,2,0)</f>
        <v>MNT JDM</v>
      </c>
      <c r="D474" t="s">
        <v>1951</v>
      </c>
      <c r="E474" t="s">
        <v>709</v>
      </c>
      <c r="F474" t="s">
        <v>2124</v>
      </c>
      <c r="G474" s="554">
        <v>11616</v>
      </c>
      <c r="H474">
        <v>52.087561151999992</v>
      </c>
    </row>
    <row r="475" spans="2:8">
      <c r="B475" s="555" t="s">
        <v>2158</v>
      </c>
      <c r="C475" s="555" t="str">
        <f>VLOOKUP(D475,기본!$D$13:$E$74,2,0)</f>
        <v>HP</v>
      </c>
      <c r="D475" t="s">
        <v>1952</v>
      </c>
      <c r="E475" t="s">
        <v>1297</v>
      </c>
      <c r="F475" t="s">
        <v>1293</v>
      </c>
      <c r="G475" s="554">
        <v>840</v>
      </c>
      <c r="H475">
        <v>27.336078000000001</v>
      </c>
    </row>
    <row r="476" spans="2:8">
      <c r="B476" s="555" t="s">
        <v>2158</v>
      </c>
      <c r="C476" s="555" t="str">
        <f>VLOOKUP(D476,기본!$D$13:$E$74,2,0)</f>
        <v>HP</v>
      </c>
      <c r="D476" t="s">
        <v>1952</v>
      </c>
      <c r="E476" t="s">
        <v>1298</v>
      </c>
      <c r="F476" t="s">
        <v>1294</v>
      </c>
      <c r="G476" s="554">
        <v>2430</v>
      </c>
      <c r="H476">
        <v>70.332218099999992</v>
      </c>
    </row>
    <row r="477" spans="2:8">
      <c r="B477" s="555" t="s">
        <v>2158</v>
      </c>
      <c r="C477" s="555" t="str">
        <f>VLOOKUP(D477,기본!$D$13:$E$74,2,0)</f>
        <v>HP</v>
      </c>
      <c r="D477" t="s">
        <v>1952</v>
      </c>
      <c r="E477" t="s">
        <v>1954</v>
      </c>
      <c r="F477" t="s">
        <v>1955</v>
      </c>
      <c r="G477" s="554">
        <v>1680</v>
      </c>
      <c r="H477">
        <v>21.127629599999999</v>
      </c>
    </row>
    <row r="478" spans="2:8">
      <c r="B478" s="555" t="s">
        <v>2158</v>
      </c>
      <c r="C478" s="555" t="str">
        <f>VLOOKUP(D478,기본!$D$13:$E$74,2,0)</f>
        <v>HP</v>
      </c>
      <c r="D478" t="s">
        <v>1952</v>
      </c>
      <c r="E478" t="s">
        <v>2125</v>
      </c>
      <c r="F478" t="s">
        <v>192</v>
      </c>
      <c r="G478" s="554">
        <v>1080</v>
      </c>
      <c r="H478">
        <v>5.1733728000000001</v>
      </c>
    </row>
    <row r="479" spans="2:8">
      <c r="B479" s="555" t="s">
        <v>2158</v>
      </c>
      <c r="C479" s="555" t="str">
        <f>VLOOKUP(D479,기본!$D$13:$E$74,2,0)</f>
        <v>HP</v>
      </c>
      <c r="D479" t="s">
        <v>1952</v>
      </c>
      <c r="E479" t="s">
        <v>1960</v>
      </c>
      <c r="F479" t="s">
        <v>671</v>
      </c>
      <c r="G479" s="554">
        <v>1680</v>
      </c>
      <c r="H479">
        <v>13.37791032</v>
      </c>
    </row>
    <row r="480" spans="2:8">
      <c r="B480" s="555" t="s">
        <v>2158</v>
      </c>
      <c r="C480" s="555" t="str">
        <f>VLOOKUP(D480,기본!$D$13:$E$74,2,0)</f>
        <v>HP</v>
      </c>
      <c r="D480" t="s">
        <v>1952</v>
      </c>
      <c r="E480" t="s">
        <v>1961</v>
      </c>
      <c r="F480" t="s">
        <v>1962</v>
      </c>
      <c r="G480" s="554">
        <v>2368</v>
      </c>
      <c r="H480">
        <v>82.991830327999992</v>
      </c>
    </row>
    <row r="481" spans="2:8">
      <c r="B481" s="555" t="s">
        <v>2158</v>
      </c>
      <c r="C481" s="555" t="str">
        <f>VLOOKUP(D481,기본!$D$13:$E$74,2,0)</f>
        <v>HP</v>
      </c>
      <c r="D481" t="s">
        <v>1952</v>
      </c>
      <c r="E481" t="s">
        <v>2126</v>
      </c>
      <c r="F481" t="s">
        <v>2127</v>
      </c>
      <c r="G481" s="554">
        <v>240</v>
      </c>
      <c r="H481">
        <v>2.1003099000000001</v>
      </c>
    </row>
    <row r="482" spans="2:8">
      <c r="B482" s="555" t="s">
        <v>2158</v>
      </c>
      <c r="C482" s="555" t="str">
        <f>VLOOKUP(D482,기본!$D$13:$E$74,2,0)</f>
        <v>HP</v>
      </c>
      <c r="D482" t="s">
        <v>1952</v>
      </c>
      <c r="E482" t="s">
        <v>1963</v>
      </c>
      <c r="F482" t="s">
        <v>1964</v>
      </c>
      <c r="G482" s="554">
        <v>10800</v>
      </c>
      <c r="H482">
        <v>87.531753600000002</v>
      </c>
    </row>
    <row r="483" spans="2:8">
      <c r="B483" s="555" t="s">
        <v>2158</v>
      </c>
      <c r="C483" s="555" t="str">
        <f>VLOOKUP(D483,기본!$D$13:$E$74,2,0)</f>
        <v>HP</v>
      </c>
      <c r="D483" t="s">
        <v>1952</v>
      </c>
      <c r="E483" t="s">
        <v>1965</v>
      </c>
      <c r="F483" t="s">
        <v>1966</v>
      </c>
      <c r="G483" s="554">
        <v>720</v>
      </c>
      <c r="H483">
        <v>11.1814836</v>
      </c>
    </row>
    <row r="484" spans="2:8">
      <c r="B484" s="555" t="s">
        <v>2158</v>
      </c>
      <c r="C484" s="555" t="str">
        <f>VLOOKUP(D484,기본!$D$13:$E$74,2,0)</f>
        <v>HP</v>
      </c>
      <c r="D484" t="s">
        <v>1952</v>
      </c>
      <c r="E484" t="s">
        <v>2128</v>
      </c>
      <c r="F484" t="s">
        <v>2129</v>
      </c>
      <c r="G484" s="554">
        <v>864</v>
      </c>
      <c r="H484">
        <v>10.06068</v>
      </c>
    </row>
    <row r="485" spans="2:8">
      <c r="B485" s="555" t="s">
        <v>2158</v>
      </c>
      <c r="C485" s="555" t="str">
        <f>VLOOKUP(D485,기본!$D$13:$E$74,2,0)</f>
        <v>HP</v>
      </c>
      <c r="D485" t="s">
        <v>1952</v>
      </c>
      <c r="E485" t="s">
        <v>1969</v>
      </c>
      <c r="F485" t="s">
        <v>1970</v>
      </c>
      <c r="G485" s="554">
        <v>240</v>
      </c>
      <c r="H485">
        <v>2.8449105599999998</v>
      </c>
    </row>
    <row r="486" spans="2:8">
      <c r="B486" s="555" t="s">
        <v>2158</v>
      </c>
      <c r="C486" s="555" t="str">
        <f>VLOOKUP(D486,기본!$D$13:$E$74,2,0)</f>
        <v>HP</v>
      </c>
      <c r="D486" t="s">
        <v>1952</v>
      </c>
      <c r="E486" t="s">
        <v>2130</v>
      </c>
      <c r="F486" t="s">
        <v>2131</v>
      </c>
      <c r="G486" s="554">
        <v>560</v>
      </c>
      <c r="H486">
        <v>4.0247712</v>
      </c>
    </row>
    <row r="487" spans="2:8">
      <c r="B487" s="555" t="s">
        <v>2158</v>
      </c>
      <c r="C487" s="555" t="str">
        <f>VLOOKUP(D487,기본!$D$13:$E$74,2,0)</f>
        <v>코웨이</v>
      </c>
      <c r="D487" t="s">
        <v>2132</v>
      </c>
      <c r="E487" t="s">
        <v>855</v>
      </c>
      <c r="F487" t="s">
        <v>855</v>
      </c>
      <c r="G487" s="554">
        <v>420</v>
      </c>
      <c r="H487">
        <v>1.2652835999999998</v>
      </c>
    </row>
    <row r="488" spans="2:8">
      <c r="B488" s="555" t="s">
        <v>2158</v>
      </c>
      <c r="C488" s="555" t="str">
        <f>VLOOKUP(D488,기본!$D$13:$E$74,2,0)</f>
        <v>코웨이</v>
      </c>
      <c r="D488" t="s">
        <v>2132</v>
      </c>
      <c r="E488" t="s">
        <v>854</v>
      </c>
      <c r="F488" t="s">
        <v>854</v>
      </c>
      <c r="G488" s="554">
        <v>420</v>
      </c>
      <c r="H488">
        <v>2.6089476</v>
      </c>
    </row>
    <row r="489" spans="2:8">
      <c r="B489" s="555" t="s">
        <v>2158</v>
      </c>
      <c r="C489" s="555" t="str">
        <f>VLOOKUP(D489,기본!$D$13:$E$74,2,0)</f>
        <v>코웨이</v>
      </c>
      <c r="D489" t="s">
        <v>2132</v>
      </c>
      <c r="E489" t="s">
        <v>2133</v>
      </c>
      <c r="F489" t="s">
        <v>2133</v>
      </c>
      <c r="G489" s="554">
        <v>420</v>
      </c>
      <c r="H489">
        <v>2.6481378000000002</v>
      </c>
    </row>
    <row r="490" spans="2:8">
      <c r="B490" s="555" t="s">
        <v>2158</v>
      </c>
      <c r="C490" s="555" t="str">
        <f>VLOOKUP(D490,기본!$D$13:$E$74,2,0)</f>
        <v>코웨이</v>
      </c>
      <c r="D490" t="s">
        <v>2132</v>
      </c>
      <c r="E490" t="s">
        <v>1909</v>
      </c>
      <c r="F490" t="s">
        <v>1909</v>
      </c>
      <c r="G490" s="554">
        <v>432</v>
      </c>
      <c r="H490">
        <v>2.5049735999999996</v>
      </c>
    </row>
    <row r="491" spans="2:8">
      <c r="B491" s="555" t="s">
        <v>2158</v>
      </c>
      <c r="C491" s="555" t="str">
        <f>VLOOKUP(D491,기본!$D$13:$E$74,2,0)</f>
        <v>AV JDM</v>
      </c>
      <c r="D491" t="s">
        <v>1971</v>
      </c>
      <c r="E491" t="s">
        <v>1889</v>
      </c>
      <c r="F491" t="s">
        <v>1520</v>
      </c>
      <c r="G491" s="554">
        <v>5040</v>
      </c>
      <c r="H491">
        <v>43.590456000000003</v>
      </c>
    </row>
    <row r="492" spans="2:8">
      <c r="B492" s="555" t="s">
        <v>2158</v>
      </c>
      <c r="C492" s="555" t="str">
        <f>VLOOKUP(D492,기본!$D$13:$E$74,2,0)</f>
        <v>경동나비엔</v>
      </c>
      <c r="D492" t="s">
        <v>1972</v>
      </c>
      <c r="E492" t="s">
        <v>1973</v>
      </c>
      <c r="F492" t="s">
        <v>1973</v>
      </c>
      <c r="G492" s="554">
        <v>3520</v>
      </c>
      <c r="H492">
        <v>107.008</v>
      </c>
    </row>
    <row r="493" spans="2:8">
      <c r="B493" s="555" t="s">
        <v>2158</v>
      </c>
      <c r="C493" s="555" t="str">
        <f>VLOOKUP(D493,기본!$D$13:$E$74,2,0)</f>
        <v>삼성 생활가전</v>
      </c>
      <c r="D493" t="s">
        <v>1974</v>
      </c>
      <c r="E493" t="s">
        <v>1943</v>
      </c>
      <c r="F493" t="s">
        <v>1943</v>
      </c>
      <c r="G493" s="554">
        <v>9216</v>
      </c>
      <c r="H493">
        <v>69.396479999999997</v>
      </c>
    </row>
    <row r="494" spans="2:8">
      <c r="B494" s="555" t="s">
        <v>2158</v>
      </c>
      <c r="C494" s="555" t="str">
        <f>VLOOKUP(D494,기본!$D$13:$E$74,2,0)</f>
        <v>삼성 생활가전</v>
      </c>
      <c r="D494" t="s">
        <v>1974</v>
      </c>
      <c r="E494" t="s">
        <v>1975</v>
      </c>
      <c r="F494" t="s">
        <v>1975</v>
      </c>
      <c r="G494" s="554">
        <v>11136</v>
      </c>
      <c r="H494">
        <v>90.424319999999994</v>
      </c>
    </row>
    <row r="495" spans="2:8">
      <c r="B495" s="555" t="s">
        <v>2158</v>
      </c>
      <c r="C495" s="555" t="str">
        <f>VLOOKUP(D495,기본!$D$13:$E$74,2,0)</f>
        <v>대덕</v>
      </c>
      <c r="D495" t="s">
        <v>1976</v>
      </c>
      <c r="E495" t="s">
        <v>2134</v>
      </c>
      <c r="F495" t="s">
        <v>2134</v>
      </c>
      <c r="G495" s="554">
        <v>1081</v>
      </c>
      <c r="H495">
        <v>18.451100388</v>
      </c>
    </row>
    <row r="496" spans="2:8">
      <c r="B496" s="555" t="s">
        <v>2158</v>
      </c>
      <c r="C496" s="555" t="str">
        <f>VLOOKUP(D496,기본!$D$13:$E$74,2,0)</f>
        <v>대덕</v>
      </c>
      <c r="D496" t="s">
        <v>1978</v>
      </c>
      <c r="E496" t="s">
        <v>2135</v>
      </c>
      <c r="F496" t="s">
        <v>2135</v>
      </c>
      <c r="G496" s="554">
        <v>445</v>
      </c>
      <c r="H496">
        <v>7.1532415</v>
      </c>
    </row>
    <row r="497" spans="2:8">
      <c r="B497" s="555" t="s">
        <v>2158</v>
      </c>
      <c r="C497" s="555" t="str">
        <f>VLOOKUP(D497,기본!$D$13:$E$74,2,0)</f>
        <v>대덕</v>
      </c>
      <c r="D497" t="s">
        <v>1978</v>
      </c>
      <c r="E497" t="s">
        <v>2136</v>
      </c>
      <c r="F497" t="s">
        <v>2136</v>
      </c>
      <c r="G497" s="554">
        <v>445</v>
      </c>
      <c r="H497">
        <v>9.3793539999999993</v>
      </c>
    </row>
    <row r="498" spans="2:8">
      <c r="B498" s="555" t="s">
        <v>2158</v>
      </c>
      <c r="C498" s="555" t="str">
        <f>VLOOKUP(D498,기본!$D$13:$E$74,2,0)</f>
        <v>대덕</v>
      </c>
      <c r="D498" t="s">
        <v>1978</v>
      </c>
      <c r="E498" t="s">
        <v>1980</v>
      </c>
      <c r="F498" t="s">
        <v>1980</v>
      </c>
      <c r="G498" s="554">
        <v>1669</v>
      </c>
      <c r="H498">
        <v>35.608364454000004</v>
      </c>
    </row>
    <row r="499" spans="2:8">
      <c r="B499" s="555" t="s">
        <v>2158</v>
      </c>
      <c r="C499" s="555" t="str">
        <f>VLOOKUP(D499,기본!$D$13:$E$74,2,0)</f>
        <v>대덕</v>
      </c>
      <c r="D499" t="s">
        <v>1978</v>
      </c>
      <c r="E499" t="s">
        <v>1981</v>
      </c>
      <c r="F499" t="s">
        <v>1981</v>
      </c>
      <c r="G499" s="554">
        <v>1669</v>
      </c>
      <c r="H499">
        <v>36.721099491999993</v>
      </c>
    </row>
    <row r="500" spans="2:8">
      <c r="B500" s="555" t="s">
        <v>2158</v>
      </c>
      <c r="C500" s="555" t="str">
        <f>VLOOKUP(D500,기본!$D$13:$E$74,2,0)</f>
        <v>대덕</v>
      </c>
      <c r="D500" t="s">
        <v>1978</v>
      </c>
      <c r="E500" t="s">
        <v>1982</v>
      </c>
      <c r="F500" t="s">
        <v>1982</v>
      </c>
      <c r="G500" s="554">
        <v>1669</v>
      </c>
      <c r="H500">
        <v>37.117965441999999</v>
      </c>
    </row>
    <row r="501" spans="2:8">
      <c r="B501" s="555" t="s">
        <v>2158</v>
      </c>
      <c r="C501" s="555" t="str">
        <f>VLOOKUP(D501,기본!$D$13:$E$74,2,0)</f>
        <v>대덕</v>
      </c>
      <c r="D501" t="s">
        <v>1978</v>
      </c>
      <c r="E501" t="s">
        <v>2137</v>
      </c>
      <c r="F501" t="s">
        <v>2137</v>
      </c>
      <c r="G501" s="554">
        <v>1669</v>
      </c>
      <c r="H501">
        <v>37.237733983999995</v>
      </c>
    </row>
    <row r="502" spans="2:8">
      <c r="B502" s="555" t="s">
        <v>2158</v>
      </c>
      <c r="C502" s="555" t="str">
        <f>VLOOKUP(D502,기본!$D$13:$E$74,2,0)</f>
        <v>대덕</v>
      </c>
      <c r="D502" t="s">
        <v>1978</v>
      </c>
      <c r="E502" t="s">
        <v>2138</v>
      </c>
      <c r="F502" t="s">
        <v>2138</v>
      </c>
      <c r="G502" s="554">
        <v>150</v>
      </c>
      <c r="H502">
        <v>1.4798475</v>
      </c>
    </row>
    <row r="503" spans="2:8">
      <c r="B503" s="555" t="s">
        <v>2158</v>
      </c>
      <c r="C503" s="555" t="str">
        <f>VLOOKUP(D503,기본!$D$13:$E$74,2,0)</f>
        <v>대덕</v>
      </c>
      <c r="D503" t="s">
        <v>1978</v>
      </c>
      <c r="E503" t="s">
        <v>2139</v>
      </c>
      <c r="F503" t="s">
        <v>2139</v>
      </c>
      <c r="G503" s="554">
        <v>300</v>
      </c>
      <c r="H503">
        <v>3.5964900000000002</v>
      </c>
    </row>
    <row r="504" spans="2:8">
      <c r="B504" s="555" t="s">
        <v>2158</v>
      </c>
      <c r="C504" s="555" t="str">
        <f>VLOOKUP(D504,기본!$D$13:$E$74,2,0)</f>
        <v>대덕</v>
      </c>
      <c r="D504" t="s">
        <v>1978</v>
      </c>
      <c r="E504" t="s">
        <v>1983</v>
      </c>
      <c r="F504" t="s">
        <v>1983</v>
      </c>
      <c r="G504" s="554">
        <v>15000</v>
      </c>
      <c r="H504">
        <v>200.60403000000002</v>
      </c>
    </row>
    <row r="505" spans="2:8">
      <c r="B505" s="555" t="s">
        <v>2158</v>
      </c>
      <c r="C505" s="555" t="str">
        <f>VLOOKUP(D505,기본!$D$13:$E$74,2,0)</f>
        <v>대덕</v>
      </c>
      <c r="D505" t="s">
        <v>1978</v>
      </c>
      <c r="E505" t="s">
        <v>1985</v>
      </c>
      <c r="F505" t="s">
        <v>1985</v>
      </c>
      <c r="G505" s="554">
        <v>15000</v>
      </c>
      <c r="H505">
        <v>201.00201000000001</v>
      </c>
    </row>
    <row r="506" spans="2:8">
      <c r="B506" s="555" t="s">
        <v>2158</v>
      </c>
      <c r="C506" s="555" t="str">
        <f>VLOOKUP(D506,기본!$D$13:$E$74,2,0)</f>
        <v>대덕</v>
      </c>
      <c r="D506" t="s">
        <v>1978</v>
      </c>
      <c r="E506" t="s">
        <v>2134</v>
      </c>
      <c r="F506" t="s">
        <v>2134</v>
      </c>
      <c r="G506" s="554">
        <v>1919</v>
      </c>
      <c r="H506">
        <v>32.843109300000002</v>
      </c>
    </row>
    <row r="507" spans="2:8">
      <c r="B507" s="555" t="s">
        <v>2158</v>
      </c>
      <c r="C507" s="555" t="str">
        <f>VLOOKUP(D507,기본!$D$13:$E$74,2,0)</f>
        <v>코웨이</v>
      </c>
      <c r="D507" t="s">
        <v>2140</v>
      </c>
      <c r="E507" t="s">
        <v>2141</v>
      </c>
      <c r="F507" t="s">
        <v>2141</v>
      </c>
      <c r="G507" s="554">
        <v>645</v>
      </c>
      <c r="H507">
        <v>3.17469</v>
      </c>
    </row>
    <row r="508" spans="2:8">
      <c r="B508" s="555" t="s">
        <v>2158</v>
      </c>
      <c r="C508" s="555" t="str">
        <f>VLOOKUP(D508,기본!$D$13:$E$74,2,0)</f>
        <v>삼성 생활가전</v>
      </c>
      <c r="D508" t="s">
        <v>1986</v>
      </c>
      <c r="E508" t="s">
        <v>1987</v>
      </c>
      <c r="F508" t="s">
        <v>1987</v>
      </c>
      <c r="G508" s="554">
        <v>5760</v>
      </c>
      <c r="H508">
        <v>80.467200000000005</v>
      </c>
    </row>
    <row r="509" spans="2:8">
      <c r="B509" s="555" t="s">
        <v>2158</v>
      </c>
      <c r="C509" s="555" t="str">
        <f>VLOOKUP(D509,기본!$D$13:$E$74,2,0)</f>
        <v>삼성 생활가전</v>
      </c>
      <c r="D509" t="s">
        <v>1986</v>
      </c>
      <c r="E509" t="s">
        <v>1346</v>
      </c>
      <c r="F509" t="s">
        <v>1346</v>
      </c>
      <c r="G509" s="554">
        <v>480</v>
      </c>
      <c r="H509">
        <v>6.5759999999999996</v>
      </c>
    </row>
    <row r="510" spans="2:8">
      <c r="B510" s="555" t="s">
        <v>2158</v>
      </c>
      <c r="C510" s="555" t="str">
        <f>VLOOKUP(D510,기본!$D$13:$E$74,2,0)</f>
        <v>삼성 생활가전</v>
      </c>
      <c r="D510" t="s">
        <v>1986</v>
      </c>
      <c r="E510" t="s">
        <v>2003</v>
      </c>
      <c r="F510" t="s">
        <v>2003</v>
      </c>
      <c r="G510" s="554">
        <v>2355</v>
      </c>
      <c r="H510">
        <v>14.0829</v>
      </c>
    </row>
    <row r="511" spans="2:8">
      <c r="B511" s="555" t="s">
        <v>2158</v>
      </c>
      <c r="C511" s="555" t="str">
        <f>VLOOKUP(D511,기본!$D$13:$E$74,2,0)</f>
        <v>머큐리</v>
      </c>
      <c r="D511" t="s">
        <v>1988</v>
      </c>
      <c r="E511" t="s">
        <v>1989</v>
      </c>
      <c r="F511" t="s">
        <v>1989</v>
      </c>
      <c r="G511" s="554">
        <v>34920</v>
      </c>
      <c r="H511">
        <v>97.636319999999998</v>
      </c>
    </row>
    <row r="512" spans="2:8">
      <c r="B512" s="555" t="s">
        <v>2158</v>
      </c>
      <c r="C512" s="555" t="str">
        <f>VLOOKUP(D512,기본!$D$13:$E$74,2,0)</f>
        <v>머큐리</v>
      </c>
      <c r="D512" t="s">
        <v>1988</v>
      </c>
      <c r="E512" t="s">
        <v>1433</v>
      </c>
      <c r="F512" t="s">
        <v>1433</v>
      </c>
      <c r="G512" s="554">
        <v>5400</v>
      </c>
      <c r="H512">
        <v>16.529399999999999</v>
      </c>
    </row>
    <row r="513" spans="2:8">
      <c r="B513" s="555" t="s">
        <v>2158</v>
      </c>
      <c r="C513" s="555" t="str">
        <f>VLOOKUP(D513,기본!$D$13:$E$74,2,0)</f>
        <v>머큐리</v>
      </c>
      <c r="D513" t="s">
        <v>1988</v>
      </c>
      <c r="E513" t="s">
        <v>2142</v>
      </c>
      <c r="F513" t="s">
        <v>2142</v>
      </c>
      <c r="G513" s="554">
        <v>2304</v>
      </c>
      <c r="H513">
        <v>6.1516799999999998</v>
      </c>
    </row>
    <row r="514" spans="2:8">
      <c r="B514" s="555" t="s">
        <v>2158</v>
      </c>
      <c r="C514" s="555" t="str">
        <f>VLOOKUP(D514,기본!$D$13:$E$74,2,0)</f>
        <v>삼성 생활가전</v>
      </c>
      <c r="D514" t="s">
        <v>2143</v>
      </c>
      <c r="E514" t="s">
        <v>2144</v>
      </c>
      <c r="F514" t="s">
        <v>2144</v>
      </c>
      <c r="G514" s="554">
        <v>200</v>
      </c>
      <c r="H514">
        <v>1.4179999999999999</v>
      </c>
    </row>
    <row r="515" spans="2:8">
      <c r="B515" s="555" t="s">
        <v>2158</v>
      </c>
      <c r="C515" s="555" t="str">
        <f>VLOOKUP(D515,기본!$D$13:$E$74,2,0)</f>
        <v>삼성 생활가전</v>
      </c>
      <c r="D515" t="s">
        <v>2143</v>
      </c>
      <c r="E515" t="s">
        <v>2145</v>
      </c>
      <c r="F515" t="s">
        <v>2145</v>
      </c>
      <c r="G515" s="554">
        <v>200</v>
      </c>
      <c r="H515">
        <v>1.4279999999999999</v>
      </c>
    </row>
    <row r="516" spans="2:8">
      <c r="B516" s="555" t="s">
        <v>2158</v>
      </c>
      <c r="C516" s="555" t="str">
        <f>VLOOKUP(D516,기본!$D$13:$E$74,2,0)</f>
        <v>삼성 VD</v>
      </c>
      <c r="D516" t="s">
        <v>1990</v>
      </c>
      <c r="E516" t="s">
        <v>1865</v>
      </c>
      <c r="F516" t="s">
        <v>1866</v>
      </c>
      <c r="G516" s="554">
        <v>100</v>
      </c>
      <c r="H516">
        <v>4.1034275999999998</v>
      </c>
    </row>
    <row r="517" spans="2:8">
      <c r="B517" s="555" t="s">
        <v>2158</v>
      </c>
      <c r="C517" s="555" t="str">
        <f>VLOOKUP(D517,기본!$D$13:$E$74,2,0)</f>
        <v>삼성 VD</v>
      </c>
      <c r="D517" t="s">
        <v>1990</v>
      </c>
      <c r="E517" t="s">
        <v>1786</v>
      </c>
      <c r="F517" t="s">
        <v>1671</v>
      </c>
      <c r="G517" s="554">
        <v>30</v>
      </c>
      <c r="H517">
        <v>0.318548516</v>
      </c>
    </row>
    <row r="518" spans="2:8">
      <c r="B518" s="555" t="s">
        <v>2158</v>
      </c>
      <c r="C518" s="555" t="str">
        <f>VLOOKUP(D518,기본!$D$13:$E$74,2,0)</f>
        <v>삼성 VD</v>
      </c>
      <c r="D518" t="s">
        <v>1990</v>
      </c>
      <c r="E518" t="s">
        <v>1777</v>
      </c>
      <c r="F518" t="s">
        <v>1672</v>
      </c>
      <c r="G518" s="554">
        <v>20</v>
      </c>
      <c r="H518">
        <v>0.22051440000000003</v>
      </c>
    </row>
    <row r="519" spans="2:8">
      <c r="B519" s="555" t="s">
        <v>2158</v>
      </c>
      <c r="C519" s="555" t="str">
        <f>VLOOKUP(D519,기본!$D$13:$E$74,2,0)</f>
        <v>삼성 VD</v>
      </c>
      <c r="D519" t="s">
        <v>1990</v>
      </c>
      <c r="E519" t="s">
        <v>1788</v>
      </c>
      <c r="F519" t="s">
        <v>1913</v>
      </c>
      <c r="G519" s="554">
        <v>50</v>
      </c>
      <c r="H519">
        <v>0.59408803199999993</v>
      </c>
    </row>
    <row r="520" spans="2:8">
      <c r="B520" s="555" t="s">
        <v>2158</v>
      </c>
      <c r="C520" s="555" t="str">
        <f>VLOOKUP(D520,기본!$D$13:$E$74,2,0)</f>
        <v>삼성 VD</v>
      </c>
      <c r="D520" t="s">
        <v>1990</v>
      </c>
      <c r="E520" t="s">
        <v>1778</v>
      </c>
      <c r="F520" t="s">
        <v>1919</v>
      </c>
      <c r="G520" s="554">
        <v>50</v>
      </c>
      <c r="H520">
        <v>0.62501220000000002</v>
      </c>
    </row>
    <row r="521" spans="2:8">
      <c r="B521" s="555" t="s">
        <v>2158</v>
      </c>
      <c r="C521" s="555" t="str">
        <f>VLOOKUP(D521,기본!$D$13:$E$74,2,0)</f>
        <v>삼성 VD</v>
      </c>
      <c r="D521" t="s">
        <v>1990</v>
      </c>
      <c r="E521" t="s">
        <v>1790</v>
      </c>
      <c r="F521" t="s">
        <v>1914</v>
      </c>
      <c r="G521" s="554">
        <v>105</v>
      </c>
      <c r="H521">
        <v>1.5274398499999997</v>
      </c>
    </row>
    <row r="522" spans="2:8">
      <c r="B522" s="555" t="s">
        <v>2158</v>
      </c>
      <c r="C522" s="555" t="str">
        <f>VLOOKUP(D522,기본!$D$13:$E$74,2,0)</f>
        <v>삼성 VD</v>
      </c>
      <c r="D522" t="s">
        <v>1990</v>
      </c>
      <c r="E522" t="s">
        <v>1792</v>
      </c>
      <c r="F522" t="s">
        <v>1915</v>
      </c>
      <c r="G522" s="554">
        <v>58</v>
      </c>
      <c r="H522">
        <v>0.99741520000000006</v>
      </c>
    </row>
    <row r="523" spans="2:8">
      <c r="B523" s="555" t="s">
        <v>2158</v>
      </c>
      <c r="C523" s="555" t="str">
        <f>VLOOKUP(D523,기본!$D$13:$E$74,2,0)</f>
        <v>삼성 VD</v>
      </c>
      <c r="D523" t="s">
        <v>1990</v>
      </c>
      <c r="E523" t="s">
        <v>1921</v>
      </c>
      <c r="F523" t="s">
        <v>1922</v>
      </c>
      <c r="G523" s="554">
        <v>34</v>
      </c>
      <c r="H523">
        <v>0.77803403999999987</v>
      </c>
    </row>
    <row r="524" spans="2:8">
      <c r="B524" s="555" t="s">
        <v>2158</v>
      </c>
      <c r="C524" s="555" t="str">
        <f>VLOOKUP(D524,기본!$D$13:$E$74,2,0)</f>
        <v>삼성 VD</v>
      </c>
      <c r="D524" t="s">
        <v>1990</v>
      </c>
      <c r="E524" t="s">
        <v>229</v>
      </c>
      <c r="F524" t="s">
        <v>229</v>
      </c>
      <c r="G524" s="554">
        <v>0</v>
      </c>
      <c r="H524">
        <v>3.1064219999999998</v>
      </c>
    </row>
    <row r="525" spans="2:8">
      <c r="B525" s="555" t="s">
        <v>2158</v>
      </c>
      <c r="C525" s="555" t="str">
        <f>VLOOKUP(D525,기본!$D$13:$E$74,2,0)</f>
        <v>삼성 생활가전</v>
      </c>
      <c r="D525" t="s">
        <v>1991</v>
      </c>
      <c r="E525" t="s">
        <v>1992</v>
      </c>
      <c r="F525" t="s">
        <v>1992</v>
      </c>
      <c r="G525" s="554">
        <v>360</v>
      </c>
      <c r="H525">
        <v>2.2396446000000005</v>
      </c>
    </row>
    <row r="526" spans="2:8">
      <c r="B526" s="555" t="s">
        <v>2158</v>
      </c>
      <c r="C526" s="555" t="str">
        <f>VLOOKUP(D526,기본!$D$13:$E$74,2,0)</f>
        <v>삼성 생활가전</v>
      </c>
      <c r="D526" t="s">
        <v>1991</v>
      </c>
      <c r="E526" t="s">
        <v>1993</v>
      </c>
      <c r="F526" t="s">
        <v>1993</v>
      </c>
      <c r="G526" s="554">
        <v>2304</v>
      </c>
      <c r="H526">
        <v>17.10799488</v>
      </c>
    </row>
    <row r="527" spans="2:8">
      <c r="B527" s="555" t="s">
        <v>2158</v>
      </c>
      <c r="C527" s="555" t="str">
        <f>VLOOKUP(D527,기본!$D$13:$E$74,2,0)</f>
        <v>삼성 생활가전</v>
      </c>
      <c r="D527" t="s">
        <v>1991</v>
      </c>
      <c r="E527" t="s">
        <v>1994</v>
      </c>
      <c r="F527" t="s">
        <v>1994</v>
      </c>
      <c r="G527" s="554">
        <v>2160</v>
      </c>
      <c r="H527">
        <v>16.3277316</v>
      </c>
    </row>
    <row r="528" spans="2:8">
      <c r="B528" s="555" t="s">
        <v>2158</v>
      </c>
      <c r="C528" s="555" t="str">
        <f>VLOOKUP(D528,기본!$D$13:$E$74,2,0)</f>
        <v>삼성 생활가전</v>
      </c>
      <c r="D528" t="s">
        <v>1991</v>
      </c>
      <c r="E528" t="s">
        <v>1995</v>
      </c>
      <c r="F528" t="s">
        <v>1995</v>
      </c>
      <c r="G528" s="554">
        <v>1728</v>
      </c>
      <c r="H528">
        <v>13.177779840000001</v>
      </c>
    </row>
    <row r="529" spans="2:8">
      <c r="B529" s="555" t="s">
        <v>2158</v>
      </c>
      <c r="C529" s="555" t="str">
        <f>VLOOKUP(D529,기본!$D$13:$E$74,2,0)</f>
        <v>삼성 생활가전</v>
      </c>
      <c r="D529" t="s">
        <v>1991</v>
      </c>
      <c r="E529" t="s">
        <v>2146</v>
      </c>
      <c r="F529" t="s">
        <v>2146</v>
      </c>
      <c r="G529" s="554">
        <v>30</v>
      </c>
      <c r="H529">
        <v>0.24809999999999999</v>
      </c>
    </row>
    <row r="530" spans="2:8">
      <c r="B530" s="555" t="s">
        <v>2158</v>
      </c>
      <c r="C530" s="555" t="str">
        <f>VLOOKUP(D530,기본!$D$13:$E$74,2,0)</f>
        <v>삼성 생활가전</v>
      </c>
      <c r="D530" t="s">
        <v>1991</v>
      </c>
      <c r="E530" t="s">
        <v>713</v>
      </c>
      <c r="F530" t="s">
        <v>713</v>
      </c>
      <c r="G530" s="554">
        <v>1028</v>
      </c>
      <c r="H530">
        <v>8.2137200000000004</v>
      </c>
    </row>
    <row r="531" spans="2:8">
      <c r="B531" s="555" t="s">
        <v>2158</v>
      </c>
      <c r="C531" s="555" t="str">
        <f>VLOOKUP(D531,기본!$D$13:$E$74,2,0)</f>
        <v>삼성 생활가전</v>
      </c>
      <c r="D531" t="s">
        <v>1991</v>
      </c>
      <c r="E531" t="s">
        <v>1987</v>
      </c>
      <c r="F531" t="s">
        <v>1987</v>
      </c>
      <c r="G531" s="554">
        <v>720</v>
      </c>
      <c r="H531">
        <v>10.058400000000001</v>
      </c>
    </row>
    <row r="532" spans="2:8">
      <c r="B532" s="555" t="s">
        <v>2158</v>
      </c>
      <c r="C532" s="555" t="str">
        <f>VLOOKUP(D532,기본!$D$13:$E$74,2,0)</f>
        <v>삼성 생활가전</v>
      </c>
      <c r="D532" t="s">
        <v>1991</v>
      </c>
      <c r="E532" t="s">
        <v>1996</v>
      </c>
      <c r="F532" t="s">
        <v>1996</v>
      </c>
      <c r="G532" s="554">
        <v>2880</v>
      </c>
      <c r="H532">
        <v>17.135999999999999</v>
      </c>
    </row>
    <row r="533" spans="2:8">
      <c r="B533" s="555" t="s">
        <v>2158</v>
      </c>
      <c r="C533" s="555" t="str">
        <f>VLOOKUP(D533,기본!$D$13:$E$74,2,0)</f>
        <v>삼성 생활가전</v>
      </c>
      <c r="D533" t="s">
        <v>1991</v>
      </c>
      <c r="E533" t="s">
        <v>1997</v>
      </c>
      <c r="F533" t="s">
        <v>1997</v>
      </c>
      <c r="G533" s="554">
        <v>2880</v>
      </c>
      <c r="H533">
        <v>17.107199999999999</v>
      </c>
    </row>
    <row r="534" spans="2:8">
      <c r="B534" s="555" t="s">
        <v>2158</v>
      </c>
      <c r="C534" s="555" t="str">
        <f>VLOOKUP(D534,기본!$D$13:$E$74,2,0)</f>
        <v>삼성 생활가전</v>
      </c>
      <c r="D534" t="s">
        <v>1991</v>
      </c>
      <c r="E534" t="s">
        <v>1998</v>
      </c>
      <c r="F534" t="s">
        <v>1998</v>
      </c>
      <c r="G534" s="554">
        <v>1440</v>
      </c>
      <c r="H534">
        <v>8.4960000000000004</v>
      </c>
    </row>
    <row r="535" spans="2:8">
      <c r="B535" s="555" t="s">
        <v>2158</v>
      </c>
      <c r="C535" s="555" t="str">
        <f>VLOOKUP(D535,기본!$D$13:$E$74,2,0)</f>
        <v>삼성 생활가전</v>
      </c>
      <c r="D535" t="s">
        <v>1991</v>
      </c>
      <c r="E535" t="s">
        <v>2001</v>
      </c>
      <c r="F535" t="s">
        <v>2001</v>
      </c>
      <c r="G535" s="554">
        <v>29520</v>
      </c>
      <c r="H535">
        <v>168.82488000000001</v>
      </c>
    </row>
    <row r="536" spans="2:8">
      <c r="B536" s="555" t="s">
        <v>2158</v>
      </c>
      <c r="C536" s="555" t="str">
        <f>VLOOKUP(D536,기본!$D$13:$E$74,2,0)</f>
        <v>삼성 생활가전</v>
      </c>
      <c r="D536" t="s">
        <v>1991</v>
      </c>
      <c r="E536" t="s">
        <v>2002</v>
      </c>
      <c r="F536" t="s">
        <v>2002</v>
      </c>
      <c r="G536" s="554">
        <v>5040</v>
      </c>
      <c r="H536">
        <v>49.79016</v>
      </c>
    </row>
    <row r="537" spans="2:8">
      <c r="B537" s="555" t="s">
        <v>2158</v>
      </c>
      <c r="C537" s="555" t="str">
        <f>VLOOKUP(D537,기본!$D$13:$E$74,2,0)</f>
        <v>삼성 생활가전</v>
      </c>
      <c r="D537" t="s">
        <v>1991</v>
      </c>
      <c r="E537" t="s">
        <v>2147</v>
      </c>
      <c r="F537" t="s">
        <v>2147</v>
      </c>
      <c r="G537" s="554">
        <v>720</v>
      </c>
      <c r="H537">
        <v>7.1711999999999998</v>
      </c>
    </row>
    <row r="538" spans="2:8">
      <c r="B538" s="555" t="s">
        <v>2158</v>
      </c>
      <c r="C538" s="555" t="str">
        <f>VLOOKUP(D538,기본!$D$13:$E$74,2,0)</f>
        <v>삼성 생활가전</v>
      </c>
      <c r="D538" t="s">
        <v>1991</v>
      </c>
      <c r="E538" t="s">
        <v>1508</v>
      </c>
      <c r="F538" t="s">
        <v>1508</v>
      </c>
      <c r="G538" s="554">
        <v>373</v>
      </c>
      <c r="H538">
        <v>3.5434999999999999</v>
      </c>
    </row>
    <row r="539" spans="2:8">
      <c r="B539" s="555" t="s">
        <v>2158</v>
      </c>
      <c r="C539" s="555" t="str">
        <f>VLOOKUP(D539,기본!$D$13:$E$74,2,0)</f>
        <v>삼성 생활가전</v>
      </c>
      <c r="D539" t="s">
        <v>1991</v>
      </c>
      <c r="E539" t="s">
        <v>1238</v>
      </c>
      <c r="F539" t="s">
        <v>1238</v>
      </c>
      <c r="G539" s="554">
        <v>5</v>
      </c>
      <c r="H539">
        <v>2.7E-2</v>
      </c>
    </row>
    <row r="540" spans="2:8">
      <c r="B540" s="555" t="s">
        <v>2158</v>
      </c>
      <c r="C540" s="555" t="str">
        <f>VLOOKUP(D540,기본!$D$13:$E$74,2,0)</f>
        <v>삼성 생활가전</v>
      </c>
      <c r="D540" t="s">
        <v>1991</v>
      </c>
      <c r="E540" t="s">
        <v>1242</v>
      </c>
      <c r="F540" t="s">
        <v>1242</v>
      </c>
      <c r="G540" s="554">
        <v>28</v>
      </c>
      <c r="H540">
        <v>0.14363999999999999</v>
      </c>
    </row>
    <row r="541" spans="2:8">
      <c r="B541" s="555" t="s">
        <v>2158</v>
      </c>
      <c r="C541" s="555" t="str">
        <f>VLOOKUP(D541,기본!$D$13:$E$74,2,0)</f>
        <v>삼성 생활가전</v>
      </c>
      <c r="D541" t="s">
        <v>1991</v>
      </c>
      <c r="E541" t="s">
        <v>1395</v>
      </c>
      <c r="F541" t="s">
        <v>1395</v>
      </c>
      <c r="G541" s="554">
        <v>4918</v>
      </c>
      <c r="H541">
        <v>26.842444</v>
      </c>
    </row>
    <row r="542" spans="2:8">
      <c r="B542" s="555" t="s">
        <v>2158</v>
      </c>
      <c r="C542" s="555" t="str">
        <f>VLOOKUP(D542,기본!$D$13:$E$74,2,0)</f>
        <v>삼성 생활가전</v>
      </c>
      <c r="D542" t="s">
        <v>1991</v>
      </c>
      <c r="E542" t="s">
        <v>2004</v>
      </c>
      <c r="F542" t="s">
        <v>2004</v>
      </c>
      <c r="G542" s="554">
        <v>2904</v>
      </c>
      <c r="H542">
        <v>29.63532</v>
      </c>
    </row>
    <row r="543" spans="2:8">
      <c r="B543" s="555" t="s">
        <v>2158</v>
      </c>
      <c r="C543" s="555" t="str">
        <f>VLOOKUP(D543,기본!$D$13:$E$74,2,0)</f>
        <v>삼성 생활가전</v>
      </c>
      <c r="D543" t="s">
        <v>1991</v>
      </c>
      <c r="E543" t="s">
        <v>1465</v>
      </c>
      <c r="F543" t="s">
        <v>1465</v>
      </c>
      <c r="G543" s="554">
        <v>2441</v>
      </c>
      <c r="H543">
        <v>31.574335000000001</v>
      </c>
    </row>
    <row r="544" spans="2:8">
      <c r="B544" s="555" t="s">
        <v>2158</v>
      </c>
      <c r="C544" s="555" t="str">
        <f>VLOOKUP(D544,기본!$D$13:$E$74,2,0)</f>
        <v>삼성 생활가전</v>
      </c>
      <c r="D544" t="s">
        <v>1991</v>
      </c>
      <c r="E544" t="s">
        <v>2005</v>
      </c>
      <c r="F544" t="s">
        <v>2005</v>
      </c>
      <c r="G544" s="554">
        <v>0</v>
      </c>
      <c r="H544">
        <v>4.4364170000000005</v>
      </c>
    </row>
    <row r="545" spans="2:8">
      <c r="B545" s="555" t="s">
        <v>2158</v>
      </c>
      <c r="C545" s="555" t="str">
        <f>VLOOKUP(D545,기본!$D$13:$E$74,2,0)</f>
        <v>삼성 생활가전</v>
      </c>
      <c r="D545" t="s">
        <v>1991</v>
      </c>
      <c r="E545" t="s">
        <v>229</v>
      </c>
      <c r="F545" t="s">
        <v>229</v>
      </c>
      <c r="G545" s="554">
        <v>0</v>
      </c>
      <c r="H545">
        <v>6.0804999999999998</v>
      </c>
    </row>
    <row r="546" spans="2:8">
      <c r="B546" s="555" t="s">
        <v>2158</v>
      </c>
      <c r="C546" s="555" t="str">
        <f>VLOOKUP(D546,기본!$D$13:$E$74,2,0)</f>
        <v>HP</v>
      </c>
      <c r="D546" t="s">
        <v>2148</v>
      </c>
      <c r="E546" t="s">
        <v>229</v>
      </c>
      <c r="F546" t="s">
        <v>229</v>
      </c>
      <c r="G546" s="554">
        <v>0</v>
      </c>
      <c r="H546">
        <v>1.106895</v>
      </c>
    </row>
    <row r="547" spans="2:8">
      <c r="B547" s="555" t="s">
        <v>2158</v>
      </c>
      <c r="C547" s="555" t="str">
        <f>VLOOKUP(D547,기본!$D$13:$E$74,2,0)</f>
        <v>코웨이</v>
      </c>
      <c r="D547" t="s">
        <v>2007</v>
      </c>
      <c r="E547" t="s">
        <v>1072</v>
      </c>
      <c r="F547" t="s">
        <v>1072</v>
      </c>
      <c r="G547" s="554">
        <v>23448</v>
      </c>
      <c r="H547">
        <v>113.72280000000001</v>
      </c>
    </row>
    <row r="548" spans="2:8">
      <c r="B548" s="555" t="s">
        <v>2158</v>
      </c>
      <c r="C548" s="555" t="str">
        <f>VLOOKUP(D548,기본!$D$13:$E$74,2,0)</f>
        <v>코웨이</v>
      </c>
      <c r="D548" t="s">
        <v>2007</v>
      </c>
      <c r="E548" t="s">
        <v>1075</v>
      </c>
      <c r="F548" t="s">
        <v>1075</v>
      </c>
      <c r="G548" s="554">
        <v>24192</v>
      </c>
      <c r="H548">
        <v>33.747839999999997</v>
      </c>
    </row>
    <row r="549" spans="2:8">
      <c r="B549" s="555" t="s">
        <v>2158</v>
      </c>
      <c r="C549" s="555" t="str">
        <f>VLOOKUP(D549,기본!$D$13:$E$74,2,0)</f>
        <v>코웨이</v>
      </c>
      <c r="D549" t="s">
        <v>2008</v>
      </c>
      <c r="E549" t="s">
        <v>2009</v>
      </c>
      <c r="F549" t="s">
        <v>2009</v>
      </c>
      <c r="G549" s="554">
        <v>7800</v>
      </c>
      <c r="H549">
        <v>21.317399999999999</v>
      </c>
    </row>
    <row r="550" spans="2:8">
      <c r="B550" s="555" t="s">
        <v>2158</v>
      </c>
      <c r="C550" s="555" t="str">
        <f>VLOOKUP(D550,기본!$D$13:$E$74,2,0)</f>
        <v>코웨이</v>
      </c>
      <c r="D550" t="s">
        <v>2010</v>
      </c>
      <c r="E550" t="s">
        <v>2011</v>
      </c>
      <c r="F550" t="s">
        <v>2011</v>
      </c>
      <c r="G550" s="554">
        <v>40</v>
      </c>
      <c r="H550">
        <v>0.19824</v>
      </c>
    </row>
    <row r="551" spans="2:8">
      <c r="B551" s="555" t="s">
        <v>2158</v>
      </c>
      <c r="C551" s="555" t="str">
        <f>VLOOKUP(D551,기본!$D$13:$E$74,2,0)</f>
        <v>코웨이</v>
      </c>
      <c r="D551" t="s">
        <v>2010</v>
      </c>
      <c r="E551" t="s">
        <v>2013</v>
      </c>
      <c r="F551" t="s">
        <v>2013</v>
      </c>
      <c r="G551" s="554">
        <v>501</v>
      </c>
      <c r="H551">
        <v>4.3927680000000002</v>
      </c>
    </row>
    <row r="552" spans="2:8">
      <c r="B552" s="555" t="s">
        <v>2158</v>
      </c>
      <c r="C552" s="555" t="str">
        <f>VLOOKUP(D552,기본!$D$13:$E$74,2,0)</f>
        <v>코웨이</v>
      </c>
      <c r="D552" t="s">
        <v>2010</v>
      </c>
      <c r="E552" t="s">
        <v>2014</v>
      </c>
      <c r="F552" t="s">
        <v>2014</v>
      </c>
      <c r="G552" s="554">
        <v>13883</v>
      </c>
      <c r="H552">
        <v>121.22635600000001</v>
      </c>
    </row>
    <row r="553" spans="2:8">
      <c r="B553" s="555" t="s">
        <v>2158</v>
      </c>
      <c r="C553" s="555" t="str">
        <f>VLOOKUP(D553,기본!$D$13:$E$74,2,0)</f>
        <v>코웨이</v>
      </c>
      <c r="D553" t="s">
        <v>2010</v>
      </c>
      <c r="E553" t="s">
        <v>1093</v>
      </c>
      <c r="F553" t="s">
        <v>1093</v>
      </c>
      <c r="G553" s="554">
        <v>52</v>
      </c>
      <c r="H553">
        <v>0.30927399999999999</v>
      </c>
    </row>
    <row r="554" spans="2:8">
      <c r="B554" s="555" t="s">
        <v>2158</v>
      </c>
      <c r="C554" s="555" t="str">
        <f>VLOOKUP(D554,기본!$D$13:$E$74,2,0)</f>
        <v>코웨이</v>
      </c>
      <c r="D554" t="s">
        <v>2010</v>
      </c>
      <c r="E554" t="s">
        <v>1094</v>
      </c>
      <c r="F554" t="s">
        <v>1094</v>
      </c>
      <c r="G554" s="554">
        <v>1108</v>
      </c>
      <c r="H554">
        <v>3.4574829999999999</v>
      </c>
    </row>
    <row r="555" spans="2:8">
      <c r="B555" s="555" t="s">
        <v>2158</v>
      </c>
      <c r="C555" s="555" t="str">
        <f>VLOOKUP(D555,기본!$D$13:$E$74,2,0)</f>
        <v>코웨이</v>
      </c>
      <c r="D555" t="s">
        <v>2010</v>
      </c>
      <c r="E555" t="s">
        <v>1095</v>
      </c>
      <c r="F555" t="s">
        <v>1095</v>
      </c>
      <c r="G555" s="554">
        <v>1101</v>
      </c>
      <c r="H555">
        <v>6.6456359999999997</v>
      </c>
    </row>
    <row r="556" spans="2:8">
      <c r="B556" s="555" t="s">
        <v>2158</v>
      </c>
      <c r="C556" s="555" t="str">
        <f>VLOOKUP(D556,기본!$D$13:$E$74,2,0)</f>
        <v>코웨이</v>
      </c>
      <c r="D556" t="s">
        <v>2010</v>
      </c>
      <c r="E556" t="s">
        <v>2015</v>
      </c>
      <c r="F556" t="s">
        <v>2015</v>
      </c>
      <c r="G556" s="554">
        <v>15</v>
      </c>
      <c r="H556">
        <v>0.19329000000000002</v>
      </c>
    </row>
    <row r="557" spans="2:8">
      <c r="B557" s="555" t="s">
        <v>2158</v>
      </c>
      <c r="C557" s="555" t="str">
        <f>VLOOKUP(D557,기본!$D$13:$E$74,2,0)</f>
        <v>코웨이</v>
      </c>
      <c r="D557" t="s">
        <v>2010</v>
      </c>
      <c r="E557" t="s">
        <v>2016</v>
      </c>
      <c r="F557" t="s">
        <v>2016</v>
      </c>
      <c r="G557" s="554">
        <v>40</v>
      </c>
      <c r="H557">
        <v>0.28532000000000002</v>
      </c>
    </row>
    <row r="558" spans="2:8">
      <c r="B558" s="555" t="s">
        <v>2158</v>
      </c>
      <c r="C558" s="555" t="str">
        <f>VLOOKUP(D558,기본!$D$13:$E$74,2,0)</f>
        <v>코웨이</v>
      </c>
      <c r="D558" t="s">
        <v>2010</v>
      </c>
      <c r="E558" t="s">
        <v>2149</v>
      </c>
      <c r="F558" t="s">
        <v>2149</v>
      </c>
      <c r="G558" s="554">
        <v>13</v>
      </c>
      <c r="H558">
        <v>0.12961</v>
      </c>
    </row>
    <row r="559" spans="2:8">
      <c r="B559" s="555" t="s">
        <v>2158</v>
      </c>
      <c r="C559" s="555" t="str">
        <f>VLOOKUP(D559,기본!$D$13:$E$74,2,0)</f>
        <v>코웨이</v>
      </c>
      <c r="D559" t="s">
        <v>2010</v>
      </c>
      <c r="E559" t="s">
        <v>2017</v>
      </c>
      <c r="F559" t="s">
        <v>2017</v>
      </c>
      <c r="G559" s="554">
        <v>9</v>
      </c>
      <c r="H559">
        <v>0.11066399999999998</v>
      </c>
    </row>
    <row r="560" spans="2:8">
      <c r="B560" s="555" t="s">
        <v>2158</v>
      </c>
      <c r="C560" s="555" t="str">
        <f>VLOOKUP(D560,기본!$D$13:$E$74,2,0)</f>
        <v>코웨이</v>
      </c>
      <c r="D560" t="s">
        <v>2010</v>
      </c>
      <c r="E560" t="s">
        <v>2018</v>
      </c>
      <c r="F560" t="s">
        <v>2018</v>
      </c>
      <c r="G560" s="554">
        <v>310</v>
      </c>
      <c r="H560">
        <v>3.9794700000000001</v>
      </c>
    </row>
    <row r="561" spans="2:8">
      <c r="B561" s="555" t="s">
        <v>2158</v>
      </c>
      <c r="C561" s="555" t="str">
        <f>VLOOKUP(D561,기본!$D$13:$E$74,2,0)</f>
        <v>코웨이</v>
      </c>
      <c r="D561" t="s">
        <v>2010</v>
      </c>
      <c r="E561" t="s">
        <v>2019</v>
      </c>
      <c r="F561" t="s">
        <v>2019</v>
      </c>
      <c r="G561" s="554">
        <v>1320</v>
      </c>
      <c r="H561">
        <v>21.812480000000001</v>
      </c>
    </row>
    <row r="562" spans="2:8">
      <c r="B562" s="555" t="s">
        <v>2158</v>
      </c>
      <c r="C562" s="555" t="str">
        <f>VLOOKUP(D562,기본!$D$13:$E$74,2,0)</f>
        <v>코웨이</v>
      </c>
      <c r="D562" t="s">
        <v>2010</v>
      </c>
      <c r="E562" t="s">
        <v>2020</v>
      </c>
      <c r="F562" t="s">
        <v>2020</v>
      </c>
      <c r="G562" s="554">
        <v>36</v>
      </c>
      <c r="H562">
        <v>0.55497599999999991</v>
      </c>
    </row>
    <row r="563" spans="2:8">
      <c r="B563" s="555" t="s">
        <v>2158</v>
      </c>
      <c r="C563" s="555" t="str">
        <f>VLOOKUP(D563,기본!$D$13:$E$74,2,0)</f>
        <v>코웨이</v>
      </c>
      <c r="D563" t="s">
        <v>2010</v>
      </c>
      <c r="E563" t="s">
        <v>2021</v>
      </c>
      <c r="F563" t="s">
        <v>2021</v>
      </c>
      <c r="G563" s="554">
        <v>33197</v>
      </c>
      <c r="H563">
        <v>429.41401200000007</v>
      </c>
    </row>
    <row r="564" spans="2:8">
      <c r="B564" s="555" t="s">
        <v>2158</v>
      </c>
      <c r="C564" s="555" t="str">
        <f>VLOOKUP(D564,기본!$D$13:$E$74,2,0)</f>
        <v>코웨이</v>
      </c>
      <c r="D564" t="s">
        <v>2010</v>
      </c>
      <c r="E564" t="s">
        <v>1542</v>
      </c>
      <c r="F564" t="s">
        <v>1542</v>
      </c>
      <c r="G564" s="554">
        <v>1329</v>
      </c>
      <c r="H564">
        <v>10.379490000000001</v>
      </c>
    </row>
    <row r="565" spans="2:8">
      <c r="B565" s="555" t="s">
        <v>2158</v>
      </c>
      <c r="C565" s="555" t="str">
        <f>VLOOKUP(D565,기본!$D$13:$E$74,2,0)</f>
        <v>코웨이</v>
      </c>
      <c r="D565" t="s">
        <v>2010</v>
      </c>
      <c r="E565" t="s">
        <v>2022</v>
      </c>
      <c r="F565" t="s">
        <v>2022</v>
      </c>
      <c r="G565" s="554">
        <v>117</v>
      </c>
      <c r="H565">
        <v>0.91201500000000002</v>
      </c>
    </row>
    <row r="566" spans="2:8">
      <c r="B566" s="555" t="s">
        <v>2158</v>
      </c>
      <c r="C566" s="555" t="str">
        <f>VLOOKUP(D566,기본!$D$13:$E$74,2,0)</f>
        <v>코웨이</v>
      </c>
      <c r="D566" t="s">
        <v>2010</v>
      </c>
      <c r="E566" t="s">
        <v>2023</v>
      </c>
      <c r="F566" t="s">
        <v>2023</v>
      </c>
      <c r="G566" s="554">
        <v>1592</v>
      </c>
      <c r="H566">
        <v>11.358919999999999</v>
      </c>
    </row>
    <row r="567" spans="2:8">
      <c r="B567" s="555" t="s">
        <v>2158</v>
      </c>
      <c r="C567" s="555" t="str">
        <f>VLOOKUP(D567,기본!$D$13:$E$74,2,0)</f>
        <v>코웨이</v>
      </c>
      <c r="D567" t="s">
        <v>2010</v>
      </c>
      <c r="E567" t="s">
        <v>2024</v>
      </c>
      <c r="F567" t="s">
        <v>2024</v>
      </c>
      <c r="G567" s="554">
        <v>3</v>
      </c>
      <c r="H567">
        <v>2.7177E-2</v>
      </c>
    </row>
    <row r="568" spans="2:8">
      <c r="B568" s="555" t="s">
        <v>2158</v>
      </c>
      <c r="C568" s="555" t="str">
        <f>VLOOKUP(D568,기본!$D$13:$E$74,2,0)</f>
        <v>코웨이</v>
      </c>
      <c r="D568" t="s">
        <v>2010</v>
      </c>
      <c r="E568" t="s">
        <v>2025</v>
      </c>
      <c r="F568" t="s">
        <v>2025</v>
      </c>
      <c r="G568" s="554">
        <v>859</v>
      </c>
      <c r="H568">
        <v>7.6339329999999999</v>
      </c>
    </row>
    <row r="569" spans="2:8">
      <c r="B569" s="555" t="s">
        <v>2158</v>
      </c>
      <c r="C569" s="555" t="str">
        <f>VLOOKUP(D569,기본!$D$13:$E$74,2,0)</f>
        <v>코웨이</v>
      </c>
      <c r="D569" t="s">
        <v>2010</v>
      </c>
      <c r="E569" t="s">
        <v>2026</v>
      </c>
      <c r="F569" t="s">
        <v>2026</v>
      </c>
      <c r="G569" s="554">
        <v>108</v>
      </c>
      <c r="H569">
        <v>1.84032</v>
      </c>
    </row>
    <row r="570" spans="2:8">
      <c r="B570" s="555" t="s">
        <v>2158</v>
      </c>
      <c r="C570" s="555" t="str">
        <f>VLOOKUP(D570,기본!$D$13:$E$74,2,0)</f>
        <v>코웨이</v>
      </c>
      <c r="D570" t="s">
        <v>2010</v>
      </c>
      <c r="E570" t="s">
        <v>2027</v>
      </c>
      <c r="F570" t="s">
        <v>2027</v>
      </c>
      <c r="G570" s="554">
        <v>39</v>
      </c>
      <c r="H570">
        <v>0.75660000000000005</v>
      </c>
    </row>
    <row r="571" spans="2:8">
      <c r="B571" s="555" t="s">
        <v>2158</v>
      </c>
      <c r="C571" s="555" t="str">
        <f>VLOOKUP(D571,기본!$D$13:$E$74,2,0)</f>
        <v>코웨이</v>
      </c>
      <c r="D571" t="s">
        <v>2010</v>
      </c>
      <c r="E571" t="s">
        <v>2028</v>
      </c>
      <c r="F571" t="s">
        <v>2028</v>
      </c>
      <c r="G571" s="554">
        <v>20</v>
      </c>
      <c r="H571">
        <v>0.378</v>
      </c>
    </row>
    <row r="572" spans="2:8">
      <c r="B572" s="555" t="s">
        <v>2158</v>
      </c>
      <c r="C572" s="555" t="str">
        <f>VLOOKUP(D572,기본!$D$13:$E$74,2,0)</f>
        <v>코웨이</v>
      </c>
      <c r="D572" t="s">
        <v>2010</v>
      </c>
      <c r="E572" t="s">
        <v>2029</v>
      </c>
      <c r="F572" t="s">
        <v>2029</v>
      </c>
      <c r="G572" s="554">
        <v>535</v>
      </c>
      <c r="H572">
        <v>11.014044999999999</v>
      </c>
    </row>
    <row r="573" spans="2:8">
      <c r="B573" s="555" t="s">
        <v>2158</v>
      </c>
      <c r="C573" s="555" t="str">
        <f>VLOOKUP(D573,기본!$D$13:$E$74,2,0)</f>
        <v>코웨이</v>
      </c>
      <c r="D573" t="s">
        <v>2010</v>
      </c>
      <c r="E573" t="s">
        <v>2030</v>
      </c>
      <c r="F573" t="s">
        <v>2030</v>
      </c>
      <c r="G573" s="554">
        <v>181</v>
      </c>
      <c r="H573">
        <v>3.7262469999999999</v>
      </c>
    </row>
    <row r="574" spans="2:8">
      <c r="B574" s="555" t="s">
        <v>2158</v>
      </c>
      <c r="C574" s="555" t="str">
        <f>VLOOKUP(D574,기본!$D$13:$E$74,2,0)</f>
        <v>코웨이</v>
      </c>
      <c r="D574" t="s">
        <v>2010</v>
      </c>
      <c r="E574" t="s">
        <v>2150</v>
      </c>
      <c r="F574" t="s">
        <v>2150</v>
      </c>
      <c r="G574" s="554">
        <v>500</v>
      </c>
      <c r="H574">
        <v>10.2935</v>
      </c>
    </row>
    <row r="575" spans="2:8">
      <c r="B575" s="555" t="s">
        <v>2158</v>
      </c>
      <c r="C575" s="555" t="str">
        <f>VLOOKUP(D575,기본!$D$13:$E$74,2,0)</f>
        <v>코웨이</v>
      </c>
      <c r="D575" t="s">
        <v>2010</v>
      </c>
      <c r="E575" t="s">
        <v>2031</v>
      </c>
      <c r="F575" t="s">
        <v>2031</v>
      </c>
      <c r="G575" s="554">
        <v>6</v>
      </c>
      <c r="H575">
        <v>8.3460000000000006E-2</v>
      </c>
    </row>
    <row r="576" spans="2:8">
      <c r="B576" s="555" t="s">
        <v>2158</v>
      </c>
      <c r="C576" s="555" t="str">
        <f>VLOOKUP(D576,기본!$D$13:$E$74,2,0)</f>
        <v>코웨이</v>
      </c>
      <c r="D576" t="s">
        <v>2010</v>
      </c>
      <c r="E576" t="s">
        <v>2151</v>
      </c>
      <c r="F576" t="s">
        <v>2151</v>
      </c>
      <c r="G576" s="554">
        <v>363</v>
      </c>
      <c r="H576">
        <v>2.6985420000000002</v>
      </c>
    </row>
    <row r="577" spans="2:8">
      <c r="B577" s="555" t="s">
        <v>2158</v>
      </c>
      <c r="C577" s="555" t="str">
        <f>VLOOKUP(D577,기본!$D$13:$E$74,2,0)</f>
        <v>코웨이</v>
      </c>
      <c r="D577" t="s">
        <v>2010</v>
      </c>
      <c r="E577" t="s">
        <v>2032</v>
      </c>
      <c r="F577" t="s">
        <v>2032</v>
      </c>
      <c r="G577" s="554">
        <v>163</v>
      </c>
      <c r="H577">
        <v>0.36242400000000002</v>
      </c>
    </row>
    <row r="578" spans="2:8">
      <c r="B578" s="555" t="s">
        <v>2158</v>
      </c>
      <c r="C578" s="555" t="str">
        <f>VLOOKUP(D578,기본!$D$13:$E$74,2,0)</f>
        <v>코웨이</v>
      </c>
      <c r="D578" t="s">
        <v>2010</v>
      </c>
      <c r="E578" t="s">
        <v>2033</v>
      </c>
      <c r="F578" t="s">
        <v>2033</v>
      </c>
      <c r="G578" s="554">
        <v>1615</v>
      </c>
      <c r="H578">
        <v>9.5257150000000017</v>
      </c>
    </row>
    <row r="579" spans="2:8">
      <c r="B579" s="555" t="s">
        <v>2158</v>
      </c>
      <c r="C579" s="555" t="str">
        <f>VLOOKUP(D579,기본!$D$13:$E$74,2,0)</f>
        <v>코웨이</v>
      </c>
      <c r="D579" t="s">
        <v>2010</v>
      </c>
      <c r="E579" t="s">
        <v>2034</v>
      </c>
      <c r="F579" t="s">
        <v>2034</v>
      </c>
      <c r="G579" s="554">
        <v>4131</v>
      </c>
      <c r="H579">
        <v>63.601247999999998</v>
      </c>
    </row>
    <row r="580" spans="2:8">
      <c r="B580" s="555" t="s">
        <v>2158</v>
      </c>
      <c r="C580" s="555" t="str">
        <f>VLOOKUP(D580,기본!$D$13:$E$74,2,0)</f>
        <v>코웨이</v>
      </c>
      <c r="D580" t="s">
        <v>2010</v>
      </c>
      <c r="E580" t="s">
        <v>2035</v>
      </c>
      <c r="F580" t="s">
        <v>2035</v>
      </c>
      <c r="G580" s="554">
        <v>180</v>
      </c>
      <c r="H580">
        <v>3.0227400000000002</v>
      </c>
    </row>
    <row r="581" spans="2:8">
      <c r="B581" s="555" t="s">
        <v>2158</v>
      </c>
      <c r="C581" s="555" t="str">
        <f>VLOOKUP(D581,기본!$D$13:$E$74,2,0)</f>
        <v>코웨이</v>
      </c>
      <c r="D581" t="s">
        <v>2010</v>
      </c>
      <c r="E581" t="s">
        <v>2036</v>
      </c>
      <c r="F581" t="s">
        <v>2036</v>
      </c>
      <c r="G581" s="554">
        <v>1976</v>
      </c>
      <c r="H581">
        <v>30.274180000000001</v>
      </c>
    </row>
    <row r="582" spans="2:8">
      <c r="B582" s="555" t="s">
        <v>2158</v>
      </c>
      <c r="C582" s="555" t="str">
        <f>VLOOKUP(D582,기본!$D$13:$E$74,2,0)</f>
        <v>코웨이</v>
      </c>
      <c r="D582" t="s">
        <v>2010</v>
      </c>
      <c r="E582" t="s">
        <v>2038</v>
      </c>
      <c r="F582" t="s">
        <v>2038</v>
      </c>
      <c r="G582" s="554">
        <v>144</v>
      </c>
      <c r="H582">
        <v>2.2883040000000001</v>
      </c>
    </row>
    <row r="583" spans="2:8">
      <c r="B583" s="555" t="s">
        <v>2158</v>
      </c>
      <c r="C583" s="555" t="str">
        <f>VLOOKUP(D583,기본!$D$13:$E$74,2,0)</f>
        <v>코웨이</v>
      </c>
      <c r="D583" t="s">
        <v>2010</v>
      </c>
      <c r="E583" t="s">
        <v>2041</v>
      </c>
      <c r="F583" t="s">
        <v>2041</v>
      </c>
      <c r="G583" s="554">
        <v>2549</v>
      </c>
      <c r="H583">
        <v>41.737326000000003</v>
      </c>
    </row>
    <row r="584" spans="2:8">
      <c r="B584" s="555" t="s">
        <v>2158</v>
      </c>
      <c r="C584" s="555" t="str">
        <f>VLOOKUP(D584,기본!$D$13:$E$74,2,0)</f>
        <v>코웨이</v>
      </c>
      <c r="D584" t="s">
        <v>2010</v>
      </c>
      <c r="E584" t="s">
        <v>1089</v>
      </c>
      <c r="F584" t="s">
        <v>1089</v>
      </c>
      <c r="G584" s="554">
        <v>2376</v>
      </c>
      <c r="H584">
        <v>26.668007999999997</v>
      </c>
    </row>
    <row r="585" spans="2:8">
      <c r="B585" s="555" t="s">
        <v>2158</v>
      </c>
      <c r="C585" s="555" t="str">
        <f>VLOOKUP(D585,기본!$D$13:$E$74,2,0)</f>
        <v>코웨이</v>
      </c>
      <c r="D585" t="s">
        <v>2010</v>
      </c>
      <c r="E585" t="s">
        <v>2042</v>
      </c>
      <c r="F585" t="s">
        <v>2042</v>
      </c>
      <c r="G585" s="554">
        <v>3</v>
      </c>
      <c r="H585">
        <v>2.2166999999999999E-2</v>
      </c>
    </row>
    <row r="586" spans="2:8">
      <c r="B586" s="555" t="s">
        <v>2158</v>
      </c>
      <c r="C586" s="555" t="str">
        <f>VLOOKUP(D586,기본!$D$13:$E$74,2,0)</f>
        <v>코웨이</v>
      </c>
      <c r="D586" t="s">
        <v>2010</v>
      </c>
      <c r="E586" t="s">
        <v>2043</v>
      </c>
      <c r="F586" t="s">
        <v>2043</v>
      </c>
      <c r="G586" s="554">
        <v>270</v>
      </c>
      <c r="H586">
        <v>2.25909</v>
      </c>
    </row>
    <row r="587" spans="2:8">
      <c r="B587" s="555" t="s">
        <v>2158</v>
      </c>
      <c r="C587" s="555" t="str">
        <f>VLOOKUP(D587,기본!$D$13:$E$74,2,0)</f>
        <v>코웨이</v>
      </c>
      <c r="D587" t="s">
        <v>2010</v>
      </c>
      <c r="E587" t="s">
        <v>2044</v>
      </c>
      <c r="F587" t="s">
        <v>2044</v>
      </c>
      <c r="G587" s="554">
        <v>10</v>
      </c>
      <c r="H587">
        <v>0.17693999999999999</v>
      </c>
    </row>
    <row r="588" spans="2:8">
      <c r="B588" s="555" t="s">
        <v>2158</v>
      </c>
      <c r="C588" s="555" t="str">
        <f>VLOOKUP(D588,기본!$D$13:$E$74,2,0)</f>
        <v>코웨이</v>
      </c>
      <c r="D588" t="s">
        <v>2010</v>
      </c>
      <c r="E588" t="s">
        <v>2152</v>
      </c>
      <c r="F588" t="s">
        <v>2152</v>
      </c>
      <c r="G588" s="554">
        <v>21</v>
      </c>
      <c r="H588">
        <v>7.9463999999999993E-2</v>
      </c>
    </row>
    <row r="589" spans="2:8">
      <c r="B589" s="555" t="s">
        <v>2158</v>
      </c>
      <c r="C589" s="555" t="str">
        <f>VLOOKUP(D589,기본!$D$13:$E$74,2,0)</f>
        <v>코웨이</v>
      </c>
      <c r="D589" t="s">
        <v>2010</v>
      </c>
      <c r="E589" t="s">
        <v>2045</v>
      </c>
      <c r="F589" t="s">
        <v>2045</v>
      </c>
      <c r="G589" s="554">
        <v>58</v>
      </c>
      <c r="H589">
        <v>0.98234599999999994</v>
      </c>
    </row>
    <row r="590" spans="2:8">
      <c r="B590" s="555" t="s">
        <v>2158</v>
      </c>
      <c r="C590" s="555" t="str">
        <f>VLOOKUP(D590,기본!$D$13:$E$74,2,0)</f>
        <v>코웨이</v>
      </c>
      <c r="D590" t="s">
        <v>2010</v>
      </c>
      <c r="E590" t="s">
        <v>2046</v>
      </c>
      <c r="F590" t="s">
        <v>2046</v>
      </c>
      <c r="G590" s="554">
        <v>1293</v>
      </c>
      <c r="H590">
        <v>20.120601999999998</v>
      </c>
    </row>
    <row r="591" spans="2:8">
      <c r="B591" s="555" t="s">
        <v>2158</v>
      </c>
      <c r="C591" s="555" t="str">
        <f>VLOOKUP(D591,기본!$D$13:$E$74,2,0)</f>
        <v>코웨이</v>
      </c>
      <c r="D591" t="s">
        <v>2010</v>
      </c>
      <c r="E591" t="s">
        <v>2048</v>
      </c>
      <c r="F591" t="s">
        <v>2048</v>
      </c>
      <c r="G591" s="554">
        <v>10</v>
      </c>
      <c r="H591">
        <v>0.22056000000000001</v>
      </c>
    </row>
    <row r="592" spans="2:8">
      <c r="B592" s="555" t="s">
        <v>2158</v>
      </c>
      <c r="C592" s="555" t="str">
        <f>VLOOKUP(D592,기본!$D$13:$E$74,2,0)</f>
        <v>코웨이</v>
      </c>
      <c r="D592" t="s">
        <v>2010</v>
      </c>
      <c r="E592" t="s">
        <v>2153</v>
      </c>
      <c r="F592" t="s">
        <v>2153</v>
      </c>
      <c r="G592" s="554">
        <v>3</v>
      </c>
      <c r="H592">
        <v>5.7921E-2</v>
      </c>
    </row>
    <row r="593" spans="2:8">
      <c r="B593" s="555" t="s">
        <v>2158</v>
      </c>
      <c r="C593" s="555" t="str">
        <f>VLOOKUP(D593,기본!$D$13:$E$74,2,0)</f>
        <v>코웨이</v>
      </c>
      <c r="D593" t="s">
        <v>2010</v>
      </c>
      <c r="E593" t="s">
        <v>2049</v>
      </c>
      <c r="F593" t="s">
        <v>2049</v>
      </c>
      <c r="G593" s="554">
        <v>32</v>
      </c>
      <c r="H593">
        <v>0.76899200000000001</v>
      </c>
    </row>
    <row r="594" spans="2:8">
      <c r="B594" s="555" t="s">
        <v>2158</v>
      </c>
      <c r="C594" s="555" t="str">
        <f>VLOOKUP(D594,기본!$D$13:$E$74,2,0)</f>
        <v>코웨이</v>
      </c>
      <c r="D594" t="s">
        <v>2010</v>
      </c>
      <c r="E594" t="s">
        <v>1215</v>
      </c>
      <c r="F594" t="s">
        <v>1215</v>
      </c>
      <c r="G594" s="554">
        <v>139</v>
      </c>
      <c r="H594">
        <v>4.2608259999999998</v>
      </c>
    </row>
    <row r="595" spans="2:8">
      <c r="B595" s="555" t="s">
        <v>2158</v>
      </c>
      <c r="C595" s="555" t="str">
        <f>VLOOKUP(D595,기본!$D$13:$E$74,2,0)</f>
        <v>코웨이</v>
      </c>
      <c r="D595" t="s">
        <v>2010</v>
      </c>
      <c r="E595" t="s">
        <v>1216</v>
      </c>
      <c r="F595" t="s">
        <v>1216</v>
      </c>
      <c r="G595" s="554">
        <v>3</v>
      </c>
      <c r="H595">
        <v>8.0852999999999994E-2</v>
      </c>
    </row>
    <row r="596" spans="2:8">
      <c r="B596" s="555" t="s">
        <v>2158</v>
      </c>
      <c r="C596" s="555" t="str">
        <f>VLOOKUP(D596,기본!$D$13:$E$74,2,0)</f>
        <v>코웨이</v>
      </c>
      <c r="D596" t="s">
        <v>2010</v>
      </c>
      <c r="E596" t="s">
        <v>2050</v>
      </c>
      <c r="F596" t="s">
        <v>2050</v>
      </c>
      <c r="G596" s="554">
        <v>340</v>
      </c>
      <c r="H596">
        <v>7.7959719999999999</v>
      </c>
    </row>
    <row r="597" spans="2:8">
      <c r="B597" s="555" t="s">
        <v>2158</v>
      </c>
      <c r="C597" s="555" t="str">
        <f>VLOOKUP(D597,기본!$D$13:$E$74,2,0)</f>
        <v>코웨이</v>
      </c>
      <c r="D597" t="s">
        <v>2010</v>
      </c>
      <c r="E597" t="s">
        <v>2051</v>
      </c>
      <c r="F597" t="s">
        <v>2051</v>
      </c>
      <c r="G597" s="554">
        <v>1</v>
      </c>
      <c r="H597">
        <v>2.4195999999999999E-2</v>
      </c>
    </row>
    <row r="598" spans="2:8">
      <c r="B598" s="555" t="s">
        <v>2158</v>
      </c>
      <c r="C598" s="555" t="str">
        <f>VLOOKUP(D598,기본!$D$13:$E$74,2,0)</f>
        <v>코웨이</v>
      </c>
      <c r="D598" t="s">
        <v>2010</v>
      </c>
      <c r="E598" t="s">
        <v>2052</v>
      </c>
      <c r="F598" t="s">
        <v>2052</v>
      </c>
      <c r="G598" s="554">
        <v>102</v>
      </c>
      <c r="H598">
        <v>2.3500800000000002</v>
      </c>
    </row>
    <row r="599" spans="2:8">
      <c r="B599" s="555" t="s">
        <v>2158</v>
      </c>
      <c r="C599" s="555" t="str">
        <f>VLOOKUP(D599,기본!$D$13:$E$74,2,0)</f>
        <v>코웨이</v>
      </c>
      <c r="D599" t="s">
        <v>2010</v>
      </c>
      <c r="E599" t="s">
        <v>2053</v>
      </c>
      <c r="F599" t="s">
        <v>2053</v>
      </c>
      <c r="G599" s="554">
        <v>791</v>
      </c>
      <c r="H599">
        <v>20.543852000000001</v>
      </c>
    </row>
    <row r="600" spans="2:8">
      <c r="B600" s="555" t="s">
        <v>2158</v>
      </c>
      <c r="C600" s="555" t="str">
        <f>VLOOKUP(D600,기본!$D$13:$E$74,2,0)</f>
        <v>코웨이</v>
      </c>
      <c r="D600" t="s">
        <v>2010</v>
      </c>
      <c r="E600" t="s">
        <v>1217</v>
      </c>
      <c r="F600" t="s">
        <v>1217</v>
      </c>
      <c r="G600" s="554">
        <v>25</v>
      </c>
      <c r="H600">
        <v>0.79220000000000002</v>
      </c>
    </row>
    <row r="601" spans="2:8">
      <c r="B601" s="555" t="s">
        <v>2158</v>
      </c>
      <c r="C601" s="555" t="str">
        <f>VLOOKUP(D601,기본!$D$13:$E$74,2,0)</f>
        <v>코웨이</v>
      </c>
      <c r="D601" t="s">
        <v>2010</v>
      </c>
      <c r="E601" t="s">
        <v>2054</v>
      </c>
      <c r="F601" t="s">
        <v>2054</v>
      </c>
      <c r="G601" s="554">
        <v>13</v>
      </c>
      <c r="H601">
        <v>0.41052700000000003</v>
      </c>
    </row>
    <row r="602" spans="2:8">
      <c r="B602" s="555" t="s">
        <v>2158</v>
      </c>
      <c r="C602" s="555" t="str">
        <f>VLOOKUP(D602,기본!$D$13:$E$74,2,0)</f>
        <v>코웨이</v>
      </c>
      <c r="D602" t="s">
        <v>2010</v>
      </c>
      <c r="E602" t="s">
        <v>2056</v>
      </c>
      <c r="F602" t="s">
        <v>2056</v>
      </c>
      <c r="G602" s="554">
        <v>1035</v>
      </c>
      <c r="H602">
        <v>19.89762</v>
      </c>
    </row>
    <row r="603" spans="2:8">
      <c r="B603" s="555" t="s">
        <v>2158</v>
      </c>
      <c r="C603" s="555" t="str">
        <f>VLOOKUP(D603,기본!$D$13:$E$74,2,0)</f>
        <v>코웨이</v>
      </c>
      <c r="D603" t="s">
        <v>2010</v>
      </c>
      <c r="E603" t="s">
        <v>2154</v>
      </c>
      <c r="F603" t="s">
        <v>2154</v>
      </c>
      <c r="G603" s="554">
        <v>2</v>
      </c>
      <c r="H603">
        <v>3.9199999999999999E-2</v>
      </c>
    </row>
    <row r="604" spans="2:8">
      <c r="B604" s="555" t="s">
        <v>2158</v>
      </c>
      <c r="C604" s="555" t="str">
        <f>VLOOKUP(D604,기본!$D$13:$E$74,2,0)</f>
        <v>코웨이</v>
      </c>
      <c r="D604" t="s">
        <v>2010</v>
      </c>
      <c r="E604" t="s">
        <v>2057</v>
      </c>
      <c r="F604" t="s">
        <v>2057</v>
      </c>
      <c r="G604" s="554">
        <v>336</v>
      </c>
      <c r="H604">
        <v>9.9784160000000011</v>
      </c>
    </row>
    <row r="605" spans="2:8">
      <c r="B605" s="555" t="s">
        <v>2158</v>
      </c>
      <c r="C605" s="555" t="str">
        <f>VLOOKUP(D605,기본!$D$13:$E$74,2,0)</f>
        <v>코웨이</v>
      </c>
      <c r="D605" t="s">
        <v>2010</v>
      </c>
      <c r="E605" t="s">
        <v>1328</v>
      </c>
      <c r="F605" t="s">
        <v>1328</v>
      </c>
      <c r="G605" s="554">
        <v>250</v>
      </c>
      <c r="H605">
        <v>0.77324999999999999</v>
      </c>
    </row>
    <row r="606" spans="2:8">
      <c r="B606" s="555" t="s">
        <v>2158</v>
      </c>
      <c r="C606" s="555" t="str">
        <f>VLOOKUP(D606,기본!$D$13:$E$74,2,0)</f>
        <v>코웨이</v>
      </c>
      <c r="D606" t="s">
        <v>2010</v>
      </c>
      <c r="E606" t="s">
        <v>1327</v>
      </c>
      <c r="F606" t="s">
        <v>1327</v>
      </c>
      <c r="G606" s="554">
        <v>251</v>
      </c>
      <c r="H606">
        <v>2.5825390000000001</v>
      </c>
    </row>
    <row r="607" spans="2:8">
      <c r="B607" s="555" t="s">
        <v>2158</v>
      </c>
      <c r="C607" s="555" t="str">
        <f>VLOOKUP(D607,기본!$D$13:$E$74,2,0)</f>
        <v>코웨이</v>
      </c>
      <c r="D607" t="s">
        <v>2010</v>
      </c>
      <c r="E607" t="s">
        <v>1325</v>
      </c>
      <c r="F607" t="s">
        <v>1325</v>
      </c>
      <c r="G607" s="554">
        <v>251</v>
      </c>
      <c r="H607">
        <v>8.3668340000000008</v>
      </c>
    </row>
    <row r="608" spans="2:8">
      <c r="B608" s="555" t="s">
        <v>2158</v>
      </c>
      <c r="C608" s="555" t="str">
        <f>VLOOKUP(D608,기본!$D$13:$E$74,2,0)</f>
        <v>코웨이</v>
      </c>
      <c r="D608" t="s">
        <v>2010</v>
      </c>
      <c r="E608" t="s">
        <v>2059</v>
      </c>
      <c r="F608" t="s">
        <v>2059</v>
      </c>
      <c r="G608" s="554">
        <v>333</v>
      </c>
      <c r="H608">
        <v>12.451103</v>
      </c>
    </row>
    <row r="609" spans="2:8">
      <c r="B609" s="555" t="s">
        <v>2158</v>
      </c>
      <c r="C609" s="555" t="str">
        <f>VLOOKUP(D609,기본!$D$13:$E$74,2,0)</f>
        <v>코웨이</v>
      </c>
      <c r="D609" t="s">
        <v>2010</v>
      </c>
      <c r="E609" t="s">
        <v>2060</v>
      </c>
      <c r="F609" t="s">
        <v>2060</v>
      </c>
      <c r="G609" s="554">
        <v>300</v>
      </c>
      <c r="H609">
        <v>1.6677</v>
      </c>
    </row>
    <row r="610" spans="2:8">
      <c r="B610" s="555" t="s">
        <v>2158</v>
      </c>
      <c r="C610" s="555" t="str">
        <f>VLOOKUP(D610,기본!$D$13:$E$74,2,0)</f>
        <v>코웨이</v>
      </c>
      <c r="D610" t="s">
        <v>2010</v>
      </c>
      <c r="E610" t="s">
        <v>1071</v>
      </c>
      <c r="F610" t="s">
        <v>1071</v>
      </c>
      <c r="G610" s="554">
        <v>300</v>
      </c>
      <c r="H610">
        <v>0.48149999999999998</v>
      </c>
    </row>
    <row r="611" spans="2:8">
      <c r="B611" s="555" t="s">
        <v>2158</v>
      </c>
      <c r="C611" s="555" t="str">
        <f>VLOOKUP(D611,기본!$D$13:$E$74,2,0)</f>
        <v>코웨이</v>
      </c>
      <c r="D611" t="s">
        <v>2010</v>
      </c>
      <c r="E611" t="s">
        <v>2155</v>
      </c>
      <c r="F611" t="s">
        <v>2155</v>
      </c>
      <c r="G611" s="554">
        <v>72</v>
      </c>
      <c r="H611">
        <v>0.41039999999999999</v>
      </c>
    </row>
    <row r="612" spans="2:8">
      <c r="B612" s="555" t="s">
        <v>2158</v>
      </c>
      <c r="C612" s="555" t="str">
        <f>VLOOKUP(D612,기본!$D$13:$E$74,2,0)</f>
        <v>코웨이</v>
      </c>
      <c r="D612" t="s">
        <v>2010</v>
      </c>
      <c r="E612" t="s">
        <v>1069</v>
      </c>
      <c r="F612" t="s">
        <v>1069</v>
      </c>
      <c r="G612" s="554">
        <v>24</v>
      </c>
      <c r="H612">
        <v>0.13353599999999999</v>
      </c>
    </row>
    <row r="613" spans="2:8">
      <c r="B613" s="555" t="s">
        <v>2158</v>
      </c>
      <c r="C613" s="555" t="str">
        <f>VLOOKUP(D613,기본!$D$13:$E$74,2,0)</f>
        <v>코웨이</v>
      </c>
      <c r="D613" t="s">
        <v>2010</v>
      </c>
      <c r="E613" t="s">
        <v>2061</v>
      </c>
      <c r="F613" t="s">
        <v>2061</v>
      </c>
      <c r="G613" s="554">
        <v>8</v>
      </c>
      <c r="H613">
        <v>4.9768E-2</v>
      </c>
    </row>
    <row r="614" spans="2:8">
      <c r="B614" s="555" t="s">
        <v>2158</v>
      </c>
      <c r="C614" s="555" t="str">
        <f>VLOOKUP(D614,기본!$D$13:$E$74,2,0)</f>
        <v>코웨이</v>
      </c>
      <c r="D614" t="s">
        <v>2010</v>
      </c>
      <c r="E614" t="s">
        <v>2062</v>
      </c>
      <c r="F614" t="s">
        <v>2062</v>
      </c>
      <c r="G614" s="554">
        <v>1028</v>
      </c>
      <c r="H614">
        <v>5.8801600000000001</v>
      </c>
    </row>
    <row r="615" spans="2:8">
      <c r="B615" s="555" t="s">
        <v>2158</v>
      </c>
      <c r="C615" s="555" t="str">
        <f>VLOOKUP(D615,기본!$D$13:$E$74,2,0)</f>
        <v>코웨이</v>
      </c>
      <c r="D615" t="s">
        <v>2010</v>
      </c>
      <c r="E615" t="s">
        <v>230</v>
      </c>
      <c r="F615" t="s">
        <v>230</v>
      </c>
      <c r="G615" s="554">
        <v>500</v>
      </c>
      <c r="H615">
        <v>3.0655000000000001</v>
      </c>
    </row>
    <row r="616" spans="2:8">
      <c r="B616" s="555" t="s">
        <v>2158</v>
      </c>
      <c r="C616" s="555" t="str">
        <f>VLOOKUP(D616,기본!$D$13:$E$74,2,0)</f>
        <v>코웨이</v>
      </c>
      <c r="D616" t="s">
        <v>2010</v>
      </c>
      <c r="E616" t="s">
        <v>2064</v>
      </c>
      <c r="F616" t="s">
        <v>2064</v>
      </c>
      <c r="G616" s="554">
        <v>108</v>
      </c>
      <c r="H616">
        <v>4.2297219999999998</v>
      </c>
    </row>
    <row r="617" spans="2:8">
      <c r="B617" s="555" t="s">
        <v>2158</v>
      </c>
      <c r="C617" s="555" t="str">
        <f>VLOOKUP(D617,기본!$D$13:$E$74,2,0)</f>
        <v>코웨이</v>
      </c>
      <c r="D617" t="s">
        <v>2010</v>
      </c>
      <c r="E617" t="s">
        <v>1274</v>
      </c>
      <c r="F617" t="s">
        <v>1274</v>
      </c>
      <c r="G617" s="554">
        <v>131</v>
      </c>
      <c r="H617">
        <v>0.96061600000000003</v>
      </c>
    </row>
    <row r="618" spans="2:8">
      <c r="B618" s="555" t="s">
        <v>2158</v>
      </c>
      <c r="C618" s="555" t="str">
        <f>VLOOKUP(D618,기본!$D$13:$E$74,2,0)</f>
        <v>코웨이</v>
      </c>
      <c r="D618" t="s">
        <v>2010</v>
      </c>
      <c r="E618" t="s">
        <v>1289</v>
      </c>
      <c r="F618" t="s">
        <v>1289</v>
      </c>
      <c r="G618" s="554">
        <v>198</v>
      </c>
      <c r="H618">
        <v>1.6568639999999999</v>
      </c>
    </row>
    <row r="619" spans="2:8">
      <c r="B619" s="555" t="s">
        <v>2158</v>
      </c>
      <c r="C619" s="555" t="str">
        <f>VLOOKUP(D619,기본!$D$13:$E$74,2,0)</f>
        <v>코웨이</v>
      </c>
      <c r="D619" t="s">
        <v>2010</v>
      </c>
      <c r="E619" t="s">
        <v>1275</v>
      </c>
      <c r="F619" t="s">
        <v>1275</v>
      </c>
      <c r="G619" s="554">
        <v>1881</v>
      </c>
      <c r="H619">
        <v>13.711258000000001</v>
      </c>
    </row>
    <row r="620" spans="2:8">
      <c r="B620" s="555" t="s">
        <v>2158</v>
      </c>
      <c r="C620" s="555" t="str">
        <f>VLOOKUP(D620,기본!$D$13:$E$74,2,0)</f>
        <v>코웨이</v>
      </c>
      <c r="D620" t="s">
        <v>2010</v>
      </c>
      <c r="E620" t="s">
        <v>2066</v>
      </c>
      <c r="F620" t="s">
        <v>2066</v>
      </c>
      <c r="G620" s="554">
        <v>194</v>
      </c>
      <c r="H620">
        <v>1.5443779999999998</v>
      </c>
    </row>
    <row r="621" spans="2:8">
      <c r="B621" s="555" t="s">
        <v>2158</v>
      </c>
      <c r="C621" s="555" t="str">
        <f>VLOOKUP(D621,기본!$D$13:$E$74,2,0)</f>
        <v>코웨이</v>
      </c>
      <c r="D621" t="s">
        <v>2010</v>
      </c>
      <c r="E621" t="s">
        <v>229</v>
      </c>
      <c r="F621" t="s">
        <v>229</v>
      </c>
      <c r="G621" s="554">
        <v>0</v>
      </c>
      <c r="H621">
        <v>0.95191999999999999</v>
      </c>
    </row>
    <row r="622" spans="2:8">
      <c r="B622" s="555" t="s">
        <v>2158</v>
      </c>
      <c r="C622" s="555" t="str">
        <f>VLOOKUP(D622,기본!$D$13:$E$74,2,0)</f>
        <v>코웨이</v>
      </c>
      <c r="D622" t="s">
        <v>2067</v>
      </c>
      <c r="E622" t="s">
        <v>2015</v>
      </c>
      <c r="F622" t="s">
        <v>2015</v>
      </c>
      <c r="G622" s="554">
        <v>901</v>
      </c>
      <c r="H622">
        <v>10.476827999999999</v>
      </c>
    </row>
    <row r="623" spans="2:8">
      <c r="B623" s="555" t="s">
        <v>2158</v>
      </c>
      <c r="C623" s="555" t="str">
        <f>VLOOKUP(D623,기본!$D$13:$E$74,2,0)</f>
        <v>코웨이</v>
      </c>
      <c r="D623" t="s">
        <v>2067</v>
      </c>
      <c r="E623" t="s">
        <v>2016</v>
      </c>
      <c r="F623" t="s">
        <v>2016</v>
      </c>
      <c r="G623" s="554">
        <v>6530</v>
      </c>
      <c r="H623">
        <v>43.111060000000002</v>
      </c>
    </row>
    <row r="624" spans="2:8">
      <c r="B624" s="555" t="s">
        <v>2158</v>
      </c>
      <c r="C624" s="555" t="str">
        <f>VLOOKUP(D624,기본!$D$13:$E$74,2,0)</f>
        <v>코웨이</v>
      </c>
      <c r="D624" t="s">
        <v>2067</v>
      </c>
      <c r="E624" t="s">
        <v>2156</v>
      </c>
      <c r="F624" t="s">
        <v>2156</v>
      </c>
      <c r="G624" s="554">
        <v>580</v>
      </c>
      <c r="H624">
        <v>10.073739999999999</v>
      </c>
    </row>
    <row r="625" spans="2:8">
      <c r="B625" s="555" t="s">
        <v>2158</v>
      </c>
      <c r="C625" s="555" t="str">
        <f>VLOOKUP(D625,기본!$D$13:$E$74,2,0)</f>
        <v>코웨이</v>
      </c>
      <c r="D625" t="s">
        <v>2067</v>
      </c>
      <c r="E625" t="s">
        <v>2068</v>
      </c>
      <c r="F625" t="s">
        <v>2068</v>
      </c>
      <c r="G625" s="554">
        <v>1300</v>
      </c>
      <c r="H625">
        <v>22.395099999999999</v>
      </c>
    </row>
    <row r="626" spans="2:8">
      <c r="B626" s="555" t="s">
        <v>2158</v>
      </c>
      <c r="C626" s="555" t="str">
        <f>VLOOKUP(D626,기본!$D$13:$E$74,2,0)</f>
        <v>코웨이</v>
      </c>
      <c r="D626" t="s">
        <v>2067</v>
      </c>
      <c r="E626" t="s">
        <v>2069</v>
      </c>
      <c r="F626" t="s">
        <v>2069</v>
      </c>
      <c r="G626" s="554">
        <v>117</v>
      </c>
      <c r="H626">
        <v>2.0513280000000003</v>
      </c>
    </row>
    <row r="627" spans="2:8">
      <c r="B627" s="555" t="s">
        <v>2158</v>
      </c>
      <c r="C627" s="555" t="str">
        <f>VLOOKUP(D627,기본!$D$13:$E$74,2,0)</f>
        <v>코웨이</v>
      </c>
      <c r="D627" t="s">
        <v>2067</v>
      </c>
      <c r="E627" t="s">
        <v>2020</v>
      </c>
      <c r="F627" t="s">
        <v>2020</v>
      </c>
      <c r="G627" s="554">
        <v>500</v>
      </c>
      <c r="H627">
        <v>6.6425000000000001</v>
      </c>
    </row>
    <row r="628" spans="2:8">
      <c r="B628" s="555" t="s">
        <v>2158</v>
      </c>
      <c r="C628" s="555" t="str">
        <f>VLOOKUP(D628,기본!$D$13:$E$74,2,0)</f>
        <v>코웨이</v>
      </c>
      <c r="D628" t="s">
        <v>2067</v>
      </c>
      <c r="E628" t="s">
        <v>2021</v>
      </c>
      <c r="F628" t="s">
        <v>2021</v>
      </c>
      <c r="G628" s="554">
        <v>3110</v>
      </c>
      <c r="H628">
        <v>40.230960000000003</v>
      </c>
    </row>
    <row r="629" spans="2:8">
      <c r="B629" s="555" t="s">
        <v>2158</v>
      </c>
      <c r="C629" s="555" t="str">
        <f>VLOOKUP(D629,기본!$D$13:$E$74,2,0)</f>
        <v>코웨이</v>
      </c>
      <c r="D629" t="s">
        <v>2067</v>
      </c>
      <c r="E629" t="s">
        <v>1544</v>
      </c>
      <c r="F629" t="s">
        <v>1544</v>
      </c>
      <c r="G629" s="554">
        <v>4584</v>
      </c>
      <c r="H629">
        <v>30.006864</v>
      </c>
    </row>
    <row r="630" spans="2:8">
      <c r="B630" s="555" t="s">
        <v>2158</v>
      </c>
      <c r="C630" s="555" t="str">
        <f>VLOOKUP(D630,기본!$D$13:$E$74,2,0)</f>
        <v>코웨이</v>
      </c>
      <c r="D630" t="s">
        <v>2067</v>
      </c>
      <c r="E630" t="s">
        <v>1545</v>
      </c>
      <c r="F630" t="s">
        <v>1545</v>
      </c>
      <c r="G630" s="554">
        <v>970</v>
      </c>
      <c r="H630">
        <v>5.7734399999999999</v>
      </c>
    </row>
    <row r="631" spans="2:8">
      <c r="B631" s="555" t="s">
        <v>2158</v>
      </c>
      <c r="C631" s="555" t="str">
        <f>VLOOKUP(D631,기본!$D$13:$E$74,2,0)</f>
        <v>코웨이</v>
      </c>
      <c r="D631" t="s">
        <v>2067</v>
      </c>
      <c r="E631" t="s">
        <v>912</v>
      </c>
      <c r="F631" t="s">
        <v>912</v>
      </c>
      <c r="G631" s="554">
        <v>7984</v>
      </c>
      <c r="H631">
        <v>51.686959999999992</v>
      </c>
    </row>
    <row r="632" spans="2:8">
      <c r="B632" s="555" t="s">
        <v>2158</v>
      </c>
      <c r="C632" s="555" t="str">
        <f>VLOOKUP(D632,기본!$D$13:$E$74,2,0)</f>
        <v>코웨이</v>
      </c>
      <c r="D632" t="s">
        <v>2067</v>
      </c>
      <c r="E632" t="s">
        <v>913</v>
      </c>
      <c r="F632" t="s">
        <v>913</v>
      </c>
      <c r="G632" s="554">
        <v>545</v>
      </c>
      <c r="H632">
        <v>10.12828</v>
      </c>
    </row>
    <row r="633" spans="2:8">
      <c r="B633" s="555" t="s">
        <v>2158</v>
      </c>
      <c r="C633" s="555" t="str">
        <f>VLOOKUP(D633,기본!$D$13:$E$74,2,0)</f>
        <v>코웨이</v>
      </c>
      <c r="D633" t="s">
        <v>2067</v>
      </c>
      <c r="E633" t="s">
        <v>2070</v>
      </c>
      <c r="F633" t="s">
        <v>2070</v>
      </c>
      <c r="G633" s="554">
        <v>6444</v>
      </c>
      <c r="H633">
        <v>118.195848</v>
      </c>
    </row>
    <row r="634" spans="2:8">
      <c r="B634" s="555" t="s">
        <v>2158</v>
      </c>
      <c r="C634" s="555" t="str">
        <f>VLOOKUP(D634,기본!$D$13:$E$74,2,0)</f>
        <v>코웨이</v>
      </c>
      <c r="D634" t="s">
        <v>2067</v>
      </c>
      <c r="E634" t="s">
        <v>2024</v>
      </c>
      <c r="F634" t="s">
        <v>2024</v>
      </c>
      <c r="G634" s="554">
        <v>1001</v>
      </c>
      <c r="H634">
        <v>8.5935850000000009</v>
      </c>
    </row>
    <row r="635" spans="2:8">
      <c r="B635" s="555" t="s">
        <v>2158</v>
      </c>
      <c r="C635" s="555" t="str">
        <f>VLOOKUP(D635,기본!$D$13:$E$74,2,0)</f>
        <v>코웨이</v>
      </c>
      <c r="D635" t="s">
        <v>2067</v>
      </c>
      <c r="E635" t="s">
        <v>2071</v>
      </c>
      <c r="F635" t="s">
        <v>2071</v>
      </c>
      <c r="G635" s="554">
        <v>550</v>
      </c>
      <c r="H635">
        <v>8.7288599999999992</v>
      </c>
    </row>
    <row r="636" spans="2:8">
      <c r="B636" s="555" t="s">
        <v>2158</v>
      </c>
      <c r="C636" s="555" t="str">
        <f>VLOOKUP(D636,기본!$D$13:$E$74,2,0)</f>
        <v>코웨이</v>
      </c>
      <c r="D636" t="s">
        <v>2067</v>
      </c>
      <c r="E636" t="s">
        <v>2072</v>
      </c>
      <c r="F636" t="s">
        <v>2072</v>
      </c>
      <c r="G636" s="554">
        <v>412</v>
      </c>
      <c r="H636">
        <v>5.426832000000001</v>
      </c>
    </row>
    <row r="637" spans="2:8">
      <c r="B637" s="555" t="s">
        <v>2158</v>
      </c>
      <c r="C637" s="555" t="str">
        <f>VLOOKUP(D637,기본!$D$13:$E$74,2,0)</f>
        <v>코웨이</v>
      </c>
      <c r="D637" t="s">
        <v>2067</v>
      </c>
      <c r="E637" t="s">
        <v>2034</v>
      </c>
      <c r="F637" t="s">
        <v>2034</v>
      </c>
      <c r="G637" s="554">
        <v>6970</v>
      </c>
      <c r="H637">
        <v>107.17072000000002</v>
      </c>
    </row>
    <row r="638" spans="2:8">
      <c r="B638" s="555" t="s">
        <v>2158</v>
      </c>
      <c r="C638" s="555" t="str">
        <f>VLOOKUP(D638,기본!$D$13:$E$74,2,0)</f>
        <v>코웨이</v>
      </c>
      <c r="D638" t="s">
        <v>2067</v>
      </c>
      <c r="E638" t="s">
        <v>2038</v>
      </c>
      <c r="F638" t="s">
        <v>2038</v>
      </c>
      <c r="G638" s="554">
        <v>800</v>
      </c>
      <c r="H638">
        <v>12.4704</v>
      </c>
    </row>
    <row r="639" spans="2:8">
      <c r="B639" s="555" t="s">
        <v>2158</v>
      </c>
      <c r="C639" s="555" t="str">
        <f>VLOOKUP(D639,기본!$D$13:$E$74,2,0)</f>
        <v>코웨이</v>
      </c>
      <c r="D639" t="s">
        <v>2067</v>
      </c>
      <c r="E639" t="s">
        <v>2073</v>
      </c>
      <c r="F639" t="s">
        <v>2073</v>
      </c>
      <c r="G639" s="554">
        <v>10075</v>
      </c>
      <c r="H639">
        <v>142.67207499999998</v>
      </c>
    </row>
    <row r="640" spans="2:8">
      <c r="B640" s="555" t="s">
        <v>2158</v>
      </c>
      <c r="C640" s="555" t="str">
        <f>VLOOKUP(D640,기본!$D$13:$E$74,2,0)</f>
        <v>코웨이</v>
      </c>
      <c r="D640" t="s">
        <v>2067</v>
      </c>
      <c r="E640" t="s">
        <v>2074</v>
      </c>
      <c r="F640" t="s">
        <v>2074</v>
      </c>
      <c r="G640" s="554">
        <v>57</v>
      </c>
      <c r="H640">
        <v>1.2466469999999998</v>
      </c>
    </row>
    <row r="641" spans="2:8">
      <c r="B641" s="555" t="s">
        <v>2158</v>
      </c>
      <c r="C641" s="555" t="str">
        <f>VLOOKUP(D641,기본!$D$13:$E$74,2,0)</f>
        <v>코웨이</v>
      </c>
      <c r="D641" t="s">
        <v>2067</v>
      </c>
      <c r="E641" t="s">
        <v>2075</v>
      </c>
      <c r="F641" t="s">
        <v>2075</v>
      </c>
      <c r="G641" s="554">
        <v>345</v>
      </c>
      <c r="H641">
        <v>7.5958500000000004</v>
      </c>
    </row>
    <row r="642" spans="2:8">
      <c r="B642" s="555" t="s">
        <v>2158</v>
      </c>
      <c r="C642" s="555" t="str">
        <f>VLOOKUP(D642,기본!$D$13:$E$74,2,0)</f>
        <v>코웨이</v>
      </c>
      <c r="D642" t="s">
        <v>2067</v>
      </c>
      <c r="E642" t="s">
        <v>2076</v>
      </c>
      <c r="F642" t="s">
        <v>2076</v>
      </c>
      <c r="G642" s="554">
        <v>419</v>
      </c>
      <c r="H642">
        <v>7.7651000000000003</v>
      </c>
    </row>
    <row r="643" spans="2:8">
      <c r="B643" s="555" t="s">
        <v>2158</v>
      </c>
      <c r="C643" s="555" t="str">
        <f>VLOOKUP(D643,기본!$D$13:$E$74,2,0)</f>
        <v>코웨이</v>
      </c>
      <c r="D643" t="s">
        <v>2067</v>
      </c>
      <c r="E643" t="s">
        <v>2042</v>
      </c>
      <c r="F643" t="s">
        <v>2042</v>
      </c>
      <c r="G643" s="554">
        <v>300</v>
      </c>
      <c r="H643">
        <v>1.9185000000000001</v>
      </c>
    </row>
    <row r="644" spans="2:8">
      <c r="B644" s="555" t="s">
        <v>2158</v>
      </c>
      <c r="C644" s="555" t="str">
        <f>VLOOKUP(D644,기본!$D$13:$E$74,2,0)</f>
        <v>코웨이</v>
      </c>
      <c r="D644" t="s">
        <v>2067</v>
      </c>
      <c r="E644" t="s">
        <v>2058</v>
      </c>
      <c r="F644" t="s">
        <v>2058</v>
      </c>
      <c r="G644" s="554">
        <v>2850</v>
      </c>
      <c r="H644">
        <v>98.904613999999995</v>
      </c>
    </row>
    <row r="645" spans="2:8">
      <c r="B645" s="555" t="s">
        <v>2158</v>
      </c>
      <c r="C645" s="555" t="str">
        <f>VLOOKUP(D645,기본!$D$13:$E$74,2,0)</f>
        <v>코웨이</v>
      </c>
      <c r="D645" t="s">
        <v>2067</v>
      </c>
      <c r="E645" t="s">
        <v>2077</v>
      </c>
      <c r="F645" t="s">
        <v>2077</v>
      </c>
      <c r="G645" s="554">
        <v>1093</v>
      </c>
      <c r="H645">
        <v>36.729354999999998</v>
      </c>
    </row>
    <row r="646" spans="2:8">
      <c r="B646" s="555" t="s">
        <v>2158</v>
      </c>
      <c r="C646" s="555" t="str">
        <f>VLOOKUP(D646,기본!$D$13:$E$74,2,0)</f>
        <v>코웨이</v>
      </c>
      <c r="D646" t="s">
        <v>2067</v>
      </c>
      <c r="E646" t="s">
        <v>2078</v>
      </c>
      <c r="F646" t="s">
        <v>2078</v>
      </c>
      <c r="G646" s="554">
        <v>1872</v>
      </c>
      <c r="H646">
        <v>64.563407999999995</v>
      </c>
    </row>
    <row r="647" spans="2:8">
      <c r="B647" s="555" t="s">
        <v>2158</v>
      </c>
      <c r="C647" s="555" t="str">
        <f>VLOOKUP(D647,기본!$D$13:$E$74,2,0)</f>
        <v>코웨이</v>
      </c>
      <c r="D647" t="s">
        <v>2079</v>
      </c>
      <c r="E647" t="s">
        <v>1093</v>
      </c>
      <c r="F647" t="s">
        <v>1093</v>
      </c>
      <c r="G647" s="554">
        <v>2213</v>
      </c>
      <c r="H647">
        <v>11.808567999999999</v>
      </c>
    </row>
    <row r="648" spans="2:8">
      <c r="B648" s="555" t="s">
        <v>2158</v>
      </c>
      <c r="C648" s="555" t="str">
        <f>VLOOKUP(D648,기본!$D$13:$E$74,2,0)</f>
        <v>코웨이</v>
      </c>
      <c r="D648" t="s">
        <v>2079</v>
      </c>
      <c r="E648" t="s">
        <v>1094</v>
      </c>
      <c r="F648" t="s">
        <v>1094</v>
      </c>
      <c r="G648" s="554">
        <v>2454</v>
      </c>
      <c r="H648">
        <v>7.6466639999999995</v>
      </c>
    </row>
    <row r="649" spans="2:8">
      <c r="B649" s="555" t="s">
        <v>2158</v>
      </c>
      <c r="C649" s="555" t="str">
        <f>VLOOKUP(D649,기본!$D$13:$E$74,2,0)</f>
        <v>코웨이</v>
      </c>
      <c r="D649" t="s">
        <v>2079</v>
      </c>
      <c r="E649" t="s">
        <v>2017</v>
      </c>
      <c r="F649" t="s">
        <v>2017</v>
      </c>
      <c r="G649" s="554">
        <v>1166</v>
      </c>
      <c r="H649">
        <v>13.859075999999998</v>
      </c>
    </row>
    <row r="650" spans="2:8">
      <c r="B650" s="555" t="s">
        <v>2158</v>
      </c>
      <c r="C650" s="555" t="str">
        <f>VLOOKUP(D650,기본!$D$13:$E$74,2,0)</f>
        <v>코웨이</v>
      </c>
      <c r="D650" t="s">
        <v>2079</v>
      </c>
      <c r="E650" t="s">
        <v>2080</v>
      </c>
      <c r="F650" t="s">
        <v>2080</v>
      </c>
      <c r="G650" s="554">
        <v>400</v>
      </c>
      <c r="H650">
        <v>2.6812</v>
      </c>
    </row>
    <row r="651" spans="2:8">
      <c r="B651" s="555" t="s">
        <v>2158</v>
      </c>
      <c r="C651" s="555" t="str">
        <f>VLOOKUP(D651,기본!$D$13:$E$74,2,0)</f>
        <v>코웨이</v>
      </c>
      <c r="D651" t="s">
        <v>2079</v>
      </c>
      <c r="E651" t="s">
        <v>2081</v>
      </c>
      <c r="F651" t="s">
        <v>2081</v>
      </c>
      <c r="G651" s="554">
        <v>360</v>
      </c>
      <c r="H651">
        <v>2.8569599999999999</v>
      </c>
    </row>
    <row r="652" spans="2:8">
      <c r="B652" s="555" t="s">
        <v>2158</v>
      </c>
      <c r="C652" s="555" t="str">
        <f>VLOOKUP(D652,기본!$D$13:$E$74,2,0)</f>
        <v>코웨이</v>
      </c>
      <c r="D652" t="s">
        <v>2079</v>
      </c>
      <c r="E652" t="s">
        <v>1089</v>
      </c>
      <c r="F652" t="s">
        <v>1089</v>
      </c>
      <c r="G652" s="554">
        <v>3369</v>
      </c>
      <c r="H652">
        <v>37.769859000000004</v>
      </c>
    </row>
    <row r="653" spans="2:8">
      <c r="B653" s="555" t="s">
        <v>2158</v>
      </c>
      <c r="C653" s="555" t="str">
        <f>VLOOKUP(D653,기본!$D$13:$E$74,2,0)</f>
        <v>코웨이</v>
      </c>
      <c r="D653" t="s">
        <v>2079</v>
      </c>
      <c r="E653" t="s">
        <v>1118</v>
      </c>
      <c r="F653" t="s">
        <v>1118</v>
      </c>
      <c r="G653" s="554">
        <v>469</v>
      </c>
      <c r="H653">
        <v>8.4935899999999993</v>
      </c>
    </row>
    <row r="654" spans="2:8">
      <c r="B654" s="555" t="s">
        <v>2158</v>
      </c>
      <c r="C654" s="555" t="str">
        <f>VLOOKUP(D654,기본!$D$13:$E$74,2,0)</f>
        <v>코웨이</v>
      </c>
      <c r="D654" t="s">
        <v>2079</v>
      </c>
      <c r="E654" t="s">
        <v>2157</v>
      </c>
      <c r="F654" t="s">
        <v>2157</v>
      </c>
      <c r="G654" s="554">
        <v>600</v>
      </c>
      <c r="H654">
        <v>14.028</v>
      </c>
    </row>
    <row r="655" spans="2:8">
      <c r="B655" s="555" t="s">
        <v>2158</v>
      </c>
      <c r="C655" s="555" t="str">
        <f>VLOOKUP(D655,기본!$D$13:$E$74,2,0)</f>
        <v>코웨이</v>
      </c>
      <c r="D655" t="s">
        <v>2079</v>
      </c>
      <c r="E655" t="s">
        <v>2061</v>
      </c>
      <c r="F655" t="s">
        <v>2061</v>
      </c>
      <c r="G655" s="554">
        <v>2201</v>
      </c>
      <c r="H655">
        <v>12.334403999999999</v>
      </c>
    </row>
    <row r="656" spans="2:8">
      <c r="B656" s="555" t="s">
        <v>2158</v>
      </c>
      <c r="C656" s="555" t="str">
        <f>VLOOKUP(D656,기본!$D$13:$E$74,2,0)</f>
        <v>코웨이</v>
      </c>
      <c r="D656" t="s">
        <v>2079</v>
      </c>
      <c r="E656" t="s">
        <v>230</v>
      </c>
      <c r="F656" t="s">
        <v>230</v>
      </c>
      <c r="G656" s="554">
        <v>1620</v>
      </c>
      <c r="H656">
        <v>9.0055800000000001</v>
      </c>
    </row>
    <row r="657" spans="2:8">
      <c r="B657" s="555" t="s">
        <v>2158</v>
      </c>
      <c r="C657" s="555" t="str">
        <f>VLOOKUP(D657,기본!$D$13:$E$74,2,0)</f>
        <v>코웨이</v>
      </c>
      <c r="D657" t="s">
        <v>2082</v>
      </c>
      <c r="E657" t="s">
        <v>2058</v>
      </c>
      <c r="F657" t="s">
        <v>2058</v>
      </c>
      <c r="G657" s="554">
        <v>15820</v>
      </c>
      <c r="H657">
        <v>548.30538000000001</v>
      </c>
    </row>
    <row r="658" spans="2:8">
      <c r="B658" s="555" t="s">
        <v>2158</v>
      </c>
      <c r="C658" s="555" t="str">
        <f>VLOOKUP(D658,기본!$D$13:$E$74,2,0)</f>
        <v>코웨이</v>
      </c>
      <c r="D658" t="s">
        <v>2082</v>
      </c>
      <c r="E658" t="s">
        <v>2077</v>
      </c>
      <c r="F658" t="s">
        <v>2077</v>
      </c>
      <c r="G658" s="554">
        <v>2592</v>
      </c>
      <c r="H658">
        <v>87.052320000000009</v>
      </c>
    </row>
    <row r="659" spans="2:8">
      <c r="B659" s="555" t="s">
        <v>2158</v>
      </c>
      <c r="C659" s="555" t="str">
        <f>VLOOKUP(D659,기본!$D$13:$E$74,2,0)</f>
        <v>삼성 생활가전</v>
      </c>
      <c r="D659" t="s">
        <v>2084</v>
      </c>
      <c r="E659" t="s">
        <v>1465</v>
      </c>
      <c r="F659" t="s">
        <v>1465</v>
      </c>
      <c r="G659" s="554">
        <v>4704</v>
      </c>
      <c r="H659">
        <v>62.879572224</v>
      </c>
    </row>
    <row r="660" spans="2:8">
      <c r="B660" s="555" t="s">
        <v>2158</v>
      </c>
      <c r="C660" s="555" t="str">
        <f>VLOOKUP(D660,기본!$D$13:$E$74,2,0)</f>
        <v>삼성 생활가전</v>
      </c>
      <c r="D660" t="s">
        <v>2088</v>
      </c>
      <c r="E660" t="s">
        <v>1023</v>
      </c>
      <c r="F660" t="s">
        <v>1023</v>
      </c>
      <c r="G660" s="554">
        <v>1200</v>
      </c>
      <c r="H660">
        <v>8.3879999999999999</v>
      </c>
    </row>
    <row r="661" spans="2:8">
      <c r="B661" s="555" t="s">
        <v>2158</v>
      </c>
      <c r="C661" s="555" t="str">
        <f>VLOOKUP(D661,기본!$D$13:$E$74,2,0)</f>
        <v>삼성 생활가전</v>
      </c>
      <c r="D661" t="s">
        <v>2088</v>
      </c>
      <c r="E661" t="s">
        <v>1025</v>
      </c>
      <c r="F661" t="s">
        <v>1025</v>
      </c>
      <c r="G661" s="554">
        <v>1008</v>
      </c>
      <c r="H661">
        <v>7.02576</v>
      </c>
    </row>
    <row r="662" spans="2:8">
      <c r="B662" s="555" t="s">
        <v>2158</v>
      </c>
      <c r="C662" s="555" t="str">
        <f>VLOOKUP(D662,기본!$D$13:$E$74,2,0)</f>
        <v>한화비전</v>
      </c>
      <c r="D662" t="s">
        <v>2089</v>
      </c>
      <c r="E662" t="s">
        <v>1902</v>
      </c>
      <c r="F662" t="s">
        <v>1903</v>
      </c>
      <c r="G662" s="554">
        <v>90</v>
      </c>
      <c r="H662">
        <v>3.1184265</v>
      </c>
    </row>
    <row r="663" spans="2:8">
      <c r="B663" s="555" t="s">
        <v>67</v>
      </c>
      <c r="C663" s="555" t="str">
        <f>VLOOKUP(D663,기본!$D$13:$E$74,2,0)</f>
        <v>AV JDM</v>
      </c>
      <c r="D663" t="s">
        <v>1841</v>
      </c>
      <c r="E663" t="s">
        <v>1842</v>
      </c>
      <c r="F663" t="s">
        <v>1680</v>
      </c>
      <c r="G663" s="554">
        <v>17440</v>
      </c>
      <c r="H663">
        <v>155.451122</v>
      </c>
    </row>
    <row r="664" spans="2:8">
      <c r="B664" s="555" t="s">
        <v>67</v>
      </c>
      <c r="C664" s="555" t="str">
        <f>VLOOKUP(D664,기본!$D$13:$E$74,2,0)</f>
        <v>AV JDM</v>
      </c>
      <c r="D664" t="s">
        <v>1841</v>
      </c>
      <c r="E664" t="s">
        <v>2104</v>
      </c>
      <c r="F664" t="s">
        <v>2105</v>
      </c>
      <c r="G664" s="554">
        <v>266</v>
      </c>
      <c r="H664">
        <v>2.491435455</v>
      </c>
    </row>
    <row r="665" spans="2:8">
      <c r="B665" s="555" t="s">
        <v>67</v>
      </c>
      <c r="C665" s="555" t="str">
        <f>VLOOKUP(D665,기본!$D$13:$E$74,2,0)</f>
        <v>AV JDM</v>
      </c>
      <c r="D665" t="s">
        <v>1841</v>
      </c>
      <c r="E665" t="s">
        <v>1654</v>
      </c>
      <c r="F665" t="s">
        <v>1654</v>
      </c>
      <c r="G665" s="554">
        <v>336</v>
      </c>
      <c r="H665">
        <v>2.6177887000000002</v>
      </c>
    </row>
    <row r="666" spans="2:8">
      <c r="B666" s="555" t="s">
        <v>67</v>
      </c>
      <c r="C666" s="555" t="str">
        <f>VLOOKUP(D666,기본!$D$13:$E$74,2,0)</f>
        <v>AV JDM</v>
      </c>
      <c r="D666" t="s">
        <v>1841</v>
      </c>
      <c r="E666" t="s">
        <v>1656</v>
      </c>
      <c r="F666" t="s">
        <v>1656</v>
      </c>
      <c r="G666" s="554">
        <v>9688</v>
      </c>
      <c r="H666">
        <v>81.709305719999989</v>
      </c>
    </row>
    <row r="667" spans="2:8">
      <c r="B667" s="555" t="s">
        <v>67</v>
      </c>
      <c r="C667" s="555" t="str">
        <f>VLOOKUP(D667,기본!$D$13:$E$74,2,0)</f>
        <v>AV JDM</v>
      </c>
      <c r="D667" t="s">
        <v>1841</v>
      </c>
      <c r="E667" t="s">
        <v>1657</v>
      </c>
      <c r="F667" t="s">
        <v>1657</v>
      </c>
      <c r="G667" s="554">
        <v>2688</v>
      </c>
      <c r="H667">
        <v>23.355989999999998</v>
      </c>
    </row>
    <row r="668" spans="2:8">
      <c r="B668" s="555" t="s">
        <v>67</v>
      </c>
      <c r="C668" s="555" t="str">
        <f>VLOOKUP(D668,기본!$D$13:$E$74,2,0)</f>
        <v>AV JDM</v>
      </c>
      <c r="D668" t="s">
        <v>1841</v>
      </c>
      <c r="E668" t="s">
        <v>1658</v>
      </c>
      <c r="F668" t="s">
        <v>1658</v>
      </c>
      <c r="G668" s="554">
        <v>19440</v>
      </c>
      <c r="H668">
        <v>175.70376315999999</v>
      </c>
    </row>
    <row r="669" spans="2:8">
      <c r="B669" s="555" t="s">
        <v>67</v>
      </c>
      <c r="C669" s="555" t="str">
        <f>VLOOKUP(D669,기본!$D$13:$E$74,2,0)</f>
        <v>AV JDM</v>
      </c>
      <c r="D669" t="s">
        <v>1841</v>
      </c>
      <c r="E669" t="s">
        <v>1655</v>
      </c>
      <c r="F669" t="s">
        <v>1655</v>
      </c>
      <c r="G669" s="554">
        <v>168</v>
      </c>
      <c r="H669">
        <v>1.35591288</v>
      </c>
    </row>
    <row r="670" spans="2:8">
      <c r="B670" s="555" t="s">
        <v>67</v>
      </c>
      <c r="C670" s="555" t="str">
        <f>VLOOKUP(D670,기본!$D$13:$E$74,2,0)</f>
        <v>AV JDM</v>
      </c>
      <c r="D670" t="s">
        <v>1841</v>
      </c>
      <c r="E670" t="s">
        <v>2159</v>
      </c>
      <c r="F670" t="s">
        <v>2159</v>
      </c>
      <c r="G670" s="554">
        <v>684</v>
      </c>
      <c r="H670">
        <v>6.4864027800000006</v>
      </c>
    </row>
    <row r="671" spans="2:8">
      <c r="B671" s="555" t="s">
        <v>67</v>
      </c>
      <c r="C671" s="555" t="str">
        <f>VLOOKUP(D671,기본!$D$13:$E$74,2,0)</f>
        <v>AV JDM</v>
      </c>
      <c r="D671" t="s">
        <v>1841</v>
      </c>
      <c r="E671" t="s">
        <v>1889</v>
      </c>
      <c r="F671" t="s">
        <v>1229</v>
      </c>
      <c r="G671" s="554">
        <v>40320</v>
      </c>
      <c r="H671">
        <v>336.70586879999996</v>
      </c>
    </row>
    <row r="672" spans="2:8">
      <c r="B672" s="555" t="s">
        <v>67</v>
      </c>
      <c r="C672" s="555" t="str">
        <f>VLOOKUP(D672,기본!$D$13:$E$74,2,0)</f>
        <v>AV JDM</v>
      </c>
      <c r="D672" t="s">
        <v>1841</v>
      </c>
      <c r="E672" t="s">
        <v>1845</v>
      </c>
      <c r="F672" t="s">
        <v>1340</v>
      </c>
      <c r="G672" s="554">
        <v>9534</v>
      </c>
      <c r="H672">
        <v>96.082894487999994</v>
      </c>
    </row>
    <row r="673" spans="2:8">
      <c r="B673" s="555" t="s">
        <v>67</v>
      </c>
      <c r="C673" s="555" t="str">
        <f>VLOOKUP(D673,기본!$D$13:$E$74,2,0)</f>
        <v>AV JDM</v>
      </c>
      <c r="D673" t="s">
        <v>1841</v>
      </c>
      <c r="E673" t="s">
        <v>1847</v>
      </c>
      <c r="F673" t="s">
        <v>1336</v>
      </c>
      <c r="G673" s="554">
        <v>2320</v>
      </c>
      <c r="H673">
        <v>20.5992304</v>
      </c>
    </row>
    <row r="674" spans="2:8">
      <c r="B674" s="555" t="s">
        <v>67</v>
      </c>
      <c r="C674" s="555" t="str">
        <f>VLOOKUP(D674,기본!$D$13:$E$74,2,0)</f>
        <v>AV JDM</v>
      </c>
      <c r="D674" t="s">
        <v>1841</v>
      </c>
      <c r="E674" t="s">
        <v>1894</v>
      </c>
      <c r="F674" t="s">
        <v>1337</v>
      </c>
      <c r="G674" s="554">
        <v>160</v>
      </c>
      <c r="H674">
        <v>1.5486744000000001</v>
      </c>
    </row>
    <row r="675" spans="2:8">
      <c r="B675" s="555" t="s">
        <v>67</v>
      </c>
      <c r="C675" s="555" t="str">
        <f>VLOOKUP(D675,기본!$D$13:$E$74,2,0)</f>
        <v>AV JDM</v>
      </c>
      <c r="D675" t="s">
        <v>1841</v>
      </c>
      <c r="E675" t="s">
        <v>1006</v>
      </c>
      <c r="F675" t="s">
        <v>1006</v>
      </c>
      <c r="G675" s="554">
        <v>4920</v>
      </c>
      <c r="H675">
        <v>53.526597119999998</v>
      </c>
    </row>
    <row r="676" spans="2:8">
      <c r="B676" s="555" t="s">
        <v>67</v>
      </c>
      <c r="C676" s="555" t="str">
        <f>VLOOKUP(D676,기본!$D$13:$E$74,2,0)</f>
        <v>AV JDM</v>
      </c>
      <c r="D676" t="s">
        <v>1841</v>
      </c>
      <c r="E676" t="s">
        <v>1848</v>
      </c>
      <c r="F676" t="s">
        <v>1848</v>
      </c>
      <c r="G676" s="554">
        <v>445</v>
      </c>
      <c r="H676">
        <v>5.2435758949999993</v>
      </c>
    </row>
    <row r="677" spans="2:8">
      <c r="B677" s="555" t="s">
        <v>67</v>
      </c>
      <c r="C677" s="555" t="str">
        <f>VLOOKUP(D677,기본!$D$13:$E$74,2,0)</f>
        <v>삼성 VD</v>
      </c>
      <c r="D677" t="s">
        <v>1849</v>
      </c>
      <c r="E677" t="s">
        <v>1165</v>
      </c>
      <c r="F677" t="s">
        <v>1882</v>
      </c>
      <c r="G677" s="554">
        <v>12744</v>
      </c>
      <c r="H677">
        <v>367.73005752</v>
      </c>
    </row>
    <row r="678" spans="2:8">
      <c r="B678" s="555" t="s">
        <v>67</v>
      </c>
      <c r="C678" s="555" t="str">
        <f>VLOOKUP(D678,기본!$D$13:$E$74,2,0)</f>
        <v>삼성 VD</v>
      </c>
      <c r="D678" t="s">
        <v>1849</v>
      </c>
      <c r="E678" t="s">
        <v>1164</v>
      </c>
      <c r="F678" t="s">
        <v>1850</v>
      </c>
      <c r="G678" s="554">
        <v>15552</v>
      </c>
      <c r="H678">
        <v>407.17391040000007</v>
      </c>
    </row>
    <row r="679" spans="2:8">
      <c r="B679" s="555" t="s">
        <v>67</v>
      </c>
      <c r="C679" s="555" t="str">
        <f>VLOOKUP(D679,기본!$D$13:$E$74,2,0)</f>
        <v>삼성 VD</v>
      </c>
      <c r="D679" t="s">
        <v>1849</v>
      </c>
      <c r="E679" t="s">
        <v>1163</v>
      </c>
      <c r="F679" t="s">
        <v>1162</v>
      </c>
      <c r="G679" s="554">
        <v>1038</v>
      </c>
      <c r="H679">
        <v>31.531568111999999</v>
      </c>
    </row>
    <row r="680" spans="2:8">
      <c r="B680" s="555" t="s">
        <v>67</v>
      </c>
      <c r="C680" s="555" t="str">
        <f>VLOOKUP(D680,기본!$D$13:$E$74,2,0)</f>
        <v>삼성 VD</v>
      </c>
      <c r="D680" t="s">
        <v>1849</v>
      </c>
      <c r="E680" t="s">
        <v>1851</v>
      </c>
      <c r="F680" t="s">
        <v>1852</v>
      </c>
      <c r="G680" s="554">
        <v>448</v>
      </c>
      <c r="H680">
        <v>3.2557324800000007</v>
      </c>
    </row>
    <row r="681" spans="2:8">
      <c r="B681" s="555" t="s">
        <v>67</v>
      </c>
      <c r="C681" s="555" t="str">
        <f>VLOOKUP(D681,기본!$D$13:$E$74,2,0)</f>
        <v>삼성 VD</v>
      </c>
      <c r="D681" t="s">
        <v>1849</v>
      </c>
      <c r="E681" t="s">
        <v>1853</v>
      </c>
      <c r="F681" t="s">
        <v>1854</v>
      </c>
      <c r="G681" s="554">
        <v>840</v>
      </c>
      <c r="H681">
        <v>11.8891416</v>
      </c>
    </row>
    <row r="682" spans="2:8">
      <c r="B682" s="555" t="s">
        <v>67</v>
      </c>
      <c r="C682" s="555" t="str">
        <f>VLOOKUP(D682,기본!$D$13:$E$74,2,0)</f>
        <v>삼성 VD</v>
      </c>
      <c r="D682" t="s">
        <v>1849</v>
      </c>
      <c r="E682" t="s">
        <v>1855</v>
      </c>
      <c r="F682" t="s">
        <v>1856</v>
      </c>
      <c r="G682" s="554">
        <v>2323</v>
      </c>
      <c r="H682">
        <v>33.56089206</v>
      </c>
    </row>
    <row r="683" spans="2:8">
      <c r="B683" s="555" t="s">
        <v>67</v>
      </c>
      <c r="C683" s="555" t="str">
        <f>VLOOKUP(D683,기본!$D$13:$E$74,2,0)</f>
        <v>삼성 VD</v>
      </c>
      <c r="D683" t="s">
        <v>1849</v>
      </c>
      <c r="E683" t="s">
        <v>1874</v>
      </c>
      <c r="F683" t="s">
        <v>1875</v>
      </c>
      <c r="G683" s="554">
        <v>6463</v>
      </c>
      <c r="H683">
        <v>100.95017491999999</v>
      </c>
    </row>
    <row r="684" spans="2:8">
      <c r="B684" s="555" t="s">
        <v>67</v>
      </c>
      <c r="C684" s="555" t="str">
        <f>VLOOKUP(D684,기본!$D$13:$E$74,2,0)</f>
        <v>삼성 VD</v>
      </c>
      <c r="D684" t="s">
        <v>1849</v>
      </c>
      <c r="E684" t="s">
        <v>1857</v>
      </c>
      <c r="F684" t="s">
        <v>1858</v>
      </c>
      <c r="G684" s="554">
        <v>2256</v>
      </c>
      <c r="H684">
        <v>20.924944896</v>
      </c>
    </row>
    <row r="685" spans="2:8">
      <c r="B685" s="555" t="s">
        <v>67</v>
      </c>
      <c r="C685" s="555" t="str">
        <f>VLOOKUP(D685,기본!$D$13:$E$74,2,0)</f>
        <v>삼성 VD</v>
      </c>
      <c r="D685" t="s">
        <v>1849</v>
      </c>
      <c r="E685" t="s">
        <v>1859</v>
      </c>
      <c r="F685" t="s">
        <v>1860</v>
      </c>
      <c r="G685" s="554">
        <v>2304</v>
      </c>
      <c r="H685">
        <v>39.628224000000003</v>
      </c>
    </row>
    <row r="686" spans="2:8">
      <c r="B686" s="555" t="s">
        <v>67</v>
      </c>
      <c r="C686" s="555" t="str">
        <f>VLOOKUP(D686,기본!$D$13:$E$74,2,0)</f>
        <v>삼성 VD</v>
      </c>
      <c r="D686" t="s">
        <v>1849</v>
      </c>
      <c r="E686" t="s">
        <v>1309</v>
      </c>
      <c r="F686" t="s">
        <v>1308</v>
      </c>
      <c r="G686" s="554">
        <v>2784</v>
      </c>
      <c r="H686">
        <v>59.641921920000001</v>
      </c>
    </row>
    <row r="687" spans="2:8">
      <c r="B687" s="555" t="s">
        <v>67</v>
      </c>
      <c r="C687" s="555" t="str">
        <f>VLOOKUP(D687,기본!$D$13:$E$74,2,0)</f>
        <v>삼성 VD</v>
      </c>
      <c r="D687" t="s">
        <v>1849</v>
      </c>
      <c r="E687" t="s">
        <v>1313</v>
      </c>
      <c r="F687" t="s">
        <v>1312</v>
      </c>
      <c r="G687" s="554">
        <v>1536</v>
      </c>
      <c r="H687">
        <v>32.937354240000005</v>
      </c>
    </row>
    <row r="688" spans="2:8">
      <c r="B688" s="555" t="s">
        <v>67</v>
      </c>
      <c r="C688" s="555" t="str">
        <f>VLOOKUP(D688,기본!$D$13:$E$74,2,0)</f>
        <v>삼성 VD</v>
      </c>
      <c r="D688" t="s">
        <v>1849</v>
      </c>
      <c r="E688" t="s">
        <v>1865</v>
      </c>
      <c r="F688" t="s">
        <v>1866</v>
      </c>
      <c r="G688" s="554">
        <v>7500</v>
      </c>
      <c r="H688">
        <v>308.92990151999999</v>
      </c>
    </row>
    <row r="689" spans="2:8">
      <c r="B689" s="555" t="s">
        <v>67</v>
      </c>
      <c r="C689" s="555" t="str">
        <f>VLOOKUP(D689,기본!$D$13:$E$74,2,0)</f>
        <v>삼성 VD</v>
      </c>
      <c r="D689" t="s">
        <v>1849</v>
      </c>
      <c r="E689" t="s">
        <v>1923</v>
      </c>
      <c r="F689" t="s">
        <v>1924</v>
      </c>
      <c r="G689" s="554">
        <v>55440</v>
      </c>
      <c r="H689">
        <v>258.57604079999999</v>
      </c>
    </row>
    <row r="690" spans="2:8">
      <c r="B690" s="555" t="s">
        <v>67</v>
      </c>
      <c r="C690" s="555" t="str">
        <f>VLOOKUP(D690,기본!$D$13:$E$74,2,0)</f>
        <v>삼성 VD</v>
      </c>
      <c r="D690" t="s">
        <v>1849</v>
      </c>
      <c r="E690" t="s">
        <v>1867</v>
      </c>
      <c r="F690" t="s">
        <v>1868</v>
      </c>
      <c r="G690" s="554">
        <v>4872</v>
      </c>
      <c r="H690">
        <v>39.449752859999997</v>
      </c>
    </row>
    <row r="691" spans="2:8">
      <c r="B691" s="555" t="s">
        <v>67</v>
      </c>
      <c r="C691" s="555" t="str">
        <f>VLOOKUP(D691,기본!$D$13:$E$74,2,0)</f>
        <v>삼성 VD</v>
      </c>
      <c r="D691" t="s">
        <v>1849</v>
      </c>
      <c r="E691" t="s">
        <v>709</v>
      </c>
      <c r="F691" t="s">
        <v>1869</v>
      </c>
      <c r="G691" s="554">
        <v>138116</v>
      </c>
      <c r="H691">
        <v>469.07305895999997</v>
      </c>
    </row>
    <row r="692" spans="2:8">
      <c r="B692" s="555" t="s">
        <v>67</v>
      </c>
      <c r="C692" s="555" t="str">
        <f>VLOOKUP(D692,기본!$D$13:$E$74,2,0)</f>
        <v>삼성 VD</v>
      </c>
      <c r="D692" t="s">
        <v>1849</v>
      </c>
      <c r="E692" t="s">
        <v>1156</v>
      </c>
      <c r="F692" t="s">
        <v>1870</v>
      </c>
      <c r="G692" s="554">
        <v>7612</v>
      </c>
      <c r="H692">
        <v>34.141974152000003</v>
      </c>
    </row>
    <row r="693" spans="2:8">
      <c r="B693" s="555" t="s">
        <v>67</v>
      </c>
      <c r="C693" s="555" t="str">
        <f>VLOOKUP(D693,기본!$D$13:$E$74,2,0)</f>
        <v>삼성 VD</v>
      </c>
      <c r="D693" t="s">
        <v>1871</v>
      </c>
      <c r="E693" t="s">
        <v>1165</v>
      </c>
      <c r="F693" t="s">
        <v>1882</v>
      </c>
      <c r="G693" s="554">
        <v>9312</v>
      </c>
      <c r="H693">
        <v>268.90603110000001</v>
      </c>
    </row>
    <row r="694" spans="2:8">
      <c r="B694" s="555" t="s">
        <v>67</v>
      </c>
      <c r="C694" s="555" t="str">
        <f>VLOOKUP(D694,기본!$D$13:$E$74,2,0)</f>
        <v>삼성 VD</v>
      </c>
      <c r="D694" t="s">
        <v>1871</v>
      </c>
      <c r="E694" t="s">
        <v>1164</v>
      </c>
      <c r="F694" t="s">
        <v>1850</v>
      </c>
      <c r="G694" s="554">
        <v>10626</v>
      </c>
      <c r="H694">
        <v>278.93968461000003</v>
      </c>
    </row>
    <row r="695" spans="2:8">
      <c r="B695" s="555" t="s">
        <v>67</v>
      </c>
      <c r="C695" s="555" t="str">
        <f>VLOOKUP(D695,기본!$D$13:$E$74,2,0)</f>
        <v>삼성 VD</v>
      </c>
      <c r="D695" t="s">
        <v>1871</v>
      </c>
      <c r="E695" t="s">
        <v>1163</v>
      </c>
      <c r="F695" t="s">
        <v>1162</v>
      </c>
      <c r="G695" s="554">
        <v>1000</v>
      </c>
      <c r="H695">
        <v>30.37518</v>
      </c>
    </row>
    <row r="696" spans="2:8">
      <c r="B696" s="555" t="s">
        <v>67</v>
      </c>
      <c r="C696" s="555" t="str">
        <f>VLOOKUP(D696,기본!$D$13:$E$74,2,0)</f>
        <v>삼성 VD</v>
      </c>
      <c r="D696" t="s">
        <v>1871</v>
      </c>
      <c r="E696" t="s">
        <v>1853</v>
      </c>
      <c r="F696" t="s">
        <v>1854</v>
      </c>
      <c r="G696" s="554">
        <v>789</v>
      </c>
      <c r="H696">
        <v>11.167300859999999</v>
      </c>
    </row>
    <row r="697" spans="2:8">
      <c r="B697" s="555" t="s">
        <v>67</v>
      </c>
      <c r="C697" s="555" t="str">
        <f>VLOOKUP(D697,기본!$D$13:$E$74,2,0)</f>
        <v>삼성 VD</v>
      </c>
      <c r="D697" t="s">
        <v>1871</v>
      </c>
      <c r="E697" t="s">
        <v>1876</v>
      </c>
      <c r="F697" t="s">
        <v>1877</v>
      </c>
      <c r="G697" s="554">
        <v>9672</v>
      </c>
      <c r="H697">
        <v>64.429161119999989</v>
      </c>
    </row>
    <row r="698" spans="2:8">
      <c r="B698" s="555" t="s">
        <v>67</v>
      </c>
      <c r="C698" s="555" t="str">
        <f>VLOOKUP(D698,기본!$D$13:$E$74,2,0)</f>
        <v>삼성 VD</v>
      </c>
      <c r="D698" t="s">
        <v>1871</v>
      </c>
      <c r="E698" t="s">
        <v>1878</v>
      </c>
      <c r="F698" t="s">
        <v>1879</v>
      </c>
      <c r="G698" s="554">
        <v>600</v>
      </c>
      <c r="H698">
        <v>4.0260119999999997</v>
      </c>
    </row>
    <row r="699" spans="2:8">
      <c r="B699" s="555" t="s">
        <v>67</v>
      </c>
      <c r="C699" s="555" t="str">
        <f>VLOOKUP(D699,기본!$D$13:$E$74,2,0)</f>
        <v>삼성 VD</v>
      </c>
      <c r="D699" t="s">
        <v>1880</v>
      </c>
      <c r="E699" t="s">
        <v>1855</v>
      </c>
      <c r="F699" t="s">
        <v>1856</v>
      </c>
      <c r="G699" s="554">
        <v>3611</v>
      </c>
      <c r="H699">
        <v>51.288100889999996</v>
      </c>
    </row>
    <row r="700" spans="2:8">
      <c r="B700" s="555" t="s">
        <v>67</v>
      </c>
      <c r="C700" s="555" t="str">
        <f>VLOOKUP(D700,기본!$D$13:$E$74,2,0)</f>
        <v>삼성 VD</v>
      </c>
      <c r="D700" t="s">
        <v>1881</v>
      </c>
      <c r="E700" t="s">
        <v>1165</v>
      </c>
      <c r="F700" t="s">
        <v>1882</v>
      </c>
      <c r="G700" s="554">
        <v>480</v>
      </c>
      <c r="H700">
        <v>13.894944000000001</v>
      </c>
    </row>
    <row r="701" spans="2:8">
      <c r="B701" s="555" t="s">
        <v>67</v>
      </c>
      <c r="C701" s="555" t="str">
        <f>VLOOKUP(D701,기본!$D$13:$E$74,2,0)</f>
        <v>삼성 VD</v>
      </c>
      <c r="D701" t="s">
        <v>1881</v>
      </c>
      <c r="E701" t="s">
        <v>1164</v>
      </c>
      <c r="F701" t="s">
        <v>1850</v>
      </c>
      <c r="G701" s="554">
        <v>654</v>
      </c>
      <c r="H701">
        <v>17.195713559999998</v>
      </c>
    </row>
    <row r="702" spans="2:8">
      <c r="B702" s="555" t="s">
        <v>67</v>
      </c>
      <c r="C702" s="555" t="str">
        <f>VLOOKUP(D702,기본!$D$13:$E$74,2,0)</f>
        <v>삼성 VD</v>
      </c>
      <c r="D702" t="s">
        <v>1881</v>
      </c>
      <c r="E702" t="s">
        <v>1853</v>
      </c>
      <c r="F702" t="s">
        <v>1854</v>
      </c>
      <c r="G702" s="554">
        <v>60</v>
      </c>
      <c r="H702">
        <v>0.8305156800000002</v>
      </c>
    </row>
    <row r="703" spans="2:8">
      <c r="B703" s="555" t="s">
        <v>67</v>
      </c>
      <c r="C703" s="555" t="str">
        <f>VLOOKUP(D703,기본!$D$13:$E$74,2,0)</f>
        <v>삼성 VD</v>
      </c>
      <c r="D703" t="s">
        <v>1881</v>
      </c>
      <c r="E703" t="s">
        <v>1855</v>
      </c>
      <c r="F703" t="s">
        <v>1856</v>
      </c>
      <c r="G703" s="554">
        <v>253</v>
      </c>
      <c r="H703">
        <v>3.5826682320000005</v>
      </c>
    </row>
    <row r="704" spans="2:8">
      <c r="B704" s="555" t="s">
        <v>67</v>
      </c>
      <c r="C704" s="555" t="str">
        <f>VLOOKUP(D704,기본!$D$13:$E$74,2,0)</f>
        <v>기타</v>
      </c>
      <c r="D704" t="s">
        <v>1883</v>
      </c>
      <c r="E704" t="s">
        <v>229</v>
      </c>
      <c r="F704" t="s">
        <v>229</v>
      </c>
      <c r="G704" s="554">
        <v>0</v>
      </c>
      <c r="H704">
        <v>0.36366900000000002</v>
      </c>
    </row>
    <row r="705" spans="2:8">
      <c r="B705" s="555" t="s">
        <v>67</v>
      </c>
      <c r="C705" s="555" t="str">
        <f>VLOOKUP(D705,기본!$D$13:$E$74,2,0)</f>
        <v>MNT JDM</v>
      </c>
      <c r="D705" t="s">
        <v>2107</v>
      </c>
      <c r="E705" t="s">
        <v>709</v>
      </c>
      <c r="F705" t="s">
        <v>2108</v>
      </c>
      <c r="G705" s="554">
        <v>34848</v>
      </c>
      <c r="H705">
        <v>153.40786560000001</v>
      </c>
    </row>
    <row r="706" spans="2:8">
      <c r="B706" s="555" t="s">
        <v>67</v>
      </c>
      <c r="C706" s="555" t="str">
        <f>VLOOKUP(D706,기본!$D$13:$E$74,2,0)</f>
        <v>MNT JDM</v>
      </c>
      <c r="D706" t="s">
        <v>2107</v>
      </c>
      <c r="E706" t="s">
        <v>710</v>
      </c>
      <c r="F706" t="s">
        <v>2109</v>
      </c>
      <c r="G706" s="554">
        <v>4224</v>
      </c>
      <c r="H706">
        <v>21.9757824</v>
      </c>
    </row>
    <row r="707" spans="2:8">
      <c r="B707" s="555" t="s">
        <v>67</v>
      </c>
      <c r="C707" s="555" t="str">
        <f>VLOOKUP(D707,기본!$D$13:$E$74,2,0)</f>
        <v>MNT JDM</v>
      </c>
      <c r="D707" t="s">
        <v>2107</v>
      </c>
      <c r="E707" t="s">
        <v>1156</v>
      </c>
      <c r="F707" t="s">
        <v>1870</v>
      </c>
      <c r="G707" s="554">
        <v>7392</v>
      </c>
      <c r="H707">
        <v>40.036653887999989</v>
      </c>
    </row>
    <row r="708" spans="2:8">
      <c r="B708" s="555" t="s">
        <v>67</v>
      </c>
      <c r="C708" s="555" t="str">
        <f>VLOOKUP(D708,기본!$D$13:$E$74,2,0)</f>
        <v>MNT JDM</v>
      </c>
      <c r="D708" t="s">
        <v>2107</v>
      </c>
      <c r="E708" t="s">
        <v>1157</v>
      </c>
      <c r="F708" t="s">
        <v>1887</v>
      </c>
      <c r="G708" s="554">
        <v>1056</v>
      </c>
      <c r="H708">
        <v>6.7200217919999998</v>
      </c>
    </row>
    <row r="709" spans="2:8">
      <c r="B709" s="555" t="s">
        <v>67</v>
      </c>
      <c r="C709" s="555" t="str">
        <f>VLOOKUP(D709,기본!$D$13:$E$74,2,0)</f>
        <v>MNT JDM</v>
      </c>
      <c r="D709" t="s">
        <v>1884</v>
      </c>
      <c r="E709" t="s">
        <v>709</v>
      </c>
      <c r="F709" t="s">
        <v>2110</v>
      </c>
      <c r="G709" s="554">
        <v>163380</v>
      </c>
      <c r="H709">
        <v>734.02062068400005</v>
      </c>
    </row>
    <row r="710" spans="2:8">
      <c r="B710" s="555" t="s">
        <v>67</v>
      </c>
      <c r="C710" s="555" t="str">
        <f>VLOOKUP(D710,기본!$D$13:$E$74,2,0)</f>
        <v>MNT JDM</v>
      </c>
      <c r="D710" t="s">
        <v>1884</v>
      </c>
      <c r="E710" t="s">
        <v>710</v>
      </c>
      <c r="F710" t="s">
        <v>2111</v>
      </c>
      <c r="G710" s="554">
        <v>21120</v>
      </c>
      <c r="H710">
        <v>112.91510630400001</v>
      </c>
    </row>
    <row r="711" spans="2:8">
      <c r="B711" s="555" t="s">
        <v>67</v>
      </c>
      <c r="C711" s="555" t="str">
        <f>VLOOKUP(D711,기본!$D$13:$E$74,2,0)</f>
        <v>MNT JDM</v>
      </c>
      <c r="D711" t="s">
        <v>1884</v>
      </c>
      <c r="E711" t="s">
        <v>1156</v>
      </c>
      <c r="F711" t="s">
        <v>2112</v>
      </c>
      <c r="G711" s="554">
        <v>29950</v>
      </c>
      <c r="H711">
        <v>164.75729786599999</v>
      </c>
    </row>
    <row r="712" spans="2:8">
      <c r="B712" s="555" t="s">
        <v>67</v>
      </c>
      <c r="C712" s="555" t="str">
        <f>VLOOKUP(D712,기본!$D$13:$E$74,2,0)</f>
        <v>MNT JDM</v>
      </c>
      <c r="D712" t="s">
        <v>157</v>
      </c>
      <c r="E712" t="s">
        <v>709</v>
      </c>
      <c r="F712" t="s">
        <v>1885</v>
      </c>
      <c r="G712" s="554">
        <v>28512</v>
      </c>
      <c r="H712">
        <v>122.3700192</v>
      </c>
    </row>
    <row r="713" spans="2:8">
      <c r="B713" s="555" t="s">
        <v>67</v>
      </c>
      <c r="C713" s="555" t="str">
        <f>VLOOKUP(D713,기본!$D$13:$E$74,2,0)</f>
        <v>MNT JDM</v>
      </c>
      <c r="D713" t="s">
        <v>157</v>
      </c>
      <c r="E713" t="s">
        <v>710</v>
      </c>
      <c r="F713" t="s">
        <v>1886</v>
      </c>
      <c r="G713" s="554">
        <v>44352</v>
      </c>
      <c r="H713">
        <v>229.05932016000003</v>
      </c>
    </row>
    <row r="714" spans="2:8">
      <c r="B714" s="555" t="s">
        <v>67</v>
      </c>
      <c r="C714" s="555" t="str">
        <f>VLOOKUP(D714,기본!$D$13:$E$74,2,0)</f>
        <v>MNT JDM</v>
      </c>
      <c r="D714" t="s">
        <v>157</v>
      </c>
      <c r="E714" t="s">
        <v>1156</v>
      </c>
      <c r="F714" t="s">
        <v>1870</v>
      </c>
      <c r="G714" s="554">
        <v>20064</v>
      </c>
      <c r="H714">
        <v>105.62576640000002</v>
      </c>
    </row>
    <row r="715" spans="2:8">
      <c r="B715" s="555" t="s">
        <v>67</v>
      </c>
      <c r="C715" s="555" t="str">
        <f>VLOOKUP(D715,기본!$D$13:$E$74,2,0)</f>
        <v>AV JDM</v>
      </c>
      <c r="D715" t="s">
        <v>1888</v>
      </c>
      <c r="E715" t="s">
        <v>1842</v>
      </c>
      <c r="F715" t="s">
        <v>1680</v>
      </c>
      <c r="G715" s="554">
        <v>21589</v>
      </c>
      <c r="H715">
        <v>189.32859000000002</v>
      </c>
    </row>
    <row r="716" spans="2:8">
      <c r="B716" s="555" t="s">
        <v>67</v>
      </c>
      <c r="C716" s="555" t="str">
        <f>VLOOKUP(D716,기본!$D$13:$E$74,2,0)</f>
        <v>AV JDM</v>
      </c>
      <c r="D716" t="s">
        <v>1888</v>
      </c>
      <c r="E716" t="s">
        <v>105</v>
      </c>
      <c r="F716" t="s">
        <v>104</v>
      </c>
      <c r="G716" s="554">
        <v>5520</v>
      </c>
      <c r="H716">
        <v>54.178432440000002</v>
      </c>
    </row>
    <row r="717" spans="2:8">
      <c r="B717" s="555" t="s">
        <v>67</v>
      </c>
      <c r="C717" s="555" t="str">
        <f>VLOOKUP(D717,기본!$D$13:$E$74,2,0)</f>
        <v>AV JDM</v>
      </c>
      <c r="D717" t="s">
        <v>1888</v>
      </c>
      <c r="E717" t="s">
        <v>690</v>
      </c>
      <c r="F717" t="s">
        <v>689</v>
      </c>
      <c r="G717" s="554">
        <v>2120</v>
      </c>
      <c r="H717">
        <v>21.13022612</v>
      </c>
    </row>
    <row r="718" spans="2:8">
      <c r="B718" s="555" t="s">
        <v>67</v>
      </c>
      <c r="C718" s="555" t="str">
        <f>VLOOKUP(D718,기본!$D$13:$E$74,2,0)</f>
        <v>AV JDM</v>
      </c>
      <c r="D718" t="s">
        <v>1888</v>
      </c>
      <c r="E718" t="s">
        <v>1889</v>
      </c>
      <c r="F718" t="s">
        <v>1890</v>
      </c>
      <c r="G718" s="554">
        <v>40320</v>
      </c>
      <c r="H718">
        <v>308.10144960000002</v>
      </c>
    </row>
    <row r="719" spans="2:8">
      <c r="B719" s="555" t="s">
        <v>67</v>
      </c>
      <c r="C719" s="555" t="str">
        <f>VLOOKUP(D719,기본!$D$13:$E$74,2,0)</f>
        <v>AV JDM</v>
      </c>
      <c r="D719" t="s">
        <v>1888</v>
      </c>
      <c r="E719" t="s">
        <v>2106</v>
      </c>
      <c r="F719" t="s">
        <v>1256</v>
      </c>
      <c r="G719" s="554">
        <v>2016</v>
      </c>
      <c r="H719">
        <v>18.930651263999998</v>
      </c>
    </row>
    <row r="720" spans="2:8">
      <c r="B720" s="555" t="s">
        <v>67</v>
      </c>
      <c r="C720" s="555" t="str">
        <f>VLOOKUP(D720,기본!$D$13:$E$74,2,0)</f>
        <v>AV JDM</v>
      </c>
      <c r="D720" t="s">
        <v>1888</v>
      </c>
      <c r="E720" t="s">
        <v>1891</v>
      </c>
      <c r="F720" t="s">
        <v>1892</v>
      </c>
      <c r="G720" s="554">
        <v>900</v>
      </c>
      <c r="H720">
        <v>37.0207902</v>
      </c>
    </row>
    <row r="721" spans="2:8">
      <c r="B721" s="555" t="s">
        <v>67</v>
      </c>
      <c r="C721" s="555" t="str">
        <f>VLOOKUP(D721,기본!$D$13:$E$74,2,0)</f>
        <v>AV JDM</v>
      </c>
      <c r="D721" t="s">
        <v>1888</v>
      </c>
      <c r="E721" t="s">
        <v>1845</v>
      </c>
      <c r="F721" t="s">
        <v>1340</v>
      </c>
      <c r="G721" s="554">
        <v>14322</v>
      </c>
      <c r="H721">
        <v>144.13817879999999</v>
      </c>
    </row>
    <row r="722" spans="2:8">
      <c r="B722" s="555" t="s">
        <v>67</v>
      </c>
      <c r="C722" s="555" t="str">
        <f>VLOOKUP(D722,기본!$D$13:$E$74,2,0)</f>
        <v>AV JDM</v>
      </c>
      <c r="D722" t="s">
        <v>1888</v>
      </c>
      <c r="E722" t="s">
        <v>1846</v>
      </c>
      <c r="F722" t="s">
        <v>1341</v>
      </c>
      <c r="G722" s="554">
        <v>84</v>
      </c>
      <c r="H722">
        <v>0.93349645199999998</v>
      </c>
    </row>
    <row r="723" spans="2:8">
      <c r="B723" s="555" t="s">
        <v>67</v>
      </c>
      <c r="C723" s="555" t="str">
        <f>VLOOKUP(D723,기본!$D$13:$E$74,2,0)</f>
        <v>AV JDM</v>
      </c>
      <c r="D723" t="s">
        <v>1888</v>
      </c>
      <c r="E723" t="s">
        <v>1847</v>
      </c>
      <c r="F723" t="s">
        <v>1336</v>
      </c>
      <c r="G723" s="554">
        <v>35000</v>
      </c>
      <c r="H723">
        <v>307.15410000000003</v>
      </c>
    </row>
    <row r="724" spans="2:8">
      <c r="B724" s="555" t="s">
        <v>67</v>
      </c>
      <c r="C724" s="555" t="str">
        <f>VLOOKUP(D724,기본!$D$13:$E$74,2,0)</f>
        <v>AV JDM</v>
      </c>
      <c r="D724" t="s">
        <v>1888</v>
      </c>
      <c r="E724" t="s">
        <v>1894</v>
      </c>
      <c r="F724" t="s">
        <v>1337</v>
      </c>
      <c r="G724" s="554">
        <v>200</v>
      </c>
      <c r="H724">
        <v>1.9611269999999998</v>
      </c>
    </row>
    <row r="725" spans="2:8">
      <c r="B725" s="555" t="s">
        <v>67</v>
      </c>
      <c r="C725" s="555" t="str">
        <f>VLOOKUP(D725,기본!$D$13:$E$74,2,0)</f>
        <v>AV JDM</v>
      </c>
      <c r="D725" t="s">
        <v>1888</v>
      </c>
      <c r="E725" t="s">
        <v>1015</v>
      </c>
      <c r="F725" t="s">
        <v>1015</v>
      </c>
      <c r="G725" s="554">
        <v>22720</v>
      </c>
      <c r="H725">
        <v>154.99800576000001</v>
      </c>
    </row>
    <row r="726" spans="2:8">
      <c r="B726" s="555" t="s">
        <v>67</v>
      </c>
      <c r="C726" s="555" t="str">
        <f>VLOOKUP(D726,기본!$D$13:$E$74,2,0)</f>
        <v>AV JDM</v>
      </c>
      <c r="D726" t="s">
        <v>1888</v>
      </c>
      <c r="E726" t="s">
        <v>1016</v>
      </c>
      <c r="F726" t="s">
        <v>1016</v>
      </c>
      <c r="G726" s="554">
        <v>28800</v>
      </c>
      <c r="H726">
        <v>231.89235206400002</v>
      </c>
    </row>
    <row r="727" spans="2:8">
      <c r="B727" s="555" t="s">
        <v>67</v>
      </c>
      <c r="C727" s="555" t="str">
        <f>VLOOKUP(D727,기본!$D$13:$E$74,2,0)</f>
        <v>AV JDM</v>
      </c>
      <c r="D727" t="s">
        <v>1888</v>
      </c>
      <c r="E727" t="s">
        <v>1047</v>
      </c>
      <c r="F727" t="s">
        <v>1047</v>
      </c>
      <c r="G727" s="554">
        <v>640</v>
      </c>
      <c r="H727">
        <v>5.565515328</v>
      </c>
    </row>
    <row r="728" spans="2:8">
      <c r="B728" s="555" t="s">
        <v>67</v>
      </c>
      <c r="C728" s="555" t="str">
        <f>VLOOKUP(D728,기본!$D$13:$E$74,2,0)</f>
        <v>AV JDM</v>
      </c>
      <c r="D728" t="s">
        <v>1888</v>
      </c>
      <c r="E728" t="s">
        <v>1895</v>
      </c>
      <c r="F728" t="s">
        <v>1895</v>
      </c>
      <c r="G728" s="554">
        <v>7640</v>
      </c>
      <c r="H728">
        <v>64.869479896000001</v>
      </c>
    </row>
    <row r="729" spans="2:8">
      <c r="B729" s="555" t="s">
        <v>67</v>
      </c>
      <c r="C729" s="555" t="str">
        <f>VLOOKUP(D729,기본!$D$13:$E$74,2,0)</f>
        <v>AV JDM</v>
      </c>
      <c r="D729" t="s">
        <v>1888</v>
      </c>
      <c r="E729" t="s">
        <v>2160</v>
      </c>
      <c r="F729" t="s">
        <v>2160</v>
      </c>
      <c r="G729" s="554">
        <v>52</v>
      </c>
      <c r="H729">
        <v>0.46876377599999997</v>
      </c>
    </row>
    <row r="730" spans="2:8">
      <c r="B730" s="555" t="s">
        <v>67</v>
      </c>
      <c r="C730" s="555" t="str">
        <f>VLOOKUP(D730,기본!$D$13:$E$74,2,0)</f>
        <v>MNT JDM</v>
      </c>
      <c r="D730" t="s">
        <v>1898</v>
      </c>
      <c r="E730" t="s">
        <v>709</v>
      </c>
      <c r="F730" t="s">
        <v>2161</v>
      </c>
      <c r="G730" s="554">
        <v>12672</v>
      </c>
      <c r="H730">
        <v>55.27754496</v>
      </c>
    </row>
    <row r="731" spans="2:8">
      <c r="B731" s="555" t="s">
        <v>67</v>
      </c>
      <c r="C731" s="555" t="str">
        <f>VLOOKUP(D731,기본!$D$13:$E$74,2,0)</f>
        <v>MNT JDM</v>
      </c>
      <c r="D731" t="s">
        <v>1898</v>
      </c>
      <c r="E731" t="s">
        <v>710</v>
      </c>
      <c r="F731" t="s">
        <v>2162</v>
      </c>
      <c r="G731" s="554">
        <v>4224</v>
      </c>
      <c r="H731">
        <v>22.032130559999999</v>
      </c>
    </row>
    <row r="732" spans="2:8">
      <c r="B732" s="555" t="s">
        <v>67</v>
      </c>
      <c r="C732" s="555" t="str">
        <f>VLOOKUP(D732,기본!$D$13:$E$74,2,0)</f>
        <v>MNT JDM</v>
      </c>
      <c r="D732" t="s">
        <v>1898</v>
      </c>
      <c r="E732" t="s">
        <v>1156</v>
      </c>
      <c r="F732" t="s">
        <v>2114</v>
      </c>
      <c r="G732" s="554">
        <v>15840</v>
      </c>
      <c r="H732">
        <v>84.522239999999996</v>
      </c>
    </row>
    <row r="733" spans="2:8">
      <c r="B733" s="555" t="s">
        <v>67</v>
      </c>
      <c r="C733" s="555" t="str">
        <f>VLOOKUP(D733,기본!$D$13:$E$74,2,0)</f>
        <v>MNT JDM</v>
      </c>
      <c r="D733" t="s">
        <v>1900</v>
      </c>
      <c r="E733" t="s">
        <v>709</v>
      </c>
      <c r="F733" t="s">
        <v>2115</v>
      </c>
      <c r="G733" s="554">
        <v>26400</v>
      </c>
      <c r="H733">
        <v>115.161552</v>
      </c>
    </row>
    <row r="734" spans="2:8">
      <c r="B734" s="555" t="s">
        <v>67</v>
      </c>
      <c r="C734" s="555" t="str">
        <f>VLOOKUP(D734,기본!$D$13:$E$74,2,0)</f>
        <v>MNT JDM</v>
      </c>
      <c r="D734" t="s">
        <v>1900</v>
      </c>
      <c r="E734" t="s">
        <v>1156</v>
      </c>
      <c r="F734" t="s">
        <v>2116</v>
      </c>
      <c r="G734" s="554">
        <v>5280</v>
      </c>
      <c r="H734">
        <v>28.17408</v>
      </c>
    </row>
    <row r="735" spans="2:8">
      <c r="B735" s="555" t="s">
        <v>67</v>
      </c>
      <c r="C735" s="555" t="str">
        <f>VLOOKUP(D735,기본!$D$13:$E$74,2,0)</f>
        <v>한화비전</v>
      </c>
      <c r="D735" t="s">
        <v>1901</v>
      </c>
      <c r="E735" t="s">
        <v>2163</v>
      </c>
      <c r="F735" t="s">
        <v>2164</v>
      </c>
      <c r="G735" s="554">
        <v>998</v>
      </c>
      <c r="H735">
        <v>22.748711400000001</v>
      </c>
    </row>
    <row r="736" spans="2:8">
      <c r="B736" s="555" t="s">
        <v>67</v>
      </c>
      <c r="C736" s="555" t="str">
        <f>VLOOKUP(D736,기본!$D$13:$E$74,2,0)</f>
        <v>한화비전</v>
      </c>
      <c r="D736" t="s">
        <v>1901</v>
      </c>
      <c r="E736" t="s">
        <v>1902</v>
      </c>
      <c r="F736" t="s">
        <v>1903</v>
      </c>
      <c r="G736" s="554">
        <v>1584</v>
      </c>
      <c r="H736">
        <v>54.901949759999994</v>
      </c>
    </row>
    <row r="737" spans="2:8">
      <c r="B737" s="555" t="s">
        <v>67</v>
      </c>
      <c r="C737" s="555" t="str">
        <f>VLOOKUP(D737,기본!$D$13:$E$74,2,0)</f>
        <v>코웨이</v>
      </c>
      <c r="D737" t="s">
        <v>1905</v>
      </c>
      <c r="E737" t="s">
        <v>1906</v>
      </c>
      <c r="F737" t="s">
        <v>1906</v>
      </c>
      <c r="G737" s="554">
        <v>5760</v>
      </c>
      <c r="H737">
        <v>36.491950080000002</v>
      </c>
    </row>
    <row r="738" spans="2:8">
      <c r="B738" s="555" t="s">
        <v>67</v>
      </c>
      <c r="C738" s="555" t="str">
        <f>VLOOKUP(D738,기본!$D$13:$E$74,2,0)</f>
        <v>코웨이</v>
      </c>
      <c r="D738" t="s">
        <v>1905</v>
      </c>
      <c r="E738" t="s">
        <v>1907</v>
      </c>
      <c r="F738" t="s">
        <v>1907</v>
      </c>
      <c r="G738" s="554">
        <v>2000</v>
      </c>
      <c r="H738">
        <v>14.432112000000002</v>
      </c>
    </row>
    <row r="739" spans="2:8">
      <c r="B739" s="555" t="s">
        <v>67</v>
      </c>
      <c r="C739" s="555" t="str">
        <f>VLOOKUP(D739,기본!$D$13:$E$74,2,0)</f>
        <v>코웨이</v>
      </c>
      <c r="D739" t="s">
        <v>1905</v>
      </c>
      <c r="E739" t="s">
        <v>1908</v>
      </c>
      <c r="F739" t="s">
        <v>1908</v>
      </c>
      <c r="G739" s="554">
        <v>280</v>
      </c>
      <c r="H739">
        <v>1.8627957599999998</v>
      </c>
    </row>
    <row r="740" spans="2:8">
      <c r="B740" s="555" t="s">
        <v>67</v>
      </c>
      <c r="C740" s="555" t="str">
        <f>VLOOKUP(D740,기본!$D$13:$E$74,2,0)</f>
        <v>코웨이</v>
      </c>
      <c r="D740" t="s">
        <v>1905</v>
      </c>
      <c r="E740" t="s">
        <v>1909</v>
      </c>
      <c r="F740" t="s">
        <v>1909</v>
      </c>
      <c r="G740" s="554">
        <v>5270</v>
      </c>
      <c r="H740">
        <v>29.07338442</v>
      </c>
    </row>
    <row r="741" spans="2:8">
      <c r="B741" s="555" t="s">
        <v>67</v>
      </c>
      <c r="C741" s="555" t="str">
        <f>VLOOKUP(D741,기본!$D$13:$E$74,2,0)</f>
        <v>코웨이</v>
      </c>
      <c r="D741" t="s">
        <v>1905</v>
      </c>
      <c r="E741" t="s">
        <v>2165</v>
      </c>
      <c r="F741" t="s">
        <v>2165</v>
      </c>
      <c r="G741" s="554">
        <v>1275</v>
      </c>
      <c r="H741">
        <v>7.8765420000000006</v>
      </c>
    </row>
    <row r="742" spans="2:8">
      <c r="B742" s="555" t="s">
        <v>67</v>
      </c>
      <c r="C742" s="555" t="str">
        <f>VLOOKUP(D742,기본!$D$13:$E$74,2,0)</f>
        <v>코웨이</v>
      </c>
      <c r="D742" t="s">
        <v>1905</v>
      </c>
      <c r="E742" t="s">
        <v>1910</v>
      </c>
      <c r="F742" t="s">
        <v>1910</v>
      </c>
      <c r="G742" s="554">
        <v>1000</v>
      </c>
      <c r="H742">
        <v>5.9166119999999998</v>
      </c>
    </row>
    <row r="743" spans="2:8">
      <c r="B743" s="555" t="s">
        <v>67</v>
      </c>
      <c r="C743" s="555" t="str">
        <f>VLOOKUP(D743,기본!$D$13:$E$74,2,0)</f>
        <v>삼성 VD</v>
      </c>
      <c r="D743" t="s">
        <v>1912</v>
      </c>
      <c r="E743" t="s">
        <v>1165</v>
      </c>
      <c r="F743" t="s">
        <v>1882</v>
      </c>
      <c r="G743" s="554">
        <v>366</v>
      </c>
      <c r="H743">
        <v>10.608396540000001</v>
      </c>
    </row>
    <row r="744" spans="2:8">
      <c r="B744" s="555" t="s">
        <v>67</v>
      </c>
      <c r="C744" s="555" t="str">
        <f>VLOOKUP(D744,기본!$D$13:$E$74,2,0)</f>
        <v>삼성 VD</v>
      </c>
      <c r="D744" t="s">
        <v>1912</v>
      </c>
      <c r="E744" t="s">
        <v>1164</v>
      </c>
      <c r="F744" t="s">
        <v>1850</v>
      </c>
      <c r="G744" s="554">
        <v>6468</v>
      </c>
      <c r="H744">
        <v>169.67448108000002</v>
      </c>
    </row>
    <row r="745" spans="2:8">
      <c r="B745" s="555" t="s">
        <v>67</v>
      </c>
      <c r="C745" s="555" t="str">
        <f>VLOOKUP(D745,기본!$D$13:$E$74,2,0)</f>
        <v>삼성 VD</v>
      </c>
      <c r="D745" t="s">
        <v>1912</v>
      </c>
      <c r="E745" t="s">
        <v>1853</v>
      </c>
      <c r="F745" t="s">
        <v>1854</v>
      </c>
      <c r="G745" s="554">
        <v>1800</v>
      </c>
      <c r="H745">
        <v>25.395756479999996</v>
      </c>
    </row>
    <row r="746" spans="2:8">
      <c r="B746" s="555" t="s">
        <v>67</v>
      </c>
      <c r="C746" s="555" t="str">
        <f>VLOOKUP(D746,기본!$D$13:$E$74,2,0)</f>
        <v>삼성 VD</v>
      </c>
      <c r="D746" t="s">
        <v>1912</v>
      </c>
      <c r="E746" t="s">
        <v>1855</v>
      </c>
      <c r="F746" t="s">
        <v>1856</v>
      </c>
      <c r="G746" s="554">
        <v>2323</v>
      </c>
      <c r="H746">
        <v>33.399481739999999</v>
      </c>
    </row>
    <row r="747" spans="2:8">
      <c r="B747" s="555" t="s">
        <v>67</v>
      </c>
      <c r="C747" s="555" t="str">
        <f>VLOOKUP(D747,기본!$D$13:$E$74,2,0)</f>
        <v>삼성 VD</v>
      </c>
      <c r="D747" t="s">
        <v>1912</v>
      </c>
      <c r="E747" t="s">
        <v>1874</v>
      </c>
      <c r="F747" t="s">
        <v>1875</v>
      </c>
      <c r="G747" s="554">
        <v>1863</v>
      </c>
      <c r="H747">
        <v>29.127027960000003</v>
      </c>
    </row>
    <row r="748" spans="2:8">
      <c r="B748" s="555" t="s">
        <v>67</v>
      </c>
      <c r="C748" s="555" t="str">
        <f>VLOOKUP(D748,기본!$D$13:$E$74,2,0)</f>
        <v>삼성 VD</v>
      </c>
      <c r="D748" t="s">
        <v>1912</v>
      </c>
      <c r="E748" t="s">
        <v>1865</v>
      </c>
      <c r="F748" t="s">
        <v>1866</v>
      </c>
      <c r="G748" s="554">
        <v>144</v>
      </c>
      <c r="H748">
        <v>5.9338454399999998</v>
      </c>
    </row>
    <row r="749" spans="2:8">
      <c r="B749" s="555" t="s">
        <v>67</v>
      </c>
      <c r="C749" s="555" t="str">
        <f>VLOOKUP(D749,기본!$D$13:$E$74,2,0)</f>
        <v>삼성 VD</v>
      </c>
      <c r="D749" t="s">
        <v>1912</v>
      </c>
      <c r="E749" t="s">
        <v>1786</v>
      </c>
      <c r="F749" t="s">
        <v>1671</v>
      </c>
      <c r="G749" s="554">
        <v>41976</v>
      </c>
      <c r="H749">
        <v>447.54425351999998</v>
      </c>
    </row>
    <row r="750" spans="2:8">
      <c r="B750" s="555" t="s">
        <v>67</v>
      </c>
      <c r="C750" s="555" t="str">
        <f>VLOOKUP(D750,기본!$D$13:$E$74,2,0)</f>
        <v>삼성 VD</v>
      </c>
      <c r="D750" t="s">
        <v>1912</v>
      </c>
      <c r="E750" t="s">
        <v>1788</v>
      </c>
      <c r="F750" t="s">
        <v>1913</v>
      </c>
      <c r="G750" s="554">
        <v>86184</v>
      </c>
      <c r="H750">
        <v>1027.4932529279999</v>
      </c>
    </row>
    <row r="751" spans="2:8">
      <c r="B751" s="555" t="s">
        <v>67</v>
      </c>
      <c r="C751" s="555" t="str">
        <f>VLOOKUP(D751,기본!$D$13:$E$74,2,0)</f>
        <v>삼성 VD</v>
      </c>
      <c r="D751" t="s">
        <v>1912</v>
      </c>
      <c r="E751" t="s">
        <v>1790</v>
      </c>
      <c r="F751" t="s">
        <v>1914</v>
      </c>
      <c r="G751" s="554">
        <v>26862</v>
      </c>
      <c r="H751">
        <v>351.89606218799997</v>
      </c>
    </row>
    <row r="752" spans="2:8">
      <c r="B752" s="555" t="s">
        <v>67</v>
      </c>
      <c r="C752" s="555" t="str">
        <f>VLOOKUP(D752,기본!$D$13:$E$74,2,0)</f>
        <v>삼성 VD</v>
      </c>
      <c r="D752" t="s">
        <v>1912</v>
      </c>
      <c r="E752" t="s">
        <v>1792</v>
      </c>
      <c r="F752" t="s">
        <v>1915</v>
      </c>
      <c r="G752" s="554">
        <v>17478</v>
      </c>
      <c r="H752">
        <v>300.029748912</v>
      </c>
    </row>
    <row r="753" spans="2:8">
      <c r="B753" s="555" t="s">
        <v>67</v>
      </c>
      <c r="C753" s="555" t="str">
        <f>VLOOKUP(D753,기본!$D$13:$E$74,2,0)</f>
        <v>삼성 VD</v>
      </c>
      <c r="D753" t="s">
        <v>1912</v>
      </c>
      <c r="E753" t="s">
        <v>1923</v>
      </c>
      <c r="F753" t="s">
        <v>1924</v>
      </c>
      <c r="G753" s="554">
        <v>7370</v>
      </c>
      <c r="H753">
        <v>34.364329999999995</v>
      </c>
    </row>
    <row r="754" spans="2:8">
      <c r="B754" s="555" t="s">
        <v>67</v>
      </c>
      <c r="C754" s="555" t="str">
        <f>VLOOKUP(D754,기본!$D$13:$E$74,2,0)</f>
        <v>삼성 VD</v>
      </c>
      <c r="D754" t="s">
        <v>1912</v>
      </c>
      <c r="E754" t="s">
        <v>1925</v>
      </c>
      <c r="F754" t="s">
        <v>1926</v>
      </c>
      <c r="G754" s="554">
        <v>1638</v>
      </c>
      <c r="H754">
        <v>13.228643904000002</v>
      </c>
    </row>
    <row r="755" spans="2:8">
      <c r="B755" s="555" t="s">
        <v>67</v>
      </c>
      <c r="C755" s="555" t="str">
        <f>VLOOKUP(D755,기본!$D$13:$E$74,2,0)</f>
        <v>삼성 VD</v>
      </c>
      <c r="D755" t="s">
        <v>1916</v>
      </c>
      <c r="E755" t="s">
        <v>1165</v>
      </c>
      <c r="F755" t="s">
        <v>1882</v>
      </c>
      <c r="G755" s="554">
        <v>198</v>
      </c>
      <c r="H755">
        <v>5.7160794599999996</v>
      </c>
    </row>
    <row r="756" spans="2:8">
      <c r="B756" s="555" t="s">
        <v>67</v>
      </c>
      <c r="C756" s="555" t="str">
        <f>VLOOKUP(D756,기본!$D$13:$E$74,2,0)</f>
        <v>삼성 VD</v>
      </c>
      <c r="D756" t="s">
        <v>1916</v>
      </c>
      <c r="E756" t="s">
        <v>1851</v>
      </c>
      <c r="F756" t="s">
        <v>1852</v>
      </c>
      <c r="G756" s="554">
        <v>6288</v>
      </c>
      <c r="H756">
        <v>45.664364927999998</v>
      </c>
    </row>
    <row r="757" spans="2:8">
      <c r="B757" s="555" t="s">
        <v>67</v>
      </c>
      <c r="C757" s="555" t="str">
        <f>VLOOKUP(D757,기본!$D$13:$E$74,2,0)</f>
        <v>삼성 VD</v>
      </c>
      <c r="D757" t="s">
        <v>1916</v>
      </c>
      <c r="E757" t="s">
        <v>1874</v>
      </c>
      <c r="F757" t="s">
        <v>1875</v>
      </c>
      <c r="G757" s="554">
        <v>138</v>
      </c>
      <c r="H757">
        <v>2.1597469199999999</v>
      </c>
    </row>
    <row r="758" spans="2:8">
      <c r="B758" s="555" t="s">
        <v>67</v>
      </c>
      <c r="C758" s="555" t="str">
        <f>VLOOKUP(D758,기본!$D$13:$E$74,2,0)</f>
        <v>삼성 VD</v>
      </c>
      <c r="D758" t="s">
        <v>1916</v>
      </c>
      <c r="E758" t="s">
        <v>1861</v>
      </c>
      <c r="F758" t="s">
        <v>1862</v>
      </c>
      <c r="G758" s="554">
        <v>476</v>
      </c>
      <c r="H758">
        <v>8.1658942400000001</v>
      </c>
    </row>
    <row r="759" spans="2:8">
      <c r="B759" s="555" t="s">
        <v>67</v>
      </c>
      <c r="C759" s="555" t="str">
        <f>VLOOKUP(D759,기본!$D$13:$E$74,2,0)</f>
        <v>삼성 VD</v>
      </c>
      <c r="D759" t="s">
        <v>1916</v>
      </c>
      <c r="E759" t="s">
        <v>1786</v>
      </c>
      <c r="F759" t="s">
        <v>1671</v>
      </c>
      <c r="G759" s="554">
        <v>6048</v>
      </c>
      <c r="H759">
        <v>64.422155520000018</v>
      </c>
    </row>
    <row r="760" spans="2:8">
      <c r="B760" s="555" t="s">
        <v>67</v>
      </c>
      <c r="C760" s="555" t="str">
        <f>VLOOKUP(D760,기본!$D$13:$E$74,2,0)</f>
        <v>삼성 VD</v>
      </c>
      <c r="D760" t="s">
        <v>1916</v>
      </c>
      <c r="E760" t="s">
        <v>1777</v>
      </c>
      <c r="F760" t="s">
        <v>1672</v>
      </c>
      <c r="G760" s="554">
        <v>8496</v>
      </c>
      <c r="H760">
        <v>94.073474880000006</v>
      </c>
    </row>
    <row r="761" spans="2:8">
      <c r="B761" s="555" t="s">
        <v>67</v>
      </c>
      <c r="C761" s="555" t="str">
        <f>VLOOKUP(D761,기본!$D$13:$E$74,2,0)</f>
        <v>삼성 VD</v>
      </c>
      <c r="D761" t="s">
        <v>1916</v>
      </c>
      <c r="E761" t="s">
        <v>1788</v>
      </c>
      <c r="F761" t="s">
        <v>1913</v>
      </c>
      <c r="G761" s="554">
        <v>19476</v>
      </c>
      <c r="H761">
        <v>230.78361110400002</v>
      </c>
    </row>
    <row r="762" spans="2:8">
      <c r="B762" s="555" t="s">
        <v>67</v>
      </c>
      <c r="C762" s="555" t="str">
        <f>VLOOKUP(D762,기본!$D$13:$E$74,2,0)</f>
        <v>삼성 VD</v>
      </c>
      <c r="D762" t="s">
        <v>1916</v>
      </c>
      <c r="E762" t="s">
        <v>1778</v>
      </c>
      <c r="F762" t="s">
        <v>1919</v>
      </c>
      <c r="G762" s="554">
        <v>16380</v>
      </c>
      <c r="H762">
        <v>205.23462940800002</v>
      </c>
    </row>
    <row r="763" spans="2:8">
      <c r="B763" s="555" t="s">
        <v>67</v>
      </c>
      <c r="C763" s="555" t="str">
        <f>VLOOKUP(D763,기본!$D$13:$E$74,2,0)</f>
        <v>삼성 VD</v>
      </c>
      <c r="D763" t="s">
        <v>1916</v>
      </c>
      <c r="E763" t="s">
        <v>1790</v>
      </c>
      <c r="F763" t="s">
        <v>1914</v>
      </c>
      <c r="G763" s="554">
        <v>6567</v>
      </c>
      <c r="H763">
        <v>86.325136127999997</v>
      </c>
    </row>
    <row r="764" spans="2:8">
      <c r="B764" s="555" t="s">
        <v>67</v>
      </c>
      <c r="C764" s="555" t="str">
        <f>VLOOKUP(D764,기본!$D$13:$E$74,2,0)</f>
        <v>삼성 VD</v>
      </c>
      <c r="D764" t="s">
        <v>1916</v>
      </c>
      <c r="E764" t="s">
        <v>1779</v>
      </c>
      <c r="F764" t="s">
        <v>1920</v>
      </c>
      <c r="G764" s="554">
        <v>40491</v>
      </c>
      <c r="H764">
        <v>565.88112193799998</v>
      </c>
    </row>
    <row r="765" spans="2:8">
      <c r="B765" s="555" t="s">
        <v>67</v>
      </c>
      <c r="C765" s="555" t="str">
        <f>VLOOKUP(D765,기본!$D$13:$E$74,2,0)</f>
        <v>삼성 VD</v>
      </c>
      <c r="D765" t="s">
        <v>1916</v>
      </c>
      <c r="E765" t="s">
        <v>1792</v>
      </c>
      <c r="F765" t="s">
        <v>1915</v>
      </c>
      <c r="G765" s="554">
        <v>7506</v>
      </c>
      <c r="H765">
        <v>129.59400941999999</v>
      </c>
    </row>
    <row r="766" spans="2:8">
      <c r="B766" s="555" t="s">
        <v>67</v>
      </c>
      <c r="C766" s="555" t="str">
        <f>VLOOKUP(D766,기본!$D$13:$E$74,2,0)</f>
        <v>삼성 VD</v>
      </c>
      <c r="D766" t="s">
        <v>1916</v>
      </c>
      <c r="E766" t="s">
        <v>1921</v>
      </c>
      <c r="F766" t="s">
        <v>1922</v>
      </c>
      <c r="G766" s="554">
        <v>1782</v>
      </c>
      <c r="H766">
        <v>40.853161944</v>
      </c>
    </row>
    <row r="767" spans="2:8">
      <c r="B767" s="555" t="s">
        <v>67</v>
      </c>
      <c r="C767" s="555" t="str">
        <f>VLOOKUP(D767,기본!$D$13:$E$74,2,0)</f>
        <v>삼성 VD</v>
      </c>
      <c r="D767" t="s">
        <v>1916</v>
      </c>
      <c r="E767" t="s">
        <v>1923</v>
      </c>
      <c r="F767" t="s">
        <v>1924</v>
      </c>
      <c r="G767" s="554">
        <v>26334</v>
      </c>
      <c r="H767">
        <v>122.16471959999998</v>
      </c>
    </row>
    <row r="768" spans="2:8">
      <c r="B768" s="555" t="s">
        <v>67</v>
      </c>
      <c r="C768" s="555" t="str">
        <f>VLOOKUP(D768,기본!$D$13:$E$74,2,0)</f>
        <v>삼성 VD</v>
      </c>
      <c r="D768" t="s">
        <v>1916</v>
      </c>
      <c r="E768" t="s">
        <v>709</v>
      </c>
      <c r="F768" t="s">
        <v>1869</v>
      </c>
      <c r="G768" s="554">
        <v>4664</v>
      </c>
      <c r="H768">
        <v>15.88257198</v>
      </c>
    </row>
    <row r="769" spans="2:8">
      <c r="B769" s="555" t="s">
        <v>67</v>
      </c>
      <c r="C769" s="555" t="str">
        <f>VLOOKUP(D769,기본!$D$13:$E$74,2,0)</f>
        <v>삼성 VD</v>
      </c>
      <c r="D769" t="s">
        <v>1927</v>
      </c>
      <c r="E769" t="s">
        <v>2119</v>
      </c>
      <c r="F769" t="s">
        <v>2120</v>
      </c>
      <c r="G769" s="554">
        <v>16104</v>
      </c>
      <c r="H769">
        <v>301.35858825599996</v>
      </c>
    </row>
    <row r="770" spans="2:8">
      <c r="B770" s="555" t="s">
        <v>67</v>
      </c>
      <c r="C770" s="555" t="str">
        <f>VLOOKUP(D770,기본!$D$13:$E$74,2,0)</f>
        <v>삼성 VD</v>
      </c>
      <c r="D770" t="s">
        <v>1927</v>
      </c>
      <c r="E770" t="s">
        <v>2121</v>
      </c>
      <c r="F770" t="s">
        <v>874</v>
      </c>
      <c r="G770" s="554">
        <v>269</v>
      </c>
      <c r="H770">
        <v>5.1932432999999998</v>
      </c>
    </row>
    <row r="771" spans="2:8">
      <c r="B771" s="555" t="s">
        <v>67</v>
      </c>
      <c r="C771" s="555" t="str">
        <f>VLOOKUP(D771,기본!$D$13:$E$74,2,0)</f>
        <v>삼성 VD</v>
      </c>
      <c r="D771" t="s">
        <v>1927</v>
      </c>
      <c r="E771" t="s">
        <v>1165</v>
      </c>
      <c r="F771" t="s">
        <v>1882</v>
      </c>
      <c r="G771" s="554">
        <v>1872</v>
      </c>
      <c r="H771">
        <v>54.195593760000001</v>
      </c>
    </row>
    <row r="772" spans="2:8">
      <c r="B772" s="555" t="s">
        <v>67</v>
      </c>
      <c r="C772" s="555" t="str">
        <f>VLOOKUP(D772,기본!$D$13:$E$74,2,0)</f>
        <v>삼성 VD</v>
      </c>
      <c r="D772" t="s">
        <v>1927</v>
      </c>
      <c r="E772" t="s">
        <v>1164</v>
      </c>
      <c r="F772" t="s">
        <v>1850</v>
      </c>
      <c r="G772" s="554">
        <v>6048</v>
      </c>
      <c r="H772">
        <v>157.68622836</v>
      </c>
    </row>
    <row r="773" spans="2:8">
      <c r="B773" s="555" t="s">
        <v>67</v>
      </c>
      <c r="C773" s="555" t="str">
        <f>VLOOKUP(D773,기본!$D$13:$E$74,2,0)</f>
        <v>삼성 VD</v>
      </c>
      <c r="D773" t="s">
        <v>1927</v>
      </c>
      <c r="E773" t="s">
        <v>1851</v>
      </c>
      <c r="F773" t="s">
        <v>1852</v>
      </c>
      <c r="G773" s="554">
        <v>6624</v>
      </c>
      <c r="H773">
        <v>48.032921664</v>
      </c>
    </row>
    <row r="774" spans="2:8">
      <c r="B774" s="555" t="s">
        <v>67</v>
      </c>
      <c r="C774" s="555" t="str">
        <f>VLOOKUP(D774,기본!$D$13:$E$74,2,0)</f>
        <v>삼성 VD</v>
      </c>
      <c r="D774" t="s">
        <v>1927</v>
      </c>
      <c r="E774" t="s">
        <v>1853</v>
      </c>
      <c r="F774" t="s">
        <v>1854</v>
      </c>
      <c r="G774" s="554">
        <v>1601</v>
      </c>
      <c r="H774">
        <v>22.660137740000003</v>
      </c>
    </row>
    <row r="775" spans="2:8">
      <c r="B775" s="555" t="s">
        <v>67</v>
      </c>
      <c r="C775" s="555" t="str">
        <f>VLOOKUP(D775,기본!$D$13:$E$74,2,0)</f>
        <v>삼성 VD</v>
      </c>
      <c r="D775" t="s">
        <v>1927</v>
      </c>
      <c r="E775" t="s">
        <v>1855</v>
      </c>
      <c r="F775" t="s">
        <v>1856</v>
      </c>
      <c r="G775" s="554">
        <v>139</v>
      </c>
      <c r="H775">
        <v>2.0081635800000002</v>
      </c>
    </row>
    <row r="776" spans="2:8">
      <c r="B776" s="555" t="s">
        <v>67</v>
      </c>
      <c r="C776" s="555" t="str">
        <f>VLOOKUP(D776,기본!$D$13:$E$74,2,0)</f>
        <v>삼성 VD</v>
      </c>
      <c r="D776" t="s">
        <v>1927</v>
      </c>
      <c r="E776" t="s">
        <v>1874</v>
      </c>
      <c r="F776" t="s">
        <v>1875</v>
      </c>
      <c r="G776" s="554">
        <v>2868</v>
      </c>
      <c r="H776">
        <v>45.1457616</v>
      </c>
    </row>
    <row r="777" spans="2:8">
      <c r="B777" s="555" t="s">
        <v>67</v>
      </c>
      <c r="C777" s="555" t="str">
        <f>VLOOKUP(D777,기본!$D$13:$E$74,2,0)</f>
        <v>삼성 VD</v>
      </c>
      <c r="D777" t="s">
        <v>1927</v>
      </c>
      <c r="E777" t="s">
        <v>1928</v>
      </c>
      <c r="F777" t="s">
        <v>1929</v>
      </c>
      <c r="G777" s="554">
        <v>1440</v>
      </c>
      <c r="H777">
        <v>13.955557680000002</v>
      </c>
    </row>
    <row r="778" spans="2:8">
      <c r="B778" s="555" t="s">
        <v>67</v>
      </c>
      <c r="C778" s="555" t="str">
        <f>VLOOKUP(D778,기본!$D$13:$E$74,2,0)</f>
        <v>삼성 VD</v>
      </c>
      <c r="D778" t="s">
        <v>1927</v>
      </c>
      <c r="E778" t="s">
        <v>1036</v>
      </c>
      <c r="F778" t="s">
        <v>1035</v>
      </c>
      <c r="G778" s="554">
        <v>2110</v>
      </c>
      <c r="H778">
        <v>21.909393899999998</v>
      </c>
    </row>
    <row r="779" spans="2:8">
      <c r="B779" s="555" t="s">
        <v>67</v>
      </c>
      <c r="C779" s="555" t="str">
        <f>VLOOKUP(D779,기본!$D$13:$E$74,2,0)</f>
        <v>삼성 VD</v>
      </c>
      <c r="D779" t="s">
        <v>1927</v>
      </c>
      <c r="E779" t="s">
        <v>1002</v>
      </c>
      <c r="F779" t="s">
        <v>1001</v>
      </c>
      <c r="G779" s="554">
        <v>32</v>
      </c>
      <c r="H779">
        <v>0.30025232000000002</v>
      </c>
    </row>
    <row r="780" spans="2:8">
      <c r="B780" s="555" t="s">
        <v>67</v>
      </c>
      <c r="C780" s="555" t="str">
        <f>VLOOKUP(D780,기본!$D$13:$E$74,2,0)</f>
        <v>삼성 VD</v>
      </c>
      <c r="D780" t="s">
        <v>1927</v>
      </c>
      <c r="E780" t="s">
        <v>1857</v>
      </c>
      <c r="F780" t="s">
        <v>1858</v>
      </c>
      <c r="G780" s="554">
        <v>2976</v>
      </c>
      <c r="H780">
        <v>28.383635424000001</v>
      </c>
    </row>
    <row r="781" spans="2:8">
      <c r="B781" s="555" t="s">
        <v>67</v>
      </c>
      <c r="C781" s="555" t="str">
        <f>VLOOKUP(D781,기본!$D$13:$E$74,2,0)</f>
        <v>삼성 VD</v>
      </c>
      <c r="D781" t="s">
        <v>1927</v>
      </c>
      <c r="E781" t="s">
        <v>1859</v>
      </c>
      <c r="F781" t="s">
        <v>1860</v>
      </c>
      <c r="G781" s="554">
        <v>3408</v>
      </c>
      <c r="H781">
        <v>58.528158144000002</v>
      </c>
    </row>
    <row r="782" spans="2:8">
      <c r="B782" s="555" t="s">
        <v>67</v>
      </c>
      <c r="C782" s="555" t="str">
        <f>VLOOKUP(D782,기본!$D$13:$E$74,2,0)</f>
        <v>삼성 VD</v>
      </c>
      <c r="D782" t="s">
        <v>1927</v>
      </c>
      <c r="E782" t="s">
        <v>1863</v>
      </c>
      <c r="F782" t="s">
        <v>1864</v>
      </c>
      <c r="G782" s="554">
        <v>532</v>
      </c>
      <c r="H782">
        <v>4.2612024000000002</v>
      </c>
    </row>
    <row r="783" spans="2:8">
      <c r="B783" s="555" t="s">
        <v>67</v>
      </c>
      <c r="C783" s="555" t="str">
        <f>VLOOKUP(D783,기본!$D$13:$E$74,2,0)</f>
        <v>삼성 VD</v>
      </c>
      <c r="D783" t="s">
        <v>1927</v>
      </c>
      <c r="E783" t="s">
        <v>1930</v>
      </c>
      <c r="F783" t="s">
        <v>1931</v>
      </c>
      <c r="G783" s="554">
        <v>3926</v>
      </c>
      <c r="H783">
        <v>24.947466335999998</v>
      </c>
    </row>
    <row r="784" spans="2:8">
      <c r="B784" s="555" t="s">
        <v>67</v>
      </c>
      <c r="C784" s="555" t="str">
        <f>VLOOKUP(D784,기본!$D$13:$E$74,2,0)</f>
        <v>삼성 VD</v>
      </c>
      <c r="D784" t="s">
        <v>1927</v>
      </c>
      <c r="E784" t="s">
        <v>1309</v>
      </c>
      <c r="F784" t="s">
        <v>1308</v>
      </c>
      <c r="G784" s="554">
        <v>5160</v>
      </c>
      <c r="H784">
        <v>109.88818008000001</v>
      </c>
    </row>
    <row r="785" spans="2:8">
      <c r="B785" s="555" t="s">
        <v>67</v>
      </c>
      <c r="C785" s="555" t="str">
        <f>VLOOKUP(D785,기본!$D$13:$E$74,2,0)</f>
        <v>삼성 VD</v>
      </c>
      <c r="D785" t="s">
        <v>1927</v>
      </c>
      <c r="E785" t="s">
        <v>1311</v>
      </c>
      <c r="F785" t="s">
        <v>1310</v>
      </c>
      <c r="G785" s="554">
        <v>96</v>
      </c>
      <c r="H785">
        <v>2.2255507200000002</v>
      </c>
    </row>
    <row r="786" spans="2:8">
      <c r="B786" s="555" t="s">
        <v>67</v>
      </c>
      <c r="C786" s="555" t="str">
        <f>VLOOKUP(D786,기본!$D$13:$E$74,2,0)</f>
        <v>삼성 VD</v>
      </c>
      <c r="D786" t="s">
        <v>1927</v>
      </c>
      <c r="E786" t="s">
        <v>1865</v>
      </c>
      <c r="F786" t="s">
        <v>1866</v>
      </c>
      <c r="G786" s="554">
        <v>3828</v>
      </c>
      <c r="H786">
        <v>155.03353681199997</v>
      </c>
    </row>
    <row r="787" spans="2:8">
      <c r="B787" s="555" t="s">
        <v>67</v>
      </c>
      <c r="C787" s="555" t="str">
        <f>VLOOKUP(D787,기본!$D$13:$E$74,2,0)</f>
        <v>삼성 VD</v>
      </c>
      <c r="D787" t="s">
        <v>1927</v>
      </c>
      <c r="E787" t="s">
        <v>1932</v>
      </c>
      <c r="F787" t="s">
        <v>1933</v>
      </c>
      <c r="G787" s="554">
        <v>8640</v>
      </c>
      <c r="H787">
        <v>148.21070579999997</v>
      </c>
    </row>
    <row r="788" spans="2:8">
      <c r="B788" s="555" t="s">
        <v>67</v>
      </c>
      <c r="C788" s="555" t="str">
        <f>VLOOKUP(D788,기본!$D$13:$E$74,2,0)</f>
        <v>삼성 VD</v>
      </c>
      <c r="D788" t="s">
        <v>1927</v>
      </c>
      <c r="E788" t="s">
        <v>1934</v>
      </c>
      <c r="F788" t="s">
        <v>1935</v>
      </c>
      <c r="G788" s="554">
        <v>792</v>
      </c>
      <c r="H788">
        <v>3.4889944319999997</v>
      </c>
    </row>
    <row r="789" spans="2:8">
      <c r="B789" s="555" t="s">
        <v>67</v>
      </c>
      <c r="C789" s="555" t="str">
        <f>VLOOKUP(D789,기본!$D$13:$E$74,2,0)</f>
        <v>삼성 VD</v>
      </c>
      <c r="D789" t="s">
        <v>1927</v>
      </c>
      <c r="E789" t="s">
        <v>1936</v>
      </c>
      <c r="F789" t="s">
        <v>1937</v>
      </c>
      <c r="G789" s="554">
        <v>991</v>
      </c>
      <c r="H789">
        <v>5.3691260920000001</v>
      </c>
    </row>
    <row r="790" spans="2:8">
      <c r="B790" s="555" t="s">
        <v>67</v>
      </c>
      <c r="C790" s="555" t="str">
        <f>VLOOKUP(D790,기본!$D$13:$E$74,2,0)</f>
        <v>삼성 VD</v>
      </c>
      <c r="D790" t="s">
        <v>1927</v>
      </c>
      <c r="E790" t="s">
        <v>1923</v>
      </c>
      <c r="F790" t="s">
        <v>1924</v>
      </c>
      <c r="G790" s="554">
        <v>2376</v>
      </c>
      <c r="H790">
        <v>10.917244799999999</v>
      </c>
    </row>
    <row r="791" spans="2:8">
      <c r="B791" s="555" t="s">
        <v>67</v>
      </c>
      <c r="C791" s="555" t="str">
        <f>VLOOKUP(D791,기본!$D$13:$E$74,2,0)</f>
        <v>삼성 VD</v>
      </c>
      <c r="D791" t="s">
        <v>1927</v>
      </c>
      <c r="E791" t="s">
        <v>1938</v>
      </c>
      <c r="F791" t="s">
        <v>1939</v>
      </c>
      <c r="G791" s="554">
        <v>7128</v>
      </c>
      <c r="H791">
        <v>38.238735744000003</v>
      </c>
    </row>
    <row r="792" spans="2:8">
      <c r="B792" s="555" t="s">
        <v>67</v>
      </c>
      <c r="C792" s="555" t="str">
        <f>VLOOKUP(D792,기본!$D$13:$E$74,2,0)</f>
        <v>삼성 VD</v>
      </c>
      <c r="D792" t="s">
        <v>1927</v>
      </c>
      <c r="E792" t="s">
        <v>1940</v>
      </c>
      <c r="F792" t="s">
        <v>1941</v>
      </c>
      <c r="G792" s="554">
        <v>432</v>
      </c>
      <c r="H792">
        <v>5.6146327200000004</v>
      </c>
    </row>
    <row r="793" spans="2:8">
      <c r="B793" s="555" t="s">
        <v>67</v>
      </c>
      <c r="C793" s="555" t="str">
        <f>VLOOKUP(D793,기본!$D$13:$E$74,2,0)</f>
        <v>삼성 VD</v>
      </c>
      <c r="D793" t="s">
        <v>1927</v>
      </c>
      <c r="E793" t="s">
        <v>1867</v>
      </c>
      <c r="F793" t="s">
        <v>1868</v>
      </c>
      <c r="G793" s="554">
        <v>1512</v>
      </c>
      <c r="H793">
        <v>12.17677608</v>
      </c>
    </row>
    <row r="794" spans="2:8">
      <c r="B794" s="555" t="s">
        <v>67</v>
      </c>
      <c r="C794" s="555" t="str">
        <f>VLOOKUP(D794,기본!$D$13:$E$74,2,0)</f>
        <v>삼성 VD</v>
      </c>
      <c r="D794" t="s">
        <v>1927</v>
      </c>
      <c r="E794" t="s">
        <v>1925</v>
      </c>
      <c r="F794" t="s">
        <v>1926</v>
      </c>
      <c r="G794" s="554">
        <v>966</v>
      </c>
      <c r="H794">
        <v>7.784419776</v>
      </c>
    </row>
    <row r="795" spans="2:8">
      <c r="B795" s="555" t="s">
        <v>67</v>
      </c>
      <c r="C795" s="555" t="str">
        <f>VLOOKUP(D795,기본!$D$13:$E$74,2,0)</f>
        <v>삼성 VD</v>
      </c>
      <c r="D795" t="s">
        <v>1927</v>
      </c>
      <c r="E795" t="s">
        <v>2122</v>
      </c>
      <c r="F795" t="s">
        <v>2123</v>
      </c>
      <c r="G795" s="554">
        <v>252</v>
      </c>
      <c r="H795">
        <v>1.89598752</v>
      </c>
    </row>
    <row r="796" spans="2:8">
      <c r="B796" s="555" t="s">
        <v>67</v>
      </c>
      <c r="C796" s="555" t="str">
        <f>VLOOKUP(D796,기본!$D$13:$E$74,2,0)</f>
        <v>삼성 VD</v>
      </c>
      <c r="D796" t="s">
        <v>1927</v>
      </c>
      <c r="E796" t="s">
        <v>2166</v>
      </c>
      <c r="F796" t="s">
        <v>2167</v>
      </c>
      <c r="G796" s="554">
        <v>1512</v>
      </c>
      <c r="H796">
        <v>11.236023288</v>
      </c>
    </row>
    <row r="797" spans="2:8">
      <c r="B797" s="555" t="s">
        <v>67</v>
      </c>
      <c r="C797" s="555" t="str">
        <f>VLOOKUP(D797,기본!$D$13:$E$74,2,0)</f>
        <v>삼성 VD</v>
      </c>
      <c r="D797" t="s">
        <v>1927</v>
      </c>
      <c r="E797" t="s">
        <v>1156</v>
      </c>
      <c r="F797" t="s">
        <v>1870</v>
      </c>
      <c r="G797" s="554">
        <v>17028</v>
      </c>
      <c r="H797">
        <v>75.882453107999993</v>
      </c>
    </row>
    <row r="798" spans="2:8">
      <c r="B798" s="555" t="s">
        <v>67</v>
      </c>
      <c r="C798" s="555" t="str">
        <f>VLOOKUP(D798,기본!$D$13:$E$74,2,0)</f>
        <v>삼성 VD</v>
      </c>
      <c r="D798" t="s">
        <v>1927</v>
      </c>
      <c r="E798" t="s">
        <v>1157</v>
      </c>
      <c r="F798" t="s">
        <v>1887</v>
      </c>
      <c r="G798" s="554">
        <v>264</v>
      </c>
      <c r="H798">
        <v>1.2183790079999999</v>
      </c>
    </row>
    <row r="799" spans="2:8">
      <c r="B799" s="555" t="s">
        <v>67</v>
      </c>
      <c r="C799" s="555" t="str">
        <f>VLOOKUP(D799,기본!$D$13:$E$74,2,0)</f>
        <v>삼성 생활가전</v>
      </c>
      <c r="D799" t="s">
        <v>1942</v>
      </c>
      <c r="E799" t="s">
        <v>1943</v>
      </c>
      <c r="F799" t="s">
        <v>1943</v>
      </c>
      <c r="G799" s="554">
        <v>62208</v>
      </c>
      <c r="H799">
        <v>463.17688704</v>
      </c>
    </row>
    <row r="800" spans="2:8">
      <c r="B800" s="555" t="s">
        <v>67</v>
      </c>
      <c r="C800" s="555" t="str">
        <f>VLOOKUP(D800,기본!$D$13:$E$74,2,0)</f>
        <v>삼성 생활가전</v>
      </c>
      <c r="D800" t="s">
        <v>1942</v>
      </c>
      <c r="E800" t="s">
        <v>1945</v>
      </c>
      <c r="F800" t="s">
        <v>1945</v>
      </c>
      <c r="G800" s="554">
        <v>29856</v>
      </c>
      <c r="H800">
        <v>240.20986751999999</v>
      </c>
    </row>
    <row r="801" spans="2:8">
      <c r="B801" s="555" t="s">
        <v>67</v>
      </c>
      <c r="C801" s="555" t="str">
        <f>VLOOKUP(D801,기본!$D$13:$E$74,2,0)</f>
        <v>삼성 생활가전</v>
      </c>
      <c r="D801" t="s">
        <v>1942</v>
      </c>
      <c r="E801" t="s">
        <v>1975</v>
      </c>
      <c r="F801" t="s">
        <v>1975</v>
      </c>
      <c r="G801" s="554">
        <v>96</v>
      </c>
      <c r="H801">
        <v>0.82230220800000009</v>
      </c>
    </row>
    <row r="802" spans="2:8">
      <c r="B802" s="555" t="s">
        <v>67</v>
      </c>
      <c r="C802" s="555" t="str">
        <f>VLOOKUP(D802,기본!$D$13:$E$74,2,0)</f>
        <v>삼성 생활가전</v>
      </c>
      <c r="D802" t="s">
        <v>1942</v>
      </c>
      <c r="E802" t="s">
        <v>1317</v>
      </c>
      <c r="F802" t="s">
        <v>1317</v>
      </c>
      <c r="G802" s="554">
        <v>1728</v>
      </c>
      <c r="H802">
        <v>14.472836352000002</v>
      </c>
    </row>
    <row r="803" spans="2:8">
      <c r="B803" s="555" t="s">
        <v>67</v>
      </c>
      <c r="C803" s="555" t="str">
        <f>VLOOKUP(D803,기본!$D$13:$E$74,2,0)</f>
        <v>삼성 VD</v>
      </c>
      <c r="D803" t="s">
        <v>1946</v>
      </c>
      <c r="E803" t="s">
        <v>1165</v>
      </c>
      <c r="F803" t="s">
        <v>1882</v>
      </c>
      <c r="G803" s="554">
        <v>168</v>
      </c>
      <c r="H803">
        <v>4.8333494999999989</v>
      </c>
    </row>
    <row r="804" spans="2:8">
      <c r="B804" s="555" t="s">
        <v>67</v>
      </c>
      <c r="C804" s="555" t="str">
        <f>VLOOKUP(D804,기본!$D$13:$E$74,2,0)</f>
        <v>삼성 VD</v>
      </c>
      <c r="D804" t="s">
        <v>1946</v>
      </c>
      <c r="E804" t="s">
        <v>1164</v>
      </c>
      <c r="F804" t="s">
        <v>1850</v>
      </c>
      <c r="G804" s="554">
        <v>36</v>
      </c>
      <c r="H804">
        <v>0.93881883600000005</v>
      </c>
    </row>
    <row r="805" spans="2:8">
      <c r="B805" s="555" t="s">
        <v>67</v>
      </c>
      <c r="C805" s="555" t="str">
        <f>VLOOKUP(D805,기본!$D$13:$E$74,2,0)</f>
        <v>삼성 VD</v>
      </c>
      <c r="D805" t="s">
        <v>1946</v>
      </c>
      <c r="E805" t="s">
        <v>1777</v>
      </c>
      <c r="F805" t="s">
        <v>1672</v>
      </c>
      <c r="G805" s="554">
        <v>1620</v>
      </c>
      <c r="H805">
        <v>17.7904026</v>
      </c>
    </row>
    <row r="806" spans="2:8">
      <c r="B806" s="555" t="s">
        <v>67</v>
      </c>
      <c r="C806" s="555" t="str">
        <f>VLOOKUP(D806,기본!$D$13:$E$74,2,0)</f>
        <v>삼성 VD</v>
      </c>
      <c r="D806" t="s">
        <v>1946</v>
      </c>
      <c r="E806" t="s">
        <v>1778</v>
      </c>
      <c r="F806" t="s">
        <v>1919</v>
      </c>
      <c r="G806" s="554">
        <v>1476</v>
      </c>
      <c r="H806">
        <v>18.461674727999998</v>
      </c>
    </row>
    <row r="807" spans="2:8">
      <c r="B807" s="555" t="s">
        <v>67</v>
      </c>
      <c r="C807" s="555" t="str">
        <f>VLOOKUP(D807,기본!$D$13:$E$74,2,0)</f>
        <v>삼성 VD</v>
      </c>
      <c r="D807" t="s">
        <v>1946</v>
      </c>
      <c r="E807" t="s">
        <v>1779</v>
      </c>
      <c r="F807" t="s">
        <v>1920</v>
      </c>
      <c r="G807" s="554">
        <v>1221</v>
      </c>
      <c r="H807">
        <v>17.047799373000004</v>
      </c>
    </row>
    <row r="808" spans="2:8">
      <c r="B808" s="555" t="s">
        <v>67</v>
      </c>
      <c r="C808" s="555" t="str">
        <f>VLOOKUP(D808,기본!$D$13:$E$74,2,0)</f>
        <v>삼성 VD</v>
      </c>
      <c r="D808" t="s">
        <v>1946</v>
      </c>
      <c r="E808" t="s">
        <v>1792</v>
      </c>
      <c r="F808" t="s">
        <v>1915</v>
      </c>
      <c r="G808" s="554">
        <v>1386</v>
      </c>
      <c r="H808">
        <v>23.838756407999998</v>
      </c>
    </row>
    <row r="809" spans="2:8">
      <c r="B809" s="555" t="s">
        <v>67</v>
      </c>
      <c r="C809" s="555" t="str">
        <f>VLOOKUP(D809,기본!$D$13:$E$74,2,0)</f>
        <v>삼성 VD</v>
      </c>
      <c r="D809" t="s">
        <v>1946</v>
      </c>
      <c r="E809" t="s">
        <v>1921</v>
      </c>
      <c r="F809" t="s">
        <v>1922</v>
      </c>
      <c r="G809" s="554">
        <v>432</v>
      </c>
      <c r="H809">
        <v>9.9236793599999995</v>
      </c>
    </row>
    <row r="810" spans="2:8">
      <c r="B810" s="555" t="s">
        <v>67</v>
      </c>
      <c r="C810" s="555" t="str">
        <f>VLOOKUP(D810,기본!$D$13:$E$74,2,0)</f>
        <v>삼성 VD</v>
      </c>
      <c r="D810" t="s">
        <v>1946</v>
      </c>
      <c r="E810" t="s">
        <v>710</v>
      </c>
      <c r="F810" t="s">
        <v>1947</v>
      </c>
      <c r="G810" s="554">
        <v>1628</v>
      </c>
      <c r="H810">
        <v>7.1760367799999996</v>
      </c>
    </row>
    <row r="811" spans="2:8">
      <c r="B811" s="555" t="s">
        <v>67</v>
      </c>
      <c r="C811" s="555" t="str">
        <f>VLOOKUP(D811,기본!$D$13:$E$74,2,0)</f>
        <v>삼성 생활가전</v>
      </c>
      <c r="D811" t="s">
        <v>1948</v>
      </c>
      <c r="E811" t="s">
        <v>1949</v>
      </c>
      <c r="F811" t="s">
        <v>1949</v>
      </c>
      <c r="G811" s="554">
        <v>2640</v>
      </c>
      <c r="H811">
        <v>27.482526720000003</v>
      </c>
    </row>
    <row r="812" spans="2:8">
      <c r="B812" s="555" t="s">
        <v>67</v>
      </c>
      <c r="C812" s="555" t="str">
        <f>VLOOKUP(D812,기본!$D$13:$E$74,2,0)</f>
        <v>AV JDM</v>
      </c>
      <c r="D812" t="s">
        <v>1950</v>
      </c>
      <c r="E812" t="s">
        <v>436</v>
      </c>
      <c r="F812" t="s">
        <v>2168</v>
      </c>
      <c r="G812" s="554">
        <v>10752</v>
      </c>
      <c r="H812">
        <v>90.505390079999998</v>
      </c>
    </row>
    <row r="813" spans="2:8">
      <c r="B813" s="555" t="s">
        <v>67</v>
      </c>
      <c r="C813" s="555" t="str">
        <f>VLOOKUP(D813,기본!$D$13:$E$74,2,0)</f>
        <v>MNT JDM</v>
      </c>
      <c r="D813" t="s">
        <v>1951</v>
      </c>
      <c r="E813" t="s">
        <v>709</v>
      </c>
      <c r="F813" t="s">
        <v>2124</v>
      </c>
      <c r="G813" s="554">
        <v>27456</v>
      </c>
      <c r="H813">
        <v>123.54772636800001</v>
      </c>
    </row>
    <row r="814" spans="2:8">
      <c r="B814" s="555" t="s">
        <v>67</v>
      </c>
      <c r="C814" s="555" t="str">
        <f>VLOOKUP(D814,기본!$D$13:$E$74,2,0)</f>
        <v>MNT JDM</v>
      </c>
      <c r="D814" t="s">
        <v>1951</v>
      </c>
      <c r="E814" t="s">
        <v>710</v>
      </c>
      <c r="F814" t="s">
        <v>2169</v>
      </c>
      <c r="G814" s="554">
        <v>10560</v>
      </c>
      <c r="H814">
        <v>57.756864</v>
      </c>
    </row>
    <row r="815" spans="2:8">
      <c r="B815" s="555" t="s">
        <v>67</v>
      </c>
      <c r="C815" s="555" t="str">
        <f>VLOOKUP(D815,기본!$D$13:$E$74,2,0)</f>
        <v>HP</v>
      </c>
      <c r="D815" t="s">
        <v>1952</v>
      </c>
      <c r="E815" t="s">
        <v>1296</v>
      </c>
      <c r="F815" t="s">
        <v>1292</v>
      </c>
      <c r="G815" s="554">
        <v>768</v>
      </c>
      <c r="H815">
        <v>20.515829759999999</v>
      </c>
    </row>
    <row r="816" spans="2:8">
      <c r="B816" s="555" t="s">
        <v>67</v>
      </c>
      <c r="C816" s="555" t="str">
        <f>VLOOKUP(D816,기본!$D$13:$E$74,2,0)</f>
        <v>HP</v>
      </c>
      <c r="D816" t="s">
        <v>1952</v>
      </c>
      <c r="E816" t="s">
        <v>1297</v>
      </c>
      <c r="F816" t="s">
        <v>1293</v>
      </c>
      <c r="G816" s="554">
        <v>384</v>
      </c>
      <c r="H816">
        <v>12.515270399999999</v>
      </c>
    </row>
    <row r="817" spans="2:8">
      <c r="B817" s="555" t="s">
        <v>67</v>
      </c>
      <c r="C817" s="555" t="str">
        <f>VLOOKUP(D817,기본!$D$13:$E$74,2,0)</f>
        <v>HP</v>
      </c>
      <c r="D817" t="s">
        <v>1952</v>
      </c>
      <c r="E817" t="s">
        <v>1298</v>
      </c>
      <c r="F817" t="s">
        <v>1294</v>
      </c>
      <c r="G817" s="554">
        <v>2304</v>
      </c>
      <c r="H817">
        <v>66.869452800000005</v>
      </c>
    </row>
    <row r="818" spans="2:8">
      <c r="B818" s="555" t="s">
        <v>67</v>
      </c>
      <c r="C818" s="555" t="str">
        <f>VLOOKUP(D818,기본!$D$13:$E$74,2,0)</f>
        <v>HP</v>
      </c>
      <c r="D818" t="s">
        <v>1952</v>
      </c>
      <c r="E818" t="s">
        <v>1954</v>
      </c>
      <c r="F818" t="s">
        <v>1955</v>
      </c>
      <c r="G818" s="554">
        <v>1120</v>
      </c>
      <c r="H818">
        <v>14.122760400000001</v>
      </c>
    </row>
    <row r="819" spans="2:8">
      <c r="B819" s="555" t="s">
        <v>67</v>
      </c>
      <c r="C819" s="555" t="str">
        <f>VLOOKUP(D819,기본!$D$13:$E$74,2,0)</f>
        <v>HP</v>
      </c>
      <c r="D819" t="s">
        <v>1952</v>
      </c>
      <c r="E819" t="s">
        <v>1960</v>
      </c>
      <c r="F819" t="s">
        <v>671</v>
      </c>
      <c r="G819" s="554">
        <v>720</v>
      </c>
      <c r="H819">
        <v>5.7297671999999995</v>
      </c>
    </row>
    <row r="820" spans="2:8">
      <c r="B820" s="555" t="s">
        <v>67</v>
      </c>
      <c r="C820" s="555" t="str">
        <f>VLOOKUP(D820,기본!$D$13:$E$74,2,0)</f>
        <v>HP</v>
      </c>
      <c r="D820" t="s">
        <v>1952</v>
      </c>
      <c r="E820" t="s">
        <v>1961</v>
      </c>
      <c r="F820" t="s">
        <v>1962</v>
      </c>
      <c r="G820" s="554">
        <v>1872</v>
      </c>
      <c r="H820">
        <v>65.664764352000006</v>
      </c>
    </row>
    <row r="821" spans="2:8">
      <c r="B821" s="555" t="s">
        <v>67</v>
      </c>
      <c r="C821" s="555" t="str">
        <f>VLOOKUP(D821,기본!$D$13:$E$74,2,0)</f>
        <v>HP</v>
      </c>
      <c r="D821" t="s">
        <v>1952</v>
      </c>
      <c r="E821" t="s">
        <v>2126</v>
      </c>
      <c r="F821" t="s">
        <v>2127</v>
      </c>
      <c r="G821" s="554">
        <v>120</v>
      </c>
      <c r="H821">
        <v>1.0498601999999999</v>
      </c>
    </row>
    <row r="822" spans="2:8">
      <c r="B822" s="555" t="s">
        <v>67</v>
      </c>
      <c r="C822" s="555" t="str">
        <f>VLOOKUP(D822,기본!$D$13:$E$74,2,0)</f>
        <v>HP</v>
      </c>
      <c r="D822" t="s">
        <v>1952</v>
      </c>
      <c r="E822" t="s">
        <v>1963</v>
      </c>
      <c r="F822" t="s">
        <v>1964</v>
      </c>
      <c r="G822" s="554">
        <v>13500</v>
      </c>
      <c r="H822">
        <v>109.51387199999999</v>
      </c>
    </row>
    <row r="823" spans="2:8">
      <c r="B823" s="555" t="s">
        <v>67</v>
      </c>
      <c r="C823" s="555" t="str">
        <f>VLOOKUP(D823,기본!$D$13:$E$74,2,0)</f>
        <v>HP</v>
      </c>
      <c r="D823" t="s">
        <v>1952</v>
      </c>
      <c r="E823" t="s">
        <v>2170</v>
      </c>
      <c r="F823" t="s">
        <v>2171</v>
      </c>
      <c r="G823" s="554">
        <v>560</v>
      </c>
      <c r="H823">
        <v>9.6370567999999999</v>
      </c>
    </row>
    <row r="824" spans="2:8">
      <c r="B824" s="555" t="s">
        <v>67</v>
      </c>
      <c r="C824" s="555" t="str">
        <f>VLOOKUP(D824,기본!$D$13:$E$74,2,0)</f>
        <v>HP</v>
      </c>
      <c r="D824" t="s">
        <v>1952</v>
      </c>
      <c r="E824" t="s">
        <v>1965</v>
      </c>
      <c r="F824" t="s">
        <v>1966</v>
      </c>
      <c r="G824" s="554">
        <v>720</v>
      </c>
      <c r="H824">
        <v>11.1927608</v>
      </c>
    </row>
    <row r="825" spans="2:8">
      <c r="B825" s="555" t="s">
        <v>67</v>
      </c>
      <c r="C825" s="555" t="str">
        <f>VLOOKUP(D825,기본!$D$13:$E$74,2,0)</f>
        <v>HP</v>
      </c>
      <c r="D825" t="s">
        <v>1952</v>
      </c>
      <c r="E825" t="s">
        <v>2172</v>
      </c>
      <c r="F825" t="s">
        <v>2173</v>
      </c>
      <c r="G825" s="554">
        <v>504</v>
      </c>
      <c r="H825">
        <v>18.10888632</v>
      </c>
    </row>
    <row r="826" spans="2:8">
      <c r="B826" s="555" t="s">
        <v>67</v>
      </c>
      <c r="C826" s="555" t="str">
        <f>VLOOKUP(D826,기본!$D$13:$E$74,2,0)</f>
        <v>HP</v>
      </c>
      <c r="D826" t="s">
        <v>1952</v>
      </c>
      <c r="E826" t="s">
        <v>1969</v>
      </c>
      <c r="F826" t="s">
        <v>1970</v>
      </c>
      <c r="G826" s="554">
        <v>360</v>
      </c>
      <c r="H826">
        <v>4.2527999999999988</v>
      </c>
    </row>
    <row r="827" spans="2:8">
      <c r="B827" s="555" t="s">
        <v>67</v>
      </c>
      <c r="C827" s="555" t="str">
        <f>VLOOKUP(D827,기본!$D$13:$E$74,2,0)</f>
        <v>HP</v>
      </c>
      <c r="D827" t="s">
        <v>1952</v>
      </c>
      <c r="E827" t="s">
        <v>2130</v>
      </c>
      <c r="F827" t="s">
        <v>2131</v>
      </c>
      <c r="G827" s="554">
        <v>780</v>
      </c>
      <c r="H827">
        <v>5.6149200000000015</v>
      </c>
    </row>
    <row r="828" spans="2:8">
      <c r="B828" s="555" t="s">
        <v>67</v>
      </c>
      <c r="C828" s="555" t="str">
        <f>VLOOKUP(D828,기본!$D$13:$E$74,2,0)</f>
        <v>코웨이</v>
      </c>
      <c r="D828" t="s">
        <v>2132</v>
      </c>
      <c r="E828" t="s">
        <v>855</v>
      </c>
      <c r="F828" t="s">
        <v>855</v>
      </c>
      <c r="G828" s="554">
        <v>580</v>
      </c>
      <c r="H828">
        <v>1.7508355600000001</v>
      </c>
    </row>
    <row r="829" spans="2:8">
      <c r="B829" s="555" t="s">
        <v>67</v>
      </c>
      <c r="C829" s="555" t="str">
        <f>VLOOKUP(D829,기본!$D$13:$E$74,2,0)</f>
        <v>코웨이</v>
      </c>
      <c r="D829" t="s">
        <v>2132</v>
      </c>
      <c r="E829" t="s">
        <v>854</v>
      </c>
      <c r="F829" t="s">
        <v>854</v>
      </c>
      <c r="G829" s="554">
        <v>580</v>
      </c>
      <c r="H829">
        <v>3.6101299600000005</v>
      </c>
    </row>
    <row r="830" spans="2:8">
      <c r="B830" s="555" t="s">
        <v>67</v>
      </c>
      <c r="C830" s="555" t="str">
        <f>VLOOKUP(D830,기본!$D$13:$E$74,2,0)</f>
        <v>코웨이</v>
      </c>
      <c r="D830" t="s">
        <v>2132</v>
      </c>
      <c r="E830" t="s">
        <v>2133</v>
      </c>
      <c r="F830" t="s">
        <v>2133</v>
      </c>
      <c r="G830" s="554">
        <v>580</v>
      </c>
      <c r="H830">
        <v>3.6643593800000005</v>
      </c>
    </row>
    <row r="831" spans="2:8">
      <c r="B831" s="555" t="s">
        <v>67</v>
      </c>
      <c r="C831" s="555" t="str">
        <f>VLOOKUP(D831,기본!$D$13:$E$74,2,0)</f>
        <v>코웨이</v>
      </c>
      <c r="D831" t="s">
        <v>2132</v>
      </c>
      <c r="E831" t="s">
        <v>1909</v>
      </c>
      <c r="F831" t="s">
        <v>1909</v>
      </c>
      <c r="G831" s="554">
        <v>568</v>
      </c>
      <c r="H831">
        <v>3.3002475599999994</v>
      </c>
    </row>
    <row r="832" spans="2:8">
      <c r="B832" s="555" t="s">
        <v>67</v>
      </c>
      <c r="C832" s="555" t="str">
        <f>VLOOKUP(D832,기본!$D$13:$E$74,2,0)</f>
        <v>경동나비엔</v>
      </c>
      <c r="D832" t="s">
        <v>1972</v>
      </c>
      <c r="E832" t="s">
        <v>229</v>
      </c>
      <c r="F832" t="s">
        <v>229</v>
      </c>
      <c r="G832" s="554">
        <v>0</v>
      </c>
      <c r="H832">
        <v>7.56</v>
      </c>
    </row>
    <row r="833" spans="2:8">
      <c r="B833" s="555" t="s">
        <v>67</v>
      </c>
      <c r="C833" s="555" t="str">
        <f>VLOOKUP(D833,기본!$D$13:$E$74,2,0)</f>
        <v>삼성 생활가전</v>
      </c>
      <c r="D833" t="s">
        <v>1974</v>
      </c>
      <c r="E833" t="s">
        <v>2174</v>
      </c>
      <c r="F833" t="s">
        <v>2174</v>
      </c>
      <c r="G833" s="554">
        <v>4608</v>
      </c>
      <c r="H833">
        <v>34.698239999999998</v>
      </c>
    </row>
    <row r="834" spans="2:8">
      <c r="B834" s="555" t="s">
        <v>67</v>
      </c>
      <c r="C834" s="555" t="str">
        <f>VLOOKUP(D834,기본!$D$13:$E$74,2,0)</f>
        <v>대덕</v>
      </c>
      <c r="D834" t="s">
        <v>1976</v>
      </c>
      <c r="E834" t="s">
        <v>2175</v>
      </c>
      <c r="F834" t="s">
        <v>2175</v>
      </c>
      <c r="G834" s="554">
        <v>35</v>
      </c>
      <c r="H834">
        <v>0.26934663000000003</v>
      </c>
    </row>
    <row r="835" spans="2:8">
      <c r="B835" s="555" t="s">
        <v>67</v>
      </c>
      <c r="C835" s="555" t="str">
        <f>VLOOKUP(D835,기본!$D$13:$E$74,2,0)</f>
        <v>대덕</v>
      </c>
      <c r="D835" t="s">
        <v>1976</v>
      </c>
      <c r="E835" t="s">
        <v>2176</v>
      </c>
      <c r="F835" t="s">
        <v>2176</v>
      </c>
      <c r="G835" s="554">
        <v>100</v>
      </c>
      <c r="H835">
        <v>0.7628583000000001</v>
      </c>
    </row>
    <row r="836" spans="2:8">
      <c r="B836" s="555" t="s">
        <v>67</v>
      </c>
      <c r="C836" s="555" t="str">
        <f>VLOOKUP(D836,기본!$D$13:$E$74,2,0)</f>
        <v>대덕</v>
      </c>
      <c r="D836" t="s">
        <v>1976</v>
      </c>
      <c r="E836" t="s">
        <v>2138</v>
      </c>
      <c r="F836" t="s">
        <v>2138</v>
      </c>
      <c r="G836" s="554">
        <v>50</v>
      </c>
      <c r="H836">
        <v>0.49538865000000004</v>
      </c>
    </row>
    <row r="837" spans="2:8">
      <c r="B837" s="555" t="s">
        <v>67</v>
      </c>
      <c r="C837" s="555" t="str">
        <f>VLOOKUP(D837,기본!$D$13:$E$74,2,0)</f>
        <v>대덕</v>
      </c>
      <c r="D837" t="s">
        <v>1976</v>
      </c>
      <c r="E837" t="s">
        <v>2139</v>
      </c>
      <c r="F837" t="s">
        <v>2139</v>
      </c>
      <c r="G837" s="554">
        <v>500</v>
      </c>
      <c r="H837">
        <v>6.0197430000000001</v>
      </c>
    </row>
    <row r="838" spans="2:8">
      <c r="B838" s="555" t="s">
        <v>67</v>
      </c>
      <c r="C838" s="555" t="str">
        <f>VLOOKUP(D838,기본!$D$13:$E$74,2,0)</f>
        <v>대덕</v>
      </c>
      <c r="D838" t="s">
        <v>1976</v>
      </c>
      <c r="E838" t="s">
        <v>2177</v>
      </c>
      <c r="F838" t="s">
        <v>2177</v>
      </c>
      <c r="G838" s="554">
        <v>35</v>
      </c>
      <c r="H838">
        <v>0.42795144000000002</v>
      </c>
    </row>
    <row r="839" spans="2:8">
      <c r="B839" s="555" t="s">
        <v>67</v>
      </c>
      <c r="C839" s="555" t="str">
        <f>VLOOKUP(D839,기본!$D$13:$E$74,2,0)</f>
        <v>대덕</v>
      </c>
      <c r="D839" t="s">
        <v>1976</v>
      </c>
      <c r="E839" t="s">
        <v>2178</v>
      </c>
      <c r="F839" t="s">
        <v>2178</v>
      </c>
      <c r="G839" s="554">
        <v>315</v>
      </c>
      <c r="H839">
        <v>3.8515629599999999</v>
      </c>
    </row>
    <row r="840" spans="2:8">
      <c r="B840" s="555" t="s">
        <v>67</v>
      </c>
      <c r="C840" s="555" t="str">
        <f>VLOOKUP(D840,기본!$D$13:$E$74,2,0)</f>
        <v>대덕</v>
      </c>
      <c r="D840" t="s">
        <v>1976</v>
      </c>
      <c r="E840" t="s">
        <v>2179</v>
      </c>
      <c r="F840" t="s">
        <v>2179</v>
      </c>
      <c r="G840" s="554">
        <v>35</v>
      </c>
      <c r="H840">
        <v>0.46220632500000003</v>
      </c>
    </row>
    <row r="841" spans="2:8">
      <c r="B841" s="555" t="s">
        <v>67</v>
      </c>
      <c r="C841" s="555" t="str">
        <f>VLOOKUP(D841,기본!$D$13:$E$74,2,0)</f>
        <v>대덕</v>
      </c>
      <c r="D841" t="s">
        <v>1976</v>
      </c>
      <c r="E841" t="s">
        <v>2180</v>
      </c>
      <c r="F841" t="s">
        <v>2180</v>
      </c>
      <c r="G841" s="554">
        <v>270</v>
      </c>
      <c r="H841">
        <v>3.56559165</v>
      </c>
    </row>
    <row r="842" spans="2:8">
      <c r="B842" s="555" t="s">
        <v>67</v>
      </c>
      <c r="C842" s="555" t="str">
        <f>VLOOKUP(D842,기본!$D$13:$E$74,2,0)</f>
        <v>대덕</v>
      </c>
      <c r="D842" t="s">
        <v>1978</v>
      </c>
      <c r="E842" t="s">
        <v>2181</v>
      </c>
      <c r="F842" t="s">
        <v>2181</v>
      </c>
      <c r="G842" s="554">
        <v>3700</v>
      </c>
      <c r="H842">
        <v>28.579790899999999</v>
      </c>
    </row>
    <row r="843" spans="2:8">
      <c r="B843" s="555" t="s">
        <v>67</v>
      </c>
      <c r="C843" s="555" t="str">
        <f>VLOOKUP(D843,기본!$D$13:$E$74,2,0)</f>
        <v>대덕</v>
      </c>
      <c r="D843" t="s">
        <v>1978</v>
      </c>
      <c r="E843" t="s">
        <v>2175</v>
      </c>
      <c r="F843" t="s">
        <v>2175</v>
      </c>
      <c r="G843" s="554">
        <v>465</v>
      </c>
      <c r="H843">
        <v>3.5149377899999998</v>
      </c>
    </row>
    <row r="844" spans="2:8">
      <c r="B844" s="555" t="s">
        <v>67</v>
      </c>
      <c r="C844" s="555" t="str">
        <f>VLOOKUP(D844,기본!$D$13:$E$74,2,0)</f>
        <v>대덕</v>
      </c>
      <c r="D844" t="s">
        <v>1978</v>
      </c>
      <c r="E844" t="s">
        <v>1979</v>
      </c>
      <c r="F844" t="s">
        <v>1979</v>
      </c>
      <c r="G844" s="554">
        <v>8467</v>
      </c>
      <c r="H844">
        <v>74.976206075999997</v>
      </c>
    </row>
    <row r="845" spans="2:8">
      <c r="B845" s="555" t="s">
        <v>67</v>
      </c>
      <c r="C845" s="555" t="str">
        <f>VLOOKUP(D845,기본!$D$13:$E$74,2,0)</f>
        <v>대덕</v>
      </c>
      <c r="D845" t="s">
        <v>1978</v>
      </c>
      <c r="E845" t="s">
        <v>2182</v>
      </c>
      <c r="F845" t="s">
        <v>2182</v>
      </c>
      <c r="G845" s="554">
        <v>300</v>
      </c>
      <c r="H845">
        <v>2.7575886000000001</v>
      </c>
    </row>
    <row r="846" spans="2:8">
      <c r="B846" s="555" t="s">
        <v>67</v>
      </c>
      <c r="C846" s="555" t="str">
        <f>VLOOKUP(D846,기본!$D$13:$E$74,2,0)</f>
        <v>대덕</v>
      </c>
      <c r="D846" t="s">
        <v>1978</v>
      </c>
      <c r="E846" t="s">
        <v>2183</v>
      </c>
      <c r="F846" t="s">
        <v>2183</v>
      </c>
      <c r="G846" s="554">
        <v>3369</v>
      </c>
      <c r="H846">
        <v>108.22215129</v>
      </c>
    </row>
    <row r="847" spans="2:8">
      <c r="B847" s="555" t="s">
        <v>67</v>
      </c>
      <c r="C847" s="555" t="str">
        <f>VLOOKUP(D847,기본!$D$13:$E$74,2,0)</f>
        <v>대덕</v>
      </c>
      <c r="D847" t="s">
        <v>1978</v>
      </c>
      <c r="E847" t="s">
        <v>2176</v>
      </c>
      <c r="F847" t="s">
        <v>2176</v>
      </c>
      <c r="G847" s="554">
        <v>400</v>
      </c>
      <c r="H847">
        <v>2.9972644000000002</v>
      </c>
    </row>
    <row r="848" spans="2:8">
      <c r="B848" s="555" t="s">
        <v>67</v>
      </c>
      <c r="C848" s="555" t="str">
        <f>VLOOKUP(D848,기본!$D$13:$E$74,2,0)</f>
        <v>대덕</v>
      </c>
      <c r="D848" t="s">
        <v>1978</v>
      </c>
      <c r="E848" t="s">
        <v>1980</v>
      </c>
      <c r="F848" t="s">
        <v>1980</v>
      </c>
      <c r="G848" s="554">
        <v>1112</v>
      </c>
      <c r="H848">
        <v>23.947289183999999</v>
      </c>
    </row>
    <row r="849" spans="2:8">
      <c r="B849" s="555" t="s">
        <v>67</v>
      </c>
      <c r="C849" s="555" t="str">
        <f>VLOOKUP(D849,기본!$D$13:$E$74,2,0)</f>
        <v>대덕</v>
      </c>
      <c r="D849" t="s">
        <v>1978</v>
      </c>
      <c r="E849" t="s">
        <v>1981</v>
      </c>
      <c r="F849" t="s">
        <v>1981</v>
      </c>
      <c r="G849" s="554">
        <v>1669</v>
      </c>
      <c r="H849">
        <v>36.417294327999997</v>
      </c>
    </row>
    <row r="850" spans="2:8">
      <c r="B850" s="555" t="s">
        <v>67</v>
      </c>
      <c r="C850" s="555" t="str">
        <f>VLOOKUP(D850,기본!$D$13:$E$74,2,0)</f>
        <v>대덕</v>
      </c>
      <c r="D850" t="s">
        <v>1978</v>
      </c>
      <c r="E850" t="s">
        <v>1982</v>
      </c>
      <c r="F850" t="s">
        <v>1982</v>
      </c>
      <c r="G850" s="554">
        <v>1669</v>
      </c>
      <c r="H850">
        <v>36.535475634000008</v>
      </c>
    </row>
    <row r="851" spans="2:8">
      <c r="B851" s="555" t="s">
        <v>67</v>
      </c>
      <c r="C851" s="555" t="str">
        <f>VLOOKUP(D851,기본!$D$13:$E$74,2,0)</f>
        <v>대덕</v>
      </c>
      <c r="D851" t="s">
        <v>1978</v>
      </c>
      <c r="E851" t="s">
        <v>2137</v>
      </c>
      <c r="F851" t="s">
        <v>2137</v>
      </c>
      <c r="G851" s="554">
        <v>1112</v>
      </c>
      <c r="H851">
        <v>24.408417791999998</v>
      </c>
    </row>
    <row r="852" spans="2:8">
      <c r="B852" s="555" t="s">
        <v>67</v>
      </c>
      <c r="C852" s="555" t="str">
        <f>VLOOKUP(D852,기본!$D$13:$E$74,2,0)</f>
        <v>대덕</v>
      </c>
      <c r="D852" t="s">
        <v>1978</v>
      </c>
      <c r="E852" t="s">
        <v>2139</v>
      </c>
      <c r="F852" t="s">
        <v>2139</v>
      </c>
      <c r="G852" s="554">
        <v>494</v>
      </c>
      <c r="H852">
        <v>5.8419264280000007</v>
      </c>
    </row>
    <row r="853" spans="2:8">
      <c r="B853" s="555" t="s">
        <v>67</v>
      </c>
      <c r="C853" s="555" t="str">
        <f>VLOOKUP(D853,기본!$D$13:$E$74,2,0)</f>
        <v>대덕</v>
      </c>
      <c r="D853" t="s">
        <v>1978</v>
      </c>
      <c r="E853" t="s">
        <v>2177</v>
      </c>
      <c r="F853" t="s">
        <v>2177</v>
      </c>
      <c r="G853" s="554">
        <v>75</v>
      </c>
      <c r="H853">
        <v>0.90075959999999988</v>
      </c>
    </row>
    <row r="854" spans="2:8">
      <c r="B854" s="555" t="s">
        <v>67</v>
      </c>
      <c r="C854" s="555" t="str">
        <f>VLOOKUP(D854,기본!$D$13:$E$74,2,0)</f>
        <v>대덕</v>
      </c>
      <c r="D854" t="s">
        <v>1978</v>
      </c>
      <c r="E854" t="s">
        <v>2178</v>
      </c>
      <c r="F854" t="s">
        <v>2178</v>
      </c>
      <c r="G854" s="554">
        <v>75</v>
      </c>
      <c r="H854">
        <v>0.90500039999999982</v>
      </c>
    </row>
    <row r="855" spans="2:8">
      <c r="B855" s="555" t="s">
        <v>67</v>
      </c>
      <c r="C855" s="555" t="str">
        <f>VLOOKUP(D855,기본!$D$13:$E$74,2,0)</f>
        <v>대덕</v>
      </c>
      <c r="D855" t="s">
        <v>1978</v>
      </c>
      <c r="E855" t="s">
        <v>1983</v>
      </c>
      <c r="F855" t="s">
        <v>1983</v>
      </c>
      <c r="G855" s="554">
        <v>15000</v>
      </c>
      <c r="H855">
        <v>199.97691</v>
      </c>
    </row>
    <row r="856" spans="2:8">
      <c r="B856" s="555" t="s">
        <v>67</v>
      </c>
      <c r="C856" s="555" t="str">
        <f>VLOOKUP(D856,기본!$D$13:$E$74,2,0)</f>
        <v>대덕</v>
      </c>
      <c r="D856" t="s">
        <v>1978</v>
      </c>
      <c r="E856" t="s">
        <v>2184</v>
      </c>
      <c r="F856" t="s">
        <v>2184</v>
      </c>
      <c r="G856" s="554">
        <v>75</v>
      </c>
      <c r="H856">
        <v>0.97285987500000015</v>
      </c>
    </row>
    <row r="857" spans="2:8">
      <c r="B857" s="555" t="s">
        <v>67</v>
      </c>
      <c r="C857" s="555" t="str">
        <f>VLOOKUP(D857,기본!$D$13:$E$74,2,0)</f>
        <v>대덕</v>
      </c>
      <c r="D857" t="s">
        <v>1978</v>
      </c>
      <c r="E857" t="s">
        <v>2185</v>
      </c>
      <c r="F857" t="s">
        <v>2185</v>
      </c>
      <c r="G857" s="554">
        <v>120</v>
      </c>
      <c r="H857">
        <v>1.5639041999999999</v>
      </c>
    </row>
    <row r="858" spans="2:8">
      <c r="B858" s="555" t="s">
        <v>67</v>
      </c>
      <c r="C858" s="555" t="str">
        <f>VLOOKUP(D858,기본!$D$13:$E$74,2,0)</f>
        <v>대덕</v>
      </c>
      <c r="D858" t="s">
        <v>1978</v>
      </c>
      <c r="E858" t="s">
        <v>1985</v>
      </c>
      <c r="F858" t="s">
        <v>1985</v>
      </c>
      <c r="G858" s="554">
        <v>15000</v>
      </c>
      <c r="H858">
        <v>199.56285</v>
      </c>
    </row>
    <row r="859" spans="2:8">
      <c r="B859" s="555" t="s">
        <v>67</v>
      </c>
      <c r="C859" s="555" t="str">
        <f>VLOOKUP(D859,기본!$D$13:$E$74,2,0)</f>
        <v>대덕</v>
      </c>
      <c r="D859" t="s">
        <v>1978</v>
      </c>
      <c r="E859" t="s">
        <v>1568</v>
      </c>
      <c r="F859" t="s">
        <v>1568</v>
      </c>
      <c r="G859" s="554">
        <v>467</v>
      </c>
      <c r="H859">
        <v>14.380835360000001</v>
      </c>
    </row>
    <row r="860" spans="2:8">
      <c r="B860" s="555" t="s">
        <v>67</v>
      </c>
      <c r="C860" s="555" t="str">
        <f>VLOOKUP(D860,기본!$D$13:$E$74,2,0)</f>
        <v>대덕</v>
      </c>
      <c r="D860" t="s">
        <v>1978</v>
      </c>
      <c r="E860" t="s">
        <v>1571</v>
      </c>
      <c r="F860" t="s">
        <v>1571</v>
      </c>
      <c r="G860" s="554">
        <v>1838</v>
      </c>
      <c r="H860">
        <v>22.195638374000001</v>
      </c>
    </row>
    <row r="861" spans="2:8">
      <c r="B861" s="555" t="s">
        <v>67</v>
      </c>
      <c r="C861" s="555" t="str">
        <f>VLOOKUP(D861,기본!$D$13:$E$74,2,0)</f>
        <v>삼성 생활가전</v>
      </c>
      <c r="D861" t="s">
        <v>2186</v>
      </c>
      <c r="E861" t="s">
        <v>2187</v>
      </c>
      <c r="F861" t="s">
        <v>2187</v>
      </c>
      <c r="G861" s="554">
        <v>480</v>
      </c>
      <c r="H861">
        <v>8.0640000000000001</v>
      </c>
    </row>
    <row r="862" spans="2:8">
      <c r="B862" s="555" t="s">
        <v>67</v>
      </c>
      <c r="C862" s="555" t="str">
        <f>VLOOKUP(D862,기본!$D$13:$E$74,2,0)</f>
        <v>삼성 생활가전</v>
      </c>
      <c r="D862" t="s">
        <v>1986</v>
      </c>
      <c r="E862" t="s">
        <v>1987</v>
      </c>
      <c r="F862" t="s">
        <v>1987</v>
      </c>
      <c r="G862" s="554">
        <v>3840</v>
      </c>
      <c r="H862">
        <v>53.644799999999996</v>
      </c>
    </row>
    <row r="863" spans="2:8">
      <c r="B863" s="555" t="s">
        <v>67</v>
      </c>
      <c r="C863" s="555" t="str">
        <f>VLOOKUP(D863,기본!$D$13:$E$74,2,0)</f>
        <v>머큐리</v>
      </c>
      <c r="D863" t="s">
        <v>1988</v>
      </c>
      <c r="E863" t="s">
        <v>1989</v>
      </c>
      <c r="F863" t="s">
        <v>1989</v>
      </c>
      <c r="G863" s="554">
        <v>32400</v>
      </c>
      <c r="H863">
        <v>90.201600000000013</v>
      </c>
    </row>
    <row r="864" spans="2:8">
      <c r="B864" s="555" t="s">
        <v>67</v>
      </c>
      <c r="C864" s="555" t="str">
        <f>VLOOKUP(D864,기본!$D$13:$E$74,2,0)</f>
        <v>머큐리</v>
      </c>
      <c r="D864" t="s">
        <v>1988</v>
      </c>
      <c r="E864" t="s">
        <v>1433</v>
      </c>
      <c r="F864" t="s">
        <v>1433</v>
      </c>
      <c r="G864" s="554">
        <v>19800</v>
      </c>
      <c r="H864">
        <v>60.31664</v>
      </c>
    </row>
    <row r="865" spans="2:8">
      <c r="B865" s="555" t="s">
        <v>67</v>
      </c>
      <c r="C865" s="555" t="str">
        <f>VLOOKUP(D865,기본!$D$13:$E$74,2,0)</f>
        <v>머큐리</v>
      </c>
      <c r="D865" t="s">
        <v>1988</v>
      </c>
      <c r="E865" t="s">
        <v>2142</v>
      </c>
      <c r="F865" t="s">
        <v>2142</v>
      </c>
      <c r="G865" s="554">
        <v>12288</v>
      </c>
      <c r="H865">
        <v>32.808959999999999</v>
      </c>
    </row>
    <row r="866" spans="2:8">
      <c r="B866" s="555" t="s">
        <v>67</v>
      </c>
      <c r="C866" s="555" t="str">
        <f>VLOOKUP(D866,기본!$D$13:$E$74,2,0)</f>
        <v>삼성 생활가전</v>
      </c>
      <c r="D866" t="s">
        <v>2188</v>
      </c>
      <c r="E866" t="s">
        <v>2189</v>
      </c>
      <c r="F866" t="s">
        <v>2189</v>
      </c>
      <c r="G866" s="554">
        <v>2784</v>
      </c>
      <c r="H866">
        <v>20.852160000000001</v>
      </c>
    </row>
    <row r="867" spans="2:8">
      <c r="B867" s="555" t="s">
        <v>67</v>
      </c>
      <c r="C867" s="555" t="str">
        <f>VLOOKUP(D867,기본!$D$13:$E$74,2,0)</f>
        <v>삼성 생활가전</v>
      </c>
      <c r="D867" t="s">
        <v>2143</v>
      </c>
      <c r="E867" t="s">
        <v>2144</v>
      </c>
      <c r="F867" t="s">
        <v>2144</v>
      </c>
      <c r="G867" s="554">
        <v>320</v>
      </c>
      <c r="H867">
        <v>2.2688000000000001</v>
      </c>
    </row>
    <row r="868" spans="2:8">
      <c r="B868" s="555" t="s">
        <v>67</v>
      </c>
      <c r="C868" s="555" t="str">
        <f>VLOOKUP(D868,기본!$D$13:$E$74,2,0)</f>
        <v>삼성 VD</v>
      </c>
      <c r="D868" t="s">
        <v>1990</v>
      </c>
      <c r="E868" t="s">
        <v>2121</v>
      </c>
      <c r="F868" t="s">
        <v>874</v>
      </c>
      <c r="G868" s="554">
        <v>5</v>
      </c>
      <c r="H868">
        <v>9.4849799999999998E-2</v>
      </c>
    </row>
    <row r="869" spans="2:8">
      <c r="B869" s="555" t="s">
        <v>67</v>
      </c>
      <c r="C869" s="555" t="str">
        <f>VLOOKUP(D869,기본!$D$13:$E$74,2,0)</f>
        <v>삼성 VD</v>
      </c>
      <c r="D869" t="s">
        <v>1990</v>
      </c>
      <c r="E869" t="s">
        <v>1786</v>
      </c>
      <c r="F869" t="s">
        <v>1671</v>
      </c>
      <c r="G869" s="554">
        <v>108</v>
      </c>
      <c r="H869">
        <v>1.1557375199999997</v>
      </c>
    </row>
    <row r="870" spans="2:8">
      <c r="B870" s="555" t="s">
        <v>67</v>
      </c>
      <c r="C870" s="555" t="str">
        <f>VLOOKUP(D870,기본!$D$13:$E$74,2,0)</f>
        <v>삼성 VD</v>
      </c>
      <c r="D870" t="s">
        <v>1990</v>
      </c>
      <c r="E870" t="s">
        <v>1788</v>
      </c>
      <c r="F870" t="s">
        <v>1913</v>
      </c>
      <c r="G870" s="554">
        <v>144</v>
      </c>
      <c r="H870">
        <v>1.7231635439999997</v>
      </c>
    </row>
    <row r="871" spans="2:8">
      <c r="B871" s="555" t="s">
        <v>67</v>
      </c>
      <c r="C871" s="555" t="str">
        <f>VLOOKUP(D871,기본!$D$13:$E$74,2,0)</f>
        <v>삼성 VD</v>
      </c>
      <c r="D871" t="s">
        <v>1990</v>
      </c>
      <c r="E871" t="s">
        <v>1790</v>
      </c>
      <c r="F871" t="s">
        <v>1914</v>
      </c>
      <c r="G871" s="554">
        <v>66</v>
      </c>
      <c r="H871">
        <v>0.87263662199999992</v>
      </c>
    </row>
    <row r="872" spans="2:8">
      <c r="B872" s="555" t="s">
        <v>67</v>
      </c>
      <c r="C872" s="555" t="str">
        <f>VLOOKUP(D872,기본!$D$13:$E$74,2,0)</f>
        <v>삼성 VD</v>
      </c>
      <c r="D872" t="s">
        <v>1990</v>
      </c>
      <c r="E872" t="s">
        <v>1792</v>
      </c>
      <c r="F872" t="s">
        <v>1915</v>
      </c>
      <c r="G872" s="554">
        <v>18</v>
      </c>
      <c r="H872">
        <v>0.31346373599999999</v>
      </c>
    </row>
    <row r="873" spans="2:8">
      <c r="B873" s="555" t="s">
        <v>67</v>
      </c>
      <c r="C873" s="555" t="str">
        <f>VLOOKUP(D873,기본!$D$13:$E$74,2,0)</f>
        <v>삼성 VD</v>
      </c>
      <c r="D873" t="s">
        <v>1990</v>
      </c>
      <c r="E873" t="s">
        <v>1921</v>
      </c>
      <c r="F873" t="s">
        <v>1922</v>
      </c>
      <c r="G873" s="554">
        <v>18</v>
      </c>
      <c r="H873">
        <v>0.41714416799999993</v>
      </c>
    </row>
    <row r="874" spans="2:8">
      <c r="B874" s="555" t="s">
        <v>67</v>
      </c>
      <c r="C874" s="555" t="str">
        <f>VLOOKUP(D874,기본!$D$13:$E$74,2,0)</f>
        <v>삼성 VD</v>
      </c>
      <c r="D874" t="s">
        <v>1990</v>
      </c>
      <c r="E874" t="s">
        <v>1660</v>
      </c>
      <c r="F874" t="s">
        <v>1660</v>
      </c>
      <c r="G874" s="554">
        <v>80</v>
      </c>
      <c r="H874">
        <v>1.1398977600000002</v>
      </c>
    </row>
    <row r="875" spans="2:8">
      <c r="B875" s="555" t="s">
        <v>67</v>
      </c>
      <c r="C875" s="555" t="str">
        <f>VLOOKUP(D875,기본!$D$13:$E$74,2,0)</f>
        <v>삼성 VD</v>
      </c>
      <c r="D875" t="s">
        <v>1990</v>
      </c>
      <c r="E875" t="s">
        <v>1382</v>
      </c>
      <c r="F875" t="s">
        <v>1382</v>
      </c>
      <c r="G875" s="554">
        <v>90</v>
      </c>
      <c r="H875">
        <v>2.3253219000000001</v>
      </c>
    </row>
    <row r="876" spans="2:8">
      <c r="B876" s="555" t="s">
        <v>67</v>
      </c>
      <c r="C876" s="555" t="str">
        <f>VLOOKUP(D876,기본!$D$13:$E$74,2,0)</f>
        <v>삼성 VD</v>
      </c>
      <c r="D876" t="s">
        <v>1990</v>
      </c>
      <c r="E876" t="s">
        <v>229</v>
      </c>
      <c r="F876" t="s">
        <v>229</v>
      </c>
      <c r="G876" s="554">
        <v>0</v>
      </c>
      <c r="H876">
        <v>0.15</v>
      </c>
    </row>
    <row r="877" spans="2:8">
      <c r="B877" s="555" t="s">
        <v>67</v>
      </c>
      <c r="C877" s="555" t="str">
        <f>VLOOKUP(D877,기본!$D$13:$E$74,2,0)</f>
        <v>삼성 생활가전</v>
      </c>
      <c r="D877" t="s">
        <v>1991</v>
      </c>
      <c r="E877" t="s">
        <v>914</v>
      </c>
      <c r="F877" t="s">
        <v>914</v>
      </c>
      <c r="G877" s="554">
        <v>1080</v>
      </c>
      <c r="H877">
        <v>6.320635199999999</v>
      </c>
    </row>
    <row r="878" spans="2:8">
      <c r="B878" s="555" t="s">
        <v>67</v>
      </c>
      <c r="C878" s="555" t="str">
        <f>VLOOKUP(D878,기본!$D$13:$E$74,2,0)</f>
        <v>삼성 생활가전</v>
      </c>
      <c r="D878" t="s">
        <v>1991</v>
      </c>
      <c r="E878" t="s">
        <v>1992</v>
      </c>
      <c r="F878" t="s">
        <v>1992</v>
      </c>
      <c r="G878" s="554">
        <v>6480</v>
      </c>
      <c r="H878">
        <v>40.1348196</v>
      </c>
    </row>
    <row r="879" spans="2:8">
      <c r="B879" s="555" t="s">
        <v>67</v>
      </c>
      <c r="C879" s="555" t="str">
        <f>VLOOKUP(D879,기본!$D$13:$E$74,2,0)</f>
        <v>삼성 생활가전</v>
      </c>
      <c r="D879" t="s">
        <v>1991</v>
      </c>
      <c r="E879" t="s">
        <v>1993</v>
      </c>
      <c r="F879" t="s">
        <v>1993</v>
      </c>
      <c r="G879" s="554">
        <v>4608</v>
      </c>
      <c r="H879">
        <v>33.994771200000002</v>
      </c>
    </row>
    <row r="880" spans="2:8">
      <c r="B880" s="555" t="s">
        <v>67</v>
      </c>
      <c r="C880" s="555" t="str">
        <f>VLOOKUP(D880,기본!$D$13:$E$74,2,0)</f>
        <v>삼성 생활가전</v>
      </c>
      <c r="D880" t="s">
        <v>1991</v>
      </c>
      <c r="E880" t="s">
        <v>1994</v>
      </c>
      <c r="F880" t="s">
        <v>1994</v>
      </c>
      <c r="G880" s="554">
        <v>4320</v>
      </c>
      <c r="H880">
        <v>32.4235872</v>
      </c>
    </row>
    <row r="881" spans="2:8">
      <c r="B881" s="555" t="s">
        <v>67</v>
      </c>
      <c r="C881" s="555" t="str">
        <f>VLOOKUP(D881,기본!$D$13:$E$74,2,0)</f>
        <v>삼성 생활가전</v>
      </c>
      <c r="D881" t="s">
        <v>1991</v>
      </c>
      <c r="E881" t="s">
        <v>1995</v>
      </c>
      <c r="F881" t="s">
        <v>1995</v>
      </c>
      <c r="G881" s="554">
        <v>1728</v>
      </c>
      <c r="H881">
        <v>13.06352448</v>
      </c>
    </row>
    <row r="882" spans="2:8">
      <c r="B882" s="555" t="s">
        <v>67</v>
      </c>
      <c r="C882" s="555" t="str">
        <f>VLOOKUP(D882,기본!$D$13:$E$74,2,0)</f>
        <v>삼성 생활가전</v>
      </c>
      <c r="D882" t="s">
        <v>1991</v>
      </c>
      <c r="E882" t="s">
        <v>1975</v>
      </c>
      <c r="F882" t="s">
        <v>1975</v>
      </c>
      <c r="G882" s="554">
        <v>180</v>
      </c>
      <c r="H882">
        <v>1.4885999999999999</v>
      </c>
    </row>
    <row r="883" spans="2:8">
      <c r="B883" s="555" t="s">
        <v>67</v>
      </c>
      <c r="C883" s="555" t="str">
        <f>VLOOKUP(D883,기본!$D$13:$E$74,2,0)</f>
        <v>삼성 생활가전</v>
      </c>
      <c r="D883" t="s">
        <v>1991</v>
      </c>
      <c r="E883" t="s">
        <v>713</v>
      </c>
      <c r="F883" t="s">
        <v>713</v>
      </c>
      <c r="G883" s="554">
        <v>756</v>
      </c>
      <c r="H883">
        <v>6.0404400000000003</v>
      </c>
    </row>
    <row r="884" spans="2:8">
      <c r="B884" s="555" t="s">
        <v>67</v>
      </c>
      <c r="C884" s="555" t="str">
        <f>VLOOKUP(D884,기본!$D$13:$E$74,2,0)</f>
        <v>삼성 생활가전</v>
      </c>
      <c r="D884" t="s">
        <v>1991</v>
      </c>
      <c r="E884" t="s">
        <v>1987</v>
      </c>
      <c r="F884" t="s">
        <v>1987</v>
      </c>
      <c r="G884" s="554">
        <v>110</v>
      </c>
      <c r="H884">
        <v>1.5367</v>
      </c>
    </row>
    <row r="885" spans="2:8">
      <c r="B885" s="555" t="s">
        <v>67</v>
      </c>
      <c r="C885" s="555" t="str">
        <f>VLOOKUP(D885,기본!$D$13:$E$74,2,0)</f>
        <v>삼성 생활가전</v>
      </c>
      <c r="D885" t="s">
        <v>1991</v>
      </c>
      <c r="E885" t="s">
        <v>2190</v>
      </c>
      <c r="F885" t="s">
        <v>2190</v>
      </c>
      <c r="G885" s="554">
        <v>2060</v>
      </c>
      <c r="H885">
        <v>26.690636400000002</v>
      </c>
    </row>
    <row r="886" spans="2:8">
      <c r="B886" s="555" t="s">
        <v>67</v>
      </c>
      <c r="C886" s="555" t="str">
        <f>VLOOKUP(D886,기본!$D$13:$E$74,2,0)</f>
        <v>삼성 생활가전</v>
      </c>
      <c r="D886" t="s">
        <v>1991</v>
      </c>
      <c r="E886" t="s">
        <v>2001</v>
      </c>
      <c r="F886" t="s">
        <v>2001</v>
      </c>
      <c r="G886" s="554">
        <v>18720</v>
      </c>
      <c r="H886">
        <v>107.05968</v>
      </c>
    </row>
    <row r="887" spans="2:8">
      <c r="B887" s="555" t="s">
        <v>67</v>
      </c>
      <c r="C887" s="555" t="str">
        <f>VLOOKUP(D887,기본!$D$13:$E$74,2,0)</f>
        <v>삼성 생활가전</v>
      </c>
      <c r="D887" t="s">
        <v>1991</v>
      </c>
      <c r="E887" t="s">
        <v>1508</v>
      </c>
      <c r="F887" t="s">
        <v>1508</v>
      </c>
      <c r="G887" s="554">
        <v>56</v>
      </c>
      <c r="H887">
        <v>0.53200000000000003</v>
      </c>
    </row>
    <row r="888" spans="2:8">
      <c r="B888" s="555" t="s">
        <v>67</v>
      </c>
      <c r="C888" s="555" t="str">
        <f>VLOOKUP(D888,기본!$D$13:$E$74,2,0)</f>
        <v>삼성 생활가전</v>
      </c>
      <c r="D888" t="s">
        <v>1991</v>
      </c>
      <c r="E888" t="s">
        <v>1395</v>
      </c>
      <c r="F888" t="s">
        <v>1395</v>
      </c>
      <c r="G888" s="554">
        <v>10249</v>
      </c>
      <c r="H888">
        <v>55.939042000000001</v>
      </c>
    </row>
    <row r="889" spans="2:8">
      <c r="B889" s="555" t="s">
        <v>67</v>
      </c>
      <c r="C889" s="555" t="str">
        <f>VLOOKUP(D889,기본!$D$13:$E$74,2,0)</f>
        <v>삼성 생활가전</v>
      </c>
      <c r="D889" t="s">
        <v>1991</v>
      </c>
      <c r="E889" t="s">
        <v>2004</v>
      </c>
      <c r="F889" t="s">
        <v>2004</v>
      </c>
      <c r="G889" s="554">
        <v>5155</v>
      </c>
      <c r="H889">
        <v>52.606774999999999</v>
      </c>
    </row>
    <row r="890" spans="2:8">
      <c r="B890" s="555" t="s">
        <v>67</v>
      </c>
      <c r="C890" s="555" t="str">
        <f>VLOOKUP(D890,기본!$D$13:$E$74,2,0)</f>
        <v>삼성 생활가전</v>
      </c>
      <c r="D890" t="s">
        <v>1991</v>
      </c>
      <c r="E890" t="s">
        <v>1465</v>
      </c>
      <c r="F890" t="s">
        <v>1465</v>
      </c>
      <c r="G890" s="554">
        <v>1950</v>
      </c>
      <c r="H890">
        <v>25.22325</v>
      </c>
    </row>
    <row r="891" spans="2:8">
      <c r="B891" s="555" t="s">
        <v>67</v>
      </c>
      <c r="C891" s="555" t="str">
        <f>VLOOKUP(D891,기본!$D$13:$E$74,2,0)</f>
        <v>삼성 생활가전</v>
      </c>
      <c r="D891" t="s">
        <v>1991</v>
      </c>
      <c r="E891" t="s">
        <v>2005</v>
      </c>
      <c r="F891" t="s">
        <v>2005</v>
      </c>
      <c r="G891" s="554">
        <v>0</v>
      </c>
      <c r="H891">
        <v>3.1231249999999999</v>
      </c>
    </row>
    <row r="892" spans="2:8">
      <c r="B892" s="555" t="s">
        <v>67</v>
      </c>
      <c r="C892" s="555" t="str">
        <f>VLOOKUP(D892,기본!$D$13:$E$74,2,0)</f>
        <v>삼성 생활가전</v>
      </c>
      <c r="D892" t="s">
        <v>1991</v>
      </c>
      <c r="E892" t="s">
        <v>229</v>
      </c>
      <c r="F892" t="s">
        <v>229</v>
      </c>
      <c r="G892" s="554">
        <v>0</v>
      </c>
      <c r="H892">
        <v>1.9995400000000001</v>
      </c>
    </row>
    <row r="893" spans="2:8">
      <c r="B893" s="555" t="s">
        <v>67</v>
      </c>
      <c r="C893" s="555" t="str">
        <f>VLOOKUP(D893,기본!$D$13:$E$74,2,0)</f>
        <v>삼성 생활가전</v>
      </c>
      <c r="D893" t="s">
        <v>2006</v>
      </c>
      <c r="E893" t="s">
        <v>1465</v>
      </c>
      <c r="F893" t="s">
        <v>1465</v>
      </c>
      <c r="G893" s="554">
        <v>308</v>
      </c>
      <c r="H893">
        <v>3.9839799999999999</v>
      </c>
    </row>
    <row r="894" spans="2:8">
      <c r="B894" s="555" t="s">
        <v>67</v>
      </c>
      <c r="C894" s="555" t="str">
        <f>VLOOKUP(D894,기본!$D$13:$E$74,2,0)</f>
        <v>코웨이</v>
      </c>
      <c r="D894" t="s">
        <v>2191</v>
      </c>
      <c r="E894" t="s">
        <v>2192</v>
      </c>
      <c r="F894" t="s">
        <v>2192</v>
      </c>
      <c r="G894" s="554">
        <v>100</v>
      </c>
      <c r="H894">
        <v>1.236</v>
      </c>
    </row>
    <row r="895" spans="2:8">
      <c r="B895" s="555" t="s">
        <v>67</v>
      </c>
      <c r="C895" s="555" t="str">
        <f>VLOOKUP(D895,기본!$D$13:$E$74,2,0)</f>
        <v>코웨이</v>
      </c>
      <c r="D895" t="s">
        <v>2007</v>
      </c>
      <c r="E895" t="s">
        <v>1072</v>
      </c>
      <c r="F895" t="s">
        <v>1072</v>
      </c>
      <c r="G895" s="554">
        <v>17760</v>
      </c>
      <c r="H895">
        <v>86.135999999999996</v>
      </c>
    </row>
    <row r="896" spans="2:8">
      <c r="B896" s="555" t="s">
        <v>67</v>
      </c>
      <c r="C896" s="555" t="str">
        <f>VLOOKUP(D896,기본!$D$13:$E$74,2,0)</f>
        <v>코웨이</v>
      </c>
      <c r="D896" t="s">
        <v>2007</v>
      </c>
      <c r="E896" t="s">
        <v>1075</v>
      </c>
      <c r="F896" t="s">
        <v>1075</v>
      </c>
      <c r="G896" s="554">
        <v>20736</v>
      </c>
      <c r="H896">
        <v>28.92672</v>
      </c>
    </row>
    <row r="897" spans="2:8">
      <c r="B897" s="555" t="s">
        <v>67</v>
      </c>
      <c r="C897" s="555" t="str">
        <f>VLOOKUP(D897,기본!$D$13:$E$74,2,0)</f>
        <v>코웨이</v>
      </c>
      <c r="D897" t="s">
        <v>2008</v>
      </c>
      <c r="E897" t="s">
        <v>2009</v>
      </c>
      <c r="F897" t="s">
        <v>2009</v>
      </c>
      <c r="G897" s="554">
        <v>13584</v>
      </c>
      <c r="H897">
        <v>37.125072000000003</v>
      </c>
    </row>
    <row r="898" spans="2:8">
      <c r="B898" s="555" t="s">
        <v>67</v>
      </c>
      <c r="C898" s="555" t="str">
        <f>VLOOKUP(D898,기본!$D$13:$E$74,2,0)</f>
        <v>코웨이</v>
      </c>
      <c r="D898" t="s">
        <v>2193</v>
      </c>
      <c r="E898" t="s">
        <v>1090</v>
      </c>
      <c r="F898" t="s">
        <v>1090</v>
      </c>
      <c r="G898" s="554">
        <v>1300</v>
      </c>
      <c r="H898">
        <v>3.5529000000000002</v>
      </c>
    </row>
    <row r="899" spans="2:8">
      <c r="B899" s="555" t="s">
        <v>67</v>
      </c>
      <c r="C899" s="555" t="str">
        <f>VLOOKUP(D899,기본!$D$13:$E$74,2,0)</f>
        <v>코웨이</v>
      </c>
      <c r="D899" t="s">
        <v>2194</v>
      </c>
      <c r="E899" t="s">
        <v>2195</v>
      </c>
      <c r="F899" t="s">
        <v>2195</v>
      </c>
      <c r="G899" s="554">
        <v>560</v>
      </c>
      <c r="H899">
        <v>42.60520992</v>
      </c>
    </row>
    <row r="900" spans="2:8">
      <c r="B900" s="555" t="s">
        <v>67</v>
      </c>
      <c r="C900" s="555" t="str">
        <f>VLOOKUP(D900,기본!$D$13:$E$74,2,0)</f>
        <v>코웨이</v>
      </c>
      <c r="D900" t="s">
        <v>2194</v>
      </c>
      <c r="E900" t="s">
        <v>2196</v>
      </c>
      <c r="F900" t="s">
        <v>2196</v>
      </c>
      <c r="G900" s="554">
        <v>560</v>
      </c>
      <c r="H900">
        <v>42.959687680000002</v>
      </c>
    </row>
    <row r="901" spans="2:8">
      <c r="B901" s="555" t="s">
        <v>67</v>
      </c>
      <c r="C901" s="555" t="str">
        <f>VLOOKUP(D901,기본!$D$13:$E$74,2,0)</f>
        <v>코웨이</v>
      </c>
      <c r="D901" t="s">
        <v>2010</v>
      </c>
      <c r="E901" t="s">
        <v>2011</v>
      </c>
      <c r="F901" t="s">
        <v>2011</v>
      </c>
      <c r="G901" s="554">
        <v>6</v>
      </c>
      <c r="H901">
        <v>2.9735999999999999E-2</v>
      </c>
    </row>
    <row r="902" spans="2:8">
      <c r="B902" s="555" t="s">
        <v>67</v>
      </c>
      <c r="C902" s="555" t="str">
        <f>VLOOKUP(D902,기본!$D$13:$E$74,2,0)</f>
        <v>코웨이</v>
      </c>
      <c r="D902" t="s">
        <v>2010</v>
      </c>
      <c r="E902" t="s">
        <v>2013</v>
      </c>
      <c r="F902" t="s">
        <v>2013</v>
      </c>
      <c r="G902" s="554">
        <v>58</v>
      </c>
      <c r="H902">
        <v>0.508544</v>
      </c>
    </row>
    <row r="903" spans="2:8">
      <c r="B903" s="555" t="s">
        <v>67</v>
      </c>
      <c r="C903" s="555" t="str">
        <f>VLOOKUP(D903,기본!$D$13:$E$74,2,0)</f>
        <v>코웨이</v>
      </c>
      <c r="D903" t="s">
        <v>2010</v>
      </c>
      <c r="E903" t="s">
        <v>2014</v>
      </c>
      <c r="F903" t="s">
        <v>2014</v>
      </c>
      <c r="G903" s="554">
        <v>12492</v>
      </c>
      <c r="H903">
        <v>109.080144</v>
      </c>
    </row>
    <row r="904" spans="2:8">
      <c r="B904" s="555" t="s">
        <v>67</v>
      </c>
      <c r="C904" s="555" t="str">
        <f>VLOOKUP(D904,기본!$D$13:$E$74,2,0)</f>
        <v>코웨이</v>
      </c>
      <c r="D904" t="s">
        <v>2010</v>
      </c>
      <c r="E904" t="s">
        <v>1093</v>
      </c>
      <c r="F904" t="s">
        <v>1093</v>
      </c>
      <c r="G904" s="554">
        <v>635</v>
      </c>
      <c r="H904">
        <v>3.4015059999999999</v>
      </c>
    </row>
    <row r="905" spans="2:8">
      <c r="B905" s="555" t="s">
        <v>67</v>
      </c>
      <c r="C905" s="555" t="str">
        <f>VLOOKUP(D905,기본!$D$13:$E$74,2,0)</f>
        <v>코웨이</v>
      </c>
      <c r="D905" t="s">
        <v>2010</v>
      </c>
      <c r="E905" t="s">
        <v>1094</v>
      </c>
      <c r="F905" t="s">
        <v>1094</v>
      </c>
      <c r="G905" s="554">
        <v>1285</v>
      </c>
      <c r="H905">
        <v>4.027844</v>
      </c>
    </row>
    <row r="906" spans="2:8">
      <c r="B906" s="555" t="s">
        <v>67</v>
      </c>
      <c r="C906" s="555" t="str">
        <f>VLOOKUP(D906,기본!$D$13:$E$74,2,0)</f>
        <v>코웨이</v>
      </c>
      <c r="D906" t="s">
        <v>2010</v>
      </c>
      <c r="E906" t="s">
        <v>1095</v>
      </c>
      <c r="F906" t="s">
        <v>1095</v>
      </c>
      <c r="G906" s="554">
        <v>648</v>
      </c>
      <c r="H906">
        <v>3.9113280000000001</v>
      </c>
    </row>
    <row r="907" spans="2:8">
      <c r="B907" s="555" t="s">
        <v>67</v>
      </c>
      <c r="C907" s="555" t="str">
        <f>VLOOKUP(D907,기본!$D$13:$E$74,2,0)</f>
        <v>코웨이</v>
      </c>
      <c r="D907" t="s">
        <v>2010</v>
      </c>
      <c r="E907" t="s">
        <v>2015</v>
      </c>
      <c r="F907" t="s">
        <v>2015</v>
      </c>
      <c r="G907" s="554">
        <v>6</v>
      </c>
      <c r="H907">
        <v>7.7315999999999996E-2</v>
      </c>
    </row>
    <row r="908" spans="2:8">
      <c r="B908" s="555" t="s">
        <v>67</v>
      </c>
      <c r="C908" s="555" t="str">
        <f>VLOOKUP(D908,기본!$D$13:$E$74,2,0)</f>
        <v>코웨이</v>
      </c>
      <c r="D908" t="s">
        <v>2010</v>
      </c>
      <c r="E908" t="s">
        <v>2197</v>
      </c>
      <c r="F908" t="s">
        <v>2197</v>
      </c>
      <c r="G908" s="554">
        <v>73</v>
      </c>
      <c r="H908">
        <v>0.48194599999999999</v>
      </c>
    </row>
    <row r="909" spans="2:8">
      <c r="B909" s="555" t="s">
        <v>67</v>
      </c>
      <c r="C909" s="555" t="str">
        <f>VLOOKUP(D909,기본!$D$13:$E$74,2,0)</f>
        <v>코웨이</v>
      </c>
      <c r="D909" t="s">
        <v>2010</v>
      </c>
      <c r="E909" t="s">
        <v>2016</v>
      </c>
      <c r="F909" t="s">
        <v>2016</v>
      </c>
      <c r="G909" s="554">
        <v>99</v>
      </c>
      <c r="H909">
        <v>0.70616699999999999</v>
      </c>
    </row>
    <row r="910" spans="2:8">
      <c r="B910" s="555" t="s">
        <v>67</v>
      </c>
      <c r="C910" s="555" t="str">
        <f>VLOOKUP(D910,기본!$D$13:$E$74,2,0)</f>
        <v>코웨이</v>
      </c>
      <c r="D910" t="s">
        <v>2010</v>
      </c>
      <c r="E910" t="s">
        <v>2018</v>
      </c>
      <c r="F910" t="s">
        <v>2018</v>
      </c>
      <c r="G910" s="554">
        <v>160</v>
      </c>
      <c r="H910">
        <v>2.0539200000000002</v>
      </c>
    </row>
    <row r="911" spans="2:8">
      <c r="B911" s="555" t="s">
        <v>67</v>
      </c>
      <c r="C911" s="555" t="str">
        <f>VLOOKUP(D911,기본!$D$13:$E$74,2,0)</f>
        <v>코웨이</v>
      </c>
      <c r="D911" t="s">
        <v>2010</v>
      </c>
      <c r="E911" t="s">
        <v>2019</v>
      </c>
      <c r="F911" t="s">
        <v>2019</v>
      </c>
      <c r="G911" s="554">
        <v>271</v>
      </c>
      <c r="H911">
        <v>4.4809850000000004</v>
      </c>
    </row>
    <row r="912" spans="2:8">
      <c r="B912" s="555" t="s">
        <v>67</v>
      </c>
      <c r="C912" s="555" t="str">
        <f>VLOOKUP(D912,기본!$D$13:$E$74,2,0)</f>
        <v>코웨이</v>
      </c>
      <c r="D912" t="s">
        <v>2010</v>
      </c>
      <c r="E912" t="s">
        <v>2020</v>
      </c>
      <c r="F912" t="s">
        <v>2020</v>
      </c>
      <c r="G912" s="554">
        <v>63</v>
      </c>
      <c r="H912">
        <v>0.97120799999999996</v>
      </c>
    </row>
    <row r="913" spans="2:8">
      <c r="B913" s="555" t="s">
        <v>67</v>
      </c>
      <c r="C913" s="555" t="str">
        <f>VLOOKUP(D913,기본!$D$13:$E$74,2,0)</f>
        <v>코웨이</v>
      </c>
      <c r="D913" t="s">
        <v>2010</v>
      </c>
      <c r="E913" t="s">
        <v>2021</v>
      </c>
      <c r="F913" t="s">
        <v>2021</v>
      </c>
      <c r="G913" s="554">
        <v>31225</v>
      </c>
      <c r="H913">
        <v>403.11047600000006</v>
      </c>
    </row>
    <row r="914" spans="2:8">
      <c r="B914" s="555" t="s">
        <v>67</v>
      </c>
      <c r="C914" s="555" t="str">
        <f>VLOOKUP(D914,기본!$D$13:$E$74,2,0)</f>
        <v>코웨이</v>
      </c>
      <c r="D914" t="s">
        <v>2010</v>
      </c>
      <c r="E914" t="s">
        <v>1543</v>
      </c>
      <c r="F914" t="s">
        <v>1543</v>
      </c>
      <c r="G914" s="554">
        <v>89</v>
      </c>
      <c r="H914">
        <v>0.64062200000000002</v>
      </c>
    </row>
    <row r="915" spans="2:8">
      <c r="B915" s="555" t="s">
        <v>67</v>
      </c>
      <c r="C915" s="555" t="str">
        <f>VLOOKUP(D915,기본!$D$13:$E$74,2,0)</f>
        <v>코웨이</v>
      </c>
      <c r="D915" t="s">
        <v>2010</v>
      </c>
      <c r="E915" t="s">
        <v>2023</v>
      </c>
      <c r="F915" t="s">
        <v>2023</v>
      </c>
      <c r="G915" s="554">
        <v>2359</v>
      </c>
      <c r="H915">
        <v>16.885836000000001</v>
      </c>
    </row>
    <row r="916" spans="2:8">
      <c r="B916" s="555" t="s">
        <v>67</v>
      </c>
      <c r="C916" s="555" t="str">
        <f>VLOOKUP(D916,기본!$D$13:$E$74,2,0)</f>
        <v>코웨이</v>
      </c>
      <c r="D916" t="s">
        <v>2010</v>
      </c>
      <c r="E916" t="s">
        <v>2024</v>
      </c>
      <c r="F916" t="s">
        <v>2024</v>
      </c>
      <c r="G916" s="554">
        <v>10</v>
      </c>
      <c r="H916">
        <v>9.0590000000000004E-2</v>
      </c>
    </row>
    <row r="917" spans="2:8">
      <c r="B917" s="555" t="s">
        <v>67</v>
      </c>
      <c r="C917" s="555" t="str">
        <f>VLOOKUP(D917,기본!$D$13:$E$74,2,0)</f>
        <v>코웨이</v>
      </c>
      <c r="D917" t="s">
        <v>2010</v>
      </c>
      <c r="E917" t="s">
        <v>2025</v>
      </c>
      <c r="F917" t="s">
        <v>2025</v>
      </c>
      <c r="G917" s="554">
        <v>100</v>
      </c>
      <c r="H917">
        <v>0.88870000000000005</v>
      </c>
    </row>
    <row r="918" spans="2:8">
      <c r="B918" s="555" t="s">
        <v>67</v>
      </c>
      <c r="C918" s="555" t="str">
        <f>VLOOKUP(D918,기본!$D$13:$E$74,2,0)</f>
        <v>코웨이</v>
      </c>
      <c r="D918" t="s">
        <v>2010</v>
      </c>
      <c r="E918" t="s">
        <v>2027</v>
      </c>
      <c r="F918" t="s">
        <v>2027</v>
      </c>
      <c r="G918" s="554">
        <v>56</v>
      </c>
      <c r="H918">
        <v>1.0864</v>
      </c>
    </row>
    <row r="919" spans="2:8">
      <c r="B919" s="555" t="s">
        <v>67</v>
      </c>
      <c r="C919" s="555" t="str">
        <f>VLOOKUP(D919,기본!$D$13:$E$74,2,0)</f>
        <v>코웨이</v>
      </c>
      <c r="D919" t="s">
        <v>2010</v>
      </c>
      <c r="E919" t="s">
        <v>2028</v>
      </c>
      <c r="F919" t="s">
        <v>2028</v>
      </c>
      <c r="G919" s="554">
        <v>10</v>
      </c>
      <c r="H919">
        <v>0.189</v>
      </c>
    </row>
    <row r="920" spans="2:8">
      <c r="B920" s="555" t="s">
        <v>67</v>
      </c>
      <c r="C920" s="555" t="str">
        <f>VLOOKUP(D920,기본!$D$13:$E$74,2,0)</f>
        <v>코웨이</v>
      </c>
      <c r="D920" t="s">
        <v>2010</v>
      </c>
      <c r="E920" t="s">
        <v>2029</v>
      </c>
      <c r="F920" t="s">
        <v>2029</v>
      </c>
      <c r="G920" s="554">
        <v>716</v>
      </c>
      <c r="H920">
        <v>14.740292000000002</v>
      </c>
    </row>
    <row r="921" spans="2:8">
      <c r="B921" s="555" t="s">
        <v>67</v>
      </c>
      <c r="C921" s="555" t="str">
        <f>VLOOKUP(D921,기본!$D$13:$E$74,2,0)</f>
        <v>코웨이</v>
      </c>
      <c r="D921" t="s">
        <v>2010</v>
      </c>
      <c r="E921" t="s">
        <v>2030</v>
      </c>
      <c r="F921" t="s">
        <v>2030</v>
      </c>
      <c r="G921" s="554">
        <v>513</v>
      </c>
      <c r="H921">
        <v>10.561131</v>
      </c>
    </row>
    <row r="922" spans="2:8">
      <c r="B922" s="555" t="s">
        <v>67</v>
      </c>
      <c r="C922" s="555" t="str">
        <f>VLOOKUP(D922,기본!$D$13:$E$74,2,0)</f>
        <v>코웨이</v>
      </c>
      <c r="D922" t="s">
        <v>2010</v>
      </c>
      <c r="E922" t="s">
        <v>2150</v>
      </c>
      <c r="F922" t="s">
        <v>2150</v>
      </c>
      <c r="G922" s="554">
        <v>1809</v>
      </c>
      <c r="H922">
        <v>37.241883000000001</v>
      </c>
    </row>
    <row r="923" spans="2:8">
      <c r="B923" s="555" t="s">
        <v>67</v>
      </c>
      <c r="C923" s="555" t="str">
        <f>VLOOKUP(D923,기본!$D$13:$E$74,2,0)</f>
        <v>코웨이</v>
      </c>
      <c r="D923" t="s">
        <v>2010</v>
      </c>
      <c r="E923" t="s">
        <v>2031</v>
      </c>
      <c r="F923" t="s">
        <v>2031</v>
      </c>
      <c r="G923" s="554">
        <v>3</v>
      </c>
      <c r="H923">
        <v>4.1730000000000003E-2</v>
      </c>
    </row>
    <row r="924" spans="2:8">
      <c r="B924" s="555" t="s">
        <v>67</v>
      </c>
      <c r="C924" s="555" t="str">
        <f>VLOOKUP(D924,기본!$D$13:$E$74,2,0)</f>
        <v>코웨이</v>
      </c>
      <c r="D924" t="s">
        <v>2010</v>
      </c>
      <c r="E924" t="s">
        <v>2032</v>
      </c>
      <c r="F924" t="s">
        <v>2032</v>
      </c>
      <c r="G924" s="554">
        <v>240</v>
      </c>
      <c r="H924">
        <v>0.53064</v>
      </c>
    </row>
    <row r="925" spans="2:8">
      <c r="B925" s="555" t="s">
        <v>67</v>
      </c>
      <c r="C925" s="555" t="str">
        <f>VLOOKUP(D925,기본!$D$13:$E$74,2,0)</f>
        <v>코웨이</v>
      </c>
      <c r="D925" t="s">
        <v>2010</v>
      </c>
      <c r="E925" t="s">
        <v>2033</v>
      </c>
      <c r="F925" t="s">
        <v>2033</v>
      </c>
      <c r="G925" s="554">
        <v>2377</v>
      </c>
      <c r="H925">
        <v>14.022141999999999</v>
      </c>
    </row>
    <row r="926" spans="2:8">
      <c r="B926" s="555" t="s">
        <v>67</v>
      </c>
      <c r="C926" s="555" t="str">
        <f>VLOOKUP(D926,기본!$D$13:$E$74,2,0)</f>
        <v>코웨이</v>
      </c>
      <c r="D926" t="s">
        <v>2010</v>
      </c>
      <c r="E926" t="s">
        <v>2034</v>
      </c>
      <c r="F926" t="s">
        <v>2034</v>
      </c>
      <c r="G926" s="554">
        <v>8545</v>
      </c>
      <c r="H926">
        <v>131.46436</v>
      </c>
    </row>
    <row r="927" spans="2:8">
      <c r="B927" s="555" t="s">
        <v>67</v>
      </c>
      <c r="C927" s="555" t="str">
        <f>VLOOKUP(D927,기본!$D$13:$E$74,2,0)</f>
        <v>코웨이</v>
      </c>
      <c r="D927" t="s">
        <v>2010</v>
      </c>
      <c r="E927" t="s">
        <v>2035</v>
      </c>
      <c r="F927" t="s">
        <v>2035</v>
      </c>
      <c r="G927" s="554">
        <v>110</v>
      </c>
      <c r="H927">
        <v>1.8472299999999999</v>
      </c>
    </row>
    <row r="928" spans="2:8">
      <c r="B928" s="555" t="s">
        <v>67</v>
      </c>
      <c r="C928" s="555" t="str">
        <f>VLOOKUP(D928,기본!$D$13:$E$74,2,0)</f>
        <v>코웨이</v>
      </c>
      <c r="D928" t="s">
        <v>2010</v>
      </c>
      <c r="E928" t="s">
        <v>2036</v>
      </c>
      <c r="F928" t="s">
        <v>2036</v>
      </c>
      <c r="G928" s="554">
        <v>1757</v>
      </c>
      <c r="H928">
        <v>26.920795000000002</v>
      </c>
    </row>
    <row r="929" spans="2:8">
      <c r="B929" s="555" t="s">
        <v>67</v>
      </c>
      <c r="C929" s="555" t="str">
        <f>VLOOKUP(D929,기본!$D$13:$E$74,2,0)</f>
        <v>코웨이</v>
      </c>
      <c r="D929" t="s">
        <v>2010</v>
      </c>
      <c r="E929" t="s">
        <v>2037</v>
      </c>
      <c r="F929" t="s">
        <v>2037</v>
      </c>
      <c r="G929" s="554">
        <v>20</v>
      </c>
      <c r="H929">
        <v>0.31781999999999999</v>
      </c>
    </row>
    <row r="930" spans="2:8">
      <c r="B930" s="555" t="s">
        <v>67</v>
      </c>
      <c r="C930" s="555" t="str">
        <f>VLOOKUP(D930,기본!$D$13:$E$74,2,0)</f>
        <v>코웨이</v>
      </c>
      <c r="D930" t="s">
        <v>2010</v>
      </c>
      <c r="E930" t="s">
        <v>2038</v>
      </c>
      <c r="F930" t="s">
        <v>2038</v>
      </c>
      <c r="G930" s="554">
        <v>150</v>
      </c>
      <c r="H930">
        <v>2.3836499999999998</v>
      </c>
    </row>
    <row r="931" spans="2:8">
      <c r="B931" s="555" t="s">
        <v>67</v>
      </c>
      <c r="C931" s="555" t="str">
        <f>VLOOKUP(D931,기본!$D$13:$E$74,2,0)</f>
        <v>코웨이</v>
      </c>
      <c r="D931" t="s">
        <v>2010</v>
      </c>
      <c r="E931" t="s">
        <v>2039</v>
      </c>
      <c r="F931" t="s">
        <v>2039</v>
      </c>
      <c r="G931" s="554">
        <v>20</v>
      </c>
      <c r="H931">
        <v>0.33116000000000001</v>
      </c>
    </row>
    <row r="932" spans="2:8">
      <c r="B932" s="555" t="s">
        <v>67</v>
      </c>
      <c r="C932" s="555" t="str">
        <f>VLOOKUP(D932,기본!$D$13:$E$74,2,0)</f>
        <v>코웨이</v>
      </c>
      <c r="D932" t="s">
        <v>2010</v>
      </c>
      <c r="E932" t="s">
        <v>2040</v>
      </c>
      <c r="F932" t="s">
        <v>2040</v>
      </c>
      <c r="G932" s="554">
        <v>63</v>
      </c>
      <c r="H932">
        <v>0.98582400000000003</v>
      </c>
    </row>
    <row r="933" spans="2:8">
      <c r="B933" s="555" t="s">
        <v>67</v>
      </c>
      <c r="C933" s="555" t="str">
        <f>VLOOKUP(D933,기본!$D$13:$E$74,2,0)</f>
        <v>코웨이</v>
      </c>
      <c r="D933" t="s">
        <v>2010</v>
      </c>
      <c r="E933" t="s">
        <v>2041</v>
      </c>
      <c r="F933" t="s">
        <v>2041</v>
      </c>
      <c r="G933" s="554">
        <v>3686</v>
      </c>
      <c r="H933">
        <v>60.354563999999996</v>
      </c>
    </row>
    <row r="934" spans="2:8">
      <c r="B934" s="555" t="s">
        <v>67</v>
      </c>
      <c r="C934" s="555" t="str">
        <f>VLOOKUP(D934,기본!$D$13:$E$74,2,0)</f>
        <v>코웨이</v>
      </c>
      <c r="D934" t="s">
        <v>2010</v>
      </c>
      <c r="E934" t="s">
        <v>1089</v>
      </c>
      <c r="F934" t="s">
        <v>1089</v>
      </c>
      <c r="G934" s="554">
        <v>6191</v>
      </c>
      <c r="H934">
        <v>69.420080999999968</v>
      </c>
    </row>
    <row r="935" spans="2:8">
      <c r="B935" s="555" t="s">
        <v>67</v>
      </c>
      <c r="C935" s="555" t="str">
        <f>VLOOKUP(D935,기본!$D$13:$E$74,2,0)</f>
        <v>코웨이</v>
      </c>
      <c r="D935" t="s">
        <v>2010</v>
      </c>
      <c r="E935" t="s">
        <v>2042</v>
      </c>
      <c r="F935" t="s">
        <v>2042</v>
      </c>
      <c r="G935" s="554">
        <v>5</v>
      </c>
      <c r="H935">
        <v>3.6944999999999999E-2</v>
      </c>
    </row>
    <row r="936" spans="2:8">
      <c r="B936" s="555" t="s">
        <v>67</v>
      </c>
      <c r="C936" s="555" t="str">
        <f>VLOOKUP(D936,기본!$D$13:$E$74,2,0)</f>
        <v>코웨이</v>
      </c>
      <c r="D936" t="s">
        <v>2010</v>
      </c>
      <c r="E936" t="s">
        <v>2043</v>
      </c>
      <c r="F936" t="s">
        <v>2043</v>
      </c>
      <c r="G936" s="554">
        <v>1278</v>
      </c>
      <c r="H936">
        <v>10.693026</v>
      </c>
    </row>
    <row r="937" spans="2:8">
      <c r="B937" s="555" t="s">
        <v>67</v>
      </c>
      <c r="C937" s="555" t="str">
        <f>VLOOKUP(D937,기본!$D$13:$E$74,2,0)</f>
        <v>코웨이</v>
      </c>
      <c r="D937" t="s">
        <v>2010</v>
      </c>
      <c r="E937" t="s">
        <v>2044</v>
      </c>
      <c r="F937" t="s">
        <v>2044</v>
      </c>
      <c r="G937" s="554">
        <v>40</v>
      </c>
      <c r="H937">
        <v>0.64288000000000001</v>
      </c>
    </row>
    <row r="938" spans="2:8">
      <c r="B938" s="555" t="s">
        <v>67</v>
      </c>
      <c r="C938" s="555" t="str">
        <f>VLOOKUP(D938,기본!$D$13:$E$74,2,0)</f>
        <v>코웨이</v>
      </c>
      <c r="D938" t="s">
        <v>2010</v>
      </c>
      <c r="E938" t="s">
        <v>2198</v>
      </c>
      <c r="F938" t="s">
        <v>2198</v>
      </c>
      <c r="G938" s="554">
        <v>20</v>
      </c>
      <c r="H938">
        <v>7.7460000000000001E-2</v>
      </c>
    </row>
    <row r="939" spans="2:8">
      <c r="B939" s="555" t="s">
        <v>67</v>
      </c>
      <c r="C939" s="555" t="str">
        <f>VLOOKUP(D939,기본!$D$13:$E$74,2,0)</f>
        <v>코웨이</v>
      </c>
      <c r="D939" t="s">
        <v>2010</v>
      </c>
      <c r="E939" t="s">
        <v>2046</v>
      </c>
      <c r="F939" t="s">
        <v>2046</v>
      </c>
      <c r="G939" s="554">
        <v>1625</v>
      </c>
      <c r="H939">
        <v>25.273070000000001</v>
      </c>
    </row>
    <row r="940" spans="2:8">
      <c r="B940" s="555" t="s">
        <v>67</v>
      </c>
      <c r="C940" s="555" t="str">
        <f>VLOOKUP(D940,기본!$D$13:$E$74,2,0)</f>
        <v>코웨이</v>
      </c>
      <c r="D940" t="s">
        <v>2010</v>
      </c>
      <c r="E940" t="s">
        <v>2048</v>
      </c>
      <c r="F940" t="s">
        <v>2048</v>
      </c>
      <c r="G940" s="554">
        <v>10</v>
      </c>
      <c r="H940">
        <v>0.22056000000000001</v>
      </c>
    </row>
    <row r="941" spans="2:8">
      <c r="B941" s="555" t="s">
        <v>67</v>
      </c>
      <c r="C941" s="555" t="str">
        <f>VLOOKUP(D941,기본!$D$13:$E$74,2,0)</f>
        <v>코웨이</v>
      </c>
      <c r="D941" t="s">
        <v>2010</v>
      </c>
      <c r="E941" t="s">
        <v>2153</v>
      </c>
      <c r="F941" t="s">
        <v>2153</v>
      </c>
      <c r="G941" s="554">
        <v>5</v>
      </c>
      <c r="H941">
        <v>9.6534999999999996E-2</v>
      </c>
    </row>
    <row r="942" spans="2:8">
      <c r="B942" s="555" t="s">
        <v>67</v>
      </c>
      <c r="C942" s="555" t="str">
        <f>VLOOKUP(D942,기본!$D$13:$E$74,2,0)</f>
        <v>코웨이</v>
      </c>
      <c r="D942" t="s">
        <v>2010</v>
      </c>
      <c r="E942" t="s">
        <v>2049</v>
      </c>
      <c r="F942" t="s">
        <v>2049</v>
      </c>
      <c r="G942" s="554">
        <v>23</v>
      </c>
      <c r="H942">
        <v>0.55271300000000001</v>
      </c>
    </row>
    <row r="943" spans="2:8">
      <c r="B943" s="555" t="s">
        <v>67</v>
      </c>
      <c r="C943" s="555" t="str">
        <f>VLOOKUP(D943,기본!$D$13:$E$74,2,0)</f>
        <v>코웨이</v>
      </c>
      <c r="D943" t="s">
        <v>2010</v>
      </c>
      <c r="E943" t="s">
        <v>1215</v>
      </c>
      <c r="F943" t="s">
        <v>1215</v>
      </c>
      <c r="G943" s="554">
        <v>336</v>
      </c>
      <c r="H943">
        <v>10.281684</v>
      </c>
    </row>
    <row r="944" spans="2:8">
      <c r="B944" s="555" t="s">
        <v>67</v>
      </c>
      <c r="C944" s="555" t="str">
        <f>VLOOKUP(D944,기본!$D$13:$E$74,2,0)</f>
        <v>코웨이</v>
      </c>
      <c r="D944" t="s">
        <v>2010</v>
      </c>
      <c r="E944" t="s">
        <v>1216</v>
      </c>
      <c r="F944" t="s">
        <v>1216</v>
      </c>
      <c r="G944" s="554">
        <v>90</v>
      </c>
      <c r="H944">
        <v>2.3235299999999999</v>
      </c>
    </row>
    <row r="945" spans="2:8">
      <c r="B945" s="555" t="s">
        <v>67</v>
      </c>
      <c r="C945" s="555" t="str">
        <f>VLOOKUP(D945,기본!$D$13:$E$74,2,0)</f>
        <v>코웨이</v>
      </c>
      <c r="D945" t="s">
        <v>2010</v>
      </c>
      <c r="E945" t="s">
        <v>2050</v>
      </c>
      <c r="F945" t="s">
        <v>2050</v>
      </c>
      <c r="G945" s="554">
        <v>36</v>
      </c>
      <c r="H945">
        <v>0.87332399999999999</v>
      </c>
    </row>
    <row r="946" spans="2:8">
      <c r="B946" s="555" t="s">
        <v>67</v>
      </c>
      <c r="C946" s="555" t="str">
        <f>VLOOKUP(D946,기본!$D$13:$E$74,2,0)</f>
        <v>코웨이</v>
      </c>
      <c r="D946" t="s">
        <v>2010</v>
      </c>
      <c r="E946" t="s">
        <v>2051</v>
      </c>
      <c r="F946" t="s">
        <v>2051</v>
      </c>
      <c r="G946" s="554">
        <v>2475</v>
      </c>
      <c r="H946">
        <v>59.885100000000008</v>
      </c>
    </row>
    <row r="947" spans="2:8">
      <c r="B947" s="555" t="s">
        <v>67</v>
      </c>
      <c r="C947" s="555" t="str">
        <f>VLOOKUP(D947,기본!$D$13:$E$74,2,0)</f>
        <v>코웨이</v>
      </c>
      <c r="D947" t="s">
        <v>2010</v>
      </c>
      <c r="E947" t="s">
        <v>2052</v>
      </c>
      <c r="F947" t="s">
        <v>2052</v>
      </c>
      <c r="G947" s="554">
        <v>130</v>
      </c>
      <c r="H947">
        <v>2.9952000000000001</v>
      </c>
    </row>
    <row r="948" spans="2:8">
      <c r="B948" s="555" t="s">
        <v>67</v>
      </c>
      <c r="C948" s="555" t="str">
        <f>VLOOKUP(D948,기본!$D$13:$E$74,2,0)</f>
        <v>코웨이</v>
      </c>
      <c r="D948" t="s">
        <v>2010</v>
      </c>
      <c r="E948" t="s">
        <v>2053</v>
      </c>
      <c r="F948" t="s">
        <v>2053</v>
      </c>
      <c r="G948" s="554">
        <v>50</v>
      </c>
      <c r="H948">
        <v>1.3147</v>
      </c>
    </row>
    <row r="949" spans="2:8">
      <c r="B949" s="555" t="s">
        <v>67</v>
      </c>
      <c r="C949" s="555" t="str">
        <f>VLOOKUP(D949,기본!$D$13:$E$74,2,0)</f>
        <v>코웨이</v>
      </c>
      <c r="D949" t="s">
        <v>2010</v>
      </c>
      <c r="E949" t="s">
        <v>1217</v>
      </c>
      <c r="F949" t="s">
        <v>1217</v>
      </c>
      <c r="G949" s="554">
        <v>14</v>
      </c>
      <c r="H949">
        <v>0.44363200000000003</v>
      </c>
    </row>
    <row r="950" spans="2:8">
      <c r="B950" s="555" t="s">
        <v>67</v>
      </c>
      <c r="C950" s="555" t="str">
        <f>VLOOKUP(D950,기본!$D$13:$E$74,2,0)</f>
        <v>코웨이</v>
      </c>
      <c r="D950" t="s">
        <v>2010</v>
      </c>
      <c r="E950" t="s">
        <v>2054</v>
      </c>
      <c r="F950" t="s">
        <v>2054</v>
      </c>
      <c r="G950" s="554">
        <v>3</v>
      </c>
      <c r="H950">
        <v>9.4737000000000002E-2</v>
      </c>
    </row>
    <row r="951" spans="2:8">
      <c r="B951" s="555" t="s">
        <v>67</v>
      </c>
      <c r="C951" s="555" t="str">
        <f>VLOOKUP(D951,기본!$D$13:$E$74,2,0)</f>
        <v>코웨이</v>
      </c>
      <c r="D951" t="s">
        <v>2010</v>
      </c>
      <c r="E951" t="s">
        <v>2056</v>
      </c>
      <c r="F951" t="s">
        <v>2056</v>
      </c>
      <c r="G951" s="554">
        <v>1316</v>
      </c>
      <c r="H951">
        <v>25.290561999999998</v>
      </c>
    </row>
    <row r="952" spans="2:8">
      <c r="B952" s="555" t="s">
        <v>67</v>
      </c>
      <c r="C952" s="555" t="str">
        <f>VLOOKUP(D952,기본!$D$13:$E$74,2,0)</f>
        <v>코웨이</v>
      </c>
      <c r="D952" t="s">
        <v>2010</v>
      </c>
      <c r="E952" t="s">
        <v>2154</v>
      </c>
      <c r="F952" t="s">
        <v>2154</v>
      </c>
      <c r="G952" s="554">
        <v>144</v>
      </c>
      <c r="H952">
        <v>2.8224</v>
      </c>
    </row>
    <row r="953" spans="2:8">
      <c r="B953" s="555" t="s">
        <v>67</v>
      </c>
      <c r="C953" s="555" t="str">
        <f>VLOOKUP(D953,기본!$D$13:$E$74,2,0)</f>
        <v>코웨이</v>
      </c>
      <c r="D953" t="s">
        <v>2010</v>
      </c>
      <c r="E953" t="s">
        <v>2057</v>
      </c>
      <c r="F953" t="s">
        <v>2057</v>
      </c>
      <c r="G953" s="554">
        <v>192</v>
      </c>
      <c r="H953">
        <v>5.704332</v>
      </c>
    </row>
    <row r="954" spans="2:8">
      <c r="B954" s="555" t="s">
        <v>67</v>
      </c>
      <c r="C954" s="555" t="str">
        <f>VLOOKUP(D954,기본!$D$13:$E$74,2,0)</f>
        <v>코웨이</v>
      </c>
      <c r="D954" t="s">
        <v>2010</v>
      </c>
      <c r="E954" t="s">
        <v>1328</v>
      </c>
      <c r="F954" t="s">
        <v>1328</v>
      </c>
      <c r="G954" s="554">
        <v>130</v>
      </c>
      <c r="H954">
        <v>0.40209</v>
      </c>
    </row>
    <row r="955" spans="2:8">
      <c r="B955" s="555" t="s">
        <v>67</v>
      </c>
      <c r="C955" s="555" t="str">
        <f>VLOOKUP(D955,기본!$D$13:$E$74,2,0)</f>
        <v>코웨이</v>
      </c>
      <c r="D955" t="s">
        <v>2010</v>
      </c>
      <c r="E955" t="s">
        <v>1327</v>
      </c>
      <c r="F955" t="s">
        <v>1327</v>
      </c>
      <c r="G955" s="554">
        <v>148</v>
      </c>
      <c r="H955">
        <v>1.535876</v>
      </c>
    </row>
    <row r="956" spans="2:8">
      <c r="B956" s="555" t="s">
        <v>67</v>
      </c>
      <c r="C956" s="555" t="str">
        <f>VLOOKUP(D956,기본!$D$13:$E$74,2,0)</f>
        <v>코웨이</v>
      </c>
      <c r="D956" t="s">
        <v>2010</v>
      </c>
      <c r="E956" t="s">
        <v>1325</v>
      </c>
      <c r="F956" t="s">
        <v>1325</v>
      </c>
      <c r="G956" s="554">
        <v>34</v>
      </c>
      <c r="H956">
        <v>1.1361489999999999</v>
      </c>
    </row>
    <row r="957" spans="2:8">
      <c r="B957" s="555" t="s">
        <v>67</v>
      </c>
      <c r="C957" s="555" t="str">
        <f>VLOOKUP(D957,기본!$D$13:$E$74,2,0)</f>
        <v>코웨이</v>
      </c>
      <c r="D957" t="s">
        <v>2010</v>
      </c>
      <c r="E957" t="s">
        <v>1326</v>
      </c>
      <c r="F957" t="s">
        <v>1326</v>
      </c>
      <c r="G957" s="554">
        <v>100</v>
      </c>
      <c r="H957">
        <v>3.2660999999999998</v>
      </c>
    </row>
    <row r="958" spans="2:8">
      <c r="B958" s="555" t="s">
        <v>67</v>
      </c>
      <c r="C958" s="555" t="str">
        <f>VLOOKUP(D958,기본!$D$13:$E$74,2,0)</f>
        <v>코웨이</v>
      </c>
      <c r="D958" t="s">
        <v>2010</v>
      </c>
      <c r="E958" t="s">
        <v>2199</v>
      </c>
      <c r="F958" t="s">
        <v>2199</v>
      </c>
      <c r="G958" s="554">
        <v>89</v>
      </c>
      <c r="H958">
        <v>0.50471900000000003</v>
      </c>
    </row>
    <row r="959" spans="2:8">
      <c r="B959" s="555" t="s">
        <v>67</v>
      </c>
      <c r="C959" s="555" t="str">
        <f>VLOOKUP(D959,기본!$D$13:$E$74,2,0)</f>
        <v>코웨이</v>
      </c>
      <c r="D959" t="s">
        <v>2010</v>
      </c>
      <c r="E959" t="s">
        <v>2060</v>
      </c>
      <c r="F959" t="s">
        <v>2060</v>
      </c>
      <c r="G959" s="554">
        <v>481</v>
      </c>
      <c r="H959">
        <v>2.6738789999999999</v>
      </c>
    </row>
    <row r="960" spans="2:8">
      <c r="B960" s="555" t="s">
        <v>67</v>
      </c>
      <c r="C960" s="555" t="str">
        <f>VLOOKUP(D960,기본!$D$13:$E$74,2,0)</f>
        <v>코웨이</v>
      </c>
      <c r="D960" t="s">
        <v>2010</v>
      </c>
      <c r="E960" t="s">
        <v>1071</v>
      </c>
      <c r="F960" t="s">
        <v>1071</v>
      </c>
      <c r="G960" s="554">
        <v>501</v>
      </c>
      <c r="H960">
        <v>0.80760500000000002</v>
      </c>
    </row>
    <row r="961" spans="2:8">
      <c r="B961" s="555" t="s">
        <v>67</v>
      </c>
      <c r="C961" s="555" t="str">
        <f>VLOOKUP(D961,기본!$D$13:$E$74,2,0)</f>
        <v>코웨이</v>
      </c>
      <c r="D961" t="s">
        <v>2010</v>
      </c>
      <c r="E961" t="s">
        <v>1069</v>
      </c>
      <c r="F961" t="s">
        <v>1069</v>
      </c>
      <c r="G961" s="554">
        <v>50</v>
      </c>
      <c r="H961">
        <v>0.2782</v>
      </c>
    </row>
    <row r="962" spans="2:8">
      <c r="B962" s="555" t="s">
        <v>67</v>
      </c>
      <c r="C962" s="555" t="str">
        <f>VLOOKUP(D962,기본!$D$13:$E$74,2,0)</f>
        <v>코웨이</v>
      </c>
      <c r="D962" t="s">
        <v>2010</v>
      </c>
      <c r="E962" t="s">
        <v>2061</v>
      </c>
      <c r="F962" t="s">
        <v>2061</v>
      </c>
      <c r="G962" s="554">
        <v>15</v>
      </c>
      <c r="H962">
        <v>9.3315000000000009E-2</v>
      </c>
    </row>
    <row r="963" spans="2:8">
      <c r="B963" s="555" t="s">
        <v>67</v>
      </c>
      <c r="C963" s="555" t="str">
        <f>VLOOKUP(D963,기본!$D$13:$E$74,2,0)</f>
        <v>코웨이</v>
      </c>
      <c r="D963" t="s">
        <v>2010</v>
      </c>
      <c r="E963" t="s">
        <v>2062</v>
      </c>
      <c r="F963" t="s">
        <v>2062</v>
      </c>
      <c r="G963" s="554">
        <v>572</v>
      </c>
      <c r="H963">
        <v>3.2718400000000001</v>
      </c>
    </row>
    <row r="964" spans="2:8">
      <c r="B964" s="555" t="s">
        <v>67</v>
      </c>
      <c r="C964" s="555" t="str">
        <f>VLOOKUP(D964,기본!$D$13:$E$74,2,0)</f>
        <v>코웨이</v>
      </c>
      <c r="D964" t="s">
        <v>2010</v>
      </c>
      <c r="E964" t="s">
        <v>1075</v>
      </c>
      <c r="F964" t="s">
        <v>1075</v>
      </c>
      <c r="G964" s="554">
        <v>50</v>
      </c>
      <c r="H964">
        <v>9.6850000000000006E-2</v>
      </c>
    </row>
    <row r="965" spans="2:8">
      <c r="B965" s="555" t="s">
        <v>67</v>
      </c>
      <c r="C965" s="555" t="str">
        <f>VLOOKUP(D965,기본!$D$13:$E$74,2,0)</f>
        <v>코웨이</v>
      </c>
      <c r="D965" t="s">
        <v>2010</v>
      </c>
      <c r="E965" t="s">
        <v>2063</v>
      </c>
      <c r="F965" t="s">
        <v>2063</v>
      </c>
      <c r="G965" s="554">
        <v>75</v>
      </c>
      <c r="H965">
        <v>0.43545</v>
      </c>
    </row>
    <row r="966" spans="2:8">
      <c r="B966" s="555" t="s">
        <v>67</v>
      </c>
      <c r="C966" s="555" t="str">
        <f>VLOOKUP(D966,기본!$D$13:$E$74,2,0)</f>
        <v>코웨이</v>
      </c>
      <c r="D966" t="s">
        <v>2010</v>
      </c>
      <c r="E966" t="s">
        <v>1274</v>
      </c>
      <c r="F966" t="s">
        <v>1274</v>
      </c>
      <c r="G966" s="554">
        <v>6</v>
      </c>
      <c r="H966">
        <v>4.6800000000000001E-2</v>
      </c>
    </row>
    <row r="967" spans="2:8">
      <c r="B967" s="555" t="s">
        <v>67</v>
      </c>
      <c r="C967" s="555" t="str">
        <f>VLOOKUP(D967,기본!$D$13:$E$74,2,0)</f>
        <v>코웨이</v>
      </c>
      <c r="D967" t="s">
        <v>2010</v>
      </c>
      <c r="E967" t="s">
        <v>1289</v>
      </c>
      <c r="F967" t="s">
        <v>1289</v>
      </c>
      <c r="G967" s="554">
        <v>217</v>
      </c>
      <c r="H967">
        <v>1.8158559999999999</v>
      </c>
    </row>
    <row r="968" spans="2:8">
      <c r="B968" s="555" t="s">
        <v>67</v>
      </c>
      <c r="C968" s="555" t="str">
        <f>VLOOKUP(D968,기본!$D$13:$E$74,2,0)</f>
        <v>코웨이</v>
      </c>
      <c r="D968" t="s">
        <v>2010</v>
      </c>
      <c r="E968" t="s">
        <v>1275</v>
      </c>
      <c r="F968" t="s">
        <v>1275</v>
      </c>
      <c r="G968" s="554">
        <v>1082</v>
      </c>
      <c r="H968">
        <v>7.9616859999999994</v>
      </c>
    </row>
    <row r="969" spans="2:8">
      <c r="B969" s="555" t="s">
        <v>67</v>
      </c>
      <c r="C969" s="555" t="str">
        <f>VLOOKUP(D969,기본!$D$13:$E$74,2,0)</f>
        <v>코웨이</v>
      </c>
      <c r="D969" t="s">
        <v>2010</v>
      </c>
      <c r="E969" t="s">
        <v>2066</v>
      </c>
      <c r="F969" t="s">
        <v>2066</v>
      </c>
      <c r="G969" s="554">
        <v>112</v>
      </c>
      <c r="H969">
        <v>0.89051199999999997</v>
      </c>
    </row>
    <row r="970" spans="2:8">
      <c r="B970" s="555" t="s">
        <v>67</v>
      </c>
      <c r="C970" s="555" t="str">
        <f>VLOOKUP(D970,기본!$D$13:$E$74,2,0)</f>
        <v>코웨이</v>
      </c>
      <c r="D970" t="s">
        <v>2067</v>
      </c>
      <c r="E970" t="s">
        <v>2015</v>
      </c>
      <c r="F970" t="s">
        <v>2015</v>
      </c>
      <c r="G970" s="554">
        <v>1271</v>
      </c>
      <c r="H970">
        <v>14.779188</v>
      </c>
    </row>
    <row r="971" spans="2:8">
      <c r="B971" s="555" t="s">
        <v>67</v>
      </c>
      <c r="C971" s="555" t="str">
        <f>VLOOKUP(D971,기본!$D$13:$E$74,2,0)</f>
        <v>코웨이</v>
      </c>
      <c r="D971" t="s">
        <v>2067</v>
      </c>
      <c r="E971" t="s">
        <v>2016</v>
      </c>
      <c r="F971" t="s">
        <v>2016</v>
      </c>
      <c r="G971" s="554">
        <v>7941</v>
      </c>
      <c r="H971">
        <v>52.426482000000007</v>
      </c>
    </row>
    <row r="972" spans="2:8">
      <c r="B972" s="555" t="s">
        <v>67</v>
      </c>
      <c r="C972" s="555" t="str">
        <f>VLOOKUP(D972,기본!$D$13:$E$74,2,0)</f>
        <v>코웨이</v>
      </c>
      <c r="D972" t="s">
        <v>2067</v>
      </c>
      <c r="E972" t="s">
        <v>2156</v>
      </c>
      <c r="F972" t="s">
        <v>2156</v>
      </c>
      <c r="G972" s="554">
        <v>460</v>
      </c>
      <c r="H972">
        <v>7.9859799999999996</v>
      </c>
    </row>
    <row r="973" spans="2:8">
      <c r="B973" s="555" t="s">
        <v>67</v>
      </c>
      <c r="C973" s="555" t="str">
        <f>VLOOKUP(D973,기본!$D$13:$E$74,2,0)</f>
        <v>코웨이</v>
      </c>
      <c r="D973" t="s">
        <v>2067</v>
      </c>
      <c r="E973" t="s">
        <v>2068</v>
      </c>
      <c r="F973" t="s">
        <v>2068</v>
      </c>
      <c r="G973" s="554">
        <v>594</v>
      </c>
      <c r="H973">
        <v>10.23879</v>
      </c>
    </row>
    <row r="974" spans="2:8">
      <c r="B974" s="555" t="s">
        <v>67</v>
      </c>
      <c r="C974" s="555" t="str">
        <f>VLOOKUP(D974,기본!$D$13:$E$74,2,0)</f>
        <v>코웨이</v>
      </c>
      <c r="D974" t="s">
        <v>2067</v>
      </c>
      <c r="E974" t="s">
        <v>2069</v>
      </c>
      <c r="F974" t="s">
        <v>2069</v>
      </c>
      <c r="G974" s="554">
        <v>250</v>
      </c>
      <c r="H974">
        <v>4.3734999999999999</v>
      </c>
    </row>
    <row r="975" spans="2:8">
      <c r="B975" s="555" t="s">
        <v>67</v>
      </c>
      <c r="C975" s="555" t="str">
        <f>VLOOKUP(D975,기본!$D$13:$E$74,2,0)</f>
        <v>코웨이</v>
      </c>
      <c r="D975" t="s">
        <v>2067</v>
      </c>
      <c r="E975" t="s">
        <v>2020</v>
      </c>
      <c r="F975" t="s">
        <v>2020</v>
      </c>
      <c r="G975" s="554">
        <v>790</v>
      </c>
      <c r="H975">
        <v>10.495149999999999</v>
      </c>
    </row>
    <row r="976" spans="2:8">
      <c r="B976" s="555" t="s">
        <v>67</v>
      </c>
      <c r="C976" s="555" t="str">
        <f>VLOOKUP(D976,기본!$D$13:$E$74,2,0)</f>
        <v>코웨이</v>
      </c>
      <c r="D976" t="s">
        <v>2067</v>
      </c>
      <c r="E976" t="s">
        <v>2021</v>
      </c>
      <c r="F976" t="s">
        <v>2021</v>
      </c>
      <c r="G976" s="554">
        <v>1048</v>
      </c>
      <c r="H976">
        <v>13.556927999999999</v>
      </c>
    </row>
    <row r="977" spans="2:8">
      <c r="B977" s="555" t="s">
        <v>67</v>
      </c>
      <c r="C977" s="555" t="str">
        <f>VLOOKUP(D977,기본!$D$13:$E$74,2,0)</f>
        <v>코웨이</v>
      </c>
      <c r="D977" t="s">
        <v>2067</v>
      </c>
      <c r="E977" t="s">
        <v>2200</v>
      </c>
      <c r="F977" t="s">
        <v>2200</v>
      </c>
      <c r="G977" s="554">
        <v>2</v>
      </c>
      <c r="H977">
        <v>7.0174E-2</v>
      </c>
    </row>
    <row r="978" spans="2:8">
      <c r="B978" s="555" t="s">
        <v>67</v>
      </c>
      <c r="C978" s="555" t="str">
        <f>VLOOKUP(D978,기본!$D$13:$E$74,2,0)</f>
        <v>코웨이</v>
      </c>
      <c r="D978" t="s">
        <v>2067</v>
      </c>
      <c r="E978" t="s">
        <v>2201</v>
      </c>
      <c r="F978" t="s">
        <v>2201</v>
      </c>
      <c r="G978" s="554">
        <v>2</v>
      </c>
      <c r="H978">
        <v>2.0632000000000001E-2</v>
      </c>
    </row>
    <row r="979" spans="2:8">
      <c r="B979" s="555" t="s">
        <v>67</v>
      </c>
      <c r="C979" s="555" t="str">
        <f>VLOOKUP(D979,기본!$D$13:$E$74,2,0)</f>
        <v>코웨이</v>
      </c>
      <c r="D979" t="s">
        <v>2067</v>
      </c>
      <c r="E979" t="s">
        <v>1544</v>
      </c>
      <c r="F979" t="s">
        <v>1544</v>
      </c>
      <c r="G979" s="554">
        <v>4074</v>
      </c>
      <c r="H979">
        <v>26.668403999999999</v>
      </c>
    </row>
    <row r="980" spans="2:8">
      <c r="B980" s="555" t="s">
        <v>67</v>
      </c>
      <c r="C980" s="555" t="str">
        <f>VLOOKUP(D980,기본!$D$13:$E$74,2,0)</f>
        <v>코웨이</v>
      </c>
      <c r="D980" t="s">
        <v>2067</v>
      </c>
      <c r="E980" t="s">
        <v>1545</v>
      </c>
      <c r="F980" t="s">
        <v>1545</v>
      </c>
      <c r="G980" s="554">
        <v>1220</v>
      </c>
      <c r="H980">
        <v>7.2614400000000003</v>
      </c>
    </row>
    <row r="981" spans="2:8">
      <c r="B981" s="555" t="s">
        <v>67</v>
      </c>
      <c r="C981" s="555" t="str">
        <f>VLOOKUP(D981,기본!$D$13:$E$74,2,0)</f>
        <v>코웨이</v>
      </c>
      <c r="D981" t="s">
        <v>2067</v>
      </c>
      <c r="E981" t="s">
        <v>912</v>
      </c>
      <c r="F981" t="s">
        <v>912</v>
      </c>
      <c r="G981" s="554">
        <v>8855</v>
      </c>
      <c r="H981">
        <v>57.821325000000002</v>
      </c>
    </row>
    <row r="982" spans="2:8">
      <c r="B982" s="555" t="s">
        <v>67</v>
      </c>
      <c r="C982" s="555" t="str">
        <f>VLOOKUP(D982,기본!$D$13:$E$74,2,0)</f>
        <v>코웨이</v>
      </c>
      <c r="D982" t="s">
        <v>2067</v>
      </c>
      <c r="E982" t="s">
        <v>913</v>
      </c>
      <c r="F982" t="s">
        <v>913</v>
      </c>
      <c r="G982" s="554">
        <v>500</v>
      </c>
      <c r="H982">
        <v>9.2919999999999998</v>
      </c>
    </row>
    <row r="983" spans="2:8">
      <c r="B983" s="555" t="s">
        <v>67</v>
      </c>
      <c r="C983" s="555" t="str">
        <f>VLOOKUP(D983,기본!$D$13:$E$74,2,0)</f>
        <v>코웨이</v>
      </c>
      <c r="D983" t="s">
        <v>2067</v>
      </c>
      <c r="E983" t="s">
        <v>2070</v>
      </c>
      <c r="F983" t="s">
        <v>2070</v>
      </c>
      <c r="G983" s="554">
        <v>7355</v>
      </c>
      <c r="H983">
        <v>134.90540999999999</v>
      </c>
    </row>
    <row r="984" spans="2:8">
      <c r="B984" s="555" t="s">
        <v>67</v>
      </c>
      <c r="C984" s="555" t="str">
        <f>VLOOKUP(D984,기본!$D$13:$E$74,2,0)</f>
        <v>코웨이</v>
      </c>
      <c r="D984" t="s">
        <v>2067</v>
      </c>
      <c r="E984" t="s">
        <v>2024</v>
      </c>
      <c r="F984" t="s">
        <v>2024</v>
      </c>
      <c r="G984" s="554">
        <v>1100</v>
      </c>
      <c r="H984">
        <v>9.4435000000000002</v>
      </c>
    </row>
    <row r="985" spans="2:8">
      <c r="B985" s="555" t="s">
        <v>67</v>
      </c>
      <c r="C985" s="555" t="str">
        <f>VLOOKUP(D985,기본!$D$13:$E$74,2,0)</f>
        <v>코웨이</v>
      </c>
      <c r="D985" t="s">
        <v>2067</v>
      </c>
      <c r="E985" t="s">
        <v>2202</v>
      </c>
      <c r="F985" t="s">
        <v>2202</v>
      </c>
      <c r="G985" s="554">
        <v>36</v>
      </c>
      <c r="H985">
        <v>0.56610000000000005</v>
      </c>
    </row>
    <row r="986" spans="2:8">
      <c r="B986" s="555" t="s">
        <v>67</v>
      </c>
      <c r="C986" s="555" t="str">
        <f>VLOOKUP(D986,기본!$D$13:$E$74,2,0)</f>
        <v>코웨이</v>
      </c>
      <c r="D986" t="s">
        <v>2067</v>
      </c>
      <c r="E986" t="s">
        <v>2071</v>
      </c>
      <c r="F986" t="s">
        <v>2071</v>
      </c>
      <c r="G986" s="554">
        <v>1262</v>
      </c>
      <c r="H986">
        <v>19.938683999999999</v>
      </c>
    </row>
    <row r="987" spans="2:8">
      <c r="B987" s="555" t="s">
        <v>67</v>
      </c>
      <c r="C987" s="555" t="str">
        <f>VLOOKUP(D987,기본!$D$13:$E$74,2,0)</f>
        <v>코웨이</v>
      </c>
      <c r="D987" t="s">
        <v>2067</v>
      </c>
      <c r="E987" t="s">
        <v>2072</v>
      </c>
      <c r="F987" t="s">
        <v>2072</v>
      </c>
      <c r="G987" s="554">
        <v>590</v>
      </c>
      <c r="H987">
        <v>7.6955400000000003</v>
      </c>
    </row>
    <row r="988" spans="2:8">
      <c r="B988" s="555" t="s">
        <v>67</v>
      </c>
      <c r="C988" s="555" t="str">
        <f>VLOOKUP(D988,기본!$D$13:$E$74,2,0)</f>
        <v>코웨이</v>
      </c>
      <c r="D988" t="s">
        <v>2067</v>
      </c>
      <c r="E988" t="s">
        <v>2034</v>
      </c>
      <c r="F988" t="s">
        <v>2034</v>
      </c>
      <c r="G988" s="554">
        <v>7004</v>
      </c>
      <c r="H988">
        <v>107.69350400000002</v>
      </c>
    </row>
    <row r="989" spans="2:8">
      <c r="B989" s="555" t="s">
        <v>67</v>
      </c>
      <c r="C989" s="555" t="str">
        <f>VLOOKUP(D989,기본!$D$13:$E$74,2,0)</f>
        <v>코웨이</v>
      </c>
      <c r="D989" t="s">
        <v>2067</v>
      </c>
      <c r="E989" t="s">
        <v>2038</v>
      </c>
      <c r="F989" t="s">
        <v>2038</v>
      </c>
      <c r="G989" s="554">
        <v>1860</v>
      </c>
      <c r="H989">
        <v>28.993680000000005</v>
      </c>
    </row>
    <row r="990" spans="2:8">
      <c r="B990" s="555" t="s">
        <v>67</v>
      </c>
      <c r="C990" s="555" t="str">
        <f>VLOOKUP(D990,기본!$D$13:$E$74,2,0)</f>
        <v>코웨이</v>
      </c>
      <c r="D990" t="s">
        <v>2067</v>
      </c>
      <c r="E990" t="s">
        <v>2073</v>
      </c>
      <c r="F990" t="s">
        <v>2073</v>
      </c>
      <c r="G990" s="554">
        <v>16396</v>
      </c>
      <c r="H990">
        <v>232.18375599999999</v>
      </c>
    </row>
    <row r="991" spans="2:8">
      <c r="B991" s="555" t="s">
        <v>67</v>
      </c>
      <c r="C991" s="555" t="str">
        <f>VLOOKUP(D991,기본!$D$13:$E$74,2,0)</f>
        <v>코웨이</v>
      </c>
      <c r="D991" t="s">
        <v>2067</v>
      </c>
      <c r="E991" t="s">
        <v>2074</v>
      </c>
      <c r="F991" t="s">
        <v>2074</v>
      </c>
      <c r="G991" s="554">
        <v>95</v>
      </c>
      <c r="H991">
        <v>2.0777449999999997</v>
      </c>
    </row>
    <row r="992" spans="2:8">
      <c r="B992" s="555" t="s">
        <v>67</v>
      </c>
      <c r="C992" s="555" t="str">
        <f>VLOOKUP(D992,기본!$D$13:$E$74,2,0)</f>
        <v>코웨이</v>
      </c>
      <c r="D992" t="s">
        <v>2067</v>
      </c>
      <c r="E992" t="s">
        <v>2075</v>
      </c>
      <c r="F992" t="s">
        <v>2075</v>
      </c>
      <c r="G992" s="554">
        <v>508</v>
      </c>
      <c r="H992">
        <v>11.152392000000003</v>
      </c>
    </row>
    <row r="993" spans="2:8">
      <c r="B993" s="555" t="s">
        <v>67</v>
      </c>
      <c r="C993" s="555" t="str">
        <f>VLOOKUP(D993,기본!$D$13:$E$74,2,0)</f>
        <v>코웨이</v>
      </c>
      <c r="D993" t="s">
        <v>2067</v>
      </c>
      <c r="E993" t="s">
        <v>2076</v>
      </c>
      <c r="F993" t="s">
        <v>2076</v>
      </c>
      <c r="G993" s="554">
        <v>2771</v>
      </c>
      <c r="H993">
        <v>51.275060000000003</v>
      </c>
    </row>
    <row r="994" spans="2:8">
      <c r="B994" s="555" t="s">
        <v>67</v>
      </c>
      <c r="C994" s="555" t="str">
        <f>VLOOKUP(D994,기본!$D$13:$E$74,2,0)</f>
        <v>코웨이</v>
      </c>
      <c r="D994" t="s">
        <v>2067</v>
      </c>
      <c r="E994" t="s">
        <v>2042</v>
      </c>
      <c r="F994" t="s">
        <v>2042</v>
      </c>
      <c r="G994" s="554">
        <v>100</v>
      </c>
      <c r="H994">
        <v>0.63949999999999996</v>
      </c>
    </row>
    <row r="995" spans="2:8">
      <c r="B995" s="555" t="s">
        <v>67</v>
      </c>
      <c r="C995" s="555" t="str">
        <f>VLOOKUP(D995,기본!$D$13:$E$74,2,0)</f>
        <v>코웨이</v>
      </c>
      <c r="D995" t="s">
        <v>2067</v>
      </c>
      <c r="E995" t="s">
        <v>2058</v>
      </c>
      <c r="F995" t="s">
        <v>2058</v>
      </c>
      <c r="G995" s="554">
        <v>4727</v>
      </c>
      <c r="H995">
        <v>163.87053299999999</v>
      </c>
    </row>
    <row r="996" spans="2:8">
      <c r="B996" s="555" t="s">
        <v>67</v>
      </c>
      <c r="C996" s="555" t="str">
        <f>VLOOKUP(D996,기본!$D$13:$E$74,2,0)</f>
        <v>코웨이</v>
      </c>
      <c r="D996" t="s">
        <v>2067</v>
      </c>
      <c r="E996" t="s">
        <v>2077</v>
      </c>
      <c r="F996" t="s">
        <v>2077</v>
      </c>
      <c r="G996" s="554">
        <v>246</v>
      </c>
      <c r="H996">
        <v>8.300457999999999</v>
      </c>
    </row>
    <row r="997" spans="2:8">
      <c r="B997" s="555" t="s">
        <v>67</v>
      </c>
      <c r="C997" s="555" t="str">
        <f>VLOOKUP(D997,기본!$D$13:$E$74,2,0)</f>
        <v>코웨이</v>
      </c>
      <c r="D997" t="s">
        <v>2067</v>
      </c>
      <c r="E997" t="s">
        <v>2078</v>
      </c>
      <c r="F997" t="s">
        <v>2078</v>
      </c>
      <c r="G997" s="554">
        <v>2340</v>
      </c>
      <c r="H997">
        <v>80.704260000000005</v>
      </c>
    </row>
    <row r="998" spans="2:8">
      <c r="B998" s="555" t="s">
        <v>67</v>
      </c>
      <c r="C998" s="555" t="str">
        <f>VLOOKUP(D998,기본!$D$13:$E$74,2,0)</f>
        <v>코웨이</v>
      </c>
      <c r="D998" t="s">
        <v>2067</v>
      </c>
      <c r="E998" t="s">
        <v>2203</v>
      </c>
      <c r="F998" t="s">
        <v>2203</v>
      </c>
      <c r="G998" s="554">
        <v>3348</v>
      </c>
      <c r="H998">
        <v>120.88623600000001</v>
      </c>
    </row>
    <row r="999" spans="2:8">
      <c r="B999" s="555" t="s">
        <v>67</v>
      </c>
      <c r="C999" s="555" t="str">
        <f>VLOOKUP(D999,기본!$D$13:$E$74,2,0)</f>
        <v>코웨이</v>
      </c>
      <c r="D999" t="s">
        <v>2079</v>
      </c>
      <c r="E999" t="s">
        <v>1093</v>
      </c>
      <c r="F999" t="s">
        <v>1093</v>
      </c>
      <c r="G999" s="554">
        <v>2466</v>
      </c>
      <c r="H999">
        <v>13.158576</v>
      </c>
    </row>
    <row r="1000" spans="2:8">
      <c r="B1000" s="555" t="s">
        <v>67</v>
      </c>
      <c r="C1000" s="555" t="str">
        <f>VLOOKUP(D1000,기본!$D$13:$E$74,2,0)</f>
        <v>코웨이</v>
      </c>
      <c r="D1000" t="s">
        <v>2079</v>
      </c>
      <c r="E1000" t="s">
        <v>1094</v>
      </c>
      <c r="F1000" t="s">
        <v>1094</v>
      </c>
      <c r="G1000" s="554">
        <v>2465</v>
      </c>
      <c r="H1000">
        <v>7.6809399999999997</v>
      </c>
    </row>
    <row r="1001" spans="2:8">
      <c r="B1001" s="555" t="s">
        <v>67</v>
      </c>
      <c r="C1001" s="555" t="str">
        <f>VLOOKUP(D1001,기본!$D$13:$E$74,2,0)</f>
        <v>코웨이</v>
      </c>
      <c r="D1001" t="s">
        <v>2079</v>
      </c>
      <c r="E1001" t="s">
        <v>2017</v>
      </c>
      <c r="F1001" t="s">
        <v>2017</v>
      </c>
      <c r="G1001" s="554">
        <v>1000</v>
      </c>
      <c r="H1001">
        <v>11.885999999999999</v>
      </c>
    </row>
    <row r="1002" spans="2:8">
      <c r="B1002" s="555" t="s">
        <v>67</v>
      </c>
      <c r="C1002" s="555" t="str">
        <f>VLOOKUP(D1002,기본!$D$13:$E$74,2,0)</f>
        <v>코웨이</v>
      </c>
      <c r="D1002" t="s">
        <v>2079</v>
      </c>
      <c r="E1002" t="s">
        <v>2080</v>
      </c>
      <c r="F1002" t="s">
        <v>2080</v>
      </c>
      <c r="G1002" s="554">
        <v>350</v>
      </c>
      <c r="H1002">
        <v>2.34605</v>
      </c>
    </row>
    <row r="1003" spans="2:8">
      <c r="B1003" s="555" t="s">
        <v>67</v>
      </c>
      <c r="C1003" s="555" t="str">
        <f>VLOOKUP(D1003,기본!$D$13:$E$74,2,0)</f>
        <v>코웨이</v>
      </c>
      <c r="D1003" t="s">
        <v>2079</v>
      </c>
      <c r="E1003" t="s">
        <v>2081</v>
      </c>
      <c r="F1003" t="s">
        <v>2081</v>
      </c>
      <c r="G1003" s="554">
        <v>1330</v>
      </c>
      <c r="H1003">
        <v>10.554879999999999</v>
      </c>
    </row>
    <row r="1004" spans="2:8">
      <c r="B1004" s="555" t="s">
        <v>67</v>
      </c>
      <c r="C1004" s="555" t="str">
        <f>VLOOKUP(D1004,기본!$D$13:$E$74,2,0)</f>
        <v>코웨이</v>
      </c>
      <c r="D1004" t="s">
        <v>2079</v>
      </c>
      <c r="E1004" t="s">
        <v>1089</v>
      </c>
      <c r="F1004" t="s">
        <v>1089</v>
      </c>
      <c r="G1004" s="554">
        <v>3824</v>
      </c>
      <c r="H1004">
        <v>42.870863999999997</v>
      </c>
    </row>
    <row r="1005" spans="2:8">
      <c r="B1005" s="555" t="s">
        <v>67</v>
      </c>
      <c r="C1005" s="555" t="str">
        <f>VLOOKUP(D1005,기본!$D$13:$E$74,2,0)</f>
        <v>코웨이</v>
      </c>
      <c r="D1005" t="s">
        <v>2079</v>
      </c>
      <c r="E1005" t="s">
        <v>1118</v>
      </c>
      <c r="F1005" t="s">
        <v>1118</v>
      </c>
      <c r="G1005" s="554">
        <v>830</v>
      </c>
      <c r="H1005">
        <v>15.0313</v>
      </c>
    </row>
    <row r="1006" spans="2:8">
      <c r="B1006" s="555" t="s">
        <v>67</v>
      </c>
      <c r="C1006" s="555" t="str">
        <f>VLOOKUP(D1006,기본!$D$13:$E$74,2,0)</f>
        <v>코웨이</v>
      </c>
      <c r="D1006" t="s">
        <v>2079</v>
      </c>
      <c r="E1006" t="s">
        <v>2157</v>
      </c>
      <c r="F1006" t="s">
        <v>2157</v>
      </c>
      <c r="G1006" s="554">
        <v>500</v>
      </c>
      <c r="H1006">
        <v>11.69</v>
      </c>
    </row>
    <row r="1007" spans="2:8">
      <c r="B1007" s="555" t="s">
        <v>67</v>
      </c>
      <c r="C1007" s="555" t="str">
        <f>VLOOKUP(D1007,기본!$D$13:$E$74,2,0)</f>
        <v>코웨이</v>
      </c>
      <c r="D1007" t="s">
        <v>2079</v>
      </c>
      <c r="E1007" t="s">
        <v>2061</v>
      </c>
      <c r="F1007" t="s">
        <v>2061</v>
      </c>
      <c r="G1007" s="554">
        <v>2465</v>
      </c>
      <c r="H1007">
        <v>13.813859999999998</v>
      </c>
    </row>
    <row r="1008" spans="2:8">
      <c r="B1008" s="555" t="s">
        <v>67</v>
      </c>
      <c r="C1008" s="555" t="str">
        <f>VLOOKUP(D1008,기본!$D$13:$E$74,2,0)</f>
        <v>코웨이</v>
      </c>
      <c r="D1008" t="s">
        <v>2082</v>
      </c>
      <c r="E1008" t="s">
        <v>2058</v>
      </c>
      <c r="F1008" t="s">
        <v>2058</v>
      </c>
      <c r="G1008" s="554">
        <v>15984</v>
      </c>
      <c r="H1008">
        <v>553.98945600000013</v>
      </c>
    </row>
    <row r="1009" spans="2:8">
      <c r="B1009" s="555" t="s">
        <v>67</v>
      </c>
      <c r="C1009" s="555" t="str">
        <f>VLOOKUP(D1009,기본!$D$13:$E$74,2,0)</f>
        <v>코웨이</v>
      </c>
      <c r="D1009" t="s">
        <v>2082</v>
      </c>
      <c r="E1009" t="s">
        <v>2077</v>
      </c>
      <c r="F1009" t="s">
        <v>2077</v>
      </c>
      <c r="G1009" s="554">
        <v>4320</v>
      </c>
      <c r="H1009">
        <v>145.0872</v>
      </c>
    </row>
    <row r="1010" spans="2:8">
      <c r="B1010" s="555" t="s">
        <v>67</v>
      </c>
      <c r="C1010" s="555" t="str">
        <f>VLOOKUP(D1010,기본!$D$13:$E$74,2,0)</f>
        <v>삼성 생활가전</v>
      </c>
      <c r="D1010" t="s">
        <v>2084</v>
      </c>
      <c r="E1010" t="s">
        <v>2204</v>
      </c>
      <c r="F1010" t="s">
        <v>2204</v>
      </c>
      <c r="G1010" s="554">
        <v>7000</v>
      </c>
      <c r="H1010">
        <v>39.355497</v>
      </c>
    </row>
    <row r="1011" spans="2:8">
      <c r="B1011" s="555" t="s">
        <v>67</v>
      </c>
      <c r="C1011" s="555" t="str">
        <f>VLOOKUP(D1011,기본!$D$13:$E$74,2,0)</f>
        <v>삼성 생활가전</v>
      </c>
      <c r="D1011" t="s">
        <v>2084</v>
      </c>
      <c r="E1011" t="s">
        <v>2085</v>
      </c>
      <c r="F1011" t="s">
        <v>2085</v>
      </c>
      <c r="G1011" s="554">
        <v>1990</v>
      </c>
      <c r="H1011">
        <v>11.057002880000001</v>
      </c>
    </row>
    <row r="1012" spans="2:8">
      <c r="B1012" s="555" t="s">
        <v>67</v>
      </c>
      <c r="C1012" s="555" t="str">
        <f>VLOOKUP(D1012,기본!$D$13:$E$74,2,0)</f>
        <v>삼성 생활가전</v>
      </c>
      <c r="D1012" t="s">
        <v>2084</v>
      </c>
      <c r="E1012" t="s">
        <v>2004</v>
      </c>
      <c r="F1012" t="s">
        <v>2004</v>
      </c>
      <c r="G1012" s="554">
        <v>2352</v>
      </c>
      <c r="H1012">
        <v>26.122099919999997</v>
      </c>
    </row>
    <row r="1013" spans="2:8">
      <c r="B1013" s="555" t="s">
        <v>67</v>
      </c>
      <c r="C1013" s="555" t="str">
        <f>VLOOKUP(D1013,기본!$D$13:$E$74,2,0)</f>
        <v>삼성 생활가전</v>
      </c>
      <c r="D1013" t="s">
        <v>2084</v>
      </c>
      <c r="E1013" t="s">
        <v>1465</v>
      </c>
      <c r="F1013" t="s">
        <v>1465</v>
      </c>
      <c r="G1013" s="554">
        <v>4032</v>
      </c>
      <c r="H1013">
        <v>53.690321663999995</v>
      </c>
    </row>
    <row r="1014" spans="2:8">
      <c r="B1014" s="555" t="s">
        <v>67</v>
      </c>
      <c r="C1014" s="555" t="str">
        <f>VLOOKUP(D1014,기본!$D$13:$E$74,2,0)</f>
        <v>삼성 생활가전</v>
      </c>
      <c r="D1014" t="s">
        <v>2088</v>
      </c>
      <c r="E1014" t="s">
        <v>1025</v>
      </c>
      <c r="F1014" t="s">
        <v>1025</v>
      </c>
      <c r="G1014" s="554">
        <v>1000</v>
      </c>
      <c r="H1014">
        <v>6.97</v>
      </c>
    </row>
    <row r="1015" spans="2:8">
      <c r="B1015" s="555" t="s">
        <v>67</v>
      </c>
      <c r="C1015" s="555" t="str">
        <f>VLOOKUP(D1015,기본!$D$13:$E$74,2,0)</f>
        <v>코웨이</v>
      </c>
      <c r="D1015" t="s">
        <v>2205</v>
      </c>
      <c r="E1015" t="s">
        <v>1074</v>
      </c>
      <c r="F1015" t="s">
        <v>1074</v>
      </c>
      <c r="G1015" s="554">
        <v>3240</v>
      </c>
      <c r="H1015">
        <v>15.714</v>
      </c>
    </row>
    <row r="1016" spans="2:8">
      <c r="B1016" s="555" t="s">
        <v>67</v>
      </c>
      <c r="C1016" s="555" t="str">
        <f>VLOOKUP(D1016,기본!$D$13:$E$74,2,0)</f>
        <v>코웨이</v>
      </c>
      <c r="D1016" t="s">
        <v>2205</v>
      </c>
      <c r="E1016" t="s">
        <v>1073</v>
      </c>
      <c r="F1016" t="s">
        <v>1073</v>
      </c>
      <c r="G1016" s="554">
        <v>6480</v>
      </c>
      <c r="H1016">
        <v>31.428000000000001</v>
      </c>
    </row>
    <row r="1017" spans="2:8">
      <c r="B1017" s="555" t="s">
        <v>67</v>
      </c>
      <c r="C1017" s="555" t="str">
        <f>VLOOKUP(D1017,기본!$D$13:$E$74,2,0)</f>
        <v>코웨이</v>
      </c>
      <c r="D1017" t="s">
        <v>2205</v>
      </c>
      <c r="E1017" t="s">
        <v>1075</v>
      </c>
      <c r="F1017" t="s">
        <v>1075</v>
      </c>
      <c r="G1017" s="554">
        <v>9720</v>
      </c>
      <c r="H1017">
        <v>12.188879999999999</v>
      </c>
    </row>
    <row r="1018" spans="2:8">
      <c r="B1018" s="555" t="s">
        <v>67</v>
      </c>
      <c r="C1018" s="555" t="str">
        <f>VLOOKUP(D1018,기본!$D$13:$E$74,2,0)</f>
        <v>한화비전</v>
      </c>
      <c r="D1018" t="s">
        <v>2089</v>
      </c>
      <c r="E1018" t="s">
        <v>1902</v>
      </c>
      <c r="F1018" t="s">
        <v>1903</v>
      </c>
      <c r="G1018" s="554">
        <v>359</v>
      </c>
      <c r="H1018">
        <v>12.394367300000001</v>
      </c>
    </row>
    <row r="1019" spans="2:8">
      <c r="B1019" s="555" t="s">
        <v>2232</v>
      </c>
      <c r="C1019" s="555" t="str">
        <f>VLOOKUP(D1019,기본!$D$13:$E$74,2,0)</f>
        <v>AV JDM</v>
      </c>
      <c r="D1019" t="s">
        <v>1841</v>
      </c>
      <c r="E1019" t="s">
        <v>1842</v>
      </c>
      <c r="F1019" t="s">
        <v>1680</v>
      </c>
      <c r="G1019" s="554">
        <v>11000</v>
      </c>
      <c r="H1019">
        <v>98.392799999999994</v>
      </c>
    </row>
    <row r="1020" spans="2:8">
      <c r="B1020" s="555" t="s">
        <v>2232</v>
      </c>
      <c r="C1020" s="555" t="str">
        <f>VLOOKUP(D1020,기본!$D$13:$E$74,2,0)</f>
        <v>AV JDM</v>
      </c>
      <c r="D1020" t="s">
        <v>1841</v>
      </c>
      <c r="E1020" t="s">
        <v>2104</v>
      </c>
      <c r="F1020" t="s">
        <v>2105</v>
      </c>
      <c r="G1020" s="554">
        <v>165</v>
      </c>
      <c r="H1020">
        <v>1.57387725</v>
      </c>
    </row>
    <row r="1021" spans="2:8">
      <c r="B1021" s="555" t="s">
        <v>2232</v>
      </c>
      <c r="C1021" s="555" t="str">
        <f>VLOOKUP(D1021,기본!$D$13:$E$74,2,0)</f>
        <v>AV JDM</v>
      </c>
      <c r="D1021" t="s">
        <v>1841</v>
      </c>
      <c r="E1021" t="s">
        <v>1654</v>
      </c>
      <c r="F1021" t="s">
        <v>1654</v>
      </c>
      <c r="G1021" s="554">
        <v>4984</v>
      </c>
      <c r="H1021">
        <v>39.829059200000003</v>
      </c>
    </row>
    <row r="1022" spans="2:8">
      <c r="B1022" s="555" t="s">
        <v>2232</v>
      </c>
      <c r="C1022" s="555" t="str">
        <f>VLOOKUP(D1022,기본!$D$13:$E$74,2,0)</f>
        <v>AV JDM</v>
      </c>
      <c r="D1022" t="s">
        <v>1841</v>
      </c>
      <c r="E1022" t="s">
        <v>1656</v>
      </c>
      <c r="F1022" t="s">
        <v>1656</v>
      </c>
      <c r="G1022" s="554">
        <v>12320</v>
      </c>
      <c r="H1022">
        <v>106.65151644000001</v>
      </c>
    </row>
    <row r="1023" spans="2:8">
      <c r="B1023" s="555" t="s">
        <v>2232</v>
      </c>
      <c r="C1023" s="555" t="str">
        <f>VLOOKUP(D1023,기본!$D$13:$E$74,2,0)</f>
        <v>AV JDM</v>
      </c>
      <c r="D1023" t="s">
        <v>1841</v>
      </c>
      <c r="E1023" t="s">
        <v>1657</v>
      </c>
      <c r="F1023" t="s">
        <v>1657</v>
      </c>
      <c r="G1023" s="554">
        <v>5824</v>
      </c>
      <c r="H1023">
        <v>52.144838199999988</v>
      </c>
    </row>
    <row r="1024" spans="2:8">
      <c r="B1024" s="555" t="s">
        <v>2232</v>
      </c>
      <c r="C1024" s="555" t="str">
        <f>VLOOKUP(D1024,기본!$D$13:$E$74,2,0)</f>
        <v>AV JDM</v>
      </c>
      <c r="D1024" t="s">
        <v>1841</v>
      </c>
      <c r="E1024" t="s">
        <v>1658</v>
      </c>
      <c r="F1024" t="s">
        <v>1658</v>
      </c>
      <c r="G1024" s="554">
        <v>15804</v>
      </c>
      <c r="H1024">
        <v>146.6269992</v>
      </c>
    </row>
    <row r="1025" spans="2:8">
      <c r="B1025" s="555" t="s">
        <v>2232</v>
      </c>
      <c r="C1025" s="555" t="str">
        <f>VLOOKUP(D1025,기본!$D$13:$E$74,2,0)</f>
        <v>AV JDM</v>
      </c>
      <c r="D1025" t="s">
        <v>1841</v>
      </c>
      <c r="E1025" t="s">
        <v>1655</v>
      </c>
      <c r="F1025" t="s">
        <v>1655</v>
      </c>
      <c r="G1025" s="554">
        <v>2408</v>
      </c>
      <c r="H1025">
        <v>19.787111679999995</v>
      </c>
    </row>
    <row r="1026" spans="2:8">
      <c r="B1026" s="555" t="s">
        <v>2232</v>
      </c>
      <c r="C1026" s="555" t="str">
        <f>VLOOKUP(D1026,기본!$D$13:$E$74,2,0)</f>
        <v>AV JDM</v>
      </c>
      <c r="D1026" t="s">
        <v>1841</v>
      </c>
      <c r="E1026" t="s">
        <v>2206</v>
      </c>
      <c r="F1026" t="s">
        <v>2206</v>
      </c>
      <c r="G1026" s="554">
        <v>216</v>
      </c>
      <c r="H1026">
        <v>1.9490889599999996</v>
      </c>
    </row>
    <row r="1027" spans="2:8">
      <c r="B1027" s="555" t="s">
        <v>2232</v>
      </c>
      <c r="C1027" s="555" t="str">
        <f>VLOOKUP(D1027,기본!$D$13:$E$74,2,0)</f>
        <v>AV JDM</v>
      </c>
      <c r="D1027" t="s">
        <v>1841</v>
      </c>
      <c r="E1027" t="s">
        <v>2207</v>
      </c>
      <c r="F1027" t="s">
        <v>2207</v>
      </c>
      <c r="G1027" s="554">
        <v>56</v>
      </c>
      <c r="H1027">
        <v>0.52651416000000006</v>
      </c>
    </row>
    <row r="1028" spans="2:8">
      <c r="B1028" s="555" t="s">
        <v>2232</v>
      </c>
      <c r="C1028" s="555" t="str">
        <f>VLOOKUP(D1028,기본!$D$13:$E$74,2,0)</f>
        <v>AV JDM</v>
      </c>
      <c r="D1028" t="s">
        <v>1841</v>
      </c>
      <c r="E1028" t="s">
        <v>2159</v>
      </c>
      <c r="F1028" t="s">
        <v>2159</v>
      </c>
      <c r="G1028" s="554">
        <v>1818</v>
      </c>
      <c r="H1028">
        <v>17.745773759999999</v>
      </c>
    </row>
    <row r="1029" spans="2:8">
      <c r="B1029" s="555" t="s">
        <v>2232</v>
      </c>
      <c r="C1029" s="555" t="str">
        <f>VLOOKUP(D1029,기본!$D$13:$E$74,2,0)</f>
        <v>AV JDM</v>
      </c>
      <c r="D1029" t="s">
        <v>1841</v>
      </c>
      <c r="E1029" t="s">
        <v>2106</v>
      </c>
      <c r="F1029" t="s">
        <v>1228</v>
      </c>
      <c r="G1029" s="554">
        <v>504</v>
      </c>
      <c r="H1029">
        <v>5.0841161279999998</v>
      </c>
    </row>
    <row r="1030" spans="2:8">
      <c r="B1030" s="555" t="s">
        <v>2232</v>
      </c>
      <c r="C1030" s="555" t="str">
        <f>VLOOKUP(D1030,기본!$D$13:$E$74,2,0)</f>
        <v>AV JDM</v>
      </c>
      <c r="D1030" t="s">
        <v>1841</v>
      </c>
      <c r="E1030" t="s">
        <v>1845</v>
      </c>
      <c r="F1030" t="s">
        <v>1340</v>
      </c>
      <c r="G1030" s="554">
        <v>8694</v>
      </c>
      <c r="H1030">
        <v>89.569026035999997</v>
      </c>
    </row>
    <row r="1031" spans="2:8">
      <c r="B1031" s="555" t="s">
        <v>2232</v>
      </c>
      <c r="C1031" s="555" t="str">
        <f>VLOOKUP(D1031,기본!$D$13:$E$74,2,0)</f>
        <v>AV JDM</v>
      </c>
      <c r="D1031" t="s">
        <v>1841</v>
      </c>
      <c r="E1031" t="s">
        <v>1846</v>
      </c>
      <c r="F1031" t="s">
        <v>1341</v>
      </c>
      <c r="G1031" s="554">
        <v>126</v>
      </c>
      <c r="H1031">
        <v>1.417912608</v>
      </c>
    </row>
    <row r="1032" spans="2:8">
      <c r="B1032" s="555" t="s">
        <v>2232</v>
      </c>
      <c r="C1032" s="555" t="str">
        <f>VLOOKUP(D1032,기본!$D$13:$E$74,2,0)</f>
        <v>AV JDM</v>
      </c>
      <c r="D1032" t="s">
        <v>1841</v>
      </c>
      <c r="E1032" t="s">
        <v>1847</v>
      </c>
      <c r="F1032" t="s">
        <v>1336</v>
      </c>
      <c r="G1032" s="554">
        <v>5920</v>
      </c>
      <c r="H1032">
        <v>53.516062399999996</v>
      </c>
    </row>
    <row r="1033" spans="2:8">
      <c r="B1033" s="555" t="s">
        <v>2232</v>
      </c>
      <c r="C1033" s="555" t="str">
        <f>VLOOKUP(D1033,기본!$D$13:$E$74,2,0)</f>
        <v>AV JDM</v>
      </c>
      <c r="D1033" t="s">
        <v>1841</v>
      </c>
      <c r="E1033" t="s">
        <v>1006</v>
      </c>
      <c r="F1033" t="s">
        <v>1006</v>
      </c>
      <c r="G1033" s="554">
        <v>33000</v>
      </c>
      <c r="H1033">
        <v>367.65447935999998</v>
      </c>
    </row>
    <row r="1034" spans="2:8">
      <c r="B1034" s="555" t="s">
        <v>2232</v>
      </c>
      <c r="C1034" s="555" t="str">
        <f>VLOOKUP(D1034,기본!$D$13:$E$74,2,0)</f>
        <v>삼성 VD</v>
      </c>
      <c r="D1034" t="s">
        <v>1849</v>
      </c>
      <c r="E1034" t="s">
        <v>1165</v>
      </c>
      <c r="F1034" t="s">
        <v>1882</v>
      </c>
      <c r="G1034" s="554">
        <v>19854</v>
      </c>
      <c r="H1034">
        <v>591.38996111999995</v>
      </c>
    </row>
    <row r="1035" spans="2:8">
      <c r="B1035" s="555" t="s">
        <v>2232</v>
      </c>
      <c r="C1035" s="555" t="str">
        <f>VLOOKUP(D1035,기본!$D$13:$E$74,2,0)</f>
        <v>삼성 VD</v>
      </c>
      <c r="D1035" t="s">
        <v>1849</v>
      </c>
      <c r="E1035" t="s">
        <v>1164</v>
      </c>
      <c r="F1035" t="s">
        <v>1850</v>
      </c>
      <c r="G1035" s="554">
        <v>39744</v>
      </c>
      <c r="H1035">
        <v>1070.961046272</v>
      </c>
    </row>
    <row r="1036" spans="2:8">
      <c r="B1036" s="555" t="s">
        <v>2232</v>
      </c>
      <c r="C1036" s="555" t="str">
        <f>VLOOKUP(D1036,기본!$D$13:$E$74,2,0)</f>
        <v>삼성 VD</v>
      </c>
      <c r="D1036" t="s">
        <v>1849</v>
      </c>
      <c r="E1036" t="s">
        <v>1851</v>
      </c>
      <c r="F1036" t="s">
        <v>1852</v>
      </c>
      <c r="G1036" s="554">
        <v>752</v>
      </c>
      <c r="H1036">
        <v>5.6273031360000001</v>
      </c>
    </row>
    <row r="1037" spans="2:8">
      <c r="B1037" s="555" t="s">
        <v>2232</v>
      </c>
      <c r="C1037" s="555" t="str">
        <f>VLOOKUP(D1037,기본!$D$13:$E$74,2,0)</f>
        <v>삼성 VD</v>
      </c>
      <c r="D1037" t="s">
        <v>1849</v>
      </c>
      <c r="E1037" t="s">
        <v>1853</v>
      </c>
      <c r="F1037" t="s">
        <v>1854</v>
      </c>
      <c r="G1037" s="554">
        <v>2730</v>
      </c>
      <c r="H1037">
        <v>38.311880879999997</v>
      </c>
    </row>
    <row r="1038" spans="2:8">
      <c r="B1038" s="555" t="s">
        <v>2232</v>
      </c>
      <c r="C1038" s="555" t="str">
        <f>VLOOKUP(D1038,기본!$D$13:$E$74,2,0)</f>
        <v>삼성 VD</v>
      </c>
      <c r="D1038" t="s">
        <v>1849</v>
      </c>
      <c r="E1038" t="s">
        <v>1855</v>
      </c>
      <c r="F1038" t="s">
        <v>1856</v>
      </c>
      <c r="G1038" s="554">
        <v>5520</v>
      </c>
      <c r="H1038">
        <v>79.25002176000001</v>
      </c>
    </row>
    <row r="1039" spans="2:8">
      <c r="B1039" s="555" t="s">
        <v>2232</v>
      </c>
      <c r="C1039" s="555" t="str">
        <f>VLOOKUP(D1039,기본!$D$13:$E$74,2,0)</f>
        <v>삼성 VD</v>
      </c>
      <c r="D1039" t="s">
        <v>1849</v>
      </c>
      <c r="E1039" t="s">
        <v>1874</v>
      </c>
      <c r="F1039" t="s">
        <v>1875</v>
      </c>
      <c r="G1039" s="554">
        <v>13340</v>
      </c>
      <c r="H1039">
        <v>207.87022984000001</v>
      </c>
    </row>
    <row r="1040" spans="2:8">
      <c r="B1040" s="555" t="s">
        <v>2232</v>
      </c>
      <c r="C1040" s="555" t="str">
        <f>VLOOKUP(D1040,기본!$D$13:$E$74,2,0)</f>
        <v>삼성 VD</v>
      </c>
      <c r="D1040" t="s">
        <v>1849</v>
      </c>
      <c r="E1040" t="s">
        <v>1857</v>
      </c>
      <c r="F1040" t="s">
        <v>1858</v>
      </c>
      <c r="G1040" s="554">
        <v>960</v>
      </c>
      <c r="H1040">
        <v>9.3228364800000012</v>
      </c>
    </row>
    <row r="1041" spans="2:8">
      <c r="B1041" s="555" t="s">
        <v>2232</v>
      </c>
      <c r="C1041" s="555" t="str">
        <f>VLOOKUP(D1041,기본!$D$13:$E$74,2,0)</f>
        <v>삼성 VD</v>
      </c>
      <c r="D1041" t="s">
        <v>1849</v>
      </c>
      <c r="E1041" t="s">
        <v>1859</v>
      </c>
      <c r="F1041" t="s">
        <v>1860</v>
      </c>
      <c r="G1041" s="554">
        <v>9792</v>
      </c>
      <c r="H1041">
        <v>173.39078246399998</v>
      </c>
    </row>
    <row r="1042" spans="2:8">
      <c r="B1042" s="555" t="s">
        <v>2232</v>
      </c>
      <c r="C1042" s="555" t="str">
        <f>VLOOKUP(D1042,기본!$D$13:$E$74,2,0)</f>
        <v>삼성 VD</v>
      </c>
      <c r="D1042" t="s">
        <v>1849</v>
      </c>
      <c r="E1042" t="s">
        <v>1309</v>
      </c>
      <c r="F1042" t="s">
        <v>1308</v>
      </c>
      <c r="G1042" s="554">
        <v>5760</v>
      </c>
      <c r="H1042">
        <v>126.96485760000002</v>
      </c>
    </row>
    <row r="1043" spans="2:8">
      <c r="B1043" s="555" t="s">
        <v>2232</v>
      </c>
      <c r="C1043" s="555" t="str">
        <f>VLOOKUP(D1043,기본!$D$13:$E$74,2,0)</f>
        <v>삼성 VD</v>
      </c>
      <c r="D1043" t="s">
        <v>1849</v>
      </c>
      <c r="E1043" t="s">
        <v>1313</v>
      </c>
      <c r="F1043" t="s">
        <v>1312</v>
      </c>
      <c r="G1043" s="554">
        <v>1296</v>
      </c>
      <c r="H1043">
        <v>28.551559680000004</v>
      </c>
    </row>
    <row r="1044" spans="2:8">
      <c r="B1044" s="555" t="s">
        <v>2232</v>
      </c>
      <c r="C1044" s="555" t="str">
        <f>VLOOKUP(D1044,기본!$D$13:$E$74,2,0)</f>
        <v>삼성 VD</v>
      </c>
      <c r="D1044" t="s">
        <v>1849</v>
      </c>
      <c r="E1044" t="s">
        <v>1865</v>
      </c>
      <c r="F1044" t="s">
        <v>1866</v>
      </c>
      <c r="G1044" s="554">
        <v>10884</v>
      </c>
      <c r="H1044">
        <v>459.18370507200007</v>
      </c>
    </row>
    <row r="1045" spans="2:8">
      <c r="B1045" s="555" t="s">
        <v>2232</v>
      </c>
      <c r="C1045" s="555" t="str">
        <f>VLOOKUP(D1045,기본!$D$13:$E$74,2,0)</f>
        <v>삼성 VD</v>
      </c>
      <c r="D1045" t="s">
        <v>1849</v>
      </c>
      <c r="E1045" t="s">
        <v>1923</v>
      </c>
      <c r="F1045" t="s">
        <v>1924</v>
      </c>
      <c r="G1045" s="554">
        <v>21516</v>
      </c>
      <c r="H1045">
        <v>103.96145759999999</v>
      </c>
    </row>
    <row r="1046" spans="2:8">
      <c r="B1046" s="555" t="s">
        <v>2232</v>
      </c>
      <c r="C1046" s="555" t="str">
        <f>VLOOKUP(D1046,기본!$D$13:$E$74,2,0)</f>
        <v>삼성 VD</v>
      </c>
      <c r="D1046" t="s">
        <v>1849</v>
      </c>
      <c r="E1046" t="s">
        <v>1867</v>
      </c>
      <c r="F1046" t="s">
        <v>1868</v>
      </c>
      <c r="G1046" s="554">
        <v>5754</v>
      </c>
      <c r="H1046">
        <v>47.908164905999996</v>
      </c>
    </row>
    <row r="1047" spans="2:8">
      <c r="B1047" s="555" t="s">
        <v>2232</v>
      </c>
      <c r="C1047" s="555" t="str">
        <f>VLOOKUP(D1047,기본!$D$13:$E$74,2,0)</f>
        <v>삼성 VD</v>
      </c>
      <c r="D1047" t="s">
        <v>1849</v>
      </c>
      <c r="E1047" t="s">
        <v>709</v>
      </c>
      <c r="F1047" t="s">
        <v>1869</v>
      </c>
      <c r="G1047" s="554">
        <v>216480</v>
      </c>
      <c r="H1047">
        <v>751.01384951999989</v>
      </c>
    </row>
    <row r="1048" spans="2:8">
      <c r="B1048" s="555" t="s">
        <v>2232</v>
      </c>
      <c r="C1048" s="555" t="str">
        <f>VLOOKUP(D1048,기본!$D$13:$E$74,2,0)</f>
        <v>삼성 VD</v>
      </c>
      <c r="D1048" t="s">
        <v>1849</v>
      </c>
      <c r="E1048" t="s">
        <v>1156</v>
      </c>
      <c r="F1048" t="s">
        <v>1870</v>
      </c>
      <c r="G1048" s="554">
        <v>7128</v>
      </c>
      <c r="H1048">
        <v>32.763355679999997</v>
      </c>
    </row>
    <row r="1049" spans="2:8">
      <c r="B1049" s="555" t="s">
        <v>2232</v>
      </c>
      <c r="C1049" s="555" t="str">
        <f>VLOOKUP(D1049,기본!$D$13:$E$74,2,0)</f>
        <v>삼성 VD</v>
      </c>
      <c r="D1049" t="s">
        <v>1849</v>
      </c>
      <c r="E1049" t="s">
        <v>229</v>
      </c>
      <c r="F1049" t="s">
        <v>229</v>
      </c>
      <c r="G1049" s="554">
        <v>0</v>
      </c>
      <c r="H1049">
        <v>-2.9736229999999999</v>
      </c>
    </row>
    <row r="1050" spans="2:8">
      <c r="B1050" s="555" t="s">
        <v>2232</v>
      </c>
      <c r="C1050" s="555" t="str">
        <f>VLOOKUP(D1050,기본!$D$13:$E$74,2,0)</f>
        <v>삼성 VD</v>
      </c>
      <c r="D1050" t="s">
        <v>1871</v>
      </c>
      <c r="E1050" t="s">
        <v>1165</v>
      </c>
      <c r="F1050" t="s">
        <v>1882</v>
      </c>
      <c r="G1050" s="554">
        <v>504</v>
      </c>
      <c r="H1050">
        <v>15.047943119999999</v>
      </c>
    </row>
    <row r="1051" spans="2:8">
      <c r="B1051" s="555" t="s">
        <v>2232</v>
      </c>
      <c r="C1051" s="555" t="str">
        <f>VLOOKUP(D1051,기본!$D$13:$E$74,2,0)</f>
        <v>삼성 VD</v>
      </c>
      <c r="D1051" t="s">
        <v>1871</v>
      </c>
      <c r="E1051" t="s">
        <v>1164</v>
      </c>
      <c r="F1051" t="s">
        <v>1850</v>
      </c>
      <c r="G1051" s="554">
        <v>7992</v>
      </c>
      <c r="H1051">
        <v>214.61309186400001</v>
      </c>
    </row>
    <row r="1052" spans="2:8">
      <c r="B1052" s="555" t="s">
        <v>2232</v>
      </c>
      <c r="C1052" s="555" t="str">
        <f>VLOOKUP(D1052,기본!$D$13:$E$74,2,0)</f>
        <v>삼성 VD</v>
      </c>
      <c r="D1052" t="s">
        <v>1871</v>
      </c>
      <c r="E1052" t="s">
        <v>1853</v>
      </c>
      <c r="F1052" t="s">
        <v>1854</v>
      </c>
      <c r="G1052" s="554">
        <v>2704</v>
      </c>
      <c r="H1052">
        <v>37.947005824000001</v>
      </c>
    </row>
    <row r="1053" spans="2:8">
      <c r="B1053" s="555" t="s">
        <v>2232</v>
      </c>
      <c r="C1053" s="555" t="str">
        <f>VLOOKUP(D1053,기본!$D$13:$E$74,2,0)</f>
        <v>삼성 VD</v>
      </c>
      <c r="D1053" t="s">
        <v>1871</v>
      </c>
      <c r="E1053" t="s">
        <v>1874</v>
      </c>
      <c r="F1053" t="s">
        <v>1875</v>
      </c>
      <c r="G1053" s="554">
        <v>5643</v>
      </c>
      <c r="H1053">
        <v>87.958789568</v>
      </c>
    </row>
    <row r="1054" spans="2:8">
      <c r="B1054" s="555" t="s">
        <v>2232</v>
      </c>
      <c r="C1054" s="555" t="str">
        <f>VLOOKUP(D1054,기본!$D$13:$E$74,2,0)</f>
        <v>삼성 VD</v>
      </c>
      <c r="D1054" t="s">
        <v>1871</v>
      </c>
      <c r="E1054" t="s">
        <v>1876</v>
      </c>
      <c r="F1054" t="s">
        <v>1877</v>
      </c>
      <c r="G1054" s="554">
        <v>12336</v>
      </c>
      <c r="H1054">
        <v>83.329205760000008</v>
      </c>
    </row>
    <row r="1055" spans="2:8">
      <c r="B1055" s="555" t="s">
        <v>2232</v>
      </c>
      <c r="C1055" s="555" t="str">
        <f>VLOOKUP(D1055,기본!$D$13:$E$74,2,0)</f>
        <v>삼성 VD</v>
      </c>
      <c r="D1055" t="s">
        <v>1871</v>
      </c>
      <c r="E1055" t="s">
        <v>1878</v>
      </c>
      <c r="F1055" t="s">
        <v>1879</v>
      </c>
      <c r="G1055" s="554">
        <v>696</v>
      </c>
      <c r="H1055">
        <v>4.7366906400000008</v>
      </c>
    </row>
    <row r="1056" spans="2:8">
      <c r="B1056" s="555" t="s">
        <v>2232</v>
      </c>
      <c r="C1056" s="555" t="str">
        <f>VLOOKUP(D1056,기본!$D$13:$E$74,2,0)</f>
        <v>삼성 VD</v>
      </c>
      <c r="D1056" t="s">
        <v>1880</v>
      </c>
      <c r="E1056" t="s">
        <v>1855</v>
      </c>
      <c r="F1056" t="s">
        <v>1856</v>
      </c>
      <c r="G1056" s="554">
        <v>2162</v>
      </c>
      <c r="H1056">
        <v>31.093011793999999</v>
      </c>
    </row>
    <row r="1057" spans="2:8">
      <c r="B1057" s="555" t="s">
        <v>2232</v>
      </c>
      <c r="C1057" s="555" t="str">
        <f>VLOOKUP(D1057,기본!$D$13:$E$74,2,0)</f>
        <v>삼성 VD</v>
      </c>
      <c r="D1057" t="s">
        <v>1881</v>
      </c>
      <c r="E1057" t="s">
        <v>1164</v>
      </c>
      <c r="F1057" t="s">
        <v>1850</v>
      </c>
      <c r="G1057" s="554">
        <v>294</v>
      </c>
      <c r="H1057">
        <v>8.0257149000000005</v>
      </c>
    </row>
    <row r="1058" spans="2:8">
      <c r="B1058" s="555" t="s">
        <v>2232</v>
      </c>
      <c r="C1058" s="555" t="str">
        <f>VLOOKUP(D1058,기본!$D$13:$E$74,2,0)</f>
        <v>삼성 VD</v>
      </c>
      <c r="D1058" t="s">
        <v>1881</v>
      </c>
      <c r="E1058" t="s">
        <v>1853</v>
      </c>
      <c r="F1058" t="s">
        <v>1854</v>
      </c>
      <c r="G1058" s="554">
        <v>210</v>
      </c>
      <c r="H1058">
        <v>2.9435133599999999</v>
      </c>
    </row>
    <row r="1059" spans="2:8">
      <c r="B1059" s="555" t="s">
        <v>2232</v>
      </c>
      <c r="C1059" s="555" t="str">
        <f>VLOOKUP(D1059,기본!$D$13:$E$74,2,0)</f>
        <v>삼성 VD</v>
      </c>
      <c r="D1059" t="s">
        <v>1881</v>
      </c>
      <c r="E1059" t="s">
        <v>1874</v>
      </c>
      <c r="F1059" t="s">
        <v>1875</v>
      </c>
      <c r="G1059" s="554">
        <v>322</v>
      </c>
      <c r="H1059">
        <v>5.0572998</v>
      </c>
    </row>
    <row r="1060" spans="2:8">
      <c r="B1060" s="555" t="s">
        <v>2232</v>
      </c>
      <c r="C1060" s="555" t="str">
        <f>VLOOKUP(D1060,기본!$D$13:$E$74,2,0)</f>
        <v>기타</v>
      </c>
      <c r="D1060" t="s">
        <v>1883</v>
      </c>
      <c r="E1060" t="s">
        <v>229</v>
      </c>
      <c r="F1060" t="s">
        <v>229</v>
      </c>
      <c r="G1060" s="554">
        <v>0</v>
      </c>
      <c r="H1060">
        <v>0.201407</v>
      </c>
    </row>
    <row r="1061" spans="2:8">
      <c r="B1061" s="555" t="s">
        <v>2232</v>
      </c>
      <c r="C1061" s="555" t="str">
        <f>VLOOKUP(D1061,기본!$D$13:$E$74,2,0)</f>
        <v>MNT JDM</v>
      </c>
      <c r="D1061" t="s">
        <v>2107</v>
      </c>
      <c r="E1061" t="s">
        <v>709</v>
      </c>
      <c r="F1061" t="s">
        <v>2108</v>
      </c>
      <c r="G1061" s="554">
        <v>48576</v>
      </c>
      <c r="H1061">
        <v>216.36705023999997</v>
      </c>
    </row>
    <row r="1062" spans="2:8">
      <c r="B1062" s="555" t="s">
        <v>2232</v>
      </c>
      <c r="C1062" s="555" t="str">
        <f>VLOOKUP(D1062,기본!$D$13:$E$74,2,0)</f>
        <v>MNT JDM</v>
      </c>
      <c r="D1062" t="s">
        <v>2107</v>
      </c>
      <c r="E1062" t="s">
        <v>1156</v>
      </c>
      <c r="F1062" t="s">
        <v>1870</v>
      </c>
      <c r="G1062" s="554">
        <v>14784</v>
      </c>
      <c r="H1062">
        <v>80.839030271999988</v>
      </c>
    </row>
    <row r="1063" spans="2:8">
      <c r="B1063" s="555" t="s">
        <v>2232</v>
      </c>
      <c r="C1063" s="555" t="str">
        <f>VLOOKUP(D1063,기본!$D$13:$E$74,2,0)</f>
        <v>MNT JDM</v>
      </c>
      <c r="D1063" t="s">
        <v>1884</v>
      </c>
      <c r="E1063" t="s">
        <v>709</v>
      </c>
      <c r="F1063" t="s">
        <v>2110</v>
      </c>
      <c r="G1063" s="554">
        <v>81312</v>
      </c>
      <c r="H1063">
        <v>370.34068790399999</v>
      </c>
    </row>
    <row r="1064" spans="2:8">
      <c r="B1064" s="555" t="s">
        <v>2232</v>
      </c>
      <c r="C1064" s="555" t="str">
        <f>VLOOKUP(D1064,기본!$D$13:$E$74,2,0)</f>
        <v>MNT JDM</v>
      </c>
      <c r="D1064" t="s">
        <v>1884</v>
      </c>
      <c r="E1064" t="s">
        <v>1156</v>
      </c>
      <c r="F1064" t="s">
        <v>2112</v>
      </c>
      <c r="G1064" s="554">
        <v>39072</v>
      </c>
      <c r="H1064">
        <v>218.52629568</v>
      </c>
    </row>
    <row r="1065" spans="2:8">
      <c r="B1065" s="555" t="s">
        <v>2232</v>
      </c>
      <c r="C1065" s="555" t="str">
        <f>VLOOKUP(D1065,기본!$D$13:$E$74,2,0)</f>
        <v>MNT JDM</v>
      </c>
      <c r="D1065" t="s">
        <v>1884</v>
      </c>
      <c r="E1065" t="s">
        <v>1157</v>
      </c>
      <c r="F1065" t="s">
        <v>2208</v>
      </c>
      <c r="G1065" s="554">
        <v>2112</v>
      </c>
      <c r="H1065">
        <v>14.17337856</v>
      </c>
    </row>
    <row r="1066" spans="2:8">
      <c r="B1066" s="555" t="s">
        <v>2232</v>
      </c>
      <c r="C1066" s="555" t="str">
        <f>VLOOKUP(D1066,기본!$D$13:$E$74,2,0)</f>
        <v>MNT JDM</v>
      </c>
      <c r="D1066" t="s">
        <v>157</v>
      </c>
      <c r="E1066" t="s">
        <v>709</v>
      </c>
      <c r="F1066" t="s">
        <v>1885</v>
      </c>
      <c r="G1066" s="554">
        <v>39072</v>
      </c>
      <c r="H1066">
        <v>173.37777599999998</v>
      </c>
    </row>
    <row r="1067" spans="2:8">
      <c r="B1067" s="555" t="s">
        <v>2232</v>
      </c>
      <c r="C1067" s="555" t="str">
        <f>VLOOKUP(D1067,기본!$D$13:$E$74,2,0)</f>
        <v>MNT JDM</v>
      </c>
      <c r="D1067" t="s">
        <v>157</v>
      </c>
      <c r="E1067" t="s">
        <v>710</v>
      </c>
      <c r="F1067" t="s">
        <v>1886</v>
      </c>
      <c r="G1067" s="554">
        <v>24288</v>
      </c>
      <c r="H1067">
        <v>127.24609497600001</v>
      </c>
    </row>
    <row r="1068" spans="2:8">
      <c r="B1068" s="555" t="s">
        <v>2232</v>
      </c>
      <c r="C1068" s="555" t="str">
        <f>VLOOKUP(D1068,기본!$D$13:$E$74,2,0)</f>
        <v>MNT JDM</v>
      </c>
      <c r="D1068" t="s">
        <v>157</v>
      </c>
      <c r="E1068" t="s">
        <v>1156</v>
      </c>
      <c r="F1068" t="s">
        <v>1870</v>
      </c>
      <c r="G1068" s="554">
        <v>24288</v>
      </c>
      <c r="H1068">
        <v>132.47182079999999</v>
      </c>
    </row>
    <row r="1069" spans="2:8">
      <c r="B1069" s="555" t="s">
        <v>2232</v>
      </c>
      <c r="C1069" s="555" t="str">
        <f>VLOOKUP(D1069,기본!$D$13:$E$74,2,0)</f>
        <v>AV JDM</v>
      </c>
      <c r="D1069" t="s">
        <v>1888</v>
      </c>
      <c r="E1069" t="s">
        <v>1842</v>
      </c>
      <c r="F1069" t="s">
        <v>1680</v>
      </c>
      <c r="G1069" s="554">
        <v>25000</v>
      </c>
      <c r="H1069">
        <v>224.69237999999996</v>
      </c>
    </row>
    <row r="1070" spans="2:8">
      <c r="B1070" s="555" t="s">
        <v>2232</v>
      </c>
      <c r="C1070" s="555" t="str">
        <f>VLOOKUP(D1070,기본!$D$13:$E$74,2,0)</f>
        <v>AV JDM</v>
      </c>
      <c r="D1070" t="s">
        <v>1888</v>
      </c>
      <c r="E1070" t="s">
        <v>2104</v>
      </c>
      <c r="F1070" t="s">
        <v>2105</v>
      </c>
      <c r="G1070" s="554">
        <v>450</v>
      </c>
      <c r="H1070">
        <v>4.3592194499999994</v>
      </c>
    </row>
    <row r="1071" spans="2:8">
      <c r="B1071" s="555" t="s">
        <v>2232</v>
      </c>
      <c r="C1071" s="555" t="str">
        <f>VLOOKUP(D1071,기본!$D$13:$E$74,2,0)</f>
        <v>AV JDM</v>
      </c>
      <c r="D1071" t="s">
        <v>1888</v>
      </c>
      <c r="E1071" t="s">
        <v>111</v>
      </c>
      <c r="F1071" t="s">
        <v>110</v>
      </c>
      <c r="G1071" s="554">
        <v>120</v>
      </c>
      <c r="H1071">
        <v>1.2686745599999998</v>
      </c>
    </row>
    <row r="1072" spans="2:8">
      <c r="B1072" s="555" t="s">
        <v>2232</v>
      </c>
      <c r="C1072" s="555" t="str">
        <f>VLOOKUP(D1072,기본!$D$13:$E$74,2,0)</f>
        <v>AV JDM</v>
      </c>
      <c r="D1072" t="s">
        <v>1888</v>
      </c>
      <c r="E1072" t="s">
        <v>105</v>
      </c>
      <c r="F1072" t="s">
        <v>104</v>
      </c>
      <c r="G1072" s="554">
        <v>12800</v>
      </c>
      <c r="H1072">
        <v>128.56257479999999</v>
      </c>
    </row>
    <row r="1073" spans="2:8">
      <c r="B1073" s="555" t="s">
        <v>2232</v>
      </c>
      <c r="C1073" s="555" t="str">
        <f>VLOOKUP(D1073,기본!$D$13:$E$74,2,0)</f>
        <v>AV JDM</v>
      </c>
      <c r="D1073" t="s">
        <v>1888</v>
      </c>
      <c r="E1073" t="s">
        <v>688</v>
      </c>
      <c r="F1073" t="s">
        <v>687</v>
      </c>
      <c r="G1073" s="554">
        <v>3000</v>
      </c>
      <c r="H1073">
        <v>30.110496000000001</v>
      </c>
    </row>
    <row r="1074" spans="2:8">
      <c r="B1074" s="555" t="s">
        <v>2232</v>
      </c>
      <c r="C1074" s="555" t="str">
        <f>VLOOKUP(D1074,기본!$D$13:$E$74,2,0)</f>
        <v>AV JDM</v>
      </c>
      <c r="D1074" t="s">
        <v>1888</v>
      </c>
      <c r="E1074" t="s">
        <v>690</v>
      </c>
      <c r="F1074" t="s">
        <v>689</v>
      </c>
      <c r="G1074" s="554">
        <v>2393</v>
      </c>
      <c r="H1074">
        <v>24.671628952999995</v>
      </c>
    </row>
    <row r="1075" spans="2:8">
      <c r="B1075" s="555" t="s">
        <v>2232</v>
      </c>
      <c r="C1075" s="555" t="str">
        <f>VLOOKUP(D1075,기본!$D$13:$E$74,2,0)</f>
        <v>AV JDM</v>
      </c>
      <c r="D1075" t="s">
        <v>1888</v>
      </c>
      <c r="E1075" t="s">
        <v>1889</v>
      </c>
      <c r="F1075" t="s">
        <v>1890</v>
      </c>
      <c r="G1075" s="554">
        <v>40320</v>
      </c>
      <c r="H1075">
        <v>316.82095200000003</v>
      </c>
    </row>
    <row r="1076" spans="2:8">
      <c r="B1076" s="555" t="s">
        <v>2232</v>
      </c>
      <c r="C1076" s="555" t="str">
        <f>VLOOKUP(D1076,기본!$D$13:$E$74,2,0)</f>
        <v>AV JDM</v>
      </c>
      <c r="D1076" t="s">
        <v>1888</v>
      </c>
      <c r="E1076" t="s">
        <v>2106</v>
      </c>
      <c r="F1076" t="s">
        <v>1256</v>
      </c>
      <c r="G1076" s="554">
        <v>7056</v>
      </c>
      <c r="H1076">
        <v>68.516025984000009</v>
      </c>
    </row>
    <row r="1077" spans="2:8">
      <c r="B1077" s="555" t="s">
        <v>2232</v>
      </c>
      <c r="C1077" s="555" t="str">
        <f>VLOOKUP(D1077,기본!$D$13:$E$74,2,0)</f>
        <v>AV JDM</v>
      </c>
      <c r="D1077" t="s">
        <v>1888</v>
      </c>
      <c r="E1077" t="s">
        <v>2209</v>
      </c>
      <c r="F1077" t="s">
        <v>1260</v>
      </c>
      <c r="G1077" s="554">
        <v>2016</v>
      </c>
      <c r="H1077">
        <v>14.546214144</v>
      </c>
    </row>
    <row r="1078" spans="2:8">
      <c r="B1078" s="555" t="s">
        <v>2232</v>
      </c>
      <c r="C1078" s="555" t="str">
        <f>VLOOKUP(D1078,기본!$D$13:$E$74,2,0)</f>
        <v>AV JDM</v>
      </c>
      <c r="D1078" t="s">
        <v>1888</v>
      </c>
      <c r="E1078" t="s">
        <v>1845</v>
      </c>
      <c r="F1078" t="s">
        <v>1340</v>
      </c>
      <c r="G1078" s="554">
        <v>17724</v>
      </c>
      <c r="H1078">
        <v>182.79442057799997</v>
      </c>
    </row>
    <row r="1079" spans="2:8">
      <c r="B1079" s="555" t="s">
        <v>2232</v>
      </c>
      <c r="C1079" s="555" t="str">
        <f>VLOOKUP(D1079,기본!$D$13:$E$74,2,0)</f>
        <v>AV JDM</v>
      </c>
      <c r="D1079" t="s">
        <v>1888</v>
      </c>
      <c r="E1079" t="s">
        <v>1846</v>
      </c>
      <c r="F1079" t="s">
        <v>1341</v>
      </c>
      <c r="G1079" s="554">
        <v>588</v>
      </c>
      <c r="H1079">
        <v>6.6585005339999999</v>
      </c>
    </row>
    <row r="1080" spans="2:8">
      <c r="B1080" s="555" t="s">
        <v>2232</v>
      </c>
      <c r="C1080" s="555" t="str">
        <f>VLOOKUP(D1080,기본!$D$13:$E$74,2,0)</f>
        <v>AV JDM</v>
      </c>
      <c r="D1080" t="s">
        <v>1888</v>
      </c>
      <c r="E1080" t="s">
        <v>1847</v>
      </c>
      <c r="F1080" t="s">
        <v>1336</v>
      </c>
      <c r="G1080" s="554">
        <v>43320</v>
      </c>
      <c r="H1080">
        <v>390.31132799999995</v>
      </c>
    </row>
    <row r="1081" spans="2:8">
      <c r="B1081" s="555" t="s">
        <v>2232</v>
      </c>
      <c r="C1081" s="555" t="str">
        <f>VLOOKUP(D1081,기본!$D$13:$E$74,2,0)</f>
        <v>AV JDM</v>
      </c>
      <c r="D1081" t="s">
        <v>1888</v>
      </c>
      <c r="E1081" t="s">
        <v>1894</v>
      </c>
      <c r="F1081" t="s">
        <v>1337</v>
      </c>
      <c r="G1081" s="554">
        <v>880</v>
      </c>
      <c r="H1081">
        <v>8.854368599999999</v>
      </c>
    </row>
    <row r="1082" spans="2:8">
      <c r="B1082" s="555" t="s">
        <v>2232</v>
      </c>
      <c r="C1082" s="555" t="str">
        <f>VLOOKUP(D1082,기본!$D$13:$E$74,2,0)</f>
        <v>AV JDM</v>
      </c>
      <c r="D1082" t="s">
        <v>1888</v>
      </c>
      <c r="E1082" t="s">
        <v>1015</v>
      </c>
      <c r="F1082" t="s">
        <v>1015</v>
      </c>
      <c r="G1082" s="554">
        <v>28480</v>
      </c>
      <c r="H1082">
        <v>197.98523136</v>
      </c>
    </row>
    <row r="1083" spans="2:8">
      <c r="B1083" s="555" t="s">
        <v>2232</v>
      </c>
      <c r="C1083" s="555" t="str">
        <f>VLOOKUP(D1083,기본!$D$13:$E$74,2,0)</f>
        <v>AV JDM</v>
      </c>
      <c r="D1083" t="s">
        <v>1888</v>
      </c>
      <c r="E1083" t="s">
        <v>1016</v>
      </c>
      <c r="F1083" t="s">
        <v>1016</v>
      </c>
      <c r="G1083" s="554">
        <v>33664</v>
      </c>
      <c r="H1083">
        <v>277.01017286400003</v>
      </c>
    </row>
    <row r="1084" spans="2:8">
      <c r="B1084" s="555" t="s">
        <v>2232</v>
      </c>
      <c r="C1084" s="555" t="str">
        <f>VLOOKUP(D1084,기본!$D$13:$E$74,2,0)</f>
        <v>AV JDM</v>
      </c>
      <c r="D1084" t="s">
        <v>1888</v>
      </c>
      <c r="E1084" t="s">
        <v>1047</v>
      </c>
      <c r="F1084" t="s">
        <v>1047</v>
      </c>
      <c r="G1084" s="554">
        <v>768</v>
      </c>
      <c r="H1084">
        <v>6.9340515840000005</v>
      </c>
    </row>
    <row r="1085" spans="2:8">
      <c r="B1085" s="555" t="s">
        <v>2232</v>
      </c>
      <c r="C1085" s="555" t="str">
        <f>VLOOKUP(D1085,기본!$D$13:$E$74,2,0)</f>
        <v>AV JDM</v>
      </c>
      <c r="D1085" t="s">
        <v>1888</v>
      </c>
      <c r="E1085" t="s">
        <v>1895</v>
      </c>
      <c r="F1085" t="s">
        <v>1895</v>
      </c>
      <c r="G1085" s="554">
        <v>10480</v>
      </c>
      <c r="H1085">
        <v>91.016720219999996</v>
      </c>
    </row>
    <row r="1086" spans="2:8">
      <c r="B1086" s="555" t="s">
        <v>2232</v>
      </c>
      <c r="C1086" s="555" t="str">
        <f>VLOOKUP(D1086,기본!$D$13:$E$74,2,0)</f>
        <v>AV JDM</v>
      </c>
      <c r="D1086" t="s">
        <v>1888</v>
      </c>
      <c r="E1086" t="s">
        <v>2160</v>
      </c>
      <c r="F1086" t="s">
        <v>2160</v>
      </c>
      <c r="G1086" s="554">
        <v>1760</v>
      </c>
      <c r="H1086">
        <v>16.30226592</v>
      </c>
    </row>
    <row r="1087" spans="2:8">
      <c r="B1087" s="555" t="s">
        <v>2232</v>
      </c>
      <c r="C1087" s="555" t="str">
        <f>VLOOKUP(D1087,기본!$D$13:$E$74,2,0)</f>
        <v>MNT JDM</v>
      </c>
      <c r="D1087" t="s">
        <v>1898</v>
      </c>
      <c r="E1087" t="s">
        <v>709</v>
      </c>
      <c r="F1087" t="s">
        <v>2161</v>
      </c>
      <c r="G1087" s="554">
        <v>4224</v>
      </c>
      <c r="H1087">
        <v>18.707622912000001</v>
      </c>
    </row>
    <row r="1088" spans="2:8">
      <c r="B1088" s="555" t="s">
        <v>2232</v>
      </c>
      <c r="C1088" s="555" t="str">
        <f>VLOOKUP(D1088,기본!$D$13:$E$74,2,0)</f>
        <v>MNT JDM</v>
      </c>
      <c r="D1088" t="s">
        <v>1898</v>
      </c>
      <c r="E1088" t="s">
        <v>710</v>
      </c>
      <c r="F1088" t="s">
        <v>2162</v>
      </c>
      <c r="G1088" s="554">
        <v>4224</v>
      </c>
      <c r="H1088">
        <v>22.369053696000002</v>
      </c>
    </row>
    <row r="1089" spans="2:8">
      <c r="B1089" s="555" t="s">
        <v>2232</v>
      </c>
      <c r="C1089" s="555" t="str">
        <f>VLOOKUP(D1089,기본!$D$13:$E$74,2,0)</f>
        <v>MNT JDM</v>
      </c>
      <c r="D1089" t="s">
        <v>1898</v>
      </c>
      <c r="E1089" t="s">
        <v>1156</v>
      </c>
      <c r="F1089" t="s">
        <v>2114</v>
      </c>
      <c r="G1089" s="554">
        <v>8448</v>
      </c>
      <c r="H1089">
        <v>45.511065600000002</v>
      </c>
    </row>
    <row r="1090" spans="2:8">
      <c r="B1090" s="555" t="s">
        <v>2232</v>
      </c>
      <c r="C1090" s="555" t="str">
        <f>VLOOKUP(D1090,기본!$D$13:$E$74,2,0)</f>
        <v>AV JDM</v>
      </c>
      <c r="D1090" t="s">
        <v>1899</v>
      </c>
      <c r="E1090" t="s">
        <v>436</v>
      </c>
      <c r="F1090" t="s">
        <v>2210</v>
      </c>
      <c r="G1090" s="554">
        <v>10626</v>
      </c>
      <c r="H1090">
        <v>90.303020807999999</v>
      </c>
    </row>
    <row r="1091" spans="2:8">
      <c r="B1091" s="555" t="s">
        <v>2232</v>
      </c>
      <c r="C1091" s="555" t="str">
        <f>VLOOKUP(D1091,기본!$D$13:$E$74,2,0)</f>
        <v>MNT JDM</v>
      </c>
      <c r="D1091" t="s">
        <v>1900</v>
      </c>
      <c r="E1091" t="s">
        <v>1156</v>
      </c>
      <c r="F1091" t="s">
        <v>2116</v>
      </c>
      <c r="G1091" s="554">
        <v>8448</v>
      </c>
      <c r="H1091">
        <v>45.511065600000002</v>
      </c>
    </row>
    <row r="1092" spans="2:8">
      <c r="B1092" s="555" t="s">
        <v>2232</v>
      </c>
      <c r="C1092" s="555" t="str">
        <f>VLOOKUP(D1092,기본!$D$13:$E$74,2,0)</f>
        <v>한화비전</v>
      </c>
      <c r="D1092" t="s">
        <v>1901</v>
      </c>
      <c r="E1092" t="s">
        <v>2117</v>
      </c>
      <c r="F1092" t="s">
        <v>2118</v>
      </c>
      <c r="G1092" s="554">
        <v>1920</v>
      </c>
      <c r="H1092">
        <v>6.917191680000002</v>
      </c>
    </row>
    <row r="1093" spans="2:8">
      <c r="B1093" s="555" t="s">
        <v>2232</v>
      </c>
      <c r="C1093" s="555" t="str">
        <f>VLOOKUP(D1093,기본!$D$13:$E$74,2,0)</f>
        <v>한화비전</v>
      </c>
      <c r="D1093" t="s">
        <v>1901</v>
      </c>
      <c r="E1093" t="s">
        <v>1902</v>
      </c>
      <c r="F1093" t="s">
        <v>1903</v>
      </c>
      <c r="G1093" s="554">
        <v>1800</v>
      </c>
      <c r="H1093">
        <v>63.142128000000007</v>
      </c>
    </row>
    <row r="1094" spans="2:8">
      <c r="B1094" s="555" t="s">
        <v>2232</v>
      </c>
      <c r="C1094" s="555" t="str">
        <f>VLOOKUP(D1094,기본!$D$13:$E$74,2,0)</f>
        <v>코웨이</v>
      </c>
      <c r="D1094" t="s">
        <v>1905</v>
      </c>
      <c r="E1094" t="s">
        <v>1066</v>
      </c>
      <c r="F1094" t="s">
        <v>1066</v>
      </c>
      <c r="G1094" s="554">
        <v>1000</v>
      </c>
      <c r="H1094">
        <v>8.1140150000000002</v>
      </c>
    </row>
    <row r="1095" spans="2:8">
      <c r="B1095" s="555" t="s">
        <v>2232</v>
      </c>
      <c r="C1095" s="555" t="str">
        <f>VLOOKUP(D1095,기본!$D$13:$E$74,2,0)</f>
        <v>코웨이</v>
      </c>
      <c r="D1095" t="s">
        <v>1905</v>
      </c>
      <c r="E1095" t="s">
        <v>1906</v>
      </c>
      <c r="F1095" t="s">
        <v>1906</v>
      </c>
      <c r="G1095" s="554">
        <v>9553</v>
      </c>
      <c r="H1095">
        <v>63.101163996000004</v>
      </c>
    </row>
    <row r="1096" spans="2:8">
      <c r="B1096" s="555" t="s">
        <v>2232</v>
      </c>
      <c r="C1096" s="555" t="str">
        <f>VLOOKUP(D1096,기본!$D$13:$E$74,2,0)</f>
        <v>코웨이</v>
      </c>
      <c r="D1096" t="s">
        <v>1905</v>
      </c>
      <c r="E1096" t="s">
        <v>1907</v>
      </c>
      <c r="F1096" t="s">
        <v>1907</v>
      </c>
      <c r="G1096" s="554">
        <v>2350</v>
      </c>
      <c r="H1096">
        <v>17.59377555</v>
      </c>
    </row>
    <row r="1097" spans="2:8">
      <c r="B1097" s="555" t="s">
        <v>2232</v>
      </c>
      <c r="C1097" s="555" t="str">
        <f>VLOOKUP(D1097,기본!$D$13:$E$74,2,0)</f>
        <v>코웨이</v>
      </c>
      <c r="D1097" t="s">
        <v>1905</v>
      </c>
      <c r="E1097" t="s">
        <v>1909</v>
      </c>
      <c r="F1097" t="s">
        <v>1909</v>
      </c>
      <c r="G1097" s="554">
        <v>2000</v>
      </c>
      <c r="H1097">
        <v>11.318709999999999</v>
      </c>
    </row>
    <row r="1098" spans="2:8">
      <c r="B1098" s="555" t="s">
        <v>2232</v>
      </c>
      <c r="C1098" s="555" t="str">
        <f>VLOOKUP(D1098,기본!$D$13:$E$74,2,0)</f>
        <v>코웨이</v>
      </c>
      <c r="D1098" t="s">
        <v>1905</v>
      </c>
      <c r="E1098" t="s">
        <v>2165</v>
      </c>
      <c r="F1098" t="s">
        <v>2165</v>
      </c>
      <c r="G1098" s="554">
        <v>1944</v>
      </c>
      <c r="H1098">
        <v>12.61426608</v>
      </c>
    </row>
    <row r="1099" spans="2:8">
      <c r="B1099" s="555" t="s">
        <v>2232</v>
      </c>
      <c r="C1099" s="555" t="str">
        <f>VLOOKUP(D1099,기본!$D$13:$E$74,2,0)</f>
        <v>코웨이</v>
      </c>
      <c r="D1099" t="s">
        <v>1905</v>
      </c>
      <c r="E1099" t="s">
        <v>1910</v>
      </c>
      <c r="F1099" t="s">
        <v>1910</v>
      </c>
      <c r="G1099" s="554">
        <v>2090</v>
      </c>
      <c r="H1099">
        <v>12.753706679999997</v>
      </c>
    </row>
    <row r="1100" spans="2:8">
      <c r="B1100" s="555" t="s">
        <v>2232</v>
      </c>
      <c r="C1100" s="555" t="str">
        <f>VLOOKUP(D1100,기본!$D$13:$E$74,2,0)</f>
        <v>삼성 VD</v>
      </c>
      <c r="D1100" t="s">
        <v>1912</v>
      </c>
      <c r="E1100" t="s">
        <v>1165</v>
      </c>
      <c r="F1100" t="s">
        <v>1882</v>
      </c>
      <c r="G1100" s="554">
        <v>132</v>
      </c>
      <c r="H1100">
        <v>3.99669732</v>
      </c>
    </row>
    <row r="1101" spans="2:8">
      <c r="B1101" s="555" t="s">
        <v>2232</v>
      </c>
      <c r="C1101" s="555" t="str">
        <f>VLOOKUP(D1101,기본!$D$13:$E$74,2,0)</f>
        <v>삼성 VD</v>
      </c>
      <c r="D1101" t="s">
        <v>1912</v>
      </c>
      <c r="E1101" t="s">
        <v>1164</v>
      </c>
      <c r="F1101" t="s">
        <v>1850</v>
      </c>
      <c r="G1101" s="554">
        <v>30</v>
      </c>
      <c r="H1101">
        <v>0.82504089000000003</v>
      </c>
    </row>
    <row r="1102" spans="2:8">
      <c r="B1102" s="555" t="s">
        <v>2232</v>
      </c>
      <c r="C1102" s="555" t="str">
        <f>VLOOKUP(D1102,기본!$D$13:$E$74,2,0)</f>
        <v>삼성 VD</v>
      </c>
      <c r="D1102" t="s">
        <v>1912</v>
      </c>
      <c r="E1102" t="s">
        <v>1853</v>
      </c>
      <c r="F1102" t="s">
        <v>1854</v>
      </c>
      <c r="G1102" s="554">
        <v>540</v>
      </c>
      <c r="H1102">
        <v>7.7163559199999989</v>
      </c>
    </row>
    <row r="1103" spans="2:8">
      <c r="B1103" s="555" t="s">
        <v>2232</v>
      </c>
      <c r="C1103" s="555" t="str">
        <f>VLOOKUP(D1103,기본!$D$13:$E$74,2,0)</f>
        <v>삼성 VD</v>
      </c>
      <c r="D1103" t="s">
        <v>1912</v>
      </c>
      <c r="E1103" t="s">
        <v>1855</v>
      </c>
      <c r="F1103" t="s">
        <v>1856</v>
      </c>
      <c r="G1103" s="554">
        <v>69</v>
      </c>
      <c r="H1103">
        <v>1.0064232359999998</v>
      </c>
    </row>
    <row r="1104" spans="2:8">
      <c r="B1104" s="555" t="s">
        <v>2232</v>
      </c>
      <c r="C1104" s="555" t="str">
        <f>VLOOKUP(D1104,기본!$D$13:$E$74,2,0)</f>
        <v>삼성 VD</v>
      </c>
      <c r="D1104" t="s">
        <v>1912</v>
      </c>
      <c r="E1104" t="s">
        <v>1874</v>
      </c>
      <c r="F1104" t="s">
        <v>1875</v>
      </c>
      <c r="G1104" s="554">
        <v>391</v>
      </c>
      <c r="H1104">
        <v>6.2138658399999995</v>
      </c>
    </row>
    <row r="1105" spans="2:8">
      <c r="B1105" s="555" t="s">
        <v>2232</v>
      </c>
      <c r="C1105" s="555" t="str">
        <f>VLOOKUP(D1105,기본!$D$13:$E$74,2,0)</f>
        <v>삼성 VD</v>
      </c>
      <c r="D1105" t="s">
        <v>1912</v>
      </c>
      <c r="E1105" t="s">
        <v>1865</v>
      </c>
      <c r="F1105" t="s">
        <v>1866</v>
      </c>
      <c r="G1105" s="554">
        <v>48</v>
      </c>
      <c r="H1105">
        <v>2.055494736</v>
      </c>
    </row>
    <row r="1106" spans="2:8">
      <c r="B1106" s="555" t="s">
        <v>2232</v>
      </c>
      <c r="C1106" s="555" t="str">
        <f>VLOOKUP(D1106,기본!$D$13:$E$74,2,0)</f>
        <v>삼성 VD</v>
      </c>
      <c r="D1106" t="s">
        <v>1912</v>
      </c>
      <c r="E1106" t="s">
        <v>1786</v>
      </c>
      <c r="F1106" t="s">
        <v>1671</v>
      </c>
      <c r="G1106" s="554">
        <v>21600</v>
      </c>
      <c r="H1106">
        <v>235.78426080000003</v>
      </c>
    </row>
    <row r="1107" spans="2:8">
      <c r="B1107" s="555" t="s">
        <v>2232</v>
      </c>
      <c r="C1107" s="555" t="str">
        <f>VLOOKUP(D1107,기본!$D$13:$E$74,2,0)</f>
        <v>삼성 VD</v>
      </c>
      <c r="D1107" t="s">
        <v>1912</v>
      </c>
      <c r="E1107" t="s">
        <v>1788</v>
      </c>
      <c r="F1107" t="s">
        <v>1913</v>
      </c>
      <c r="G1107" s="554">
        <v>77760</v>
      </c>
      <c r="H1107">
        <v>948.61760687999993</v>
      </c>
    </row>
    <row r="1108" spans="2:8">
      <c r="B1108" s="555" t="s">
        <v>2232</v>
      </c>
      <c r="C1108" s="555" t="str">
        <f>VLOOKUP(D1108,기본!$D$13:$E$74,2,0)</f>
        <v>삼성 VD</v>
      </c>
      <c r="D1108" t="s">
        <v>1912</v>
      </c>
      <c r="E1108" t="s">
        <v>1790</v>
      </c>
      <c r="F1108" t="s">
        <v>1914</v>
      </c>
      <c r="G1108" s="554">
        <v>38016</v>
      </c>
      <c r="H1108">
        <v>513.16382620799993</v>
      </c>
    </row>
    <row r="1109" spans="2:8">
      <c r="B1109" s="555" t="s">
        <v>2232</v>
      </c>
      <c r="C1109" s="555" t="str">
        <f>VLOOKUP(D1109,기본!$D$13:$E$74,2,0)</f>
        <v>삼성 VD</v>
      </c>
      <c r="D1109" t="s">
        <v>1912</v>
      </c>
      <c r="E1109" t="s">
        <v>1792</v>
      </c>
      <c r="F1109" t="s">
        <v>1915</v>
      </c>
      <c r="G1109" s="554">
        <v>18144</v>
      </c>
      <c r="H1109">
        <v>320.27301244800003</v>
      </c>
    </row>
    <row r="1110" spans="2:8">
      <c r="B1110" s="555" t="s">
        <v>2232</v>
      </c>
      <c r="C1110" s="555" t="str">
        <f>VLOOKUP(D1110,기본!$D$13:$E$74,2,0)</f>
        <v>삼성 VD</v>
      </c>
      <c r="D1110" t="s">
        <v>1912</v>
      </c>
      <c r="E1110" t="s">
        <v>1923</v>
      </c>
      <c r="F1110" t="s">
        <v>1924</v>
      </c>
      <c r="G1110" s="554">
        <v>1540</v>
      </c>
      <c r="H1110">
        <v>7.5206670000000004</v>
      </c>
    </row>
    <row r="1111" spans="2:8">
      <c r="B1111" s="555" t="s">
        <v>2232</v>
      </c>
      <c r="C1111" s="555" t="str">
        <f>VLOOKUP(D1111,기본!$D$13:$E$74,2,0)</f>
        <v>삼성 VD</v>
      </c>
      <c r="D1111" t="s">
        <v>1912</v>
      </c>
      <c r="E1111" t="s">
        <v>1925</v>
      </c>
      <c r="F1111" t="s">
        <v>1926</v>
      </c>
      <c r="G1111" s="554">
        <v>714</v>
      </c>
      <c r="H1111">
        <v>6.0571647359999998</v>
      </c>
    </row>
    <row r="1112" spans="2:8">
      <c r="B1112" s="555" t="s">
        <v>2232</v>
      </c>
      <c r="C1112" s="555" t="str">
        <f>VLOOKUP(D1112,기본!$D$13:$E$74,2,0)</f>
        <v>삼성 VD</v>
      </c>
      <c r="D1112" t="s">
        <v>1916</v>
      </c>
      <c r="E1112" t="s">
        <v>1851</v>
      </c>
      <c r="F1112" t="s">
        <v>1852</v>
      </c>
      <c r="G1112" s="554">
        <v>688</v>
      </c>
      <c r="H1112">
        <v>5.0937344639999997</v>
      </c>
    </row>
    <row r="1113" spans="2:8">
      <c r="B1113" s="555" t="s">
        <v>2232</v>
      </c>
      <c r="C1113" s="555" t="str">
        <f>VLOOKUP(D1113,기본!$D$13:$E$74,2,0)</f>
        <v>삼성 VD</v>
      </c>
      <c r="D1113" t="s">
        <v>1916</v>
      </c>
      <c r="E1113" t="s">
        <v>1874</v>
      </c>
      <c r="F1113" t="s">
        <v>1875</v>
      </c>
      <c r="G1113" s="554">
        <v>46</v>
      </c>
      <c r="H1113">
        <v>0.7167938960000001</v>
      </c>
    </row>
    <row r="1114" spans="2:8">
      <c r="B1114" s="555" t="s">
        <v>2232</v>
      </c>
      <c r="C1114" s="555" t="str">
        <f>VLOOKUP(D1114,기본!$D$13:$E$74,2,0)</f>
        <v>삼성 VD</v>
      </c>
      <c r="D1114" t="s">
        <v>1916</v>
      </c>
      <c r="E1114" t="s">
        <v>1786</v>
      </c>
      <c r="F1114" t="s">
        <v>1671</v>
      </c>
      <c r="G1114" s="554">
        <v>18144</v>
      </c>
      <c r="H1114">
        <v>197.42781196800001</v>
      </c>
    </row>
    <row r="1115" spans="2:8">
      <c r="B1115" s="555" t="s">
        <v>2232</v>
      </c>
      <c r="C1115" s="555" t="str">
        <f>VLOOKUP(D1115,기본!$D$13:$E$74,2,0)</f>
        <v>삼성 VD</v>
      </c>
      <c r="D1115" t="s">
        <v>1916</v>
      </c>
      <c r="E1115" t="s">
        <v>1777</v>
      </c>
      <c r="F1115" t="s">
        <v>1672</v>
      </c>
      <c r="G1115" s="554">
        <v>1404</v>
      </c>
      <c r="H1115">
        <v>15.69452976</v>
      </c>
    </row>
    <row r="1116" spans="2:8">
      <c r="B1116" s="555" t="s">
        <v>2232</v>
      </c>
      <c r="C1116" s="555" t="str">
        <f>VLOOKUP(D1116,기본!$D$13:$E$74,2,0)</f>
        <v>삼성 VD</v>
      </c>
      <c r="D1116" t="s">
        <v>1916</v>
      </c>
      <c r="E1116" t="s">
        <v>1788</v>
      </c>
      <c r="F1116" t="s">
        <v>1913</v>
      </c>
      <c r="G1116" s="554">
        <v>12852</v>
      </c>
      <c r="H1116">
        <v>155.37534047999998</v>
      </c>
    </row>
    <row r="1117" spans="2:8">
      <c r="B1117" s="555" t="s">
        <v>2232</v>
      </c>
      <c r="C1117" s="555" t="str">
        <f>VLOOKUP(D1117,기본!$D$13:$E$74,2,0)</f>
        <v>삼성 VD</v>
      </c>
      <c r="D1117" t="s">
        <v>1916</v>
      </c>
      <c r="E1117" t="s">
        <v>1778</v>
      </c>
      <c r="F1117" t="s">
        <v>1919</v>
      </c>
      <c r="G1117" s="554">
        <v>12744</v>
      </c>
      <c r="H1117">
        <v>161.50965667199998</v>
      </c>
    </row>
    <row r="1118" spans="2:8">
      <c r="B1118" s="555" t="s">
        <v>2232</v>
      </c>
      <c r="C1118" s="555" t="str">
        <f>VLOOKUP(D1118,기본!$D$13:$E$74,2,0)</f>
        <v>삼성 VD</v>
      </c>
      <c r="D1118" t="s">
        <v>1916</v>
      </c>
      <c r="E1118" t="s">
        <v>1790</v>
      </c>
      <c r="F1118" t="s">
        <v>1914</v>
      </c>
      <c r="G1118" s="554">
        <v>1584</v>
      </c>
      <c r="H1118">
        <v>21.343105872000002</v>
      </c>
    </row>
    <row r="1119" spans="2:8">
      <c r="B1119" s="555" t="s">
        <v>2232</v>
      </c>
      <c r="C1119" s="555" t="str">
        <f>VLOOKUP(D1119,기본!$D$13:$E$74,2,0)</f>
        <v>삼성 VD</v>
      </c>
      <c r="D1119" t="s">
        <v>1916</v>
      </c>
      <c r="E1119" t="s">
        <v>1779</v>
      </c>
      <c r="F1119" t="s">
        <v>1920</v>
      </c>
      <c r="G1119" s="554">
        <v>16434</v>
      </c>
      <c r="H1119">
        <v>236.362591278</v>
      </c>
    </row>
    <row r="1120" spans="2:8">
      <c r="B1120" s="555" t="s">
        <v>2232</v>
      </c>
      <c r="C1120" s="555" t="str">
        <f>VLOOKUP(D1120,기본!$D$13:$E$74,2,0)</f>
        <v>삼성 VD</v>
      </c>
      <c r="D1120" t="s">
        <v>1916</v>
      </c>
      <c r="E1120" t="s">
        <v>1792</v>
      </c>
      <c r="F1120" t="s">
        <v>1915</v>
      </c>
      <c r="G1120" s="554">
        <v>3456</v>
      </c>
      <c r="H1120">
        <v>61.775415071999994</v>
      </c>
    </row>
    <row r="1121" spans="2:8">
      <c r="B1121" s="555" t="s">
        <v>2232</v>
      </c>
      <c r="C1121" s="555" t="str">
        <f>VLOOKUP(D1121,기본!$D$13:$E$74,2,0)</f>
        <v>삼성 VD</v>
      </c>
      <c r="D1121" t="s">
        <v>1916</v>
      </c>
      <c r="E1121" t="s">
        <v>1921</v>
      </c>
      <c r="F1121" t="s">
        <v>1922</v>
      </c>
      <c r="G1121" s="554">
        <v>1620</v>
      </c>
      <c r="H1121">
        <v>38.452397759999997</v>
      </c>
    </row>
    <row r="1122" spans="2:8">
      <c r="B1122" s="555" t="s">
        <v>2232</v>
      </c>
      <c r="C1122" s="555" t="str">
        <f>VLOOKUP(D1122,기본!$D$13:$E$74,2,0)</f>
        <v>삼성 VD</v>
      </c>
      <c r="D1122" t="s">
        <v>1916</v>
      </c>
      <c r="E1122" t="s">
        <v>1923</v>
      </c>
      <c r="F1122" t="s">
        <v>1924</v>
      </c>
      <c r="G1122" s="554">
        <v>34584</v>
      </c>
      <c r="H1122">
        <v>163.56952919999998</v>
      </c>
    </row>
    <row r="1123" spans="2:8">
      <c r="B1123" s="555" t="s">
        <v>2232</v>
      </c>
      <c r="C1123" s="555" t="str">
        <f>VLOOKUP(D1123,기본!$D$13:$E$74,2,0)</f>
        <v>삼성 VD</v>
      </c>
      <c r="D1123" t="s">
        <v>1916</v>
      </c>
      <c r="E1123" t="s">
        <v>709</v>
      </c>
      <c r="F1123" t="s">
        <v>1869</v>
      </c>
      <c r="G1123" s="554">
        <v>2068</v>
      </c>
      <c r="H1123">
        <v>7.1022151199999994</v>
      </c>
    </row>
    <row r="1124" spans="2:8">
      <c r="B1124" s="555" t="s">
        <v>2232</v>
      </c>
      <c r="C1124" s="555" t="str">
        <f>VLOOKUP(D1124,기본!$D$13:$E$74,2,0)</f>
        <v>삼성 VD</v>
      </c>
      <c r="D1124" t="s">
        <v>1927</v>
      </c>
      <c r="E1124" t="s">
        <v>2119</v>
      </c>
      <c r="F1124" t="s">
        <v>2120</v>
      </c>
      <c r="G1124" s="554">
        <v>12552</v>
      </c>
      <c r="H1124">
        <v>241.00967543999997</v>
      </c>
    </row>
    <row r="1125" spans="2:8">
      <c r="B1125" s="555" t="s">
        <v>2232</v>
      </c>
      <c r="C1125" s="555" t="str">
        <f>VLOOKUP(D1125,기본!$D$13:$E$74,2,0)</f>
        <v>삼성 VD</v>
      </c>
      <c r="D1125" t="s">
        <v>1927</v>
      </c>
      <c r="E1125" t="s">
        <v>2121</v>
      </c>
      <c r="F1125" t="s">
        <v>874</v>
      </c>
      <c r="G1125" s="554">
        <v>432</v>
      </c>
      <c r="H1125">
        <v>8.5081831199999982</v>
      </c>
    </row>
    <row r="1126" spans="2:8">
      <c r="B1126" s="555" t="s">
        <v>2232</v>
      </c>
      <c r="C1126" s="555" t="str">
        <f>VLOOKUP(D1126,기본!$D$13:$E$74,2,0)</f>
        <v>삼성 VD</v>
      </c>
      <c r="D1126" t="s">
        <v>1927</v>
      </c>
      <c r="E1126" t="s">
        <v>1165</v>
      </c>
      <c r="F1126" t="s">
        <v>1882</v>
      </c>
      <c r="G1126" s="554">
        <v>6912</v>
      </c>
      <c r="H1126">
        <v>206.48428416000002</v>
      </c>
    </row>
    <row r="1127" spans="2:8">
      <c r="B1127" s="555" t="s">
        <v>2232</v>
      </c>
      <c r="C1127" s="555" t="str">
        <f>VLOOKUP(D1127,기본!$D$13:$E$74,2,0)</f>
        <v>삼성 VD</v>
      </c>
      <c r="D1127" t="s">
        <v>1927</v>
      </c>
      <c r="E1127" t="s">
        <v>1164</v>
      </c>
      <c r="F1127" t="s">
        <v>1850</v>
      </c>
      <c r="G1127" s="554">
        <v>4644</v>
      </c>
      <c r="H1127">
        <v>124.97054544</v>
      </c>
    </row>
    <row r="1128" spans="2:8">
      <c r="B1128" s="555" t="s">
        <v>2232</v>
      </c>
      <c r="C1128" s="555" t="str">
        <f>VLOOKUP(D1128,기본!$D$13:$E$74,2,0)</f>
        <v>삼성 VD</v>
      </c>
      <c r="D1128" t="s">
        <v>1927</v>
      </c>
      <c r="E1128" t="s">
        <v>1851</v>
      </c>
      <c r="F1128" t="s">
        <v>1852</v>
      </c>
      <c r="G1128" s="554">
        <v>6720</v>
      </c>
      <c r="H1128">
        <v>50.499985535999997</v>
      </c>
    </row>
    <row r="1129" spans="2:8">
      <c r="B1129" s="555" t="s">
        <v>2232</v>
      </c>
      <c r="C1129" s="555" t="str">
        <f>VLOOKUP(D1129,기본!$D$13:$E$74,2,0)</f>
        <v>삼성 VD</v>
      </c>
      <c r="D1129" t="s">
        <v>1927</v>
      </c>
      <c r="E1129" t="s">
        <v>1917</v>
      </c>
      <c r="F1129" t="s">
        <v>1918</v>
      </c>
      <c r="G1129" s="554">
        <v>1920</v>
      </c>
      <c r="H1129">
        <v>16.95492672</v>
      </c>
    </row>
    <row r="1130" spans="2:8">
      <c r="B1130" s="555" t="s">
        <v>2232</v>
      </c>
      <c r="C1130" s="555" t="str">
        <f>VLOOKUP(D1130,기본!$D$13:$E$74,2,0)</f>
        <v>삼성 VD</v>
      </c>
      <c r="D1130" t="s">
        <v>1927</v>
      </c>
      <c r="E1130" t="s">
        <v>1855</v>
      </c>
      <c r="F1130" t="s">
        <v>1856</v>
      </c>
      <c r="G1130" s="554">
        <v>129</v>
      </c>
      <c r="H1130">
        <v>1.8520385520000002</v>
      </c>
    </row>
    <row r="1131" spans="2:8">
      <c r="B1131" s="555" t="s">
        <v>2232</v>
      </c>
      <c r="C1131" s="555" t="str">
        <f>VLOOKUP(D1131,기본!$D$13:$E$74,2,0)</f>
        <v>삼성 VD</v>
      </c>
      <c r="D1131" t="s">
        <v>1927</v>
      </c>
      <c r="E1131" t="s">
        <v>1874</v>
      </c>
      <c r="F1131" t="s">
        <v>1875</v>
      </c>
      <c r="G1131" s="554">
        <v>911</v>
      </c>
      <c r="H1131">
        <v>14.195635636</v>
      </c>
    </row>
    <row r="1132" spans="2:8">
      <c r="B1132" s="555" t="s">
        <v>2232</v>
      </c>
      <c r="C1132" s="555" t="str">
        <f>VLOOKUP(D1132,기본!$D$13:$E$74,2,0)</f>
        <v>삼성 VD</v>
      </c>
      <c r="D1132" t="s">
        <v>1927</v>
      </c>
      <c r="E1132" t="s">
        <v>1928</v>
      </c>
      <c r="F1132" t="s">
        <v>1929</v>
      </c>
      <c r="G1132" s="554">
        <v>2400</v>
      </c>
      <c r="H1132">
        <v>23.752894320000003</v>
      </c>
    </row>
    <row r="1133" spans="2:8">
      <c r="B1133" s="555" t="s">
        <v>2232</v>
      </c>
      <c r="C1133" s="555" t="str">
        <f>VLOOKUP(D1133,기본!$D$13:$E$74,2,0)</f>
        <v>삼성 VD</v>
      </c>
      <c r="D1133" t="s">
        <v>1927</v>
      </c>
      <c r="E1133" t="s">
        <v>1040</v>
      </c>
      <c r="F1133" t="s">
        <v>1039</v>
      </c>
      <c r="G1133" s="554">
        <v>400</v>
      </c>
      <c r="H1133">
        <v>4.1750800000000003</v>
      </c>
    </row>
    <row r="1134" spans="2:8">
      <c r="B1134" s="555" t="s">
        <v>2232</v>
      </c>
      <c r="C1134" s="555" t="str">
        <f>VLOOKUP(D1134,기본!$D$13:$E$74,2,0)</f>
        <v>삼성 VD</v>
      </c>
      <c r="D1134" t="s">
        <v>1927</v>
      </c>
      <c r="E1134" t="s">
        <v>1857</v>
      </c>
      <c r="F1134" t="s">
        <v>1858</v>
      </c>
      <c r="G1134" s="554">
        <v>956</v>
      </c>
      <c r="H1134">
        <v>9.0861380159999996</v>
      </c>
    </row>
    <row r="1135" spans="2:8">
      <c r="B1135" s="555" t="s">
        <v>2232</v>
      </c>
      <c r="C1135" s="555" t="str">
        <f>VLOOKUP(D1135,기본!$D$13:$E$74,2,0)</f>
        <v>삼성 VD</v>
      </c>
      <c r="D1135" t="s">
        <v>1927</v>
      </c>
      <c r="E1135" t="s">
        <v>1859</v>
      </c>
      <c r="F1135" t="s">
        <v>1860</v>
      </c>
      <c r="G1135" s="554">
        <v>3744</v>
      </c>
      <c r="H1135">
        <v>65.681841504999994</v>
      </c>
    </row>
    <row r="1136" spans="2:8">
      <c r="B1136" s="555" t="s">
        <v>2232</v>
      </c>
      <c r="C1136" s="555" t="str">
        <f>VLOOKUP(D1136,기본!$D$13:$E$74,2,0)</f>
        <v>삼성 VD</v>
      </c>
      <c r="D1136" t="s">
        <v>1927</v>
      </c>
      <c r="E1136" t="s">
        <v>1861</v>
      </c>
      <c r="F1136" t="s">
        <v>1862</v>
      </c>
      <c r="G1136" s="554">
        <v>272</v>
      </c>
      <c r="H1136">
        <v>4.7347845120000001</v>
      </c>
    </row>
    <row r="1137" spans="2:8">
      <c r="B1137" s="555" t="s">
        <v>2232</v>
      </c>
      <c r="C1137" s="555" t="str">
        <f>VLOOKUP(D1137,기본!$D$13:$E$74,2,0)</f>
        <v>삼성 VD</v>
      </c>
      <c r="D1137" t="s">
        <v>1927</v>
      </c>
      <c r="E1137" t="s">
        <v>1930</v>
      </c>
      <c r="F1137" t="s">
        <v>1931</v>
      </c>
      <c r="G1137" s="554">
        <v>5928</v>
      </c>
      <c r="H1137">
        <v>38.412367343999996</v>
      </c>
    </row>
    <row r="1138" spans="2:8">
      <c r="B1138" s="555" t="s">
        <v>2232</v>
      </c>
      <c r="C1138" s="555" t="str">
        <f>VLOOKUP(D1138,기본!$D$13:$E$74,2,0)</f>
        <v>삼성 VD</v>
      </c>
      <c r="D1138" t="s">
        <v>1927</v>
      </c>
      <c r="E1138" t="s">
        <v>1309</v>
      </c>
      <c r="F1138" t="s">
        <v>1308</v>
      </c>
      <c r="G1138" s="554">
        <v>7486</v>
      </c>
      <c r="H1138">
        <v>163.70960102000001</v>
      </c>
    </row>
    <row r="1139" spans="2:8">
      <c r="B1139" s="555" t="s">
        <v>2232</v>
      </c>
      <c r="C1139" s="555" t="str">
        <f>VLOOKUP(D1139,기본!$D$13:$E$74,2,0)</f>
        <v>삼성 VD</v>
      </c>
      <c r="D1139" t="s">
        <v>1927</v>
      </c>
      <c r="E1139" t="s">
        <v>1313</v>
      </c>
      <c r="F1139" t="s">
        <v>1312</v>
      </c>
      <c r="G1139" s="554">
        <v>2808</v>
      </c>
      <c r="H1139">
        <v>61.596815616000008</v>
      </c>
    </row>
    <row r="1140" spans="2:8">
      <c r="B1140" s="555" t="s">
        <v>2232</v>
      </c>
      <c r="C1140" s="555" t="str">
        <f>VLOOKUP(D1140,기본!$D$13:$E$74,2,0)</f>
        <v>삼성 VD</v>
      </c>
      <c r="D1140" t="s">
        <v>1927</v>
      </c>
      <c r="E1140" t="s">
        <v>1865</v>
      </c>
      <c r="F1140" t="s">
        <v>1866</v>
      </c>
      <c r="G1140" s="554">
        <v>9984</v>
      </c>
      <c r="H1140">
        <v>418.98761068799996</v>
      </c>
    </row>
    <row r="1141" spans="2:8">
      <c r="B1141" s="555" t="s">
        <v>2232</v>
      </c>
      <c r="C1141" s="555" t="str">
        <f>VLOOKUP(D1141,기본!$D$13:$E$74,2,0)</f>
        <v>삼성 VD</v>
      </c>
      <c r="D1141" t="s">
        <v>1927</v>
      </c>
      <c r="E1141" t="s">
        <v>1932</v>
      </c>
      <c r="F1141" t="s">
        <v>1933</v>
      </c>
      <c r="G1141" s="554">
        <v>10674</v>
      </c>
      <c r="H1141">
        <v>187.15203900000003</v>
      </c>
    </row>
    <row r="1142" spans="2:8">
      <c r="B1142" s="555" t="s">
        <v>2232</v>
      </c>
      <c r="C1142" s="555" t="str">
        <f>VLOOKUP(D1142,기본!$D$13:$E$74,2,0)</f>
        <v>삼성 VD</v>
      </c>
      <c r="D1142" t="s">
        <v>1927</v>
      </c>
      <c r="E1142" t="s">
        <v>1934</v>
      </c>
      <c r="F1142" t="s">
        <v>1935</v>
      </c>
      <c r="G1142" s="554">
        <v>792</v>
      </c>
      <c r="H1142">
        <v>3.6020920319999998</v>
      </c>
    </row>
    <row r="1143" spans="2:8">
      <c r="B1143" s="555" t="s">
        <v>2232</v>
      </c>
      <c r="C1143" s="555" t="str">
        <f>VLOOKUP(D1143,기본!$D$13:$E$74,2,0)</f>
        <v>삼성 VD</v>
      </c>
      <c r="D1143" t="s">
        <v>1927</v>
      </c>
      <c r="E1143" t="s">
        <v>1923</v>
      </c>
      <c r="F1143" t="s">
        <v>1924</v>
      </c>
      <c r="G1143" s="554">
        <v>16632</v>
      </c>
      <c r="H1143">
        <v>79.525907999999987</v>
      </c>
    </row>
    <row r="1144" spans="2:8">
      <c r="B1144" s="555" t="s">
        <v>2232</v>
      </c>
      <c r="C1144" s="555" t="str">
        <f>VLOOKUP(D1144,기본!$D$13:$E$74,2,0)</f>
        <v>삼성 VD</v>
      </c>
      <c r="D1144" t="s">
        <v>1927</v>
      </c>
      <c r="E1144" t="s">
        <v>1938</v>
      </c>
      <c r="F1144" t="s">
        <v>1939</v>
      </c>
      <c r="G1144" s="554">
        <v>12530</v>
      </c>
      <c r="H1144">
        <v>68.648904928000007</v>
      </c>
    </row>
    <row r="1145" spans="2:8">
      <c r="B1145" s="555" t="s">
        <v>2232</v>
      </c>
      <c r="C1145" s="555" t="str">
        <f>VLOOKUP(D1145,기본!$D$13:$E$74,2,0)</f>
        <v>삼성 VD</v>
      </c>
      <c r="D1145" t="s">
        <v>1927</v>
      </c>
      <c r="E1145" t="s">
        <v>1940</v>
      </c>
      <c r="F1145" t="s">
        <v>1941</v>
      </c>
      <c r="G1145" s="554">
        <v>648</v>
      </c>
      <c r="H1145">
        <v>8.6178162870000019</v>
      </c>
    </row>
    <row r="1146" spans="2:8">
      <c r="B1146" s="555" t="s">
        <v>2232</v>
      </c>
      <c r="C1146" s="555" t="str">
        <f>VLOOKUP(D1146,기본!$D$13:$E$74,2,0)</f>
        <v>삼성 VD</v>
      </c>
      <c r="D1146" t="s">
        <v>1927</v>
      </c>
      <c r="E1146" t="s">
        <v>1867</v>
      </c>
      <c r="F1146" t="s">
        <v>1868</v>
      </c>
      <c r="G1146" s="554">
        <v>62</v>
      </c>
      <c r="H1146">
        <v>0.52331534000000002</v>
      </c>
    </row>
    <row r="1147" spans="2:8">
      <c r="B1147" s="555" t="s">
        <v>2232</v>
      </c>
      <c r="C1147" s="555" t="str">
        <f>VLOOKUP(D1147,기본!$D$13:$E$74,2,0)</f>
        <v>삼성 VD</v>
      </c>
      <c r="D1147" t="s">
        <v>1927</v>
      </c>
      <c r="E1147" t="s">
        <v>1925</v>
      </c>
      <c r="F1147" t="s">
        <v>1926</v>
      </c>
      <c r="G1147" s="554">
        <v>4746</v>
      </c>
      <c r="H1147">
        <v>39.341939616000005</v>
      </c>
    </row>
    <row r="1148" spans="2:8">
      <c r="B1148" s="555" t="s">
        <v>2232</v>
      </c>
      <c r="C1148" s="555" t="str">
        <f>VLOOKUP(D1148,기본!$D$13:$E$74,2,0)</f>
        <v>삼성 VD</v>
      </c>
      <c r="D1148" t="s">
        <v>1927</v>
      </c>
      <c r="E1148" t="s">
        <v>2122</v>
      </c>
      <c r="F1148" t="s">
        <v>2123</v>
      </c>
      <c r="G1148" s="554">
        <v>126</v>
      </c>
      <c r="H1148">
        <v>0.983312568</v>
      </c>
    </row>
    <row r="1149" spans="2:8">
      <c r="B1149" s="555" t="s">
        <v>2232</v>
      </c>
      <c r="C1149" s="555" t="str">
        <f>VLOOKUP(D1149,기본!$D$13:$E$74,2,0)</f>
        <v>삼성 VD</v>
      </c>
      <c r="D1149" t="s">
        <v>1927</v>
      </c>
      <c r="E1149" t="s">
        <v>2211</v>
      </c>
      <c r="F1149" t="s">
        <v>2212</v>
      </c>
      <c r="G1149" s="554">
        <v>462</v>
      </c>
      <c r="H1149">
        <v>3.9199960799999998</v>
      </c>
    </row>
    <row r="1150" spans="2:8">
      <c r="B1150" s="555" t="s">
        <v>2232</v>
      </c>
      <c r="C1150" s="555" t="str">
        <f>VLOOKUP(D1150,기본!$D$13:$E$74,2,0)</f>
        <v>삼성 VD</v>
      </c>
      <c r="D1150" t="s">
        <v>1927</v>
      </c>
      <c r="E1150" t="s">
        <v>1156</v>
      </c>
      <c r="F1150" t="s">
        <v>1870</v>
      </c>
      <c r="G1150" s="554">
        <v>11660</v>
      </c>
      <c r="H1150">
        <v>53.868003596000008</v>
      </c>
    </row>
    <row r="1151" spans="2:8">
      <c r="B1151" s="555" t="s">
        <v>2232</v>
      </c>
      <c r="C1151" s="555" t="str">
        <f>VLOOKUP(D1151,기본!$D$13:$E$74,2,0)</f>
        <v>삼성 생활가전</v>
      </c>
      <c r="D1151" t="s">
        <v>1942</v>
      </c>
      <c r="E1151" t="s">
        <v>1943</v>
      </c>
      <c r="F1151" t="s">
        <v>1943</v>
      </c>
      <c r="G1151" s="554">
        <v>35040</v>
      </c>
      <c r="H1151">
        <v>265.72760640000001</v>
      </c>
    </row>
    <row r="1152" spans="2:8">
      <c r="B1152" s="555" t="s">
        <v>2232</v>
      </c>
      <c r="C1152" s="555" t="str">
        <f>VLOOKUP(D1152,기본!$D$13:$E$74,2,0)</f>
        <v>삼성 생활가전</v>
      </c>
      <c r="D1152" t="s">
        <v>1942</v>
      </c>
      <c r="E1152" t="s">
        <v>1945</v>
      </c>
      <c r="F1152" t="s">
        <v>1945</v>
      </c>
      <c r="G1152" s="554">
        <v>12864</v>
      </c>
      <c r="H1152">
        <v>105.57158399999999</v>
      </c>
    </row>
    <row r="1153" spans="2:8">
      <c r="B1153" s="555" t="s">
        <v>2232</v>
      </c>
      <c r="C1153" s="555" t="str">
        <f>VLOOKUP(D1153,기본!$D$13:$E$74,2,0)</f>
        <v>삼성 생활가전</v>
      </c>
      <c r="D1153" t="s">
        <v>1942</v>
      </c>
      <c r="E1153" t="s">
        <v>1314</v>
      </c>
      <c r="F1153" t="s">
        <v>1314</v>
      </c>
      <c r="G1153" s="554">
        <v>540</v>
      </c>
      <c r="H1153">
        <v>4.5716885999999999</v>
      </c>
    </row>
    <row r="1154" spans="2:8">
      <c r="B1154" s="555" t="s">
        <v>2232</v>
      </c>
      <c r="C1154" s="555" t="str">
        <f>VLOOKUP(D1154,기본!$D$13:$E$74,2,0)</f>
        <v>삼성 생활가전</v>
      </c>
      <c r="D1154" t="s">
        <v>1942</v>
      </c>
      <c r="E1154" t="s">
        <v>1975</v>
      </c>
      <c r="F1154" t="s">
        <v>1975</v>
      </c>
      <c r="G1154" s="554">
        <v>2304</v>
      </c>
      <c r="H1154">
        <v>20.230539263999997</v>
      </c>
    </row>
    <row r="1155" spans="2:8">
      <c r="B1155" s="555" t="s">
        <v>2232</v>
      </c>
      <c r="C1155" s="555" t="str">
        <f>VLOOKUP(D1155,기본!$D$13:$E$74,2,0)</f>
        <v>삼성 생활가전</v>
      </c>
      <c r="D1155" t="s">
        <v>1942</v>
      </c>
      <c r="E1155" t="s">
        <v>2213</v>
      </c>
      <c r="F1155" t="s">
        <v>2213</v>
      </c>
      <c r="G1155" s="554">
        <v>96</v>
      </c>
      <c r="H1155">
        <v>0.83481062399999995</v>
      </c>
    </row>
    <row r="1156" spans="2:8">
      <c r="B1156" s="555" t="s">
        <v>2232</v>
      </c>
      <c r="C1156" s="555" t="str">
        <f>VLOOKUP(D1156,기본!$D$13:$E$74,2,0)</f>
        <v>삼성 생활가전</v>
      </c>
      <c r="D1156" t="s">
        <v>1942</v>
      </c>
      <c r="E1156" t="s">
        <v>1317</v>
      </c>
      <c r="F1156" t="s">
        <v>1317</v>
      </c>
      <c r="G1156" s="554">
        <v>1368</v>
      </c>
      <c r="H1156">
        <v>11.97323424</v>
      </c>
    </row>
    <row r="1157" spans="2:8">
      <c r="B1157" s="555" t="s">
        <v>2232</v>
      </c>
      <c r="C1157" s="555" t="str">
        <f>VLOOKUP(D1157,기본!$D$13:$E$74,2,0)</f>
        <v>삼성 VD</v>
      </c>
      <c r="D1157" t="s">
        <v>1946</v>
      </c>
      <c r="E1157" t="s">
        <v>1164</v>
      </c>
      <c r="F1157" t="s">
        <v>1850</v>
      </c>
      <c r="G1157" s="554">
        <v>96</v>
      </c>
      <c r="H1157">
        <v>2.5952866559999999</v>
      </c>
    </row>
    <row r="1158" spans="2:8">
      <c r="B1158" s="555" t="s">
        <v>2232</v>
      </c>
      <c r="C1158" s="555" t="str">
        <f>VLOOKUP(D1158,기본!$D$13:$E$74,2,0)</f>
        <v>삼성 VD</v>
      </c>
      <c r="D1158" t="s">
        <v>1946</v>
      </c>
      <c r="E1158" t="s">
        <v>1777</v>
      </c>
      <c r="F1158" t="s">
        <v>1672</v>
      </c>
      <c r="G1158" s="554">
        <v>3276</v>
      </c>
      <c r="H1158">
        <v>37.404381600000001</v>
      </c>
    </row>
    <row r="1159" spans="2:8">
      <c r="B1159" s="555" t="s">
        <v>2232</v>
      </c>
      <c r="C1159" s="555" t="str">
        <f>VLOOKUP(D1159,기본!$D$13:$E$74,2,0)</f>
        <v>삼성 VD</v>
      </c>
      <c r="D1159" t="s">
        <v>1946</v>
      </c>
      <c r="E1159" t="s">
        <v>1778</v>
      </c>
      <c r="F1159" t="s">
        <v>1919</v>
      </c>
      <c r="G1159" s="554">
        <v>2628</v>
      </c>
      <c r="H1159">
        <v>33.746254919999998</v>
      </c>
    </row>
    <row r="1160" spans="2:8">
      <c r="B1160" s="555" t="s">
        <v>2232</v>
      </c>
      <c r="C1160" s="555" t="str">
        <f>VLOOKUP(D1160,기본!$D$13:$E$74,2,0)</f>
        <v>삼성 VD</v>
      </c>
      <c r="D1160" t="s">
        <v>1946</v>
      </c>
      <c r="E1160" t="s">
        <v>1779</v>
      </c>
      <c r="F1160" t="s">
        <v>1920</v>
      </c>
      <c r="G1160" s="554">
        <v>2706</v>
      </c>
      <c r="H1160">
        <v>38.934639941999997</v>
      </c>
    </row>
    <row r="1161" spans="2:8">
      <c r="B1161" s="555" t="s">
        <v>2232</v>
      </c>
      <c r="C1161" s="555" t="str">
        <f>VLOOKUP(D1161,기본!$D$13:$E$74,2,0)</f>
        <v>삼성 VD</v>
      </c>
      <c r="D1161" t="s">
        <v>1946</v>
      </c>
      <c r="E1161" t="s">
        <v>1792</v>
      </c>
      <c r="F1161" t="s">
        <v>1915</v>
      </c>
      <c r="G1161" s="554">
        <v>1368</v>
      </c>
      <c r="H1161">
        <v>24.347034431999997</v>
      </c>
    </row>
    <row r="1162" spans="2:8">
      <c r="B1162" s="555" t="s">
        <v>2232</v>
      </c>
      <c r="C1162" s="555" t="str">
        <f>VLOOKUP(D1162,기본!$D$13:$E$74,2,0)</f>
        <v>삼성 VD</v>
      </c>
      <c r="D1162" t="s">
        <v>1946</v>
      </c>
      <c r="E1162" t="s">
        <v>710</v>
      </c>
      <c r="F1162" t="s">
        <v>1947</v>
      </c>
      <c r="G1162" s="554">
        <v>352</v>
      </c>
      <c r="H1162">
        <v>1.6077346559999999</v>
      </c>
    </row>
    <row r="1163" spans="2:8">
      <c r="B1163" s="555" t="s">
        <v>2232</v>
      </c>
      <c r="C1163" s="555" t="str">
        <f>VLOOKUP(D1163,기본!$D$13:$E$74,2,0)</f>
        <v>MNT JDM</v>
      </c>
      <c r="D1163" t="s">
        <v>1951</v>
      </c>
      <c r="E1163" t="s">
        <v>709</v>
      </c>
      <c r="F1163" t="s">
        <v>2124</v>
      </c>
      <c r="G1163" s="554">
        <v>40128</v>
      </c>
      <c r="H1163">
        <v>183.972300864</v>
      </c>
    </row>
    <row r="1164" spans="2:8">
      <c r="B1164" s="555" t="s">
        <v>2232</v>
      </c>
      <c r="C1164" s="555" t="str">
        <f>VLOOKUP(D1164,기본!$D$13:$E$74,2,0)</f>
        <v>MNT JDM</v>
      </c>
      <c r="D1164" t="s">
        <v>1951</v>
      </c>
      <c r="E1164" t="s">
        <v>710</v>
      </c>
      <c r="F1164" t="s">
        <v>2169</v>
      </c>
      <c r="G1164" s="554">
        <v>13728</v>
      </c>
      <c r="H1164">
        <v>75.979208448000009</v>
      </c>
    </row>
    <row r="1165" spans="2:8">
      <c r="B1165" s="555" t="s">
        <v>2232</v>
      </c>
      <c r="C1165" s="555" t="str">
        <f>VLOOKUP(D1165,기본!$D$13:$E$74,2,0)</f>
        <v>HP</v>
      </c>
      <c r="D1165" t="s">
        <v>1952</v>
      </c>
      <c r="E1165" t="s">
        <v>1296</v>
      </c>
      <c r="F1165" t="s">
        <v>1292</v>
      </c>
      <c r="G1165" s="554">
        <v>768</v>
      </c>
      <c r="H1165">
        <v>21.176091648000003</v>
      </c>
    </row>
    <row r="1166" spans="2:8">
      <c r="B1166" s="555" t="s">
        <v>2232</v>
      </c>
      <c r="C1166" s="555" t="str">
        <f>VLOOKUP(D1166,기본!$D$13:$E$74,2,0)</f>
        <v>HP</v>
      </c>
      <c r="D1166" t="s">
        <v>1952</v>
      </c>
      <c r="E1166" t="s">
        <v>1297</v>
      </c>
      <c r="F1166" t="s">
        <v>1293</v>
      </c>
      <c r="G1166" s="554">
        <v>1152</v>
      </c>
      <c r="H1166">
        <v>38.364514559999996</v>
      </c>
    </row>
    <row r="1167" spans="2:8">
      <c r="B1167" s="555" t="s">
        <v>2232</v>
      </c>
      <c r="C1167" s="555" t="str">
        <f>VLOOKUP(D1167,기본!$D$13:$E$74,2,0)</f>
        <v>HP</v>
      </c>
      <c r="D1167" t="s">
        <v>1952</v>
      </c>
      <c r="E1167" t="s">
        <v>1298</v>
      </c>
      <c r="F1167" t="s">
        <v>1294</v>
      </c>
      <c r="G1167" s="554">
        <v>3072</v>
      </c>
      <c r="H1167">
        <v>90.664300800000007</v>
      </c>
    </row>
    <row r="1168" spans="2:8">
      <c r="B1168" s="555" t="s">
        <v>2232</v>
      </c>
      <c r="C1168" s="555" t="str">
        <f>VLOOKUP(D1168,기본!$D$13:$E$74,2,0)</f>
        <v>HP</v>
      </c>
      <c r="D1168" t="s">
        <v>1952</v>
      </c>
      <c r="E1168" t="s">
        <v>1954</v>
      </c>
      <c r="F1168" t="s">
        <v>1955</v>
      </c>
      <c r="G1168" s="554">
        <v>1120</v>
      </c>
      <c r="H1168">
        <v>14.4085284</v>
      </c>
    </row>
    <row r="1169" spans="2:8">
      <c r="B1169" s="555" t="s">
        <v>2232</v>
      </c>
      <c r="C1169" s="555" t="str">
        <f>VLOOKUP(D1169,기본!$D$13:$E$74,2,0)</f>
        <v>HP</v>
      </c>
      <c r="D1169" t="s">
        <v>1952</v>
      </c>
      <c r="E1169" t="s">
        <v>2214</v>
      </c>
      <c r="F1169" t="s">
        <v>2215</v>
      </c>
      <c r="G1169" s="554">
        <v>384</v>
      </c>
      <c r="H1169">
        <v>5.0084628480000006</v>
      </c>
    </row>
    <row r="1170" spans="2:8">
      <c r="B1170" s="555" t="s">
        <v>2232</v>
      </c>
      <c r="C1170" s="555" t="str">
        <f>VLOOKUP(D1170,기본!$D$13:$E$74,2,0)</f>
        <v>HP</v>
      </c>
      <c r="D1170" t="s">
        <v>1952</v>
      </c>
      <c r="E1170" t="s">
        <v>2125</v>
      </c>
      <c r="F1170" t="s">
        <v>192</v>
      </c>
      <c r="G1170" s="554">
        <v>2124</v>
      </c>
      <c r="H1170">
        <v>10.441742399999999</v>
      </c>
    </row>
    <row r="1171" spans="2:8">
      <c r="B1171" s="555" t="s">
        <v>2232</v>
      </c>
      <c r="C1171" s="555" t="str">
        <f>VLOOKUP(D1171,기본!$D$13:$E$74,2,0)</f>
        <v>HP</v>
      </c>
      <c r="D1171" t="s">
        <v>1952</v>
      </c>
      <c r="E1171" t="s">
        <v>1960</v>
      </c>
      <c r="F1171" t="s">
        <v>671</v>
      </c>
      <c r="G1171" s="554">
        <v>2160</v>
      </c>
      <c r="H1171">
        <v>17.492338799999999</v>
      </c>
    </row>
    <row r="1172" spans="2:8">
      <c r="B1172" s="555" t="s">
        <v>2232</v>
      </c>
      <c r="C1172" s="555" t="str">
        <f>VLOOKUP(D1172,기본!$D$13:$E$74,2,0)</f>
        <v>HP</v>
      </c>
      <c r="D1172" t="s">
        <v>1952</v>
      </c>
      <c r="E1172" t="s">
        <v>1961</v>
      </c>
      <c r="F1172" t="s">
        <v>1962</v>
      </c>
      <c r="G1172" s="554">
        <v>1584</v>
      </c>
      <c r="H1172">
        <v>56.634212448</v>
      </c>
    </row>
    <row r="1173" spans="2:8">
      <c r="B1173" s="555" t="s">
        <v>2232</v>
      </c>
      <c r="C1173" s="555" t="str">
        <f>VLOOKUP(D1173,기본!$D$13:$E$74,2,0)</f>
        <v>HP</v>
      </c>
      <c r="D1173" t="s">
        <v>1952</v>
      </c>
      <c r="E1173" t="s">
        <v>1963</v>
      </c>
      <c r="F1173" t="s">
        <v>1964</v>
      </c>
      <c r="G1173" s="554">
        <v>7110</v>
      </c>
      <c r="H1173">
        <v>58.85748864</v>
      </c>
    </row>
    <row r="1174" spans="2:8">
      <c r="B1174" s="555" t="s">
        <v>2232</v>
      </c>
      <c r="C1174" s="555" t="str">
        <f>VLOOKUP(D1174,기본!$D$13:$E$74,2,0)</f>
        <v>HP</v>
      </c>
      <c r="D1174" t="s">
        <v>1952</v>
      </c>
      <c r="E1174" t="s">
        <v>2170</v>
      </c>
      <c r="F1174" t="s">
        <v>2171</v>
      </c>
      <c r="G1174" s="554">
        <v>280</v>
      </c>
      <c r="H1174">
        <v>5.0064979999999997</v>
      </c>
    </row>
    <row r="1175" spans="2:8">
      <c r="B1175" s="555" t="s">
        <v>2232</v>
      </c>
      <c r="C1175" s="555" t="str">
        <f>VLOOKUP(D1175,기본!$D$13:$E$74,2,0)</f>
        <v>HP</v>
      </c>
      <c r="D1175" t="s">
        <v>1952</v>
      </c>
      <c r="E1175" t="s">
        <v>1965</v>
      </c>
      <c r="F1175" t="s">
        <v>1966</v>
      </c>
      <c r="G1175" s="554">
        <v>800</v>
      </c>
      <c r="H1175">
        <v>12.552175999999999</v>
      </c>
    </row>
    <row r="1176" spans="2:8">
      <c r="B1176" s="555" t="s">
        <v>2232</v>
      </c>
      <c r="C1176" s="555" t="str">
        <f>VLOOKUP(D1176,기본!$D$13:$E$74,2,0)</f>
        <v>HP</v>
      </c>
      <c r="D1176" t="s">
        <v>1952</v>
      </c>
      <c r="E1176" t="s">
        <v>2216</v>
      </c>
      <c r="F1176" t="s">
        <v>2217</v>
      </c>
      <c r="G1176" s="554">
        <v>972</v>
      </c>
      <c r="H1176">
        <v>12.479794739999999</v>
      </c>
    </row>
    <row r="1177" spans="2:8">
      <c r="B1177" s="555" t="s">
        <v>2232</v>
      </c>
      <c r="C1177" s="555" t="str">
        <f>VLOOKUP(D1177,기본!$D$13:$E$74,2,0)</f>
        <v>HP</v>
      </c>
      <c r="D1177" t="s">
        <v>1952</v>
      </c>
      <c r="E1177" t="s">
        <v>2128</v>
      </c>
      <c r="F1177" t="s">
        <v>2129</v>
      </c>
      <c r="G1177" s="554">
        <v>1536</v>
      </c>
      <c r="H1177">
        <v>18.31305</v>
      </c>
    </row>
    <row r="1178" spans="2:8">
      <c r="B1178" s="555" t="s">
        <v>2232</v>
      </c>
      <c r="C1178" s="555" t="str">
        <f>VLOOKUP(D1178,기본!$D$13:$E$74,2,0)</f>
        <v>HP</v>
      </c>
      <c r="D1178" t="s">
        <v>1952</v>
      </c>
      <c r="E1178" t="s">
        <v>2172</v>
      </c>
      <c r="F1178" t="s">
        <v>2173</v>
      </c>
      <c r="G1178" s="554">
        <v>1872</v>
      </c>
      <c r="H1178">
        <v>68.678153280000004</v>
      </c>
    </row>
    <row r="1179" spans="2:8">
      <c r="B1179" s="555" t="s">
        <v>2232</v>
      </c>
      <c r="C1179" s="555" t="str">
        <f>VLOOKUP(D1179,기본!$D$13:$E$74,2,0)</f>
        <v>HP</v>
      </c>
      <c r="D1179" t="s">
        <v>1952</v>
      </c>
      <c r="E1179" t="s">
        <v>1969</v>
      </c>
      <c r="F1179" t="s">
        <v>1970</v>
      </c>
      <c r="G1179" s="554">
        <v>960</v>
      </c>
      <c r="H1179">
        <v>11.536570559999998</v>
      </c>
    </row>
    <row r="1180" spans="2:8">
      <c r="B1180" s="555" t="s">
        <v>2232</v>
      </c>
      <c r="C1180" s="555" t="str">
        <f>VLOOKUP(D1180,기본!$D$13:$E$74,2,0)</f>
        <v>HP</v>
      </c>
      <c r="D1180" t="s">
        <v>1952</v>
      </c>
      <c r="E1180" t="s">
        <v>2130</v>
      </c>
      <c r="F1180" t="s">
        <v>2131</v>
      </c>
      <c r="G1180" s="554">
        <v>720</v>
      </c>
      <c r="H1180">
        <v>5.3353728</v>
      </c>
    </row>
    <row r="1181" spans="2:8">
      <c r="B1181" s="555" t="s">
        <v>2232</v>
      </c>
      <c r="C1181" s="555" t="str">
        <f>VLOOKUP(D1181,기본!$D$13:$E$74,2,0)</f>
        <v>경동나비엔</v>
      </c>
      <c r="D1181" t="s">
        <v>1972</v>
      </c>
      <c r="E1181" t="s">
        <v>1973</v>
      </c>
      <c r="F1181" t="s">
        <v>1973</v>
      </c>
      <c r="G1181" s="554">
        <v>5</v>
      </c>
      <c r="H1181">
        <v>0.152</v>
      </c>
    </row>
    <row r="1182" spans="2:8">
      <c r="B1182" s="555" t="s">
        <v>2232</v>
      </c>
      <c r="C1182" s="555" t="str">
        <f>VLOOKUP(D1182,기본!$D$13:$E$74,2,0)</f>
        <v>삼성 생활가전</v>
      </c>
      <c r="D1182" t="s">
        <v>1974</v>
      </c>
      <c r="E1182" t="s">
        <v>1975</v>
      </c>
      <c r="F1182" t="s">
        <v>1975</v>
      </c>
      <c r="G1182" s="554">
        <v>9216</v>
      </c>
      <c r="H1182">
        <v>74.833920000000006</v>
      </c>
    </row>
    <row r="1183" spans="2:8">
      <c r="B1183" s="555" t="s">
        <v>2232</v>
      </c>
      <c r="C1183" s="555" t="str">
        <f>VLOOKUP(D1183,기본!$D$13:$E$74,2,0)</f>
        <v>대덕</v>
      </c>
      <c r="D1183" t="s">
        <v>1976</v>
      </c>
      <c r="E1183" t="s">
        <v>2181</v>
      </c>
      <c r="F1183" t="s">
        <v>2181</v>
      </c>
      <c r="G1183" s="554">
        <v>1822</v>
      </c>
      <c r="H1183">
        <v>14.464754145999999</v>
      </c>
    </row>
    <row r="1184" spans="2:8">
      <c r="B1184" s="555" t="s">
        <v>2232</v>
      </c>
      <c r="C1184" s="555" t="str">
        <f>VLOOKUP(D1184,기본!$D$13:$E$74,2,0)</f>
        <v>대덕</v>
      </c>
      <c r="D1184" t="s">
        <v>1976</v>
      </c>
      <c r="E1184" t="s">
        <v>1979</v>
      </c>
      <c r="F1184" t="s">
        <v>1979</v>
      </c>
      <c r="G1184" s="554">
        <v>332</v>
      </c>
      <c r="H1184">
        <v>3.0422800080000001</v>
      </c>
    </row>
    <row r="1185" spans="2:8">
      <c r="B1185" s="555" t="s">
        <v>2232</v>
      </c>
      <c r="C1185" s="555" t="str">
        <f>VLOOKUP(D1185,기본!$D$13:$E$74,2,0)</f>
        <v>대덕</v>
      </c>
      <c r="D1185" t="s">
        <v>1976</v>
      </c>
      <c r="E1185" t="s">
        <v>2218</v>
      </c>
      <c r="F1185" t="s">
        <v>2218</v>
      </c>
      <c r="G1185" s="554">
        <v>396</v>
      </c>
      <c r="H1185">
        <v>7.3065243239999997</v>
      </c>
    </row>
    <row r="1186" spans="2:8">
      <c r="B1186" s="555" t="s">
        <v>2232</v>
      </c>
      <c r="C1186" s="555" t="str">
        <f>VLOOKUP(D1186,기본!$D$13:$E$74,2,0)</f>
        <v>대덕</v>
      </c>
      <c r="D1186" t="s">
        <v>1976</v>
      </c>
      <c r="E1186" t="s">
        <v>1983</v>
      </c>
      <c r="F1186" t="s">
        <v>1983</v>
      </c>
      <c r="G1186" s="554">
        <v>540</v>
      </c>
      <c r="H1186">
        <v>7.4670093000000008</v>
      </c>
    </row>
    <row r="1187" spans="2:8">
      <c r="B1187" s="555" t="s">
        <v>2232</v>
      </c>
      <c r="C1187" s="555" t="str">
        <f>VLOOKUP(D1187,기본!$D$13:$E$74,2,0)</f>
        <v>대덕</v>
      </c>
      <c r="D1187" t="s">
        <v>1976</v>
      </c>
      <c r="E1187" t="s">
        <v>1985</v>
      </c>
      <c r="F1187" t="s">
        <v>1985</v>
      </c>
      <c r="G1187" s="554">
        <v>480</v>
      </c>
      <c r="H1187">
        <v>6.637341600000001</v>
      </c>
    </row>
    <row r="1188" spans="2:8">
      <c r="B1188" s="555" t="s">
        <v>2232</v>
      </c>
      <c r="C1188" s="555" t="str">
        <f>VLOOKUP(D1188,기본!$D$13:$E$74,2,0)</f>
        <v>대덕</v>
      </c>
      <c r="D1188" t="s">
        <v>1976</v>
      </c>
      <c r="E1188" t="s">
        <v>2219</v>
      </c>
      <c r="F1188" t="s">
        <v>2219</v>
      </c>
      <c r="G1188" s="554">
        <v>22</v>
      </c>
      <c r="H1188">
        <v>0.30421149000000003</v>
      </c>
    </row>
    <row r="1189" spans="2:8">
      <c r="B1189" s="555" t="s">
        <v>2232</v>
      </c>
      <c r="C1189" s="555" t="str">
        <f>VLOOKUP(D1189,기본!$D$13:$E$74,2,0)</f>
        <v>대덕</v>
      </c>
      <c r="D1189" t="s">
        <v>1976</v>
      </c>
      <c r="E1189" t="s">
        <v>1569</v>
      </c>
      <c r="F1189" t="s">
        <v>1569</v>
      </c>
      <c r="G1189" s="554">
        <v>500</v>
      </c>
      <c r="H1189">
        <v>6.3085015000000002</v>
      </c>
    </row>
    <row r="1190" spans="2:8">
      <c r="B1190" s="555" t="s">
        <v>2232</v>
      </c>
      <c r="C1190" s="555" t="str">
        <f>VLOOKUP(D1190,기본!$D$13:$E$74,2,0)</f>
        <v>대덕</v>
      </c>
      <c r="D1190" t="s">
        <v>1976</v>
      </c>
      <c r="E1190" t="s">
        <v>1571</v>
      </c>
      <c r="F1190" t="s">
        <v>1571</v>
      </c>
      <c r="G1190" s="554">
        <v>3340</v>
      </c>
      <c r="H1190">
        <v>42.159276739999996</v>
      </c>
    </row>
    <row r="1191" spans="2:8">
      <c r="B1191" s="555" t="s">
        <v>2232</v>
      </c>
      <c r="C1191" s="555" t="str">
        <f>VLOOKUP(D1191,기본!$D$13:$E$74,2,0)</f>
        <v>대덕</v>
      </c>
      <c r="D1191" t="s">
        <v>1978</v>
      </c>
      <c r="E1191" t="s">
        <v>2181</v>
      </c>
      <c r="F1191" t="s">
        <v>2181</v>
      </c>
      <c r="G1191" s="554">
        <v>678</v>
      </c>
      <c r="H1191">
        <v>5.3826033539999996</v>
      </c>
    </row>
    <row r="1192" spans="2:8">
      <c r="B1192" s="555" t="s">
        <v>2232</v>
      </c>
      <c r="C1192" s="555" t="str">
        <f>VLOOKUP(D1192,기본!$D$13:$E$74,2,0)</f>
        <v>대덕</v>
      </c>
      <c r="D1192" t="s">
        <v>1978</v>
      </c>
      <c r="E1192" t="s">
        <v>1979</v>
      </c>
      <c r="F1192" t="s">
        <v>1979</v>
      </c>
      <c r="G1192" s="554">
        <v>3148</v>
      </c>
      <c r="H1192">
        <v>28.617575112000001</v>
      </c>
    </row>
    <row r="1193" spans="2:8">
      <c r="B1193" s="555" t="s">
        <v>2232</v>
      </c>
      <c r="C1193" s="555" t="str">
        <f>VLOOKUP(D1193,기본!$D$13:$E$74,2,0)</f>
        <v>대덕</v>
      </c>
      <c r="D1193" t="s">
        <v>1978</v>
      </c>
      <c r="E1193" t="s">
        <v>2182</v>
      </c>
      <c r="F1193" t="s">
        <v>2182</v>
      </c>
      <c r="G1193" s="554">
        <v>70</v>
      </c>
      <c r="H1193">
        <v>0.6617598400000001</v>
      </c>
    </row>
    <row r="1194" spans="2:8">
      <c r="B1194" s="555" t="s">
        <v>2232</v>
      </c>
      <c r="C1194" s="555" t="str">
        <f>VLOOKUP(D1194,기본!$D$13:$E$74,2,0)</f>
        <v>대덕</v>
      </c>
      <c r="D1194" t="s">
        <v>1978</v>
      </c>
      <c r="E1194" t="s">
        <v>2220</v>
      </c>
      <c r="F1194" t="s">
        <v>2220</v>
      </c>
      <c r="G1194" s="554">
        <v>500</v>
      </c>
      <c r="H1194">
        <v>9.0638190000000005</v>
      </c>
    </row>
    <row r="1195" spans="2:8">
      <c r="B1195" s="555" t="s">
        <v>2232</v>
      </c>
      <c r="C1195" s="555" t="str">
        <f>VLOOKUP(D1195,기본!$D$13:$E$74,2,0)</f>
        <v>대덕</v>
      </c>
      <c r="D1195" t="s">
        <v>1978</v>
      </c>
      <c r="E1195" t="s">
        <v>2183</v>
      </c>
      <c r="F1195" t="s">
        <v>2183</v>
      </c>
      <c r="G1195" s="554">
        <v>750</v>
      </c>
      <c r="H1195">
        <v>24.76489875</v>
      </c>
    </row>
    <row r="1196" spans="2:8">
      <c r="B1196" s="555" t="s">
        <v>2232</v>
      </c>
      <c r="C1196" s="555" t="str">
        <f>VLOOKUP(D1196,기본!$D$13:$E$74,2,0)</f>
        <v>대덕</v>
      </c>
      <c r="D1196" t="s">
        <v>1978</v>
      </c>
      <c r="E1196" t="s">
        <v>2221</v>
      </c>
      <c r="F1196" t="s">
        <v>2221</v>
      </c>
      <c r="G1196" s="554">
        <v>437</v>
      </c>
      <c r="H1196">
        <v>9.6407400990000003</v>
      </c>
    </row>
    <row r="1197" spans="2:8">
      <c r="B1197" s="555" t="s">
        <v>2232</v>
      </c>
      <c r="C1197" s="555" t="str">
        <f>VLOOKUP(D1197,기본!$D$13:$E$74,2,0)</f>
        <v>대덕</v>
      </c>
      <c r="D1197" t="s">
        <v>1978</v>
      </c>
      <c r="E1197" t="s">
        <v>1981</v>
      </c>
      <c r="F1197" t="s">
        <v>1981</v>
      </c>
      <c r="G1197" s="554">
        <v>1163</v>
      </c>
      <c r="H1197">
        <v>26.386831333</v>
      </c>
    </row>
    <row r="1198" spans="2:8">
      <c r="B1198" s="555" t="s">
        <v>2232</v>
      </c>
      <c r="C1198" s="555" t="str">
        <f>VLOOKUP(D1198,기본!$D$13:$E$74,2,0)</f>
        <v>대덕</v>
      </c>
      <c r="D1198" t="s">
        <v>1978</v>
      </c>
      <c r="E1198" t="s">
        <v>2222</v>
      </c>
      <c r="F1198" t="s">
        <v>2222</v>
      </c>
      <c r="G1198" s="554">
        <v>948</v>
      </c>
      <c r="H1198">
        <v>20.947912391999999</v>
      </c>
    </row>
    <row r="1199" spans="2:8">
      <c r="B1199" s="555" t="s">
        <v>2232</v>
      </c>
      <c r="C1199" s="555" t="str">
        <f>VLOOKUP(D1199,기본!$D$13:$E$74,2,0)</f>
        <v>대덕</v>
      </c>
      <c r="D1199" t="s">
        <v>1978</v>
      </c>
      <c r="E1199" t="s">
        <v>1982</v>
      </c>
      <c r="F1199" t="s">
        <v>1982</v>
      </c>
      <c r="G1199" s="554">
        <v>2749</v>
      </c>
      <c r="H1199">
        <v>63.051759497000006</v>
      </c>
    </row>
    <row r="1200" spans="2:8">
      <c r="B1200" s="555" t="s">
        <v>2232</v>
      </c>
      <c r="C1200" s="555" t="str">
        <f>VLOOKUP(D1200,기본!$D$13:$E$74,2,0)</f>
        <v>대덕</v>
      </c>
      <c r="D1200" t="s">
        <v>1978</v>
      </c>
      <c r="E1200" t="s">
        <v>2223</v>
      </c>
      <c r="F1200" t="s">
        <v>2223</v>
      </c>
      <c r="G1200" s="554">
        <v>48</v>
      </c>
      <c r="H1200">
        <v>1.104700896</v>
      </c>
    </row>
    <row r="1201" spans="2:8">
      <c r="B1201" s="555" t="s">
        <v>2232</v>
      </c>
      <c r="C1201" s="555" t="str">
        <f>VLOOKUP(D1201,기본!$D$13:$E$74,2,0)</f>
        <v>대덕</v>
      </c>
      <c r="D1201" t="s">
        <v>1978</v>
      </c>
      <c r="E1201" t="s">
        <v>2137</v>
      </c>
      <c r="F1201" t="s">
        <v>2137</v>
      </c>
      <c r="G1201" s="554">
        <v>3273</v>
      </c>
      <c r="H1201">
        <v>75.368040088000015</v>
      </c>
    </row>
    <row r="1202" spans="2:8">
      <c r="B1202" s="555" t="s">
        <v>2232</v>
      </c>
      <c r="C1202" s="555" t="str">
        <f>VLOOKUP(D1202,기본!$D$13:$E$74,2,0)</f>
        <v>대덕</v>
      </c>
      <c r="D1202" t="s">
        <v>1978</v>
      </c>
      <c r="E1202" t="s">
        <v>2224</v>
      </c>
      <c r="F1202" t="s">
        <v>2224</v>
      </c>
      <c r="G1202" s="554">
        <v>500</v>
      </c>
      <c r="H1202">
        <v>5.2666822</v>
      </c>
    </row>
    <row r="1203" spans="2:8">
      <c r="B1203" s="555" t="s">
        <v>2232</v>
      </c>
      <c r="C1203" s="555" t="str">
        <f>VLOOKUP(D1203,기본!$D$13:$E$74,2,0)</f>
        <v>대덕</v>
      </c>
      <c r="D1203" t="s">
        <v>1978</v>
      </c>
      <c r="E1203" t="s">
        <v>1977</v>
      </c>
      <c r="F1203" t="s">
        <v>1977</v>
      </c>
      <c r="G1203" s="554">
        <v>5279</v>
      </c>
      <c r="H1203">
        <v>64.978180847999994</v>
      </c>
    </row>
    <row r="1204" spans="2:8">
      <c r="B1204" s="555" t="s">
        <v>2232</v>
      </c>
      <c r="C1204" s="555" t="str">
        <f>VLOOKUP(D1204,기본!$D$13:$E$74,2,0)</f>
        <v>대덕</v>
      </c>
      <c r="D1204" t="s">
        <v>1978</v>
      </c>
      <c r="E1204" t="s">
        <v>1983</v>
      </c>
      <c r="F1204" t="s">
        <v>1983</v>
      </c>
      <c r="G1204" s="554">
        <v>20000</v>
      </c>
      <c r="H1204">
        <v>277.11869999999999</v>
      </c>
    </row>
    <row r="1205" spans="2:8">
      <c r="B1205" s="555" t="s">
        <v>2232</v>
      </c>
      <c r="C1205" s="555" t="str">
        <f>VLOOKUP(D1205,기본!$D$13:$E$74,2,0)</f>
        <v>대덕</v>
      </c>
      <c r="D1205" t="s">
        <v>1978</v>
      </c>
      <c r="E1205" t="s">
        <v>1985</v>
      </c>
      <c r="F1205" t="s">
        <v>1985</v>
      </c>
      <c r="G1205" s="554">
        <v>20000</v>
      </c>
      <c r="H1205">
        <v>276.55590000000001</v>
      </c>
    </row>
    <row r="1206" spans="2:8">
      <c r="B1206" s="555" t="s">
        <v>2232</v>
      </c>
      <c r="C1206" s="555" t="str">
        <f>VLOOKUP(D1206,기본!$D$13:$E$74,2,0)</f>
        <v>대덕</v>
      </c>
      <c r="D1206" t="s">
        <v>1978</v>
      </c>
      <c r="E1206" t="s">
        <v>2219</v>
      </c>
      <c r="F1206" t="s">
        <v>2219</v>
      </c>
      <c r="G1206" s="554">
        <v>8478</v>
      </c>
      <c r="H1206">
        <v>116.69185851</v>
      </c>
    </row>
    <row r="1207" spans="2:8">
      <c r="B1207" s="555" t="s">
        <v>2232</v>
      </c>
      <c r="C1207" s="555" t="str">
        <f>VLOOKUP(D1207,기본!$D$13:$E$74,2,0)</f>
        <v>대덕</v>
      </c>
      <c r="D1207" t="s">
        <v>1978</v>
      </c>
      <c r="E1207" t="s">
        <v>1571</v>
      </c>
      <c r="F1207" t="s">
        <v>1571</v>
      </c>
      <c r="G1207" s="554">
        <v>860</v>
      </c>
      <c r="H1207">
        <v>10.681069280000001</v>
      </c>
    </row>
    <row r="1208" spans="2:8">
      <c r="B1208" s="555" t="s">
        <v>2232</v>
      </c>
      <c r="C1208" s="555" t="str">
        <f>VLOOKUP(D1208,기본!$D$13:$E$74,2,0)</f>
        <v>코웨이</v>
      </c>
      <c r="D1208" t="s">
        <v>2140</v>
      </c>
      <c r="E1208" t="s">
        <v>2141</v>
      </c>
      <c r="F1208" t="s">
        <v>2141</v>
      </c>
      <c r="G1208" s="554">
        <v>800</v>
      </c>
      <c r="H1208">
        <v>3.9376000000000002</v>
      </c>
    </row>
    <row r="1209" spans="2:8">
      <c r="B1209" s="555" t="s">
        <v>2232</v>
      </c>
      <c r="C1209" s="555" t="str">
        <f>VLOOKUP(D1209,기본!$D$13:$E$74,2,0)</f>
        <v>삼성 생활가전</v>
      </c>
      <c r="D1209" t="s">
        <v>1986</v>
      </c>
      <c r="E1209" t="s">
        <v>1987</v>
      </c>
      <c r="F1209" t="s">
        <v>1987</v>
      </c>
      <c r="G1209" s="554">
        <v>480</v>
      </c>
      <c r="H1209">
        <v>6.7055999999999996</v>
      </c>
    </row>
    <row r="1210" spans="2:8">
      <c r="B1210" s="555" t="s">
        <v>2232</v>
      </c>
      <c r="C1210" s="555" t="str">
        <f>VLOOKUP(D1210,기본!$D$13:$E$74,2,0)</f>
        <v>삼성 생활가전</v>
      </c>
      <c r="D1210" t="s">
        <v>1986</v>
      </c>
      <c r="E1210" t="s">
        <v>2003</v>
      </c>
      <c r="F1210" t="s">
        <v>2003</v>
      </c>
      <c r="G1210" s="554">
        <v>2000</v>
      </c>
      <c r="H1210">
        <v>11.96</v>
      </c>
    </row>
    <row r="1211" spans="2:8">
      <c r="B1211" s="555" t="s">
        <v>2232</v>
      </c>
      <c r="C1211" s="555" t="str">
        <f>VLOOKUP(D1211,기본!$D$13:$E$74,2,0)</f>
        <v>머큐리</v>
      </c>
      <c r="D1211" t="s">
        <v>1988</v>
      </c>
      <c r="E1211" t="s">
        <v>2225</v>
      </c>
      <c r="F1211" t="s">
        <v>2225</v>
      </c>
      <c r="G1211" s="554">
        <v>1000</v>
      </c>
      <c r="H1211">
        <v>3.7829999999999999</v>
      </c>
    </row>
    <row r="1212" spans="2:8">
      <c r="B1212" s="555" t="s">
        <v>2232</v>
      </c>
      <c r="C1212" s="555" t="str">
        <f>VLOOKUP(D1212,기본!$D$13:$E$74,2,0)</f>
        <v>머큐리</v>
      </c>
      <c r="D1212" t="s">
        <v>1988</v>
      </c>
      <c r="E1212" t="s">
        <v>1989</v>
      </c>
      <c r="F1212" t="s">
        <v>1989</v>
      </c>
      <c r="G1212" s="554">
        <v>33120</v>
      </c>
      <c r="H1212">
        <v>92.20608</v>
      </c>
    </row>
    <row r="1213" spans="2:8">
      <c r="B1213" s="555" t="s">
        <v>2232</v>
      </c>
      <c r="C1213" s="555" t="str">
        <f>VLOOKUP(D1213,기본!$D$13:$E$74,2,0)</f>
        <v>머큐리</v>
      </c>
      <c r="D1213" t="s">
        <v>1988</v>
      </c>
      <c r="E1213" t="s">
        <v>1433</v>
      </c>
      <c r="F1213" t="s">
        <v>1433</v>
      </c>
      <c r="G1213" s="554">
        <v>18000</v>
      </c>
      <c r="H1213">
        <v>54.576000000000008</v>
      </c>
    </row>
    <row r="1214" spans="2:8">
      <c r="B1214" s="555" t="s">
        <v>2232</v>
      </c>
      <c r="C1214" s="555" t="str">
        <f>VLOOKUP(D1214,기본!$D$13:$E$74,2,0)</f>
        <v>머큐리</v>
      </c>
      <c r="D1214" t="s">
        <v>1988</v>
      </c>
      <c r="E1214" t="s">
        <v>2226</v>
      </c>
      <c r="F1214" t="s">
        <v>2226</v>
      </c>
      <c r="G1214" s="554">
        <v>1960</v>
      </c>
      <c r="H1214">
        <v>10.36056</v>
      </c>
    </row>
    <row r="1215" spans="2:8">
      <c r="B1215" s="555" t="s">
        <v>2232</v>
      </c>
      <c r="C1215" s="555" t="str">
        <f>VLOOKUP(D1215,기본!$D$13:$E$74,2,0)</f>
        <v>머큐리</v>
      </c>
      <c r="D1215" t="s">
        <v>1988</v>
      </c>
      <c r="E1215" t="s">
        <v>2142</v>
      </c>
      <c r="F1215" t="s">
        <v>2142</v>
      </c>
      <c r="G1215" s="554">
        <v>9984</v>
      </c>
      <c r="H1215">
        <v>26.65728</v>
      </c>
    </row>
    <row r="1216" spans="2:8">
      <c r="B1216" s="555" t="s">
        <v>2232</v>
      </c>
      <c r="C1216" s="555" t="str">
        <f>VLOOKUP(D1216,기본!$D$13:$E$74,2,0)</f>
        <v>삼성 생활가전</v>
      </c>
      <c r="D1216" t="s">
        <v>2143</v>
      </c>
      <c r="E1216" t="s">
        <v>2144</v>
      </c>
      <c r="F1216" t="s">
        <v>2144</v>
      </c>
      <c r="G1216" s="554">
        <v>840</v>
      </c>
      <c r="H1216">
        <v>5.9555999999999996</v>
      </c>
    </row>
    <row r="1217" spans="2:8">
      <c r="B1217" s="555" t="s">
        <v>2232</v>
      </c>
      <c r="C1217" s="555" t="str">
        <f>VLOOKUP(D1217,기본!$D$13:$E$74,2,0)</f>
        <v>삼성 생활가전</v>
      </c>
      <c r="D1217" t="s">
        <v>2143</v>
      </c>
      <c r="E1217" t="s">
        <v>2145</v>
      </c>
      <c r="F1217" t="s">
        <v>2145</v>
      </c>
      <c r="G1217" s="554">
        <v>200</v>
      </c>
      <c r="H1217">
        <v>1.4279999999999999</v>
      </c>
    </row>
    <row r="1218" spans="2:8">
      <c r="B1218" s="555" t="s">
        <v>2232</v>
      </c>
      <c r="C1218" s="555" t="str">
        <f>VLOOKUP(D1218,기본!$D$13:$E$74,2,0)</f>
        <v>삼성 VD</v>
      </c>
      <c r="D1218" t="s">
        <v>1990</v>
      </c>
      <c r="E1218" t="s">
        <v>1874</v>
      </c>
      <c r="F1218" t="s">
        <v>1875</v>
      </c>
      <c r="G1218" s="554">
        <v>10</v>
      </c>
      <c r="H1218">
        <v>0.15602706000000002</v>
      </c>
    </row>
    <row r="1219" spans="2:8">
      <c r="B1219" s="555" t="s">
        <v>2232</v>
      </c>
      <c r="C1219" s="555" t="str">
        <f>VLOOKUP(D1219,기본!$D$13:$E$74,2,0)</f>
        <v>삼성 VD</v>
      </c>
      <c r="D1219" t="s">
        <v>1990</v>
      </c>
      <c r="E1219" t="s">
        <v>1859</v>
      </c>
      <c r="F1219" t="s">
        <v>1860</v>
      </c>
      <c r="G1219" s="554">
        <v>120</v>
      </c>
      <c r="H1219">
        <v>2.122404</v>
      </c>
    </row>
    <row r="1220" spans="2:8">
      <c r="B1220" s="555" t="s">
        <v>2232</v>
      </c>
      <c r="C1220" s="555" t="str">
        <f>VLOOKUP(D1220,기본!$D$13:$E$74,2,0)</f>
        <v>삼성 VD</v>
      </c>
      <c r="D1220" t="s">
        <v>1990</v>
      </c>
      <c r="E1220" t="s">
        <v>1865</v>
      </c>
      <c r="F1220" t="s">
        <v>1866</v>
      </c>
      <c r="G1220" s="554">
        <v>60</v>
      </c>
      <c r="H1220">
        <v>2.5004219399999998</v>
      </c>
    </row>
    <row r="1221" spans="2:8">
      <c r="B1221" s="555" t="s">
        <v>2232</v>
      </c>
      <c r="C1221" s="555" t="str">
        <f>VLOOKUP(D1221,기본!$D$13:$E$74,2,0)</f>
        <v>삼성 VD</v>
      </c>
      <c r="D1221" t="s">
        <v>1990</v>
      </c>
      <c r="E1221" t="s">
        <v>1786</v>
      </c>
      <c r="F1221" t="s">
        <v>1671</v>
      </c>
      <c r="G1221" s="554">
        <v>12</v>
      </c>
      <c r="H1221">
        <v>0.13192129200000002</v>
      </c>
    </row>
    <row r="1222" spans="2:8">
      <c r="B1222" s="555" t="s">
        <v>2232</v>
      </c>
      <c r="C1222" s="555" t="str">
        <f>VLOOKUP(D1222,기본!$D$13:$E$74,2,0)</f>
        <v>삼성 VD</v>
      </c>
      <c r="D1222" t="s">
        <v>1990</v>
      </c>
      <c r="E1222" t="s">
        <v>1777</v>
      </c>
      <c r="F1222" t="s">
        <v>1672</v>
      </c>
      <c r="G1222" s="554">
        <v>10</v>
      </c>
      <c r="H1222">
        <v>0.11419970000000002</v>
      </c>
    </row>
    <row r="1223" spans="2:8">
      <c r="B1223" s="555" t="s">
        <v>2232</v>
      </c>
      <c r="C1223" s="555" t="str">
        <f>VLOOKUP(D1223,기본!$D$13:$E$74,2,0)</f>
        <v>삼성 VD</v>
      </c>
      <c r="D1223" t="s">
        <v>1990</v>
      </c>
      <c r="E1223" t="s">
        <v>1788</v>
      </c>
      <c r="F1223" t="s">
        <v>1913</v>
      </c>
      <c r="G1223" s="554">
        <v>12</v>
      </c>
      <c r="H1223">
        <v>0.14760655200000003</v>
      </c>
    </row>
    <row r="1224" spans="2:8">
      <c r="B1224" s="555" t="s">
        <v>2232</v>
      </c>
      <c r="C1224" s="555" t="str">
        <f>VLOOKUP(D1224,기본!$D$13:$E$74,2,0)</f>
        <v>삼성 VD</v>
      </c>
      <c r="D1224" t="s">
        <v>1990</v>
      </c>
      <c r="E1224" t="s">
        <v>1778</v>
      </c>
      <c r="F1224" t="s">
        <v>1919</v>
      </c>
      <c r="G1224" s="554">
        <v>10</v>
      </c>
      <c r="H1224">
        <v>0.12947219000000001</v>
      </c>
    </row>
    <row r="1225" spans="2:8">
      <c r="B1225" s="555" t="s">
        <v>2232</v>
      </c>
      <c r="C1225" s="555" t="str">
        <f>VLOOKUP(D1225,기본!$D$13:$E$74,2,0)</f>
        <v>삼성 VD</v>
      </c>
      <c r="D1225" t="s">
        <v>1990</v>
      </c>
      <c r="E1225" t="s">
        <v>1790</v>
      </c>
      <c r="F1225" t="s">
        <v>1914</v>
      </c>
      <c r="G1225" s="554">
        <v>12</v>
      </c>
      <c r="H1225">
        <v>0.16279648800000002</v>
      </c>
    </row>
    <row r="1226" spans="2:8">
      <c r="B1226" s="555" t="s">
        <v>2232</v>
      </c>
      <c r="C1226" s="555" t="str">
        <f>VLOOKUP(D1226,기본!$D$13:$E$74,2,0)</f>
        <v>삼성 VD</v>
      </c>
      <c r="D1226" t="s">
        <v>1990</v>
      </c>
      <c r="E1226" t="s">
        <v>1779</v>
      </c>
      <c r="F1226" t="s">
        <v>1920</v>
      </c>
      <c r="G1226" s="554">
        <v>10</v>
      </c>
      <c r="H1226">
        <v>0.14433191000000001</v>
      </c>
    </row>
    <row r="1227" spans="2:8">
      <c r="B1227" s="555" t="s">
        <v>2232</v>
      </c>
      <c r="C1227" s="555" t="str">
        <f>VLOOKUP(D1227,기본!$D$13:$E$74,2,0)</f>
        <v>삼성 VD</v>
      </c>
      <c r="D1227" t="s">
        <v>1990</v>
      </c>
      <c r="E1227" t="s">
        <v>1792</v>
      </c>
      <c r="F1227" t="s">
        <v>1915</v>
      </c>
      <c r="G1227" s="554">
        <v>12</v>
      </c>
      <c r="H1227">
        <v>0.213649752</v>
      </c>
    </row>
    <row r="1228" spans="2:8">
      <c r="B1228" s="555" t="s">
        <v>2232</v>
      </c>
      <c r="C1228" s="555" t="str">
        <f>VLOOKUP(D1228,기본!$D$13:$E$74,2,0)</f>
        <v>삼성 VD</v>
      </c>
      <c r="D1228" t="s">
        <v>1990</v>
      </c>
      <c r="E1228" t="s">
        <v>709</v>
      </c>
      <c r="F1228" t="s">
        <v>1869</v>
      </c>
      <c r="G1228" s="554">
        <v>44</v>
      </c>
      <c r="H1228">
        <v>0.1507</v>
      </c>
    </row>
    <row r="1229" spans="2:8">
      <c r="B1229" s="555" t="s">
        <v>2232</v>
      </c>
      <c r="C1229" s="555" t="str">
        <f>VLOOKUP(D1229,기본!$D$13:$E$74,2,0)</f>
        <v>삼성 VD</v>
      </c>
      <c r="D1229" t="s">
        <v>1990</v>
      </c>
      <c r="E1229" t="s">
        <v>1156</v>
      </c>
      <c r="F1229" t="s">
        <v>1870</v>
      </c>
      <c r="G1229" s="554">
        <v>132</v>
      </c>
      <c r="H1229">
        <v>0.60943080000000005</v>
      </c>
    </row>
    <row r="1230" spans="2:8">
      <c r="B1230" s="555" t="s">
        <v>2232</v>
      </c>
      <c r="C1230" s="555" t="str">
        <f>VLOOKUP(D1230,기본!$D$13:$E$74,2,0)</f>
        <v>삼성 VD</v>
      </c>
      <c r="D1230" t="s">
        <v>1990</v>
      </c>
      <c r="E1230" t="s">
        <v>229</v>
      </c>
      <c r="F1230" t="s">
        <v>229</v>
      </c>
      <c r="G1230" s="554">
        <v>0</v>
      </c>
      <c r="H1230">
        <v>12.060077999999999</v>
      </c>
    </row>
    <row r="1231" spans="2:8">
      <c r="B1231" s="555" t="s">
        <v>2232</v>
      </c>
      <c r="C1231" s="555" t="str">
        <f>VLOOKUP(D1231,기본!$D$13:$E$74,2,0)</f>
        <v>삼성 생활가전</v>
      </c>
      <c r="D1231" t="s">
        <v>1991</v>
      </c>
      <c r="E1231" t="s">
        <v>914</v>
      </c>
      <c r="F1231" t="s">
        <v>914</v>
      </c>
      <c r="G1231" s="554">
        <v>1080</v>
      </c>
      <c r="H1231">
        <v>6.6304656</v>
      </c>
    </row>
    <row r="1232" spans="2:8">
      <c r="B1232" s="555" t="s">
        <v>2232</v>
      </c>
      <c r="C1232" s="555" t="str">
        <f>VLOOKUP(D1232,기본!$D$13:$E$74,2,0)</f>
        <v>삼성 생활가전</v>
      </c>
      <c r="D1232" t="s">
        <v>1991</v>
      </c>
      <c r="E1232" t="s">
        <v>1992</v>
      </c>
      <c r="F1232" t="s">
        <v>1992</v>
      </c>
      <c r="G1232" s="554">
        <v>2160</v>
      </c>
      <c r="H1232">
        <v>14.014393199999999</v>
      </c>
    </row>
    <row r="1233" spans="2:8">
      <c r="B1233" s="555" t="s">
        <v>2232</v>
      </c>
      <c r="C1233" s="555" t="str">
        <f>VLOOKUP(D1233,기본!$D$13:$E$74,2,0)</f>
        <v>삼성 생활가전</v>
      </c>
      <c r="D1233" t="s">
        <v>1991</v>
      </c>
      <c r="E1233" t="s">
        <v>1994</v>
      </c>
      <c r="F1233" t="s">
        <v>1994</v>
      </c>
      <c r="G1233" s="554">
        <v>4320</v>
      </c>
      <c r="H1233">
        <v>33.4682496</v>
      </c>
    </row>
    <row r="1234" spans="2:8">
      <c r="B1234" s="555" t="s">
        <v>2232</v>
      </c>
      <c r="C1234" s="555" t="str">
        <f>VLOOKUP(D1234,기본!$D$13:$E$74,2,0)</f>
        <v>삼성 생활가전</v>
      </c>
      <c r="D1234" t="s">
        <v>1991</v>
      </c>
      <c r="E1234" t="s">
        <v>1995</v>
      </c>
      <c r="F1234" t="s">
        <v>1995</v>
      </c>
      <c r="G1234" s="554">
        <v>8640</v>
      </c>
      <c r="H1234">
        <v>66.900453120000009</v>
      </c>
    </row>
    <row r="1235" spans="2:8">
      <c r="B1235" s="555" t="s">
        <v>2232</v>
      </c>
      <c r="C1235" s="555" t="str">
        <f>VLOOKUP(D1235,기본!$D$13:$E$74,2,0)</f>
        <v>삼성 생활가전</v>
      </c>
      <c r="D1235" t="s">
        <v>1991</v>
      </c>
      <c r="E1235" t="s">
        <v>713</v>
      </c>
      <c r="F1235" t="s">
        <v>713</v>
      </c>
      <c r="G1235" s="554">
        <v>2016</v>
      </c>
      <c r="H1235">
        <v>16.107839999999999</v>
      </c>
    </row>
    <row r="1236" spans="2:8">
      <c r="B1236" s="555" t="s">
        <v>2232</v>
      </c>
      <c r="C1236" s="555" t="str">
        <f>VLOOKUP(D1236,기본!$D$13:$E$74,2,0)</f>
        <v>삼성 생활가전</v>
      </c>
      <c r="D1236" t="s">
        <v>1991</v>
      </c>
      <c r="E1236" t="s">
        <v>2190</v>
      </c>
      <c r="F1236" t="s">
        <v>2190</v>
      </c>
      <c r="G1236" s="554">
        <v>959</v>
      </c>
      <c r="H1236">
        <v>12.591593279999998</v>
      </c>
    </row>
    <row r="1237" spans="2:8">
      <c r="B1237" s="555" t="s">
        <v>2232</v>
      </c>
      <c r="C1237" s="555" t="str">
        <f>VLOOKUP(D1237,기본!$D$13:$E$74,2,0)</f>
        <v>삼성 생활가전</v>
      </c>
      <c r="D1237" t="s">
        <v>1991</v>
      </c>
      <c r="E1237" t="s">
        <v>1997</v>
      </c>
      <c r="F1237" t="s">
        <v>1997</v>
      </c>
      <c r="G1237" s="554">
        <v>1440</v>
      </c>
      <c r="H1237">
        <v>8.5535999999999994</v>
      </c>
    </row>
    <row r="1238" spans="2:8">
      <c r="B1238" s="555" t="s">
        <v>2232</v>
      </c>
      <c r="C1238" s="555" t="str">
        <f>VLOOKUP(D1238,기본!$D$13:$E$74,2,0)</f>
        <v>삼성 생활가전</v>
      </c>
      <c r="D1238" t="s">
        <v>1991</v>
      </c>
      <c r="E1238" t="s">
        <v>1998</v>
      </c>
      <c r="F1238" t="s">
        <v>1998</v>
      </c>
      <c r="G1238" s="554">
        <v>1440</v>
      </c>
      <c r="H1238">
        <v>8.4960000000000004</v>
      </c>
    </row>
    <row r="1239" spans="2:8">
      <c r="B1239" s="555" t="s">
        <v>2232</v>
      </c>
      <c r="C1239" s="555" t="str">
        <f>VLOOKUP(D1239,기본!$D$13:$E$74,2,0)</f>
        <v>삼성 생활가전</v>
      </c>
      <c r="D1239" t="s">
        <v>1991</v>
      </c>
      <c r="E1239" t="s">
        <v>1999</v>
      </c>
      <c r="F1239" t="s">
        <v>1999</v>
      </c>
      <c r="G1239" s="554">
        <v>4320</v>
      </c>
      <c r="H1239">
        <v>25.829279999999997</v>
      </c>
    </row>
    <row r="1240" spans="2:8">
      <c r="B1240" s="555" t="s">
        <v>2232</v>
      </c>
      <c r="C1240" s="555" t="str">
        <f>VLOOKUP(D1240,기본!$D$13:$E$74,2,0)</f>
        <v>삼성 생활가전</v>
      </c>
      <c r="D1240" t="s">
        <v>1991</v>
      </c>
      <c r="E1240" t="s">
        <v>2001</v>
      </c>
      <c r="F1240" t="s">
        <v>2001</v>
      </c>
      <c r="G1240" s="554">
        <v>10080</v>
      </c>
      <c r="H1240">
        <v>57.64752</v>
      </c>
    </row>
    <row r="1241" spans="2:8">
      <c r="B1241" s="555" t="s">
        <v>2232</v>
      </c>
      <c r="C1241" s="555" t="str">
        <f>VLOOKUP(D1241,기본!$D$13:$E$74,2,0)</f>
        <v>삼성 생활가전</v>
      </c>
      <c r="D1241" t="s">
        <v>1991</v>
      </c>
      <c r="E1241" t="s">
        <v>1508</v>
      </c>
      <c r="F1241" t="s">
        <v>1508</v>
      </c>
      <c r="G1241" s="554">
        <v>190</v>
      </c>
      <c r="H1241">
        <v>1.8049999999999999</v>
      </c>
    </row>
    <row r="1242" spans="2:8">
      <c r="B1242" s="555" t="s">
        <v>2232</v>
      </c>
      <c r="C1242" s="555" t="str">
        <f>VLOOKUP(D1242,기본!$D$13:$E$74,2,0)</f>
        <v>삼성 생활가전</v>
      </c>
      <c r="D1242" t="s">
        <v>1991</v>
      </c>
      <c r="E1242" t="s">
        <v>1509</v>
      </c>
      <c r="F1242" t="s">
        <v>1509</v>
      </c>
      <c r="G1242" s="554">
        <v>2</v>
      </c>
      <c r="H1242">
        <v>2.1899999999999999E-2</v>
      </c>
    </row>
    <row r="1243" spans="2:8">
      <c r="B1243" s="555" t="s">
        <v>2232</v>
      </c>
      <c r="C1243" s="555" t="str">
        <f>VLOOKUP(D1243,기본!$D$13:$E$74,2,0)</f>
        <v>삼성 생활가전</v>
      </c>
      <c r="D1243" t="s">
        <v>1991</v>
      </c>
      <c r="E1243" t="s">
        <v>1242</v>
      </c>
      <c r="F1243" t="s">
        <v>1242</v>
      </c>
      <c r="G1243" s="554">
        <v>5156</v>
      </c>
      <c r="H1243">
        <v>26.450279999999999</v>
      </c>
    </row>
    <row r="1244" spans="2:8">
      <c r="B1244" s="555" t="s">
        <v>2232</v>
      </c>
      <c r="C1244" s="555" t="str">
        <f>VLOOKUP(D1244,기본!$D$13:$E$74,2,0)</f>
        <v>삼성 생활가전</v>
      </c>
      <c r="D1244" t="s">
        <v>1991</v>
      </c>
      <c r="E1244" t="s">
        <v>1395</v>
      </c>
      <c r="F1244" t="s">
        <v>1395</v>
      </c>
      <c r="G1244" s="554">
        <v>10224</v>
      </c>
      <c r="H1244">
        <v>55.802591999999997</v>
      </c>
    </row>
    <row r="1245" spans="2:8">
      <c r="B1245" s="555" t="s">
        <v>2232</v>
      </c>
      <c r="C1245" s="555" t="str">
        <f>VLOOKUP(D1245,기본!$D$13:$E$74,2,0)</f>
        <v>삼성 생활가전</v>
      </c>
      <c r="D1245" t="s">
        <v>1991</v>
      </c>
      <c r="E1245" t="s">
        <v>2004</v>
      </c>
      <c r="F1245" t="s">
        <v>2004</v>
      </c>
      <c r="G1245" s="554">
        <v>7301</v>
      </c>
      <c r="H1245">
        <v>74.506704999999997</v>
      </c>
    </row>
    <row r="1246" spans="2:8">
      <c r="B1246" s="555" t="s">
        <v>2232</v>
      </c>
      <c r="C1246" s="555" t="str">
        <f>VLOOKUP(D1246,기본!$D$13:$E$74,2,0)</f>
        <v>삼성 생활가전</v>
      </c>
      <c r="D1246" t="s">
        <v>1991</v>
      </c>
      <c r="E1246" t="s">
        <v>2227</v>
      </c>
      <c r="F1246" t="s">
        <v>2227</v>
      </c>
      <c r="G1246" s="554">
        <v>350</v>
      </c>
      <c r="H1246">
        <v>1.87005</v>
      </c>
    </row>
    <row r="1247" spans="2:8">
      <c r="B1247" s="555" t="s">
        <v>2232</v>
      </c>
      <c r="C1247" s="555" t="str">
        <f>VLOOKUP(D1247,기본!$D$13:$E$74,2,0)</f>
        <v>삼성 생활가전</v>
      </c>
      <c r="D1247" t="s">
        <v>1991</v>
      </c>
      <c r="E1247" t="s">
        <v>1465</v>
      </c>
      <c r="F1247" t="s">
        <v>1465</v>
      </c>
      <c r="G1247" s="554">
        <v>12676</v>
      </c>
      <c r="H1247">
        <v>171.80787584000001</v>
      </c>
    </row>
    <row r="1248" spans="2:8">
      <c r="B1248" s="555" t="s">
        <v>2232</v>
      </c>
      <c r="C1248" s="555" t="str">
        <f>VLOOKUP(D1248,기본!$D$13:$E$74,2,0)</f>
        <v>삼성 생활가전</v>
      </c>
      <c r="D1248" t="s">
        <v>1991</v>
      </c>
      <c r="E1248" t="s">
        <v>2005</v>
      </c>
      <c r="F1248" t="s">
        <v>2005</v>
      </c>
      <c r="G1248" s="554">
        <v>0</v>
      </c>
      <c r="H1248">
        <v>5.0740689999999997</v>
      </c>
    </row>
    <row r="1249" spans="2:8">
      <c r="B1249" s="555" t="s">
        <v>2232</v>
      </c>
      <c r="C1249" s="555" t="str">
        <f>VLOOKUP(D1249,기본!$D$13:$E$74,2,0)</f>
        <v>삼성 생활가전</v>
      </c>
      <c r="D1249" t="s">
        <v>1991</v>
      </c>
      <c r="E1249" t="s">
        <v>229</v>
      </c>
      <c r="F1249" t="s">
        <v>229</v>
      </c>
      <c r="G1249" s="554">
        <v>0</v>
      </c>
      <c r="H1249">
        <v>1.34589</v>
      </c>
    </row>
    <row r="1250" spans="2:8">
      <c r="B1250" s="555" t="s">
        <v>2232</v>
      </c>
      <c r="C1250" s="555" t="str">
        <f>VLOOKUP(D1250,기본!$D$13:$E$74,2,0)</f>
        <v>삼성 생활가전</v>
      </c>
      <c r="D1250" t="s">
        <v>2006</v>
      </c>
      <c r="E1250" t="s">
        <v>1465</v>
      </c>
      <c r="F1250" t="s">
        <v>1465</v>
      </c>
      <c r="G1250" s="554">
        <v>672</v>
      </c>
      <c r="H1250">
        <v>8.6923200000000005</v>
      </c>
    </row>
    <row r="1251" spans="2:8">
      <c r="B1251" s="555" t="s">
        <v>2232</v>
      </c>
      <c r="C1251" s="555" t="str">
        <f>VLOOKUP(D1251,기본!$D$13:$E$74,2,0)</f>
        <v>코웨이</v>
      </c>
      <c r="D1251" t="s">
        <v>2191</v>
      </c>
      <c r="E1251" t="s">
        <v>2192</v>
      </c>
      <c r="F1251" t="s">
        <v>2192</v>
      </c>
      <c r="G1251" s="554">
        <v>200</v>
      </c>
      <c r="H1251">
        <v>2.472</v>
      </c>
    </row>
    <row r="1252" spans="2:8">
      <c r="B1252" s="555" t="s">
        <v>2232</v>
      </c>
      <c r="C1252" s="555" t="str">
        <f>VLOOKUP(D1252,기본!$D$13:$E$74,2,0)</f>
        <v>코웨이</v>
      </c>
      <c r="D1252" t="s">
        <v>2007</v>
      </c>
      <c r="E1252" t="s">
        <v>1072</v>
      </c>
      <c r="F1252" t="s">
        <v>1072</v>
      </c>
      <c r="G1252" s="554">
        <v>12263</v>
      </c>
      <c r="H1252">
        <v>59.475549999999998</v>
      </c>
    </row>
    <row r="1253" spans="2:8">
      <c r="B1253" s="555" t="s">
        <v>2232</v>
      </c>
      <c r="C1253" s="555" t="str">
        <f>VLOOKUP(D1253,기본!$D$13:$E$74,2,0)</f>
        <v>코웨이</v>
      </c>
      <c r="D1253" t="s">
        <v>2007</v>
      </c>
      <c r="E1253" t="s">
        <v>1075</v>
      </c>
      <c r="F1253" t="s">
        <v>1075</v>
      </c>
      <c r="G1253" s="554">
        <v>6148</v>
      </c>
      <c r="H1253">
        <v>8.5764600000000009</v>
      </c>
    </row>
    <row r="1254" spans="2:8">
      <c r="B1254" s="555" t="s">
        <v>2232</v>
      </c>
      <c r="C1254" s="555" t="str">
        <f>VLOOKUP(D1254,기본!$D$13:$E$74,2,0)</f>
        <v>코웨이</v>
      </c>
      <c r="D1254" t="s">
        <v>2008</v>
      </c>
      <c r="E1254" t="s">
        <v>2009</v>
      </c>
      <c r="F1254" t="s">
        <v>2009</v>
      </c>
      <c r="G1254" s="554">
        <v>8412</v>
      </c>
      <c r="H1254">
        <v>22.989996000000001</v>
      </c>
    </row>
    <row r="1255" spans="2:8">
      <c r="B1255" s="555" t="s">
        <v>2232</v>
      </c>
      <c r="C1255" s="555" t="str">
        <f>VLOOKUP(D1255,기본!$D$13:$E$74,2,0)</f>
        <v>코웨이</v>
      </c>
      <c r="D1255" t="s">
        <v>2010</v>
      </c>
      <c r="E1255" t="s">
        <v>2011</v>
      </c>
      <c r="F1255" t="s">
        <v>2011</v>
      </c>
      <c r="G1255" s="554">
        <v>50</v>
      </c>
      <c r="H1255">
        <v>0.24779999999999999</v>
      </c>
    </row>
    <row r="1256" spans="2:8">
      <c r="B1256" s="555" t="s">
        <v>2232</v>
      </c>
      <c r="C1256" s="555" t="str">
        <f>VLOOKUP(D1256,기본!$D$13:$E$74,2,0)</f>
        <v>코웨이</v>
      </c>
      <c r="D1256" t="s">
        <v>2010</v>
      </c>
      <c r="E1256" t="s">
        <v>2013</v>
      </c>
      <c r="F1256" t="s">
        <v>2013</v>
      </c>
      <c r="G1256" s="554">
        <v>7</v>
      </c>
      <c r="H1256">
        <v>6.1376E-2</v>
      </c>
    </row>
    <row r="1257" spans="2:8">
      <c r="B1257" s="555" t="s">
        <v>2232</v>
      </c>
      <c r="C1257" s="555" t="str">
        <f>VLOOKUP(D1257,기본!$D$13:$E$74,2,0)</f>
        <v>코웨이</v>
      </c>
      <c r="D1257" t="s">
        <v>2010</v>
      </c>
      <c r="E1257" t="s">
        <v>2014</v>
      </c>
      <c r="F1257" t="s">
        <v>2014</v>
      </c>
      <c r="G1257" s="554">
        <v>12675</v>
      </c>
      <c r="H1257">
        <v>110.67809999999999</v>
      </c>
    </row>
    <row r="1258" spans="2:8">
      <c r="B1258" s="555" t="s">
        <v>2232</v>
      </c>
      <c r="C1258" s="555" t="str">
        <f>VLOOKUP(D1258,기본!$D$13:$E$74,2,0)</f>
        <v>코웨이</v>
      </c>
      <c r="D1258" t="s">
        <v>2010</v>
      </c>
      <c r="E1258" t="s">
        <v>1093</v>
      </c>
      <c r="F1258" t="s">
        <v>1093</v>
      </c>
      <c r="G1258" s="554">
        <v>604</v>
      </c>
      <c r="H1258">
        <v>3.2266999999999997</v>
      </c>
    </row>
    <row r="1259" spans="2:8">
      <c r="B1259" s="555" t="s">
        <v>2232</v>
      </c>
      <c r="C1259" s="555" t="str">
        <f>VLOOKUP(D1259,기본!$D$13:$E$74,2,0)</f>
        <v>코웨이</v>
      </c>
      <c r="D1259" t="s">
        <v>2010</v>
      </c>
      <c r="E1259" t="s">
        <v>1094</v>
      </c>
      <c r="F1259" t="s">
        <v>1094</v>
      </c>
      <c r="G1259" s="554">
        <v>5212</v>
      </c>
      <c r="H1259">
        <v>16.243564999999997</v>
      </c>
    </row>
    <row r="1260" spans="2:8">
      <c r="B1260" s="555" t="s">
        <v>2232</v>
      </c>
      <c r="C1260" s="555" t="str">
        <f>VLOOKUP(D1260,기본!$D$13:$E$74,2,0)</f>
        <v>코웨이</v>
      </c>
      <c r="D1260" t="s">
        <v>2010</v>
      </c>
      <c r="E1260" t="s">
        <v>1095</v>
      </c>
      <c r="F1260" t="s">
        <v>1095</v>
      </c>
      <c r="G1260" s="554">
        <v>4014</v>
      </c>
      <c r="H1260">
        <v>24.293375999999999</v>
      </c>
    </row>
    <row r="1261" spans="2:8">
      <c r="B1261" s="555" t="s">
        <v>2232</v>
      </c>
      <c r="C1261" s="555" t="str">
        <f>VLOOKUP(D1261,기본!$D$13:$E$74,2,0)</f>
        <v>코웨이</v>
      </c>
      <c r="D1261" t="s">
        <v>2010</v>
      </c>
      <c r="E1261" t="s">
        <v>2015</v>
      </c>
      <c r="F1261" t="s">
        <v>2015</v>
      </c>
      <c r="G1261" s="554">
        <v>15</v>
      </c>
      <c r="H1261">
        <v>0.19329000000000002</v>
      </c>
    </row>
    <row r="1262" spans="2:8">
      <c r="B1262" s="555" t="s">
        <v>2232</v>
      </c>
      <c r="C1262" s="555" t="str">
        <f>VLOOKUP(D1262,기본!$D$13:$E$74,2,0)</f>
        <v>코웨이</v>
      </c>
      <c r="D1262" t="s">
        <v>2010</v>
      </c>
      <c r="E1262" t="s">
        <v>2197</v>
      </c>
      <c r="F1262" t="s">
        <v>2197</v>
      </c>
      <c r="G1262" s="554">
        <v>186</v>
      </c>
      <c r="H1262">
        <v>1.2279720000000001</v>
      </c>
    </row>
    <row r="1263" spans="2:8">
      <c r="B1263" s="555" t="s">
        <v>2232</v>
      </c>
      <c r="C1263" s="555" t="str">
        <f>VLOOKUP(D1263,기본!$D$13:$E$74,2,0)</f>
        <v>코웨이</v>
      </c>
      <c r="D1263" t="s">
        <v>2010</v>
      </c>
      <c r="E1263" t="s">
        <v>2016</v>
      </c>
      <c r="F1263" t="s">
        <v>2016</v>
      </c>
      <c r="G1263" s="554">
        <v>30</v>
      </c>
      <c r="H1263">
        <v>0.21399000000000001</v>
      </c>
    </row>
    <row r="1264" spans="2:8">
      <c r="B1264" s="555" t="s">
        <v>2232</v>
      </c>
      <c r="C1264" s="555" t="str">
        <f>VLOOKUP(D1264,기본!$D$13:$E$74,2,0)</f>
        <v>코웨이</v>
      </c>
      <c r="D1264" t="s">
        <v>2010</v>
      </c>
      <c r="E1264" t="s">
        <v>2228</v>
      </c>
      <c r="F1264" t="s">
        <v>2228</v>
      </c>
      <c r="G1264" s="554">
        <v>56</v>
      </c>
      <c r="H1264">
        <v>0.491232</v>
      </c>
    </row>
    <row r="1265" spans="2:8">
      <c r="B1265" s="555" t="s">
        <v>2232</v>
      </c>
      <c r="C1265" s="555" t="str">
        <f>VLOOKUP(D1265,기본!$D$13:$E$74,2,0)</f>
        <v>코웨이</v>
      </c>
      <c r="D1265" t="s">
        <v>2010</v>
      </c>
      <c r="E1265" t="s">
        <v>2229</v>
      </c>
      <c r="F1265" t="s">
        <v>2229</v>
      </c>
      <c r="G1265" s="554">
        <v>56</v>
      </c>
      <c r="H1265">
        <v>0.82264000000000004</v>
      </c>
    </row>
    <row r="1266" spans="2:8">
      <c r="B1266" s="555" t="s">
        <v>2232</v>
      </c>
      <c r="C1266" s="555" t="str">
        <f>VLOOKUP(D1266,기본!$D$13:$E$74,2,0)</f>
        <v>코웨이</v>
      </c>
      <c r="D1266" t="s">
        <v>2010</v>
      </c>
      <c r="E1266" t="s">
        <v>2017</v>
      </c>
      <c r="F1266" t="s">
        <v>2017</v>
      </c>
      <c r="G1266" s="554">
        <v>6</v>
      </c>
      <c r="H1266">
        <v>7.3775999999999994E-2</v>
      </c>
    </row>
    <row r="1267" spans="2:8">
      <c r="B1267" s="555" t="s">
        <v>2232</v>
      </c>
      <c r="C1267" s="555" t="str">
        <f>VLOOKUP(D1267,기본!$D$13:$E$74,2,0)</f>
        <v>코웨이</v>
      </c>
      <c r="D1267" t="s">
        <v>2010</v>
      </c>
      <c r="E1267" t="s">
        <v>2018</v>
      </c>
      <c r="F1267" t="s">
        <v>2018</v>
      </c>
      <c r="G1267" s="554">
        <v>200</v>
      </c>
      <c r="H1267">
        <v>2.5674000000000001</v>
      </c>
    </row>
    <row r="1268" spans="2:8">
      <c r="B1268" s="555" t="s">
        <v>2232</v>
      </c>
      <c r="C1268" s="555" t="str">
        <f>VLOOKUP(D1268,기본!$D$13:$E$74,2,0)</f>
        <v>코웨이</v>
      </c>
      <c r="D1268" t="s">
        <v>2010</v>
      </c>
      <c r="E1268" t="s">
        <v>2230</v>
      </c>
      <c r="F1268" t="s">
        <v>2230</v>
      </c>
      <c r="G1268" s="554">
        <v>2</v>
      </c>
      <c r="H1268">
        <v>1.1259999999999999E-2</v>
      </c>
    </row>
    <row r="1269" spans="2:8">
      <c r="B1269" s="555" t="s">
        <v>2232</v>
      </c>
      <c r="C1269" s="555" t="str">
        <f>VLOOKUP(D1269,기본!$D$13:$E$74,2,0)</f>
        <v>코웨이</v>
      </c>
      <c r="D1269" t="s">
        <v>2010</v>
      </c>
      <c r="E1269" t="s">
        <v>2019</v>
      </c>
      <c r="F1269" t="s">
        <v>2019</v>
      </c>
      <c r="G1269" s="554">
        <v>832</v>
      </c>
      <c r="H1269">
        <v>13.758371</v>
      </c>
    </row>
    <row r="1270" spans="2:8">
      <c r="B1270" s="555" t="s">
        <v>2232</v>
      </c>
      <c r="C1270" s="555" t="str">
        <f>VLOOKUP(D1270,기본!$D$13:$E$74,2,0)</f>
        <v>코웨이</v>
      </c>
      <c r="D1270" t="s">
        <v>2010</v>
      </c>
      <c r="E1270" t="s">
        <v>2020</v>
      </c>
      <c r="F1270" t="s">
        <v>2020</v>
      </c>
      <c r="G1270" s="554">
        <v>48</v>
      </c>
      <c r="H1270">
        <v>0.73996799999999996</v>
      </c>
    </row>
    <row r="1271" spans="2:8">
      <c r="B1271" s="555" t="s">
        <v>2232</v>
      </c>
      <c r="C1271" s="555" t="str">
        <f>VLOOKUP(D1271,기본!$D$13:$E$74,2,0)</f>
        <v>코웨이</v>
      </c>
      <c r="D1271" t="s">
        <v>2010</v>
      </c>
      <c r="E1271" t="s">
        <v>2021</v>
      </c>
      <c r="F1271" t="s">
        <v>2021</v>
      </c>
      <c r="G1271" s="554">
        <v>18438</v>
      </c>
      <c r="H1271">
        <v>238.017132</v>
      </c>
    </row>
    <row r="1272" spans="2:8">
      <c r="B1272" s="555" t="s">
        <v>2232</v>
      </c>
      <c r="C1272" s="555" t="str">
        <f>VLOOKUP(D1272,기본!$D$13:$E$74,2,0)</f>
        <v>코웨이</v>
      </c>
      <c r="D1272" t="s">
        <v>2010</v>
      </c>
      <c r="E1272" t="s">
        <v>1542</v>
      </c>
      <c r="F1272" t="s">
        <v>1542</v>
      </c>
      <c r="G1272" s="554">
        <v>1267</v>
      </c>
      <c r="H1272">
        <v>9.89527</v>
      </c>
    </row>
    <row r="1273" spans="2:8">
      <c r="B1273" s="555" t="s">
        <v>2232</v>
      </c>
      <c r="C1273" s="555" t="str">
        <f>VLOOKUP(D1273,기본!$D$13:$E$74,2,0)</f>
        <v>코웨이</v>
      </c>
      <c r="D1273" t="s">
        <v>2010</v>
      </c>
      <c r="E1273" t="s">
        <v>1543</v>
      </c>
      <c r="F1273" t="s">
        <v>1543</v>
      </c>
      <c r="G1273" s="554">
        <v>73</v>
      </c>
      <c r="H1273">
        <v>0.52545399999999998</v>
      </c>
    </row>
    <row r="1274" spans="2:8">
      <c r="B1274" s="555" t="s">
        <v>2232</v>
      </c>
      <c r="C1274" s="555" t="str">
        <f>VLOOKUP(D1274,기본!$D$13:$E$74,2,0)</f>
        <v>코웨이</v>
      </c>
      <c r="D1274" t="s">
        <v>2010</v>
      </c>
      <c r="E1274" t="s">
        <v>2022</v>
      </c>
      <c r="F1274" t="s">
        <v>2022</v>
      </c>
      <c r="G1274" s="554">
        <v>47</v>
      </c>
      <c r="H1274">
        <v>0.366365</v>
      </c>
    </row>
    <row r="1275" spans="2:8">
      <c r="B1275" s="555" t="s">
        <v>2232</v>
      </c>
      <c r="C1275" s="555" t="str">
        <f>VLOOKUP(D1275,기본!$D$13:$E$74,2,0)</f>
        <v>코웨이</v>
      </c>
      <c r="D1275" t="s">
        <v>2010</v>
      </c>
      <c r="E1275" t="s">
        <v>2023</v>
      </c>
      <c r="F1275" t="s">
        <v>2023</v>
      </c>
      <c r="G1275" s="554">
        <v>944</v>
      </c>
      <c r="H1275">
        <v>6.856717999999999</v>
      </c>
    </row>
    <row r="1276" spans="2:8">
      <c r="B1276" s="555" t="s">
        <v>2232</v>
      </c>
      <c r="C1276" s="555" t="str">
        <f>VLOOKUP(D1276,기본!$D$13:$E$74,2,0)</f>
        <v>코웨이</v>
      </c>
      <c r="D1276" t="s">
        <v>2010</v>
      </c>
      <c r="E1276" t="s">
        <v>2024</v>
      </c>
      <c r="F1276" t="s">
        <v>2024</v>
      </c>
      <c r="G1276" s="554">
        <v>24</v>
      </c>
      <c r="H1276">
        <v>0.217416</v>
      </c>
    </row>
    <row r="1277" spans="2:8">
      <c r="B1277" s="555" t="s">
        <v>2232</v>
      </c>
      <c r="C1277" s="555" t="str">
        <f>VLOOKUP(D1277,기본!$D$13:$E$74,2,0)</f>
        <v>코웨이</v>
      </c>
      <c r="D1277" t="s">
        <v>2010</v>
      </c>
      <c r="E1277" t="s">
        <v>2025</v>
      </c>
      <c r="F1277" t="s">
        <v>2025</v>
      </c>
      <c r="G1277" s="554">
        <v>531</v>
      </c>
      <c r="H1277">
        <v>4.7189970000000008</v>
      </c>
    </row>
    <row r="1278" spans="2:8">
      <c r="B1278" s="555" t="s">
        <v>2232</v>
      </c>
      <c r="C1278" s="555" t="str">
        <f>VLOOKUP(D1278,기본!$D$13:$E$74,2,0)</f>
        <v>코웨이</v>
      </c>
      <c r="D1278" t="s">
        <v>2010</v>
      </c>
      <c r="E1278" t="s">
        <v>2026</v>
      </c>
      <c r="F1278" t="s">
        <v>2026</v>
      </c>
      <c r="G1278" s="554">
        <v>108</v>
      </c>
      <c r="H1278">
        <v>1.84032</v>
      </c>
    </row>
    <row r="1279" spans="2:8">
      <c r="B1279" s="555" t="s">
        <v>2232</v>
      </c>
      <c r="C1279" s="555" t="str">
        <f>VLOOKUP(D1279,기본!$D$13:$E$74,2,0)</f>
        <v>코웨이</v>
      </c>
      <c r="D1279" t="s">
        <v>2010</v>
      </c>
      <c r="E1279" t="s">
        <v>2027</v>
      </c>
      <c r="F1279" t="s">
        <v>2027</v>
      </c>
      <c r="G1279" s="554">
        <v>36</v>
      </c>
      <c r="H1279">
        <v>0.69839999999999991</v>
      </c>
    </row>
    <row r="1280" spans="2:8">
      <c r="B1280" s="555" t="s">
        <v>2232</v>
      </c>
      <c r="C1280" s="555" t="str">
        <f>VLOOKUP(D1280,기본!$D$13:$E$74,2,0)</f>
        <v>코웨이</v>
      </c>
      <c r="D1280" t="s">
        <v>2010</v>
      </c>
      <c r="E1280" t="s">
        <v>2028</v>
      </c>
      <c r="F1280" t="s">
        <v>2028</v>
      </c>
      <c r="G1280" s="554">
        <v>11</v>
      </c>
      <c r="H1280">
        <v>0.2079</v>
      </c>
    </row>
    <row r="1281" spans="2:8">
      <c r="B1281" s="555" t="s">
        <v>2232</v>
      </c>
      <c r="C1281" s="555" t="str">
        <f>VLOOKUP(D1281,기본!$D$13:$E$74,2,0)</f>
        <v>코웨이</v>
      </c>
      <c r="D1281" t="s">
        <v>2010</v>
      </c>
      <c r="E1281" t="s">
        <v>2029</v>
      </c>
      <c r="F1281" t="s">
        <v>2029</v>
      </c>
      <c r="G1281" s="554">
        <v>829</v>
      </c>
      <c r="H1281">
        <v>17.066623</v>
      </c>
    </row>
    <row r="1282" spans="2:8">
      <c r="B1282" s="555" t="s">
        <v>2232</v>
      </c>
      <c r="C1282" s="555" t="str">
        <f>VLOOKUP(D1282,기본!$D$13:$E$74,2,0)</f>
        <v>코웨이</v>
      </c>
      <c r="D1282" t="s">
        <v>2010</v>
      </c>
      <c r="E1282" t="s">
        <v>2030</v>
      </c>
      <c r="F1282" t="s">
        <v>2030</v>
      </c>
      <c r="G1282" s="554">
        <v>368</v>
      </c>
      <c r="H1282">
        <v>7.4982560000000005</v>
      </c>
    </row>
    <row r="1283" spans="2:8">
      <c r="B1283" s="555" t="s">
        <v>2232</v>
      </c>
      <c r="C1283" s="555" t="str">
        <f>VLOOKUP(D1283,기본!$D$13:$E$74,2,0)</f>
        <v>코웨이</v>
      </c>
      <c r="D1283" t="s">
        <v>2010</v>
      </c>
      <c r="E1283" t="s">
        <v>2150</v>
      </c>
      <c r="F1283" t="s">
        <v>2150</v>
      </c>
      <c r="G1283" s="554">
        <v>152</v>
      </c>
      <c r="H1283">
        <v>3.1292239999999998</v>
      </c>
    </row>
    <row r="1284" spans="2:8">
      <c r="B1284" s="555" t="s">
        <v>2232</v>
      </c>
      <c r="C1284" s="555" t="str">
        <f>VLOOKUP(D1284,기본!$D$13:$E$74,2,0)</f>
        <v>코웨이</v>
      </c>
      <c r="D1284" t="s">
        <v>2010</v>
      </c>
      <c r="E1284" t="s">
        <v>2031</v>
      </c>
      <c r="F1284" t="s">
        <v>2031</v>
      </c>
      <c r="G1284" s="554">
        <v>3</v>
      </c>
      <c r="H1284">
        <v>4.1730000000000003E-2</v>
      </c>
    </row>
    <row r="1285" spans="2:8">
      <c r="B1285" s="555" t="s">
        <v>2232</v>
      </c>
      <c r="C1285" s="555" t="str">
        <f>VLOOKUP(D1285,기본!$D$13:$E$74,2,0)</f>
        <v>코웨이</v>
      </c>
      <c r="D1285" t="s">
        <v>2010</v>
      </c>
      <c r="E1285" t="s">
        <v>2151</v>
      </c>
      <c r="F1285" t="s">
        <v>2151</v>
      </c>
      <c r="G1285" s="554">
        <v>1042</v>
      </c>
      <c r="H1285">
        <v>7.7497579999999999</v>
      </c>
    </row>
    <row r="1286" spans="2:8">
      <c r="B1286" s="555" t="s">
        <v>2232</v>
      </c>
      <c r="C1286" s="555" t="str">
        <f>VLOOKUP(D1286,기본!$D$13:$E$74,2,0)</f>
        <v>코웨이</v>
      </c>
      <c r="D1286" t="s">
        <v>2010</v>
      </c>
      <c r="E1286" t="s">
        <v>2032</v>
      </c>
      <c r="F1286" t="s">
        <v>2032</v>
      </c>
      <c r="G1286" s="554">
        <v>486</v>
      </c>
      <c r="H1286">
        <v>1.078608</v>
      </c>
    </row>
    <row r="1287" spans="2:8">
      <c r="B1287" s="555" t="s">
        <v>2232</v>
      </c>
      <c r="C1287" s="555" t="str">
        <f>VLOOKUP(D1287,기본!$D$13:$E$74,2,0)</f>
        <v>코웨이</v>
      </c>
      <c r="D1287" t="s">
        <v>2010</v>
      </c>
      <c r="E1287" t="s">
        <v>2033</v>
      </c>
      <c r="F1287" t="s">
        <v>2033</v>
      </c>
      <c r="G1287" s="554">
        <v>4027</v>
      </c>
      <c r="H1287">
        <v>23.881896999999999</v>
      </c>
    </row>
    <row r="1288" spans="2:8">
      <c r="B1288" s="555" t="s">
        <v>2232</v>
      </c>
      <c r="C1288" s="555" t="str">
        <f>VLOOKUP(D1288,기본!$D$13:$E$74,2,0)</f>
        <v>코웨이</v>
      </c>
      <c r="D1288" t="s">
        <v>2010</v>
      </c>
      <c r="E1288" t="s">
        <v>2034</v>
      </c>
      <c r="F1288" t="s">
        <v>2034</v>
      </c>
      <c r="G1288" s="554">
        <v>14402</v>
      </c>
      <c r="H1288">
        <v>221.616232</v>
      </c>
    </row>
    <row r="1289" spans="2:8">
      <c r="B1289" s="555" t="s">
        <v>2232</v>
      </c>
      <c r="C1289" s="555" t="str">
        <f>VLOOKUP(D1289,기본!$D$13:$E$74,2,0)</f>
        <v>코웨이</v>
      </c>
      <c r="D1289" t="s">
        <v>2010</v>
      </c>
      <c r="E1289" t="s">
        <v>2035</v>
      </c>
      <c r="F1289" t="s">
        <v>2035</v>
      </c>
      <c r="G1289" s="554">
        <v>341</v>
      </c>
      <c r="H1289">
        <v>5.7240330000000004</v>
      </c>
    </row>
    <row r="1290" spans="2:8">
      <c r="B1290" s="555" t="s">
        <v>2232</v>
      </c>
      <c r="C1290" s="555" t="str">
        <f>VLOOKUP(D1290,기본!$D$13:$E$74,2,0)</f>
        <v>코웨이</v>
      </c>
      <c r="D1290" t="s">
        <v>2010</v>
      </c>
      <c r="E1290" t="s">
        <v>2036</v>
      </c>
      <c r="F1290" t="s">
        <v>2036</v>
      </c>
      <c r="G1290" s="554">
        <v>2960</v>
      </c>
      <c r="H1290">
        <v>45.307839999999999</v>
      </c>
    </row>
    <row r="1291" spans="2:8">
      <c r="B1291" s="555" t="s">
        <v>2232</v>
      </c>
      <c r="C1291" s="555" t="str">
        <f>VLOOKUP(D1291,기본!$D$13:$E$74,2,0)</f>
        <v>코웨이</v>
      </c>
      <c r="D1291" t="s">
        <v>2010</v>
      </c>
      <c r="E1291" t="s">
        <v>2037</v>
      </c>
      <c r="F1291" t="s">
        <v>2037</v>
      </c>
      <c r="G1291" s="554">
        <v>90</v>
      </c>
      <c r="H1291">
        <v>1.4029199999999999</v>
      </c>
    </row>
    <row r="1292" spans="2:8">
      <c r="B1292" s="555" t="s">
        <v>2232</v>
      </c>
      <c r="C1292" s="555" t="str">
        <f>VLOOKUP(D1292,기본!$D$13:$E$74,2,0)</f>
        <v>코웨이</v>
      </c>
      <c r="D1292" t="s">
        <v>2010</v>
      </c>
      <c r="E1292" t="s">
        <v>2038</v>
      </c>
      <c r="F1292" t="s">
        <v>2038</v>
      </c>
      <c r="G1292" s="554">
        <v>180</v>
      </c>
      <c r="H1292">
        <v>2.8603800000000001</v>
      </c>
    </row>
    <row r="1293" spans="2:8">
      <c r="B1293" s="555" t="s">
        <v>2232</v>
      </c>
      <c r="C1293" s="555" t="str">
        <f>VLOOKUP(D1293,기본!$D$13:$E$74,2,0)</f>
        <v>코웨이</v>
      </c>
      <c r="D1293" t="s">
        <v>2010</v>
      </c>
      <c r="E1293" t="s">
        <v>2041</v>
      </c>
      <c r="F1293" t="s">
        <v>2041</v>
      </c>
      <c r="G1293" s="554">
        <v>1252</v>
      </c>
      <c r="H1293">
        <v>20.500248000000003</v>
      </c>
    </row>
    <row r="1294" spans="2:8">
      <c r="B1294" s="555" t="s">
        <v>2232</v>
      </c>
      <c r="C1294" s="555" t="str">
        <f>VLOOKUP(D1294,기본!$D$13:$E$74,2,0)</f>
        <v>코웨이</v>
      </c>
      <c r="D1294" t="s">
        <v>2010</v>
      </c>
      <c r="E1294" t="s">
        <v>1089</v>
      </c>
      <c r="F1294" t="s">
        <v>1089</v>
      </c>
      <c r="G1294" s="554">
        <v>9220</v>
      </c>
      <c r="H1294">
        <v>103.39098000000003</v>
      </c>
    </row>
    <row r="1295" spans="2:8">
      <c r="B1295" s="555" t="s">
        <v>2232</v>
      </c>
      <c r="C1295" s="555" t="str">
        <f>VLOOKUP(D1295,기본!$D$13:$E$74,2,0)</f>
        <v>코웨이</v>
      </c>
      <c r="D1295" t="s">
        <v>2010</v>
      </c>
      <c r="E1295" t="s">
        <v>2042</v>
      </c>
      <c r="F1295" t="s">
        <v>2042</v>
      </c>
      <c r="G1295" s="554">
        <v>6</v>
      </c>
      <c r="H1295">
        <v>4.4333999999999998E-2</v>
      </c>
    </row>
    <row r="1296" spans="2:8">
      <c r="B1296" s="555" t="s">
        <v>2232</v>
      </c>
      <c r="C1296" s="555" t="str">
        <f>VLOOKUP(D1296,기본!$D$13:$E$74,2,0)</f>
        <v>코웨이</v>
      </c>
      <c r="D1296" t="s">
        <v>2010</v>
      </c>
      <c r="E1296" t="s">
        <v>2043</v>
      </c>
      <c r="F1296" t="s">
        <v>2043</v>
      </c>
      <c r="G1296" s="554">
        <v>2</v>
      </c>
      <c r="H1296">
        <v>1.6733999999999999E-2</v>
      </c>
    </row>
    <row r="1297" spans="2:8">
      <c r="B1297" s="555" t="s">
        <v>2232</v>
      </c>
      <c r="C1297" s="555" t="str">
        <f>VLOOKUP(D1297,기본!$D$13:$E$74,2,0)</f>
        <v>코웨이</v>
      </c>
      <c r="D1297" t="s">
        <v>2010</v>
      </c>
      <c r="E1297" t="s">
        <v>2044</v>
      </c>
      <c r="F1297" t="s">
        <v>2044</v>
      </c>
      <c r="G1297" s="554">
        <v>155</v>
      </c>
      <c r="H1297">
        <v>2.4992700000000001</v>
      </c>
    </row>
    <row r="1298" spans="2:8">
      <c r="B1298" s="555" t="s">
        <v>2232</v>
      </c>
      <c r="C1298" s="555" t="str">
        <f>VLOOKUP(D1298,기본!$D$13:$E$74,2,0)</f>
        <v>코웨이</v>
      </c>
      <c r="D1298" t="s">
        <v>2010</v>
      </c>
      <c r="E1298" t="s">
        <v>2152</v>
      </c>
      <c r="F1298" t="s">
        <v>2152</v>
      </c>
      <c r="G1298" s="554">
        <v>3</v>
      </c>
      <c r="H1298">
        <v>1.1351999999999999E-2</v>
      </c>
    </row>
    <row r="1299" spans="2:8">
      <c r="B1299" s="555" t="s">
        <v>2232</v>
      </c>
      <c r="C1299" s="555" t="str">
        <f>VLOOKUP(D1299,기본!$D$13:$E$74,2,0)</f>
        <v>코웨이</v>
      </c>
      <c r="D1299" t="s">
        <v>2010</v>
      </c>
      <c r="E1299" t="s">
        <v>2045</v>
      </c>
      <c r="F1299" t="s">
        <v>2045</v>
      </c>
      <c r="G1299" s="554">
        <v>60</v>
      </c>
      <c r="H1299">
        <v>1.0162199999999999</v>
      </c>
    </row>
    <row r="1300" spans="2:8">
      <c r="B1300" s="555" t="s">
        <v>2232</v>
      </c>
      <c r="C1300" s="555" t="str">
        <f>VLOOKUP(D1300,기본!$D$13:$E$74,2,0)</f>
        <v>코웨이</v>
      </c>
      <c r="D1300" t="s">
        <v>2010</v>
      </c>
      <c r="E1300" t="s">
        <v>2046</v>
      </c>
      <c r="F1300" t="s">
        <v>2046</v>
      </c>
      <c r="G1300" s="554">
        <v>1897</v>
      </c>
      <c r="H1300">
        <v>29.495498999999992</v>
      </c>
    </row>
    <row r="1301" spans="2:8">
      <c r="B1301" s="555" t="s">
        <v>2232</v>
      </c>
      <c r="C1301" s="555" t="str">
        <f>VLOOKUP(D1301,기본!$D$13:$E$74,2,0)</f>
        <v>코웨이</v>
      </c>
      <c r="D1301" t="s">
        <v>2010</v>
      </c>
      <c r="E1301" t="s">
        <v>2153</v>
      </c>
      <c r="F1301" t="s">
        <v>2153</v>
      </c>
      <c r="G1301" s="554">
        <v>5</v>
      </c>
      <c r="H1301">
        <v>9.6534999999999996E-2</v>
      </c>
    </row>
    <row r="1302" spans="2:8">
      <c r="B1302" s="555" t="s">
        <v>2232</v>
      </c>
      <c r="C1302" s="555" t="str">
        <f>VLOOKUP(D1302,기본!$D$13:$E$74,2,0)</f>
        <v>코웨이</v>
      </c>
      <c r="D1302" t="s">
        <v>2010</v>
      </c>
      <c r="E1302" t="s">
        <v>2049</v>
      </c>
      <c r="F1302" t="s">
        <v>2049</v>
      </c>
      <c r="G1302" s="554">
        <v>5</v>
      </c>
      <c r="H1302">
        <v>0.120155</v>
      </c>
    </row>
    <row r="1303" spans="2:8">
      <c r="B1303" s="555" t="s">
        <v>2232</v>
      </c>
      <c r="C1303" s="555" t="str">
        <f>VLOOKUP(D1303,기본!$D$13:$E$74,2,0)</f>
        <v>코웨이</v>
      </c>
      <c r="D1303" t="s">
        <v>2010</v>
      </c>
      <c r="E1303" t="s">
        <v>1215</v>
      </c>
      <c r="F1303" t="s">
        <v>1215</v>
      </c>
      <c r="G1303" s="554">
        <v>471</v>
      </c>
      <c r="H1303">
        <v>14.404313999999998</v>
      </c>
    </row>
    <row r="1304" spans="2:8">
      <c r="B1304" s="555" t="s">
        <v>2232</v>
      </c>
      <c r="C1304" s="555" t="str">
        <f>VLOOKUP(D1304,기본!$D$13:$E$74,2,0)</f>
        <v>코웨이</v>
      </c>
      <c r="D1304" t="s">
        <v>2010</v>
      </c>
      <c r="E1304" t="s">
        <v>1216</v>
      </c>
      <c r="F1304" t="s">
        <v>1216</v>
      </c>
      <c r="G1304" s="554">
        <v>3</v>
      </c>
      <c r="H1304">
        <v>8.0852999999999994E-2</v>
      </c>
    </row>
    <row r="1305" spans="2:8">
      <c r="B1305" s="555" t="s">
        <v>2232</v>
      </c>
      <c r="C1305" s="555" t="str">
        <f>VLOOKUP(D1305,기본!$D$13:$E$74,2,0)</f>
        <v>코웨이</v>
      </c>
      <c r="D1305" t="s">
        <v>2010</v>
      </c>
      <c r="E1305" t="s">
        <v>2050</v>
      </c>
      <c r="F1305" t="s">
        <v>2050</v>
      </c>
      <c r="G1305" s="554">
        <v>75</v>
      </c>
      <c r="H1305">
        <v>1.832541</v>
      </c>
    </row>
    <row r="1306" spans="2:8">
      <c r="B1306" s="555" t="s">
        <v>2232</v>
      </c>
      <c r="C1306" s="555" t="str">
        <f>VLOOKUP(D1306,기본!$D$13:$E$74,2,0)</f>
        <v>코웨이</v>
      </c>
      <c r="D1306" t="s">
        <v>2010</v>
      </c>
      <c r="E1306" t="s">
        <v>2051</v>
      </c>
      <c r="F1306" t="s">
        <v>2051</v>
      </c>
      <c r="G1306" s="554">
        <v>1387</v>
      </c>
      <c r="H1306">
        <v>33.563404999999996</v>
      </c>
    </row>
    <row r="1307" spans="2:8">
      <c r="B1307" s="555" t="s">
        <v>2232</v>
      </c>
      <c r="C1307" s="555" t="str">
        <f>VLOOKUP(D1307,기본!$D$13:$E$74,2,0)</f>
        <v>코웨이</v>
      </c>
      <c r="D1307" t="s">
        <v>2010</v>
      </c>
      <c r="E1307" t="s">
        <v>2052</v>
      </c>
      <c r="F1307" t="s">
        <v>2052</v>
      </c>
      <c r="G1307" s="554">
        <v>70</v>
      </c>
      <c r="H1307">
        <v>1.6128</v>
      </c>
    </row>
    <row r="1308" spans="2:8">
      <c r="B1308" s="555" t="s">
        <v>2232</v>
      </c>
      <c r="C1308" s="555" t="str">
        <f>VLOOKUP(D1308,기본!$D$13:$E$74,2,0)</f>
        <v>코웨이</v>
      </c>
      <c r="D1308" t="s">
        <v>2010</v>
      </c>
      <c r="E1308" t="s">
        <v>2053</v>
      </c>
      <c r="F1308" t="s">
        <v>2053</v>
      </c>
      <c r="G1308" s="554">
        <v>393</v>
      </c>
      <c r="H1308">
        <v>10.235976000000001</v>
      </c>
    </row>
    <row r="1309" spans="2:8">
      <c r="B1309" s="555" t="s">
        <v>2232</v>
      </c>
      <c r="C1309" s="555" t="str">
        <f>VLOOKUP(D1309,기본!$D$13:$E$74,2,0)</f>
        <v>코웨이</v>
      </c>
      <c r="D1309" t="s">
        <v>2010</v>
      </c>
      <c r="E1309" t="s">
        <v>1217</v>
      </c>
      <c r="F1309" t="s">
        <v>1217</v>
      </c>
      <c r="G1309" s="554">
        <v>19</v>
      </c>
      <c r="H1309">
        <v>0.60207199999999994</v>
      </c>
    </row>
    <row r="1310" spans="2:8">
      <c r="B1310" s="555" t="s">
        <v>2232</v>
      </c>
      <c r="C1310" s="555" t="str">
        <f>VLOOKUP(D1310,기본!$D$13:$E$74,2,0)</f>
        <v>코웨이</v>
      </c>
      <c r="D1310" t="s">
        <v>2010</v>
      </c>
      <c r="E1310" t="s">
        <v>2056</v>
      </c>
      <c r="F1310" t="s">
        <v>2056</v>
      </c>
      <c r="G1310" s="554">
        <v>1012</v>
      </c>
      <c r="H1310">
        <v>19.429033999999998</v>
      </c>
    </row>
    <row r="1311" spans="2:8">
      <c r="B1311" s="555" t="s">
        <v>2232</v>
      </c>
      <c r="C1311" s="555" t="str">
        <f>VLOOKUP(D1311,기본!$D$13:$E$74,2,0)</f>
        <v>코웨이</v>
      </c>
      <c r="D1311" t="s">
        <v>2010</v>
      </c>
      <c r="E1311" t="s">
        <v>2154</v>
      </c>
      <c r="F1311" t="s">
        <v>2154</v>
      </c>
      <c r="G1311" s="554">
        <v>112</v>
      </c>
      <c r="H1311">
        <v>2.1951999999999998</v>
      </c>
    </row>
    <row r="1312" spans="2:8">
      <c r="B1312" s="555" t="s">
        <v>2232</v>
      </c>
      <c r="C1312" s="555" t="str">
        <f>VLOOKUP(D1312,기본!$D$13:$E$74,2,0)</f>
        <v>코웨이</v>
      </c>
      <c r="D1312" t="s">
        <v>2010</v>
      </c>
      <c r="E1312" t="s">
        <v>2057</v>
      </c>
      <c r="F1312" t="s">
        <v>2057</v>
      </c>
      <c r="G1312" s="554">
        <v>53</v>
      </c>
      <c r="H1312">
        <v>1.574373</v>
      </c>
    </row>
    <row r="1313" spans="2:8">
      <c r="B1313" s="555" t="s">
        <v>2232</v>
      </c>
      <c r="C1313" s="555" t="str">
        <f>VLOOKUP(D1313,기본!$D$13:$E$74,2,0)</f>
        <v>코웨이</v>
      </c>
      <c r="D1313" t="s">
        <v>2010</v>
      </c>
      <c r="E1313" t="s">
        <v>1328</v>
      </c>
      <c r="F1313" t="s">
        <v>1328</v>
      </c>
      <c r="G1313" s="554">
        <v>490</v>
      </c>
      <c r="H1313">
        <v>1.5155699999999999</v>
      </c>
    </row>
    <row r="1314" spans="2:8">
      <c r="B1314" s="555" t="s">
        <v>2232</v>
      </c>
      <c r="C1314" s="555" t="str">
        <f>VLOOKUP(D1314,기본!$D$13:$E$74,2,0)</f>
        <v>코웨이</v>
      </c>
      <c r="D1314" t="s">
        <v>2010</v>
      </c>
      <c r="E1314" t="s">
        <v>1327</v>
      </c>
      <c r="F1314" t="s">
        <v>1327</v>
      </c>
      <c r="G1314" s="554">
        <v>491</v>
      </c>
      <c r="H1314">
        <v>5.0518990000000006</v>
      </c>
    </row>
    <row r="1315" spans="2:8">
      <c r="B1315" s="555" t="s">
        <v>2232</v>
      </c>
      <c r="C1315" s="555" t="str">
        <f>VLOOKUP(D1315,기본!$D$13:$E$74,2,0)</f>
        <v>코웨이</v>
      </c>
      <c r="D1315" t="s">
        <v>2010</v>
      </c>
      <c r="E1315" t="s">
        <v>1325</v>
      </c>
      <c r="F1315" t="s">
        <v>1325</v>
      </c>
      <c r="G1315" s="554">
        <v>360</v>
      </c>
      <c r="H1315">
        <v>12.00024</v>
      </c>
    </row>
    <row r="1316" spans="2:8">
      <c r="B1316" s="555" t="s">
        <v>2232</v>
      </c>
      <c r="C1316" s="555" t="str">
        <f>VLOOKUP(D1316,기본!$D$13:$E$74,2,0)</f>
        <v>코웨이</v>
      </c>
      <c r="D1316" t="s">
        <v>2010</v>
      </c>
      <c r="E1316" t="s">
        <v>1326</v>
      </c>
      <c r="F1316" t="s">
        <v>1326</v>
      </c>
      <c r="G1316" s="554">
        <v>130</v>
      </c>
      <c r="H1316">
        <v>4.2459300000000004</v>
      </c>
    </row>
    <row r="1317" spans="2:8">
      <c r="B1317" s="555" t="s">
        <v>2232</v>
      </c>
      <c r="C1317" s="555" t="str">
        <f>VLOOKUP(D1317,기본!$D$13:$E$74,2,0)</f>
        <v>코웨이</v>
      </c>
      <c r="D1317" t="s">
        <v>2010</v>
      </c>
      <c r="E1317" t="s">
        <v>2059</v>
      </c>
      <c r="F1317" t="s">
        <v>2059</v>
      </c>
      <c r="G1317" s="554">
        <v>1</v>
      </c>
      <c r="H1317">
        <v>3.7307E-2</v>
      </c>
    </row>
    <row r="1318" spans="2:8">
      <c r="B1318" s="555" t="s">
        <v>2232</v>
      </c>
      <c r="C1318" s="555" t="str">
        <f>VLOOKUP(D1318,기본!$D$13:$E$74,2,0)</f>
        <v>코웨이</v>
      </c>
      <c r="D1318" t="s">
        <v>2010</v>
      </c>
      <c r="E1318" t="s">
        <v>2199</v>
      </c>
      <c r="F1318" t="s">
        <v>2199</v>
      </c>
      <c r="G1318" s="554">
        <v>498</v>
      </c>
      <c r="H1318">
        <v>2.8241580000000002</v>
      </c>
    </row>
    <row r="1319" spans="2:8">
      <c r="B1319" s="555" t="s">
        <v>2232</v>
      </c>
      <c r="C1319" s="555" t="str">
        <f>VLOOKUP(D1319,기본!$D$13:$E$74,2,0)</f>
        <v>코웨이</v>
      </c>
      <c r="D1319" t="s">
        <v>2010</v>
      </c>
      <c r="E1319" t="s">
        <v>1071</v>
      </c>
      <c r="F1319" t="s">
        <v>1071</v>
      </c>
      <c r="G1319" s="554">
        <v>25</v>
      </c>
      <c r="H1319">
        <v>4.4499999999999998E-2</v>
      </c>
    </row>
    <row r="1320" spans="2:8">
      <c r="B1320" s="555" t="s">
        <v>2232</v>
      </c>
      <c r="C1320" s="555" t="str">
        <f>VLOOKUP(D1320,기본!$D$13:$E$74,2,0)</f>
        <v>코웨이</v>
      </c>
      <c r="D1320" t="s">
        <v>2010</v>
      </c>
      <c r="E1320" t="s">
        <v>2155</v>
      </c>
      <c r="F1320" t="s">
        <v>2155</v>
      </c>
      <c r="G1320" s="554">
        <v>192</v>
      </c>
      <c r="H1320">
        <v>1.1060399999999999</v>
      </c>
    </row>
    <row r="1321" spans="2:8">
      <c r="B1321" s="555" t="s">
        <v>2232</v>
      </c>
      <c r="C1321" s="555" t="str">
        <f>VLOOKUP(D1321,기본!$D$13:$E$74,2,0)</f>
        <v>코웨이</v>
      </c>
      <c r="D1321" t="s">
        <v>2010</v>
      </c>
      <c r="E1321" t="s">
        <v>1069</v>
      </c>
      <c r="F1321" t="s">
        <v>1069</v>
      </c>
      <c r="G1321" s="554">
        <v>24</v>
      </c>
      <c r="H1321">
        <v>0.13353599999999999</v>
      </c>
    </row>
    <row r="1322" spans="2:8">
      <c r="B1322" s="555" t="s">
        <v>2232</v>
      </c>
      <c r="C1322" s="555" t="str">
        <f>VLOOKUP(D1322,기본!$D$13:$E$74,2,0)</f>
        <v>코웨이</v>
      </c>
      <c r="D1322" t="s">
        <v>2010</v>
      </c>
      <c r="E1322" t="s">
        <v>2061</v>
      </c>
      <c r="F1322" t="s">
        <v>2061</v>
      </c>
      <c r="G1322" s="554">
        <v>8</v>
      </c>
      <c r="H1322">
        <v>4.9768E-2</v>
      </c>
    </row>
    <row r="1323" spans="2:8">
      <c r="B1323" s="555" t="s">
        <v>2232</v>
      </c>
      <c r="C1323" s="555" t="str">
        <f>VLOOKUP(D1323,기본!$D$13:$E$74,2,0)</f>
        <v>코웨이</v>
      </c>
      <c r="D1323" t="s">
        <v>2010</v>
      </c>
      <c r="E1323" t="s">
        <v>2062</v>
      </c>
      <c r="F1323" t="s">
        <v>2062</v>
      </c>
      <c r="G1323" s="554">
        <v>3640</v>
      </c>
      <c r="H1323">
        <v>20.820799999999998</v>
      </c>
    </row>
    <row r="1324" spans="2:8">
      <c r="B1324" s="555" t="s">
        <v>2232</v>
      </c>
      <c r="C1324" s="555" t="str">
        <f>VLOOKUP(D1324,기본!$D$13:$E$74,2,0)</f>
        <v>코웨이</v>
      </c>
      <c r="D1324" t="s">
        <v>2010</v>
      </c>
      <c r="E1324" t="s">
        <v>230</v>
      </c>
      <c r="F1324" t="s">
        <v>230</v>
      </c>
      <c r="G1324" s="554">
        <v>440</v>
      </c>
      <c r="H1324">
        <v>2.6976399999999998</v>
      </c>
    </row>
    <row r="1325" spans="2:8">
      <c r="B1325" s="555" t="s">
        <v>2232</v>
      </c>
      <c r="C1325" s="555" t="str">
        <f>VLOOKUP(D1325,기본!$D$13:$E$74,2,0)</f>
        <v>코웨이</v>
      </c>
      <c r="D1325" t="s">
        <v>2010</v>
      </c>
      <c r="E1325" t="s">
        <v>1075</v>
      </c>
      <c r="F1325" t="s">
        <v>1075</v>
      </c>
      <c r="G1325" s="554">
        <v>910</v>
      </c>
      <c r="H1325">
        <v>1.76267</v>
      </c>
    </row>
    <row r="1326" spans="2:8">
      <c r="B1326" s="555" t="s">
        <v>2232</v>
      </c>
      <c r="C1326" s="555" t="str">
        <f>VLOOKUP(D1326,기본!$D$13:$E$74,2,0)</f>
        <v>코웨이</v>
      </c>
      <c r="D1326" t="s">
        <v>2010</v>
      </c>
      <c r="E1326" t="s">
        <v>2063</v>
      </c>
      <c r="F1326" t="s">
        <v>2063</v>
      </c>
      <c r="G1326" s="554">
        <v>166</v>
      </c>
      <c r="H1326">
        <v>0.96379599999999999</v>
      </c>
    </row>
    <row r="1327" spans="2:8">
      <c r="B1327" s="555" t="s">
        <v>2232</v>
      </c>
      <c r="C1327" s="555" t="str">
        <f>VLOOKUP(D1327,기본!$D$13:$E$74,2,0)</f>
        <v>코웨이</v>
      </c>
      <c r="D1327" t="s">
        <v>2010</v>
      </c>
      <c r="E1327" t="s">
        <v>2064</v>
      </c>
      <c r="F1327" t="s">
        <v>2064</v>
      </c>
      <c r="G1327" s="554">
        <v>100</v>
      </c>
      <c r="H1327">
        <v>3.9325999999999999</v>
      </c>
    </row>
    <row r="1328" spans="2:8">
      <c r="B1328" s="555" t="s">
        <v>2232</v>
      </c>
      <c r="C1328" s="555" t="str">
        <f>VLOOKUP(D1328,기본!$D$13:$E$74,2,0)</f>
        <v>코웨이</v>
      </c>
      <c r="D1328" t="s">
        <v>2010</v>
      </c>
      <c r="E1328" t="s">
        <v>1274</v>
      </c>
      <c r="F1328" t="s">
        <v>1274</v>
      </c>
      <c r="G1328" s="554">
        <v>6</v>
      </c>
      <c r="H1328">
        <v>4.6800000000000001E-2</v>
      </c>
    </row>
    <row r="1329" spans="2:8">
      <c r="B1329" s="555" t="s">
        <v>2232</v>
      </c>
      <c r="C1329" s="555" t="str">
        <f>VLOOKUP(D1329,기본!$D$13:$E$74,2,0)</f>
        <v>코웨이</v>
      </c>
      <c r="D1329" t="s">
        <v>2010</v>
      </c>
      <c r="E1329" t="s">
        <v>1289</v>
      </c>
      <c r="F1329" t="s">
        <v>1289</v>
      </c>
      <c r="G1329" s="554">
        <v>377</v>
      </c>
      <c r="H1329">
        <v>3.1547360000000002</v>
      </c>
    </row>
    <row r="1330" spans="2:8">
      <c r="B1330" s="555" t="s">
        <v>2232</v>
      </c>
      <c r="C1330" s="555" t="str">
        <f>VLOOKUP(D1330,기본!$D$13:$E$74,2,0)</f>
        <v>코웨이</v>
      </c>
      <c r="D1330" t="s">
        <v>2010</v>
      </c>
      <c r="E1330" t="s">
        <v>1275</v>
      </c>
      <c r="F1330" t="s">
        <v>1275</v>
      </c>
      <c r="G1330" s="554">
        <v>450</v>
      </c>
      <c r="H1330">
        <v>3.5806499999999999</v>
      </c>
    </row>
    <row r="1331" spans="2:8">
      <c r="B1331" s="555" t="s">
        <v>2232</v>
      </c>
      <c r="C1331" s="555" t="str">
        <f>VLOOKUP(D1331,기본!$D$13:$E$74,2,0)</f>
        <v>코웨이</v>
      </c>
      <c r="D1331" t="s">
        <v>2010</v>
      </c>
      <c r="E1331" t="s">
        <v>2066</v>
      </c>
      <c r="F1331" t="s">
        <v>2066</v>
      </c>
      <c r="G1331" s="554">
        <v>244</v>
      </c>
      <c r="H1331">
        <v>1.952604</v>
      </c>
    </row>
    <row r="1332" spans="2:8">
      <c r="B1332" s="555" t="s">
        <v>2232</v>
      </c>
      <c r="C1332" s="555" t="str">
        <f>VLOOKUP(D1332,기본!$D$13:$E$74,2,0)</f>
        <v>코웨이</v>
      </c>
      <c r="D1332" t="s">
        <v>2010</v>
      </c>
      <c r="E1332" t="s">
        <v>229</v>
      </c>
      <c r="F1332" t="s">
        <v>229</v>
      </c>
      <c r="G1332" s="554">
        <v>0</v>
      </c>
      <c r="H1332">
        <v>10.543398</v>
      </c>
    </row>
    <row r="1333" spans="2:8">
      <c r="B1333" s="555" t="s">
        <v>2232</v>
      </c>
      <c r="C1333" s="555" t="str">
        <f>VLOOKUP(D1333,기본!$D$13:$E$74,2,0)</f>
        <v>코웨이</v>
      </c>
      <c r="D1333" t="s">
        <v>2067</v>
      </c>
      <c r="E1333" t="s">
        <v>1186</v>
      </c>
      <c r="F1333" t="s">
        <v>1186</v>
      </c>
      <c r="G1333" s="554">
        <v>300</v>
      </c>
      <c r="H1333">
        <v>7.1441999999999997</v>
      </c>
    </row>
    <row r="1334" spans="2:8">
      <c r="B1334" s="555" t="s">
        <v>2232</v>
      </c>
      <c r="C1334" s="555" t="str">
        <f>VLOOKUP(D1334,기본!$D$13:$E$74,2,0)</f>
        <v>코웨이</v>
      </c>
      <c r="D1334" t="s">
        <v>2067</v>
      </c>
      <c r="E1334" t="s">
        <v>2015</v>
      </c>
      <c r="F1334" t="s">
        <v>2015</v>
      </c>
      <c r="G1334" s="554">
        <v>985</v>
      </c>
      <c r="H1334">
        <v>11.453579999999999</v>
      </c>
    </row>
    <row r="1335" spans="2:8">
      <c r="B1335" s="555" t="s">
        <v>2232</v>
      </c>
      <c r="C1335" s="555" t="str">
        <f>VLOOKUP(D1335,기본!$D$13:$E$74,2,0)</f>
        <v>코웨이</v>
      </c>
      <c r="D1335" t="s">
        <v>2067</v>
      </c>
      <c r="E1335" t="s">
        <v>2016</v>
      </c>
      <c r="F1335" t="s">
        <v>2016</v>
      </c>
      <c r="G1335" s="554">
        <v>8262</v>
      </c>
      <c r="H1335">
        <v>54.545724</v>
      </c>
    </row>
    <row r="1336" spans="2:8">
      <c r="B1336" s="555" t="s">
        <v>2232</v>
      </c>
      <c r="C1336" s="555" t="str">
        <f>VLOOKUP(D1336,기본!$D$13:$E$74,2,0)</f>
        <v>코웨이</v>
      </c>
      <c r="D1336" t="s">
        <v>2067</v>
      </c>
      <c r="E1336" t="s">
        <v>2156</v>
      </c>
      <c r="F1336" t="s">
        <v>2156</v>
      </c>
      <c r="G1336" s="554">
        <v>180</v>
      </c>
      <c r="H1336">
        <v>3.13164</v>
      </c>
    </row>
    <row r="1337" spans="2:8">
      <c r="B1337" s="555" t="s">
        <v>2232</v>
      </c>
      <c r="C1337" s="555" t="str">
        <f>VLOOKUP(D1337,기본!$D$13:$E$74,2,0)</f>
        <v>코웨이</v>
      </c>
      <c r="D1337" t="s">
        <v>2067</v>
      </c>
      <c r="E1337" t="s">
        <v>2068</v>
      </c>
      <c r="F1337" t="s">
        <v>2068</v>
      </c>
      <c r="G1337" s="554">
        <v>1474</v>
      </c>
      <c r="H1337">
        <v>25.39855</v>
      </c>
    </row>
    <row r="1338" spans="2:8">
      <c r="B1338" s="555" t="s">
        <v>2232</v>
      </c>
      <c r="C1338" s="555" t="str">
        <f>VLOOKUP(D1338,기본!$D$13:$E$74,2,0)</f>
        <v>코웨이</v>
      </c>
      <c r="D1338" t="s">
        <v>2067</v>
      </c>
      <c r="E1338" t="s">
        <v>2069</v>
      </c>
      <c r="F1338" t="s">
        <v>2069</v>
      </c>
      <c r="G1338" s="554">
        <v>300</v>
      </c>
      <c r="H1338">
        <v>5.2482000000000006</v>
      </c>
    </row>
    <row r="1339" spans="2:8">
      <c r="B1339" s="555" t="s">
        <v>2232</v>
      </c>
      <c r="C1339" s="555" t="str">
        <f>VLOOKUP(D1339,기본!$D$13:$E$74,2,0)</f>
        <v>코웨이</v>
      </c>
      <c r="D1339" t="s">
        <v>2067</v>
      </c>
      <c r="E1339" t="s">
        <v>2020</v>
      </c>
      <c r="F1339" t="s">
        <v>2020</v>
      </c>
      <c r="G1339" s="554">
        <v>1056</v>
      </c>
      <c r="H1339">
        <v>14.028960000000001</v>
      </c>
    </row>
    <row r="1340" spans="2:8">
      <c r="B1340" s="555" t="s">
        <v>2232</v>
      </c>
      <c r="C1340" s="555" t="str">
        <f>VLOOKUP(D1340,기본!$D$13:$E$74,2,0)</f>
        <v>코웨이</v>
      </c>
      <c r="D1340" t="s">
        <v>2067</v>
      </c>
      <c r="E1340" t="s">
        <v>2200</v>
      </c>
      <c r="F1340" t="s">
        <v>2200</v>
      </c>
      <c r="G1340" s="554">
        <v>132</v>
      </c>
      <c r="H1340">
        <v>4.6314840000000004</v>
      </c>
    </row>
    <row r="1341" spans="2:8">
      <c r="B1341" s="555" t="s">
        <v>2232</v>
      </c>
      <c r="C1341" s="555" t="str">
        <f>VLOOKUP(D1341,기본!$D$13:$E$74,2,0)</f>
        <v>코웨이</v>
      </c>
      <c r="D1341" t="s">
        <v>2067</v>
      </c>
      <c r="E1341" t="s">
        <v>2201</v>
      </c>
      <c r="F1341" t="s">
        <v>2201</v>
      </c>
      <c r="G1341" s="554">
        <v>132</v>
      </c>
      <c r="H1341">
        <v>1.361712</v>
      </c>
    </row>
    <row r="1342" spans="2:8">
      <c r="B1342" s="555" t="s">
        <v>2232</v>
      </c>
      <c r="C1342" s="555" t="str">
        <f>VLOOKUP(D1342,기본!$D$13:$E$74,2,0)</f>
        <v>코웨이</v>
      </c>
      <c r="D1342" t="s">
        <v>2067</v>
      </c>
      <c r="E1342" t="s">
        <v>1544</v>
      </c>
      <c r="F1342" t="s">
        <v>1544</v>
      </c>
      <c r="G1342" s="554">
        <v>7708</v>
      </c>
      <c r="H1342">
        <v>50.456567999999997</v>
      </c>
    </row>
    <row r="1343" spans="2:8">
      <c r="B1343" s="555" t="s">
        <v>2232</v>
      </c>
      <c r="C1343" s="555" t="str">
        <f>VLOOKUP(D1343,기본!$D$13:$E$74,2,0)</f>
        <v>코웨이</v>
      </c>
      <c r="D1343" t="s">
        <v>2067</v>
      </c>
      <c r="E1343" t="s">
        <v>1545</v>
      </c>
      <c r="F1343" t="s">
        <v>1545</v>
      </c>
      <c r="G1343" s="554">
        <v>3478</v>
      </c>
      <c r="H1343">
        <v>20.701055999999998</v>
      </c>
    </row>
    <row r="1344" spans="2:8">
      <c r="B1344" s="555" t="s">
        <v>2232</v>
      </c>
      <c r="C1344" s="555" t="str">
        <f>VLOOKUP(D1344,기본!$D$13:$E$74,2,0)</f>
        <v>코웨이</v>
      </c>
      <c r="D1344" t="s">
        <v>2067</v>
      </c>
      <c r="E1344" t="s">
        <v>912</v>
      </c>
      <c r="F1344" t="s">
        <v>912</v>
      </c>
      <c r="G1344" s="554">
        <v>11652</v>
      </c>
      <c r="H1344">
        <v>73.835979999999992</v>
      </c>
    </row>
    <row r="1345" spans="2:8">
      <c r="B1345" s="555" t="s">
        <v>2232</v>
      </c>
      <c r="C1345" s="555" t="str">
        <f>VLOOKUP(D1345,기본!$D$13:$E$74,2,0)</f>
        <v>코웨이</v>
      </c>
      <c r="D1345" t="s">
        <v>2067</v>
      </c>
      <c r="E1345" t="s">
        <v>913</v>
      </c>
      <c r="F1345" t="s">
        <v>913</v>
      </c>
      <c r="G1345" s="554">
        <v>100</v>
      </c>
      <c r="H1345">
        <v>1.8584000000000001</v>
      </c>
    </row>
    <row r="1346" spans="2:8">
      <c r="B1346" s="555" t="s">
        <v>2232</v>
      </c>
      <c r="C1346" s="555" t="str">
        <f>VLOOKUP(D1346,기본!$D$13:$E$74,2,0)</f>
        <v>코웨이</v>
      </c>
      <c r="D1346" t="s">
        <v>2067</v>
      </c>
      <c r="E1346" t="s">
        <v>2070</v>
      </c>
      <c r="F1346" t="s">
        <v>2070</v>
      </c>
      <c r="G1346" s="554">
        <v>9472</v>
      </c>
      <c r="H1346">
        <v>173.73542400000002</v>
      </c>
    </row>
    <row r="1347" spans="2:8">
      <c r="B1347" s="555" t="s">
        <v>2232</v>
      </c>
      <c r="C1347" s="555" t="str">
        <f>VLOOKUP(D1347,기본!$D$13:$E$74,2,0)</f>
        <v>코웨이</v>
      </c>
      <c r="D1347" t="s">
        <v>2067</v>
      </c>
      <c r="E1347" t="s">
        <v>2024</v>
      </c>
      <c r="F1347" t="s">
        <v>2024</v>
      </c>
      <c r="G1347" s="554">
        <v>1500</v>
      </c>
      <c r="H1347">
        <v>12.877500000000003</v>
      </c>
    </row>
    <row r="1348" spans="2:8">
      <c r="B1348" s="555" t="s">
        <v>2232</v>
      </c>
      <c r="C1348" s="555" t="str">
        <f>VLOOKUP(D1348,기본!$D$13:$E$74,2,0)</f>
        <v>코웨이</v>
      </c>
      <c r="D1348" t="s">
        <v>2067</v>
      </c>
      <c r="E1348" t="s">
        <v>2071</v>
      </c>
      <c r="F1348" t="s">
        <v>2071</v>
      </c>
      <c r="G1348" s="554">
        <v>1096</v>
      </c>
      <c r="H1348">
        <v>17.330832000000001</v>
      </c>
    </row>
    <row r="1349" spans="2:8">
      <c r="B1349" s="555" t="s">
        <v>2232</v>
      </c>
      <c r="C1349" s="555" t="str">
        <f>VLOOKUP(D1349,기본!$D$13:$E$74,2,0)</f>
        <v>코웨이</v>
      </c>
      <c r="D1349" t="s">
        <v>2067</v>
      </c>
      <c r="E1349" t="s">
        <v>2072</v>
      </c>
      <c r="F1349" t="s">
        <v>2072</v>
      </c>
      <c r="G1349" s="554">
        <v>344</v>
      </c>
      <c r="H1349">
        <v>4.4883839999999999</v>
      </c>
    </row>
    <row r="1350" spans="2:8">
      <c r="B1350" s="555" t="s">
        <v>2232</v>
      </c>
      <c r="C1350" s="555" t="str">
        <f>VLOOKUP(D1350,기본!$D$13:$E$74,2,0)</f>
        <v>코웨이</v>
      </c>
      <c r="D1350" t="s">
        <v>2067</v>
      </c>
      <c r="E1350" t="s">
        <v>2034</v>
      </c>
      <c r="F1350" t="s">
        <v>2034</v>
      </c>
      <c r="G1350" s="554">
        <v>3456</v>
      </c>
      <c r="H1350">
        <v>53.139455999999996</v>
      </c>
    </row>
    <row r="1351" spans="2:8">
      <c r="B1351" s="555" t="s">
        <v>2232</v>
      </c>
      <c r="C1351" s="555" t="str">
        <f>VLOOKUP(D1351,기본!$D$13:$E$74,2,0)</f>
        <v>코웨이</v>
      </c>
      <c r="D1351" t="s">
        <v>2067</v>
      </c>
      <c r="E1351" t="s">
        <v>2038</v>
      </c>
      <c r="F1351" t="s">
        <v>2038</v>
      </c>
      <c r="G1351" s="554">
        <v>1997</v>
      </c>
      <c r="H1351">
        <v>31.129236000000002</v>
      </c>
    </row>
    <row r="1352" spans="2:8">
      <c r="B1352" s="555" t="s">
        <v>2232</v>
      </c>
      <c r="C1352" s="555" t="str">
        <f>VLOOKUP(D1352,기본!$D$13:$E$74,2,0)</f>
        <v>코웨이</v>
      </c>
      <c r="D1352" t="s">
        <v>2067</v>
      </c>
      <c r="E1352" t="s">
        <v>2073</v>
      </c>
      <c r="F1352" t="s">
        <v>2073</v>
      </c>
      <c r="G1352" s="554">
        <v>17210</v>
      </c>
      <c r="H1352">
        <v>243.71080999999998</v>
      </c>
    </row>
    <row r="1353" spans="2:8">
      <c r="B1353" s="555" t="s">
        <v>2232</v>
      </c>
      <c r="C1353" s="555" t="str">
        <f>VLOOKUP(D1353,기본!$D$13:$E$74,2,0)</f>
        <v>코웨이</v>
      </c>
      <c r="D1353" t="s">
        <v>2067</v>
      </c>
      <c r="E1353" t="s">
        <v>1188</v>
      </c>
      <c r="F1353" t="s">
        <v>1188</v>
      </c>
      <c r="G1353" s="554">
        <v>300</v>
      </c>
      <c r="H1353">
        <v>0.61770000000000003</v>
      </c>
    </row>
    <row r="1354" spans="2:8">
      <c r="B1354" s="555" t="s">
        <v>2232</v>
      </c>
      <c r="C1354" s="555" t="str">
        <f>VLOOKUP(D1354,기본!$D$13:$E$74,2,0)</f>
        <v>코웨이</v>
      </c>
      <c r="D1354" t="s">
        <v>2067</v>
      </c>
      <c r="E1354" t="s">
        <v>1187</v>
      </c>
      <c r="F1354" t="s">
        <v>1187</v>
      </c>
      <c r="G1354" s="554">
        <v>300</v>
      </c>
      <c r="H1354">
        <v>3.6722999999999999</v>
      </c>
    </row>
    <row r="1355" spans="2:8">
      <c r="B1355" s="555" t="s">
        <v>2232</v>
      </c>
      <c r="C1355" s="555" t="str">
        <f>VLOOKUP(D1355,기본!$D$13:$E$74,2,0)</f>
        <v>코웨이</v>
      </c>
      <c r="D1355" t="s">
        <v>2067</v>
      </c>
      <c r="E1355" t="s">
        <v>2074</v>
      </c>
      <c r="F1355" t="s">
        <v>2074</v>
      </c>
      <c r="G1355" s="554">
        <v>40</v>
      </c>
      <c r="H1355">
        <v>0.87483999999999995</v>
      </c>
    </row>
    <row r="1356" spans="2:8">
      <c r="B1356" s="555" t="s">
        <v>2232</v>
      </c>
      <c r="C1356" s="555" t="str">
        <f>VLOOKUP(D1356,기본!$D$13:$E$74,2,0)</f>
        <v>코웨이</v>
      </c>
      <c r="D1356" t="s">
        <v>2067</v>
      </c>
      <c r="E1356" t="s">
        <v>2075</v>
      </c>
      <c r="F1356" t="s">
        <v>2075</v>
      </c>
      <c r="G1356" s="554">
        <v>400</v>
      </c>
      <c r="H1356">
        <v>8.7688000000000006</v>
      </c>
    </row>
    <row r="1357" spans="2:8">
      <c r="B1357" s="555" t="s">
        <v>2232</v>
      </c>
      <c r="C1357" s="555" t="str">
        <f>VLOOKUP(D1357,기본!$D$13:$E$74,2,0)</f>
        <v>코웨이</v>
      </c>
      <c r="D1357" t="s">
        <v>2067</v>
      </c>
      <c r="E1357" t="s">
        <v>2076</v>
      </c>
      <c r="F1357" t="s">
        <v>2076</v>
      </c>
      <c r="G1357" s="554">
        <v>2515</v>
      </c>
      <c r="H1357">
        <v>46.532260000000001</v>
      </c>
    </row>
    <row r="1358" spans="2:8">
      <c r="B1358" s="555" t="s">
        <v>2232</v>
      </c>
      <c r="C1358" s="555" t="str">
        <f>VLOOKUP(D1358,기본!$D$13:$E$74,2,0)</f>
        <v>코웨이</v>
      </c>
      <c r="D1358" t="s">
        <v>2067</v>
      </c>
      <c r="E1358" t="s">
        <v>2042</v>
      </c>
      <c r="F1358" t="s">
        <v>2042</v>
      </c>
      <c r="G1358" s="554">
        <v>200</v>
      </c>
      <c r="H1358">
        <v>1.2789999999999999</v>
      </c>
    </row>
    <row r="1359" spans="2:8">
      <c r="B1359" s="555" t="s">
        <v>2232</v>
      </c>
      <c r="C1359" s="555" t="str">
        <f>VLOOKUP(D1359,기본!$D$13:$E$74,2,0)</f>
        <v>코웨이</v>
      </c>
      <c r="D1359" t="s">
        <v>2067</v>
      </c>
      <c r="E1359" t="s">
        <v>2058</v>
      </c>
      <c r="F1359" t="s">
        <v>2058</v>
      </c>
      <c r="G1359" s="554">
        <v>10849</v>
      </c>
      <c r="H1359">
        <v>376.14029099999993</v>
      </c>
    </row>
    <row r="1360" spans="2:8">
      <c r="B1360" s="555" t="s">
        <v>2232</v>
      </c>
      <c r="C1360" s="555" t="str">
        <f>VLOOKUP(D1360,기본!$D$13:$E$74,2,0)</f>
        <v>코웨이</v>
      </c>
      <c r="D1360" t="s">
        <v>2067</v>
      </c>
      <c r="E1360" t="s">
        <v>2077</v>
      </c>
      <c r="F1360" t="s">
        <v>2077</v>
      </c>
      <c r="G1360" s="554">
        <v>75</v>
      </c>
      <c r="H1360">
        <v>2.581725</v>
      </c>
    </row>
    <row r="1361" spans="2:8">
      <c r="B1361" s="555" t="s">
        <v>2232</v>
      </c>
      <c r="C1361" s="555" t="str">
        <f>VLOOKUP(D1361,기본!$D$13:$E$74,2,0)</f>
        <v>코웨이</v>
      </c>
      <c r="D1361" t="s">
        <v>2067</v>
      </c>
      <c r="E1361" t="s">
        <v>2078</v>
      </c>
      <c r="F1361" t="s">
        <v>2078</v>
      </c>
      <c r="G1361" s="554">
        <v>8424</v>
      </c>
      <c r="H1361">
        <v>290.53533600000003</v>
      </c>
    </row>
    <row r="1362" spans="2:8">
      <c r="B1362" s="555" t="s">
        <v>2232</v>
      </c>
      <c r="C1362" s="555" t="str">
        <f>VLOOKUP(D1362,기본!$D$13:$E$74,2,0)</f>
        <v>코웨이</v>
      </c>
      <c r="D1362" t="s">
        <v>2067</v>
      </c>
      <c r="E1362" t="s">
        <v>2203</v>
      </c>
      <c r="F1362" t="s">
        <v>2203</v>
      </c>
      <c r="G1362" s="554">
        <v>4053</v>
      </c>
      <c r="H1362">
        <v>146.41151100000002</v>
      </c>
    </row>
    <row r="1363" spans="2:8">
      <c r="B1363" s="555" t="s">
        <v>2232</v>
      </c>
      <c r="C1363" s="555" t="str">
        <f>VLOOKUP(D1363,기본!$D$13:$E$74,2,0)</f>
        <v>코웨이</v>
      </c>
      <c r="D1363" t="s">
        <v>2067</v>
      </c>
      <c r="E1363" t="s">
        <v>2231</v>
      </c>
      <c r="F1363" t="s">
        <v>2231</v>
      </c>
      <c r="G1363" s="554">
        <v>660</v>
      </c>
      <c r="H1363">
        <v>23.99034</v>
      </c>
    </row>
    <row r="1364" spans="2:8">
      <c r="B1364" s="555" t="s">
        <v>2232</v>
      </c>
      <c r="C1364" s="555" t="str">
        <f>VLOOKUP(D1364,기본!$D$13:$E$74,2,0)</f>
        <v>코웨이</v>
      </c>
      <c r="D1364" t="s">
        <v>2079</v>
      </c>
      <c r="E1364" t="s">
        <v>1093</v>
      </c>
      <c r="F1364" t="s">
        <v>1093</v>
      </c>
      <c r="G1364" s="554">
        <v>3219</v>
      </c>
      <c r="H1364">
        <v>17.176584000000002</v>
      </c>
    </row>
    <row r="1365" spans="2:8">
      <c r="B1365" s="555" t="s">
        <v>2232</v>
      </c>
      <c r="C1365" s="555" t="str">
        <f>VLOOKUP(D1365,기본!$D$13:$E$74,2,0)</f>
        <v>코웨이</v>
      </c>
      <c r="D1365" t="s">
        <v>2079</v>
      </c>
      <c r="E1365" t="s">
        <v>1094</v>
      </c>
      <c r="F1365" t="s">
        <v>1094</v>
      </c>
      <c r="G1365" s="554">
        <v>1971</v>
      </c>
      <c r="H1365">
        <v>6.1416359999999992</v>
      </c>
    </row>
    <row r="1366" spans="2:8">
      <c r="B1366" s="555" t="s">
        <v>2232</v>
      </c>
      <c r="C1366" s="555" t="str">
        <f>VLOOKUP(D1366,기본!$D$13:$E$74,2,0)</f>
        <v>코웨이</v>
      </c>
      <c r="D1366" t="s">
        <v>2079</v>
      </c>
      <c r="E1366" t="s">
        <v>2017</v>
      </c>
      <c r="F1366" t="s">
        <v>2017</v>
      </c>
      <c r="G1366" s="554">
        <v>939</v>
      </c>
      <c r="H1366">
        <v>11.160954</v>
      </c>
    </row>
    <row r="1367" spans="2:8">
      <c r="B1367" s="555" t="s">
        <v>2232</v>
      </c>
      <c r="C1367" s="555" t="str">
        <f>VLOOKUP(D1367,기본!$D$13:$E$74,2,0)</f>
        <v>코웨이</v>
      </c>
      <c r="D1367" t="s">
        <v>2079</v>
      </c>
      <c r="E1367" t="s">
        <v>2080</v>
      </c>
      <c r="F1367" t="s">
        <v>2080</v>
      </c>
      <c r="G1367" s="554">
        <v>300</v>
      </c>
      <c r="H1367">
        <v>2.0108999999999999</v>
      </c>
    </row>
    <row r="1368" spans="2:8">
      <c r="B1368" s="555" t="s">
        <v>2232</v>
      </c>
      <c r="C1368" s="555" t="str">
        <f>VLOOKUP(D1368,기본!$D$13:$E$74,2,0)</f>
        <v>코웨이</v>
      </c>
      <c r="D1368" t="s">
        <v>2079</v>
      </c>
      <c r="E1368" t="s">
        <v>2081</v>
      </c>
      <c r="F1368" t="s">
        <v>2081</v>
      </c>
      <c r="G1368" s="554">
        <v>952</v>
      </c>
      <c r="H1368">
        <v>7.555072</v>
      </c>
    </row>
    <row r="1369" spans="2:8">
      <c r="B1369" s="555" t="s">
        <v>2232</v>
      </c>
      <c r="C1369" s="555" t="str">
        <f>VLOOKUP(D1369,기본!$D$13:$E$74,2,0)</f>
        <v>코웨이</v>
      </c>
      <c r="D1369" t="s">
        <v>2079</v>
      </c>
      <c r="E1369" t="s">
        <v>1089</v>
      </c>
      <c r="F1369" t="s">
        <v>1089</v>
      </c>
      <c r="G1369" s="554">
        <v>4430</v>
      </c>
      <c r="H1369">
        <v>49.664729999999999</v>
      </c>
    </row>
    <row r="1370" spans="2:8">
      <c r="B1370" s="555" t="s">
        <v>2232</v>
      </c>
      <c r="C1370" s="555" t="str">
        <f>VLOOKUP(D1370,기본!$D$13:$E$74,2,0)</f>
        <v>코웨이</v>
      </c>
      <c r="D1370" t="s">
        <v>2079</v>
      </c>
      <c r="E1370" t="s">
        <v>1118</v>
      </c>
      <c r="F1370" t="s">
        <v>1118</v>
      </c>
      <c r="G1370" s="554">
        <v>1600</v>
      </c>
      <c r="H1370">
        <v>28.975999999999999</v>
      </c>
    </row>
    <row r="1371" spans="2:8">
      <c r="B1371" s="555" t="s">
        <v>2232</v>
      </c>
      <c r="C1371" s="555" t="str">
        <f>VLOOKUP(D1371,기본!$D$13:$E$74,2,0)</f>
        <v>코웨이</v>
      </c>
      <c r="D1371" t="s">
        <v>2079</v>
      </c>
      <c r="E1371" t="s">
        <v>2157</v>
      </c>
      <c r="F1371" t="s">
        <v>2157</v>
      </c>
      <c r="G1371" s="554">
        <v>200</v>
      </c>
      <c r="H1371">
        <v>4.6760000000000002</v>
      </c>
    </row>
    <row r="1372" spans="2:8">
      <c r="B1372" s="555" t="s">
        <v>2232</v>
      </c>
      <c r="C1372" s="555" t="str">
        <f>VLOOKUP(D1372,기본!$D$13:$E$74,2,0)</f>
        <v>코웨이</v>
      </c>
      <c r="D1372" t="s">
        <v>2079</v>
      </c>
      <c r="E1372" t="s">
        <v>2061</v>
      </c>
      <c r="F1372" t="s">
        <v>2061</v>
      </c>
      <c r="G1372" s="554">
        <v>3231</v>
      </c>
      <c r="H1372">
        <v>18.106524000000004</v>
      </c>
    </row>
    <row r="1373" spans="2:8">
      <c r="B1373" s="555" t="s">
        <v>2232</v>
      </c>
      <c r="C1373" s="555" t="str">
        <f>VLOOKUP(D1373,기본!$D$13:$E$74,2,0)</f>
        <v>코웨이</v>
      </c>
      <c r="D1373" t="s">
        <v>2082</v>
      </c>
      <c r="E1373" t="s">
        <v>2027</v>
      </c>
      <c r="F1373" t="s">
        <v>2027</v>
      </c>
      <c r="G1373" s="554">
        <v>240</v>
      </c>
      <c r="H1373">
        <v>4.5228000000000002</v>
      </c>
    </row>
    <row r="1374" spans="2:8">
      <c r="B1374" s="555" t="s">
        <v>2232</v>
      </c>
      <c r="C1374" s="555" t="str">
        <f>VLOOKUP(D1374,기본!$D$13:$E$74,2,0)</f>
        <v>코웨이</v>
      </c>
      <c r="D1374" t="s">
        <v>2082</v>
      </c>
      <c r="E1374" t="s">
        <v>2083</v>
      </c>
      <c r="F1374" t="s">
        <v>2083</v>
      </c>
      <c r="G1374" s="554">
        <v>1345</v>
      </c>
      <c r="H1374">
        <v>23.066749999999999</v>
      </c>
    </row>
    <row r="1375" spans="2:8">
      <c r="B1375" s="555" t="s">
        <v>2232</v>
      </c>
      <c r="C1375" s="555" t="str">
        <f>VLOOKUP(D1375,기본!$D$13:$E$74,2,0)</f>
        <v>코웨이</v>
      </c>
      <c r="D1375" t="s">
        <v>2082</v>
      </c>
      <c r="E1375" t="s">
        <v>2058</v>
      </c>
      <c r="F1375" t="s">
        <v>2058</v>
      </c>
      <c r="G1375" s="554">
        <v>17280</v>
      </c>
      <c r="H1375">
        <v>598.90752000000009</v>
      </c>
    </row>
    <row r="1376" spans="2:8">
      <c r="B1376" s="555" t="s">
        <v>2232</v>
      </c>
      <c r="C1376" s="555" t="str">
        <f>VLOOKUP(D1376,기본!$D$13:$E$74,2,0)</f>
        <v>코웨이</v>
      </c>
      <c r="D1376" t="s">
        <v>2082</v>
      </c>
      <c r="E1376" t="s">
        <v>2077</v>
      </c>
      <c r="F1376" t="s">
        <v>2077</v>
      </c>
      <c r="G1376" s="554">
        <v>4320</v>
      </c>
      <c r="H1376">
        <v>145.0872</v>
      </c>
    </row>
    <row r="1377" spans="2:8">
      <c r="B1377" s="555" t="s">
        <v>2232</v>
      </c>
      <c r="C1377" s="555" t="str">
        <f>VLOOKUP(D1377,기본!$D$13:$E$74,2,0)</f>
        <v>삼성 생활가전</v>
      </c>
      <c r="D1377" t="s">
        <v>2084</v>
      </c>
      <c r="E1377" t="s">
        <v>2204</v>
      </c>
      <c r="F1377" t="s">
        <v>2204</v>
      </c>
      <c r="G1377" s="554">
        <v>2000</v>
      </c>
      <c r="H1377">
        <v>11.640114000000001</v>
      </c>
    </row>
    <row r="1378" spans="2:8">
      <c r="B1378" s="555" t="s">
        <v>2232</v>
      </c>
      <c r="C1378" s="555" t="str">
        <f>VLOOKUP(D1378,기본!$D$13:$E$74,2,0)</f>
        <v>삼성 생활가전</v>
      </c>
      <c r="D1378" t="s">
        <v>2084</v>
      </c>
      <c r="E1378" t="s">
        <v>2085</v>
      </c>
      <c r="F1378" t="s">
        <v>2085</v>
      </c>
      <c r="G1378" s="554">
        <v>880</v>
      </c>
      <c r="H1378">
        <v>5.0611110008999995</v>
      </c>
    </row>
    <row r="1379" spans="2:8">
      <c r="B1379" s="555" t="s">
        <v>2232</v>
      </c>
      <c r="C1379" s="555" t="str">
        <f>VLOOKUP(D1379,기본!$D$13:$E$74,2,0)</f>
        <v>삼성 생활가전</v>
      </c>
      <c r="D1379" t="s">
        <v>2084</v>
      </c>
      <c r="E1379" t="s">
        <v>2004</v>
      </c>
      <c r="F1379" t="s">
        <v>2004</v>
      </c>
      <c r="G1379" s="554">
        <v>3528</v>
      </c>
      <c r="H1379">
        <v>40.664928002159996</v>
      </c>
    </row>
    <row r="1380" spans="2:8">
      <c r="B1380" s="555" t="s">
        <v>2232</v>
      </c>
      <c r="C1380" s="555" t="str">
        <f>VLOOKUP(D1380,기본!$D$13:$E$74,2,0)</f>
        <v>삼성 생활가전</v>
      </c>
      <c r="D1380" t="s">
        <v>2084</v>
      </c>
      <c r="E1380" t="s">
        <v>2086</v>
      </c>
      <c r="F1380" t="s">
        <v>2086</v>
      </c>
      <c r="G1380" s="554">
        <v>25</v>
      </c>
      <c r="H1380">
        <v>0.26124999999999998</v>
      </c>
    </row>
    <row r="1381" spans="2:8">
      <c r="B1381" s="555" t="s">
        <v>2232</v>
      </c>
      <c r="C1381" s="555" t="str">
        <f>VLOOKUP(D1381,기본!$D$13:$E$74,2,0)</f>
        <v>삼성 생활가전</v>
      </c>
      <c r="D1381" t="s">
        <v>2084</v>
      </c>
      <c r="E1381" t="s">
        <v>2087</v>
      </c>
      <c r="F1381" t="s">
        <v>2087</v>
      </c>
      <c r="G1381" s="554">
        <v>1008</v>
      </c>
      <c r="H1381">
        <v>10.784067840000001</v>
      </c>
    </row>
    <row r="1382" spans="2:8">
      <c r="B1382" s="555" t="s">
        <v>2232</v>
      </c>
      <c r="C1382" s="555" t="str">
        <f>VLOOKUP(D1382,기본!$D$13:$E$74,2,0)</f>
        <v>삼성 생활가전</v>
      </c>
      <c r="D1382" t="s">
        <v>2088</v>
      </c>
      <c r="E1382" t="s">
        <v>1023</v>
      </c>
      <c r="F1382" t="s">
        <v>1023</v>
      </c>
      <c r="G1382" s="554">
        <v>1440</v>
      </c>
      <c r="H1382">
        <v>10.0656</v>
      </c>
    </row>
    <row r="1383" spans="2:8">
      <c r="B1383" s="555" t="s">
        <v>2232</v>
      </c>
      <c r="C1383" s="555" t="str">
        <f>VLOOKUP(D1383,기본!$D$13:$E$74,2,0)</f>
        <v>한화비전</v>
      </c>
      <c r="D1383" t="s">
        <v>2089</v>
      </c>
      <c r="E1383" t="s">
        <v>1902</v>
      </c>
      <c r="F1383" t="s">
        <v>1903</v>
      </c>
      <c r="G1383" s="554">
        <v>558</v>
      </c>
      <c r="H1383">
        <v>19.831635179999999</v>
      </c>
    </row>
    <row r="1384" spans="2:8">
      <c r="B1384" s="555" t="s">
        <v>2232</v>
      </c>
      <c r="C1384" s="555" t="str">
        <f>VLOOKUP(D1384,기본!$D$13:$E$74,2,0)</f>
        <v>한화비전</v>
      </c>
      <c r="D1384" t="s">
        <v>2089</v>
      </c>
      <c r="E1384" t="s">
        <v>2090</v>
      </c>
      <c r="F1384" t="s">
        <v>2091</v>
      </c>
      <c r="G1384" s="554">
        <v>972</v>
      </c>
      <c r="H1384">
        <v>33.221404799999995</v>
      </c>
    </row>
    <row r="1385" spans="2:8">
      <c r="B1385" s="555" t="s">
        <v>2254</v>
      </c>
      <c r="C1385" s="555" t="str">
        <f>VLOOKUP(D1385,기본!$D$13:$E$74,2,0)</f>
        <v>AV JDM</v>
      </c>
      <c r="D1385" t="s">
        <v>1841</v>
      </c>
      <c r="E1385" t="s">
        <v>1842</v>
      </c>
      <c r="F1385" t="s">
        <v>1680</v>
      </c>
      <c r="G1385" s="554">
        <v>17480</v>
      </c>
      <c r="H1385">
        <v>158.06152559999998</v>
      </c>
    </row>
    <row r="1386" spans="2:8">
      <c r="B1386" s="555" t="s">
        <v>2254</v>
      </c>
      <c r="C1386" s="555" t="str">
        <f>VLOOKUP(D1386,기본!$D$13:$E$74,2,0)</f>
        <v>AV JDM</v>
      </c>
      <c r="D1386" t="s">
        <v>1841</v>
      </c>
      <c r="E1386" t="s">
        <v>2104</v>
      </c>
      <c r="F1386" t="s">
        <v>2105</v>
      </c>
      <c r="G1386" s="554">
        <v>360</v>
      </c>
      <c r="H1386">
        <v>3.4394976000000002</v>
      </c>
    </row>
    <row r="1387" spans="2:8">
      <c r="B1387" s="555" t="s">
        <v>2254</v>
      </c>
      <c r="C1387" s="555" t="str">
        <f>VLOOKUP(D1387,기본!$D$13:$E$74,2,0)</f>
        <v>AV JDM</v>
      </c>
      <c r="D1387" t="s">
        <v>1841</v>
      </c>
      <c r="E1387" t="s">
        <v>1654</v>
      </c>
      <c r="F1387" t="s">
        <v>1654</v>
      </c>
      <c r="G1387" s="554">
        <v>3528</v>
      </c>
      <c r="H1387">
        <v>28.277680480000004</v>
      </c>
    </row>
    <row r="1388" spans="2:8">
      <c r="B1388" s="555" t="s">
        <v>2254</v>
      </c>
      <c r="C1388" s="555" t="str">
        <f>VLOOKUP(D1388,기본!$D$13:$E$74,2,0)</f>
        <v>AV JDM</v>
      </c>
      <c r="D1388" t="s">
        <v>1841</v>
      </c>
      <c r="E1388" t="s">
        <v>1656</v>
      </c>
      <c r="F1388" t="s">
        <v>1656</v>
      </c>
      <c r="G1388" s="554">
        <v>12768</v>
      </c>
      <c r="H1388">
        <v>110.88415212</v>
      </c>
    </row>
    <row r="1389" spans="2:8">
      <c r="B1389" s="555" t="s">
        <v>2254</v>
      </c>
      <c r="C1389" s="555" t="str">
        <f>VLOOKUP(D1389,기본!$D$13:$E$74,2,0)</f>
        <v>AV JDM</v>
      </c>
      <c r="D1389" t="s">
        <v>1841</v>
      </c>
      <c r="E1389" t="s">
        <v>1657</v>
      </c>
      <c r="F1389" t="s">
        <v>1657</v>
      </c>
      <c r="G1389" s="554">
        <v>3080</v>
      </c>
      <c r="H1389">
        <v>27.443645879999998</v>
      </c>
    </row>
    <row r="1390" spans="2:8">
      <c r="B1390" s="555" t="s">
        <v>2254</v>
      </c>
      <c r="C1390" s="555" t="str">
        <f>VLOOKUP(D1390,기본!$D$13:$E$74,2,0)</f>
        <v>AV JDM</v>
      </c>
      <c r="D1390" t="s">
        <v>1841</v>
      </c>
      <c r="E1390" t="s">
        <v>1658</v>
      </c>
      <c r="F1390" t="s">
        <v>1658</v>
      </c>
      <c r="G1390" s="554">
        <v>13608</v>
      </c>
      <c r="H1390">
        <v>126.74970432000001</v>
      </c>
    </row>
    <row r="1391" spans="2:8">
      <c r="B1391" s="555" t="s">
        <v>2254</v>
      </c>
      <c r="C1391" s="555" t="str">
        <f>VLOOKUP(D1391,기본!$D$13:$E$74,2,0)</f>
        <v>AV JDM</v>
      </c>
      <c r="D1391" t="s">
        <v>1841</v>
      </c>
      <c r="E1391" t="s">
        <v>1655</v>
      </c>
      <c r="F1391" t="s">
        <v>1655</v>
      </c>
      <c r="G1391" s="554">
        <v>2744</v>
      </c>
      <c r="H1391">
        <v>22.912922479999999</v>
      </c>
    </row>
    <row r="1392" spans="2:8">
      <c r="B1392" s="555" t="s">
        <v>2254</v>
      </c>
      <c r="C1392" s="555" t="str">
        <f>VLOOKUP(D1392,기본!$D$13:$E$74,2,0)</f>
        <v>AV JDM</v>
      </c>
      <c r="D1392" t="s">
        <v>1841</v>
      </c>
      <c r="E1392" t="s">
        <v>2206</v>
      </c>
      <c r="F1392" t="s">
        <v>2206</v>
      </c>
      <c r="G1392" s="554">
        <v>872</v>
      </c>
      <c r="H1392">
        <v>7.9930035200000011</v>
      </c>
    </row>
    <row r="1393" spans="2:8">
      <c r="B1393" s="555" t="s">
        <v>2254</v>
      </c>
      <c r="C1393" s="555" t="str">
        <f>VLOOKUP(D1393,기본!$D$13:$E$74,2,0)</f>
        <v>AV JDM</v>
      </c>
      <c r="D1393" t="s">
        <v>1841</v>
      </c>
      <c r="E1393" t="s">
        <v>2207</v>
      </c>
      <c r="F1393" t="s">
        <v>2207</v>
      </c>
      <c r="G1393" s="554">
        <v>56</v>
      </c>
      <c r="H1393">
        <v>0.52936799999999995</v>
      </c>
    </row>
    <row r="1394" spans="2:8">
      <c r="B1394" s="555" t="s">
        <v>2254</v>
      </c>
      <c r="C1394" s="555" t="str">
        <f>VLOOKUP(D1394,기본!$D$13:$E$74,2,0)</f>
        <v>AV JDM</v>
      </c>
      <c r="D1394" t="s">
        <v>1841</v>
      </c>
      <c r="E1394" t="s">
        <v>2159</v>
      </c>
      <c r="F1394" t="s">
        <v>2159</v>
      </c>
      <c r="G1394" s="554">
        <v>252</v>
      </c>
      <c r="H1394">
        <v>2.4686461800000004</v>
      </c>
    </row>
    <row r="1395" spans="2:8">
      <c r="B1395" s="555" t="s">
        <v>2254</v>
      </c>
      <c r="C1395" s="555" t="str">
        <f>VLOOKUP(D1395,기본!$D$13:$E$74,2,0)</f>
        <v>AV JDM</v>
      </c>
      <c r="D1395" t="s">
        <v>1841</v>
      </c>
      <c r="E1395" t="s">
        <v>1889</v>
      </c>
      <c r="F1395" t="s">
        <v>1229</v>
      </c>
      <c r="G1395" s="554">
        <v>20160</v>
      </c>
      <c r="H1395">
        <v>166.76755199999999</v>
      </c>
    </row>
    <row r="1396" spans="2:8">
      <c r="B1396" s="555" t="s">
        <v>2254</v>
      </c>
      <c r="C1396" s="555" t="str">
        <f>VLOOKUP(D1396,기본!$D$13:$E$74,2,0)</f>
        <v>AV JDM</v>
      </c>
      <c r="D1396" t="s">
        <v>1841</v>
      </c>
      <c r="E1396" t="s">
        <v>1845</v>
      </c>
      <c r="F1396" t="s">
        <v>1340</v>
      </c>
      <c r="G1396" s="554">
        <v>5376</v>
      </c>
      <c r="H1396">
        <v>55.813092384000008</v>
      </c>
    </row>
    <row r="1397" spans="2:8">
      <c r="B1397" s="555" t="s">
        <v>2254</v>
      </c>
      <c r="C1397" s="555" t="str">
        <f>VLOOKUP(D1397,기본!$D$13:$E$74,2,0)</f>
        <v>AV JDM</v>
      </c>
      <c r="D1397" t="s">
        <v>1841</v>
      </c>
      <c r="E1397" t="s">
        <v>1847</v>
      </c>
      <c r="F1397" t="s">
        <v>1336</v>
      </c>
      <c r="G1397" s="554">
        <v>7720</v>
      </c>
      <c r="H1397">
        <v>71.065559999999991</v>
      </c>
    </row>
    <row r="1398" spans="2:8">
      <c r="B1398" s="555" t="s">
        <v>2254</v>
      </c>
      <c r="C1398" s="555" t="str">
        <f>VLOOKUP(D1398,기본!$D$13:$E$74,2,0)</f>
        <v>AV JDM</v>
      </c>
      <c r="D1398" t="s">
        <v>1841</v>
      </c>
      <c r="E1398" t="s">
        <v>1894</v>
      </c>
      <c r="F1398" t="s">
        <v>1337</v>
      </c>
      <c r="G1398" s="554">
        <v>40</v>
      </c>
      <c r="H1398">
        <v>0.39842879999999997</v>
      </c>
    </row>
    <row r="1399" spans="2:8">
      <c r="B1399" s="555" t="s">
        <v>2254</v>
      </c>
      <c r="C1399" s="555" t="str">
        <f>VLOOKUP(D1399,기본!$D$13:$E$74,2,0)</f>
        <v>AV JDM</v>
      </c>
      <c r="D1399" t="s">
        <v>1841</v>
      </c>
      <c r="E1399" t="s">
        <v>1016</v>
      </c>
      <c r="F1399" t="s">
        <v>1016</v>
      </c>
      <c r="G1399" s="554">
        <v>128</v>
      </c>
      <c r="H1399">
        <v>1.0976657919999999</v>
      </c>
    </row>
    <row r="1400" spans="2:8">
      <c r="B1400" s="555" t="s">
        <v>2254</v>
      </c>
      <c r="C1400" s="555" t="str">
        <f>VLOOKUP(D1400,기본!$D$13:$E$74,2,0)</f>
        <v>AV JDM</v>
      </c>
      <c r="D1400" t="s">
        <v>1841</v>
      </c>
      <c r="E1400" t="s">
        <v>1006</v>
      </c>
      <c r="F1400" t="s">
        <v>1006</v>
      </c>
      <c r="G1400" s="554">
        <v>21800</v>
      </c>
      <c r="H1400">
        <v>244.52944704000001</v>
      </c>
    </row>
    <row r="1401" spans="2:8">
      <c r="B1401" s="555" t="s">
        <v>2254</v>
      </c>
      <c r="C1401" s="555" t="str">
        <f>VLOOKUP(D1401,기본!$D$13:$E$74,2,0)</f>
        <v>AV JDM</v>
      </c>
      <c r="D1401" t="s">
        <v>1841</v>
      </c>
      <c r="E1401" t="s">
        <v>229</v>
      </c>
      <c r="F1401" t="s">
        <v>229</v>
      </c>
      <c r="G1401" s="554">
        <v>0</v>
      </c>
      <c r="H1401">
        <v>-6.2041500000000003</v>
      </c>
    </row>
    <row r="1402" spans="2:8">
      <c r="B1402" s="555" t="s">
        <v>2254</v>
      </c>
      <c r="C1402" s="555" t="str">
        <f>VLOOKUP(D1402,기본!$D$13:$E$74,2,0)</f>
        <v>삼성 VD</v>
      </c>
      <c r="D1402" t="s">
        <v>1849</v>
      </c>
      <c r="E1402" t="s">
        <v>1165</v>
      </c>
      <c r="F1402" t="s">
        <v>1882</v>
      </c>
      <c r="G1402" s="554">
        <v>6408</v>
      </c>
      <c r="H1402">
        <v>190.24376111999999</v>
      </c>
    </row>
    <row r="1403" spans="2:8">
      <c r="B1403" s="555" t="s">
        <v>2254</v>
      </c>
      <c r="C1403" s="555" t="str">
        <f>VLOOKUP(D1403,기본!$D$13:$E$74,2,0)</f>
        <v>삼성 VD</v>
      </c>
      <c r="D1403" t="s">
        <v>1849</v>
      </c>
      <c r="E1403" t="s">
        <v>1164</v>
      </c>
      <c r="F1403" t="s">
        <v>1850</v>
      </c>
      <c r="G1403" s="554">
        <v>14040</v>
      </c>
      <c r="H1403">
        <v>379.12301683199996</v>
      </c>
    </row>
    <row r="1404" spans="2:8">
      <c r="B1404" s="555" t="s">
        <v>2254</v>
      </c>
      <c r="C1404" s="555" t="str">
        <f>VLOOKUP(D1404,기본!$D$13:$E$74,2,0)</f>
        <v>삼성 VD</v>
      </c>
      <c r="D1404" t="s">
        <v>1849</v>
      </c>
      <c r="E1404" t="s">
        <v>1851</v>
      </c>
      <c r="F1404" t="s">
        <v>1852</v>
      </c>
      <c r="G1404" s="554">
        <v>192</v>
      </c>
      <c r="H1404">
        <v>1.4453187839999999</v>
      </c>
    </row>
    <row r="1405" spans="2:8">
      <c r="B1405" s="555" t="s">
        <v>2254</v>
      </c>
      <c r="C1405" s="555" t="str">
        <f>VLOOKUP(D1405,기본!$D$13:$E$74,2,0)</f>
        <v>삼성 VD</v>
      </c>
      <c r="D1405" t="s">
        <v>1849</v>
      </c>
      <c r="E1405" t="s">
        <v>1853</v>
      </c>
      <c r="F1405" t="s">
        <v>1854</v>
      </c>
      <c r="G1405" s="554">
        <v>7740</v>
      </c>
      <c r="H1405">
        <v>107.57213118000001</v>
      </c>
    </row>
    <row r="1406" spans="2:8">
      <c r="B1406" s="555" t="s">
        <v>2254</v>
      </c>
      <c r="C1406" s="555" t="str">
        <f>VLOOKUP(D1406,기본!$D$13:$E$74,2,0)</f>
        <v>삼성 VD</v>
      </c>
      <c r="D1406" t="s">
        <v>1849</v>
      </c>
      <c r="E1406" t="s">
        <v>1855</v>
      </c>
      <c r="F1406" t="s">
        <v>1856</v>
      </c>
      <c r="G1406" s="554">
        <v>11178</v>
      </c>
      <c r="H1406">
        <v>159.66599517</v>
      </c>
    </row>
    <row r="1407" spans="2:8">
      <c r="B1407" s="555" t="s">
        <v>2254</v>
      </c>
      <c r="C1407" s="555" t="str">
        <f>VLOOKUP(D1407,기본!$D$13:$E$74,2,0)</f>
        <v>삼성 VD</v>
      </c>
      <c r="D1407" t="s">
        <v>1849</v>
      </c>
      <c r="E1407" t="s">
        <v>1874</v>
      </c>
      <c r="F1407" t="s">
        <v>1875</v>
      </c>
      <c r="G1407" s="554">
        <v>16974</v>
      </c>
      <c r="H1407">
        <v>264.48681621600002</v>
      </c>
    </row>
    <row r="1408" spans="2:8">
      <c r="B1408" s="555" t="s">
        <v>2254</v>
      </c>
      <c r="C1408" s="555" t="str">
        <f>VLOOKUP(D1408,기본!$D$13:$E$74,2,0)</f>
        <v>삼성 VD</v>
      </c>
      <c r="D1408" t="s">
        <v>1849</v>
      </c>
      <c r="E1408" t="s">
        <v>1859</v>
      </c>
      <c r="F1408" t="s">
        <v>1860</v>
      </c>
      <c r="G1408" s="554">
        <v>816</v>
      </c>
      <c r="H1408">
        <v>14.535248063999999</v>
      </c>
    </row>
    <row r="1409" spans="2:8">
      <c r="B1409" s="555" t="s">
        <v>2254</v>
      </c>
      <c r="C1409" s="555" t="str">
        <f>VLOOKUP(D1409,기본!$D$13:$E$74,2,0)</f>
        <v>삼성 VD</v>
      </c>
      <c r="D1409" t="s">
        <v>1849</v>
      </c>
      <c r="E1409" t="s">
        <v>1865</v>
      </c>
      <c r="F1409" t="s">
        <v>1866</v>
      </c>
      <c r="G1409" s="554">
        <v>4128</v>
      </c>
      <c r="H1409">
        <v>174.31597679999999</v>
      </c>
    </row>
    <row r="1410" spans="2:8">
      <c r="B1410" s="555" t="s">
        <v>2254</v>
      </c>
      <c r="C1410" s="555" t="str">
        <f>VLOOKUP(D1410,기본!$D$13:$E$74,2,0)</f>
        <v>삼성 VD</v>
      </c>
      <c r="D1410" t="s">
        <v>1849</v>
      </c>
      <c r="E1410" t="s">
        <v>1923</v>
      </c>
      <c r="F1410" t="s">
        <v>1924</v>
      </c>
      <c r="G1410" s="554">
        <v>47916</v>
      </c>
      <c r="H1410">
        <v>223.48567098000001</v>
      </c>
    </row>
    <row r="1411" spans="2:8">
      <c r="B1411" s="555" t="s">
        <v>2254</v>
      </c>
      <c r="C1411" s="555" t="str">
        <f>VLOOKUP(D1411,기본!$D$13:$E$74,2,0)</f>
        <v>삼성 VD</v>
      </c>
      <c r="D1411" t="s">
        <v>1849</v>
      </c>
      <c r="E1411" t="s">
        <v>1867</v>
      </c>
      <c r="F1411" t="s">
        <v>1868</v>
      </c>
      <c r="G1411" s="554">
        <v>1848</v>
      </c>
      <c r="H1411">
        <v>15.516330984</v>
      </c>
    </row>
    <row r="1412" spans="2:8">
      <c r="B1412" s="555" t="s">
        <v>2254</v>
      </c>
      <c r="C1412" s="555" t="str">
        <f>VLOOKUP(D1412,기본!$D$13:$E$74,2,0)</f>
        <v>삼성 VD</v>
      </c>
      <c r="D1412" t="s">
        <v>1849</v>
      </c>
      <c r="E1412" t="s">
        <v>709</v>
      </c>
      <c r="F1412" t="s">
        <v>1869</v>
      </c>
      <c r="G1412" s="554">
        <v>47520</v>
      </c>
      <c r="H1412">
        <v>163.73438399999998</v>
      </c>
    </row>
    <row r="1413" spans="2:8">
      <c r="B1413" s="555" t="s">
        <v>2254</v>
      </c>
      <c r="C1413" s="555" t="str">
        <f>VLOOKUP(D1413,기본!$D$13:$E$74,2,0)</f>
        <v>삼성 VD</v>
      </c>
      <c r="D1413" t="s">
        <v>1849</v>
      </c>
      <c r="E1413" t="s">
        <v>1156</v>
      </c>
      <c r="F1413" t="s">
        <v>1870</v>
      </c>
      <c r="G1413" s="554">
        <v>3960</v>
      </c>
      <c r="H1413">
        <v>18.399027240000002</v>
      </c>
    </row>
    <row r="1414" spans="2:8">
      <c r="B1414" s="555" t="s">
        <v>2254</v>
      </c>
      <c r="C1414" s="555" t="str">
        <f>VLOOKUP(D1414,기본!$D$13:$E$74,2,0)</f>
        <v>삼성 VD</v>
      </c>
      <c r="D1414" t="s">
        <v>1871</v>
      </c>
      <c r="E1414" t="s">
        <v>1165</v>
      </c>
      <c r="F1414" t="s">
        <v>1882</v>
      </c>
      <c r="G1414" s="554">
        <v>8424</v>
      </c>
      <c r="H1414">
        <v>249.43216032000001</v>
      </c>
    </row>
    <row r="1415" spans="2:8">
      <c r="B1415" s="555" t="s">
        <v>2254</v>
      </c>
      <c r="C1415" s="555" t="str">
        <f>VLOOKUP(D1415,기본!$D$13:$E$74,2,0)</f>
        <v>삼성 VD</v>
      </c>
      <c r="D1415" t="s">
        <v>1871</v>
      </c>
      <c r="E1415" t="s">
        <v>1164</v>
      </c>
      <c r="F1415" t="s">
        <v>1850</v>
      </c>
      <c r="G1415" s="554">
        <v>17496</v>
      </c>
      <c r="H1415">
        <v>470.96789558400002</v>
      </c>
    </row>
    <row r="1416" spans="2:8">
      <c r="B1416" s="555" t="s">
        <v>2254</v>
      </c>
      <c r="C1416" s="555" t="str">
        <f>VLOOKUP(D1416,기본!$D$13:$E$74,2,0)</f>
        <v>삼성 VD</v>
      </c>
      <c r="D1416" t="s">
        <v>1871</v>
      </c>
      <c r="E1416" t="s">
        <v>1853</v>
      </c>
      <c r="F1416" t="s">
        <v>1854</v>
      </c>
      <c r="G1416" s="554">
        <v>5040</v>
      </c>
      <c r="H1416">
        <v>70.29952560000001</v>
      </c>
    </row>
    <row r="1417" spans="2:8">
      <c r="B1417" s="555" t="s">
        <v>2254</v>
      </c>
      <c r="C1417" s="555" t="str">
        <f>VLOOKUP(D1417,기본!$D$13:$E$74,2,0)</f>
        <v>삼성 VD</v>
      </c>
      <c r="D1417" t="s">
        <v>1871</v>
      </c>
      <c r="E1417" t="s">
        <v>1874</v>
      </c>
      <c r="F1417" t="s">
        <v>1875</v>
      </c>
      <c r="G1417" s="554">
        <v>5359</v>
      </c>
      <c r="H1417">
        <v>82.967363640000002</v>
      </c>
    </row>
    <row r="1418" spans="2:8">
      <c r="B1418" s="555" t="s">
        <v>2254</v>
      </c>
      <c r="C1418" s="555" t="str">
        <f>VLOOKUP(D1418,기본!$D$13:$E$74,2,0)</f>
        <v>삼성 VD</v>
      </c>
      <c r="D1418" t="s">
        <v>1871</v>
      </c>
      <c r="E1418" t="s">
        <v>1876</v>
      </c>
      <c r="F1418" t="s">
        <v>1877</v>
      </c>
      <c r="G1418" s="554">
        <v>12360</v>
      </c>
      <c r="H1418">
        <v>84.338295911999992</v>
      </c>
    </row>
    <row r="1419" spans="2:8">
      <c r="B1419" s="555" t="s">
        <v>2254</v>
      </c>
      <c r="C1419" s="555" t="str">
        <f>VLOOKUP(D1419,기본!$D$13:$E$74,2,0)</f>
        <v>삼성 VD</v>
      </c>
      <c r="D1419" t="s">
        <v>1871</v>
      </c>
      <c r="E1419" t="s">
        <v>1878</v>
      </c>
      <c r="F1419" t="s">
        <v>1879</v>
      </c>
      <c r="G1419" s="554">
        <v>528</v>
      </c>
      <c r="H1419">
        <v>3.6156243600000004</v>
      </c>
    </row>
    <row r="1420" spans="2:8">
      <c r="B1420" s="555" t="s">
        <v>2254</v>
      </c>
      <c r="C1420" s="555" t="str">
        <f>VLOOKUP(D1420,기본!$D$13:$E$74,2,0)</f>
        <v>삼성 VD</v>
      </c>
      <c r="D1420" t="s">
        <v>1880</v>
      </c>
      <c r="E1420" t="s">
        <v>1855</v>
      </c>
      <c r="F1420" t="s">
        <v>1856</v>
      </c>
      <c r="G1420" s="554">
        <v>1058</v>
      </c>
      <c r="H1420">
        <v>15.147962609999997</v>
      </c>
    </row>
    <row r="1421" spans="2:8">
      <c r="B1421" s="555" t="s">
        <v>2254</v>
      </c>
      <c r="C1421" s="555" t="str">
        <f>VLOOKUP(D1421,기본!$D$13:$E$74,2,0)</f>
        <v>삼성 VD</v>
      </c>
      <c r="D1421" t="s">
        <v>1881</v>
      </c>
      <c r="E1421" t="s">
        <v>1165</v>
      </c>
      <c r="F1421" t="s">
        <v>1882</v>
      </c>
      <c r="G1421" s="554">
        <v>216</v>
      </c>
      <c r="H1421">
        <v>6.35209344</v>
      </c>
    </row>
    <row r="1422" spans="2:8">
      <c r="B1422" s="555" t="s">
        <v>2254</v>
      </c>
      <c r="C1422" s="555" t="str">
        <f>VLOOKUP(D1422,기본!$D$13:$E$74,2,0)</f>
        <v>삼성 VD</v>
      </c>
      <c r="D1422" t="s">
        <v>1881</v>
      </c>
      <c r="E1422" t="s">
        <v>1164</v>
      </c>
      <c r="F1422" t="s">
        <v>1850</v>
      </c>
      <c r="G1422" s="554">
        <v>582</v>
      </c>
      <c r="H1422">
        <v>15.615275094000001</v>
      </c>
    </row>
    <row r="1423" spans="2:8">
      <c r="B1423" s="555" t="s">
        <v>2254</v>
      </c>
      <c r="C1423" s="555" t="str">
        <f>VLOOKUP(D1423,기본!$D$13:$E$74,2,0)</f>
        <v>삼성 VD</v>
      </c>
      <c r="D1423" t="s">
        <v>1881</v>
      </c>
      <c r="E1423" t="s">
        <v>1853</v>
      </c>
      <c r="F1423" t="s">
        <v>1854</v>
      </c>
      <c r="G1423" s="554">
        <v>30</v>
      </c>
      <c r="H1423">
        <v>0.42229581000000005</v>
      </c>
    </row>
    <row r="1424" spans="2:8">
      <c r="B1424" s="555" t="s">
        <v>2254</v>
      </c>
      <c r="C1424" s="555" t="str">
        <f>VLOOKUP(D1424,기본!$D$13:$E$74,2,0)</f>
        <v>삼성 VD</v>
      </c>
      <c r="D1424" t="s">
        <v>1881</v>
      </c>
      <c r="E1424" t="s">
        <v>1855</v>
      </c>
      <c r="F1424" t="s">
        <v>1856</v>
      </c>
      <c r="G1424" s="554">
        <v>230</v>
      </c>
      <c r="H1424">
        <v>3.2572232000000003</v>
      </c>
    </row>
    <row r="1425" spans="2:8">
      <c r="B1425" s="555" t="s">
        <v>2254</v>
      </c>
      <c r="C1425" s="555" t="str">
        <f>VLOOKUP(D1425,기본!$D$13:$E$74,2,0)</f>
        <v>삼성 VD</v>
      </c>
      <c r="D1425" t="s">
        <v>1881</v>
      </c>
      <c r="E1425" t="s">
        <v>1874</v>
      </c>
      <c r="F1425" t="s">
        <v>1875</v>
      </c>
      <c r="G1425" s="554">
        <v>253</v>
      </c>
      <c r="H1425">
        <v>3.931000794</v>
      </c>
    </row>
    <row r="1426" spans="2:8">
      <c r="B1426" s="555" t="s">
        <v>2254</v>
      </c>
      <c r="C1426" s="555" t="str">
        <f>VLOOKUP(D1426,기본!$D$13:$E$74,2,0)</f>
        <v>기타</v>
      </c>
      <c r="D1426" t="s">
        <v>1883</v>
      </c>
      <c r="E1426" t="s">
        <v>229</v>
      </c>
      <c r="F1426" t="s">
        <v>229</v>
      </c>
      <c r="G1426" s="554">
        <v>0</v>
      </c>
      <c r="H1426">
        <v>194.60067099999998</v>
      </c>
    </row>
    <row r="1427" spans="2:8">
      <c r="B1427" s="555" t="s">
        <v>2254</v>
      </c>
      <c r="C1427" s="555" t="str">
        <f>VLOOKUP(D1427,기본!$D$13:$E$74,2,0)</f>
        <v>MNT JDM</v>
      </c>
      <c r="D1427" t="s">
        <v>2107</v>
      </c>
      <c r="E1427" t="s">
        <v>709</v>
      </c>
      <c r="F1427" t="s">
        <v>2108</v>
      </c>
      <c r="G1427" s="554">
        <v>65472</v>
      </c>
      <c r="H1427">
        <v>296.88196032000002</v>
      </c>
    </row>
    <row r="1428" spans="2:8">
      <c r="B1428" s="555" t="s">
        <v>2254</v>
      </c>
      <c r="C1428" s="555" t="str">
        <f>VLOOKUP(D1428,기본!$D$13:$E$74,2,0)</f>
        <v>MNT JDM</v>
      </c>
      <c r="D1428" t="s">
        <v>2107</v>
      </c>
      <c r="E1428" t="s">
        <v>710</v>
      </c>
      <c r="F1428" t="s">
        <v>2109</v>
      </c>
      <c r="G1428" s="554">
        <v>5280</v>
      </c>
      <c r="H1428">
        <v>28.390190400000002</v>
      </c>
    </row>
    <row r="1429" spans="2:8">
      <c r="B1429" s="555" t="s">
        <v>2254</v>
      </c>
      <c r="C1429" s="555" t="str">
        <f>VLOOKUP(D1429,기본!$D$13:$E$74,2,0)</f>
        <v>MNT JDM</v>
      </c>
      <c r="D1429" t="s">
        <v>2107</v>
      </c>
      <c r="E1429" t="s">
        <v>1156</v>
      </c>
      <c r="F1429" t="s">
        <v>1870</v>
      </c>
      <c r="G1429" s="554">
        <v>12672</v>
      </c>
      <c r="H1429">
        <v>70.931798783999994</v>
      </c>
    </row>
    <row r="1430" spans="2:8">
      <c r="B1430" s="555" t="s">
        <v>2254</v>
      </c>
      <c r="C1430" s="555" t="str">
        <f>VLOOKUP(D1430,기본!$D$13:$E$74,2,0)</f>
        <v>MNT JDM</v>
      </c>
      <c r="D1430" t="s">
        <v>2107</v>
      </c>
      <c r="E1430" t="s">
        <v>1157</v>
      </c>
      <c r="F1430" t="s">
        <v>1887</v>
      </c>
      <c r="G1430" s="554">
        <v>4224</v>
      </c>
      <c r="H1430">
        <v>27.562616927999997</v>
      </c>
    </row>
    <row r="1431" spans="2:8">
      <c r="B1431" s="555" t="s">
        <v>2254</v>
      </c>
      <c r="C1431" s="555" t="str">
        <f>VLOOKUP(D1431,기본!$D$13:$E$74,2,0)</f>
        <v>MNT JDM</v>
      </c>
      <c r="D1431" t="s">
        <v>1884</v>
      </c>
      <c r="E1431" t="s">
        <v>709</v>
      </c>
      <c r="F1431" t="s">
        <v>2110</v>
      </c>
      <c r="G1431" s="554">
        <v>65472</v>
      </c>
      <c r="H1431">
        <v>303.12109344000004</v>
      </c>
    </row>
    <row r="1432" spans="2:8">
      <c r="B1432" s="555" t="s">
        <v>2254</v>
      </c>
      <c r="C1432" s="555" t="str">
        <f>VLOOKUP(D1432,기본!$D$13:$E$74,2,0)</f>
        <v>MNT JDM</v>
      </c>
      <c r="D1432" t="s">
        <v>1884</v>
      </c>
      <c r="E1432" t="s">
        <v>710</v>
      </c>
      <c r="F1432" t="s">
        <v>2111</v>
      </c>
      <c r="G1432" s="554">
        <v>5280</v>
      </c>
      <c r="H1432">
        <v>29.189283551999999</v>
      </c>
    </row>
    <row r="1433" spans="2:8">
      <c r="B1433" s="555" t="s">
        <v>2254</v>
      </c>
      <c r="C1433" s="555" t="str">
        <f>VLOOKUP(D1433,기본!$D$13:$E$74,2,0)</f>
        <v>MNT JDM</v>
      </c>
      <c r="D1433" t="s">
        <v>1884</v>
      </c>
      <c r="E1433" t="s">
        <v>1156</v>
      </c>
      <c r="F1433" t="s">
        <v>2112</v>
      </c>
      <c r="G1433" s="554">
        <v>26400</v>
      </c>
      <c r="H1433">
        <v>149.568789216</v>
      </c>
    </row>
    <row r="1434" spans="2:8">
      <c r="B1434" s="555" t="s">
        <v>2254</v>
      </c>
      <c r="C1434" s="555" t="str">
        <f>VLOOKUP(D1434,기본!$D$13:$E$74,2,0)</f>
        <v>MNT JDM</v>
      </c>
      <c r="D1434" t="s">
        <v>1884</v>
      </c>
      <c r="E1434" t="s">
        <v>1157</v>
      </c>
      <c r="F1434" t="s">
        <v>2208</v>
      </c>
      <c r="G1434" s="554">
        <v>1056</v>
      </c>
      <c r="H1434">
        <v>7.2202521600000003</v>
      </c>
    </row>
    <row r="1435" spans="2:8">
      <c r="B1435" s="555" t="s">
        <v>2254</v>
      </c>
      <c r="C1435" s="555" t="str">
        <f>VLOOKUP(D1435,기본!$D$13:$E$74,2,0)</f>
        <v>MNT JDM</v>
      </c>
      <c r="D1435" t="s">
        <v>157</v>
      </c>
      <c r="E1435" t="s">
        <v>709</v>
      </c>
      <c r="F1435" t="s">
        <v>1885</v>
      </c>
      <c r="G1435" s="554">
        <v>8448</v>
      </c>
      <c r="H1435">
        <v>37.8535872</v>
      </c>
    </row>
    <row r="1436" spans="2:8">
      <c r="B1436" s="555" t="s">
        <v>2254</v>
      </c>
      <c r="C1436" s="555" t="str">
        <f>VLOOKUP(D1436,기본!$D$13:$E$74,2,0)</f>
        <v>MNT JDM</v>
      </c>
      <c r="D1436" t="s">
        <v>157</v>
      </c>
      <c r="E1436" t="s">
        <v>710</v>
      </c>
      <c r="F1436" t="s">
        <v>1886</v>
      </c>
      <c r="G1436" s="554">
        <v>12672</v>
      </c>
      <c r="H1436">
        <v>67.961748095999994</v>
      </c>
    </row>
    <row r="1437" spans="2:8">
      <c r="B1437" s="555" t="s">
        <v>2254</v>
      </c>
      <c r="C1437" s="555" t="str">
        <f>VLOOKUP(D1437,기본!$D$13:$E$74,2,0)</f>
        <v>AV JDM</v>
      </c>
      <c r="D1437" t="s">
        <v>1888</v>
      </c>
      <c r="E1437" t="s">
        <v>1842</v>
      </c>
      <c r="F1437" t="s">
        <v>1680</v>
      </c>
      <c r="G1437" s="554">
        <v>30000</v>
      </c>
      <c r="H1437">
        <v>270.91482000000002</v>
      </c>
    </row>
    <row r="1438" spans="2:8">
      <c r="B1438" s="555" t="s">
        <v>2254</v>
      </c>
      <c r="C1438" s="555" t="str">
        <f>VLOOKUP(D1438,기본!$D$13:$E$74,2,0)</f>
        <v>AV JDM</v>
      </c>
      <c r="D1438" t="s">
        <v>1888</v>
      </c>
      <c r="E1438" t="s">
        <v>2104</v>
      </c>
      <c r="F1438" t="s">
        <v>2105</v>
      </c>
      <c r="G1438" s="554">
        <v>160</v>
      </c>
      <c r="H1438">
        <v>1.539156</v>
      </c>
    </row>
    <row r="1439" spans="2:8">
      <c r="B1439" s="555" t="s">
        <v>2254</v>
      </c>
      <c r="C1439" s="555" t="str">
        <f>VLOOKUP(D1439,기본!$D$13:$E$74,2,0)</f>
        <v>AV JDM</v>
      </c>
      <c r="D1439" t="s">
        <v>1888</v>
      </c>
      <c r="E1439" t="s">
        <v>111</v>
      </c>
      <c r="F1439" t="s">
        <v>110</v>
      </c>
      <c r="G1439" s="554">
        <v>120</v>
      </c>
      <c r="H1439">
        <v>1.2699647999999999</v>
      </c>
    </row>
    <row r="1440" spans="2:8">
      <c r="B1440" s="555" t="s">
        <v>2254</v>
      </c>
      <c r="C1440" s="555" t="str">
        <f>VLOOKUP(D1440,기본!$D$13:$E$74,2,0)</f>
        <v>AV JDM</v>
      </c>
      <c r="D1440" t="s">
        <v>1888</v>
      </c>
      <c r="E1440" t="s">
        <v>105</v>
      </c>
      <c r="F1440" t="s">
        <v>104</v>
      </c>
      <c r="G1440" s="554">
        <v>6920</v>
      </c>
      <c r="H1440">
        <v>69.733908200000002</v>
      </c>
    </row>
    <row r="1441" spans="2:8">
      <c r="B1441" s="555" t="s">
        <v>2254</v>
      </c>
      <c r="C1441" s="555" t="str">
        <f>VLOOKUP(D1441,기본!$D$13:$E$74,2,0)</f>
        <v>AV JDM</v>
      </c>
      <c r="D1441" t="s">
        <v>1888</v>
      </c>
      <c r="E1441" t="s">
        <v>690</v>
      </c>
      <c r="F1441" t="s">
        <v>689</v>
      </c>
      <c r="G1441" s="554">
        <v>1480</v>
      </c>
      <c r="H1441">
        <v>15.126642</v>
      </c>
    </row>
    <row r="1442" spans="2:8">
      <c r="B1442" s="555" t="s">
        <v>2254</v>
      </c>
      <c r="C1442" s="555" t="str">
        <f>VLOOKUP(D1442,기본!$D$13:$E$74,2,0)</f>
        <v>AV JDM</v>
      </c>
      <c r="D1442" t="s">
        <v>1888</v>
      </c>
      <c r="E1442" t="s">
        <v>1658</v>
      </c>
      <c r="F1442" t="s">
        <v>1658</v>
      </c>
      <c r="G1442" s="554">
        <v>200</v>
      </c>
      <c r="H1442">
        <v>1.87476</v>
      </c>
    </row>
    <row r="1443" spans="2:8">
      <c r="B1443" s="555" t="s">
        <v>2254</v>
      </c>
      <c r="C1443" s="555" t="str">
        <f>VLOOKUP(D1443,기본!$D$13:$E$74,2,0)</f>
        <v>AV JDM</v>
      </c>
      <c r="D1443" t="s">
        <v>1888</v>
      </c>
      <c r="E1443" t="s">
        <v>1891</v>
      </c>
      <c r="F1443" t="s">
        <v>1892</v>
      </c>
      <c r="G1443" s="554">
        <v>200</v>
      </c>
      <c r="H1443">
        <v>8.4538224</v>
      </c>
    </row>
    <row r="1444" spans="2:8">
      <c r="B1444" s="555" t="s">
        <v>2254</v>
      </c>
      <c r="C1444" s="555" t="str">
        <f>VLOOKUP(D1444,기본!$D$13:$E$74,2,0)</f>
        <v>AV JDM</v>
      </c>
      <c r="D1444" t="s">
        <v>1888</v>
      </c>
      <c r="E1444" t="s">
        <v>1845</v>
      </c>
      <c r="F1444" t="s">
        <v>1340</v>
      </c>
      <c r="G1444" s="554">
        <v>17346</v>
      </c>
      <c r="H1444">
        <v>179.40689705400001</v>
      </c>
    </row>
    <row r="1445" spans="2:8">
      <c r="B1445" s="555" t="s">
        <v>2254</v>
      </c>
      <c r="C1445" s="555" t="str">
        <f>VLOOKUP(D1445,기본!$D$13:$E$74,2,0)</f>
        <v>AV JDM</v>
      </c>
      <c r="D1445" t="s">
        <v>1888</v>
      </c>
      <c r="E1445" t="s">
        <v>1846</v>
      </c>
      <c r="F1445" t="s">
        <v>1341</v>
      </c>
      <c r="G1445" s="554">
        <v>84</v>
      </c>
      <c r="H1445">
        <v>0.95182911600000009</v>
      </c>
    </row>
    <row r="1446" spans="2:8">
      <c r="B1446" s="555" t="s">
        <v>2254</v>
      </c>
      <c r="C1446" s="555" t="str">
        <f>VLOOKUP(D1446,기본!$D$13:$E$74,2,0)</f>
        <v>AV JDM</v>
      </c>
      <c r="D1446" t="s">
        <v>1888</v>
      </c>
      <c r="E1446" t="s">
        <v>1847</v>
      </c>
      <c r="F1446" t="s">
        <v>1336</v>
      </c>
      <c r="G1446" s="554">
        <v>44480</v>
      </c>
      <c r="H1446">
        <v>401.55107520000007</v>
      </c>
    </row>
    <row r="1447" spans="2:8">
      <c r="B1447" s="555" t="s">
        <v>2254</v>
      </c>
      <c r="C1447" s="555" t="str">
        <f>VLOOKUP(D1447,기본!$D$13:$E$74,2,0)</f>
        <v>AV JDM</v>
      </c>
      <c r="D1447" t="s">
        <v>1888</v>
      </c>
      <c r="E1447" t="s">
        <v>1894</v>
      </c>
      <c r="F1447" t="s">
        <v>1337</v>
      </c>
      <c r="G1447" s="554">
        <v>720</v>
      </c>
      <c r="H1447">
        <v>7.2617999999999991</v>
      </c>
    </row>
    <row r="1448" spans="2:8">
      <c r="B1448" s="555" t="s">
        <v>2254</v>
      </c>
      <c r="C1448" s="555" t="str">
        <f>VLOOKUP(D1448,기본!$D$13:$E$74,2,0)</f>
        <v>AV JDM</v>
      </c>
      <c r="D1448" t="s">
        <v>1888</v>
      </c>
      <c r="E1448" t="s">
        <v>1015</v>
      </c>
      <c r="F1448" t="s">
        <v>1015</v>
      </c>
      <c r="G1448" s="554">
        <v>25216</v>
      </c>
      <c r="H1448">
        <v>175.60032767999999</v>
      </c>
    </row>
    <row r="1449" spans="2:8">
      <c r="B1449" s="555" t="s">
        <v>2254</v>
      </c>
      <c r="C1449" s="555" t="str">
        <f>VLOOKUP(D1449,기본!$D$13:$E$74,2,0)</f>
        <v>AV JDM</v>
      </c>
      <c r="D1449" t="s">
        <v>1888</v>
      </c>
      <c r="E1449" t="s">
        <v>1016</v>
      </c>
      <c r="F1449" t="s">
        <v>1016</v>
      </c>
      <c r="G1449" s="554">
        <v>37568</v>
      </c>
      <c r="H1449">
        <v>310.06383494400001</v>
      </c>
    </row>
    <row r="1450" spans="2:8">
      <c r="B1450" s="555" t="s">
        <v>2254</v>
      </c>
      <c r="C1450" s="555" t="str">
        <f>VLOOKUP(D1450,기본!$D$13:$E$74,2,0)</f>
        <v>AV JDM</v>
      </c>
      <c r="D1450" t="s">
        <v>1888</v>
      </c>
      <c r="E1450" t="s">
        <v>1047</v>
      </c>
      <c r="F1450" t="s">
        <v>1047</v>
      </c>
      <c r="G1450" s="554">
        <v>370</v>
      </c>
      <c r="H1450">
        <v>3.3281793539999995</v>
      </c>
    </row>
    <row r="1451" spans="2:8">
      <c r="B1451" s="555" t="s">
        <v>2254</v>
      </c>
      <c r="C1451" s="555" t="str">
        <f>VLOOKUP(D1451,기본!$D$13:$E$74,2,0)</f>
        <v>AV JDM</v>
      </c>
      <c r="D1451" t="s">
        <v>1888</v>
      </c>
      <c r="E1451" t="s">
        <v>1895</v>
      </c>
      <c r="F1451" t="s">
        <v>1895</v>
      </c>
      <c r="G1451" s="554">
        <v>7960</v>
      </c>
      <c r="H1451">
        <v>69.444575243999992</v>
      </c>
    </row>
    <row r="1452" spans="2:8">
      <c r="B1452" s="555" t="s">
        <v>2254</v>
      </c>
      <c r="C1452" s="555" t="str">
        <f>VLOOKUP(D1452,기본!$D$13:$E$74,2,0)</f>
        <v>AV JDM</v>
      </c>
      <c r="D1452" t="s">
        <v>1888</v>
      </c>
      <c r="E1452" t="s">
        <v>2160</v>
      </c>
      <c r="F1452" t="s">
        <v>2160</v>
      </c>
      <c r="G1452" s="554">
        <v>600</v>
      </c>
      <c r="H1452">
        <v>5.540616</v>
      </c>
    </row>
    <row r="1453" spans="2:8">
      <c r="B1453" s="555" t="s">
        <v>2254</v>
      </c>
      <c r="C1453" s="555" t="str">
        <f>VLOOKUP(D1453,기본!$D$13:$E$74,2,0)</f>
        <v>JDM</v>
      </c>
      <c r="D1453" t="s">
        <v>1896</v>
      </c>
      <c r="E1453" t="s">
        <v>1897</v>
      </c>
      <c r="F1453" t="s">
        <v>1897</v>
      </c>
      <c r="G1453" s="554">
        <v>100</v>
      </c>
      <c r="H1453">
        <v>5.7767530000000002</v>
      </c>
    </row>
    <row r="1454" spans="2:8">
      <c r="B1454" s="555" t="s">
        <v>2254</v>
      </c>
      <c r="C1454" s="555" t="str">
        <f>VLOOKUP(D1454,기본!$D$13:$E$74,2,0)</f>
        <v>MNT JDM</v>
      </c>
      <c r="D1454" t="s">
        <v>1898</v>
      </c>
      <c r="E1454" t="s">
        <v>709</v>
      </c>
      <c r="F1454" t="s">
        <v>2161</v>
      </c>
      <c r="G1454" s="554">
        <v>2112</v>
      </c>
      <c r="H1454">
        <v>9.447045696</v>
      </c>
    </row>
    <row r="1455" spans="2:8">
      <c r="B1455" s="555" t="s">
        <v>2254</v>
      </c>
      <c r="C1455" s="555" t="str">
        <f>VLOOKUP(D1455,기본!$D$13:$E$74,2,0)</f>
        <v>MNT JDM</v>
      </c>
      <c r="D1455" t="s">
        <v>1898</v>
      </c>
      <c r="E1455" t="s">
        <v>710</v>
      </c>
      <c r="F1455" t="s">
        <v>2162</v>
      </c>
      <c r="G1455" s="554">
        <v>4224</v>
      </c>
      <c r="H1455">
        <v>22.592017536000004</v>
      </c>
    </row>
    <row r="1456" spans="2:8">
      <c r="B1456" s="555" t="s">
        <v>2254</v>
      </c>
      <c r="C1456" s="555" t="str">
        <f>VLOOKUP(D1456,기본!$D$13:$E$74,2,0)</f>
        <v>AV JDM</v>
      </c>
      <c r="D1456" t="s">
        <v>1899</v>
      </c>
      <c r="E1456" t="s">
        <v>436</v>
      </c>
      <c r="F1456" t="s">
        <v>2210</v>
      </c>
      <c r="G1456" s="554">
        <v>10080</v>
      </c>
      <c r="H1456">
        <v>87.691937759999988</v>
      </c>
    </row>
    <row r="1457" spans="2:8">
      <c r="B1457" s="555" t="s">
        <v>2254</v>
      </c>
      <c r="C1457" s="555" t="str">
        <f>VLOOKUP(D1457,기본!$D$13:$E$74,2,0)</f>
        <v>MNT JDM</v>
      </c>
      <c r="D1457" t="s">
        <v>1900</v>
      </c>
      <c r="E1457" t="s">
        <v>1156</v>
      </c>
      <c r="F1457" t="s">
        <v>2116</v>
      </c>
      <c r="G1457" s="554">
        <v>8448</v>
      </c>
      <c r="H1457">
        <v>46.589030399999999</v>
      </c>
    </row>
    <row r="1458" spans="2:8">
      <c r="B1458" s="555" t="s">
        <v>2254</v>
      </c>
      <c r="C1458" s="555" t="str">
        <f>VLOOKUP(D1458,기본!$D$13:$E$74,2,0)</f>
        <v>MNT JDM</v>
      </c>
      <c r="D1458" t="s">
        <v>1900</v>
      </c>
      <c r="E1458" t="s">
        <v>1157</v>
      </c>
      <c r="F1458" t="s">
        <v>2233</v>
      </c>
      <c r="G1458" s="554">
        <v>1056</v>
      </c>
      <c r="H1458">
        <v>6.9301182719999996</v>
      </c>
    </row>
    <row r="1459" spans="2:8">
      <c r="B1459" s="555" t="s">
        <v>2254</v>
      </c>
      <c r="C1459" s="555" t="str">
        <f>VLOOKUP(D1459,기본!$D$13:$E$74,2,0)</f>
        <v>한화비전</v>
      </c>
      <c r="D1459" t="s">
        <v>1901</v>
      </c>
      <c r="E1459" t="s">
        <v>2117</v>
      </c>
      <c r="F1459" t="s">
        <v>2118</v>
      </c>
      <c r="G1459" s="554">
        <v>4627</v>
      </c>
      <c r="H1459">
        <v>16.807981400000003</v>
      </c>
    </row>
    <row r="1460" spans="2:8">
      <c r="B1460" s="555" t="s">
        <v>2254</v>
      </c>
      <c r="C1460" s="555" t="str">
        <f>VLOOKUP(D1460,기본!$D$13:$E$74,2,0)</f>
        <v>한화비전</v>
      </c>
      <c r="D1460" t="s">
        <v>1901</v>
      </c>
      <c r="E1460" t="s">
        <v>2163</v>
      </c>
      <c r="F1460" t="s">
        <v>2164</v>
      </c>
      <c r="G1460" s="554">
        <v>1002</v>
      </c>
      <c r="H1460">
        <v>23.6109276</v>
      </c>
    </row>
    <row r="1461" spans="2:8">
      <c r="B1461" s="555" t="s">
        <v>2254</v>
      </c>
      <c r="C1461" s="555" t="str">
        <f>VLOOKUP(D1461,기본!$D$13:$E$74,2,0)</f>
        <v>한화비전</v>
      </c>
      <c r="D1461" t="s">
        <v>1901</v>
      </c>
      <c r="E1461" t="s">
        <v>1902</v>
      </c>
      <c r="F1461" t="s">
        <v>1903</v>
      </c>
      <c r="G1461" s="554">
        <v>2790</v>
      </c>
      <c r="H1461">
        <v>99.075518639999999</v>
      </c>
    </row>
    <row r="1462" spans="2:8">
      <c r="B1462" s="555" t="s">
        <v>2254</v>
      </c>
      <c r="C1462" s="555" t="str">
        <f>VLOOKUP(D1462,기본!$D$13:$E$74,2,0)</f>
        <v>코웨이</v>
      </c>
      <c r="D1462" t="s">
        <v>1905</v>
      </c>
      <c r="E1462" t="s">
        <v>1066</v>
      </c>
      <c r="F1462" t="s">
        <v>1066</v>
      </c>
      <c r="G1462" s="554">
        <v>1050</v>
      </c>
      <c r="H1462">
        <v>8.559075</v>
      </c>
    </row>
    <row r="1463" spans="2:8">
      <c r="B1463" s="555" t="s">
        <v>2254</v>
      </c>
      <c r="C1463" s="555" t="str">
        <f>VLOOKUP(D1463,기본!$D$13:$E$74,2,0)</f>
        <v>코웨이</v>
      </c>
      <c r="D1463" t="s">
        <v>1905</v>
      </c>
      <c r="E1463" t="s">
        <v>2234</v>
      </c>
      <c r="F1463" t="s">
        <v>2234</v>
      </c>
      <c r="G1463" s="554">
        <v>720</v>
      </c>
      <c r="H1463">
        <v>6.4214697599999999</v>
      </c>
    </row>
    <row r="1464" spans="2:8">
      <c r="B1464" s="555" t="s">
        <v>2254</v>
      </c>
      <c r="C1464" s="555" t="str">
        <f>VLOOKUP(D1464,기본!$D$13:$E$74,2,0)</f>
        <v>코웨이</v>
      </c>
      <c r="D1464" t="s">
        <v>1905</v>
      </c>
      <c r="E1464" t="s">
        <v>1906</v>
      </c>
      <c r="F1464" t="s">
        <v>1906</v>
      </c>
      <c r="G1464" s="554">
        <v>1130</v>
      </c>
      <c r="H1464">
        <v>7.4618420000000008</v>
      </c>
    </row>
    <row r="1465" spans="2:8">
      <c r="B1465" s="555" t="s">
        <v>2254</v>
      </c>
      <c r="C1465" s="555" t="str">
        <f>VLOOKUP(D1465,기본!$D$13:$E$74,2,0)</f>
        <v>코웨이</v>
      </c>
      <c r="D1465" t="s">
        <v>1905</v>
      </c>
      <c r="E1465" t="s">
        <v>1907</v>
      </c>
      <c r="F1465" t="s">
        <v>1907</v>
      </c>
      <c r="G1465" s="554">
        <v>3000</v>
      </c>
      <c r="H1465">
        <v>22.552278768000001</v>
      </c>
    </row>
    <row r="1466" spans="2:8">
      <c r="B1466" s="555" t="s">
        <v>2254</v>
      </c>
      <c r="C1466" s="555" t="str">
        <f>VLOOKUP(D1466,기본!$D$13:$E$74,2,0)</f>
        <v>코웨이</v>
      </c>
      <c r="D1466" t="s">
        <v>1905</v>
      </c>
      <c r="E1466" t="s">
        <v>1908</v>
      </c>
      <c r="F1466" t="s">
        <v>1908</v>
      </c>
      <c r="G1466" s="554">
        <v>1000</v>
      </c>
      <c r="H1466">
        <v>6.8006338960000008</v>
      </c>
    </row>
    <row r="1467" spans="2:8">
      <c r="B1467" s="555" t="s">
        <v>2254</v>
      </c>
      <c r="C1467" s="555" t="str">
        <f>VLOOKUP(D1467,기본!$D$13:$E$74,2,0)</f>
        <v>코웨이</v>
      </c>
      <c r="D1467" t="s">
        <v>1905</v>
      </c>
      <c r="E1467" t="s">
        <v>1909</v>
      </c>
      <c r="F1467" t="s">
        <v>1909</v>
      </c>
      <c r="G1467" s="554">
        <v>3160</v>
      </c>
      <c r="H1467">
        <v>17.94875</v>
      </c>
    </row>
    <row r="1468" spans="2:8">
      <c r="B1468" s="555" t="s">
        <v>2254</v>
      </c>
      <c r="C1468" s="555" t="str">
        <f>VLOOKUP(D1468,기본!$D$13:$E$74,2,0)</f>
        <v>코웨이</v>
      </c>
      <c r="D1468" t="s">
        <v>1905</v>
      </c>
      <c r="E1468" t="s">
        <v>2165</v>
      </c>
      <c r="F1468" t="s">
        <v>2165</v>
      </c>
      <c r="G1468" s="554">
        <v>2916</v>
      </c>
      <c r="H1468">
        <v>18.776123999999999</v>
      </c>
    </row>
    <row r="1469" spans="2:8">
      <c r="B1469" s="555" t="s">
        <v>2254</v>
      </c>
      <c r="C1469" s="555" t="str">
        <f>VLOOKUP(D1469,기본!$D$13:$E$74,2,0)</f>
        <v>코웨이</v>
      </c>
      <c r="D1469" t="s">
        <v>1905</v>
      </c>
      <c r="E1469" t="s">
        <v>1910</v>
      </c>
      <c r="F1469" t="s">
        <v>1910</v>
      </c>
      <c r="G1469" s="554">
        <v>4000</v>
      </c>
      <c r="H1469">
        <v>24.203035999999997</v>
      </c>
    </row>
    <row r="1470" spans="2:8">
      <c r="B1470" s="555" t="s">
        <v>2254</v>
      </c>
      <c r="C1470" s="555" t="str">
        <f>VLOOKUP(D1470,기본!$D$13:$E$74,2,0)</f>
        <v>삼성 VD</v>
      </c>
      <c r="D1470" t="s">
        <v>1912</v>
      </c>
      <c r="E1470" t="s">
        <v>1165</v>
      </c>
      <c r="F1470" t="s">
        <v>1882</v>
      </c>
      <c r="G1470" s="554">
        <v>858</v>
      </c>
      <c r="H1470">
        <v>25.467523620000001</v>
      </c>
    </row>
    <row r="1471" spans="2:8">
      <c r="B1471" s="555" t="s">
        <v>2254</v>
      </c>
      <c r="C1471" s="555" t="str">
        <f>VLOOKUP(D1471,기본!$D$13:$E$74,2,0)</f>
        <v>삼성 VD</v>
      </c>
      <c r="D1471" t="s">
        <v>1912</v>
      </c>
      <c r="E1471" t="s">
        <v>1164</v>
      </c>
      <c r="F1471" t="s">
        <v>1850</v>
      </c>
      <c r="G1471" s="554">
        <v>864</v>
      </c>
      <c r="H1471">
        <v>23.078297088000003</v>
      </c>
    </row>
    <row r="1472" spans="2:8">
      <c r="B1472" s="555" t="s">
        <v>2254</v>
      </c>
      <c r="C1472" s="555" t="str">
        <f>VLOOKUP(D1472,기본!$D$13:$E$74,2,0)</f>
        <v>삼성 VD</v>
      </c>
      <c r="D1472" t="s">
        <v>1912</v>
      </c>
      <c r="E1472" t="s">
        <v>1874</v>
      </c>
      <c r="F1472" t="s">
        <v>1875</v>
      </c>
      <c r="G1472" s="554">
        <v>414</v>
      </c>
      <c r="H1472">
        <v>6.3623387520000003</v>
      </c>
    </row>
    <row r="1473" spans="2:8">
      <c r="B1473" s="555" t="s">
        <v>2254</v>
      </c>
      <c r="C1473" s="555" t="str">
        <f>VLOOKUP(D1473,기본!$D$13:$E$74,2,0)</f>
        <v>삼성 VD</v>
      </c>
      <c r="D1473" t="s">
        <v>1912</v>
      </c>
      <c r="E1473" t="s">
        <v>1786</v>
      </c>
      <c r="F1473" t="s">
        <v>1671</v>
      </c>
      <c r="G1473" s="554">
        <v>51840</v>
      </c>
      <c r="H1473">
        <v>571.05974592000007</v>
      </c>
    </row>
    <row r="1474" spans="2:8">
      <c r="B1474" s="555" t="s">
        <v>2254</v>
      </c>
      <c r="C1474" s="555" t="str">
        <f>VLOOKUP(D1474,기본!$D$13:$E$74,2,0)</f>
        <v>삼성 VD</v>
      </c>
      <c r="D1474" t="s">
        <v>1912</v>
      </c>
      <c r="E1474" t="s">
        <v>1788</v>
      </c>
      <c r="F1474" t="s">
        <v>1913</v>
      </c>
      <c r="G1474" s="554">
        <v>135000</v>
      </c>
      <c r="H1474">
        <v>1650.3963567840001</v>
      </c>
    </row>
    <row r="1475" spans="2:8">
      <c r="B1475" s="555" t="s">
        <v>2254</v>
      </c>
      <c r="C1475" s="555" t="str">
        <f>VLOOKUP(D1475,기본!$D$13:$E$74,2,0)</f>
        <v>삼성 VD</v>
      </c>
      <c r="D1475" t="s">
        <v>1912</v>
      </c>
      <c r="E1475" t="s">
        <v>1790</v>
      </c>
      <c r="F1475" t="s">
        <v>1914</v>
      </c>
      <c r="G1475" s="554">
        <v>76626</v>
      </c>
      <c r="H1475">
        <v>1035.799529292</v>
      </c>
    </row>
    <row r="1476" spans="2:8">
      <c r="B1476" s="555" t="s">
        <v>2254</v>
      </c>
      <c r="C1476" s="555" t="str">
        <f>VLOOKUP(D1476,기본!$D$13:$E$74,2,0)</f>
        <v>삼성 VD</v>
      </c>
      <c r="D1476" t="s">
        <v>1912</v>
      </c>
      <c r="E1476" t="s">
        <v>1792</v>
      </c>
      <c r="F1476" t="s">
        <v>1915</v>
      </c>
      <c r="G1476" s="554">
        <v>4752</v>
      </c>
      <c r="H1476">
        <v>83.857908096000003</v>
      </c>
    </row>
    <row r="1477" spans="2:8">
      <c r="B1477" s="555" t="s">
        <v>2254</v>
      </c>
      <c r="C1477" s="555" t="str">
        <f>VLOOKUP(D1477,기본!$D$13:$E$74,2,0)</f>
        <v>삼성 VD</v>
      </c>
      <c r="D1477" t="s">
        <v>1912</v>
      </c>
      <c r="E1477" t="s">
        <v>1925</v>
      </c>
      <c r="F1477" t="s">
        <v>1926</v>
      </c>
      <c r="G1477" s="554">
        <v>1764</v>
      </c>
      <c r="H1477">
        <v>14.654563056000001</v>
      </c>
    </row>
    <row r="1478" spans="2:8">
      <c r="B1478" s="555" t="s">
        <v>2254</v>
      </c>
      <c r="C1478" s="555" t="str">
        <f>VLOOKUP(D1478,기본!$D$13:$E$74,2,0)</f>
        <v>삼성 VD</v>
      </c>
      <c r="D1478" t="s">
        <v>1916</v>
      </c>
      <c r="E1478" t="s">
        <v>1165</v>
      </c>
      <c r="F1478" t="s">
        <v>1882</v>
      </c>
      <c r="G1478" s="554">
        <v>228</v>
      </c>
      <c r="H1478">
        <v>6.7389176400000004</v>
      </c>
    </row>
    <row r="1479" spans="2:8">
      <c r="B1479" s="555" t="s">
        <v>2254</v>
      </c>
      <c r="C1479" s="555" t="str">
        <f>VLOOKUP(D1479,기본!$D$13:$E$74,2,0)</f>
        <v>삼성 VD</v>
      </c>
      <c r="D1479" t="s">
        <v>1916</v>
      </c>
      <c r="E1479" t="s">
        <v>1164</v>
      </c>
      <c r="F1479" t="s">
        <v>1850</v>
      </c>
      <c r="G1479" s="554">
        <v>648</v>
      </c>
      <c r="H1479">
        <v>17.392167072000003</v>
      </c>
    </row>
    <row r="1480" spans="2:8">
      <c r="B1480" s="555" t="s">
        <v>2254</v>
      </c>
      <c r="C1480" s="555" t="str">
        <f>VLOOKUP(D1480,기본!$D$13:$E$74,2,0)</f>
        <v>삼성 VD</v>
      </c>
      <c r="D1480" t="s">
        <v>1916</v>
      </c>
      <c r="E1480" t="s">
        <v>1851</v>
      </c>
      <c r="F1480" t="s">
        <v>1852</v>
      </c>
      <c r="G1480" s="554">
        <v>2304</v>
      </c>
      <c r="H1480">
        <v>17.060296319999999</v>
      </c>
    </row>
    <row r="1481" spans="2:8">
      <c r="B1481" s="555" t="s">
        <v>2254</v>
      </c>
      <c r="C1481" s="555" t="str">
        <f>VLOOKUP(D1481,기본!$D$13:$E$74,2,0)</f>
        <v>삼성 VD</v>
      </c>
      <c r="D1481" t="s">
        <v>1916</v>
      </c>
      <c r="E1481" t="s">
        <v>1874</v>
      </c>
      <c r="F1481" t="s">
        <v>1875</v>
      </c>
      <c r="G1481" s="554">
        <v>345</v>
      </c>
      <c r="H1481">
        <v>5.3516351699999998</v>
      </c>
    </row>
    <row r="1482" spans="2:8">
      <c r="B1482" s="555" t="s">
        <v>2254</v>
      </c>
      <c r="C1482" s="555" t="str">
        <f>VLOOKUP(D1482,기본!$D$13:$E$74,2,0)</f>
        <v>삼성 VD</v>
      </c>
      <c r="D1482" t="s">
        <v>1916</v>
      </c>
      <c r="E1482" t="s">
        <v>1786</v>
      </c>
      <c r="F1482" t="s">
        <v>1671</v>
      </c>
      <c r="G1482" s="554">
        <v>11232</v>
      </c>
      <c r="H1482">
        <v>122.87773699200001</v>
      </c>
    </row>
    <row r="1483" spans="2:8">
      <c r="B1483" s="555" t="s">
        <v>2254</v>
      </c>
      <c r="C1483" s="555" t="str">
        <f>VLOOKUP(D1483,기본!$D$13:$E$74,2,0)</f>
        <v>삼성 VD</v>
      </c>
      <c r="D1483" t="s">
        <v>1916</v>
      </c>
      <c r="E1483" t="s">
        <v>1777</v>
      </c>
      <c r="F1483" t="s">
        <v>1672</v>
      </c>
      <c r="G1483" s="554">
        <v>5832</v>
      </c>
      <c r="H1483">
        <v>66.601265040000001</v>
      </c>
    </row>
    <row r="1484" spans="2:8">
      <c r="B1484" s="555" t="s">
        <v>2254</v>
      </c>
      <c r="C1484" s="555" t="str">
        <f>VLOOKUP(D1484,기본!$D$13:$E$74,2,0)</f>
        <v>삼성 VD</v>
      </c>
      <c r="D1484" t="s">
        <v>1916</v>
      </c>
      <c r="E1484" t="s">
        <v>1788</v>
      </c>
      <c r="F1484" t="s">
        <v>1913</v>
      </c>
      <c r="G1484" s="554">
        <v>16848</v>
      </c>
      <c r="H1484">
        <v>204.95710972800001</v>
      </c>
    </row>
    <row r="1485" spans="2:8">
      <c r="B1485" s="555" t="s">
        <v>2254</v>
      </c>
      <c r="C1485" s="555" t="str">
        <f>VLOOKUP(D1485,기본!$D$13:$E$74,2,0)</f>
        <v>삼성 VD</v>
      </c>
      <c r="D1485" t="s">
        <v>1916</v>
      </c>
      <c r="E1485" t="s">
        <v>1778</v>
      </c>
      <c r="F1485" t="s">
        <v>1919</v>
      </c>
      <c r="G1485" s="554">
        <v>29376</v>
      </c>
      <c r="H1485">
        <v>379.01715436800004</v>
      </c>
    </row>
    <row r="1486" spans="2:8">
      <c r="B1486" s="555" t="s">
        <v>2254</v>
      </c>
      <c r="C1486" s="555" t="str">
        <f>VLOOKUP(D1486,기본!$D$13:$E$74,2,0)</f>
        <v>삼성 VD</v>
      </c>
      <c r="D1486" t="s">
        <v>1916</v>
      </c>
      <c r="E1486" t="s">
        <v>1790</v>
      </c>
      <c r="F1486" t="s">
        <v>1914</v>
      </c>
      <c r="G1486" s="554">
        <v>6930</v>
      </c>
      <c r="H1486">
        <v>93.408203196000002</v>
      </c>
    </row>
    <row r="1487" spans="2:8">
      <c r="B1487" s="555" t="s">
        <v>2254</v>
      </c>
      <c r="C1487" s="555" t="str">
        <f>VLOOKUP(D1487,기본!$D$13:$E$74,2,0)</f>
        <v>삼성 VD</v>
      </c>
      <c r="D1487" t="s">
        <v>1916</v>
      </c>
      <c r="E1487" t="s">
        <v>1779</v>
      </c>
      <c r="F1487" t="s">
        <v>1920</v>
      </c>
      <c r="G1487" s="554">
        <v>8547</v>
      </c>
      <c r="H1487">
        <v>121.88178370500002</v>
      </c>
    </row>
    <row r="1488" spans="2:8">
      <c r="B1488" s="555" t="s">
        <v>2254</v>
      </c>
      <c r="C1488" s="555" t="str">
        <f>VLOOKUP(D1488,기본!$D$13:$E$74,2,0)</f>
        <v>삼성 VD</v>
      </c>
      <c r="D1488" t="s">
        <v>1916</v>
      </c>
      <c r="E1488" t="s">
        <v>1792</v>
      </c>
      <c r="F1488" t="s">
        <v>1915</v>
      </c>
      <c r="G1488" s="554">
        <v>5616</v>
      </c>
      <c r="H1488">
        <v>98.682800256000007</v>
      </c>
    </row>
    <row r="1489" spans="2:8">
      <c r="B1489" s="555" t="s">
        <v>2254</v>
      </c>
      <c r="C1489" s="555" t="str">
        <f>VLOOKUP(D1489,기본!$D$13:$E$74,2,0)</f>
        <v>삼성 VD</v>
      </c>
      <c r="D1489" t="s">
        <v>1916</v>
      </c>
      <c r="E1489" t="s">
        <v>1921</v>
      </c>
      <c r="F1489" t="s">
        <v>1922</v>
      </c>
      <c r="G1489" s="554">
        <v>1512</v>
      </c>
      <c r="H1489">
        <v>35.460787824000001</v>
      </c>
    </row>
    <row r="1490" spans="2:8">
      <c r="B1490" s="555" t="s">
        <v>2254</v>
      </c>
      <c r="C1490" s="555" t="str">
        <f>VLOOKUP(D1490,기본!$D$13:$E$74,2,0)</f>
        <v>삼성 VD</v>
      </c>
      <c r="D1490" t="s">
        <v>1916</v>
      </c>
      <c r="E1490" t="s">
        <v>1923</v>
      </c>
      <c r="F1490" t="s">
        <v>1924</v>
      </c>
      <c r="G1490" s="554">
        <v>21384</v>
      </c>
      <c r="H1490">
        <v>101.40359988</v>
      </c>
    </row>
    <row r="1491" spans="2:8">
      <c r="B1491" s="555" t="s">
        <v>2254</v>
      </c>
      <c r="C1491" s="555" t="str">
        <f>VLOOKUP(D1491,기본!$D$13:$E$74,2,0)</f>
        <v>삼성 VD</v>
      </c>
      <c r="D1491" t="s">
        <v>1916</v>
      </c>
      <c r="E1491" t="s">
        <v>709</v>
      </c>
      <c r="F1491" t="s">
        <v>1869</v>
      </c>
      <c r="G1491" s="554">
        <v>5280</v>
      </c>
      <c r="H1491">
        <v>17.889431999999999</v>
      </c>
    </row>
    <row r="1492" spans="2:8">
      <c r="B1492" s="555" t="s">
        <v>2254</v>
      </c>
      <c r="C1492" s="555" t="str">
        <f>VLOOKUP(D1492,기본!$D$13:$E$74,2,0)</f>
        <v>삼성 VD</v>
      </c>
      <c r="D1492" t="s">
        <v>1916</v>
      </c>
      <c r="E1492" t="s">
        <v>710</v>
      </c>
      <c r="F1492" t="s">
        <v>1947</v>
      </c>
      <c r="G1492" s="554">
        <v>352</v>
      </c>
      <c r="H1492">
        <v>1.5817127040000001</v>
      </c>
    </row>
    <row r="1493" spans="2:8">
      <c r="B1493" s="555" t="s">
        <v>2254</v>
      </c>
      <c r="C1493" s="555" t="str">
        <f>VLOOKUP(D1493,기본!$D$13:$E$74,2,0)</f>
        <v>삼성 VD</v>
      </c>
      <c r="D1493" t="s">
        <v>1927</v>
      </c>
      <c r="E1493" t="s">
        <v>2119</v>
      </c>
      <c r="F1493" t="s">
        <v>2120</v>
      </c>
      <c r="G1493" s="554">
        <v>10800</v>
      </c>
      <c r="H1493">
        <v>209.19754396799999</v>
      </c>
    </row>
    <row r="1494" spans="2:8">
      <c r="B1494" s="555" t="s">
        <v>2254</v>
      </c>
      <c r="C1494" s="555" t="str">
        <f>VLOOKUP(D1494,기본!$D$13:$E$74,2,0)</f>
        <v>삼성 VD</v>
      </c>
      <c r="D1494" t="s">
        <v>1927</v>
      </c>
      <c r="E1494" t="s">
        <v>2121</v>
      </c>
      <c r="F1494" t="s">
        <v>874</v>
      </c>
      <c r="G1494" s="554">
        <v>432</v>
      </c>
      <c r="H1494">
        <v>8.5660293599999981</v>
      </c>
    </row>
    <row r="1495" spans="2:8">
      <c r="B1495" s="555" t="s">
        <v>2254</v>
      </c>
      <c r="C1495" s="555" t="str">
        <f>VLOOKUP(D1495,기본!$D$13:$E$74,2,0)</f>
        <v>삼성 VD</v>
      </c>
      <c r="D1495" t="s">
        <v>1927</v>
      </c>
      <c r="E1495" t="s">
        <v>1165</v>
      </c>
      <c r="F1495" t="s">
        <v>1882</v>
      </c>
      <c r="G1495" s="554">
        <v>2340</v>
      </c>
      <c r="H1495">
        <v>69.766315920000011</v>
      </c>
    </row>
    <row r="1496" spans="2:8">
      <c r="B1496" s="555" t="s">
        <v>2254</v>
      </c>
      <c r="C1496" s="555" t="str">
        <f>VLOOKUP(D1496,기본!$D$13:$E$74,2,0)</f>
        <v>삼성 VD</v>
      </c>
      <c r="D1496" t="s">
        <v>1927</v>
      </c>
      <c r="E1496" t="s">
        <v>1164</v>
      </c>
      <c r="F1496" t="s">
        <v>1850</v>
      </c>
      <c r="G1496" s="554">
        <v>8892</v>
      </c>
      <c r="H1496">
        <v>241.17696054000004</v>
      </c>
    </row>
    <row r="1497" spans="2:8">
      <c r="B1497" s="555" t="s">
        <v>2254</v>
      </c>
      <c r="C1497" s="555" t="str">
        <f>VLOOKUP(D1497,기본!$D$13:$E$74,2,0)</f>
        <v>삼성 VD</v>
      </c>
      <c r="D1497" t="s">
        <v>1927</v>
      </c>
      <c r="E1497" t="s">
        <v>1851</v>
      </c>
      <c r="F1497" t="s">
        <v>1852</v>
      </c>
      <c r="G1497" s="554">
        <v>4800</v>
      </c>
      <c r="H1497">
        <v>36.025540639999996</v>
      </c>
    </row>
    <row r="1498" spans="2:8">
      <c r="B1498" s="555" t="s">
        <v>2254</v>
      </c>
      <c r="C1498" s="555" t="str">
        <f>VLOOKUP(D1498,기본!$D$13:$E$74,2,0)</f>
        <v>삼성 VD</v>
      </c>
      <c r="D1498" t="s">
        <v>1927</v>
      </c>
      <c r="E1498" t="s">
        <v>1917</v>
      </c>
      <c r="F1498" t="s">
        <v>1918</v>
      </c>
      <c r="G1498" s="554">
        <v>1152</v>
      </c>
      <c r="H1498">
        <v>10.06181376</v>
      </c>
    </row>
    <row r="1499" spans="2:8">
      <c r="B1499" s="555" t="s">
        <v>2254</v>
      </c>
      <c r="C1499" s="555" t="str">
        <f>VLOOKUP(D1499,기본!$D$13:$E$74,2,0)</f>
        <v>삼성 VD</v>
      </c>
      <c r="D1499" t="s">
        <v>1927</v>
      </c>
      <c r="E1499" t="s">
        <v>1853</v>
      </c>
      <c r="F1499" t="s">
        <v>1854</v>
      </c>
      <c r="G1499" s="554">
        <v>3040</v>
      </c>
      <c r="H1499">
        <v>42.792642080000007</v>
      </c>
    </row>
    <row r="1500" spans="2:8">
      <c r="B1500" s="555" t="s">
        <v>2254</v>
      </c>
      <c r="C1500" s="555" t="str">
        <f>VLOOKUP(D1500,기본!$D$13:$E$74,2,0)</f>
        <v>삼성 VD</v>
      </c>
      <c r="D1500" t="s">
        <v>1927</v>
      </c>
      <c r="E1500" t="s">
        <v>1855</v>
      </c>
      <c r="F1500" t="s">
        <v>1856</v>
      </c>
      <c r="G1500" s="554">
        <v>2818</v>
      </c>
      <c r="H1500">
        <v>40.596456779999997</v>
      </c>
    </row>
    <row r="1501" spans="2:8">
      <c r="B1501" s="555" t="s">
        <v>2254</v>
      </c>
      <c r="C1501" s="555" t="str">
        <f>VLOOKUP(D1501,기본!$D$13:$E$74,2,0)</f>
        <v>삼성 VD</v>
      </c>
      <c r="D1501" t="s">
        <v>1927</v>
      </c>
      <c r="E1501" t="s">
        <v>1874</v>
      </c>
      <c r="F1501" t="s">
        <v>1875</v>
      </c>
      <c r="G1501" s="554">
        <v>4579</v>
      </c>
      <c r="H1501">
        <v>71.426358738000005</v>
      </c>
    </row>
    <row r="1502" spans="2:8">
      <c r="B1502" s="555" t="s">
        <v>2254</v>
      </c>
      <c r="C1502" s="555" t="str">
        <f>VLOOKUP(D1502,기본!$D$13:$E$74,2,0)</f>
        <v>삼성 VD</v>
      </c>
      <c r="D1502" t="s">
        <v>1927</v>
      </c>
      <c r="E1502" t="s">
        <v>1928</v>
      </c>
      <c r="F1502" t="s">
        <v>1929</v>
      </c>
      <c r="G1502" s="554">
        <v>1440</v>
      </c>
      <c r="H1502">
        <v>14.476984560000002</v>
      </c>
    </row>
    <row r="1503" spans="2:8">
      <c r="B1503" s="555" t="s">
        <v>2254</v>
      </c>
      <c r="C1503" s="555" t="str">
        <f>VLOOKUP(D1503,기본!$D$13:$E$74,2,0)</f>
        <v>삼성 VD</v>
      </c>
      <c r="D1503" t="s">
        <v>1927</v>
      </c>
      <c r="E1503" t="s">
        <v>1036</v>
      </c>
      <c r="F1503" t="s">
        <v>1035</v>
      </c>
      <c r="G1503" s="554">
        <v>330</v>
      </c>
      <c r="H1503">
        <v>3.5569908000000003</v>
      </c>
    </row>
    <row r="1504" spans="2:8">
      <c r="B1504" s="555" t="s">
        <v>2254</v>
      </c>
      <c r="C1504" s="555" t="str">
        <f>VLOOKUP(D1504,기본!$D$13:$E$74,2,0)</f>
        <v>삼성 VD</v>
      </c>
      <c r="D1504" t="s">
        <v>1927</v>
      </c>
      <c r="E1504" t="s">
        <v>1002</v>
      </c>
      <c r="F1504" t="s">
        <v>1001</v>
      </c>
      <c r="G1504" s="554">
        <v>80</v>
      </c>
      <c r="H1504">
        <v>0.76515551999999998</v>
      </c>
    </row>
    <row r="1505" spans="2:8">
      <c r="B1505" s="555" t="s">
        <v>2254</v>
      </c>
      <c r="C1505" s="555" t="str">
        <f>VLOOKUP(D1505,기본!$D$13:$E$74,2,0)</f>
        <v>삼성 VD</v>
      </c>
      <c r="D1505" t="s">
        <v>1927</v>
      </c>
      <c r="E1505" t="s">
        <v>1857</v>
      </c>
      <c r="F1505" t="s">
        <v>1858</v>
      </c>
      <c r="G1505" s="554">
        <v>32</v>
      </c>
      <c r="H1505">
        <v>0.29776665600000002</v>
      </c>
    </row>
    <row r="1506" spans="2:8">
      <c r="B1506" s="555" t="s">
        <v>2254</v>
      </c>
      <c r="C1506" s="555" t="str">
        <f>VLOOKUP(D1506,기본!$D$13:$E$74,2,0)</f>
        <v>삼성 VD</v>
      </c>
      <c r="D1506" t="s">
        <v>1927</v>
      </c>
      <c r="E1506" t="s">
        <v>1859</v>
      </c>
      <c r="F1506" t="s">
        <v>1860</v>
      </c>
      <c r="G1506" s="554">
        <v>9216</v>
      </c>
      <c r="H1506">
        <v>163.14340147200002</v>
      </c>
    </row>
    <row r="1507" spans="2:8">
      <c r="B1507" s="555" t="s">
        <v>2254</v>
      </c>
      <c r="C1507" s="555" t="str">
        <f>VLOOKUP(D1507,기본!$D$13:$E$74,2,0)</f>
        <v>삼성 VD</v>
      </c>
      <c r="D1507" t="s">
        <v>1927</v>
      </c>
      <c r="E1507" t="s">
        <v>1930</v>
      </c>
      <c r="F1507" t="s">
        <v>1931</v>
      </c>
      <c r="G1507" s="554">
        <v>11328</v>
      </c>
      <c r="H1507">
        <v>74.065915511999989</v>
      </c>
    </row>
    <row r="1508" spans="2:8">
      <c r="B1508" s="555" t="s">
        <v>2254</v>
      </c>
      <c r="C1508" s="555" t="str">
        <f>VLOOKUP(D1508,기본!$D$13:$E$74,2,0)</f>
        <v>삼성 VD</v>
      </c>
      <c r="D1508" t="s">
        <v>1927</v>
      </c>
      <c r="E1508" t="s">
        <v>1309</v>
      </c>
      <c r="F1508" t="s">
        <v>1308</v>
      </c>
      <c r="G1508" s="554">
        <v>5592</v>
      </c>
      <c r="H1508">
        <v>123.53184816000002</v>
      </c>
    </row>
    <row r="1509" spans="2:8">
      <c r="B1509" s="555" t="s">
        <v>2254</v>
      </c>
      <c r="C1509" s="555" t="str">
        <f>VLOOKUP(D1509,기본!$D$13:$E$74,2,0)</f>
        <v>삼성 VD</v>
      </c>
      <c r="D1509" t="s">
        <v>1927</v>
      </c>
      <c r="E1509" t="s">
        <v>1311</v>
      </c>
      <c r="F1509" t="s">
        <v>1310</v>
      </c>
      <c r="G1509" s="554">
        <v>492</v>
      </c>
      <c r="H1509">
        <v>11.65940337</v>
      </c>
    </row>
    <row r="1510" spans="2:8">
      <c r="B1510" s="555" t="s">
        <v>2254</v>
      </c>
      <c r="C1510" s="555" t="str">
        <f>VLOOKUP(D1510,기본!$D$13:$E$74,2,0)</f>
        <v>삼성 VD</v>
      </c>
      <c r="D1510" t="s">
        <v>1927</v>
      </c>
      <c r="E1510" t="s">
        <v>1313</v>
      </c>
      <c r="F1510" t="s">
        <v>1312</v>
      </c>
      <c r="G1510" s="554">
        <v>3744</v>
      </c>
      <c r="H1510">
        <v>83.060853120000019</v>
      </c>
    </row>
    <row r="1511" spans="2:8">
      <c r="B1511" s="555" t="s">
        <v>2254</v>
      </c>
      <c r="C1511" s="555" t="str">
        <f>VLOOKUP(D1511,기본!$D$13:$E$74,2,0)</f>
        <v>삼성 VD</v>
      </c>
      <c r="D1511" t="s">
        <v>1927</v>
      </c>
      <c r="E1511" t="s">
        <v>1865</v>
      </c>
      <c r="F1511" t="s">
        <v>1866</v>
      </c>
      <c r="G1511" s="554">
        <v>8928</v>
      </c>
      <c r="H1511">
        <v>380.01401894399999</v>
      </c>
    </row>
    <row r="1512" spans="2:8">
      <c r="B1512" s="555" t="s">
        <v>2254</v>
      </c>
      <c r="C1512" s="555" t="str">
        <f>VLOOKUP(D1512,기본!$D$13:$E$74,2,0)</f>
        <v>삼성 VD</v>
      </c>
      <c r="D1512" t="s">
        <v>1927</v>
      </c>
      <c r="E1512" t="s">
        <v>1932</v>
      </c>
      <c r="F1512" t="s">
        <v>1933</v>
      </c>
      <c r="G1512" s="554">
        <v>11880</v>
      </c>
      <c r="H1512">
        <v>207.30953928000002</v>
      </c>
    </row>
    <row r="1513" spans="2:8">
      <c r="B1513" s="555" t="s">
        <v>2254</v>
      </c>
      <c r="C1513" s="555" t="str">
        <f>VLOOKUP(D1513,기본!$D$13:$E$74,2,0)</f>
        <v>삼성 VD</v>
      </c>
      <c r="D1513" t="s">
        <v>1927</v>
      </c>
      <c r="E1513" t="s">
        <v>1934</v>
      </c>
      <c r="F1513" t="s">
        <v>1935</v>
      </c>
      <c r="G1513" s="554">
        <v>4752</v>
      </c>
      <c r="H1513">
        <v>21.847529087999998</v>
      </c>
    </row>
    <row r="1514" spans="2:8">
      <c r="B1514" s="555" t="s">
        <v>2254</v>
      </c>
      <c r="C1514" s="555" t="str">
        <f>VLOOKUP(D1514,기본!$D$13:$E$74,2,0)</f>
        <v>삼성 VD</v>
      </c>
      <c r="D1514" t="s">
        <v>1927</v>
      </c>
      <c r="E1514" t="s">
        <v>1936</v>
      </c>
      <c r="F1514" t="s">
        <v>1937</v>
      </c>
      <c r="G1514" s="554">
        <v>1276</v>
      </c>
      <c r="H1514">
        <v>7.0862851400000002</v>
      </c>
    </row>
    <row r="1515" spans="2:8">
      <c r="B1515" s="555" t="s">
        <v>2254</v>
      </c>
      <c r="C1515" s="555" t="str">
        <f>VLOOKUP(D1515,기본!$D$13:$E$74,2,0)</f>
        <v>삼성 VD</v>
      </c>
      <c r="D1515" t="s">
        <v>1927</v>
      </c>
      <c r="E1515" t="s">
        <v>1923</v>
      </c>
      <c r="F1515" t="s">
        <v>1924</v>
      </c>
      <c r="G1515" s="554">
        <v>10512</v>
      </c>
      <c r="H1515">
        <v>50.026068319999993</v>
      </c>
    </row>
    <row r="1516" spans="2:8">
      <c r="B1516" s="555" t="s">
        <v>2254</v>
      </c>
      <c r="C1516" s="555" t="str">
        <f>VLOOKUP(D1516,기본!$D$13:$E$74,2,0)</f>
        <v>삼성 VD</v>
      </c>
      <c r="D1516" t="s">
        <v>1927</v>
      </c>
      <c r="E1516" t="s">
        <v>1938</v>
      </c>
      <c r="F1516" t="s">
        <v>1939</v>
      </c>
      <c r="G1516" s="554">
        <v>17685</v>
      </c>
      <c r="H1516">
        <v>98.128845707999986</v>
      </c>
    </row>
    <row r="1517" spans="2:8">
      <c r="B1517" s="555" t="s">
        <v>2254</v>
      </c>
      <c r="C1517" s="555" t="str">
        <f>VLOOKUP(D1517,기본!$D$13:$E$74,2,0)</f>
        <v>삼성 VD</v>
      </c>
      <c r="D1517" t="s">
        <v>1927</v>
      </c>
      <c r="E1517" t="s">
        <v>1940</v>
      </c>
      <c r="F1517" t="s">
        <v>1941</v>
      </c>
      <c r="G1517" s="554">
        <v>594</v>
      </c>
      <c r="H1517">
        <v>7.8863882039999993</v>
      </c>
    </row>
    <row r="1518" spans="2:8">
      <c r="B1518" s="555" t="s">
        <v>2254</v>
      </c>
      <c r="C1518" s="555" t="str">
        <f>VLOOKUP(D1518,기본!$D$13:$E$74,2,0)</f>
        <v>삼성 VD</v>
      </c>
      <c r="D1518" t="s">
        <v>1927</v>
      </c>
      <c r="E1518" t="s">
        <v>1925</v>
      </c>
      <c r="F1518" t="s">
        <v>1926</v>
      </c>
      <c r="G1518" s="554">
        <v>5712</v>
      </c>
      <c r="H1518">
        <v>47.622690024000008</v>
      </c>
    </row>
    <row r="1519" spans="2:8">
      <c r="B1519" s="555" t="s">
        <v>2254</v>
      </c>
      <c r="C1519" s="555" t="str">
        <f>VLOOKUP(D1519,기본!$D$13:$E$74,2,0)</f>
        <v>삼성 VD</v>
      </c>
      <c r="D1519" t="s">
        <v>1927</v>
      </c>
      <c r="E1519" t="s">
        <v>1156</v>
      </c>
      <c r="F1519" t="s">
        <v>1870</v>
      </c>
      <c r="G1519" s="554">
        <v>10560</v>
      </c>
      <c r="H1519">
        <v>48.669100743999998</v>
      </c>
    </row>
    <row r="1520" spans="2:8">
      <c r="B1520" s="555" t="s">
        <v>2254</v>
      </c>
      <c r="C1520" s="555" t="str">
        <f>VLOOKUP(D1520,기본!$D$13:$E$74,2,0)</f>
        <v>삼성 VD</v>
      </c>
      <c r="D1520" t="s">
        <v>1927</v>
      </c>
      <c r="E1520" t="s">
        <v>2235</v>
      </c>
      <c r="F1520" t="s">
        <v>2236</v>
      </c>
      <c r="G1520" s="554">
        <v>1056</v>
      </c>
      <c r="H1520">
        <v>4.8718876800000004</v>
      </c>
    </row>
    <row r="1521" spans="2:8">
      <c r="B1521" s="555" t="s">
        <v>2254</v>
      </c>
      <c r="C1521" s="555" t="str">
        <f>VLOOKUP(D1521,기본!$D$13:$E$74,2,0)</f>
        <v>삼성 생활가전</v>
      </c>
      <c r="D1521" t="s">
        <v>1942</v>
      </c>
      <c r="E1521" t="s">
        <v>1943</v>
      </c>
      <c r="F1521" t="s">
        <v>1943</v>
      </c>
      <c r="G1521" s="554">
        <v>34560</v>
      </c>
      <c r="H1521">
        <v>262.89843840000003</v>
      </c>
    </row>
    <row r="1522" spans="2:8">
      <c r="B1522" s="555" t="s">
        <v>2254</v>
      </c>
      <c r="C1522" s="555" t="str">
        <f>VLOOKUP(D1522,기본!$D$13:$E$74,2,0)</f>
        <v>삼성 생활가전</v>
      </c>
      <c r="D1522" t="s">
        <v>1942</v>
      </c>
      <c r="E1522" t="s">
        <v>2237</v>
      </c>
      <c r="F1522" t="s">
        <v>2237</v>
      </c>
      <c r="G1522" s="554">
        <v>672</v>
      </c>
      <c r="H1522">
        <v>5.1388318080000008</v>
      </c>
    </row>
    <row r="1523" spans="2:8">
      <c r="B1523" s="555" t="s">
        <v>2254</v>
      </c>
      <c r="C1523" s="555" t="str">
        <f>VLOOKUP(D1523,기본!$D$13:$E$74,2,0)</f>
        <v>삼성 생활가전</v>
      </c>
      <c r="D1523" t="s">
        <v>1942</v>
      </c>
      <c r="E1523" t="s">
        <v>1945</v>
      </c>
      <c r="F1523" t="s">
        <v>1945</v>
      </c>
      <c r="G1523" s="554">
        <v>25344</v>
      </c>
      <c r="H1523">
        <v>208.51015680000003</v>
      </c>
    </row>
    <row r="1524" spans="2:8">
      <c r="B1524" s="555" t="s">
        <v>2254</v>
      </c>
      <c r="C1524" s="555" t="str">
        <f>VLOOKUP(D1524,기본!$D$13:$E$74,2,0)</f>
        <v>삼성 생활가전</v>
      </c>
      <c r="D1524" t="s">
        <v>1942</v>
      </c>
      <c r="E1524" t="s">
        <v>1314</v>
      </c>
      <c r="F1524" t="s">
        <v>1314</v>
      </c>
      <c r="G1524" s="554">
        <v>1080</v>
      </c>
      <c r="H1524">
        <v>9.0630089999999992</v>
      </c>
    </row>
    <row r="1525" spans="2:8">
      <c r="B1525" s="555" t="s">
        <v>2254</v>
      </c>
      <c r="C1525" s="555" t="str">
        <f>VLOOKUP(D1525,기본!$D$13:$E$74,2,0)</f>
        <v>삼성 생활가전</v>
      </c>
      <c r="D1525" t="s">
        <v>1942</v>
      </c>
      <c r="E1525" t="s">
        <v>2213</v>
      </c>
      <c r="F1525" t="s">
        <v>2213</v>
      </c>
      <c r="G1525" s="554">
        <v>96</v>
      </c>
      <c r="H1525">
        <v>0.83322816</v>
      </c>
    </row>
    <row r="1526" spans="2:8">
      <c r="B1526" s="555" t="s">
        <v>2254</v>
      </c>
      <c r="C1526" s="555" t="str">
        <f>VLOOKUP(D1526,기본!$D$13:$E$74,2,0)</f>
        <v>삼성 VD</v>
      </c>
      <c r="D1526" t="s">
        <v>1946</v>
      </c>
      <c r="E1526" t="s">
        <v>1777</v>
      </c>
      <c r="F1526" t="s">
        <v>1672</v>
      </c>
      <c r="G1526" s="554">
        <v>864</v>
      </c>
      <c r="H1526">
        <v>9.8869334400000017</v>
      </c>
    </row>
    <row r="1527" spans="2:8">
      <c r="B1527" s="555" t="s">
        <v>2254</v>
      </c>
      <c r="C1527" s="555" t="str">
        <f>VLOOKUP(D1527,기본!$D$13:$E$74,2,0)</f>
        <v>삼성 VD</v>
      </c>
      <c r="D1527" t="s">
        <v>1946</v>
      </c>
      <c r="E1527" t="s">
        <v>1778</v>
      </c>
      <c r="F1527" t="s">
        <v>1919</v>
      </c>
      <c r="G1527" s="554">
        <v>5184</v>
      </c>
      <c r="H1527">
        <v>67.254971328000011</v>
      </c>
    </row>
    <row r="1528" spans="2:8">
      <c r="B1528" s="555" t="s">
        <v>2254</v>
      </c>
      <c r="C1528" s="555" t="str">
        <f>VLOOKUP(D1528,기본!$D$13:$E$74,2,0)</f>
        <v>삼성 VD</v>
      </c>
      <c r="D1528" t="s">
        <v>1946</v>
      </c>
      <c r="E1528" t="s">
        <v>1779</v>
      </c>
      <c r="F1528" t="s">
        <v>1920</v>
      </c>
      <c r="G1528" s="554">
        <v>3399</v>
      </c>
      <c r="H1528">
        <v>49.158251636999999</v>
      </c>
    </row>
    <row r="1529" spans="2:8">
      <c r="B1529" s="555" t="s">
        <v>2254</v>
      </c>
      <c r="C1529" s="555" t="str">
        <f>VLOOKUP(D1529,기본!$D$13:$E$74,2,0)</f>
        <v>삼성 VD</v>
      </c>
      <c r="D1529" t="s">
        <v>1946</v>
      </c>
      <c r="E1529" t="s">
        <v>1792</v>
      </c>
      <c r="F1529" t="s">
        <v>1915</v>
      </c>
      <c r="G1529" s="554">
        <v>2232</v>
      </c>
      <c r="H1529">
        <v>39.819723696000004</v>
      </c>
    </row>
    <row r="1530" spans="2:8">
      <c r="B1530" s="555" t="s">
        <v>2254</v>
      </c>
      <c r="C1530" s="555" t="str">
        <f>VLOOKUP(D1530,기본!$D$13:$E$74,2,0)</f>
        <v>삼성 VD</v>
      </c>
      <c r="D1530" t="s">
        <v>1946</v>
      </c>
      <c r="E1530" t="s">
        <v>1921</v>
      </c>
      <c r="F1530" t="s">
        <v>1922</v>
      </c>
      <c r="G1530" s="554">
        <v>252</v>
      </c>
      <c r="H1530">
        <v>5.9827859279999993</v>
      </c>
    </row>
    <row r="1531" spans="2:8">
      <c r="B1531" s="555" t="s">
        <v>2254</v>
      </c>
      <c r="C1531" s="555" t="str">
        <f>VLOOKUP(D1531,기본!$D$13:$E$74,2,0)</f>
        <v>삼성 생활가전</v>
      </c>
      <c r="D1531" t="s">
        <v>1948</v>
      </c>
      <c r="E1531" t="s">
        <v>1949</v>
      </c>
      <c r="F1531" t="s">
        <v>1949</v>
      </c>
      <c r="G1531" s="554">
        <v>3850</v>
      </c>
      <c r="H1531">
        <v>41.79242232</v>
      </c>
    </row>
    <row r="1532" spans="2:8">
      <c r="B1532" s="555" t="s">
        <v>2254</v>
      </c>
      <c r="C1532" s="555" t="str">
        <f>VLOOKUP(D1532,기본!$D$13:$E$74,2,0)</f>
        <v>삼성 생활가전</v>
      </c>
      <c r="D1532" t="s">
        <v>1948</v>
      </c>
      <c r="E1532" t="s">
        <v>1465</v>
      </c>
      <c r="F1532" t="s">
        <v>1465</v>
      </c>
      <c r="G1532" s="554">
        <v>672</v>
      </c>
      <c r="H1532">
        <v>9.2038295999999988</v>
      </c>
    </row>
    <row r="1533" spans="2:8">
      <c r="B1533" s="555" t="s">
        <v>2254</v>
      </c>
      <c r="C1533" s="555" t="str">
        <f>VLOOKUP(D1533,기본!$D$13:$E$74,2,0)</f>
        <v>AV JDM</v>
      </c>
      <c r="D1533" t="s">
        <v>1950</v>
      </c>
      <c r="E1533" t="s">
        <v>436</v>
      </c>
      <c r="F1533" t="s">
        <v>2168</v>
      </c>
      <c r="G1533" s="554">
        <v>19152</v>
      </c>
      <c r="H1533">
        <v>166.61468174399999</v>
      </c>
    </row>
    <row r="1534" spans="2:8">
      <c r="B1534" s="555" t="s">
        <v>2254</v>
      </c>
      <c r="C1534" s="555" t="str">
        <f>VLOOKUP(D1534,기본!$D$13:$E$74,2,0)</f>
        <v>MNT JDM</v>
      </c>
      <c r="D1534" t="s">
        <v>1951</v>
      </c>
      <c r="E1534" t="s">
        <v>709</v>
      </c>
      <c r="F1534" t="s">
        <v>2124</v>
      </c>
      <c r="G1534" s="554">
        <v>33792</v>
      </c>
      <c r="H1534">
        <v>155.32531660800004</v>
      </c>
    </row>
    <row r="1535" spans="2:8">
      <c r="B1535" s="555" t="s">
        <v>2254</v>
      </c>
      <c r="C1535" s="555" t="str">
        <f>VLOOKUP(D1535,기본!$D$13:$E$74,2,0)</f>
        <v>MNT JDM</v>
      </c>
      <c r="D1535" t="s">
        <v>1951</v>
      </c>
      <c r="E1535" t="s">
        <v>710</v>
      </c>
      <c r="F1535" t="s">
        <v>2169</v>
      </c>
      <c r="G1535" s="554">
        <v>35904</v>
      </c>
      <c r="H1535">
        <v>197.83039161600004</v>
      </c>
    </row>
    <row r="1536" spans="2:8">
      <c r="B1536" s="555" t="s">
        <v>2254</v>
      </c>
      <c r="C1536" s="555" t="str">
        <f>VLOOKUP(D1536,기본!$D$13:$E$74,2,0)</f>
        <v>MNT JDM</v>
      </c>
      <c r="D1536" t="s">
        <v>1951</v>
      </c>
      <c r="E1536" t="s">
        <v>1156</v>
      </c>
      <c r="F1536" t="s">
        <v>2238</v>
      </c>
      <c r="G1536" s="554">
        <v>12672</v>
      </c>
      <c r="H1536">
        <v>71.580380255999998</v>
      </c>
    </row>
    <row r="1537" spans="2:8">
      <c r="B1537" s="555" t="s">
        <v>2254</v>
      </c>
      <c r="C1537" s="555" t="str">
        <f>VLOOKUP(D1537,기본!$D$13:$E$74,2,0)</f>
        <v>MNT JDM</v>
      </c>
      <c r="D1537" t="s">
        <v>1951</v>
      </c>
      <c r="E1537" t="s">
        <v>1157</v>
      </c>
      <c r="F1537" t="s">
        <v>2239</v>
      </c>
      <c r="G1537" s="554">
        <v>3168</v>
      </c>
      <c r="H1537">
        <v>21.469054464000003</v>
      </c>
    </row>
    <row r="1538" spans="2:8">
      <c r="B1538" s="555" t="s">
        <v>2254</v>
      </c>
      <c r="C1538" s="555" t="str">
        <f>VLOOKUP(D1538,기본!$D$13:$E$74,2,0)</f>
        <v>HP</v>
      </c>
      <c r="D1538" t="s">
        <v>1952</v>
      </c>
      <c r="E1538" t="s">
        <v>1296</v>
      </c>
      <c r="F1538" t="s">
        <v>1292</v>
      </c>
      <c r="G1538" s="554">
        <v>1536</v>
      </c>
      <c r="H1538">
        <v>42.145178111999996</v>
      </c>
    </row>
    <row r="1539" spans="2:8">
      <c r="B1539" s="555" t="s">
        <v>2254</v>
      </c>
      <c r="C1539" s="555" t="str">
        <f>VLOOKUP(D1539,기본!$D$13:$E$74,2,0)</f>
        <v>HP</v>
      </c>
      <c r="D1539" t="s">
        <v>1952</v>
      </c>
      <c r="E1539" t="s">
        <v>1297</v>
      </c>
      <c r="F1539" t="s">
        <v>1293</v>
      </c>
      <c r="G1539" s="554">
        <v>384</v>
      </c>
      <c r="H1539">
        <v>12.723701759999999</v>
      </c>
    </row>
    <row r="1540" spans="2:8">
      <c r="B1540" s="555" t="s">
        <v>2254</v>
      </c>
      <c r="C1540" s="555" t="str">
        <f>VLOOKUP(D1540,기본!$D$13:$E$74,2,0)</f>
        <v>HP</v>
      </c>
      <c r="D1540" t="s">
        <v>1952</v>
      </c>
      <c r="E1540" t="s">
        <v>1298</v>
      </c>
      <c r="F1540" t="s">
        <v>1294</v>
      </c>
      <c r="G1540" s="554">
        <v>4224</v>
      </c>
      <c r="H1540">
        <v>125.8525296</v>
      </c>
    </row>
    <row r="1541" spans="2:8">
      <c r="B1541" s="555" t="s">
        <v>2254</v>
      </c>
      <c r="C1541" s="555" t="str">
        <f>VLOOKUP(D1541,기본!$D$13:$E$74,2,0)</f>
        <v>HP</v>
      </c>
      <c r="D1541" t="s">
        <v>1952</v>
      </c>
      <c r="E1541" t="s">
        <v>2240</v>
      </c>
      <c r="F1541" t="s">
        <v>2241</v>
      </c>
      <c r="G1541" s="554">
        <v>360</v>
      </c>
      <c r="H1541">
        <v>2.9340878399999997</v>
      </c>
    </row>
    <row r="1542" spans="2:8">
      <c r="B1542" s="555" t="s">
        <v>2254</v>
      </c>
      <c r="C1542" s="555" t="str">
        <f>VLOOKUP(D1542,기본!$D$13:$E$74,2,0)</f>
        <v>HP</v>
      </c>
      <c r="D1542" t="s">
        <v>1952</v>
      </c>
      <c r="E1542" t="s">
        <v>1954</v>
      </c>
      <c r="F1542" t="s">
        <v>1955</v>
      </c>
      <c r="G1542" s="554">
        <v>3360</v>
      </c>
      <c r="H1542">
        <v>43.479601199999998</v>
      </c>
    </row>
    <row r="1543" spans="2:8">
      <c r="B1543" s="555" t="s">
        <v>2254</v>
      </c>
      <c r="C1543" s="555" t="str">
        <f>VLOOKUP(D1543,기본!$D$13:$E$74,2,0)</f>
        <v>HP</v>
      </c>
      <c r="D1543" t="s">
        <v>1952</v>
      </c>
      <c r="E1543" t="s">
        <v>2125</v>
      </c>
      <c r="F1543" t="s">
        <v>192</v>
      </c>
      <c r="G1543" s="554">
        <v>2160</v>
      </c>
      <c r="H1543">
        <v>10.576915200000002</v>
      </c>
    </row>
    <row r="1544" spans="2:8">
      <c r="B1544" s="555" t="s">
        <v>2254</v>
      </c>
      <c r="C1544" s="555" t="str">
        <f>VLOOKUP(D1544,기본!$D$13:$E$74,2,0)</f>
        <v>HP</v>
      </c>
      <c r="D1544" t="s">
        <v>1952</v>
      </c>
      <c r="E1544" t="s">
        <v>1960</v>
      </c>
      <c r="F1544" t="s">
        <v>671</v>
      </c>
      <c r="G1544" s="554">
        <v>4320</v>
      </c>
      <c r="H1544">
        <v>35.215071839999993</v>
      </c>
    </row>
    <row r="1545" spans="2:8">
      <c r="B1545" s="555" t="s">
        <v>2254</v>
      </c>
      <c r="C1545" s="555" t="str">
        <f>VLOOKUP(D1545,기본!$D$13:$E$74,2,0)</f>
        <v>HP</v>
      </c>
      <c r="D1545" t="s">
        <v>1952</v>
      </c>
      <c r="E1545" t="s">
        <v>1961</v>
      </c>
      <c r="F1545" t="s">
        <v>1962</v>
      </c>
      <c r="G1545" s="554">
        <v>3128</v>
      </c>
      <c r="H1545">
        <v>112.515163816</v>
      </c>
    </row>
    <row r="1546" spans="2:8">
      <c r="B1546" s="555" t="s">
        <v>2254</v>
      </c>
      <c r="C1546" s="555" t="str">
        <f>VLOOKUP(D1546,기본!$D$13:$E$74,2,0)</f>
        <v>HP</v>
      </c>
      <c r="D1546" t="s">
        <v>1952</v>
      </c>
      <c r="E1546" t="s">
        <v>2126</v>
      </c>
      <c r="F1546" t="s">
        <v>2127</v>
      </c>
      <c r="G1546" s="554">
        <v>150</v>
      </c>
      <c r="H1546">
        <v>1.35457275</v>
      </c>
    </row>
    <row r="1547" spans="2:8">
      <c r="B1547" s="555" t="s">
        <v>2254</v>
      </c>
      <c r="C1547" s="555" t="str">
        <f>VLOOKUP(D1547,기본!$D$13:$E$74,2,0)</f>
        <v>HP</v>
      </c>
      <c r="D1547" t="s">
        <v>1952</v>
      </c>
      <c r="E1547" t="s">
        <v>1963</v>
      </c>
      <c r="F1547" t="s">
        <v>1964</v>
      </c>
      <c r="G1547" s="554">
        <v>17100</v>
      </c>
      <c r="H1547">
        <v>142.14231359999999</v>
      </c>
    </row>
    <row r="1548" spans="2:8">
      <c r="B1548" s="555" t="s">
        <v>2254</v>
      </c>
      <c r="C1548" s="555" t="str">
        <f>VLOOKUP(D1548,기본!$D$13:$E$74,2,0)</f>
        <v>HP</v>
      </c>
      <c r="D1548" t="s">
        <v>1952</v>
      </c>
      <c r="E1548" t="s">
        <v>1965</v>
      </c>
      <c r="F1548" t="s">
        <v>1966</v>
      </c>
      <c r="G1548" s="554">
        <v>1120</v>
      </c>
      <c r="H1548">
        <v>17.835963599999999</v>
      </c>
    </row>
    <row r="1549" spans="2:8">
      <c r="B1549" s="555" t="s">
        <v>2254</v>
      </c>
      <c r="C1549" s="555" t="str">
        <f>VLOOKUP(D1549,기본!$D$13:$E$74,2,0)</f>
        <v>HP</v>
      </c>
      <c r="D1549" t="s">
        <v>1952</v>
      </c>
      <c r="E1549" t="s">
        <v>2128</v>
      </c>
      <c r="F1549" t="s">
        <v>2129</v>
      </c>
      <c r="G1549" s="554">
        <v>2160</v>
      </c>
      <c r="H1549">
        <v>25.911269999999998</v>
      </c>
    </row>
    <row r="1550" spans="2:8">
      <c r="B1550" s="555" t="s">
        <v>2254</v>
      </c>
      <c r="C1550" s="555" t="str">
        <f>VLOOKUP(D1550,기본!$D$13:$E$74,2,0)</f>
        <v>HP</v>
      </c>
      <c r="D1550" t="s">
        <v>1952</v>
      </c>
      <c r="E1550" t="s">
        <v>2172</v>
      </c>
      <c r="F1550" t="s">
        <v>2173</v>
      </c>
      <c r="G1550" s="554">
        <v>3888</v>
      </c>
      <c r="H1550">
        <v>143.57459664000001</v>
      </c>
    </row>
    <row r="1551" spans="2:8">
      <c r="B1551" s="555" t="s">
        <v>2254</v>
      </c>
      <c r="C1551" s="555" t="str">
        <f>VLOOKUP(D1551,기본!$D$13:$E$74,2,0)</f>
        <v>HP</v>
      </c>
      <c r="D1551" t="s">
        <v>1952</v>
      </c>
      <c r="E1551" t="s">
        <v>1969</v>
      </c>
      <c r="F1551" t="s">
        <v>1970</v>
      </c>
      <c r="G1551" s="554">
        <v>1200</v>
      </c>
      <c r="H1551">
        <v>14.429750399999998</v>
      </c>
    </row>
    <row r="1552" spans="2:8">
      <c r="B1552" s="555" t="s">
        <v>2254</v>
      </c>
      <c r="C1552" s="555" t="str">
        <f>VLOOKUP(D1552,기본!$D$13:$E$74,2,0)</f>
        <v>HP</v>
      </c>
      <c r="D1552" t="s">
        <v>1952</v>
      </c>
      <c r="E1552" t="s">
        <v>2130</v>
      </c>
      <c r="F1552" t="s">
        <v>2131</v>
      </c>
      <c r="G1552" s="554">
        <v>480</v>
      </c>
      <c r="H1552">
        <v>3.548448</v>
      </c>
    </row>
    <row r="1553" spans="2:8">
      <c r="B1553" s="555" t="s">
        <v>2254</v>
      </c>
      <c r="C1553" s="555" t="str">
        <f>VLOOKUP(D1553,기본!$D$13:$E$74,2,0)</f>
        <v>코웨이</v>
      </c>
      <c r="D1553" t="s">
        <v>2132</v>
      </c>
      <c r="E1553" t="s">
        <v>855</v>
      </c>
      <c r="F1553" t="s">
        <v>855</v>
      </c>
      <c r="G1553" s="554">
        <v>1000</v>
      </c>
      <c r="H1553">
        <v>3.0914540000000001</v>
      </c>
    </row>
    <row r="1554" spans="2:8">
      <c r="B1554" s="555" t="s">
        <v>2254</v>
      </c>
      <c r="C1554" s="555" t="str">
        <f>VLOOKUP(D1554,기본!$D$13:$E$74,2,0)</f>
        <v>코웨이</v>
      </c>
      <c r="D1554" t="s">
        <v>2132</v>
      </c>
      <c r="E1554" t="s">
        <v>854</v>
      </c>
      <c r="F1554" t="s">
        <v>854</v>
      </c>
      <c r="G1554" s="554">
        <v>1000</v>
      </c>
      <c r="H1554">
        <v>6.3744139999999998</v>
      </c>
    </row>
    <row r="1555" spans="2:8">
      <c r="B1555" s="555" t="s">
        <v>2254</v>
      </c>
      <c r="C1555" s="555" t="str">
        <f>VLOOKUP(D1555,기본!$D$13:$E$74,2,0)</f>
        <v>코웨이</v>
      </c>
      <c r="D1555" t="s">
        <v>2132</v>
      </c>
      <c r="E1555" t="s">
        <v>2133</v>
      </c>
      <c r="F1555" t="s">
        <v>2133</v>
      </c>
      <c r="G1555" s="554">
        <v>1000</v>
      </c>
      <c r="H1555">
        <v>6.5112040000000002</v>
      </c>
    </row>
    <row r="1556" spans="2:8">
      <c r="B1556" s="555" t="s">
        <v>2254</v>
      </c>
      <c r="C1556" s="555" t="str">
        <f>VLOOKUP(D1556,기본!$D$13:$E$74,2,0)</f>
        <v>코웨이</v>
      </c>
      <c r="D1556" t="s">
        <v>2132</v>
      </c>
      <c r="E1556" t="s">
        <v>2165</v>
      </c>
      <c r="F1556" t="s">
        <v>2165</v>
      </c>
      <c r="G1556" s="554">
        <v>1000</v>
      </c>
      <c r="H1556">
        <v>6.4291299999999998</v>
      </c>
    </row>
    <row r="1557" spans="2:8">
      <c r="B1557" s="555" t="s">
        <v>2254</v>
      </c>
      <c r="C1557" s="555" t="str">
        <f>VLOOKUP(D1557,기본!$D$13:$E$74,2,0)</f>
        <v>AV JDM</v>
      </c>
      <c r="D1557" t="s">
        <v>1971</v>
      </c>
      <c r="E1557" t="s">
        <v>1842</v>
      </c>
      <c r="F1557" t="s">
        <v>1680</v>
      </c>
      <c r="G1557" s="554">
        <v>402</v>
      </c>
      <c r="H1557">
        <v>3.71339058</v>
      </c>
    </row>
    <row r="1558" spans="2:8">
      <c r="B1558" s="555" t="s">
        <v>2254</v>
      </c>
      <c r="C1558" s="555" t="str">
        <f>VLOOKUP(D1558,기본!$D$13:$E$74,2,0)</f>
        <v>AV JDM</v>
      </c>
      <c r="D1558" t="s">
        <v>1971</v>
      </c>
      <c r="E1558" t="s">
        <v>1847</v>
      </c>
      <c r="F1558" t="s">
        <v>1336</v>
      </c>
      <c r="G1558" s="554">
        <v>402</v>
      </c>
      <c r="H1558">
        <v>3.71339058</v>
      </c>
    </row>
    <row r="1559" spans="2:8">
      <c r="B1559" s="555" t="s">
        <v>2254</v>
      </c>
      <c r="C1559" s="555" t="str">
        <f>VLOOKUP(D1559,기본!$D$13:$E$74,2,0)</f>
        <v>AV JDM</v>
      </c>
      <c r="D1559" t="s">
        <v>1971</v>
      </c>
      <c r="E1559" t="s">
        <v>1015</v>
      </c>
      <c r="F1559" t="s">
        <v>1015</v>
      </c>
      <c r="G1559" s="554">
        <v>402</v>
      </c>
      <c r="H1559">
        <v>2.9319158459999999</v>
      </c>
    </row>
    <row r="1560" spans="2:8">
      <c r="B1560" s="555" t="s">
        <v>2254</v>
      </c>
      <c r="C1560" s="555" t="str">
        <f>VLOOKUP(D1560,기본!$D$13:$E$74,2,0)</f>
        <v>경동나비엔</v>
      </c>
      <c r="D1560" t="s">
        <v>1972</v>
      </c>
      <c r="E1560" t="s">
        <v>2242</v>
      </c>
      <c r="F1560" t="s">
        <v>2242</v>
      </c>
      <c r="G1560" s="554">
        <v>30</v>
      </c>
      <c r="H1560">
        <v>0.94499999999999995</v>
      </c>
    </row>
    <row r="1561" spans="2:8">
      <c r="B1561" s="555" t="s">
        <v>2254</v>
      </c>
      <c r="C1561" s="555" t="str">
        <f>VLOOKUP(D1561,기본!$D$13:$E$74,2,0)</f>
        <v>삼성 생활가전</v>
      </c>
      <c r="D1561" t="s">
        <v>1974</v>
      </c>
      <c r="E1561" t="s">
        <v>1975</v>
      </c>
      <c r="F1561" t="s">
        <v>1975</v>
      </c>
      <c r="G1561" s="554">
        <v>2304</v>
      </c>
      <c r="H1561">
        <v>18.708480000000002</v>
      </c>
    </row>
    <row r="1562" spans="2:8">
      <c r="B1562" s="555" t="s">
        <v>2254</v>
      </c>
      <c r="C1562" s="555" t="str">
        <f>VLOOKUP(D1562,기본!$D$13:$E$74,2,0)</f>
        <v>대덕</v>
      </c>
      <c r="D1562" t="s">
        <v>1976</v>
      </c>
      <c r="E1562" t="s">
        <v>2243</v>
      </c>
      <c r="F1562" t="s">
        <v>2243</v>
      </c>
      <c r="G1562" s="554">
        <v>150</v>
      </c>
      <c r="H1562">
        <v>1.16658375</v>
      </c>
    </row>
    <row r="1563" spans="2:8">
      <c r="B1563" s="555" t="s">
        <v>2254</v>
      </c>
      <c r="C1563" s="555" t="str">
        <f>VLOOKUP(D1563,기본!$D$13:$E$74,2,0)</f>
        <v>대덕</v>
      </c>
      <c r="D1563" t="s">
        <v>1976</v>
      </c>
      <c r="E1563" t="s">
        <v>1979</v>
      </c>
      <c r="F1563" t="s">
        <v>1979</v>
      </c>
      <c r="G1563" s="554">
        <v>885</v>
      </c>
      <c r="H1563">
        <v>7.9548623250000006</v>
      </c>
    </row>
    <row r="1564" spans="2:8">
      <c r="B1564" s="555" t="s">
        <v>2254</v>
      </c>
      <c r="C1564" s="555" t="str">
        <f>VLOOKUP(D1564,기본!$D$13:$E$74,2,0)</f>
        <v>대덕</v>
      </c>
      <c r="D1564" t="s">
        <v>1976</v>
      </c>
      <c r="E1564" t="s">
        <v>2182</v>
      </c>
      <c r="F1564" t="s">
        <v>2182</v>
      </c>
      <c r="G1564" s="554">
        <v>25</v>
      </c>
      <c r="H1564">
        <v>0.24019925</v>
      </c>
    </row>
    <row r="1565" spans="2:8">
      <c r="B1565" s="555" t="s">
        <v>2254</v>
      </c>
      <c r="C1565" s="555" t="str">
        <f>VLOOKUP(D1565,기본!$D$13:$E$74,2,0)</f>
        <v>대덕</v>
      </c>
      <c r="D1565" t="s">
        <v>1976</v>
      </c>
      <c r="E1565" t="s">
        <v>2244</v>
      </c>
      <c r="F1565" t="s">
        <v>2244</v>
      </c>
      <c r="G1565" s="554">
        <v>536</v>
      </c>
      <c r="H1565">
        <v>5.3417009600000007</v>
      </c>
    </row>
    <row r="1566" spans="2:8">
      <c r="B1566" s="555" t="s">
        <v>2254</v>
      </c>
      <c r="C1566" s="555" t="str">
        <f>VLOOKUP(D1566,기본!$D$13:$E$74,2,0)</f>
        <v>대덕</v>
      </c>
      <c r="D1566" t="s">
        <v>1976</v>
      </c>
      <c r="E1566" t="s">
        <v>1977</v>
      </c>
      <c r="F1566" t="s">
        <v>1977</v>
      </c>
      <c r="G1566" s="554">
        <v>2587</v>
      </c>
      <c r="H1566">
        <v>31.832388399999999</v>
      </c>
    </row>
    <row r="1567" spans="2:8">
      <c r="B1567" s="555" t="s">
        <v>2254</v>
      </c>
      <c r="C1567" s="555" t="str">
        <f>VLOOKUP(D1567,기본!$D$13:$E$74,2,0)</f>
        <v>대덕</v>
      </c>
      <c r="D1567" t="s">
        <v>1976</v>
      </c>
      <c r="E1567" t="s">
        <v>2139</v>
      </c>
      <c r="F1567" t="s">
        <v>2139</v>
      </c>
      <c r="G1567" s="554">
        <v>531</v>
      </c>
      <c r="H1567">
        <v>6.4321092000000002</v>
      </c>
    </row>
    <row r="1568" spans="2:8">
      <c r="B1568" s="555" t="s">
        <v>2254</v>
      </c>
      <c r="C1568" s="555" t="str">
        <f>VLOOKUP(D1568,기본!$D$13:$E$74,2,0)</f>
        <v>대덕</v>
      </c>
      <c r="D1568" t="s">
        <v>1976</v>
      </c>
      <c r="E1568" t="s">
        <v>2219</v>
      </c>
      <c r="F1568" t="s">
        <v>2219</v>
      </c>
      <c r="G1568" s="554">
        <v>278</v>
      </c>
      <c r="H1568">
        <v>3.7692699499999995</v>
      </c>
    </row>
    <row r="1569" spans="2:8">
      <c r="B1569" s="555" t="s">
        <v>2254</v>
      </c>
      <c r="C1569" s="555" t="str">
        <f>VLOOKUP(D1569,기본!$D$13:$E$74,2,0)</f>
        <v>대덕</v>
      </c>
      <c r="D1569" t="s">
        <v>1976</v>
      </c>
      <c r="E1569" t="s">
        <v>1571</v>
      </c>
      <c r="F1569" t="s">
        <v>1571</v>
      </c>
      <c r="G1569" s="554">
        <v>3000</v>
      </c>
      <c r="H1569">
        <v>37.124205000000003</v>
      </c>
    </row>
    <row r="1570" spans="2:8">
      <c r="B1570" s="555" t="s">
        <v>2254</v>
      </c>
      <c r="C1570" s="555" t="str">
        <f>VLOOKUP(D1570,기본!$D$13:$E$74,2,0)</f>
        <v>대덕</v>
      </c>
      <c r="D1570" t="s">
        <v>1976</v>
      </c>
      <c r="E1570" t="s">
        <v>1572</v>
      </c>
      <c r="F1570" t="s">
        <v>1572</v>
      </c>
      <c r="G1570" s="554">
        <v>1333</v>
      </c>
      <c r="H1570">
        <v>18.09186257</v>
      </c>
    </row>
    <row r="1571" spans="2:8">
      <c r="B1571" s="555" t="s">
        <v>2254</v>
      </c>
      <c r="C1571" s="555" t="str">
        <f>VLOOKUP(D1571,기본!$D$13:$E$74,2,0)</f>
        <v>대덕</v>
      </c>
      <c r="D1571" t="s">
        <v>1978</v>
      </c>
      <c r="E1571" t="s">
        <v>2243</v>
      </c>
      <c r="F1571" t="s">
        <v>2243</v>
      </c>
      <c r="G1571" s="554">
        <v>606</v>
      </c>
      <c r="H1571">
        <v>4.6729387199999994</v>
      </c>
    </row>
    <row r="1572" spans="2:8">
      <c r="B1572" s="555" t="s">
        <v>2254</v>
      </c>
      <c r="C1572" s="555" t="str">
        <f>VLOOKUP(D1572,기본!$D$13:$E$74,2,0)</f>
        <v>대덕</v>
      </c>
      <c r="D1572" t="s">
        <v>1978</v>
      </c>
      <c r="E1572" t="s">
        <v>2175</v>
      </c>
      <c r="F1572" t="s">
        <v>2175</v>
      </c>
      <c r="G1572" s="554">
        <v>455</v>
      </c>
      <c r="H1572">
        <v>3.4505507400000002</v>
      </c>
    </row>
    <row r="1573" spans="2:8">
      <c r="B1573" s="555" t="s">
        <v>2254</v>
      </c>
      <c r="C1573" s="555" t="str">
        <f>VLOOKUP(D1573,기본!$D$13:$E$74,2,0)</f>
        <v>대덕</v>
      </c>
      <c r="D1573" t="s">
        <v>1978</v>
      </c>
      <c r="E1573" t="s">
        <v>1979</v>
      </c>
      <c r="F1573" t="s">
        <v>1979</v>
      </c>
      <c r="G1573" s="554">
        <v>2525</v>
      </c>
      <c r="H1573">
        <v>22.277603034000002</v>
      </c>
    </row>
    <row r="1574" spans="2:8">
      <c r="B1574" s="555" t="s">
        <v>2254</v>
      </c>
      <c r="C1574" s="555" t="str">
        <f>VLOOKUP(D1574,기본!$D$13:$E$74,2,0)</f>
        <v>대덕</v>
      </c>
      <c r="D1574" t="s">
        <v>1978</v>
      </c>
      <c r="E1574" t="s">
        <v>2182</v>
      </c>
      <c r="F1574" t="s">
        <v>2182</v>
      </c>
      <c r="G1574" s="554">
        <v>405</v>
      </c>
      <c r="H1574">
        <v>3.8151563200000003</v>
      </c>
    </row>
    <row r="1575" spans="2:8">
      <c r="B1575" s="555" t="s">
        <v>2254</v>
      </c>
      <c r="C1575" s="555" t="str">
        <f>VLOOKUP(D1575,기본!$D$13:$E$74,2,0)</f>
        <v>대덕</v>
      </c>
      <c r="D1575" t="s">
        <v>1978</v>
      </c>
      <c r="E1575" t="s">
        <v>2183</v>
      </c>
      <c r="F1575" t="s">
        <v>2183</v>
      </c>
      <c r="G1575" s="554">
        <v>1000</v>
      </c>
      <c r="H1575">
        <v>32.306455</v>
      </c>
    </row>
    <row r="1576" spans="2:8">
      <c r="B1576" s="555" t="s">
        <v>2254</v>
      </c>
      <c r="C1576" s="555" t="str">
        <f>VLOOKUP(D1576,기본!$D$13:$E$74,2,0)</f>
        <v>대덕</v>
      </c>
      <c r="D1576" t="s">
        <v>1978</v>
      </c>
      <c r="E1576" t="s">
        <v>2136</v>
      </c>
      <c r="F1576" t="s">
        <v>2136</v>
      </c>
      <c r="G1576" s="554">
        <v>1296</v>
      </c>
      <c r="H1576">
        <v>27.150167664000001</v>
      </c>
    </row>
    <row r="1577" spans="2:8">
      <c r="B1577" s="555" t="s">
        <v>2254</v>
      </c>
      <c r="C1577" s="555" t="str">
        <f>VLOOKUP(D1577,기본!$D$13:$E$74,2,0)</f>
        <v>대덕</v>
      </c>
      <c r="D1577" t="s">
        <v>1978</v>
      </c>
      <c r="E1577" t="s">
        <v>1981</v>
      </c>
      <c r="F1577" t="s">
        <v>1981</v>
      </c>
      <c r="G1577" s="554">
        <v>2192</v>
      </c>
      <c r="H1577">
        <v>49.212402609999998</v>
      </c>
    </row>
    <row r="1578" spans="2:8">
      <c r="B1578" s="555" t="s">
        <v>2254</v>
      </c>
      <c r="C1578" s="555" t="str">
        <f>VLOOKUP(D1578,기본!$D$13:$E$74,2,0)</f>
        <v>대덕</v>
      </c>
      <c r="D1578" t="s">
        <v>1978</v>
      </c>
      <c r="E1578" t="s">
        <v>2222</v>
      </c>
      <c r="F1578" t="s">
        <v>2222</v>
      </c>
      <c r="G1578" s="554">
        <v>52</v>
      </c>
      <c r="H1578">
        <v>1.1397717759999999</v>
      </c>
    </row>
    <row r="1579" spans="2:8">
      <c r="B1579" s="555" t="s">
        <v>2254</v>
      </c>
      <c r="C1579" s="555" t="str">
        <f>VLOOKUP(D1579,기본!$D$13:$E$74,2,0)</f>
        <v>대덕</v>
      </c>
      <c r="D1579" t="s">
        <v>1978</v>
      </c>
      <c r="E1579" t="s">
        <v>1982</v>
      </c>
      <c r="F1579" t="s">
        <v>1982</v>
      </c>
      <c r="G1579" s="554">
        <v>4352</v>
      </c>
      <c r="H1579">
        <v>96.773305225999991</v>
      </c>
    </row>
    <row r="1580" spans="2:8">
      <c r="B1580" s="555" t="s">
        <v>2254</v>
      </c>
      <c r="C1580" s="555" t="str">
        <f>VLOOKUP(D1580,기본!$D$13:$E$74,2,0)</f>
        <v>대덕</v>
      </c>
      <c r="D1580" t="s">
        <v>1978</v>
      </c>
      <c r="E1580" t="s">
        <v>2223</v>
      </c>
      <c r="F1580" t="s">
        <v>2223</v>
      </c>
      <c r="G1580" s="554">
        <v>1</v>
      </c>
      <c r="H1580">
        <v>2.2751216000000001E-2</v>
      </c>
    </row>
    <row r="1581" spans="2:8">
      <c r="B1581" s="555" t="s">
        <v>2254</v>
      </c>
      <c r="C1581" s="555" t="str">
        <f>VLOOKUP(D1581,기본!$D$13:$E$74,2,0)</f>
        <v>대덕</v>
      </c>
      <c r="D1581" t="s">
        <v>1978</v>
      </c>
      <c r="E1581" t="s">
        <v>2137</v>
      </c>
      <c r="F1581" t="s">
        <v>2137</v>
      </c>
      <c r="G1581" s="554">
        <v>1080</v>
      </c>
      <c r="H1581">
        <v>24.358990094999999</v>
      </c>
    </row>
    <row r="1582" spans="2:8">
      <c r="B1582" s="555" t="s">
        <v>2254</v>
      </c>
      <c r="C1582" s="555" t="str">
        <f>VLOOKUP(D1582,기본!$D$13:$E$74,2,0)</f>
        <v>대덕</v>
      </c>
      <c r="D1582" t="s">
        <v>1978</v>
      </c>
      <c r="E1582" t="s">
        <v>2244</v>
      </c>
      <c r="F1582" t="s">
        <v>2244</v>
      </c>
      <c r="G1582" s="554">
        <v>153</v>
      </c>
      <c r="H1582">
        <v>1.5118162560000001</v>
      </c>
    </row>
    <row r="1583" spans="2:8">
      <c r="B1583" s="555" t="s">
        <v>2254</v>
      </c>
      <c r="C1583" s="555" t="str">
        <f>VLOOKUP(D1583,기본!$D$13:$E$74,2,0)</f>
        <v>대덕</v>
      </c>
      <c r="D1583" t="s">
        <v>1978</v>
      </c>
      <c r="E1583" t="s">
        <v>2224</v>
      </c>
      <c r="F1583" t="s">
        <v>2224</v>
      </c>
      <c r="G1583" s="554">
        <v>154</v>
      </c>
      <c r="H1583">
        <v>1.5805475839999998</v>
      </c>
    </row>
    <row r="1584" spans="2:8">
      <c r="B1584" s="555" t="s">
        <v>2254</v>
      </c>
      <c r="C1584" s="555" t="str">
        <f>VLOOKUP(D1584,기본!$D$13:$E$74,2,0)</f>
        <v>대덕</v>
      </c>
      <c r="D1584" t="s">
        <v>1978</v>
      </c>
      <c r="E1584" t="s">
        <v>1977</v>
      </c>
      <c r="F1584" t="s">
        <v>1977</v>
      </c>
      <c r="G1584" s="554">
        <v>413</v>
      </c>
      <c r="H1584">
        <v>4.9602291200000002</v>
      </c>
    </row>
    <row r="1585" spans="2:8">
      <c r="B1585" s="555" t="s">
        <v>2254</v>
      </c>
      <c r="C1585" s="555" t="str">
        <f>VLOOKUP(D1585,기본!$D$13:$E$74,2,0)</f>
        <v>대덕</v>
      </c>
      <c r="D1585" t="s">
        <v>1978</v>
      </c>
      <c r="E1585" t="s">
        <v>2139</v>
      </c>
      <c r="F1585" t="s">
        <v>2139</v>
      </c>
      <c r="G1585" s="554">
        <v>254</v>
      </c>
      <c r="H1585">
        <v>3.0506009600000006</v>
      </c>
    </row>
    <row r="1586" spans="2:8">
      <c r="B1586" s="555" t="s">
        <v>2254</v>
      </c>
      <c r="C1586" s="555" t="str">
        <f>VLOOKUP(D1586,기본!$D$13:$E$74,2,0)</f>
        <v>대덕</v>
      </c>
      <c r="D1586" t="s">
        <v>1978</v>
      </c>
      <c r="E1586" t="s">
        <v>1983</v>
      </c>
      <c r="F1586" t="s">
        <v>1983</v>
      </c>
      <c r="G1586" s="554">
        <v>10000</v>
      </c>
      <c r="H1586">
        <v>135.58525</v>
      </c>
    </row>
    <row r="1587" spans="2:8">
      <c r="B1587" s="555" t="s">
        <v>2254</v>
      </c>
      <c r="C1587" s="555" t="str">
        <f>VLOOKUP(D1587,기본!$D$13:$E$74,2,0)</f>
        <v>대덕</v>
      </c>
      <c r="D1587" t="s">
        <v>1978</v>
      </c>
      <c r="E1587" t="s">
        <v>1985</v>
      </c>
      <c r="F1587" t="s">
        <v>1985</v>
      </c>
      <c r="G1587" s="554">
        <v>10000</v>
      </c>
      <c r="H1587">
        <v>135.58525</v>
      </c>
    </row>
    <row r="1588" spans="2:8">
      <c r="B1588" s="555" t="s">
        <v>2254</v>
      </c>
      <c r="C1588" s="555" t="str">
        <f>VLOOKUP(D1588,기본!$D$13:$E$74,2,0)</f>
        <v>대덕</v>
      </c>
      <c r="D1588" t="s">
        <v>1978</v>
      </c>
      <c r="E1588" t="s">
        <v>2219</v>
      </c>
      <c r="F1588" t="s">
        <v>2219</v>
      </c>
      <c r="G1588" s="554">
        <v>1904</v>
      </c>
      <c r="H1588">
        <v>25.334794940000005</v>
      </c>
    </row>
    <row r="1589" spans="2:8">
      <c r="B1589" s="555" t="s">
        <v>2254</v>
      </c>
      <c r="C1589" s="555" t="str">
        <f>VLOOKUP(D1589,기본!$D$13:$E$74,2,0)</f>
        <v>대덕</v>
      </c>
      <c r="D1589" t="s">
        <v>1978</v>
      </c>
      <c r="E1589" t="s">
        <v>2245</v>
      </c>
      <c r="F1589" t="s">
        <v>2245</v>
      </c>
      <c r="G1589" s="554">
        <v>1000</v>
      </c>
      <c r="H1589">
        <v>32.861418315000009</v>
      </c>
    </row>
    <row r="1590" spans="2:8">
      <c r="B1590" s="555" t="s">
        <v>2254</v>
      </c>
      <c r="C1590" s="555" t="str">
        <f>VLOOKUP(D1590,기본!$D$13:$E$74,2,0)</f>
        <v>대덕</v>
      </c>
      <c r="D1590" t="s">
        <v>1978</v>
      </c>
      <c r="E1590" t="s">
        <v>1568</v>
      </c>
      <c r="F1590" t="s">
        <v>1568</v>
      </c>
      <c r="G1590" s="554">
        <v>455</v>
      </c>
      <c r="H1590">
        <v>14.208113920000001</v>
      </c>
    </row>
    <row r="1591" spans="2:8">
      <c r="B1591" s="555" t="s">
        <v>2254</v>
      </c>
      <c r="C1591" s="555" t="str">
        <f>VLOOKUP(D1591,기본!$D$13:$E$74,2,0)</f>
        <v>대덕</v>
      </c>
      <c r="D1591" t="s">
        <v>1978</v>
      </c>
      <c r="E1591" t="s">
        <v>2246</v>
      </c>
      <c r="F1591" t="s">
        <v>2246</v>
      </c>
      <c r="G1591" s="554">
        <v>1000</v>
      </c>
      <c r="H1591">
        <v>33.101191278000009</v>
      </c>
    </row>
    <row r="1592" spans="2:8">
      <c r="B1592" s="555" t="s">
        <v>2254</v>
      </c>
      <c r="C1592" s="555" t="str">
        <f>VLOOKUP(D1592,기본!$D$13:$E$74,2,0)</f>
        <v>대덕</v>
      </c>
      <c r="D1592" t="s">
        <v>1978</v>
      </c>
      <c r="E1592" t="s">
        <v>2247</v>
      </c>
      <c r="F1592" t="s">
        <v>2247</v>
      </c>
      <c r="G1592" s="554">
        <v>500</v>
      </c>
      <c r="H1592">
        <v>6.7284639999999998</v>
      </c>
    </row>
    <row r="1593" spans="2:8">
      <c r="B1593" s="555" t="s">
        <v>2254</v>
      </c>
      <c r="C1593" s="555" t="str">
        <f>VLOOKUP(D1593,기본!$D$13:$E$74,2,0)</f>
        <v>대덕</v>
      </c>
      <c r="D1593" t="s">
        <v>1978</v>
      </c>
      <c r="E1593" t="s">
        <v>1572</v>
      </c>
      <c r="F1593" t="s">
        <v>1572</v>
      </c>
      <c r="G1593" s="554">
        <v>1427</v>
      </c>
      <c r="H1593">
        <v>18.991973096000002</v>
      </c>
    </row>
    <row r="1594" spans="2:8">
      <c r="B1594" s="555" t="s">
        <v>2254</v>
      </c>
      <c r="C1594" s="555" t="str">
        <f>VLOOKUP(D1594,기본!$D$13:$E$74,2,0)</f>
        <v>삼성 생활가전</v>
      </c>
      <c r="D1594" t="s">
        <v>1986</v>
      </c>
      <c r="E1594" t="s">
        <v>1987</v>
      </c>
      <c r="F1594" t="s">
        <v>1987</v>
      </c>
      <c r="G1594" s="554">
        <v>2816</v>
      </c>
      <c r="H1594">
        <v>39.33952</v>
      </c>
    </row>
    <row r="1595" spans="2:8">
      <c r="B1595" s="555" t="s">
        <v>2254</v>
      </c>
      <c r="C1595" s="555" t="str">
        <f>VLOOKUP(D1595,기본!$D$13:$E$74,2,0)</f>
        <v>삼성 생활가전</v>
      </c>
      <c r="D1595" t="s">
        <v>1986</v>
      </c>
      <c r="E1595" t="s">
        <v>2003</v>
      </c>
      <c r="F1595" t="s">
        <v>2003</v>
      </c>
      <c r="G1595" s="554">
        <v>2000</v>
      </c>
      <c r="H1595">
        <v>11.96</v>
      </c>
    </row>
    <row r="1596" spans="2:8">
      <c r="B1596" s="555" t="s">
        <v>2254</v>
      </c>
      <c r="C1596" s="555" t="str">
        <f>VLOOKUP(D1596,기본!$D$13:$E$74,2,0)</f>
        <v>머큐리</v>
      </c>
      <c r="D1596" t="s">
        <v>1988</v>
      </c>
      <c r="E1596" t="s">
        <v>2225</v>
      </c>
      <c r="F1596" t="s">
        <v>2225</v>
      </c>
      <c r="G1596" s="554">
        <v>1160</v>
      </c>
      <c r="H1596">
        <v>4.38828</v>
      </c>
    </row>
    <row r="1597" spans="2:8">
      <c r="B1597" s="555" t="s">
        <v>2254</v>
      </c>
      <c r="C1597" s="555" t="str">
        <f>VLOOKUP(D1597,기본!$D$13:$E$74,2,0)</f>
        <v>머큐리</v>
      </c>
      <c r="D1597" t="s">
        <v>1988</v>
      </c>
      <c r="E1597" t="s">
        <v>1989</v>
      </c>
      <c r="F1597" t="s">
        <v>1989</v>
      </c>
      <c r="G1597" s="554">
        <v>39600</v>
      </c>
      <c r="H1597">
        <v>110.24639999999999</v>
      </c>
    </row>
    <row r="1598" spans="2:8">
      <c r="B1598" s="555" t="s">
        <v>2254</v>
      </c>
      <c r="C1598" s="555" t="str">
        <f>VLOOKUP(D1598,기본!$D$13:$E$74,2,0)</f>
        <v>머큐리</v>
      </c>
      <c r="D1598" t="s">
        <v>1988</v>
      </c>
      <c r="E1598" t="s">
        <v>1433</v>
      </c>
      <c r="F1598" t="s">
        <v>1433</v>
      </c>
      <c r="G1598" s="554">
        <v>45000</v>
      </c>
      <c r="H1598">
        <v>136.44</v>
      </c>
    </row>
    <row r="1599" spans="2:8">
      <c r="B1599" s="555" t="s">
        <v>2254</v>
      </c>
      <c r="C1599" s="555" t="str">
        <f>VLOOKUP(D1599,기본!$D$13:$E$74,2,0)</f>
        <v>머큐리</v>
      </c>
      <c r="D1599" t="s">
        <v>1988</v>
      </c>
      <c r="E1599" t="s">
        <v>2226</v>
      </c>
      <c r="F1599" t="s">
        <v>2226</v>
      </c>
      <c r="G1599" s="554">
        <v>4000</v>
      </c>
      <c r="H1599">
        <v>21.143999999999998</v>
      </c>
    </row>
    <row r="1600" spans="2:8">
      <c r="B1600" s="555" t="s">
        <v>2254</v>
      </c>
      <c r="C1600" s="555" t="str">
        <f>VLOOKUP(D1600,기본!$D$13:$E$74,2,0)</f>
        <v>머큐리</v>
      </c>
      <c r="D1600" t="s">
        <v>1988</v>
      </c>
      <c r="E1600" t="s">
        <v>2142</v>
      </c>
      <c r="F1600" t="s">
        <v>2142</v>
      </c>
      <c r="G1600" s="554">
        <v>12288</v>
      </c>
      <c r="H1600">
        <v>32.808959999999999</v>
      </c>
    </row>
    <row r="1601" spans="2:8">
      <c r="B1601" s="555" t="s">
        <v>2254</v>
      </c>
      <c r="C1601" s="555" t="str">
        <f>VLOOKUP(D1601,기본!$D$13:$E$74,2,0)</f>
        <v>삼성 생활가전</v>
      </c>
      <c r="D1601" t="s">
        <v>2143</v>
      </c>
      <c r="E1601" t="s">
        <v>2144</v>
      </c>
      <c r="F1601" t="s">
        <v>2144</v>
      </c>
      <c r="G1601" s="554">
        <v>640</v>
      </c>
      <c r="H1601">
        <v>4.5376000000000003</v>
      </c>
    </row>
    <row r="1602" spans="2:8">
      <c r="B1602" s="555" t="s">
        <v>2254</v>
      </c>
      <c r="C1602" s="555" t="str">
        <f>VLOOKUP(D1602,기본!$D$13:$E$74,2,0)</f>
        <v>삼성 생활가전</v>
      </c>
      <c r="D1602" t="s">
        <v>2143</v>
      </c>
      <c r="E1602" t="s">
        <v>2145</v>
      </c>
      <c r="F1602" t="s">
        <v>2145</v>
      </c>
      <c r="G1602" s="554">
        <v>560</v>
      </c>
      <c r="H1602">
        <v>3.9984000000000002</v>
      </c>
    </row>
    <row r="1603" spans="2:8">
      <c r="B1603" s="555" t="s">
        <v>2254</v>
      </c>
      <c r="C1603" s="555" t="str">
        <f>VLOOKUP(D1603,기본!$D$13:$E$74,2,0)</f>
        <v>삼성 VD</v>
      </c>
      <c r="D1603" t="s">
        <v>1990</v>
      </c>
      <c r="E1603" t="s">
        <v>1865</v>
      </c>
      <c r="F1603" t="s">
        <v>1866</v>
      </c>
      <c r="G1603" s="554">
        <v>110</v>
      </c>
      <c r="H1603">
        <v>4.6479874099999998</v>
      </c>
    </row>
    <row r="1604" spans="2:8">
      <c r="B1604" s="555" t="s">
        <v>2254</v>
      </c>
      <c r="C1604" s="555" t="str">
        <f>VLOOKUP(D1604,기본!$D$13:$E$74,2,0)</f>
        <v>삼성 VD</v>
      </c>
      <c r="D1604" t="s">
        <v>1990</v>
      </c>
      <c r="E1604" t="s">
        <v>709</v>
      </c>
      <c r="F1604" t="s">
        <v>1869</v>
      </c>
      <c r="G1604" s="554">
        <v>44</v>
      </c>
      <c r="H1604">
        <v>0.14843400000000001</v>
      </c>
    </row>
    <row r="1605" spans="2:8">
      <c r="B1605" s="555" t="s">
        <v>2254</v>
      </c>
      <c r="C1605" s="555" t="str">
        <f>VLOOKUP(D1605,기본!$D$13:$E$74,2,0)</f>
        <v>삼성 VD</v>
      </c>
      <c r="D1605" t="s">
        <v>1990</v>
      </c>
      <c r="E1605" t="s">
        <v>1897</v>
      </c>
      <c r="F1605" t="s">
        <v>1897</v>
      </c>
      <c r="G1605" s="554">
        <v>22</v>
      </c>
      <c r="H1605">
        <v>1.05620856</v>
      </c>
    </row>
    <row r="1606" spans="2:8">
      <c r="B1606" s="555" t="s">
        <v>2254</v>
      </c>
      <c r="C1606" s="555" t="str">
        <f>VLOOKUP(D1606,기본!$D$13:$E$74,2,0)</f>
        <v>삼성 VD</v>
      </c>
      <c r="D1606" t="s">
        <v>1990</v>
      </c>
      <c r="E1606" t="s">
        <v>2206</v>
      </c>
      <c r="F1606" t="s">
        <v>2206</v>
      </c>
      <c r="G1606" s="554">
        <v>56</v>
      </c>
      <c r="H1606">
        <v>0.51402400000000004</v>
      </c>
    </row>
    <row r="1607" spans="2:8">
      <c r="B1607" s="555" t="s">
        <v>2254</v>
      </c>
      <c r="C1607" s="555" t="str">
        <f>VLOOKUP(D1607,기본!$D$13:$E$74,2,0)</f>
        <v>삼성 VD</v>
      </c>
      <c r="D1607" t="s">
        <v>1990</v>
      </c>
      <c r="E1607" t="s">
        <v>2207</v>
      </c>
      <c r="F1607" t="s">
        <v>2207</v>
      </c>
      <c r="G1607" s="554">
        <v>56</v>
      </c>
      <c r="H1607">
        <v>0.52936799999999995</v>
      </c>
    </row>
    <row r="1608" spans="2:8">
      <c r="B1608" s="555" t="s">
        <v>2254</v>
      </c>
      <c r="C1608" s="555" t="str">
        <f>VLOOKUP(D1608,기본!$D$13:$E$74,2,0)</f>
        <v>삼성 VD</v>
      </c>
      <c r="D1608" t="s">
        <v>1990</v>
      </c>
      <c r="E1608" t="s">
        <v>2159</v>
      </c>
      <c r="F1608" t="s">
        <v>2159</v>
      </c>
      <c r="G1608" s="554">
        <v>108</v>
      </c>
      <c r="H1608">
        <v>1.5802128</v>
      </c>
    </row>
    <row r="1609" spans="2:8">
      <c r="B1609" s="555" t="s">
        <v>2254</v>
      </c>
      <c r="C1609" s="555" t="str">
        <f>VLOOKUP(D1609,기본!$D$13:$E$74,2,0)</f>
        <v>삼성 VD</v>
      </c>
      <c r="D1609" t="s">
        <v>1990</v>
      </c>
      <c r="E1609" t="s">
        <v>1382</v>
      </c>
      <c r="F1609" t="s">
        <v>1382</v>
      </c>
      <c r="G1609" s="554">
        <v>90</v>
      </c>
      <c r="H1609">
        <v>2.3944545000000002</v>
      </c>
    </row>
    <row r="1610" spans="2:8">
      <c r="B1610" s="555" t="s">
        <v>2254</v>
      </c>
      <c r="C1610" s="555" t="str">
        <f>VLOOKUP(D1610,기본!$D$13:$E$74,2,0)</f>
        <v>삼성 VD</v>
      </c>
      <c r="D1610" t="s">
        <v>1990</v>
      </c>
      <c r="E1610" t="s">
        <v>229</v>
      </c>
      <c r="F1610" t="s">
        <v>229</v>
      </c>
      <c r="G1610" s="554">
        <v>0</v>
      </c>
      <c r="H1610">
        <v>1.344265</v>
      </c>
    </row>
    <row r="1611" spans="2:8">
      <c r="B1611" s="555" t="s">
        <v>2254</v>
      </c>
      <c r="C1611" s="555" t="str">
        <f>VLOOKUP(D1611,기본!$D$13:$E$74,2,0)</f>
        <v>삼성 생활가전</v>
      </c>
      <c r="D1611" t="s">
        <v>1991</v>
      </c>
      <c r="E1611" t="s">
        <v>1992</v>
      </c>
      <c r="F1611" t="s">
        <v>1992</v>
      </c>
      <c r="G1611" s="554">
        <v>1080</v>
      </c>
      <c r="H1611">
        <v>6.7766868000000011</v>
      </c>
    </row>
    <row r="1612" spans="2:8">
      <c r="B1612" s="555" t="s">
        <v>2254</v>
      </c>
      <c r="C1612" s="555" t="str">
        <f>VLOOKUP(D1612,기본!$D$13:$E$74,2,0)</f>
        <v>삼성 생활가전</v>
      </c>
      <c r="D1612" t="s">
        <v>1991</v>
      </c>
      <c r="E1612" t="s">
        <v>1994</v>
      </c>
      <c r="F1612" t="s">
        <v>1994</v>
      </c>
      <c r="G1612" s="554">
        <v>1080</v>
      </c>
      <c r="H1612">
        <v>8.325568800000001</v>
      </c>
    </row>
    <row r="1613" spans="2:8">
      <c r="B1613" s="555" t="s">
        <v>2254</v>
      </c>
      <c r="C1613" s="555" t="str">
        <f>VLOOKUP(D1613,기본!$D$13:$E$74,2,0)</f>
        <v>삼성 생활가전</v>
      </c>
      <c r="D1613" t="s">
        <v>1991</v>
      </c>
      <c r="E1613" t="s">
        <v>1995</v>
      </c>
      <c r="F1613" t="s">
        <v>1995</v>
      </c>
      <c r="G1613" s="554">
        <v>3456</v>
      </c>
      <c r="H1613">
        <v>26.877588480000004</v>
      </c>
    </row>
    <row r="1614" spans="2:8">
      <c r="B1614" s="555" t="s">
        <v>2254</v>
      </c>
      <c r="C1614" s="555" t="str">
        <f>VLOOKUP(D1614,기본!$D$13:$E$74,2,0)</f>
        <v>삼성 생활가전</v>
      </c>
      <c r="D1614" t="s">
        <v>1991</v>
      </c>
      <c r="E1614" t="s">
        <v>713</v>
      </c>
      <c r="F1614" t="s">
        <v>713</v>
      </c>
      <c r="G1614" s="554">
        <v>966</v>
      </c>
      <c r="H1614">
        <v>7.7183400000000004</v>
      </c>
    </row>
    <row r="1615" spans="2:8">
      <c r="B1615" s="555" t="s">
        <v>2254</v>
      </c>
      <c r="C1615" s="555" t="str">
        <f>VLOOKUP(D1615,기본!$D$13:$E$74,2,0)</f>
        <v>삼성 생활가전</v>
      </c>
      <c r="D1615" t="s">
        <v>1991</v>
      </c>
      <c r="E1615" t="s">
        <v>2190</v>
      </c>
      <c r="F1615" t="s">
        <v>2190</v>
      </c>
      <c r="G1615" s="554">
        <v>1622</v>
      </c>
      <c r="H1615">
        <v>21.47294432</v>
      </c>
    </row>
    <row r="1616" spans="2:8">
      <c r="B1616" s="555" t="s">
        <v>2254</v>
      </c>
      <c r="C1616" s="555" t="str">
        <f>VLOOKUP(D1616,기본!$D$13:$E$74,2,0)</f>
        <v>삼성 생활가전</v>
      </c>
      <c r="D1616" t="s">
        <v>1991</v>
      </c>
      <c r="E1616" t="s">
        <v>1996</v>
      </c>
      <c r="F1616" t="s">
        <v>1996</v>
      </c>
      <c r="G1616" s="554">
        <v>1440</v>
      </c>
      <c r="H1616">
        <v>8.5679999999999996</v>
      </c>
    </row>
    <row r="1617" spans="2:8">
      <c r="B1617" s="555" t="s">
        <v>2254</v>
      </c>
      <c r="C1617" s="555" t="str">
        <f>VLOOKUP(D1617,기본!$D$13:$E$74,2,0)</f>
        <v>삼성 생활가전</v>
      </c>
      <c r="D1617" t="s">
        <v>1991</v>
      </c>
      <c r="E1617" t="s">
        <v>1997</v>
      </c>
      <c r="F1617" t="s">
        <v>1997</v>
      </c>
      <c r="G1617" s="554">
        <v>1440</v>
      </c>
      <c r="H1617">
        <v>8.5535999999999994</v>
      </c>
    </row>
    <row r="1618" spans="2:8">
      <c r="B1618" s="555" t="s">
        <v>2254</v>
      </c>
      <c r="C1618" s="555" t="str">
        <f>VLOOKUP(D1618,기본!$D$13:$E$74,2,0)</f>
        <v>삼성 생활가전</v>
      </c>
      <c r="D1618" t="s">
        <v>1991</v>
      </c>
      <c r="E1618" t="s">
        <v>1998</v>
      </c>
      <c r="F1618" t="s">
        <v>1998</v>
      </c>
      <c r="G1618" s="554">
        <v>720</v>
      </c>
      <c r="H1618">
        <v>4.2480000000000002</v>
      </c>
    </row>
    <row r="1619" spans="2:8">
      <c r="B1619" s="555" t="s">
        <v>2254</v>
      </c>
      <c r="C1619" s="555" t="str">
        <f>VLOOKUP(D1619,기본!$D$13:$E$74,2,0)</f>
        <v>삼성 생활가전</v>
      </c>
      <c r="D1619" t="s">
        <v>1991</v>
      </c>
      <c r="E1619" t="s">
        <v>1999</v>
      </c>
      <c r="F1619" t="s">
        <v>1999</v>
      </c>
      <c r="G1619" s="554">
        <v>4320</v>
      </c>
      <c r="H1619">
        <v>25.829280000000001</v>
      </c>
    </row>
    <row r="1620" spans="2:8">
      <c r="B1620" s="555" t="s">
        <v>2254</v>
      </c>
      <c r="C1620" s="555" t="str">
        <f>VLOOKUP(D1620,기본!$D$13:$E$74,2,0)</f>
        <v>삼성 생활가전</v>
      </c>
      <c r="D1620" t="s">
        <v>1991</v>
      </c>
      <c r="E1620" t="s">
        <v>2001</v>
      </c>
      <c r="F1620" t="s">
        <v>2001</v>
      </c>
      <c r="G1620" s="554">
        <v>20080</v>
      </c>
      <c r="H1620">
        <v>114.83752</v>
      </c>
    </row>
    <row r="1621" spans="2:8">
      <c r="B1621" s="555" t="s">
        <v>2254</v>
      </c>
      <c r="C1621" s="555" t="str">
        <f>VLOOKUP(D1621,기본!$D$13:$E$74,2,0)</f>
        <v>삼성 생활가전</v>
      </c>
      <c r="D1621" t="s">
        <v>1991</v>
      </c>
      <c r="E1621" t="s">
        <v>1508</v>
      </c>
      <c r="F1621" t="s">
        <v>1508</v>
      </c>
      <c r="G1621" s="554">
        <v>164</v>
      </c>
      <c r="H1621">
        <v>1.5580000000000001</v>
      </c>
    </row>
    <row r="1622" spans="2:8">
      <c r="B1622" s="555" t="s">
        <v>2254</v>
      </c>
      <c r="C1622" s="555" t="str">
        <f>VLOOKUP(D1622,기본!$D$13:$E$74,2,0)</f>
        <v>삼성 생활가전</v>
      </c>
      <c r="D1622" t="s">
        <v>1991</v>
      </c>
      <c r="E1622" t="s">
        <v>1239</v>
      </c>
      <c r="F1622" t="s">
        <v>1239</v>
      </c>
      <c r="G1622" s="554">
        <v>5</v>
      </c>
      <c r="H1622">
        <v>2.7E-2</v>
      </c>
    </row>
    <row r="1623" spans="2:8">
      <c r="B1623" s="555" t="s">
        <v>2254</v>
      </c>
      <c r="C1623" s="555" t="str">
        <f>VLOOKUP(D1623,기본!$D$13:$E$74,2,0)</f>
        <v>삼성 생활가전</v>
      </c>
      <c r="D1623" t="s">
        <v>1991</v>
      </c>
      <c r="E1623" t="s">
        <v>1242</v>
      </c>
      <c r="F1623" t="s">
        <v>1242</v>
      </c>
      <c r="G1623" s="554">
        <v>9655</v>
      </c>
      <c r="H1623">
        <v>49.530149999999999</v>
      </c>
    </row>
    <row r="1624" spans="2:8">
      <c r="B1624" s="555" t="s">
        <v>2254</v>
      </c>
      <c r="C1624" s="555" t="str">
        <f>VLOOKUP(D1624,기본!$D$13:$E$74,2,0)</f>
        <v>삼성 생활가전</v>
      </c>
      <c r="D1624" t="s">
        <v>1991</v>
      </c>
      <c r="E1624" t="s">
        <v>1395</v>
      </c>
      <c r="F1624" t="s">
        <v>1395</v>
      </c>
      <c r="G1624" s="554">
        <v>9649</v>
      </c>
      <c r="H1624">
        <v>52.664242000000002</v>
      </c>
    </row>
    <row r="1625" spans="2:8">
      <c r="B1625" s="555" t="s">
        <v>2254</v>
      </c>
      <c r="C1625" s="555" t="str">
        <f>VLOOKUP(D1625,기본!$D$13:$E$74,2,0)</f>
        <v>삼성 생활가전</v>
      </c>
      <c r="D1625" t="s">
        <v>1991</v>
      </c>
      <c r="E1625" t="s">
        <v>2004</v>
      </c>
      <c r="F1625" t="s">
        <v>2004</v>
      </c>
      <c r="G1625" s="554">
        <v>6972</v>
      </c>
      <c r="H1625">
        <v>71.149259999999998</v>
      </c>
    </row>
    <row r="1626" spans="2:8">
      <c r="B1626" s="555" t="s">
        <v>2254</v>
      </c>
      <c r="C1626" s="555" t="str">
        <f>VLOOKUP(D1626,기본!$D$13:$E$74,2,0)</f>
        <v>삼성 생활가전</v>
      </c>
      <c r="D1626" t="s">
        <v>1991</v>
      </c>
      <c r="E1626" t="s">
        <v>2087</v>
      </c>
      <c r="F1626" t="s">
        <v>2087</v>
      </c>
      <c r="G1626" s="554">
        <v>294</v>
      </c>
      <c r="H1626">
        <v>2.9952631800000002</v>
      </c>
    </row>
    <row r="1627" spans="2:8">
      <c r="B1627" s="555" t="s">
        <v>2254</v>
      </c>
      <c r="C1627" s="555" t="str">
        <f>VLOOKUP(D1627,기본!$D$13:$E$74,2,0)</f>
        <v>삼성 생활가전</v>
      </c>
      <c r="D1627" t="s">
        <v>1991</v>
      </c>
      <c r="E1627" t="s">
        <v>2227</v>
      </c>
      <c r="F1627" t="s">
        <v>2227</v>
      </c>
      <c r="G1627" s="554">
        <v>420</v>
      </c>
      <c r="H1627">
        <v>2.2103172</v>
      </c>
    </row>
    <row r="1628" spans="2:8">
      <c r="B1628" s="555" t="s">
        <v>2254</v>
      </c>
      <c r="C1628" s="555" t="str">
        <f>VLOOKUP(D1628,기본!$D$13:$E$74,2,0)</f>
        <v>삼성 생활가전</v>
      </c>
      <c r="D1628" t="s">
        <v>1991</v>
      </c>
      <c r="E1628" t="s">
        <v>1465</v>
      </c>
      <c r="F1628" t="s">
        <v>1465</v>
      </c>
      <c r="G1628" s="554">
        <v>5980</v>
      </c>
      <c r="H1628">
        <v>79.663457120000004</v>
      </c>
    </row>
    <row r="1629" spans="2:8">
      <c r="B1629" s="555" t="s">
        <v>2254</v>
      </c>
      <c r="C1629" s="555" t="str">
        <f>VLOOKUP(D1629,기본!$D$13:$E$74,2,0)</f>
        <v>삼성 생활가전</v>
      </c>
      <c r="D1629" t="s">
        <v>1991</v>
      </c>
      <c r="E1629" t="s">
        <v>2005</v>
      </c>
      <c r="F1629" t="s">
        <v>2005</v>
      </c>
      <c r="G1629" s="554">
        <v>0</v>
      </c>
      <c r="H1629">
        <v>7.141445</v>
      </c>
    </row>
    <row r="1630" spans="2:8">
      <c r="B1630" s="555" t="s">
        <v>2254</v>
      </c>
      <c r="C1630" s="555" t="str">
        <f>VLOOKUP(D1630,기본!$D$13:$E$74,2,0)</f>
        <v>삼성 생활가전</v>
      </c>
      <c r="D1630" t="s">
        <v>1991</v>
      </c>
      <c r="E1630" t="s">
        <v>229</v>
      </c>
      <c r="F1630" t="s">
        <v>229</v>
      </c>
      <c r="G1630" s="554">
        <v>0</v>
      </c>
      <c r="H1630">
        <v>0.13980000000000001</v>
      </c>
    </row>
    <row r="1631" spans="2:8">
      <c r="B1631" s="555" t="s">
        <v>2254</v>
      </c>
      <c r="C1631" s="555" t="str">
        <f>VLOOKUP(D1631,기본!$D$13:$E$74,2,0)</f>
        <v>삼성 생활가전</v>
      </c>
      <c r="D1631" t="s">
        <v>2006</v>
      </c>
      <c r="E1631" t="s">
        <v>1465</v>
      </c>
      <c r="F1631" t="s">
        <v>1465</v>
      </c>
      <c r="G1631" s="554">
        <v>168</v>
      </c>
      <c r="H1631">
        <v>2.1730800000000001</v>
      </c>
    </row>
    <row r="1632" spans="2:8">
      <c r="B1632" s="555" t="s">
        <v>2254</v>
      </c>
      <c r="C1632" s="555" t="str">
        <f>VLOOKUP(D1632,기본!$D$13:$E$74,2,0)</f>
        <v>코웨이</v>
      </c>
      <c r="D1632" t="s">
        <v>2007</v>
      </c>
      <c r="E1632" t="s">
        <v>1072</v>
      </c>
      <c r="F1632" t="s">
        <v>1072</v>
      </c>
      <c r="G1632" s="554">
        <v>3577</v>
      </c>
      <c r="H1632">
        <v>17.34845</v>
      </c>
    </row>
    <row r="1633" spans="2:8">
      <c r="B1633" s="555" t="s">
        <v>2254</v>
      </c>
      <c r="C1633" s="555" t="str">
        <f>VLOOKUP(D1633,기본!$D$13:$E$74,2,0)</f>
        <v>코웨이</v>
      </c>
      <c r="D1633" t="s">
        <v>2007</v>
      </c>
      <c r="E1633" t="s">
        <v>1075</v>
      </c>
      <c r="F1633" t="s">
        <v>1075</v>
      </c>
      <c r="G1633" s="554">
        <v>3456</v>
      </c>
      <c r="H1633">
        <v>4.8211199999999996</v>
      </c>
    </row>
    <row r="1634" spans="2:8">
      <c r="B1634" s="555" t="s">
        <v>2254</v>
      </c>
      <c r="C1634" s="555" t="str">
        <f>VLOOKUP(D1634,기본!$D$13:$E$74,2,0)</f>
        <v>코웨이</v>
      </c>
      <c r="D1634" t="s">
        <v>2008</v>
      </c>
      <c r="E1634" t="s">
        <v>2009</v>
      </c>
      <c r="F1634" t="s">
        <v>2009</v>
      </c>
      <c r="G1634" s="554">
        <v>6760</v>
      </c>
      <c r="H1634">
        <v>18.475079999999998</v>
      </c>
    </row>
    <row r="1635" spans="2:8">
      <c r="B1635" s="555" t="s">
        <v>2254</v>
      </c>
      <c r="C1635" s="555" t="str">
        <f>VLOOKUP(D1635,기본!$D$13:$E$74,2,0)</f>
        <v>코웨이</v>
      </c>
      <c r="D1635" t="s">
        <v>2010</v>
      </c>
      <c r="E1635" t="s">
        <v>2011</v>
      </c>
      <c r="F1635" t="s">
        <v>2011</v>
      </c>
      <c r="G1635" s="554">
        <v>15</v>
      </c>
      <c r="H1635">
        <v>7.4340000000000003E-2</v>
      </c>
    </row>
    <row r="1636" spans="2:8">
      <c r="B1636" s="555" t="s">
        <v>2254</v>
      </c>
      <c r="C1636" s="555" t="str">
        <f>VLOOKUP(D1636,기본!$D$13:$E$74,2,0)</f>
        <v>코웨이</v>
      </c>
      <c r="D1636" t="s">
        <v>2010</v>
      </c>
      <c r="E1636" t="s">
        <v>2014</v>
      </c>
      <c r="F1636" t="s">
        <v>2014</v>
      </c>
      <c r="G1636" s="554">
        <v>3840</v>
      </c>
      <c r="H1636">
        <v>33.530879999999996</v>
      </c>
    </row>
    <row r="1637" spans="2:8">
      <c r="B1637" s="555" t="s">
        <v>2254</v>
      </c>
      <c r="C1637" s="555" t="str">
        <f>VLOOKUP(D1637,기본!$D$13:$E$74,2,0)</f>
        <v>코웨이</v>
      </c>
      <c r="D1637" t="s">
        <v>2010</v>
      </c>
      <c r="E1637" t="s">
        <v>1093</v>
      </c>
      <c r="F1637" t="s">
        <v>1093</v>
      </c>
      <c r="G1637" s="554">
        <v>591</v>
      </c>
      <c r="H1637">
        <v>3.1629659999999999</v>
      </c>
    </row>
    <row r="1638" spans="2:8">
      <c r="B1638" s="555" t="s">
        <v>2254</v>
      </c>
      <c r="C1638" s="555" t="str">
        <f>VLOOKUP(D1638,기본!$D$13:$E$74,2,0)</f>
        <v>코웨이</v>
      </c>
      <c r="D1638" t="s">
        <v>2010</v>
      </c>
      <c r="E1638" t="s">
        <v>1094</v>
      </c>
      <c r="F1638" t="s">
        <v>1094</v>
      </c>
      <c r="G1638" s="554">
        <v>5529</v>
      </c>
      <c r="H1638">
        <v>17.248183999999998</v>
      </c>
    </row>
    <row r="1639" spans="2:8">
      <c r="B1639" s="555" t="s">
        <v>2254</v>
      </c>
      <c r="C1639" s="555" t="str">
        <f>VLOOKUP(D1639,기본!$D$13:$E$74,2,0)</f>
        <v>코웨이</v>
      </c>
      <c r="D1639" t="s">
        <v>2010</v>
      </c>
      <c r="E1639" t="s">
        <v>1095</v>
      </c>
      <c r="F1639" t="s">
        <v>1095</v>
      </c>
      <c r="G1639" s="554">
        <v>3673</v>
      </c>
      <c r="H1639">
        <v>22.170227999999998</v>
      </c>
    </row>
    <row r="1640" spans="2:8">
      <c r="B1640" s="555" t="s">
        <v>2254</v>
      </c>
      <c r="C1640" s="555" t="str">
        <f>VLOOKUP(D1640,기본!$D$13:$E$74,2,0)</f>
        <v>코웨이</v>
      </c>
      <c r="D1640" t="s">
        <v>2010</v>
      </c>
      <c r="E1640" t="s">
        <v>2015</v>
      </c>
      <c r="F1640" t="s">
        <v>2015</v>
      </c>
      <c r="G1640" s="554">
        <v>11</v>
      </c>
      <c r="H1640">
        <v>0.14174599999999998</v>
      </c>
    </row>
    <row r="1641" spans="2:8">
      <c r="B1641" s="555" t="s">
        <v>2254</v>
      </c>
      <c r="C1641" s="555" t="str">
        <f>VLOOKUP(D1641,기본!$D$13:$E$74,2,0)</f>
        <v>코웨이</v>
      </c>
      <c r="D1641" t="s">
        <v>2010</v>
      </c>
      <c r="E1641" t="s">
        <v>2197</v>
      </c>
      <c r="F1641" t="s">
        <v>2197</v>
      </c>
      <c r="G1641" s="554">
        <v>139</v>
      </c>
      <c r="H1641">
        <v>0.91767799999999999</v>
      </c>
    </row>
    <row r="1642" spans="2:8">
      <c r="B1642" s="555" t="s">
        <v>2254</v>
      </c>
      <c r="C1642" s="555" t="str">
        <f>VLOOKUP(D1642,기본!$D$13:$E$74,2,0)</f>
        <v>코웨이</v>
      </c>
      <c r="D1642" t="s">
        <v>2010</v>
      </c>
      <c r="E1642" t="s">
        <v>2016</v>
      </c>
      <c r="F1642" t="s">
        <v>2016</v>
      </c>
      <c r="G1642" s="554">
        <v>1971</v>
      </c>
      <c r="H1642">
        <v>13.044402</v>
      </c>
    </row>
    <row r="1643" spans="2:8">
      <c r="B1643" s="555" t="s">
        <v>2254</v>
      </c>
      <c r="C1643" s="555" t="str">
        <f>VLOOKUP(D1643,기본!$D$13:$E$74,2,0)</f>
        <v>코웨이</v>
      </c>
      <c r="D1643" t="s">
        <v>2010</v>
      </c>
      <c r="E1643" t="s">
        <v>2228</v>
      </c>
      <c r="F1643" t="s">
        <v>2228</v>
      </c>
      <c r="G1643" s="554">
        <v>56</v>
      </c>
      <c r="H1643">
        <v>0.491232</v>
      </c>
    </row>
    <row r="1644" spans="2:8">
      <c r="B1644" s="555" t="s">
        <v>2254</v>
      </c>
      <c r="C1644" s="555" t="str">
        <f>VLOOKUP(D1644,기본!$D$13:$E$74,2,0)</f>
        <v>코웨이</v>
      </c>
      <c r="D1644" t="s">
        <v>2010</v>
      </c>
      <c r="E1644" t="s">
        <v>2229</v>
      </c>
      <c r="F1644" t="s">
        <v>2229</v>
      </c>
      <c r="G1644" s="554">
        <v>56</v>
      </c>
      <c r="H1644">
        <v>0.82264000000000004</v>
      </c>
    </row>
    <row r="1645" spans="2:8">
      <c r="B1645" s="555" t="s">
        <v>2254</v>
      </c>
      <c r="C1645" s="555" t="str">
        <f>VLOOKUP(D1645,기본!$D$13:$E$74,2,0)</f>
        <v>코웨이</v>
      </c>
      <c r="D1645" t="s">
        <v>2010</v>
      </c>
      <c r="E1645" t="s">
        <v>2149</v>
      </c>
      <c r="F1645" t="s">
        <v>2149</v>
      </c>
      <c r="G1645" s="554">
        <v>3</v>
      </c>
      <c r="H1645">
        <v>2.9909999999999999E-2</v>
      </c>
    </row>
    <row r="1646" spans="2:8">
      <c r="B1646" s="555" t="s">
        <v>2254</v>
      </c>
      <c r="C1646" s="555" t="str">
        <f>VLOOKUP(D1646,기본!$D$13:$E$74,2,0)</f>
        <v>코웨이</v>
      </c>
      <c r="D1646" t="s">
        <v>2010</v>
      </c>
      <c r="E1646" t="s">
        <v>2017</v>
      </c>
      <c r="F1646" t="s">
        <v>2017</v>
      </c>
      <c r="G1646" s="554">
        <v>6</v>
      </c>
      <c r="H1646">
        <v>7.3775999999999994E-2</v>
      </c>
    </row>
    <row r="1647" spans="2:8">
      <c r="B1647" s="555" t="s">
        <v>2254</v>
      </c>
      <c r="C1647" s="555" t="str">
        <f>VLOOKUP(D1647,기본!$D$13:$E$74,2,0)</f>
        <v>코웨이</v>
      </c>
      <c r="D1647" t="s">
        <v>2010</v>
      </c>
      <c r="E1647" t="s">
        <v>2018</v>
      </c>
      <c r="F1647" t="s">
        <v>2018</v>
      </c>
      <c r="G1647" s="554">
        <v>100</v>
      </c>
      <c r="H1647">
        <v>1.2837000000000001</v>
      </c>
    </row>
    <row r="1648" spans="2:8">
      <c r="B1648" s="555" t="s">
        <v>2254</v>
      </c>
      <c r="C1648" s="555" t="str">
        <f>VLOOKUP(D1648,기본!$D$13:$E$74,2,0)</f>
        <v>코웨이</v>
      </c>
      <c r="D1648" t="s">
        <v>2010</v>
      </c>
      <c r="E1648" t="s">
        <v>2020</v>
      </c>
      <c r="F1648" t="s">
        <v>2020</v>
      </c>
      <c r="G1648" s="554">
        <v>37</v>
      </c>
      <c r="H1648">
        <v>0.56826099999999991</v>
      </c>
    </row>
    <row r="1649" spans="2:8">
      <c r="B1649" s="555" t="s">
        <v>2254</v>
      </c>
      <c r="C1649" s="555" t="str">
        <f>VLOOKUP(D1649,기본!$D$13:$E$74,2,0)</f>
        <v>코웨이</v>
      </c>
      <c r="D1649" t="s">
        <v>2010</v>
      </c>
      <c r="E1649" t="s">
        <v>2021</v>
      </c>
      <c r="F1649" t="s">
        <v>2021</v>
      </c>
      <c r="G1649" s="554">
        <v>13067</v>
      </c>
      <c r="H1649">
        <v>168.84671999999998</v>
      </c>
    </row>
    <row r="1650" spans="2:8">
      <c r="B1650" s="555" t="s">
        <v>2254</v>
      </c>
      <c r="C1650" s="555" t="str">
        <f>VLOOKUP(D1650,기본!$D$13:$E$74,2,0)</f>
        <v>코웨이</v>
      </c>
      <c r="D1650" t="s">
        <v>2010</v>
      </c>
      <c r="E1650" t="s">
        <v>1542</v>
      </c>
      <c r="F1650" t="s">
        <v>1542</v>
      </c>
      <c r="G1650" s="554">
        <v>1371</v>
      </c>
      <c r="H1650">
        <v>10.707509999999999</v>
      </c>
    </row>
    <row r="1651" spans="2:8">
      <c r="B1651" s="555" t="s">
        <v>2254</v>
      </c>
      <c r="C1651" s="555" t="str">
        <f>VLOOKUP(D1651,기본!$D$13:$E$74,2,0)</f>
        <v>코웨이</v>
      </c>
      <c r="D1651" t="s">
        <v>2010</v>
      </c>
      <c r="E1651" t="s">
        <v>1543</v>
      </c>
      <c r="F1651" t="s">
        <v>1543</v>
      </c>
      <c r="G1651" s="554">
        <v>224</v>
      </c>
      <c r="H1651">
        <v>1.612352</v>
      </c>
    </row>
    <row r="1652" spans="2:8">
      <c r="B1652" s="555" t="s">
        <v>2254</v>
      </c>
      <c r="C1652" s="555" t="str">
        <f>VLOOKUP(D1652,기본!$D$13:$E$74,2,0)</f>
        <v>코웨이</v>
      </c>
      <c r="D1652" t="s">
        <v>2010</v>
      </c>
      <c r="E1652" t="s">
        <v>2022</v>
      </c>
      <c r="F1652" t="s">
        <v>2022</v>
      </c>
      <c r="G1652" s="554">
        <v>218</v>
      </c>
      <c r="H1652">
        <v>1.6993100000000001</v>
      </c>
    </row>
    <row r="1653" spans="2:8">
      <c r="B1653" s="555" t="s">
        <v>2254</v>
      </c>
      <c r="C1653" s="555" t="str">
        <f>VLOOKUP(D1653,기본!$D$13:$E$74,2,0)</f>
        <v>코웨이</v>
      </c>
      <c r="D1653" t="s">
        <v>2010</v>
      </c>
      <c r="E1653" t="s">
        <v>2023</v>
      </c>
      <c r="F1653" t="s">
        <v>2023</v>
      </c>
      <c r="G1653" s="554">
        <v>703</v>
      </c>
      <c r="H1653">
        <v>5.0967570000000002</v>
      </c>
    </row>
    <row r="1654" spans="2:8">
      <c r="B1654" s="555" t="s">
        <v>2254</v>
      </c>
      <c r="C1654" s="555" t="str">
        <f>VLOOKUP(D1654,기본!$D$13:$E$74,2,0)</f>
        <v>코웨이</v>
      </c>
      <c r="D1654" t="s">
        <v>2010</v>
      </c>
      <c r="E1654" t="s">
        <v>2025</v>
      </c>
      <c r="F1654" t="s">
        <v>2025</v>
      </c>
      <c r="G1654" s="554">
        <v>1008</v>
      </c>
      <c r="H1654">
        <v>8.9580960000000012</v>
      </c>
    </row>
    <row r="1655" spans="2:8">
      <c r="B1655" s="555" t="s">
        <v>2254</v>
      </c>
      <c r="C1655" s="555" t="str">
        <f>VLOOKUP(D1655,기본!$D$13:$E$74,2,0)</f>
        <v>코웨이</v>
      </c>
      <c r="D1655" t="s">
        <v>2010</v>
      </c>
      <c r="E1655" t="s">
        <v>2027</v>
      </c>
      <c r="F1655" t="s">
        <v>2027</v>
      </c>
      <c r="G1655" s="554">
        <v>65</v>
      </c>
      <c r="H1655">
        <v>1.2610000000000001</v>
      </c>
    </row>
    <row r="1656" spans="2:8">
      <c r="B1656" s="555" t="s">
        <v>2254</v>
      </c>
      <c r="C1656" s="555" t="str">
        <f>VLOOKUP(D1656,기본!$D$13:$E$74,2,0)</f>
        <v>코웨이</v>
      </c>
      <c r="D1656" t="s">
        <v>2010</v>
      </c>
      <c r="E1656" t="s">
        <v>2028</v>
      </c>
      <c r="F1656" t="s">
        <v>2028</v>
      </c>
      <c r="G1656" s="554">
        <v>3</v>
      </c>
      <c r="H1656">
        <v>5.67E-2</v>
      </c>
    </row>
    <row r="1657" spans="2:8">
      <c r="B1657" s="555" t="s">
        <v>2254</v>
      </c>
      <c r="C1657" s="555" t="str">
        <f>VLOOKUP(D1657,기본!$D$13:$E$74,2,0)</f>
        <v>코웨이</v>
      </c>
      <c r="D1657" t="s">
        <v>2010</v>
      </c>
      <c r="E1657" t="s">
        <v>2029</v>
      </c>
      <c r="F1657" t="s">
        <v>2029</v>
      </c>
      <c r="G1657" s="554">
        <v>535</v>
      </c>
      <c r="H1657">
        <v>11.014044999999999</v>
      </c>
    </row>
    <row r="1658" spans="2:8">
      <c r="B1658" s="555" t="s">
        <v>2254</v>
      </c>
      <c r="C1658" s="555" t="str">
        <f>VLOOKUP(D1658,기본!$D$13:$E$74,2,0)</f>
        <v>코웨이</v>
      </c>
      <c r="D1658" t="s">
        <v>2010</v>
      </c>
      <c r="E1658" t="s">
        <v>2030</v>
      </c>
      <c r="F1658" t="s">
        <v>2030</v>
      </c>
      <c r="G1658" s="554">
        <v>198</v>
      </c>
      <c r="H1658">
        <v>4.0762260000000001</v>
      </c>
    </row>
    <row r="1659" spans="2:8">
      <c r="B1659" s="555" t="s">
        <v>2254</v>
      </c>
      <c r="C1659" s="555" t="str">
        <f>VLOOKUP(D1659,기본!$D$13:$E$74,2,0)</f>
        <v>코웨이</v>
      </c>
      <c r="D1659" t="s">
        <v>2010</v>
      </c>
      <c r="E1659" t="s">
        <v>2151</v>
      </c>
      <c r="F1659" t="s">
        <v>2151</v>
      </c>
      <c r="G1659" s="554">
        <v>703</v>
      </c>
      <c r="H1659">
        <v>5.226102</v>
      </c>
    </row>
    <row r="1660" spans="2:8">
      <c r="B1660" s="555" t="s">
        <v>2254</v>
      </c>
      <c r="C1660" s="555" t="str">
        <f>VLOOKUP(D1660,기본!$D$13:$E$74,2,0)</f>
        <v>코웨이</v>
      </c>
      <c r="D1660" t="s">
        <v>2010</v>
      </c>
      <c r="E1660" t="s">
        <v>2032</v>
      </c>
      <c r="F1660" t="s">
        <v>2032</v>
      </c>
      <c r="G1660" s="554">
        <v>483</v>
      </c>
      <c r="H1660">
        <v>1.0679129999999999</v>
      </c>
    </row>
    <row r="1661" spans="2:8">
      <c r="B1661" s="555" t="s">
        <v>2254</v>
      </c>
      <c r="C1661" s="555" t="str">
        <f>VLOOKUP(D1661,기본!$D$13:$E$74,2,0)</f>
        <v>코웨이</v>
      </c>
      <c r="D1661" t="s">
        <v>2010</v>
      </c>
      <c r="E1661" t="s">
        <v>2033</v>
      </c>
      <c r="F1661" t="s">
        <v>2033</v>
      </c>
      <c r="G1661" s="554">
        <v>2050</v>
      </c>
      <c r="H1661">
        <v>12.088375000000001</v>
      </c>
    </row>
    <row r="1662" spans="2:8">
      <c r="B1662" s="555" t="s">
        <v>2254</v>
      </c>
      <c r="C1662" s="555" t="str">
        <f>VLOOKUP(D1662,기본!$D$13:$E$74,2,0)</f>
        <v>코웨이</v>
      </c>
      <c r="D1662" t="s">
        <v>2010</v>
      </c>
      <c r="E1662" t="s">
        <v>2034</v>
      </c>
      <c r="F1662" t="s">
        <v>2034</v>
      </c>
      <c r="G1662" s="554">
        <v>14049</v>
      </c>
      <c r="H1662">
        <v>216.24019199999998</v>
      </c>
    </row>
    <row r="1663" spans="2:8">
      <c r="B1663" s="555" t="s">
        <v>2254</v>
      </c>
      <c r="C1663" s="555" t="str">
        <f>VLOOKUP(D1663,기본!$D$13:$E$74,2,0)</f>
        <v>코웨이</v>
      </c>
      <c r="D1663" t="s">
        <v>2010</v>
      </c>
      <c r="E1663" t="s">
        <v>2035</v>
      </c>
      <c r="F1663" t="s">
        <v>2035</v>
      </c>
      <c r="G1663" s="554">
        <v>252</v>
      </c>
      <c r="H1663">
        <v>4.2147000000000006</v>
      </c>
    </row>
    <row r="1664" spans="2:8">
      <c r="B1664" s="555" t="s">
        <v>2254</v>
      </c>
      <c r="C1664" s="555" t="str">
        <f>VLOOKUP(D1664,기본!$D$13:$E$74,2,0)</f>
        <v>코웨이</v>
      </c>
      <c r="D1664" t="s">
        <v>2010</v>
      </c>
      <c r="E1664" t="s">
        <v>2248</v>
      </c>
      <c r="F1664" t="s">
        <v>2248</v>
      </c>
      <c r="G1664" s="554">
        <v>30</v>
      </c>
      <c r="H1664">
        <v>0.58511999999999997</v>
      </c>
    </row>
    <row r="1665" spans="2:8">
      <c r="B1665" s="555" t="s">
        <v>2254</v>
      </c>
      <c r="C1665" s="555" t="str">
        <f>VLOOKUP(D1665,기본!$D$13:$E$74,2,0)</f>
        <v>코웨이</v>
      </c>
      <c r="D1665" t="s">
        <v>2010</v>
      </c>
      <c r="E1665" t="s">
        <v>2249</v>
      </c>
      <c r="F1665" t="s">
        <v>2249</v>
      </c>
      <c r="G1665" s="554">
        <v>2</v>
      </c>
      <c r="H1665">
        <v>4.0624E-2</v>
      </c>
    </row>
    <row r="1666" spans="2:8">
      <c r="B1666" s="555" t="s">
        <v>2254</v>
      </c>
      <c r="C1666" s="555" t="str">
        <f>VLOOKUP(D1666,기본!$D$13:$E$74,2,0)</f>
        <v>코웨이</v>
      </c>
      <c r="D1666" t="s">
        <v>2010</v>
      </c>
      <c r="E1666" t="s">
        <v>2036</v>
      </c>
      <c r="F1666" t="s">
        <v>2036</v>
      </c>
      <c r="G1666" s="554">
        <v>3069</v>
      </c>
      <c r="H1666">
        <v>47.001374999999989</v>
      </c>
    </row>
    <row r="1667" spans="2:8">
      <c r="B1667" s="555" t="s">
        <v>2254</v>
      </c>
      <c r="C1667" s="555" t="str">
        <f>VLOOKUP(D1667,기본!$D$13:$E$74,2,0)</f>
        <v>코웨이</v>
      </c>
      <c r="D1667" t="s">
        <v>2010</v>
      </c>
      <c r="E1667" t="s">
        <v>2037</v>
      </c>
      <c r="F1667" t="s">
        <v>2037</v>
      </c>
      <c r="G1667" s="554">
        <v>470</v>
      </c>
      <c r="H1667">
        <v>7.37181</v>
      </c>
    </row>
    <row r="1668" spans="2:8">
      <c r="B1668" s="555" t="s">
        <v>2254</v>
      </c>
      <c r="C1668" s="555" t="str">
        <f>VLOOKUP(D1668,기본!$D$13:$E$74,2,0)</f>
        <v>코웨이</v>
      </c>
      <c r="D1668" t="s">
        <v>2010</v>
      </c>
      <c r="E1668" t="s">
        <v>2038</v>
      </c>
      <c r="F1668" t="s">
        <v>2038</v>
      </c>
      <c r="G1668" s="554">
        <v>243</v>
      </c>
      <c r="H1668">
        <v>3.861513</v>
      </c>
    </row>
    <row r="1669" spans="2:8">
      <c r="B1669" s="555" t="s">
        <v>2254</v>
      </c>
      <c r="C1669" s="555" t="str">
        <f>VLOOKUP(D1669,기본!$D$13:$E$74,2,0)</f>
        <v>코웨이</v>
      </c>
      <c r="D1669" t="s">
        <v>2010</v>
      </c>
      <c r="E1669" t="s">
        <v>2041</v>
      </c>
      <c r="F1669" t="s">
        <v>2041</v>
      </c>
      <c r="G1669" s="554">
        <v>1264</v>
      </c>
      <c r="H1669">
        <v>20.696735999999998</v>
      </c>
    </row>
    <row r="1670" spans="2:8">
      <c r="B1670" s="555" t="s">
        <v>2254</v>
      </c>
      <c r="C1670" s="555" t="str">
        <f>VLOOKUP(D1670,기본!$D$13:$E$74,2,0)</f>
        <v>코웨이</v>
      </c>
      <c r="D1670" t="s">
        <v>2010</v>
      </c>
      <c r="E1670" t="s">
        <v>1089</v>
      </c>
      <c r="F1670" t="s">
        <v>1089</v>
      </c>
      <c r="G1670" s="554">
        <v>5073</v>
      </c>
      <c r="H1670">
        <v>56.898111</v>
      </c>
    </row>
    <row r="1671" spans="2:8">
      <c r="B1671" s="555" t="s">
        <v>2254</v>
      </c>
      <c r="C1671" s="555" t="str">
        <f>VLOOKUP(D1671,기본!$D$13:$E$74,2,0)</f>
        <v>코웨이</v>
      </c>
      <c r="D1671" t="s">
        <v>2010</v>
      </c>
      <c r="E1671" t="s">
        <v>2250</v>
      </c>
      <c r="F1671" t="s">
        <v>2250</v>
      </c>
      <c r="G1671" s="554">
        <v>90</v>
      </c>
      <c r="H1671">
        <v>0.59391000000000005</v>
      </c>
    </row>
    <row r="1672" spans="2:8">
      <c r="B1672" s="555" t="s">
        <v>2254</v>
      </c>
      <c r="C1672" s="555" t="str">
        <f>VLOOKUP(D1672,기본!$D$13:$E$74,2,0)</f>
        <v>코웨이</v>
      </c>
      <c r="D1672" t="s">
        <v>2010</v>
      </c>
      <c r="E1672" t="s">
        <v>2043</v>
      </c>
      <c r="F1672" t="s">
        <v>2043</v>
      </c>
      <c r="G1672" s="554">
        <v>1386</v>
      </c>
      <c r="H1672">
        <v>11.596661999999998</v>
      </c>
    </row>
    <row r="1673" spans="2:8">
      <c r="B1673" s="555" t="s">
        <v>2254</v>
      </c>
      <c r="C1673" s="555" t="str">
        <f>VLOOKUP(D1673,기본!$D$13:$E$74,2,0)</f>
        <v>코웨이</v>
      </c>
      <c r="D1673" t="s">
        <v>2010</v>
      </c>
      <c r="E1673" t="s">
        <v>2044</v>
      </c>
      <c r="F1673" t="s">
        <v>2044</v>
      </c>
      <c r="G1673" s="554">
        <v>125</v>
      </c>
      <c r="H1673">
        <v>2.04955</v>
      </c>
    </row>
    <row r="1674" spans="2:8">
      <c r="B1674" s="555" t="s">
        <v>2254</v>
      </c>
      <c r="C1674" s="555" t="str">
        <f>VLOOKUP(D1674,기본!$D$13:$E$74,2,0)</f>
        <v>코웨이</v>
      </c>
      <c r="D1674" t="s">
        <v>2010</v>
      </c>
      <c r="E1674" t="s">
        <v>2152</v>
      </c>
      <c r="F1674" t="s">
        <v>2152</v>
      </c>
      <c r="G1674" s="554">
        <v>17</v>
      </c>
      <c r="H1674">
        <v>6.4327999999999996E-2</v>
      </c>
    </row>
    <row r="1675" spans="2:8">
      <c r="B1675" s="555" t="s">
        <v>2254</v>
      </c>
      <c r="C1675" s="555" t="str">
        <f>VLOOKUP(D1675,기본!$D$13:$E$74,2,0)</f>
        <v>코웨이</v>
      </c>
      <c r="D1675" t="s">
        <v>2010</v>
      </c>
      <c r="E1675" t="s">
        <v>2045</v>
      </c>
      <c r="F1675" t="s">
        <v>2045</v>
      </c>
      <c r="G1675" s="554">
        <v>10</v>
      </c>
      <c r="H1675">
        <v>0.16936999999999999</v>
      </c>
    </row>
    <row r="1676" spans="2:8">
      <c r="B1676" s="555" t="s">
        <v>2254</v>
      </c>
      <c r="C1676" s="555" t="str">
        <f>VLOOKUP(D1676,기본!$D$13:$E$74,2,0)</f>
        <v>코웨이</v>
      </c>
      <c r="D1676" t="s">
        <v>2010</v>
      </c>
      <c r="E1676" t="s">
        <v>2046</v>
      </c>
      <c r="F1676" t="s">
        <v>2046</v>
      </c>
      <c r="G1676" s="554">
        <v>2382</v>
      </c>
      <c r="H1676">
        <v>37.050573</v>
      </c>
    </row>
    <row r="1677" spans="2:8">
      <c r="B1677" s="555" t="s">
        <v>2254</v>
      </c>
      <c r="C1677" s="555" t="str">
        <f>VLOOKUP(D1677,기본!$D$13:$E$74,2,0)</f>
        <v>코웨이</v>
      </c>
      <c r="D1677" t="s">
        <v>2010</v>
      </c>
      <c r="E1677" t="s">
        <v>2048</v>
      </c>
      <c r="F1677" t="s">
        <v>2048</v>
      </c>
      <c r="G1677" s="554">
        <v>3</v>
      </c>
      <c r="H1677">
        <v>6.6168000000000005E-2</v>
      </c>
    </row>
    <row r="1678" spans="2:8">
      <c r="B1678" s="555" t="s">
        <v>2254</v>
      </c>
      <c r="C1678" s="555" t="str">
        <f>VLOOKUP(D1678,기본!$D$13:$E$74,2,0)</f>
        <v>코웨이</v>
      </c>
      <c r="D1678" t="s">
        <v>2010</v>
      </c>
      <c r="E1678" t="s">
        <v>2153</v>
      </c>
      <c r="F1678" t="s">
        <v>2153</v>
      </c>
      <c r="G1678" s="554">
        <v>3</v>
      </c>
      <c r="H1678">
        <v>5.7921E-2</v>
      </c>
    </row>
    <row r="1679" spans="2:8">
      <c r="B1679" s="555" t="s">
        <v>2254</v>
      </c>
      <c r="C1679" s="555" t="str">
        <f>VLOOKUP(D1679,기본!$D$13:$E$74,2,0)</f>
        <v>코웨이</v>
      </c>
      <c r="D1679" t="s">
        <v>2010</v>
      </c>
      <c r="E1679" t="s">
        <v>2049</v>
      </c>
      <c r="F1679" t="s">
        <v>2049</v>
      </c>
      <c r="G1679" s="554">
        <v>3</v>
      </c>
      <c r="H1679">
        <v>7.2093000000000004E-2</v>
      </c>
    </row>
    <row r="1680" spans="2:8">
      <c r="B1680" s="555" t="s">
        <v>2254</v>
      </c>
      <c r="C1680" s="555" t="str">
        <f>VLOOKUP(D1680,기본!$D$13:$E$74,2,0)</f>
        <v>코웨이</v>
      </c>
      <c r="D1680" t="s">
        <v>2010</v>
      </c>
      <c r="E1680" t="s">
        <v>1215</v>
      </c>
      <c r="F1680" t="s">
        <v>1215</v>
      </c>
      <c r="G1680" s="554">
        <v>250</v>
      </c>
      <c r="H1680">
        <v>7.6563400000000001</v>
      </c>
    </row>
    <row r="1681" spans="2:8">
      <c r="B1681" s="555" t="s">
        <v>2254</v>
      </c>
      <c r="C1681" s="555" t="str">
        <f>VLOOKUP(D1681,기본!$D$13:$E$74,2,0)</f>
        <v>코웨이</v>
      </c>
      <c r="D1681" t="s">
        <v>2010</v>
      </c>
      <c r="E1681" t="s">
        <v>1216</v>
      </c>
      <c r="F1681" t="s">
        <v>1216</v>
      </c>
      <c r="G1681" s="554">
        <v>3</v>
      </c>
      <c r="H1681">
        <v>8.0852999999999994E-2</v>
      </c>
    </row>
    <row r="1682" spans="2:8">
      <c r="B1682" s="555" t="s">
        <v>2254</v>
      </c>
      <c r="C1682" s="555" t="str">
        <f>VLOOKUP(D1682,기본!$D$13:$E$74,2,0)</f>
        <v>코웨이</v>
      </c>
      <c r="D1682" t="s">
        <v>2010</v>
      </c>
      <c r="E1682" t="s">
        <v>2050</v>
      </c>
      <c r="F1682" t="s">
        <v>2050</v>
      </c>
      <c r="G1682" s="554">
        <v>262</v>
      </c>
      <c r="H1682">
        <v>6.1529980000000002</v>
      </c>
    </row>
    <row r="1683" spans="2:8">
      <c r="B1683" s="555" t="s">
        <v>2254</v>
      </c>
      <c r="C1683" s="555" t="str">
        <f>VLOOKUP(D1683,기본!$D$13:$E$74,2,0)</f>
        <v>코웨이</v>
      </c>
      <c r="D1683" t="s">
        <v>2010</v>
      </c>
      <c r="E1683" t="s">
        <v>2051</v>
      </c>
      <c r="F1683" t="s">
        <v>2051</v>
      </c>
      <c r="G1683" s="554">
        <v>710</v>
      </c>
      <c r="H1683">
        <v>17.182390000000002</v>
      </c>
    </row>
    <row r="1684" spans="2:8">
      <c r="B1684" s="555" t="s">
        <v>2254</v>
      </c>
      <c r="C1684" s="555" t="str">
        <f>VLOOKUP(D1684,기본!$D$13:$E$74,2,0)</f>
        <v>코웨이</v>
      </c>
      <c r="D1684" t="s">
        <v>2010</v>
      </c>
      <c r="E1684" t="s">
        <v>2052</v>
      </c>
      <c r="F1684" t="s">
        <v>2052</v>
      </c>
      <c r="G1684" s="554">
        <v>375</v>
      </c>
      <c r="H1684">
        <v>8.64</v>
      </c>
    </row>
    <row r="1685" spans="2:8">
      <c r="B1685" s="555" t="s">
        <v>2254</v>
      </c>
      <c r="C1685" s="555" t="str">
        <f>VLOOKUP(D1685,기본!$D$13:$E$74,2,0)</f>
        <v>코웨이</v>
      </c>
      <c r="D1685" t="s">
        <v>2010</v>
      </c>
      <c r="E1685" t="s">
        <v>2053</v>
      </c>
      <c r="F1685" t="s">
        <v>2053</v>
      </c>
      <c r="G1685" s="554">
        <v>286</v>
      </c>
      <c r="H1685">
        <v>7.4376519999999999</v>
      </c>
    </row>
    <row r="1686" spans="2:8">
      <c r="B1686" s="555" t="s">
        <v>2254</v>
      </c>
      <c r="C1686" s="555" t="str">
        <f>VLOOKUP(D1686,기본!$D$13:$E$74,2,0)</f>
        <v>코웨이</v>
      </c>
      <c r="D1686" t="s">
        <v>2010</v>
      </c>
      <c r="E1686" t="s">
        <v>1217</v>
      </c>
      <c r="F1686" t="s">
        <v>1217</v>
      </c>
      <c r="G1686" s="554">
        <v>95</v>
      </c>
      <c r="H1686">
        <v>2.86978</v>
      </c>
    </row>
    <row r="1687" spans="2:8">
      <c r="B1687" s="555" t="s">
        <v>2254</v>
      </c>
      <c r="C1687" s="555" t="str">
        <f>VLOOKUP(D1687,기본!$D$13:$E$74,2,0)</f>
        <v>코웨이</v>
      </c>
      <c r="D1687" t="s">
        <v>2010</v>
      </c>
      <c r="E1687" t="s">
        <v>2054</v>
      </c>
      <c r="F1687" t="s">
        <v>2054</v>
      </c>
      <c r="G1687" s="554">
        <v>9</v>
      </c>
      <c r="H1687">
        <v>0.28421099999999999</v>
      </c>
    </row>
    <row r="1688" spans="2:8">
      <c r="B1688" s="555" t="s">
        <v>2254</v>
      </c>
      <c r="C1688" s="555" t="str">
        <f>VLOOKUP(D1688,기본!$D$13:$E$74,2,0)</f>
        <v>코웨이</v>
      </c>
      <c r="D1688" t="s">
        <v>2010</v>
      </c>
      <c r="E1688" t="s">
        <v>2055</v>
      </c>
      <c r="F1688" t="s">
        <v>2055</v>
      </c>
      <c r="G1688" s="554">
        <v>3</v>
      </c>
      <c r="H1688">
        <v>8.5583999999999993E-2</v>
      </c>
    </row>
    <row r="1689" spans="2:8">
      <c r="B1689" s="555" t="s">
        <v>2254</v>
      </c>
      <c r="C1689" s="555" t="str">
        <f>VLOOKUP(D1689,기본!$D$13:$E$74,2,0)</f>
        <v>코웨이</v>
      </c>
      <c r="D1689" t="s">
        <v>2010</v>
      </c>
      <c r="E1689" t="s">
        <v>2056</v>
      </c>
      <c r="F1689" t="s">
        <v>2056</v>
      </c>
      <c r="G1689" s="554">
        <v>1841</v>
      </c>
      <c r="H1689">
        <v>35.373611999999994</v>
      </c>
    </row>
    <row r="1690" spans="2:8">
      <c r="B1690" s="555" t="s">
        <v>2254</v>
      </c>
      <c r="C1690" s="555" t="str">
        <f>VLOOKUP(D1690,기본!$D$13:$E$74,2,0)</f>
        <v>코웨이</v>
      </c>
      <c r="D1690" t="s">
        <v>2010</v>
      </c>
      <c r="E1690" t="s">
        <v>2154</v>
      </c>
      <c r="F1690" t="s">
        <v>2154</v>
      </c>
      <c r="G1690" s="554">
        <v>194</v>
      </c>
      <c r="H1690">
        <v>3.8024</v>
      </c>
    </row>
    <row r="1691" spans="2:8">
      <c r="B1691" s="555" t="s">
        <v>2254</v>
      </c>
      <c r="C1691" s="555" t="str">
        <f>VLOOKUP(D1691,기본!$D$13:$E$74,2,0)</f>
        <v>코웨이</v>
      </c>
      <c r="D1691" t="s">
        <v>2010</v>
      </c>
      <c r="E1691" t="s">
        <v>2057</v>
      </c>
      <c r="F1691" t="s">
        <v>2057</v>
      </c>
      <c r="G1691" s="554">
        <v>617</v>
      </c>
      <c r="H1691">
        <v>18.313147000000001</v>
      </c>
    </row>
    <row r="1692" spans="2:8">
      <c r="B1692" s="555" t="s">
        <v>2254</v>
      </c>
      <c r="C1692" s="555" t="str">
        <f>VLOOKUP(D1692,기본!$D$13:$E$74,2,0)</f>
        <v>코웨이</v>
      </c>
      <c r="D1692" t="s">
        <v>2010</v>
      </c>
      <c r="E1692" t="s">
        <v>1328</v>
      </c>
      <c r="F1692" t="s">
        <v>1328</v>
      </c>
      <c r="G1692" s="554">
        <v>200</v>
      </c>
      <c r="H1692">
        <v>0.61860000000000004</v>
      </c>
    </row>
    <row r="1693" spans="2:8">
      <c r="B1693" s="555" t="s">
        <v>2254</v>
      </c>
      <c r="C1693" s="555" t="str">
        <f>VLOOKUP(D1693,기본!$D$13:$E$74,2,0)</f>
        <v>코웨이</v>
      </c>
      <c r="D1693" t="s">
        <v>2010</v>
      </c>
      <c r="E1693" t="s">
        <v>1327</v>
      </c>
      <c r="F1693" t="s">
        <v>1327</v>
      </c>
      <c r="G1693" s="554">
        <v>214</v>
      </c>
      <c r="H1693">
        <v>2.2120379999999997</v>
      </c>
    </row>
    <row r="1694" spans="2:8">
      <c r="B1694" s="555" t="s">
        <v>2254</v>
      </c>
      <c r="C1694" s="555" t="str">
        <f>VLOOKUP(D1694,기본!$D$13:$E$74,2,0)</f>
        <v>코웨이</v>
      </c>
      <c r="D1694" t="s">
        <v>2010</v>
      </c>
      <c r="E1694" t="s">
        <v>1325</v>
      </c>
      <c r="F1694" t="s">
        <v>1325</v>
      </c>
      <c r="G1694" s="554">
        <v>156</v>
      </c>
      <c r="H1694">
        <v>5.2149999999999999</v>
      </c>
    </row>
    <row r="1695" spans="2:8">
      <c r="B1695" s="555" t="s">
        <v>2254</v>
      </c>
      <c r="C1695" s="555" t="str">
        <f>VLOOKUP(D1695,기본!$D$13:$E$74,2,0)</f>
        <v>코웨이</v>
      </c>
      <c r="D1695" t="s">
        <v>2010</v>
      </c>
      <c r="E1695" t="s">
        <v>1326</v>
      </c>
      <c r="F1695" t="s">
        <v>1326</v>
      </c>
      <c r="G1695" s="554">
        <v>60</v>
      </c>
      <c r="H1695">
        <v>1.95966</v>
      </c>
    </row>
    <row r="1696" spans="2:8">
      <c r="B1696" s="555" t="s">
        <v>2254</v>
      </c>
      <c r="C1696" s="555" t="str">
        <f>VLOOKUP(D1696,기본!$D$13:$E$74,2,0)</f>
        <v>코웨이</v>
      </c>
      <c r="D1696" t="s">
        <v>2010</v>
      </c>
      <c r="E1696" t="s">
        <v>2059</v>
      </c>
      <c r="F1696" t="s">
        <v>2059</v>
      </c>
      <c r="G1696" s="554">
        <v>216</v>
      </c>
      <c r="H1696">
        <v>8.0722480000000001</v>
      </c>
    </row>
    <row r="1697" spans="2:8">
      <c r="B1697" s="555" t="s">
        <v>2254</v>
      </c>
      <c r="C1697" s="555" t="str">
        <f>VLOOKUP(D1697,기본!$D$13:$E$74,2,0)</f>
        <v>코웨이</v>
      </c>
      <c r="D1697" t="s">
        <v>2010</v>
      </c>
      <c r="E1697" t="s">
        <v>2199</v>
      </c>
      <c r="F1697" t="s">
        <v>2199</v>
      </c>
      <c r="G1697" s="554">
        <v>576</v>
      </c>
      <c r="H1697">
        <v>3.2664960000000001</v>
      </c>
    </row>
    <row r="1698" spans="2:8">
      <c r="B1698" s="555" t="s">
        <v>2254</v>
      </c>
      <c r="C1698" s="555" t="str">
        <f>VLOOKUP(D1698,기본!$D$13:$E$74,2,0)</f>
        <v>코웨이</v>
      </c>
      <c r="D1698" t="s">
        <v>2010</v>
      </c>
      <c r="E1698" t="s">
        <v>1071</v>
      </c>
      <c r="F1698" t="s">
        <v>1071</v>
      </c>
      <c r="G1698" s="554">
        <v>72</v>
      </c>
      <c r="H1698">
        <v>0.12816</v>
      </c>
    </row>
    <row r="1699" spans="2:8">
      <c r="B1699" s="555" t="s">
        <v>2254</v>
      </c>
      <c r="C1699" s="555" t="str">
        <f>VLOOKUP(D1699,기본!$D$13:$E$74,2,0)</f>
        <v>코웨이</v>
      </c>
      <c r="D1699" t="s">
        <v>2010</v>
      </c>
      <c r="E1699" t="s">
        <v>2155</v>
      </c>
      <c r="F1699" t="s">
        <v>2155</v>
      </c>
      <c r="G1699" s="554">
        <v>216</v>
      </c>
      <c r="H1699">
        <v>1.2311999999999999</v>
      </c>
    </row>
    <row r="1700" spans="2:8">
      <c r="B1700" s="555" t="s">
        <v>2254</v>
      </c>
      <c r="C1700" s="555" t="str">
        <f>VLOOKUP(D1700,기본!$D$13:$E$74,2,0)</f>
        <v>코웨이</v>
      </c>
      <c r="D1700" t="s">
        <v>2010</v>
      </c>
      <c r="E1700" t="s">
        <v>2061</v>
      </c>
      <c r="F1700" t="s">
        <v>2061</v>
      </c>
      <c r="G1700" s="554">
        <v>16</v>
      </c>
      <c r="H1700">
        <v>9.9535999999999999E-2</v>
      </c>
    </row>
    <row r="1701" spans="2:8">
      <c r="B1701" s="555" t="s">
        <v>2254</v>
      </c>
      <c r="C1701" s="555" t="str">
        <f>VLOOKUP(D1701,기본!$D$13:$E$74,2,0)</f>
        <v>코웨이</v>
      </c>
      <c r="D1701" t="s">
        <v>2010</v>
      </c>
      <c r="E1701" t="s">
        <v>2062</v>
      </c>
      <c r="F1701" t="s">
        <v>2062</v>
      </c>
      <c r="G1701" s="554">
        <v>3424</v>
      </c>
      <c r="H1701">
        <v>19.585280000000001</v>
      </c>
    </row>
    <row r="1702" spans="2:8">
      <c r="B1702" s="555" t="s">
        <v>2254</v>
      </c>
      <c r="C1702" s="555" t="str">
        <f>VLOOKUP(D1702,기본!$D$13:$E$74,2,0)</f>
        <v>코웨이</v>
      </c>
      <c r="D1702" t="s">
        <v>2010</v>
      </c>
      <c r="E1702" t="s">
        <v>2063</v>
      </c>
      <c r="F1702" t="s">
        <v>2063</v>
      </c>
      <c r="G1702" s="554">
        <v>9</v>
      </c>
      <c r="H1702">
        <v>5.2254000000000002E-2</v>
      </c>
    </row>
    <row r="1703" spans="2:8">
      <c r="B1703" s="555" t="s">
        <v>2254</v>
      </c>
      <c r="C1703" s="555" t="str">
        <f>VLOOKUP(D1703,기본!$D$13:$E$74,2,0)</f>
        <v>코웨이</v>
      </c>
      <c r="D1703" t="s">
        <v>2010</v>
      </c>
      <c r="E1703" t="s">
        <v>2064</v>
      </c>
      <c r="F1703" t="s">
        <v>2064</v>
      </c>
      <c r="G1703" s="554">
        <v>5</v>
      </c>
      <c r="H1703">
        <v>0.18414</v>
      </c>
    </row>
    <row r="1704" spans="2:8">
      <c r="B1704" s="555" t="s">
        <v>2254</v>
      </c>
      <c r="C1704" s="555" t="str">
        <f>VLOOKUP(D1704,기본!$D$13:$E$74,2,0)</f>
        <v>코웨이</v>
      </c>
      <c r="D1704" t="s">
        <v>2010</v>
      </c>
      <c r="E1704" t="s">
        <v>2065</v>
      </c>
      <c r="F1704" t="s">
        <v>2065</v>
      </c>
      <c r="G1704" s="554">
        <v>3</v>
      </c>
      <c r="H1704">
        <v>3.2382000000000001E-2</v>
      </c>
    </row>
    <row r="1705" spans="2:8">
      <c r="B1705" s="555" t="s">
        <v>2254</v>
      </c>
      <c r="C1705" s="555" t="str">
        <f>VLOOKUP(D1705,기본!$D$13:$E$74,2,0)</f>
        <v>코웨이</v>
      </c>
      <c r="D1705" t="s">
        <v>2010</v>
      </c>
      <c r="E1705" t="s">
        <v>1274</v>
      </c>
      <c r="F1705" t="s">
        <v>1274</v>
      </c>
      <c r="G1705" s="554">
        <v>6</v>
      </c>
      <c r="H1705">
        <v>4.6800000000000001E-2</v>
      </c>
    </row>
    <row r="1706" spans="2:8">
      <c r="B1706" s="555" t="s">
        <v>2254</v>
      </c>
      <c r="C1706" s="555" t="str">
        <f>VLOOKUP(D1706,기본!$D$13:$E$74,2,0)</f>
        <v>코웨이</v>
      </c>
      <c r="D1706" t="s">
        <v>2010</v>
      </c>
      <c r="E1706" t="s">
        <v>2251</v>
      </c>
      <c r="F1706" t="s">
        <v>2251</v>
      </c>
      <c r="G1706" s="554">
        <v>70</v>
      </c>
      <c r="H1706">
        <v>0.52031000000000005</v>
      </c>
    </row>
    <row r="1707" spans="2:8">
      <c r="B1707" s="555" t="s">
        <v>2254</v>
      </c>
      <c r="C1707" s="555" t="str">
        <f>VLOOKUP(D1707,기본!$D$13:$E$74,2,0)</f>
        <v>코웨이</v>
      </c>
      <c r="D1707" t="s">
        <v>2010</v>
      </c>
      <c r="E1707" t="s">
        <v>1289</v>
      </c>
      <c r="F1707" t="s">
        <v>1289</v>
      </c>
      <c r="G1707" s="554">
        <v>477</v>
      </c>
      <c r="H1707">
        <v>3.9915360000000004</v>
      </c>
    </row>
    <row r="1708" spans="2:8">
      <c r="B1708" s="555" t="s">
        <v>2254</v>
      </c>
      <c r="C1708" s="555" t="str">
        <f>VLOOKUP(D1708,기본!$D$13:$E$74,2,0)</f>
        <v>코웨이</v>
      </c>
      <c r="D1708" t="s">
        <v>2010</v>
      </c>
      <c r="E1708" t="s">
        <v>1275</v>
      </c>
      <c r="F1708" t="s">
        <v>1275</v>
      </c>
      <c r="G1708" s="554">
        <v>1261</v>
      </c>
      <c r="H1708">
        <v>9.0574180000000002</v>
      </c>
    </row>
    <row r="1709" spans="2:8">
      <c r="B1709" s="555" t="s">
        <v>2254</v>
      </c>
      <c r="C1709" s="555" t="str">
        <f>VLOOKUP(D1709,기본!$D$13:$E$74,2,0)</f>
        <v>코웨이</v>
      </c>
      <c r="D1709" t="s">
        <v>2010</v>
      </c>
      <c r="E1709" t="s">
        <v>2066</v>
      </c>
      <c r="F1709" t="s">
        <v>2066</v>
      </c>
      <c r="G1709" s="554">
        <v>99</v>
      </c>
      <c r="H1709">
        <v>0.78903299999999998</v>
      </c>
    </row>
    <row r="1710" spans="2:8">
      <c r="B1710" s="555" t="s">
        <v>2254</v>
      </c>
      <c r="C1710" s="555" t="str">
        <f>VLOOKUP(D1710,기본!$D$13:$E$74,2,0)</f>
        <v>코웨이</v>
      </c>
      <c r="D1710" t="s">
        <v>2010</v>
      </c>
      <c r="E1710" t="s">
        <v>229</v>
      </c>
      <c r="F1710" t="s">
        <v>229</v>
      </c>
      <c r="G1710" s="554">
        <v>0</v>
      </c>
      <c r="H1710">
        <v>1.9118850000000001</v>
      </c>
    </row>
    <row r="1711" spans="2:8">
      <c r="B1711" s="555" t="s">
        <v>2254</v>
      </c>
      <c r="C1711" s="555" t="str">
        <f>VLOOKUP(D1711,기본!$D$13:$E$74,2,0)</f>
        <v>코웨이</v>
      </c>
      <c r="D1711" t="s">
        <v>2067</v>
      </c>
      <c r="E1711" t="s">
        <v>1186</v>
      </c>
      <c r="F1711" t="s">
        <v>1186</v>
      </c>
      <c r="G1711" s="554">
        <v>28</v>
      </c>
      <c r="H1711">
        <v>0.66679200000000005</v>
      </c>
    </row>
    <row r="1712" spans="2:8">
      <c r="B1712" s="555" t="s">
        <v>2254</v>
      </c>
      <c r="C1712" s="555" t="str">
        <f>VLOOKUP(D1712,기본!$D$13:$E$74,2,0)</f>
        <v>코웨이</v>
      </c>
      <c r="D1712" t="s">
        <v>2067</v>
      </c>
      <c r="E1712" t="s">
        <v>2015</v>
      </c>
      <c r="F1712" t="s">
        <v>2015</v>
      </c>
      <c r="G1712" s="554">
        <v>915</v>
      </c>
      <c r="H1712">
        <v>10.639619999999999</v>
      </c>
    </row>
    <row r="1713" spans="2:8">
      <c r="B1713" s="555" t="s">
        <v>2254</v>
      </c>
      <c r="C1713" s="555" t="str">
        <f>VLOOKUP(D1713,기본!$D$13:$E$74,2,0)</f>
        <v>코웨이</v>
      </c>
      <c r="D1713" t="s">
        <v>2067</v>
      </c>
      <c r="E1713" t="s">
        <v>2016</v>
      </c>
      <c r="F1713" t="s">
        <v>2016</v>
      </c>
      <c r="G1713" s="554">
        <v>3190</v>
      </c>
      <c r="H1713">
        <v>21.060380000000002</v>
      </c>
    </row>
    <row r="1714" spans="2:8">
      <c r="B1714" s="555" t="s">
        <v>2254</v>
      </c>
      <c r="C1714" s="555" t="str">
        <f>VLOOKUP(D1714,기본!$D$13:$E$74,2,0)</f>
        <v>코웨이</v>
      </c>
      <c r="D1714" t="s">
        <v>2067</v>
      </c>
      <c r="E1714" t="s">
        <v>2156</v>
      </c>
      <c r="F1714" t="s">
        <v>2156</v>
      </c>
      <c r="G1714" s="554">
        <v>340</v>
      </c>
      <c r="H1714">
        <v>5.8750999999999998</v>
      </c>
    </row>
    <row r="1715" spans="2:8">
      <c r="B1715" s="555" t="s">
        <v>2254</v>
      </c>
      <c r="C1715" s="555" t="str">
        <f>VLOOKUP(D1715,기본!$D$13:$E$74,2,0)</f>
        <v>코웨이</v>
      </c>
      <c r="D1715" t="s">
        <v>2067</v>
      </c>
      <c r="E1715" t="s">
        <v>2068</v>
      </c>
      <c r="F1715" t="s">
        <v>2068</v>
      </c>
      <c r="G1715" s="554">
        <v>524</v>
      </c>
      <c r="H1715">
        <v>8.997268</v>
      </c>
    </row>
    <row r="1716" spans="2:8">
      <c r="B1716" s="555" t="s">
        <v>2254</v>
      </c>
      <c r="C1716" s="555" t="str">
        <f>VLOOKUP(D1716,기본!$D$13:$E$74,2,0)</f>
        <v>코웨이</v>
      </c>
      <c r="D1716" t="s">
        <v>2067</v>
      </c>
      <c r="E1716" t="s">
        <v>2069</v>
      </c>
      <c r="F1716" t="s">
        <v>2069</v>
      </c>
      <c r="G1716" s="554">
        <v>300</v>
      </c>
      <c r="H1716">
        <v>5.2278000000000002</v>
      </c>
    </row>
    <row r="1717" spans="2:8">
      <c r="B1717" s="555" t="s">
        <v>2254</v>
      </c>
      <c r="C1717" s="555" t="str">
        <f>VLOOKUP(D1717,기본!$D$13:$E$74,2,0)</f>
        <v>코웨이</v>
      </c>
      <c r="D1717" t="s">
        <v>2067</v>
      </c>
      <c r="E1717" t="s">
        <v>2020</v>
      </c>
      <c r="F1717" t="s">
        <v>2020</v>
      </c>
      <c r="G1717" s="554">
        <v>394</v>
      </c>
      <c r="H1717">
        <v>5.2342899999999997</v>
      </c>
    </row>
    <row r="1718" spans="2:8">
      <c r="B1718" s="555" t="s">
        <v>2254</v>
      </c>
      <c r="C1718" s="555" t="str">
        <f>VLOOKUP(D1718,기본!$D$13:$E$74,2,0)</f>
        <v>코웨이</v>
      </c>
      <c r="D1718" t="s">
        <v>2067</v>
      </c>
      <c r="E1718" t="s">
        <v>2200</v>
      </c>
      <c r="F1718" t="s">
        <v>2200</v>
      </c>
      <c r="G1718" s="554">
        <v>1879</v>
      </c>
      <c r="H1718">
        <v>65.530124999999998</v>
      </c>
    </row>
    <row r="1719" spans="2:8">
      <c r="B1719" s="555" t="s">
        <v>2254</v>
      </c>
      <c r="C1719" s="555" t="str">
        <f>VLOOKUP(D1719,기본!$D$13:$E$74,2,0)</f>
        <v>코웨이</v>
      </c>
      <c r="D1719" t="s">
        <v>2067</v>
      </c>
      <c r="E1719" t="s">
        <v>2201</v>
      </c>
      <c r="F1719" t="s">
        <v>2201</v>
      </c>
      <c r="G1719" s="554">
        <v>1879</v>
      </c>
      <c r="H1719">
        <v>19.060576000000001</v>
      </c>
    </row>
    <row r="1720" spans="2:8">
      <c r="B1720" s="555" t="s">
        <v>2254</v>
      </c>
      <c r="C1720" s="555" t="str">
        <f>VLOOKUP(D1720,기본!$D$13:$E$74,2,0)</f>
        <v>코웨이</v>
      </c>
      <c r="D1720" t="s">
        <v>2067</v>
      </c>
      <c r="E1720" t="s">
        <v>1544</v>
      </c>
      <c r="F1720" t="s">
        <v>1544</v>
      </c>
      <c r="G1720" s="554">
        <v>7884</v>
      </c>
      <c r="H1720">
        <v>51.60866399999999</v>
      </c>
    </row>
    <row r="1721" spans="2:8">
      <c r="B1721" s="555" t="s">
        <v>2254</v>
      </c>
      <c r="C1721" s="555" t="str">
        <f>VLOOKUP(D1721,기본!$D$13:$E$74,2,0)</f>
        <v>코웨이</v>
      </c>
      <c r="D1721" t="s">
        <v>2067</v>
      </c>
      <c r="E1721" t="s">
        <v>1545</v>
      </c>
      <c r="F1721" t="s">
        <v>1545</v>
      </c>
      <c r="G1721" s="554">
        <v>634</v>
      </c>
      <c r="H1721">
        <v>3.773568</v>
      </c>
    </row>
    <row r="1722" spans="2:8">
      <c r="B1722" s="555" t="s">
        <v>2254</v>
      </c>
      <c r="C1722" s="555" t="str">
        <f>VLOOKUP(D1722,기본!$D$13:$E$74,2,0)</f>
        <v>코웨이</v>
      </c>
      <c r="D1722" t="s">
        <v>2067</v>
      </c>
      <c r="E1722" t="s">
        <v>912</v>
      </c>
      <c r="F1722" t="s">
        <v>912</v>
      </c>
      <c r="G1722" s="554">
        <v>9606</v>
      </c>
      <c r="H1722">
        <v>61.25009</v>
      </c>
    </row>
    <row r="1723" spans="2:8">
      <c r="B1723" s="555" t="s">
        <v>2254</v>
      </c>
      <c r="C1723" s="555" t="str">
        <f>VLOOKUP(D1723,기본!$D$13:$E$74,2,0)</f>
        <v>코웨이</v>
      </c>
      <c r="D1723" t="s">
        <v>2067</v>
      </c>
      <c r="E1723" t="s">
        <v>913</v>
      </c>
      <c r="F1723" t="s">
        <v>913</v>
      </c>
      <c r="G1723" s="554">
        <v>680</v>
      </c>
      <c r="H1723">
        <v>12.590879999999999</v>
      </c>
    </row>
    <row r="1724" spans="2:8">
      <c r="B1724" s="555" t="s">
        <v>2254</v>
      </c>
      <c r="C1724" s="555" t="str">
        <f>VLOOKUP(D1724,기본!$D$13:$E$74,2,0)</f>
        <v>코웨이</v>
      </c>
      <c r="D1724" t="s">
        <v>2067</v>
      </c>
      <c r="E1724" t="s">
        <v>2070</v>
      </c>
      <c r="F1724" t="s">
        <v>2070</v>
      </c>
      <c r="G1724" s="554">
        <v>11950</v>
      </c>
      <c r="H1724">
        <v>218.38834000000003</v>
      </c>
    </row>
    <row r="1725" spans="2:8">
      <c r="B1725" s="555" t="s">
        <v>2254</v>
      </c>
      <c r="C1725" s="555" t="str">
        <f>VLOOKUP(D1725,기본!$D$13:$E$74,2,0)</f>
        <v>코웨이</v>
      </c>
      <c r="D1725" t="s">
        <v>2067</v>
      </c>
      <c r="E1725" t="s">
        <v>2024</v>
      </c>
      <c r="F1725" t="s">
        <v>2024</v>
      </c>
      <c r="G1725" s="554">
        <v>800</v>
      </c>
      <c r="H1725">
        <v>6.8680000000000003</v>
      </c>
    </row>
    <row r="1726" spans="2:8">
      <c r="B1726" s="555" t="s">
        <v>2254</v>
      </c>
      <c r="C1726" s="555" t="str">
        <f>VLOOKUP(D1726,기본!$D$13:$E$74,2,0)</f>
        <v>코웨이</v>
      </c>
      <c r="D1726" t="s">
        <v>2067</v>
      </c>
      <c r="E1726" t="s">
        <v>2071</v>
      </c>
      <c r="F1726" t="s">
        <v>2071</v>
      </c>
      <c r="G1726" s="554">
        <v>1354</v>
      </c>
      <c r="H1726">
        <v>21.329716000000001</v>
      </c>
    </row>
    <row r="1727" spans="2:8">
      <c r="B1727" s="555" t="s">
        <v>2254</v>
      </c>
      <c r="C1727" s="555" t="str">
        <f>VLOOKUP(D1727,기본!$D$13:$E$74,2,0)</f>
        <v>코웨이</v>
      </c>
      <c r="D1727" t="s">
        <v>2067</v>
      </c>
      <c r="E1727" t="s">
        <v>2072</v>
      </c>
      <c r="F1727" t="s">
        <v>2072</v>
      </c>
      <c r="G1727" s="554">
        <v>492</v>
      </c>
      <c r="H1727">
        <v>6.3808559999999996</v>
      </c>
    </row>
    <row r="1728" spans="2:8">
      <c r="B1728" s="555" t="s">
        <v>2254</v>
      </c>
      <c r="C1728" s="555" t="str">
        <f>VLOOKUP(D1728,기본!$D$13:$E$74,2,0)</f>
        <v>코웨이</v>
      </c>
      <c r="D1728" t="s">
        <v>2067</v>
      </c>
      <c r="E1728" t="s">
        <v>2034</v>
      </c>
      <c r="F1728" t="s">
        <v>2034</v>
      </c>
      <c r="G1728" s="554">
        <v>12920</v>
      </c>
      <c r="H1728">
        <v>198.65791999999999</v>
      </c>
    </row>
    <row r="1729" spans="2:8">
      <c r="B1729" s="555" t="s">
        <v>2254</v>
      </c>
      <c r="C1729" s="555" t="str">
        <f>VLOOKUP(D1729,기본!$D$13:$E$74,2,0)</f>
        <v>코웨이</v>
      </c>
      <c r="D1729" t="s">
        <v>2067</v>
      </c>
      <c r="E1729" t="s">
        <v>2038</v>
      </c>
      <c r="F1729" t="s">
        <v>2038</v>
      </c>
      <c r="G1729" s="554">
        <v>3056</v>
      </c>
      <c r="H1729">
        <v>47.636927999999997</v>
      </c>
    </row>
    <row r="1730" spans="2:8">
      <c r="B1730" s="555" t="s">
        <v>2254</v>
      </c>
      <c r="C1730" s="555" t="str">
        <f>VLOOKUP(D1730,기본!$D$13:$E$74,2,0)</f>
        <v>코웨이</v>
      </c>
      <c r="D1730" t="s">
        <v>2067</v>
      </c>
      <c r="E1730" t="s">
        <v>2073</v>
      </c>
      <c r="F1730" t="s">
        <v>2073</v>
      </c>
      <c r="G1730" s="554">
        <v>13254</v>
      </c>
      <c r="H1730">
        <v>182.73289800000003</v>
      </c>
    </row>
    <row r="1731" spans="2:8">
      <c r="B1731" s="555" t="s">
        <v>2254</v>
      </c>
      <c r="C1731" s="555" t="str">
        <f>VLOOKUP(D1731,기본!$D$13:$E$74,2,0)</f>
        <v>코웨이</v>
      </c>
      <c r="D1731" t="s">
        <v>2067</v>
      </c>
      <c r="E1731" t="s">
        <v>1188</v>
      </c>
      <c r="F1731" t="s">
        <v>1188</v>
      </c>
      <c r="G1731" s="554">
        <v>28</v>
      </c>
      <c r="H1731">
        <v>5.7652000000000002E-2</v>
      </c>
    </row>
    <row r="1732" spans="2:8">
      <c r="B1732" s="555" t="s">
        <v>2254</v>
      </c>
      <c r="C1732" s="555" t="str">
        <f>VLOOKUP(D1732,기본!$D$13:$E$74,2,0)</f>
        <v>코웨이</v>
      </c>
      <c r="D1732" t="s">
        <v>2067</v>
      </c>
      <c r="E1732" t="s">
        <v>1187</v>
      </c>
      <c r="F1732" t="s">
        <v>1187</v>
      </c>
      <c r="G1732" s="554">
        <v>28</v>
      </c>
      <c r="H1732">
        <v>0.342748</v>
      </c>
    </row>
    <row r="1733" spans="2:8">
      <c r="B1733" s="555" t="s">
        <v>2254</v>
      </c>
      <c r="C1733" s="555" t="str">
        <f>VLOOKUP(D1733,기본!$D$13:$E$74,2,0)</f>
        <v>코웨이</v>
      </c>
      <c r="D1733" t="s">
        <v>2067</v>
      </c>
      <c r="E1733" t="s">
        <v>2074</v>
      </c>
      <c r="F1733" t="s">
        <v>2074</v>
      </c>
      <c r="G1733" s="554">
        <v>125</v>
      </c>
      <c r="H1733">
        <v>2.7279999999999998</v>
      </c>
    </row>
    <row r="1734" spans="2:8">
      <c r="B1734" s="555" t="s">
        <v>2254</v>
      </c>
      <c r="C1734" s="555" t="str">
        <f>VLOOKUP(D1734,기본!$D$13:$E$74,2,0)</f>
        <v>코웨이</v>
      </c>
      <c r="D1734" t="s">
        <v>2067</v>
      </c>
      <c r="E1734" t="s">
        <v>2075</v>
      </c>
      <c r="F1734" t="s">
        <v>2075</v>
      </c>
      <c r="G1734" s="554">
        <v>440</v>
      </c>
      <c r="H1734">
        <v>9.6541200000000007</v>
      </c>
    </row>
    <row r="1735" spans="2:8">
      <c r="B1735" s="555" t="s">
        <v>2254</v>
      </c>
      <c r="C1735" s="555" t="str">
        <f>VLOOKUP(D1735,기본!$D$13:$E$74,2,0)</f>
        <v>코웨이</v>
      </c>
      <c r="D1735" t="s">
        <v>2067</v>
      </c>
      <c r="E1735" t="s">
        <v>2076</v>
      </c>
      <c r="F1735" t="s">
        <v>2076</v>
      </c>
      <c r="G1735" s="554">
        <v>4640</v>
      </c>
      <c r="H1735">
        <v>85.686879999999988</v>
      </c>
    </row>
    <row r="1736" spans="2:8">
      <c r="B1736" s="555" t="s">
        <v>2254</v>
      </c>
      <c r="C1736" s="555" t="str">
        <f>VLOOKUP(D1736,기본!$D$13:$E$74,2,0)</f>
        <v>코웨이</v>
      </c>
      <c r="D1736" t="s">
        <v>2067</v>
      </c>
      <c r="E1736" t="s">
        <v>2042</v>
      </c>
      <c r="F1736" t="s">
        <v>2042</v>
      </c>
      <c r="G1736" s="554">
        <v>300</v>
      </c>
      <c r="H1736">
        <v>1.9185000000000001</v>
      </c>
    </row>
    <row r="1737" spans="2:8">
      <c r="B1737" s="555" t="s">
        <v>2254</v>
      </c>
      <c r="C1737" s="555" t="str">
        <f>VLOOKUP(D1737,기본!$D$13:$E$74,2,0)</f>
        <v>코웨이</v>
      </c>
      <c r="D1737" t="s">
        <v>2067</v>
      </c>
      <c r="E1737" t="s">
        <v>2058</v>
      </c>
      <c r="F1737" t="s">
        <v>2058</v>
      </c>
      <c r="G1737" s="554">
        <v>26678</v>
      </c>
      <c r="H1737">
        <v>925.29840200000012</v>
      </c>
    </row>
    <row r="1738" spans="2:8">
      <c r="B1738" s="555" t="s">
        <v>2254</v>
      </c>
      <c r="C1738" s="555" t="str">
        <f>VLOOKUP(D1738,기본!$D$13:$E$74,2,0)</f>
        <v>코웨이</v>
      </c>
      <c r="D1738" t="s">
        <v>2067</v>
      </c>
      <c r="E1738" t="s">
        <v>2077</v>
      </c>
      <c r="F1738" t="s">
        <v>2077</v>
      </c>
      <c r="G1738" s="554">
        <v>3506</v>
      </c>
      <c r="H1738">
        <v>117.83280999999999</v>
      </c>
    </row>
    <row r="1739" spans="2:8">
      <c r="B1739" s="555" t="s">
        <v>2254</v>
      </c>
      <c r="C1739" s="555" t="str">
        <f>VLOOKUP(D1739,기본!$D$13:$E$74,2,0)</f>
        <v>코웨이</v>
      </c>
      <c r="D1739" t="s">
        <v>2067</v>
      </c>
      <c r="E1739" t="s">
        <v>2078</v>
      </c>
      <c r="F1739" t="s">
        <v>2078</v>
      </c>
      <c r="G1739" s="554">
        <v>2160</v>
      </c>
      <c r="H1739">
        <v>74.49624</v>
      </c>
    </row>
    <row r="1740" spans="2:8">
      <c r="B1740" s="555" t="s">
        <v>2254</v>
      </c>
      <c r="C1740" s="555" t="str">
        <f>VLOOKUP(D1740,기본!$D$13:$E$74,2,0)</f>
        <v>코웨이</v>
      </c>
      <c r="D1740" t="s">
        <v>2067</v>
      </c>
      <c r="E1740" t="s">
        <v>2203</v>
      </c>
      <c r="F1740" t="s">
        <v>2203</v>
      </c>
      <c r="G1740" s="554">
        <v>2521</v>
      </c>
      <c r="H1740">
        <v>91.025746999999981</v>
      </c>
    </row>
    <row r="1741" spans="2:8">
      <c r="B1741" s="555" t="s">
        <v>2254</v>
      </c>
      <c r="C1741" s="555" t="str">
        <f>VLOOKUP(D1741,기본!$D$13:$E$74,2,0)</f>
        <v>코웨이</v>
      </c>
      <c r="D1741" t="s">
        <v>2067</v>
      </c>
      <c r="E1741" t="s">
        <v>2231</v>
      </c>
      <c r="F1741" t="s">
        <v>2231</v>
      </c>
      <c r="G1741" s="554">
        <v>340</v>
      </c>
      <c r="H1741">
        <v>12.35866</v>
      </c>
    </row>
    <row r="1742" spans="2:8">
      <c r="B1742" s="555" t="s">
        <v>2254</v>
      </c>
      <c r="C1742" s="555" t="str">
        <f>VLOOKUP(D1742,기본!$D$13:$E$74,2,0)</f>
        <v>코웨이</v>
      </c>
      <c r="D1742" t="s">
        <v>2079</v>
      </c>
      <c r="E1742" t="s">
        <v>1093</v>
      </c>
      <c r="F1742" t="s">
        <v>1093</v>
      </c>
      <c r="G1742" s="554">
        <v>1423</v>
      </c>
      <c r="H1742">
        <v>7.5931280000000001</v>
      </c>
    </row>
    <row r="1743" spans="2:8">
      <c r="B1743" s="555" t="s">
        <v>2254</v>
      </c>
      <c r="C1743" s="555" t="str">
        <f>VLOOKUP(D1743,기본!$D$13:$E$74,2,0)</f>
        <v>코웨이</v>
      </c>
      <c r="D1743" t="s">
        <v>2079</v>
      </c>
      <c r="E1743" t="s">
        <v>1094</v>
      </c>
      <c r="F1743" t="s">
        <v>1094</v>
      </c>
      <c r="G1743" s="554">
        <v>2431</v>
      </c>
      <c r="H1743">
        <v>7.5749959999999996</v>
      </c>
    </row>
    <row r="1744" spans="2:8">
      <c r="B1744" s="555" t="s">
        <v>2254</v>
      </c>
      <c r="C1744" s="555" t="str">
        <f>VLOOKUP(D1744,기본!$D$13:$E$74,2,0)</f>
        <v>코웨이</v>
      </c>
      <c r="D1744" t="s">
        <v>2079</v>
      </c>
      <c r="E1744" t="s">
        <v>2017</v>
      </c>
      <c r="F1744" t="s">
        <v>2017</v>
      </c>
      <c r="G1744" s="554">
        <v>150</v>
      </c>
      <c r="H1744">
        <v>1.7829000000000002</v>
      </c>
    </row>
    <row r="1745" spans="2:8">
      <c r="B1745" s="555" t="s">
        <v>2254</v>
      </c>
      <c r="C1745" s="555" t="str">
        <f>VLOOKUP(D1745,기본!$D$13:$E$74,2,0)</f>
        <v>코웨이</v>
      </c>
      <c r="D1745" t="s">
        <v>2079</v>
      </c>
      <c r="E1745" t="s">
        <v>2081</v>
      </c>
      <c r="F1745" t="s">
        <v>2081</v>
      </c>
      <c r="G1745" s="554">
        <v>300</v>
      </c>
      <c r="H1745">
        <v>2.3807999999999998</v>
      </c>
    </row>
    <row r="1746" spans="2:8">
      <c r="B1746" s="555" t="s">
        <v>2254</v>
      </c>
      <c r="C1746" s="555" t="str">
        <f>VLOOKUP(D1746,기본!$D$13:$E$74,2,0)</f>
        <v>코웨이</v>
      </c>
      <c r="D1746" t="s">
        <v>2079</v>
      </c>
      <c r="E1746" t="s">
        <v>1089</v>
      </c>
      <c r="F1746" t="s">
        <v>1089</v>
      </c>
      <c r="G1746" s="554">
        <v>3736</v>
      </c>
      <c r="H1746">
        <v>41.884295999999999</v>
      </c>
    </row>
    <row r="1747" spans="2:8">
      <c r="B1747" s="555" t="s">
        <v>2254</v>
      </c>
      <c r="C1747" s="555" t="str">
        <f>VLOOKUP(D1747,기본!$D$13:$E$74,2,0)</f>
        <v>코웨이</v>
      </c>
      <c r="D1747" t="s">
        <v>2079</v>
      </c>
      <c r="E1747" t="s">
        <v>1118</v>
      </c>
      <c r="F1747" t="s">
        <v>1118</v>
      </c>
      <c r="G1747" s="554">
        <v>1260</v>
      </c>
      <c r="H1747">
        <v>22.818599999999996</v>
      </c>
    </row>
    <row r="1748" spans="2:8">
      <c r="B1748" s="555" t="s">
        <v>2254</v>
      </c>
      <c r="C1748" s="555" t="str">
        <f>VLOOKUP(D1748,기본!$D$13:$E$74,2,0)</f>
        <v>코웨이</v>
      </c>
      <c r="D1748" t="s">
        <v>2079</v>
      </c>
      <c r="E1748" t="s">
        <v>2157</v>
      </c>
      <c r="F1748" t="s">
        <v>2157</v>
      </c>
      <c r="G1748" s="554">
        <v>1250</v>
      </c>
      <c r="H1748">
        <v>29.225000000000001</v>
      </c>
    </row>
    <row r="1749" spans="2:8">
      <c r="B1749" s="555" t="s">
        <v>2254</v>
      </c>
      <c r="C1749" s="555" t="str">
        <f>VLOOKUP(D1749,기본!$D$13:$E$74,2,0)</f>
        <v>코웨이</v>
      </c>
      <c r="D1749" t="s">
        <v>2079</v>
      </c>
      <c r="E1749" t="s">
        <v>2061</v>
      </c>
      <c r="F1749" t="s">
        <v>2061</v>
      </c>
      <c r="G1749" s="554">
        <v>1423</v>
      </c>
      <c r="H1749">
        <v>7.9744919999999997</v>
      </c>
    </row>
    <row r="1750" spans="2:8">
      <c r="B1750" s="555" t="s">
        <v>2254</v>
      </c>
      <c r="C1750" s="555" t="str">
        <f>VLOOKUP(D1750,기본!$D$13:$E$74,2,0)</f>
        <v>코웨이</v>
      </c>
      <c r="D1750" t="s">
        <v>2079</v>
      </c>
      <c r="E1750" t="s">
        <v>230</v>
      </c>
      <c r="F1750" t="s">
        <v>230</v>
      </c>
      <c r="G1750" s="554">
        <v>1620</v>
      </c>
      <c r="H1750">
        <v>9.0055800000000001</v>
      </c>
    </row>
    <row r="1751" spans="2:8">
      <c r="B1751" s="555" t="s">
        <v>2254</v>
      </c>
      <c r="C1751" s="555" t="str">
        <f>VLOOKUP(D1751,기본!$D$13:$E$74,2,0)</f>
        <v>기타</v>
      </c>
      <c r="D1751" t="s">
        <v>2252</v>
      </c>
      <c r="E1751" t="s">
        <v>2253</v>
      </c>
      <c r="F1751" t="s">
        <v>2253</v>
      </c>
      <c r="G1751" s="554">
        <v>1</v>
      </c>
      <c r="H1751">
        <v>0.13</v>
      </c>
    </row>
    <row r="1752" spans="2:8">
      <c r="B1752" s="555" t="s">
        <v>2254</v>
      </c>
      <c r="C1752" s="555" t="str">
        <f>VLOOKUP(D1752,기본!$D$13:$E$74,2,0)</f>
        <v>코웨이</v>
      </c>
      <c r="D1752" t="s">
        <v>2082</v>
      </c>
      <c r="E1752" t="s">
        <v>2027</v>
      </c>
      <c r="F1752" t="s">
        <v>2027</v>
      </c>
      <c r="G1752" s="554">
        <v>1099</v>
      </c>
      <c r="H1752">
        <v>20.710654999999999</v>
      </c>
    </row>
    <row r="1753" spans="2:8">
      <c r="B1753" s="555" t="s">
        <v>2254</v>
      </c>
      <c r="C1753" s="555" t="str">
        <f>VLOOKUP(D1753,기본!$D$13:$E$74,2,0)</f>
        <v>코웨이</v>
      </c>
      <c r="D1753" t="s">
        <v>2082</v>
      </c>
      <c r="E1753" t="s">
        <v>2028</v>
      </c>
      <c r="F1753" t="s">
        <v>2028</v>
      </c>
      <c r="G1753" s="554">
        <v>298</v>
      </c>
      <c r="H1753">
        <v>5.4620420000000003</v>
      </c>
    </row>
    <row r="1754" spans="2:8">
      <c r="B1754" s="555" t="s">
        <v>2254</v>
      </c>
      <c r="C1754" s="555" t="str">
        <f>VLOOKUP(D1754,기본!$D$13:$E$74,2,0)</f>
        <v>코웨이</v>
      </c>
      <c r="D1754" t="s">
        <v>2082</v>
      </c>
      <c r="E1754" t="s">
        <v>2058</v>
      </c>
      <c r="F1754" t="s">
        <v>2058</v>
      </c>
      <c r="G1754" s="554">
        <v>11232</v>
      </c>
      <c r="H1754">
        <v>389.28988800000008</v>
      </c>
    </row>
    <row r="1755" spans="2:8">
      <c r="B1755" s="555" t="s">
        <v>2254</v>
      </c>
      <c r="C1755" s="555" t="str">
        <f>VLOOKUP(D1755,기본!$D$13:$E$74,2,0)</f>
        <v>코웨이</v>
      </c>
      <c r="D1755" t="s">
        <v>2082</v>
      </c>
      <c r="E1755" t="s">
        <v>2077</v>
      </c>
      <c r="F1755" t="s">
        <v>2077</v>
      </c>
      <c r="G1755" s="554">
        <v>3456</v>
      </c>
      <c r="H1755">
        <v>116.06975999999999</v>
      </c>
    </row>
    <row r="1756" spans="2:8">
      <c r="B1756" s="555" t="s">
        <v>2254</v>
      </c>
      <c r="C1756" s="555" t="str">
        <f>VLOOKUP(D1756,기본!$D$13:$E$74,2,0)</f>
        <v>삼성 생활가전</v>
      </c>
      <c r="D1756" t="s">
        <v>2084</v>
      </c>
      <c r="E1756" t="s">
        <v>2004</v>
      </c>
      <c r="F1756" t="s">
        <v>2004</v>
      </c>
      <c r="G1756" s="554">
        <v>2352</v>
      </c>
      <c r="H1756">
        <v>26.795724480000001</v>
      </c>
    </row>
    <row r="1757" spans="2:8">
      <c r="B1757" s="555" t="s">
        <v>2254</v>
      </c>
      <c r="C1757" s="555" t="str">
        <f>VLOOKUP(D1757,기본!$D$13:$E$74,2,0)</f>
        <v>삼성 생활가전</v>
      </c>
      <c r="D1757" t="s">
        <v>2088</v>
      </c>
      <c r="E1757" t="s">
        <v>1023</v>
      </c>
      <c r="F1757" t="s">
        <v>1023</v>
      </c>
      <c r="G1757" s="554">
        <v>1440</v>
      </c>
      <c r="H1757">
        <v>10.0656</v>
      </c>
    </row>
    <row r="1758" spans="2:8">
      <c r="B1758" s="555" t="s">
        <v>2254</v>
      </c>
      <c r="C1758" s="555" t="str">
        <f>VLOOKUP(D1758,기본!$D$13:$E$74,2,0)</f>
        <v>삼성 생활가전</v>
      </c>
      <c r="D1758" t="s">
        <v>2088</v>
      </c>
      <c r="E1758" t="s">
        <v>1025</v>
      </c>
      <c r="F1758" t="s">
        <v>1025</v>
      </c>
      <c r="G1758" s="554">
        <v>1440</v>
      </c>
      <c r="H1758">
        <v>10.036799999999999</v>
      </c>
    </row>
    <row r="1759" spans="2:8">
      <c r="B1759" s="555" t="s">
        <v>2254</v>
      </c>
      <c r="C1759" s="555" t="str">
        <f>VLOOKUP(D1759,기본!$D$13:$E$74,2,0)</f>
        <v>한화비전</v>
      </c>
      <c r="D1759" t="s">
        <v>2089</v>
      </c>
      <c r="E1759" t="s">
        <v>2090</v>
      </c>
      <c r="F1759" t="s">
        <v>2091</v>
      </c>
      <c r="G1759" s="554">
        <v>1008</v>
      </c>
      <c r="H1759">
        <v>34.5180024</v>
      </c>
    </row>
    <row r="1760" spans="2:8">
      <c r="B1760" s="555" t="s">
        <v>2271</v>
      </c>
      <c r="C1760" s="555" t="str">
        <f>VLOOKUP(D1760,기본!$D$13:$E$74,2,0)</f>
        <v>AV JDM</v>
      </c>
      <c r="D1760" t="s">
        <v>1841</v>
      </c>
      <c r="E1760" t="s">
        <v>1842</v>
      </c>
      <c r="F1760" t="s">
        <v>1680</v>
      </c>
      <c r="G1760" s="554">
        <v>11800</v>
      </c>
      <c r="H1760">
        <v>107.20921199999999</v>
      </c>
    </row>
    <row r="1761" spans="2:8">
      <c r="B1761" s="555" t="s">
        <v>2271</v>
      </c>
      <c r="C1761" s="555" t="str">
        <f>VLOOKUP(D1761,기본!$D$13:$E$74,2,0)</f>
        <v>AV JDM</v>
      </c>
      <c r="D1761" t="s">
        <v>1841</v>
      </c>
      <c r="E1761" t="s">
        <v>2104</v>
      </c>
      <c r="F1761" t="s">
        <v>2105</v>
      </c>
      <c r="G1761" s="554">
        <v>1080</v>
      </c>
      <c r="H1761">
        <v>10.550042999999999</v>
      </c>
    </row>
    <row r="1762" spans="2:8">
      <c r="B1762" s="555" t="s">
        <v>2271</v>
      </c>
      <c r="C1762" s="555" t="str">
        <f>VLOOKUP(D1762,기본!$D$13:$E$74,2,0)</f>
        <v>AV JDM</v>
      </c>
      <c r="D1762" t="s">
        <v>1841</v>
      </c>
      <c r="E1762" t="s">
        <v>1654</v>
      </c>
      <c r="F1762" t="s">
        <v>1654</v>
      </c>
      <c r="G1762" s="554">
        <v>5208</v>
      </c>
      <c r="H1762">
        <v>42.336299600000004</v>
      </c>
    </row>
    <row r="1763" spans="2:8">
      <c r="B1763" s="555" t="s">
        <v>2271</v>
      </c>
      <c r="C1763" s="555" t="str">
        <f>VLOOKUP(D1763,기본!$D$13:$E$74,2,0)</f>
        <v>AV JDM</v>
      </c>
      <c r="D1763" t="s">
        <v>1841</v>
      </c>
      <c r="E1763" t="s">
        <v>1656</v>
      </c>
      <c r="F1763" t="s">
        <v>1656</v>
      </c>
      <c r="G1763" s="554">
        <v>6776</v>
      </c>
      <c r="H1763">
        <v>59.664594919999999</v>
      </c>
    </row>
    <row r="1764" spans="2:8">
      <c r="B1764" s="555" t="s">
        <v>2271</v>
      </c>
      <c r="C1764" s="555" t="str">
        <f>VLOOKUP(D1764,기본!$D$13:$E$74,2,0)</f>
        <v>AV JDM</v>
      </c>
      <c r="D1764" t="s">
        <v>1841</v>
      </c>
      <c r="E1764" t="s">
        <v>1657</v>
      </c>
      <c r="F1764" t="s">
        <v>1657</v>
      </c>
      <c r="G1764" s="554">
        <v>1960</v>
      </c>
      <c r="H1764">
        <v>17.790350199999999</v>
      </c>
    </row>
    <row r="1765" spans="2:8">
      <c r="B1765" s="555" t="s">
        <v>2271</v>
      </c>
      <c r="C1765" s="555" t="str">
        <f>VLOOKUP(D1765,기본!$D$13:$E$74,2,0)</f>
        <v>AV JDM</v>
      </c>
      <c r="D1765" t="s">
        <v>1841</v>
      </c>
      <c r="E1765" t="s">
        <v>1658</v>
      </c>
      <c r="F1765" t="s">
        <v>1658</v>
      </c>
      <c r="G1765" s="554">
        <v>19296</v>
      </c>
      <c r="H1765">
        <v>180.98710272</v>
      </c>
    </row>
    <row r="1766" spans="2:8">
      <c r="B1766" s="555" t="s">
        <v>2271</v>
      </c>
      <c r="C1766" s="555" t="str">
        <f>VLOOKUP(D1766,기본!$D$13:$E$74,2,0)</f>
        <v>AV JDM</v>
      </c>
      <c r="D1766" t="s">
        <v>1841</v>
      </c>
      <c r="E1766" t="s">
        <v>1655</v>
      </c>
      <c r="F1766" t="s">
        <v>1655</v>
      </c>
      <c r="G1766" s="554">
        <v>1288</v>
      </c>
      <c r="H1766">
        <v>10.88703112</v>
      </c>
    </row>
    <row r="1767" spans="2:8">
      <c r="B1767" s="555" t="s">
        <v>2271</v>
      </c>
      <c r="C1767" s="555" t="str">
        <f>VLOOKUP(D1767,기본!$D$13:$E$74,2,0)</f>
        <v>AV JDM</v>
      </c>
      <c r="D1767" t="s">
        <v>1841</v>
      </c>
      <c r="E1767" t="s">
        <v>2206</v>
      </c>
      <c r="F1767" t="s">
        <v>2206</v>
      </c>
      <c r="G1767" s="554">
        <v>392</v>
      </c>
      <c r="H1767">
        <v>3.6257452000000003</v>
      </c>
    </row>
    <row r="1768" spans="2:8">
      <c r="B1768" s="555" t="s">
        <v>2271</v>
      </c>
      <c r="C1768" s="555" t="str">
        <f>VLOOKUP(D1768,기본!$D$13:$E$74,2,0)</f>
        <v>AV JDM</v>
      </c>
      <c r="D1768" t="s">
        <v>1841</v>
      </c>
      <c r="E1768" t="s">
        <v>2207</v>
      </c>
      <c r="F1768" t="s">
        <v>2207</v>
      </c>
      <c r="G1768" s="554">
        <v>48</v>
      </c>
      <c r="H1768">
        <v>0.45722160000000006</v>
      </c>
    </row>
    <row r="1769" spans="2:8">
      <c r="B1769" s="555" t="s">
        <v>2271</v>
      </c>
      <c r="C1769" s="555" t="str">
        <f>VLOOKUP(D1769,기본!$D$13:$E$74,2,0)</f>
        <v>AV JDM</v>
      </c>
      <c r="D1769" t="s">
        <v>1841</v>
      </c>
      <c r="E1769" t="s">
        <v>2159</v>
      </c>
      <c r="F1769" t="s">
        <v>2159</v>
      </c>
      <c r="G1769" s="554">
        <v>756</v>
      </c>
      <c r="H1769">
        <v>7.4405331000000006</v>
      </c>
    </row>
    <row r="1770" spans="2:8">
      <c r="B1770" s="555" t="s">
        <v>2271</v>
      </c>
      <c r="C1770" s="555" t="str">
        <f>VLOOKUP(D1770,기본!$D$13:$E$74,2,0)</f>
        <v>AV JDM</v>
      </c>
      <c r="D1770" t="s">
        <v>1841</v>
      </c>
      <c r="E1770" t="s">
        <v>1889</v>
      </c>
      <c r="F1770" t="s">
        <v>1229</v>
      </c>
      <c r="G1770" s="554">
        <v>35280</v>
      </c>
      <c r="H1770">
        <v>291.48638400000004</v>
      </c>
    </row>
    <row r="1771" spans="2:8">
      <c r="B1771" s="555" t="s">
        <v>2271</v>
      </c>
      <c r="C1771" s="555" t="str">
        <f>VLOOKUP(D1771,기본!$D$13:$E$74,2,0)</f>
        <v>AV JDM</v>
      </c>
      <c r="D1771" t="s">
        <v>1841</v>
      </c>
      <c r="E1771" t="s">
        <v>1845</v>
      </c>
      <c r="F1771" t="s">
        <v>1340</v>
      </c>
      <c r="G1771" s="554">
        <v>8778</v>
      </c>
      <c r="H1771">
        <v>91.561004556000015</v>
      </c>
    </row>
    <row r="1772" spans="2:8">
      <c r="B1772" s="555" t="s">
        <v>2271</v>
      </c>
      <c r="C1772" s="555" t="str">
        <f>VLOOKUP(D1772,기본!$D$13:$E$74,2,0)</f>
        <v>AV JDM</v>
      </c>
      <c r="D1772" t="s">
        <v>1841</v>
      </c>
      <c r="E1772" t="s">
        <v>1846</v>
      </c>
      <c r="F1772" t="s">
        <v>1341</v>
      </c>
      <c r="G1772" s="554">
        <v>21</v>
      </c>
      <c r="H1772">
        <v>0.24149086500000003</v>
      </c>
    </row>
    <row r="1773" spans="2:8">
      <c r="B1773" s="555" t="s">
        <v>2271</v>
      </c>
      <c r="C1773" s="555" t="str">
        <f>VLOOKUP(D1773,기본!$D$13:$E$74,2,0)</f>
        <v>AV JDM</v>
      </c>
      <c r="D1773" t="s">
        <v>1841</v>
      </c>
      <c r="E1773" t="s">
        <v>1847</v>
      </c>
      <c r="F1773" t="s">
        <v>1336</v>
      </c>
      <c r="G1773" s="554">
        <v>8200</v>
      </c>
      <c r="H1773">
        <v>75.782494</v>
      </c>
    </row>
    <row r="1774" spans="2:8">
      <c r="B1774" s="555" t="s">
        <v>2271</v>
      </c>
      <c r="C1774" s="555" t="str">
        <f>VLOOKUP(D1774,기본!$D$13:$E$74,2,0)</f>
        <v>AV JDM</v>
      </c>
      <c r="D1774" t="s">
        <v>1841</v>
      </c>
      <c r="E1774" t="s">
        <v>1894</v>
      </c>
      <c r="F1774" t="s">
        <v>1337</v>
      </c>
      <c r="G1774" s="554">
        <v>200</v>
      </c>
      <c r="H1774">
        <v>2.0401541999999999</v>
      </c>
    </row>
    <row r="1775" spans="2:8">
      <c r="B1775" s="555" t="s">
        <v>2271</v>
      </c>
      <c r="C1775" s="555" t="str">
        <f>VLOOKUP(D1775,기본!$D$13:$E$74,2,0)</f>
        <v>AV JDM</v>
      </c>
      <c r="D1775" t="s">
        <v>1841</v>
      </c>
      <c r="E1775" t="s">
        <v>1006</v>
      </c>
      <c r="F1775" t="s">
        <v>1006</v>
      </c>
      <c r="G1775" s="554">
        <v>36920</v>
      </c>
      <c r="H1775">
        <v>415.65718079999999</v>
      </c>
    </row>
    <row r="1776" spans="2:8">
      <c r="B1776" s="555" t="s">
        <v>2271</v>
      </c>
      <c r="C1776" s="555" t="str">
        <f>VLOOKUP(D1776,기본!$D$13:$E$74,2,0)</f>
        <v>AV JDM</v>
      </c>
      <c r="D1776" t="s">
        <v>1841</v>
      </c>
      <c r="E1776" t="s">
        <v>2255</v>
      </c>
      <c r="F1776" t="s">
        <v>2255</v>
      </c>
      <c r="G1776" s="554">
        <v>0</v>
      </c>
      <c r="H1776">
        <v>-13.409312</v>
      </c>
    </row>
    <row r="1777" spans="2:8">
      <c r="B1777" s="555" t="s">
        <v>2271</v>
      </c>
      <c r="C1777" s="555" t="str">
        <f>VLOOKUP(D1777,기본!$D$13:$E$74,2,0)</f>
        <v>AV JDM</v>
      </c>
      <c r="D1777" t="s">
        <v>1841</v>
      </c>
      <c r="E1777" t="s">
        <v>2256</v>
      </c>
      <c r="F1777" t="s">
        <v>2256</v>
      </c>
      <c r="G1777" s="554">
        <v>0</v>
      </c>
      <c r="H1777">
        <v>-24.194027999999999</v>
      </c>
    </row>
    <row r="1778" spans="2:8">
      <c r="B1778" s="555" t="s">
        <v>2271</v>
      </c>
      <c r="C1778" s="555" t="str">
        <f>VLOOKUP(D1778,기본!$D$13:$E$74,2,0)</f>
        <v>삼성 VD</v>
      </c>
      <c r="D1778" t="s">
        <v>1849</v>
      </c>
      <c r="E1778" t="s">
        <v>1165</v>
      </c>
      <c r="F1778" t="s">
        <v>1882</v>
      </c>
      <c r="G1778" s="554">
        <v>22896</v>
      </c>
      <c r="H1778">
        <v>685.17067752000003</v>
      </c>
    </row>
    <row r="1779" spans="2:8">
      <c r="B1779" s="555" t="s">
        <v>2271</v>
      </c>
      <c r="C1779" s="555" t="str">
        <f>VLOOKUP(D1779,기본!$D$13:$E$74,2,0)</f>
        <v>삼성 VD</v>
      </c>
      <c r="D1779" t="s">
        <v>1849</v>
      </c>
      <c r="E1779" t="s">
        <v>1164</v>
      </c>
      <c r="F1779" t="s">
        <v>1850</v>
      </c>
      <c r="G1779" s="554">
        <v>24192</v>
      </c>
      <c r="H1779">
        <v>657.00132976800001</v>
      </c>
    </row>
    <row r="1780" spans="2:8">
      <c r="B1780" s="555" t="s">
        <v>2271</v>
      </c>
      <c r="C1780" s="555" t="str">
        <f>VLOOKUP(D1780,기본!$D$13:$E$74,2,0)</f>
        <v>삼성 VD</v>
      </c>
      <c r="D1780" t="s">
        <v>1849</v>
      </c>
      <c r="E1780" t="s">
        <v>1851</v>
      </c>
      <c r="F1780" t="s">
        <v>1852</v>
      </c>
      <c r="G1780" s="554">
        <v>576</v>
      </c>
      <c r="H1780">
        <v>4.3110633600000003</v>
      </c>
    </row>
    <row r="1781" spans="2:8">
      <c r="B1781" s="555" t="s">
        <v>2271</v>
      </c>
      <c r="C1781" s="555" t="str">
        <f>VLOOKUP(D1781,기본!$D$13:$E$74,2,0)</f>
        <v>삼성 VD</v>
      </c>
      <c r="D1781" t="s">
        <v>1849</v>
      </c>
      <c r="E1781" t="s">
        <v>1853</v>
      </c>
      <c r="F1781" t="s">
        <v>1854</v>
      </c>
      <c r="G1781" s="554">
        <v>3720</v>
      </c>
      <c r="H1781">
        <v>52.670612880000007</v>
      </c>
    </row>
    <row r="1782" spans="2:8">
      <c r="B1782" s="555" t="s">
        <v>2271</v>
      </c>
      <c r="C1782" s="555" t="str">
        <f>VLOOKUP(D1782,기본!$D$13:$E$74,2,0)</f>
        <v>삼성 VD</v>
      </c>
      <c r="D1782" t="s">
        <v>1849</v>
      </c>
      <c r="E1782" t="s">
        <v>1855</v>
      </c>
      <c r="F1782" t="s">
        <v>1856</v>
      </c>
      <c r="G1782" s="554">
        <v>4140</v>
      </c>
      <c r="H1782">
        <v>60.139896299999997</v>
      </c>
    </row>
    <row r="1783" spans="2:8">
      <c r="B1783" s="555" t="s">
        <v>2271</v>
      </c>
      <c r="C1783" s="555" t="str">
        <f>VLOOKUP(D1783,기본!$D$13:$E$74,2,0)</f>
        <v>삼성 VD</v>
      </c>
      <c r="D1783" t="s">
        <v>1849</v>
      </c>
      <c r="E1783" t="s">
        <v>1874</v>
      </c>
      <c r="F1783" t="s">
        <v>1875</v>
      </c>
      <c r="G1783" s="554">
        <v>12282</v>
      </c>
      <c r="H1783">
        <v>192.493141092</v>
      </c>
    </row>
    <row r="1784" spans="2:8">
      <c r="B1784" s="555" t="s">
        <v>2271</v>
      </c>
      <c r="C1784" s="555" t="str">
        <f>VLOOKUP(D1784,기본!$D$13:$E$74,2,0)</f>
        <v>삼성 VD</v>
      </c>
      <c r="D1784" t="s">
        <v>1849</v>
      </c>
      <c r="E1784" t="s">
        <v>1309</v>
      </c>
      <c r="F1784" t="s">
        <v>1308</v>
      </c>
      <c r="G1784" s="554">
        <v>144</v>
      </c>
      <c r="H1784">
        <v>3.1690209600000006</v>
      </c>
    </row>
    <row r="1785" spans="2:8">
      <c r="B1785" s="555" t="s">
        <v>2271</v>
      </c>
      <c r="C1785" s="555" t="str">
        <f>VLOOKUP(D1785,기본!$D$13:$E$74,2,0)</f>
        <v>삼성 VD</v>
      </c>
      <c r="D1785" t="s">
        <v>1849</v>
      </c>
      <c r="E1785" t="s">
        <v>1865</v>
      </c>
      <c r="F1785" t="s">
        <v>1866</v>
      </c>
      <c r="G1785" s="554">
        <v>8064</v>
      </c>
      <c r="H1785">
        <v>328.56987398400003</v>
      </c>
    </row>
    <row r="1786" spans="2:8">
      <c r="B1786" s="555" t="s">
        <v>2271</v>
      </c>
      <c r="C1786" s="555" t="str">
        <f>VLOOKUP(D1786,기본!$D$13:$E$74,2,0)</f>
        <v>삼성 VD</v>
      </c>
      <c r="D1786" t="s">
        <v>1849</v>
      </c>
      <c r="E1786" t="s">
        <v>1923</v>
      </c>
      <c r="F1786" t="s">
        <v>1924</v>
      </c>
      <c r="G1786" s="554">
        <v>44352</v>
      </c>
      <c r="H1786">
        <v>208.11977999999996</v>
      </c>
    </row>
    <row r="1787" spans="2:8">
      <c r="B1787" s="555" t="s">
        <v>2271</v>
      </c>
      <c r="C1787" s="555" t="str">
        <f>VLOOKUP(D1787,기본!$D$13:$E$74,2,0)</f>
        <v>삼성 VD</v>
      </c>
      <c r="D1787" t="s">
        <v>1849</v>
      </c>
      <c r="E1787" t="s">
        <v>1867</v>
      </c>
      <c r="F1787" t="s">
        <v>1868</v>
      </c>
      <c r="G1787" s="554">
        <v>3024</v>
      </c>
      <c r="H1787">
        <v>25.349844239999999</v>
      </c>
    </row>
    <row r="1788" spans="2:8">
      <c r="B1788" s="555" t="s">
        <v>2271</v>
      </c>
      <c r="C1788" s="555" t="str">
        <f>VLOOKUP(D1788,기본!$D$13:$E$74,2,0)</f>
        <v>삼성 VD</v>
      </c>
      <c r="D1788" t="s">
        <v>1849</v>
      </c>
      <c r="E1788" t="s">
        <v>709</v>
      </c>
      <c r="F1788" t="s">
        <v>1869</v>
      </c>
      <c r="G1788" s="554">
        <v>154176</v>
      </c>
      <c r="H1788">
        <v>529.83057599999995</v>
      </c>
    </row>
    <row r="1789" spans="2:8">
      <c r="B1789" s="555" t="s">
        <v>2271</v>
      </c>
      <c r="C1789" s="555" t="str">
        <f>VLOOKUP(D1789,기본!$D$13:$E$74,2,0)</f>
        <v>삼성 VD</v>
      </c>
      <c r="D1789" t="s">
        <v>1849</v>
      </c>
      <c r="E1789" t="s">
        <v>1156</v>
      </c>
      <c r="F1789" t="s">
        <v>1870</v>
      </c>
      <c r="G1789" s="554">
        <v>7392</v>
      </c>
      <c r="H1789">
        <v>34.120525823999998</v>
      </c>
    </row>
    <row r="1790" spans="2:8">
      <c r="B1790" s="555" t="s">
        <v>2271</v>
      </c>
      <c r="C1790" s="555" t="str">
        <f>VLOOKUP(D1790,기본!$D$13:$E$74,2,0)</f>
        <v>삼성 VD</v>
      </c>
      <c r="D1790" t="s">
        <v>1871</v>
      </c>
      <c r="E1790" t="s">
        <v>1165</v>
      </c>
      <c r="F1790" t="s">
        <v>1882</v>
      </c>
      <c r="G1790" s="554">
        <v>9504</v>
      </c>
      <c r="H1790">
        <v>283.89807936</v>
      </c>
    </row>
    <row r="1791" spans="2:8">
      <c r="B1791" s="555" t="s">
        <v>2271</v>
      </c>
      <c r="C1791" s="555" t="str">
        <f>VLOOKUP(D1791,기본!$D$13:$E$74,2,0)</f>
        <v>삼성 VD</v>
      </c>
      <c r="D1791" t="s">
        <v>1871</v>
      </c>
      <c r="E1791" t="s">
        <v>1164</v>
      </c>
      <c r="F1791" t="s">
        <v>1850</v>
      </c>
      <c r="G1791" s="554">
        <v>20736</v>
      </c>
      <c r="H1791">
        <v>562.87918915199998</v>
      </c>
    </row>
    <row r="1792" spans="2:8">
      <c r="B1792" s="555" t="s">
        <v>2271</v>
      </c>
      <c r="C1792" s="555" t="str">
        <f>VLOOKUP(D1792,기본!$D$13:$E$74,2,0)</f>
        <v>삼성 VD</v>
      </c>
      <c r="D1792" t="s">
        <v>1871</v>
      </c>
      <c r="E1792" t="s">
        <v>1853</v>
      </c>
      <c r="F1792" t="s">
        <v>1854</v>
      </c>
      <c r="G1792" s="554">
        <v>7920</v>
      </c>
      <c r="H1792">
        <v>111.55124384999999</v>
      </c>
    </row>
    <row r="1793" spans="2:8">
      <c r="B1793" s="555" t="s">
        <v>2271</v>
      </c>
      <c r="C1793" s="555" t="str">
        <f>VLOOKUP(D1793,기본!$D$13:$E$74,2,0)</f>
        <v>삼성 VD</v>
      </c>
      <c r="D1793" t="s">
        <v>1871</v>
      </c>
      <c r="E1793" t="s">
        <v>1874</v>
      </c>
      <c r="F1793" t="s">
        <v>1875</v>
      </c>
      <c r="G1793" s="554">
        <v>11592</v>
      </c>
      <c r="H1793">
        <v>181.45234359</v>
      </c>
    </row>
    <row r="1794" spans="2:8">
      <c r="B1794" s="555" t="s">
        <v>2271</v>
      </c>
      <c r="C1794" s="555" t="str">
        <f>VLOOKUP(D1794,기본!$D$13:$E$74,2,0)</f>
        <v>삼성 VD</v>
      </c>
      <c r="D1794" t="s">
        <v>1871</v>
      </c>
      <c r="E1794" t="s">
        <v>1876</v>
      </c>
      <c r="F1794" t="s">
        <v>1877</v>
      </c>
      <c r="G1794" s="554">
        <v>12912</v>
      </c>
      <c r="H1794">
        <v>88.592694600000002</v>
      </c>
    </row>
    <row r="1795" spans="2:8">
      <c r="B1795" s="555" t="s">
        <v>2271</v>
      </c>
      <c r="C1795" s="555" t="str">
        <f>VLOOKUP(D1795,기본!$D$13:$E$74,2,0)</f>
        <v>삼성 VD</v>
      </c>
      <c r="D1795" t="s">
        <v>1871</v>
      </c>
      <c r="E1795" t="s">
        <v>1878</v>
      </c>
      <c r="F1795" t="s">
        <v>1879</v>
      </c>
      <c r="G1795" s="554">
        <v>768</v>
      </c>
      <c r="H1795">
        <v>5.2973746800000008</v>
      </c>
    </row>
    <row r="1796" spans="2:8">
      <c r="B1796" s="555" t="s">
        <v>2271</v>
      </c>
      <c r="C1796" s="555" t="str">
        <f>VLOOKUP(D1796,기본!$D$13:$E$74,2,0)</f>
        <v>삼성 VD</v>
      </c>
      <c r="D1796" t="s">
        <v>1880</v>
      </c>
      <c r="E1796" t="s">
        <v>1855</v>
      </c>
      <c r="F1796" t="s">
        <v>1856</v>
      </c>
      <c r="G1796" s="554">
        <v>3841</v>
      </c>
      <c r="H1796">
        <v>55.275957384999998</v>
      </c>
    </row>
    <row r="1797" spans="2:8">
      <c r="B1797" s="555" t="s">
        <v>2271</v>
      </c>
      <c r="C1797" s="555" t="str">
        <f>VLOOKUP(D1797,기본!$D$13:$E$74,2,0)</f>
        <v>삼성 VD</v>
      </c>
      <c r="D1797" t="s">
        <v>1881</v>
      </c>
      <c r="E1797" t="s">
        <v>1165</v>
      </c>
      <c r="F1797" t="s">
        <v>1882</v>
      </c>
      <c r="G1797" s="554">
        <v>582</v>
      </c>
      <c r="H1797">
        <v>17.430850499999998</v>
      </c>
    </row>
    <row r="1798" spans="2:8">
      <c r="B1798" s="555" t="s">
        <v>2271</v>
      </c>
      <c r="C1798" s="555" t="str">
        <f>VLOOKUP(D1798,기본!$D$13:$E$74,2,0)</f>
        <v>삼성 VD</v>
      </c>
      <c r="D1798" t="s">
        <v>1881</v>
      </c>
      <c r="E1798" t="s">
        <v>1164</v>
      </c>
      <c r="F1798" t="s">
        <v>1850</v>
      </c>
      <c r="G1798" s="554">
        <v>1206</v>
      </c>
      <c r="H1798">
        <v>32.779472364</v>
      </c>
    </row>
    <row r="1799" spans="2:8">
      <c r="B1799" s="555" t="s">
        <v>2271</v>
      </c>
      <c r="C1799" s="555" t="str">
        <f>VLOOKUP(D1799,기본!$D$13:$E$74,2,0)</f>
        <v>삼성 VD</v>
      </c>
      <c r="D1799" t="s">
        <v>1881</v>
      </c>
      <c r="E1799" t="s">
        <v>1853</v>
      </c>
      <c r="F1799" t="s">
        <v>1854</v>
      </c>
      <c r="G1799" s="554">
        <v>210</v>
      </c>
      <c r="H1799">
        <v>2.9530689300000001</v>
      </c>
    </row>
    <row r="1800" spans="2:8">
      <c r="B1800" s="555" t="s">
        <v>2271</v>
      </c>
      <c r="C1800" s="555" t="str">
        <f>VLOOKUP(D1800,기본!$D$13:$E$74,2,0)</f>
        <v>삼성 VD</v>
      </c>
      <c r="D1800" t="s">
        <v>1881</v>
      </c>
      <c r="E1800" t="s">
        <v>1874</v>
      </c>
      <c r="F1800" t="s">
        <v>1875</v>
      </c>
      <c r="G1800" s="554">
        <v>736</v>
      </c>
      <c r="H1800">
        <v>11.496267468000001</v>
      </c>
    </row>
    <row r="1801" spans="2:8">
      <c r="B1801" s="555" t="s">
        <v>2271</v>
      </c>
      <c r="C1801" s="555" t="str">
        <f>VLOOKUP(D1801,기본!$D$13:$E$74,2,0)</f>
        <v>기타</v>
      </c>
      <c r="D1801" t="s">
        <v>1883</v>
      </c>
      <c r="E1801" t="s">
        <v>229</v>
      </c>
      <c r="F1801" t="s">
        <v>229</v>
      </c>
      <c r="G1801" s="554">
        <v>0</v>
      </c>
      <c r="H1801">
        <v>8.3743449999999999</v>
      </c>
    </row>
    <row r="1802" spans="2:8">
      <c r="B1802" s="555" t="s">
        <v>2271</v>
      </c>
      <c r="C1802" s="555" t="str">
        <f>VLOOKUP(D1802,기본!$D$13:$E$74,2,0)</f>
        <v>MNT JDM</v>
      </c>
      <c r="D1802" t="s">
        <v>2107</v>
      </c>
      <c r="E1802" t="s">
        <v>709</v>
      </c>
      <c r="F1802" t="s">
        <v>2108</v>
      </c>
      <c r="G1802" s="554">
        <v>73920</v>
      </c>
      <c r="H1802">
        <v>335.77790399999998</v>
      </c>
    </row>
    <row r="1803" spans="2:8">
      <c r="B1803" s="555" t="s">
        <v>2271</v>
      </c>
      <c r="C1803" s="555" t="str">
        <f>VLOOKUP(D1803,기본!$D$13:$E$74,2,0)</f>
        <v>MNT JDM</v>
      </c>
      <c r="D1803" t="s">
        <v>2107</v>
      </c>
      <c r="E1803" t="s">
        <v>710</v>
      </c>
      <c r="F1803" t="s">
        <v>2109</v>
      </c>
      <c r="G1803" s="554">
        <v>20064</v>
      </c>
      <c r="H1803">
        <v>107.71057439999998</v>
      </c>
    </row>
    <row r="1804" spans="2:8">
      <c r="B1804" s="555" t="s">
        <v>2271</v>
      </c>
      <c r="C1804" s="555" t="str">
        <f>VLOOKUP(D1804,기본!$D$13:$E$74,2,0)</f>
        <v>MNT JDM</v>
      </c>
      <c r="D1804" t="s">
        <v>2107</v>
      </c>
      <c r="E1804" t="s">
        <v>1156</v>
      </c>
      <c r="F1804" t="s">
        <v>1870</v>
      </c>
      <c r="G1804" s="554">
        <v>14784</v>
      </c>
      <c r="H1804">
        <v>82.621714559999987</v>
      </c>
    </row>
    <row r="1805" spans="2:8">
      <c r="B1805" s="555" t="s">
        <v>2271</v>
      </c>
      <c r="C1805" s="555" t="str">
        <f>VLOOKUP(D1805,기본!$D$13:$E$74,2,0)</f>
        <v>MNT JDM</v>
      </c>
      <c r="D1805" t="s">
        <v>2107</v>
      </c>
      <c r="E1805" t="s">
        <v>1157</v>
      </c>
      <c r="F1805" t="s">
        <v>1887</v>
      </c>
      <c r="G1805" s="554">
        <v>7392</v>
      </c>
      <c r="H1805">
        <v>48.535169759999995</v>
      </c>
    </row>
    <row r="1806" spans="2:8">
      <c r="B1806" s="555" t="s">
        <v>2271</v>
      </c>
      <c r="C1806" s="555" t="str">
        <f>VLOOKUP(D1806,기본!$D$13:$E$74,2,0)</f>
        <v>MNT JDM</v>
      </c>
      <c r="D1806" t="s">
        <v>1884</v>
      </c>
      <c r="E1806" t="s">
        <v>709</v>
      </c>
      <c r="F1806" t="s">
        <v>2110</v>
      </c>
      <c r="G1806" s="554">
        <v>28512</v>
      </c>
      <c r="H1806">
        <v>132.128512032</v>
      </c>
    </row>
    <row r="1807" spans="2:8">
      <c r="B1807" s="555" t="s">
        <v>2271</v>
      </c>
      <c r="C1807" s="555" t="str">
        <f>VLOOKUP(D1807,기본!$D$13:$E$74,2,0)</f>
        <v>MNT JDM</v>
      </c>
      <c r="D1807" t="s">
        <v>1884</v>
      </c>
      <c r="E1807" t="s">
        <v>710</v>
      </c>
      <c r="F1807" t="s">
        <v>2111</v>
      </c>
      <c r="G1807" s="554">
        <v>8448</v>
      </c>
      <c r="H1807">
        <v>46.863548160000001</v>
      </c>
    </row>
    <row r="1808" spans="2:8">
      <c r="B1808" s="555" t="s">
        <v>2271</v>
      </c>
      <c r="C1808" s="555" t="str">
        <f>VLOOKUP(D1808,기본!$D$13:$E$74,2,0)</f>
        <v>MNT JDM</v>
      </c>
      <c r="D1808" t="s">
        <v>1884</v>
      </c>
      <c r="E1808" t="s">
        <v>1156</v>
      </c>
      <c r="F1808" t="s">
        <v>2112</v>
      </c>
      <c r="G1808" s="554">
        <v>25344</v>
      </c>
      <c r="H1808">
        <v>144.12809241600002</v>
      </c>
    </row>
    <row r="1809" spans="2:8">
      <c r="B1809" s="555" t="s">
        <v>2271</v>
      </c>
      <c r="C1809" s="555" t="str">
        <f>VLOOKUP(D1809,기본!$D$13:$E$74,2,0)</f>
        <v>MNT JDM</v>
      </c>
      <c r="D1809" t="s">
        <v>1884</v>
      </c>
      <c r="E1809" t="s">
        <v>1157</v>
      </c>
      <c r="F1809" t="s">
        <v>2208</v>
      </c>
      <c r="G1809" s="554">
        <v>1056</v>
      </c>
      <c r="H1809">
        <v>7.2097766400000003</v>
      </c>
    </row>
    <row r="1810" spans="2:8">
      <c r="B1810" s="555" t="s">
        <v>2271</v>
      </c>
      <c r="C1810" s="555" t="str">
        <f>VLOOKUP(D1810,기본!$D$13:$E$74,2,0)</f>
        <v>MNT JDM</v>
      </c>
      <c r="D1810" t="s">
        <v>157</v>
      </c>
      <c r="E1810" t="s">
        <v>709</v>
      </c>
      <c r="F1810" t="s">
        <v>1885</v>
      </c>
      <c r="G1810" s="554">
        <v>42240</v>
      </c>
      <c r="H1810">
        <v>189.0373056</v>
      </c>
    </row>
    <row r="1811" spans="2:8">
      <c r="B1811" s="555" t="s">
        <v>2271</v>
      </c>
      <c r="C1811" s="555" t="str">
        <f>VLOOKUP(D1811,기본!$D$13:$E$74,2,0)</f>
        <v>MNT JDM</v>
      </c>
      <c r="D1811" t="s">
        <v>157</v>
      </c>
      <c r="E1811" t="s">
        <v>1156</v>
      </c>
      <c r="F1811" t="s">
        <v>1870</v>
      </c>
      <c r="G1811" s="554">
        <v>14784</v>
      </c>
      <c r="H1811">
        <v>81.400704000000005</v>
      </c>
    </row>
    <row r="1812" spans="2:8">
      <c r="B1812" s="555" t="s">
        <v>2271</v>
      </c>
      <c r="C1812" s="555" t="str">
        <f>VLOOKUP(D1812,기본!$D$13:$E$74,2,0)</f>
        <v>AV JDM</v>
      </c>
      <c r="D1812" t="s">
        <v>1888</v>
      </c>
      <c r="E1812" t="s">
        <v>1842</v>
      </c>
      <c r="F1812" t="s">
        <v>1680</v>
      </c>
      <c r="G1812" s="554">
        <v>19000</v>
      </c>
      <c r="H1812">
        <v>172.83947999999998</v>
      </c>
    </row>
    <row r="1813" spans="2:8">
      <c r="B1813" s="555" t="s">
        <v>2271</v>
      </c>
      <c r="C1813" s="555" t="str">
        <f>VLOOKUP(D1813,기본!$D$13:$E$74,2,0)</f>
        <v>AV JDM</v>
      </c>
      <c r="D1813" t="s">
        <v>1888</v>
      </c>
      <c r="E1813" t="s">
        <v>2104</v>
      </c>
      <c r="F1813" t="s">
        <v>2105</v>
      </c>
      <c r="G1813" s="554">
        <v>400</v>
      </c>
      <c r="H1813">
        <v>3.9059819999999998</v>
      </c>
    </row>
    <row r="1814" spans="2:8">
      <c r="B1814" s="555" t="s">
        <v>2271</v>
      </c>
      <c r="C1814" s="555" t="str">
        <f>VLOOKUP(D1814,기본!$D$13:$E$74,2,0)</f>
        <v>AV JDM</v>
      </c>
      <c r="D1814" t="s">
        <v>1888</v>
      </c>
      <c r="E1814" t="s">
        <v>105</v>
      </c>
      <c r="F1814" t="s">
        <v>104</v>
      </c>
      <c r="G1814" s="554">
        <v>5120</v>
      </c>
      <c r="H1814">
        <v>51.885094799999997</v>
      </c>
    </row>
    <row r="1815" spans="2:8">
      <c r="B1815" s="555" t="s">
        <v>2271</v>
      </c>
      <c r="C1815" s="555" t="str">
        <f>VLOOKUP(D1815,기본!$D$13:$E$74,2,0)</f>
        <v>AV JDM</v>
      </c>
      <c r="D1815" t="s">
        <v>1888</v>
      </c>
      <c r="E1815" t="s">
        <v>690</v>
      </c>
      <c r="F1815" t="s">
        <v>689</v>
      </c>
      <c r="G1815" s="554">
        <v>2920</v>
      </c>
      <c r="H1815">
        <v>30.166258119999998</v>
      </c>
    </row>
    <row r="1816" spans="2:8">
      <c r="B1816" s="555" t="s">
        <v>2271</v>
      </c>
      <c r="C1816" s="555" t="str">
        <f>VLOOKUP(D1816,기본!$D$13:$E$74,2,0)</f>
        <v>AV JDM</v>
      </c>
      <c r="D1816" t="s">
        <v>1888</v>
      </c>
      <c r="E1816" t="s">
        <v>1656</v>
      </c>
      <c r="F1816" t="s">
        <v>1656</v>
      </c>
      <c r="G1816" s="554">
        <v>168</v>
      </c>
      <c r="H1816">
        <v>1.4582089199999999</v>
      </c>
    </row>
    <row r="1817" spans="2:8">
      <c r="B1817" s="555" t="s">
        <v>2271</v>
      </c>
      <c r="C1817" s="555" t="str">
        <f>VLOOKUP(D1817,기본!$D$13:$E$74,2,0)</f>
        <v>AV JDM</v>
      </c>
      <c r="D1817" t="s">
        <v>1888</v>
      </c>
      <c r="E1817" t="s">
        <v>1889</v>
      </c>
      <c r="F1817" t="s">
        <v>1890</v>
      </c>
      <c r="G1817" s="554">
        <v>73584</v>
      </c>
      <c r="H1817">
        <v>581.19100200000003</v>
      </c>
    </row>
    <row r="1818" spans="2:8">
      <c r="B1818" s="555" t="s">
        <v>2271</v>
      </c>
      <c r="C1818" s="555" t="str">
        <f>VLOOKUP(D1818,기본!$D$13:$E$74,2,0)</f>
        <v>AV JDM</v>
      </c>
      <c r="D1818" t="s">
        <v>1888</v>
      </c>
      <c r="E1818" t="s">
        <v>2106</v>
      </c>
      <c r="F1818" t="s">
        <v>1256</v>
      </c>
      <c r="G1818" s="554">
        <v>9072</v>
      </c>
      <c r="H1818">
        <v>88.137504000000007</v>
      </c>
    </row>
    <row r="1819" spans="2:8">
      <c r="B1819" s="555" t="s">
        <v>2271</v>
      </c>
      <c r="C1819" s="555" t="str">
        <f>VLOOKUP(D1819,기본!$D$13:$E$74,2,0)</f>
        <v>AV JDM</v>
      </c>
      <c r="D1819" t="s">
        <v>1888</v>
      </c>
      <c r="E1819" t="s">
        <v>1891</v>
      </c>
      <c r="F1819" t="s">
        <v>1892</v>
      </c>
      <c r="G1819" s="554">
        <v>376</v>
      </c>
      <c r="H1819">
        <v>16.034132719999999</v>
      </c>
    </row>
    <row r="1820" spans="2:8">
      <c r="B1820" s="555" t="s">
        <v>2271</v>
      </c>
      <c r="C1820" s="555" t="str">
        <f>VLOOKUP(D1820,기본!$D$13:$E$74,2,0)</f>
        <v>AV JDM</v>
      </c>
      <c r="D1820" t="s">
        <v>1888</v>
      </c>
      <c r="E1820" t="s">
        <v>2209</v>
      </c>
      <c r="F1820" t="s">
        <v>1260</v>
      </c>
      <c r="G1820" s="554">
        <v>1008</v>
      </c>
      <c r="H1820">
        <v>7.3260633600000009</v>
      </c>
    </row>
    <row r="1821" spans="2:8">
      <c r="B1821" s="555" t="s">
        <v>2271</v>
      </c>
      <c r="C1821" s="555" t="str">
        <f>VLOOKUP(D1821,기본!$D$13:$E$74,2,0)</f>
        <v>AV JDM</v>
      </c>
      <c r="D1821" t="s">
        <v>1888</v>
      </c>
      <c r="E1821" t="s">
        <v>1845</v>
      </c>
      <c r="F1821" t="s">
        <v>1340</v>
      </c>
      <c r="G1821" s="554">
        <v>12390</v>
      </c>
      <c r="H1821">
        <v>129.30839178600002</v>
      </c>
    </row>
    <row r="1822" spans="2:8">
      <c r="B1822" s="555" t="s">
        <v>2271</v>
      </c>
      <c r="C1822" s="555" t="str">
        <f>VLOOKUP(D1822,기본!$D$13:$E$74,2,0)</f>
        <v>AV JDM</v>
      </c>
      <c r="D1822" t="s">
        <v>1888</v>
      </c>
      <c r="E1822" t="s">
        <v>1846</v>
      </c>
      <c r="F1822" t="s">
        <v>1341</v>
      </c>
      <c r="G1822" s="554">
        <v>1176</v>
      </c>
      <c r="H1822">
        <v>13.501517231999999</v>
      </c>
    </row>
    <row r="1823" spans="2:8">
      <c r="B1823" s="555" t="s">
        <v>2271</v>
      </c>
      <c r="C1823" s="555" t="str">
        <f>VLOOKUP(D1823,기본!$D$13:$E$74,2,0)</f>
        <v>AV JDM</v>
      </c>
      <c r="D1823" t="s">
        <v>1888</v>
      </c>
      <c r="E1823" t="s">
        <v>1847</v>
      </c>
      <c r="F1823" t="s">
        <v>1336</v>
      </c>
      <c r="G1823" s="554">
        <v>30000</v>
      </c>
      <c r="H1823">
        <v>273.03011999999995</v>
      </c>
    </row>
    <row r="1824" spans="2:8">
      <c r="B1824" s="555" t="s">
        <v>2271</v>
      </c>
      <c r="C1824" s="555" t="str">
        <f>VLOOKUP(D1824,기본!$D$13:$E$74,2,0)</f>
        <v>AV JDM</v>
      </c>
      <c r="D1824" t="s">
        <v>1888</v>
      </c>
      <c r="E1824" t="s">
        <v>1894</v>
      </c>
      <c r="F1824" t="s">
        <v>1337</v>
      </c>
      <c r="G1824" s="554">
        <v>1080</v>
      </c>
      <c r="H1824">
        <v>10.974284999999998</v>
      </c>
    </row>
    <row r="1825" spans="2:8">
      <c r="B1825" s="555" t="s">
        <v>2271</v>
      </c>
      <c r="C1825" s="555" t="str">
        <f>VLOOKUP(D1825,기본!$D$13:$E$74,2,0)</f>
        <v>AV JDM</v>
      </c>
      <c r="D1825" t="s">
        <v>1888</v>
      </c>
      <c r="E1825" t="s">
        <v>1015</v>
      </c>
      <c r="F1825" t="s">
        <v>1015</v>
      </c>
      <c r="G1825" s="554">
        <v>26813</v>
      </c>
      <c r="H1825">
        <v>188.29736418000002</v>
      </c>
    </row>
    <row r="1826" spans="2:8">
      <c r="B1826" s="555" t="s">
        <v>2271</v>
      </c>
      <c r="C1826" s="555" t="str">
        <f>VLOOKUP(D1826,기본!$D$13:$E$74,2,0)</f>
        <v>AV JDM</v>
      </c>
      <c r="D1826" t="s">
        <v>1888</v>
      </c>
      <c r="E1826" t="s">
        <v>1016</v>
      </c>
      <c r="F1826" t="s">
        <v>1016</v>
      </c>
      <c r="G1826" s="554">
        <v>22656</v>
      </c>
      <c r="H1826">
        <v>188.50470796799999</v>
      </c>
    </row>
    <row r="1827" spans="2:8">
      <c r="B1827" s="555" t="s">
        <v>2271</v>
      </c>
      <c r="C1827" s="555" t="str">
        <f>VLOOKUP(D1827,기본!$D$13:$E$74,2,0)</f>
        <v>AV JDM</v>
      </c>
      <c r="D1827" t="s">
        <v>1888</v>
      </c>
      <c r="E1827" t="s">
        <v>1047</v>
      </c>
      <c r="F1827" t="s">
        <v>1047</v>
      </c>
      <c r="G1827" s="554">
        <v>2176</v>
      </c>
      <c r="H1827">
        <v>19.738172159999998</v>
      </c>
    </row>
    <row r="1828" spans="2:8">
      <c r="B1828" s="555" t="s">
        <v>2271</v>
      </c>
      <c r="C1828" s="555" t="str">
        <f>VLOOKUP(D1828,기본!$D$13:$E$74,2,0)</f>
        <v>AV JDM</v>
      </c>
      <c r="D1828" t="s">
        <v>1888</v>
      </c>
      <c r="E1828" t="s">
        <v>1895</v>
      </c>
      <c r="F1828" t="s">
        <v>1895</v>
      </c>
      <c r="G1828" s="554">
        <v>8320</v>
      </c>
      <c r="H1828">
        <v>73.166262455999998</v>
      </c>
    </row>
    <row r="1829" spans="2:8">
      <c r="B1829" s="555" t="s">
        <v>2271</v>
      </c>
      <c r="C1829" s="555" t="str">
        <f>VLOOKUP(D1829,기본!$D$13:$E$74,2,0)</f>
        <v>AV JDM</v>
      </c>
      <c r="D1829" t="s">
        <v>1888</v>
      </c>
      <c r="E1829" t="s">
        <v>2160</v>
      </c>
      <c r="F1829" t="s">
        <v>2160</v>
      </c>
      <c r="G1829" s="554">
        <v>4400</v>
      </c>
      <c r="H1829">
        <v>41.211009599999997</v>
      </c>
    </row>
    <row r="1830" spans="2:8">
      <c r="B1830" s="555" t="s">
        <v>2271</v>
      </c>
      <c r="C1830" s="555" t="str">
        <f>VLOOKUP(D1830,기본!$D$13:$E$74,2,0)</f>
        <v>MNT JDM</v>
      </c>
      <c r="D1830" t="s">
        <v>1898</v>
      </c>
      <c r="E1830" t="s">
        <v>709</v>
      </c>
      <c r="F1830" t="s">
        <v>2161</v>
      </c>
      <c r="G1830" s="554">
        <v>1540</v>
      </c>
      <c r="H1830">
        <v>6.9317787000000006</v>
      </c>
    </row>
    <row r="1831" spans="2:8">
      <c r="B1831" s="555" t="s">
        <v>2271</v>
      </c>
      <c r="C1831" s="555" t="str">
        <f>VLOOKUP(D1831,기본!$D$13:$E$74,2,0)</f>
        <v>MNT JDM</v>
      </c>
      <c r="D1831" t="s">
        <v>1898</v>
      </c>
      <c r="E1831" t="s">
        <v>710</v>
      </c>
      <c r="F1831" t="s">
        <v>2162</v>
      </c>
      <c r="G1831" s="554">
        <v>2112</v>
      </c>
      <c r="H1831">
        <v>11.367026880000001</v>
      </c>
    </row>
    <row r="1832" spans="2:8">
      <c r="B1832" s="555" t="s">
        <v>2271</v>
      </c>
      <c r="C1832" s="555" t="str">
        <f>VLOOKUP(D1832,기본!$D$13:$E$74,2,0)</f>
        <v>AV JDM</v>
      </c>
      <c r="D1832" t="s">
        <v>1899</v>
      </c>
      <c r="E1832" t="s">
        <v>436</v>
      </c>
      <c r="F1832" t="s">
        <v>2210</v>
      </c>
      <c r="G1832" s="554">
        <v>20160</v>
      </c>
      <c r="H1832">
        <v>175.10401439999998</v>
      </c>
    </row>
    <row r="1833" spans="2:8">
      <c r="B1833" s="555" t="s">
        <v>2271</v>
      </c>
      <c r="C1833" s="555" t="str">
        <f>VLOOKUP(D1833,기본!$D$13:$E$74,2,0)</f>
        <v>MNT JDM</v>
      </c>
      <c r="D1833" t="s">
        <v>1900</v>
      </c>
      <c r="E1833" t="s">
        <v>709</v>
      </c>
      <c r="F1833" t="s">
        <v>2115</v>
      </c>
      <c r="G1833" s="554">
        <v>21120</v>
      </c>
      <c r="H1833">
        <v>95.020193664000004</v>
      </c>
    </row>
    <row r="1834" spans="2:8">
      <c r="B1834" s="555" t="s">
        <v>2271</v>
      </c>
      <c r="C1834" s="555" t="str">
        <f>VLOOKUP(D1834,기본!$D$13:$E$74,2,0)</f>
        <v>MNT JDM</v>
      </c>
      <c r="D1834" t="s">
        <v>1900</v>
      </c>
      <c r="E1834" t="s">
        <v>1156</v>
      </c>
      <c r="F1834" t="s">
        <v>2116</v>
      </c>
      <c r="G1834" s="554">
        <v>3168</v>
      </c>
      <c r="H1834">
        <v>17.458214400000003</v>
      </c>
    </row>
    <row r="1835" spans="2:8">
      <c r="B1835" s="555" t="s">
        <v>2271</v>
      </c>
      <c r="C1835" s="555" t="str">
        <f>VLOOKUP(D1835,기본!$D$13:$E$74,2,0)</f>
        <v>MNT JDM</v>
      </c>
      <c r="D1835" t="s">
        <v>1900</v>
      </c>
      <c r="E1835" t="s">
        <v>1157</v>
      </c>
      <c r="F1835" t="s">
        <v>2233</v>
      </c>
      <c r="G1835" s="554">
        <v>3168</v>
      </c>
      <c r="H1835">
        <v>20.729030783999995</v>
      </c>
    </row>
    <row r="1836" spans="2:8">
      <c r="B1836" s="555" t="s">
        <v>2271</v>
      </c>
      <c r="C1836" s="555" t="str">
        <f>VLOOKUP(D1836,기본!$D$13:$E$74,2,0)</f>
        <v>한화비전</v>
      </c>
      <c r="D1836" t="s">
        <v>1901</v>
      </c>
      <c r="E1836" t="s">
        <v>2117</v>
      </c>
      <c r="F1836" t="s">
        <v>2118</v>
      </c>
      <c r="G1836" s="554">
        <v>800</v>
      </c>
      <c r="H1836">
        <v>2.9581328</v>
      </c>
    </row>
    <row r="1837" spans="2:8">
      <c r="B1837" s="555" t="s">
        <v>2271</v>
      </c>
      <c r="C1837" s="555" t="str">
        <f>VLOOKUP(D1837,기본!$D$13:$E$74,2,0)</f>
        <v>한화비전</v>
      </c>
      <c r="D1837" t="s">
        <v>1901</v>
      </c>
      <c r="E1837" t="s">
        <v>2163</v>
      </c>
      <c r="F1837" t="s">
        <v>2164</v>
      </c>
      <c r="G1837" s="554">
        <v>574</v>
      </c>
      <c r="H1837">
        <v>13.64438754</v>
      </c>
    </row>
    <row r="1838" spans="2:8">
      <c r="B1838" s="555" t="s">
        <v>2271</v>
      </c>
      <c r="C1838" s="555" t="str">
        <f>VLOOKUP(D1838,기본!$D$13:$E$74,2,0)</f>
        <v>한화비전</v>
      </c>
      <c r="D1838" t="s">
        <v>1901</v>
      </c>
      <c r="E1838" t="s">
        <v>1902</v>
      </c>
      <c r="F1838" t="s">
        <v>1903</v>
      </c>
      <c r="G1838" s="554">
        <v>1944</v>
      </c>
      <c r="H1838">
        <v>69.990978959999993</v>
      </c>
    </row>
    <row r="1839" spans="2:8">
      <c r="B1839" s="555" t="s">
        <v>2271</v>
      </c>
      <c r="C1839" s="555" t="str">
        <f>VLOOKUP(D1839,기본!$D$13:$E$74,2,0)</f>
        <v>한화비전</v>
      </c>
      <c r="D1839" t="s">
        <v>1901</v>
      </c>
      <c r="E1839" t="s">
        <v>2257</v>
      </c>
      <c r="F1839" t="s">
        <v>2258</v>
      </c>
      <c r="G1839" s="554">
        <v>220</v>
      </c>
      <c r="H1839">
        <v>4.2815079999999996</v>
      </c>
    </row>
    <row r="1840" spans="2:8">
      <c r="B1840" s="555" t="s">
        <v>2271</v>
      </c>
      <c r="C1840" s="555" t="str">
        <f>VLOOKUP(D1840,기본!$D$13:$E$74,2,0)</f>
        <v>MNT JDM</v>
      </c>
      <c r="D1840" t="s">
        <v>2259</v>
      </c>
      <c r="E1840" t="s">
        <v>709</v>
      </c>
      <c r="F1840" t="s">
        <v>1869</v>
      </c>
      <c r="G1840" s="554">
        <v>300</v>
      </c>
      <c r="H1840">
        <v>1.3916415</v>
      </c>
    </row>
    <row r="1841" spans="2:8">
      <c r="B1841" s="555" t="s">
        <v>2271</v>
      </c>
      <c r="C1841" s="555" t="str">
        <f>VLOOKUP(D1841,기본!$D$13:$E$74,2,0)</f>
        <v>MNT JDM</v>
      </c>
      <c r="D1841" t="s">
        <v>2259</v>
      </c>
      <c r="E1841" t="s">
        <v>710</v>
      </c>
      <c r="F1841" t="s">
        <v>1947</v>
      </c>
      <c r="G1841" s="554">
        <v>20</v>
      </c>
      <c r="H1841">
        <v>0.11094590000000001</v>
      </c>
    </row>
    <row r="1842" spans="2:8">
      <c r="B1842" s="555" t="s">
        <v>2271</v>
      </c>
      <c r="C1842" s="555" t="str">
        <f>VLOOKUP(D1842,기본!$D$13:$E$74,2,0)</f>
        <v>코웨이</v>
      </c>
      <c r="D1842" t="s">
        <v>1905</v>
      </c>
      <c r="E1842" t="s">
        <v>1066</v>
      </c>
      <c r="F1842" t="s">
        <v>1066</v>
      </c>
      <c r="G1842" s="554">
        <v>1000</v>
      </c>
      <c r="H1842">
        <v>8.2490800000000011</v>
      </c>
    </row>
    <row r="1843" spans="2:8">
      <c r="B1843" s="555" t="s">
        <v>2271</v>
      </c>
      <c r="C1843" s="555" t="str">
        <f>VLOOKUP(D1843,기본!$D$13:$E$74,2,0)</f>
        <v>코웨이</v>
      </c>
      <c r="D1843" t="s">
        <v>1905</v>
      </c>
      <c r="E1843" t="s">
        <v>1906</v>
      </c>
      <c r="F1843" t="s">
        <v>1906</v>
      </c>
      <c r="G1843" s="554">
        <v>21600</v>
      </c>
      <c r="H1843">
        <v>143.71620480000001</v>
      </c>
    </row>
    <row r="1844" spans="2:8">
      <c r="B1844" s="555" t="s">
        <v>2271</v>
      </c>
      <c r="C1844" s="555" t="str">
        <f>VLOOKUP(D1844,기본!$D$13:$E$74,2,0)</f>
        <v>코웨이</v>
      </c>
      <c r="D1844" t="s">
        <v>1905</v>
      </c>
      <c r="E1844" t="s">
        <v>1907</v>
      </c>
      <c r="F1844" t="s">
        <v>1907</v>
      </c>
      <c r="G1844" s="554">
        <v>1000</v>
      </c>
      <c r="H1844">
        <v>7.5619260000000006</v>
      </c>
    </row>
    <row r="1845" spans="2:8">
      <c r="B1845" s="555" t="s">
        <v>2271</v>
      </c>
      <c r="C1845" s="555" t="str">
        <f>VLOOKUP(D1845,기본!$D$13:$E$74,2,0)</f>
        <v>코웨이</v>
      </c>
      <c r="D1845" t="s">
        <v>1905</v>
      </c>
      <c r="E1845" t="s">
        <v>1909</v>
      </c>
      <c r="F1845" t="s">
        <v>1909</v>
      </c>
      <c r="G1845" s="554">
        <v>1008</v>
      </c>
      <c r="H1845">
        <v>5.7852460800000012</v>
      </c>
    </row>
    <row r="1846" spans="2:8">
      <c r="B1846" s="555" t="s">
        <v>2271</v>
      </c>
      <c r="C1846" s="555" t="str">
        <f>VLOOKUP(D1846,기본!$D$13:$E$74,2,0)</f>
        <v>코웨이</v>
      </c>
      <c r="D1846" t="s">
        <v>1905</v>
      </c>
      <c r="E1846" t="s">
        <v>2165</v>
      </c>
      <c r="F1846" t="s">
        <v>2165</v>
      </c>
      <c r="G1846" s="554">
        <v>3216</v>
      </c>
      <c r="H1846">
        <v>20.955713280000001</v>
      </c>
    </row>
    <row r="1847" spans="2:8">
      <c r="B1847" s="555" t="s">
        <v>2271</v>
      </c>
      <c r="C1847" s="555" t="str">
        <f>VLOOKUP(D1847,기본!$D$13:$E$74,2,0)</f>
        <v>코웨이</v>
      </c>
      <c r="D1847" t="s">
        <v>1905</v>
      </c>
      <c r="E1847" t="s">
        <v>1910</v>
      </c>
      <c r="F1847" t="s">
        <v>1910</v>
      </c>
      <c r="G1847" s="554">
        <v>4704</v>
      </c>
      <c r="H1847">
        <v>28.774030272000001</v>
      </c>
    </row>
    <row r="1848" spans="2:8">
      <c r="B1848" s="555" t="s">
        <v>2271</v>
      </c>
      <c r="C1848" s="555" t="str">
        <f>VLOOKUP(D1848,기본!$D$13:$E$74,2,0)</f>
        <v>삼성 VD</v>
      </c>
      <c r="D1848" t="s">
        <v>1912</v>
      </c>
      <c r="E1848" t="s">
        <v>1165</v>
      </c>
      <c r="F1848" t="s">
        <v>1882</v>
      </c>
      <c r="G1848" s="554">
        <v>432</v>
      </c>
      <c r="H1848">
        <v>13.02197904</v>
      </c>
    </row>
    <row r="1849" spans="2:8">
      <c r="B1849" s="555" t="s">
        <v>2271</v>
      </c>
      <c r="C1849" s="555" t="str">
        <f>VLOOKUP(D1849,기본!$D$13:$E$74,2,0)</f>
        <v>삼성 VD</v>
      </c>
      <c r="D1849" t="s">
        <v>1912</v>
      </c>
      <c r="E1849" t="s">
        <v>1164</v>
      </c>
      <c r="F1849" t="s">
        <v>1850</v>
      </c>
      <c r="G1849" s="554">
        <v>2988</v>
      </c>
      <c r="H1849">
        <v>81.64800486</v>
      </c>
    </row>
    <row r="1850" spans="2:8">
      <c r="B1850" s="555" t="s">
        <v>2271</v>
      </c>
      <c r="C1850" s="555" t="str">
        <f>VLOOKUP(D1850,기본!$D$13:$E$74,2,0)</f>
        <v>삼성 VD</v>
      </c>
      <c r="D1850" t="s">
        <v>1912</v>
      </c>
      <c r="E1850" t="s">
        <v>1853</v>
      </c>
      <c r="F1850" t="s">
        <v>1854</v>
      </c>
      <c r="G1850" s="554">
        <v>720</v>
      </c>
      <c r="H1850">
        <v>10.21155192</v>
      </c>
    </row>
    <row r="1851" spans="2:8">
      <c r="B1851" s="555" t="s">
        <v>2271</v>
      </c>
      <c r="C1851" s="555" t="str">
        <f>VLOOKUP(D1851,기본!$D$13:$E$74,2,0)</f>
        <v>삼성 VD</v>
      </c>
      <c r="D1851" t="s">
        <v>1912</v>
      </c>
      <c r="E1851" t="s">
        <v>1855</v>
      </c>
      <c r="F1851" t="s">
        <v>1856</v>
      </c>
      <c r="G1851" s="554">
        <v>414</v>
      </c>
      <c r="H1851">
        <v>6.0096633299999986</v>
      </c>
    </row>
    <row r="1852" spans="2:8">
      <c r="B1852" s="555" t="s">
        <v>2271</v>
      </c>
      <c r="C1852" s="555" t="str">
        <f>VLOOKUP(D1852,기본!$D$13:$E$74,2,0)</f>
        <v>삼성 VD</v>
      </c>
      <c r="D1852" t="s">
        <v>1912</v>
      </c>
      <c r="E1852" t="s">
        <v>1874</v>
      </c>
      <c r="F1852" t="s">
        <v>1875</v>
      </c>
      <c r="G1852" s="554">
        <v>897</v>
      </c>
      <c r="H1852">
        <v>14.090461434</v>
      </c>
    </row>
    <row r="1853" spans="2:8">
      <c r="B1853" s="555" t="s">
        <v>2271</v>
      </c>
      <c r="C1853" s="555" t="str">
        <f>VLOOKUP(D1853,기본!$D$13:$E$74,2,0)</f>
        <v>삼성 VD</v>
      </c>
      <c r="D1853" t="s">
        <v>1912</v>
      </c>
      <c r="E1853" t="s">
        <v>1865</v>
      </c>
      <c r="F1853" t="s">
        <v>1866</v>
      </c>
      <c r="G1853" s="554">
        <v>36</v>
      </c>
      <c r="H1853">
        <v>1.483225416</v>
      </c>
    </row>
    <row r="1854" spans="2:8">
      <c r="B1854" s="555" t="s">
        <v>2271</v>
      </c>
      <c r="C1854" s="555" t="str">
        <f>VLOOKUP(D1854,기본!$D$13:$E$74,2,0)</f>
        <v>삼성 VD</v>
      </c>
      <c r="D1854" t="s">
        <v>1912</v>
      </c>
      <c r="E1854" t="s">
        <v>1786</v>
      </c>
      <c r="F1854" t="s">
        <v>1671</v>
      </c>
      <c r="G1854" s="554">
        <v>23256</v>
      </c>
      <c r="H1854">
        <v>255.77495316</v>
      </c>
    </row>
    <row r="1855" spans="2:8">
      <c r="B1855" s="555" t="s">
        <v>2271</v>
      </c>
      <c r="C1855" s="555" t="str">
        <f>VLOOKUP(D1855,기본!$D$13:$E$74,2,0)</f>
        <v>삼성 VD</v>
      </c>
      <c r="D1855" t="s">
        <v>1912</v>
      </c>
      <c r="E1855" t="s">
        <v>1788</v>
      </c>
      <c r="F1855" t="s">
        <v>1913</v>
      </c>
      <c r="G1855" s="554">
        <v>158976</v>
      </c>
      <c r="H1855">
        <v>1964.227625856</v>
      </c>
    </row>
    <row r="1856" spans="2:8">
      <c r="B1856" s="555" t="s">
        <v>2271</v>
      </c>
      <c r="C1856" s="555" t="str">
        <f>VLOOKUP(D1856,기본!$D$13:$E$74,2,0)</f>
        <v>삼성 VD</v>
      </c>
      <c r="D1856" t="s">
        <v>1912</v>
      </c>
      <c r="E1856" t="s">
        <v>1790</v>
      </c>
      <c r="F1856" t="s">
        <v>1914</v>
      </c>
      <c r="G1856" s="554">
        <v>47520</v>
      </c>
      <c r="H1856">
        <v>648.30767601599996</v>
      </c>
    </row>
    <row r="1857" spans="2:8">
      <c r="B1857" s="555" t="s">
        <v>2271</v>
      </c>
      <c r="C1857" s="555" t="str">
        <f>VLOOKUP(D1857,기본!$D$13:$E$74,2,0)</f>
        <v>삼성 VD</v>
      </c>
      <c r="D1857" t="s">
        <v>1912</v>
      </c>
      <c r="E1857" t="s">
        <v>1792</v>
      </c>
      <c r="F1857" t="s">
        <v>1915</v>
      </c>
      <c r="G1857" s="554">
        <v>24192</v>
      </c>
      <c r="H1857">
        <v>433.58728809599995</v>
      </c>
    </row>
    <row r="1858" spans="2:8">
      <c r="B1858" s="555" t="s">
        <v>2271</v>
      </c>
      <c r="C1858" s="555" t="str">
        <f>VLOOKUP(D1858,기본!$D$13:$E$74,2,0)</f>
        <v>삼성 VD</v>
      </c>
      <c r="D1858" t="s">
        <v>1912</v>
      </c>
      <c r="E1858" t="s">
        <v>1925</v>
      </c>
      <c r="F1858" t="s">
        <v>1926</v>
      </c>
      <c r="G1858" s="554">
        <v>1512</v>
      </c>
      <c r="H1858">
        <v>12.748937544</v>
      </c>
    </row>
    <row r="1859" spans="2:8">
      <c r="B1859" s="555" t="s">
        <v>2271</v>
      </c>
      <c r="C1859" s="555" t="str">
        <f>VLOOKUP(D1859,기본!$D$13:$E$74,2,0)</f>
        <v>삼성 VD</v>
      </c>
      <c r="D1859" t="s">
        <v>1916</v>
      </c>
      <c r="E1859" t="s">
        <v>1165</v>
      </c>
      <c r="F1859" t="s">
        <v>1882</v>
      </c>
      <c r="G1859" s="554">
        <v>540</v>
      </c>
      <c r="H1859">
        <v>16.1013132</v>
      </c>
    </row>
    <row r="1860" spans="2:8">
      <c r="B1860" s="555" t="s">
        <v>2271</v>
      </c>
      <c r="C1860" s="555" t="str">
        <f>VLOOKUP(D1860,기본!$D$13:$E$74,2,0)</f>
        <v>삼성 VD</v>
      </c>
      <c r="D1860" t="s">
        <v>1916</v>
      </c>
      <c r="E1860" t="s">
        <v>1164</v>
      </c>
      <c r="F1860" t="s">
        <v>1850</v>
      </c>
      <c r="G1860" s="554">
        <v>708</v>
      </c>
      <c r="H1860">
        <v>19.171601639999999</v>
      </c>
    </row>
    <row r="1861" spans="2:8">
      <c r="B1861" s="555" t="s">
        <v>2271</v>
      </c>
      <c r="C1861" s="555" t="str">
        <f>VLOOKUP(D1861,기본!$D$13:$E$74,2,0)</f>
        <v>삼성 VD</v>
      </c>
      <c r="D1861" t="s">
        <v>1916</v>
      </c>
      <c r="E1861" t="s">
        <v>1851</v>
      </c>
      <c r="F1861" t="s">
        <v>1852</v>
      </c>
      <c r="G1861" s="554">
        <v>3840</v>
      </c>
      <c r="H1861">
        <v>28.733097600000008</v>
      </c>
    </row>
    <row r="1862" spans="2:8">
      <c r="B1862" s="555" t="s">
        <v>2271</v>
      </c>
      <c r="C1862" s="555" t="str">
        <f>VLOOKUP(D1862,기본!$D$13:$E$74,2,0)</f>
        <v>삼성 VD</v>
      </c>
      <c r="D1862" t="s">
        <v>1916</v>
      </c>
      <c r="E1862" t="s">
        <v>1853</v>
      </c>
      <c r="F1862" t="s">
        <v>1854</v>
      </c>
      <c r="G1862" s="554">
        <v>240</v>
      </c>
      <c r="H1862">
        <v>3.3721485900000006</v>
      </c>
    </row>
    <row r="1863" spans="2:8">
      <c r="B1863" s="555" t="s">
        <v>2271</v>
      </c>
      <c r="C1863" s="555" t="str">
        <f>VLOOKUP(D1863,기본!$D$13:$E$74,2,0)</f>
        <v>삼성 VD</v>
      </c>
      <c r="D1863" t="s">
        <v>1916</v>
      </c>
      <c r="E1863" t="s">
        <v>1855</v>
      </c>
      <c r="F1863" t="s">
        <v>1856</v>
      </c>
      <c r="G1863" s="554">
        <v>115</v>
      </c>
      <c r="H1863">
        <v>1.648200125</v>
      </c>
    </row>
    <row r="1864" spans="2:8">
      <c r="B1864" s="555" t="s">
        <v>2271</v>
      </c>
      <c r="C1864" s="555" t="str">
        <f>VLOOKUP(D1864,기본!$D$13:$E$74,2,0)</f>
        <v>삼성 VD</v>
      </c>
      <c r="D1864" t="s">
        <v>1916</v>
      </c>
      <c r="E1864" t="s">
        <v>1874</v>
      </c>
      <c r="F1864" t="s">
        <v>1875</v>
      </c>
      <c r="G1864" s="554">
        <v>529</v>
      </c>
      <c r="H1864">
        <v>8.2680461640000011</v>
      </c>
    </row>
    <row r="1865" spans="2:8">
      <c r="B1865" s="555" t="s">
        <v>2271</v>
      </c>
      <c r="C1865" s="555" t="str">
        <f>VLOOKUP(D1865,기본!$D$13:$E$74,2,0)</f>
        <v>삼성 VD</v>
      </c>
      <c r="D1865" t="s">
        <v>1916</v>
      </c>
      <c r="E1865" t="s">
        <v>1786</v>
      </c>
      <c r="F1865" t="s">
        <v>1671</v>
      </c>
      <c r="G1865" s="554">
        <v>5508</v>
      </c>
      <c r="H1865">
        <v>60.478611120000004</v>
      </c>
    </row>
    <row r="1866" spans="2:8">
      <c r="B1866" s="555" t="s">
        <v>2271</v>
      </c>
      <c r="C1866" s="555" t="str">
        <f>VLOOKUP(D1866,기본!$D$13:$E$74,2,0)</f>
        <v>삼성 VD</v>
      </c>
      <c r="D1866" t="s">
        <v>1916</v>
      </c>
      <c r="E1866" t="s">
        <v>1777</v>
      </c>
      <c r="F1866" t="s">
        <v>1672</v>
      </c>
      <c r="G1866" s="554">
        <v>1728</v>
      </c>
      <c r="H1866">
        <v>19.667016000000004</v>
      </c>
    </row>
    <row r="1867" spans="2:8">
      <c r="B1867" s="555" t="s">
        <v>2271</v>
      </c>
      <c r="C1867" s="555" t="str">
        <f>VLOOKUP(D1867,기본!$D$13:$E$74,2,0)</f>
        <v>삼성 VD</v>
      </c>
      <c r="D1867" t="s">
        <v>1916</v>
      </c>
      <c r="E1867" t="s">
        <v>2260</v>
      </c>
      <c r="F1867" t="s">
        <v>1774</v>
      </c>
      <c r="G1867" s="554">
        <v>603</v>
      </c>
      <c r="H1867">
        <v>6.5235032850000003</v>
      </c>
    </row>
    <row r="1868" spans="2:8">
      <c r="B1868" s="555" t="s">
        <v>2271</v>
      </c>
      <c r="C1868" s="555" t="str">
        <f>VLOOKUP(D1868,기본!$D$13:$E$74,2,0)</f>
        <v>삼성 VD</v>
      </c>
      <c r="D1868" t="s">
        <v>1916</v>
      </c>
      <c r="E1868" t="s">
        <v>1788</v>
      </c>
      <c r="F1868" t="s">
        <v>1913</v>
      </c>
      <c r="G1868" s="554">
        <v>15228</v>
      </c>
      <c r="H1868">
        <v>187.37145028799998</v>
      </c>
    </row>
    <row r="1869" spans="2:8">
      <c r="B1869" s="555" t="s">
        <v>2271</v>
      </c>
      <c r="C1869" s="555" t="str">
        <f>VLOOKUP(D1869,기본!$D$13:$E$74,2,0)</f>
        <v>삼성 VD</v>
      </c>
      <c r="D1869" t="s">
        <v>1916</v>
      </c>
      <c r="E1869" t="s">
        <v>1778</v>
      </c>
      <c r="F1869" t="s">
        <v>1919</v>
      </c>
      <c r="G1869" s="554">
        <v>24300</v>
      </c>
      <c r="H1869">
        <v>314.35217261999998</v>
      </c>
    </row>
    <row r="1870" spans="2:8">
      <c r="B1870" s="555" t="s">
        <v>2271</v>
      </c>
      <c r="C1870" s="555" t="str">
        <f>VLOOKUP(D1870,기본!$D$13:$E$74,2,0)</f>
        <v>삼성 VD</v>
      </c>
      <c r="D1870" t="s">
        <v>1916</v>
      </c>
      <c r="E1870" t="s">
        <v>2261</v>
      </c>
      <c r="F1870" t="s">
        <v>1775</v>
      </c>
      <c r="G1870" s="554">
        <v>2518</v>
      </c>
      <c r="H1870">
        <v>30.873726779999998</v>
      </c>
    </row>
    <row r="1871" spans="2:8">
      <c r="B1871" s="555" t="s">
        <v>2271</v>
      </c>
      <c r="C1871" s="555" t="str">
        <f>VLOOKUP(D1871,기본!$D$13:$E$74,2,0)</f>
        <v>삼성 VD</v>
      </c>
      <c r="D1871" t="s">
        <v>1916</v>
      </c>
      <c r="E1871" t="s">
        <v>1790</v>
      </c>
      <c r="F1871" t="s">
        <v>1914</v>
      </c>
      <c r="G1871" s="554">
        <v>2178</v>
      </c>
      <c r="H1871">
        <v>29.474547299999998</v>
      </c>
    </row>
    <row r="1872" spans="2:8">
      <c r="B1872" s="555" t="s">
        <v>2271</v>
      </c>
      <c r="C1872" s="555" t="str">
        <f>VLOOKUP(D1872,기본!$D$13:$E$74,2,0)</f>
        <v>삼성 VD</v>
      </c>
      <c r="D1872" t="s">
        <v>1916</v>
      </c>
      <c r="E1872" t="s">
        <v>1779</v>
      </c>
      <c r="F1872" t="s">
        <v>1920</v>
      </c>
      <c r="G1872" s="554">
        <v>23958</v>
      </c>
      <c r="H1872">
        <v>345.929550318</v>
      </c>
    </row>
    <row r="1873" spans="2:8">
      <c r="B1873" s="555" t="s">
        <v>2271</v>
      </c>
      <c r="C1873" s="555" t="str">
        <f>VLOOKUP(D1873,기본!$D$13:$E$74,2,0)</f>
        <v>삼성 VD</v>
      </c>
      <c r="D1873" t="s">
        <v>1916</v>
      </c>
      <c r="E1873" t="s">
        <v>2262</v>
      </c>
      <c r="F1873" t="s">
        <v>1776</v>
      </c>
      <c r="G1873" s="554">
        <v>864</v>
      </c>
      <c r="H1873">
        <v>11.921898684000002</v>
      </c>
    </row>
    <row r="1874" spans="2:8">
      <c r="B1874" s="555" t="s">
        <v>2271</v>
      </c>
      <c r="C1874" s="555" t="str">
        <f>VLOOKUP(D1874,기본!$D$13:$E$74,2,0)</f>
        <v>삼성 VD</v>
      </c>
      <c r="D1874" t="s">
        <v>1916</v>
      </c>
      <c r="E1874" t="s">
        <v>1792</v>
      </c>
      <c r="F1874" t="s">
        <v>1915</v>
      </c>
      <c r="G1874" s="554">
        <v>12744</v>
      </c>
      <c r="H1874">
        <v>226.55504174399999</v>
      </c>
    </row>
    <row r="1875" spans="2:8">
      <c r="B1875" s="555" t="s">
        <v>2271</v>
      </c>
      <c r="C1875" s="555" t="str">
        <f>VLOOKUP(D1875,기본!$D$13:$E$74,2,0)</f>
        <v>삼성 VD</v>
      </c>
      <c r="D1875" t="s">
        <v>1916</v>
      </c>
      <c r="E1875" t="s">
        <v>1921</v>
      </c>
      <c r="F1875" t="s">
        <v>1922</v>
      </c>
      <c r="G1875" s="554">
        <v>3834</v>
      </c>
      <c r="H1875">
        <v>90.830957364</v>
      </c>
    </row>
    <row r="1876" spans="2:8">
      <c r="B1876" s="555" t="s">
        <v>2271</v>
      </c>
      <c r="C1876" s="555" t="str">
        <f>VLOOKUP(D1876,기본!$D$13:$E$74,2,0)</f>
        <v>삼성 VD</v>
      </c>
      <c r="D1876" t="s">
        <v>1916</v>
      </c>
      <c r="E1876" t="s">
        <v>1923</v>
      </c>
      <c r="F1876" t="s">
        <v>1924</v>
      </c>
      <c r="G1876" s="554">
        <v>78760</v>
      </c>
      <c r="H1876">
        <v>368.32465472000001</v>
      </c>
    </row>
    <row r="1877" spans="2:8">
      <c r="B1877" s="555" t="s">
        <v>2271</v>
      </c>
      <c r="C1877" s="555" t="str">
        <f>VLOOKUP(D1877,기본!$D$13:$E$74,2,0)</f>
        <v>삼성 VD</v>
      </c>
      <c r="D1877" t="s">
        <v>1916</v>
      </c>
      <c r="E1877" t="s">
        <v>709</v>
      </c>
      <c r="F1877" t="s">
        <v>1869</v>
      </c>
      <c r="G1877" s="554">
        <v>132</v>
      </c>
      <c r="H1877">
        <v>0.45424500000000001</v>
      </c>
    </row>
    <row r="1878" spans="2:8">
      <c r="B1878" s="555" t="s">
        <v>2271</v>
      </c>
      <c r="C1878" s="555" t="str">
        <f>VLOOKUP(D1878,기본!$D$13:$E$74,2,0)</f>
        <v>삼성 VD</v>
      </c>
      <c r="D1878" t="s">
        <v>1916</v>
      </c>
      <c r="E1878" t="s">
        <v>710</v>
      </c>
      <c r="F1878" t="s">
        <v>1947</v>
      </c>
      <c r="G1878" s="554">
        <v>44</v>
      </c>
      <c r="H1878">
        <v>0.20087892000000002</v>
      </c>
    </row>
    <row r="1879" spans="2:8">
      <c r="B1879" s="555" t="s">
        <v>2271</v>
      </c>
      <c r="C1879" s="555" t="str">
        <f>VLOOKUP(D1879,기본!$D$13:$E$74,2,0)</f>
        <v>삼성 VD</v>
      </c>
      <c r="D1879" t="s">
        <v>1927</v>
      </c>
      <c r="E1879" t="s">
        <v>2119</v>
      </c>
      <c r="F1879" t="s">
        <v>2120</v>
      </c>
      <c r="G1879" s="554">
        <v>8352</v>
      </c>
      <c r="H1879">
        <v>162.11011495699998</v>
      </c>
    </row>
    <row r="1880" spans="2:8">
      <c r="B1880" s="555" t="s">
        <v>2271</v>
      </c>
      <c r="C1880" s="555" t="str">
        <f>VLOOKUP(D1880,기본!$D$13:$E$74,2,0)</f>
        <v>삼성 VD</v>
      </c>
      <c r="D1880" t="s">
        <v>1927</v>
      </c>
      <c r="E1880" t="s">
        <v>2121</v>
      </c>
      <c r="F1880" t="s">
        <v>874</v>
      </c>
      <c r="G1880" s="554">
        <v>264</v>
      </c>
      <c r="H1880">
        <v>5.2663313999999994</v>
      </c>
    </row>
    <row r="1881" spans="2:8">
      <c r="B1881" s="555" t="s">
        <v>2271</v>
      </c>
      <c r="C1881" s="555" t="str">
        <f>VLOOKUP(D1881,기본!$D$13:$E$74,2,0)</f>
        <v>삼성 VD</v>
      </c>
      <c r="D1881" t="s">
        <v>1927</v>
      </c>
      <c r="E1881" t="s">
        <v>1165</v>
      </c>
      <c r="F1881" t="s">
        <v>1882</v>
      </c>
      <c r="G1881" s="554">
        <v>1944</v>
      </c>
      <c r="H1881">
        <v>58.150809360000004</v>
      </c>
    </row>
    <row r="1882" spans="2:8">
      <c r="B1882" s="555" t="s">
        <v>2271</v>
      </c>
      <c r="C1882" s="555" t="str">
        <f>VLOOKUP(D1882,기본!$D$13:$E$74,2,0)</f>
        <v>삼성 VD</v>
      </c>
      <c r="D1882" t="s">
        <v>1927</v>
      </c>
      <c r="E1882" t="s">
        <v>1164</v>
      </c>
      <c r="F1882" t="s">
        <v>1850</v>
      </c>
      <c r="G1882" s="554">
        <v>1728</v>
      </c>
      <c r="H1882">
        <v>46.929730752000012</v>
      </c>
    </row>
    <row r="1883" spans="2:8">
      <c r="B1883" s="555" t="s">
        <v>2271</v>
      </c>
      <c r="C1883" s="555" t="str">
        <f>VLOOKUP(D1883,기본!$D$13:$E$74,2,0)</f>
        <v>삼성 VD</v>
      </c>
      <c r="D1883" t="s">
        <v>1927</v>
      </c>
      <c r="E1883" t="s">
        <v>2263</v>
      </c>
      <c r="F1883" t="s">
        <v>1160</v>
      </c>
      <c r="G1883" s="554">
        <v>15</v>
      </c>
      <c r="H1883">
        <v>0.38919375</v>
      </c>
    </row>
    <row r="1884" spans="2:8">
      <c r="B1884" s="555" t="s">
        <v>2271</v>
      </c>
      <c r="C1884" s="555" t="str">
        <f>VLOOKUP(D1884,기본!$D$13:$E$74,2,0)</f>
        <v>삼성 VD</v>
      </c>
      <c r="D1884" t="s">
        <v>1927</v>
      </c>
      <c r="E1884" t="s">
        <v>1851</v>
      </c>
      <c r="F1884" t="s">
        <v>1852</v>
      </c>
      <c r="G1884" s="554">
        <v>2400</v>
      </c>
      <c r="H1884">
        <v>18.076612320000002</v>
      </c>
    </row>
    <row r="1885" spans="2:8">
      <c r="B1885" s="555" t="s">
        <v>2271</v>
      </c>
      <c r="C1885" s="555" t="str">
        <f>VLOOKUP(D1885,기본!$D$13:$E$74,2,0)</f>
        <v>삼성 VD</v>
      </c>
      <c r="D1885" t="s">
        <v>1927</v>
      </c>
      <c r="E1885" t="s">
        <v>1917</v>
      </c>
      <c r="F1885" t="s">
        <v>1918</v>
      </c>
      <c r="G1885" s="554">
        <v>3408</v>
      </c>
      <c r="H1885">
        <v>29.837390159999998</v>
      </c>
    </row>
    <row r="1886" spans="2:8">
      <c r="B1886" s="555" t="s">
        <v>2271</v>
      </c>
      <c r="C1886" s="555" t="str">
        <f>VLOOKUP(D1886,기본!$D$13:$E$74,2,0)</f>
        <v>삼성 VD</v>
      </c>
      <c r="D1886" t="s">
        <v>1927</v>
      </c>
      <c r="E1886" t="s">
        <v>1853</v>
      </c>
      <c r="F1886" t="s">
        <v>1854</v>
      </c>
      <c r="G1886" s="554">
        <v>362</v>
      </c>
      <c r="H1886">
        <v>5.0678509150000002</v>
      </c>
    </row>
    <row r="1887" spans="2:8">
      <c r="B1887" s="555" t="s">
        <v>2271</v>
      </c>
      <c r="C1887" s="555" t="str">
        <f>VLOOKUP(D1887,기본!$D$13:$E$74,2,0)</f>
        <v>삼성 VD</v>
      </c>
      <c r="D1887" t="s">
        <v>1927</v>
      </c>
      <c r="E1887" t="s">
        <v>1855</v>
      </c>
      <c r="F1887" t="s">
        <v>1856</v>
      </c>
      <c r="G1887" s="554">
        <v>353</v>
      </c>
      <c r="H1887">
        <v>5.05741335</v>
      </c>
    </row>
    <row r="1888" spans="2:8">
      <c r="B1888" s="555" t="s">
        <v>2271</v>
      </c>
      <c r="C1888" s="555" t="str">
        <f>VLOOKUP(D1888,기본!$D$13:$E$74,2,0)</f>
        <v>삼성 VD</v>
      </c>
      <c r="D1888" t="s">
        <v>1927</v>
      </c>
      <c r="E1888" t="s">
        <v>1874</v>
      </c>
      <c r="F1888" t="s">
        <v>1875</v>
      </c>
      <c r="G1888" s="554">
        <v>1986</v>
      </c>
      <c r="H1888">
        <v>30.9015567</v>
      </c>
    </row>
    <row r="1889" spans="2:8">
      <c r="B1889" s="555" t="s">
        <v>2271</v>
      </c>
      <c r="C1889" s="555" t="str">
        <f>VLOOKUP(D1889,기본!$D$13:$E$74,2,0)</f>
        <v>삼성 VD</v>
      </c>
      <c r="D1889" t="s">
        <v>1927</v>
      </c>
      <c r="E1889" t="s">
        <v>1928</v>
      </c>
      <c r="F1889" t="s">
        <v>1929</v>
      </c>
      <c r="G1889" s="554">
        <v>4740</v>
      </c>
      <c r="H1889">
        <v>47.916693780000003</v>
      </c>
    </row>
    <row r="1890" spans="2:8">
      <c r="B1890" s="555" t="s">
        <v>2271</v>
      </c>
      <c r="C1890" s="555" t="str">
        <f>VLOOKUP(D1890,기본!$D$13:$E$74,2,0)</f>
        <v>삼성 VD</v>
      </c>
      <c r="D1890" t="s">
        <v>1927</v>
      </c>
      <c r="E1890" t="s">
        <v>1036</v>
      </c>
      <c r="F1890" t="s">
        <v>1035</v>
      </c>
      <c r="G1890" s="554">
        <v>180</v>
      </c>
      <c r="H1890">
        <v>1.9573830000000001</v>
      </c>
    </row>
    <row r="1891" spans="2:8">
      <c r="B1891" s="555" t="s">
        <v>2271</v>
      </c>
      <c r="C1891" s="555" t="str">
        <f>VLOOKUP(D1891,기본!$D$13:$E$74,2,0)</f>
        <v>삼성 VD</v>
      </c>
      <c r="D1891" t="s">
        <v>1927</v>
      </c>
      <c r="E1891" t="s">
        <v>1002</v>
      </c>
      <c r="F1891" t="s">
        <v>1001</v>
      </c>
      <c r="G1891" s="554">
        <v>64</v>
      </c>
      <c r="H1891">
        <v>0.61818105599999995</v>
      </c>
    </row>
    <row r="1892" spans="2:8">
      <c r="B1892" s="555" t="s">
        <v>2271</v>
      </c>
      <c r="C1892" s="555" t="str">
        <f>VLOOKUP(D1892,기본!$D$13:$E$74,2,0)</f>
        <v>삼성 VD</v>
      </c>
      <c r="D1892" t="s">
        <v>1927</v>
      </c>
      <c r="E1892" t="s">
        <v>1040</v>
      </c>
      <c r="F1892" t="s">
        <v>1039</v>
      </c>
      <c r="G1892" s="554">
        <v>64</v>
      </c>
      <c r="H1892">
        <v>0.68274400000000002</v>
      </c>
    </row>
    <row r="1893" spans="2:8">
      <c r="B1893" s="555" t="s">
        <v>2271</v>
      </c>
      <c r="C1893" s="555" t="str">
        <f>VLOOKUP(D1893,기본!$D$13:$E$74,2,0)</f>
        <v>삼성 VD</v>
      </c>
      <c r="D1893" t="s">
        <v>1927</v>
      </c>
      <c r="E1893" t="s">
        <v>1859</v>
      </c>
      <c r="F1893" t="s">
        <v>1860</v>
      </c>
      <c r="G1893" s="554">
        <v>5904</v>
      </c>
      <c r="H1893">
        <v>105.31071201600002</v>
      </c>
    </row>
    <row r="1894" spans="2:8">
      <c r="B1894" s="555" t="s">
        <v>2271</v>
      </c>
      <c r="C1894" s="555" t="str">
        <f>VLOOKUP(D1894,기본!$D$13:$E$74,2,0)</f>
        <v>삼성 VD</v>
      </c>
      <c r="D1894" t="s">
        <v>1927</v>
      </c>
      <c r="E1894" t="s">
        <v>1042</v>
      </c>
      <c r="F1894" t="s">
        <v>1041</v>
      </c>
      <c r="G1894" s="554">
        <v>20</v>
      </c>
      <c r="H1894">
        <v>0.3647725</v>
      </c>
    </row>
    <row r="1895" spans="2:8">
      <c r="B1895" s="555" t="s">
        <v>2271</v>
      </c>
      <c r="C1895" s="555" t="str">
        <f>VLOOKUP(D1895,기본!$D$13:$E$74,2,0)</f>
        <v>삼성 VD</v>
      </c>
      <c r="D1895" t="s">
        <v>1927</v>
      </c>
      <c r="E1895" t="s">
        <v>1930</v>
      </c>
      <c r="F1895" t="s">
        <v>1931</v>
      </c>
      <c r="G1895" s="554">
        <v>4680</v>
      </c>
      <c r="H1895">
        <v>30.630211559999996</v>
      </c>
    </row>
    <row r="1896" spans="2:8">
      <c r="B1896" s="555" t="s">
        <v>2271</v>
      </c>
      <c r="C1896" s="555" t="str">
        <f>VLOOKUP(D1896,기본!$D$13:$E$74,2,0)</f>
        <v>삼성 VD</v>
      </c>
      <c r="D1896" t="s">
        <v>1927</v>
      </c>
      <c r="E1896" t="s">
        <v>1309</v>
      </c>
      <c r="F1896" t="s">
        <v>1308</v>
      </c>
      <c r="G1896" s="554">
        <v>8040</v>
      </c>
      <c r="H1896">
        <v>178.94195592000003</v>
      </c>
    </row>
    <row r="1897" spans="2:8">
      <c r="B1897" s="555" t="s">
        <v>2271</v>
      </c>
      <c r="C1897" s="555" t="str">
        <f>VLOOKUP(D1897,기본!$D$13:$E$74,2,0)</f>
        <v>삼성 VD</v>
      </c>
      <c r="D1897" t="s">
        <v>1927</v>
      </c>
      <c r="E1897" t="s">
        <v>1311</v>
      </c>
      <c r="F1897" t="s">
        <v>1310</v>
      </c>
      <c r="G1897" s="554">
        <v>1148</v>
      </c>
      <c r="H1897">
        <v>27.485254212000001</v>
      </c>
    </row>
    <row r="1898" spans="2:8">
      <c r="B1898" s="555" t="s">
        <v>2271</v>
      </c>
      <c r="C1898" s="555" t="str">
        <f>VLOOKUP(D1898,기본!$D$13:$E$74,2,0)</f>
        <v>삼성 VD</v>
      </c>
      <c r="D1898" t="s">
        <v>1927</v>
      </c>
      <c r="E1898" t="s">
        <v>1313</v>
      </c>
      <c r="F1898" t="s">
        <v>1312</v>
      </c>
      <c r="G1898" s="554">
        <v>1728</v>
      </c>
      <c r="H1898">
        <v>38.406614400000009</v>
      </c>
    </row>
    <row r="1899" spans="2:8">
      <c r="B1899" s="555" t="s">
        <v>2271</v>
      </c>
      <c r="C1899" s="555" t="str">
        <f>VLOOKUP(D1899,기본!$D$13:$E$74,2,0)</f>
        <v>삼성 VD</v>
      </c>
      <c r="D1899" t="s">
        <v>1927</v>
      </c>
      <c r="E1899" t="s">
        <v>1865</v>
      </c>
      <c r="F1899" t="s">
        <v>1866</v>
      </c>
      <c r="G1899" s="554">
        <v>14652</v>
      </c>
      <c r="H1899">
        <v>600.65040673500005</v>
      </c>
    </row>
    <row r="1900" spans="2:8">
      <c r="B1900" s="555" t="s">
        <v>2271</v>
      </c>
      <c r="C1900" s="555" t="str">
        <f>VLOOKUP(D1900,기본!$D$13:$E$74,2,0)</f>
        <v>삼성 VD</v>
      </c>
      <c r="D1900" t="s">
        <v>1927</v>
      </c>
      <c r="E1900" t="s">
        <v>1932</v>
      </c>
      <c r="F1900" t="s">
        <v>1933</v>
      </c>
      <c r="G1900" s="554">
        <v>9396</v>
      </c>
      <c r="H1900">
        <v>160.86383535600001</v>
      </c>
    </row>
    <row r="1901" spans="2:8">
      <c r="B1901" s="555" t="s">
        <v>2271</v>
      </c>
      <c r="C1901" s="555" t="str">
        <f>VLOOKUP(D1901,기본!$D$13:$E$74,2,0)</f>
        <v>삼성 VD</v>
      </c>
      <c r="D1901" t="s">
        <v>1927</v>
      </c>
      <c r="E1901" t="s">
        <v>1786</v>
      </c>
      <c r="F1901" t="s">
        <v>1671</v>
      </c>
      <c r="G1901" s="554">
        <v>1201</v>
      </c>
      <c r="H1901">
        <v>13.219650755</v>
      </c>
    </row>
    <row r="1902" spans="2:8">
      <c r="B1902" s="555" t="s">
        <v>2271</v>
      </c>
      <c r="C1902" s="555" t="str">
        <f>VLOOKUP(D1902,기본!$D$13:$E$74,2,0)</f>
        <v>삼성 VD</v>
      </c>
      <c r="D1902" t="s">
        <v>1927</v>
      </c>
      <c r="E1902" t="s">
        <v>1788</v>
      </c>
      <c r="F1902" t="s">
        <v>1913</v>
      </c>
      <c r="G1902" s="554">
        <v>2084</v>
      </c>
      <c r="H1902">
        <v>25.658246999999999</v>
      </c>
    </row>
    <row r="1903" spans="2:8">
      <c r="B1903" s="555" t="s">
        <v>2271</v>
      </c>
      <c r="C1903" s="555" t="str">
        <f>VLOOKUP(D1903,기본!$D$13:$E$74,2,0)</f>
        <v>삼성 VD</v>
      </c>
      <c r="D1903" t="s">
        <v>1927</v>
      </c>
      <c r="E1903" t="s">
        <v>1790</v>
      </c>
      <c r="F1903" t="s">
        <v>1914</v>
      </c>
      <c r="G1903" s="554">
        <v>1485</v>
      </c>
      <c r="H1903">
        <v>20.173071929999999</v>
      </c>
    </row>
    <row r="1904" spans="2:8">
      <c r="B1904" s="555" t="s">
        <v>2271</v>
      </c>
      <c r="C1904" s="555" t="str">
        <f>VLOOKUP(D1904,기본!$D$13:$E$74,2,0)</f>
        <v>삼성 VD</v>
      </c>
      <c r="D1904" t="s">
        <v>1927</v>
      </c>
      <c r="E1904" t="s">
        <v>1792</v>
      </c>
      <c r="F1904" t="s">
        <v>1915</v>
      </c>
      <c r="G1904" s="554">
        <v>32</v>
      </c>
      <c r="H1904">
        <v>0.57163743999999994</v>
      </c>
    </row>
    <row r="1905" spans="2:8">
      <c r="B1905" s="555" t="s">
        <v>2271</v>
      </c>
      <c r="C1905" s="555" t="str">
        <f>VLOOKUP(D1905,기본!$D$13:$E$74,2,0)</f>
        <v>삼성 VD</v>
      </c>
      <c r="D1905" t="s">
        <v>1927</v>
      </c>
      <c r="E1905" t="s">
        <v>1921</v>
      </c>
      <c r="F1905" t="s">
        <v>1922</v>
      </c>
      <c r="G1905" s="554">
        <v>5</v>
      </c>
      <c r="H1905">
        <v>0.11886104999999998</v>
      </c>
    </row>
    <row r="1906" spans="2:8">
      <c r="B1906" s="555" t="s">
        <v>2271</v>
      </c>
      <c r="C1906" s="555" t="str">
        <f>VLOOKUP(D1906,기본!$D$13:$E$74,2,0)</f>
        <v>삼성 VD</v>
      </c>
      <c r="D1906" t="s">
        <v>1927</v>
      </c>
      <c r="E1906" t="s">
        <v>1934</v>
      </c>
      <c r="F1906" t="s">
        <v>1935</v>
      </c>
      <c r="G1906" s="554">
        <v>1188</v>
      </c>
      <c r="H1906">
        <v>5.5070547840000001</v>
      </c>
    </row>
    <row r="1907" spans="2:8">
      <c r="B1907" s="555" t="s">
        <v>2271</v>
      </c>
      <c r="C1907" s="555" t="str">
        <f>VLOOKUP(D1907,기본!$D$13:$E$74,2,0)</f>
        <v>삼성 VD</v>
      </c>
      <c r="D1907" t="s">
        <v>1927</v>
      </c>
      <c r="E1907" t="s">
        <v>1936</v>
      </c>
      <c r="F1907" t="s">
        <v>1937</v>
      </c>
      <c r="G1907" s="554">
        <v>1678</v>
      </c>
      <c r="H1907">
        <v>9.3996177880000022</v>
      </c>
    </row>
    <row r="1908" spans="2:8">
      <c r="B1908" s="555" t="s">
        <v>2271</v>
      </c>
      <c r="C1908" s="555" t="str">
        <f>VLOOKUP(D1908,기본!$D$13:$E$74,2,0)</f>
        <v>삼성 VD</v>
      </c>
      <c r="D1908" t="s">
        <v>1927</v>
      </c>
      <c r="E1908" t="s">
        <v>1923</v>
      </c>
      <c r="F1908" t="s">
        <v>1924</v>
      </c>
      <c r="G1908" s="554">
        <v>3652</v>
      </c>
      <c r="H1908">
        <v>17.105383679999999</v>
      </c>
    </row>
    <row r="1909" spans="2:8">
      <c r="B1909" s="555" t="s">
        <v>2271</v>
      </c>
      <c r="C1909" s="555" t="str">
        <f>VLOOKUP(D1909,기본!$D$13:$E$74,2,0)</f>
        <v>삼성 VD</v>
      </c>
      <c r="D1909" t="s">
        <v>1927</v>
      </c>
      <c r="E1909" t="s">
        <v>1938</v>
      </c>
      <c r="F1909" t="s">
        <v>1939</v>
      </c>
      <c r="G1909" s="554">
        <v>7624</v>
      </c>
      <c r="H1909">
        <v>42.268692075999994</v>
      </c>
    </row>
    <row r="1910" spans="2:8">
      <c r="B1910" s="555" t="s">
        <v>2271</v>
      </c>
      <c r="C1910" s="555" t="str">
        <f>VLOOKUP(D1910,기본!$D$13:$E$74,2,0)</f>
        <v>삼성 VD</v>
      </c>
      <c r="D1910" t="s">
        <v>1927</v>
      </c>
      <c r="E1910" t="s">
        <v>1940</v>
      </c>
      <c r="F1910" t="s">
        <v>1941</v>
      </c>
      <c r="G1910" s="554">
        <v>459</v>
      </c>
      <c r="H1910">
        <v>6.1597103670000006</v>
      </c>
    </row>
    <row r="1911" spans="2:8">
      <c r="B1911" s="555" t="s">
        <v>2271</v>
      </c>
      <c r="C1911" s="555" t="str">
        <f>VLOOKUP(D1911,기본!$D$13:$E$74,2,0)</f>
        <v>삼성 VD</v>
      </c>
      <c r="D1911" t="s">
        <v>1927</v>
      </c>
      <c r="E1911" t="s">
        <v>1925</v>
      </c>
      <c r="F1911" t="s">
        <v>1926</v>
      </c>
      <c r="G1911" s="554">
        <v>2520</v>
      </c>
      <c r="H1911">
        <v>21.095877095999999</v>
      </c>
    </row>
    <row r="1912" spans="2:8">
      <c r="B1912" s="555" t="s">
        <v>2271</v>
      </c>
      <c r="C1912" s="555" t="str">
        <f>VLOOKUP(D1912,기본!$D$13:$E$74,2,0)</f>
        <v>삼성 VD</v>
      </c>
      <c r="D1912" t="s">
        <v>1927</v>
      </c>
      <c r="E1912" t="s">
        <v>2122</v>
      </c>
      <c r="F1912" t="s">
        <v>2123</v>
      </c>
      <c r="G1912" s="554">
        <v>42</v>
      </c>
      <c r="H1912">
        <v>0.32701283999999997</v>
      </c>
    </row>
    <row r="1913" spans="2:8">
      <c r="B1913" s="555" t="s">
        <v>2271</v>
      </c>
      <c r="C1913" s="555" t="str">
        <f>VLOOKUP(D1913,기본!$D$13:$E$74,2,0)</f>
        <v>삼성 VD</v>
      </c>
      <c r="D1913" t="s">
        <v>1927</v>
      </c>
      <c r="E1913" t="s">
        <v>2211</v>
      </c>
      <c r="F1913" t="s">
        <v>2212</v>
      </c>
      <c r="G1913" s="554">
        <v>258</v>
      </c>
      <c r="H1913">
        <v>2.2411430999999999</v>
      </c>
    </row>
    <row r="1914" spans="2:8">
      <c r="B1914" s="555" t="s">
        <v>2271</v>
      </c>
      <c r="C1914" s="555" t="str">
        <f>VLOOKUP(D1914,기본!$D$13:$E$74,2,0)</f>
        <v>삼성 VD</v>
      </c>
      <c r="D1914" t="s">
        <v>1927</v>
      </c>
      <c r="E1914" t="s">
        <v>709</v>
      </c>
      <c r="F1914" t="s">
        <v>1869</v>
      </c>
      <c r="G1914" s="554">
        <v>11484</v>
      </c>
      <c r="H1914">
        <v>39.565746000000004</v>
      </c>
    </row>
    <row r="1915" spans="2:8">
      <c r="B1915" s="555" t="s">
        <v>2271</v>
      </c>
      <c r="C1915" s="555" t="str">
        <f>VLOOKUP(D1915,기본!$D$13:$E$74,2,0)</f>
        <v>삼성 VD</v>
      </c>
      <c r="D1915" t="s">
        <v>1927</v>
      </c>
      <c r="E1915" t="s">
        <v>1156</v>
      </c>
      <c r="F1915" t="s">
        <v>1870</v>
      </c>
      <c r="G1915" s="554">
        <v>9240</v>
      </c>
      <c r="H1915">
        <v>42.816799871999997</v>
      </c>
    </row>
    <row r="1916" spans="2:8">
      <c r="B1916" s="555" t="s">
        <v>2271</v>
      </c>
      <c r="C1916" s="555" t="str">
        <f>VLOOKUP(D1916,기본!$D$13:$E$74,2,0)</f>
        <v>삼성 VD</v>
      </c>
      <c r="D1916" t="s">
        <v>1927</v>
      </c>
      <c r="E1916" t="s">
        <v>1157</v>
      </c>
      <c r="F1916" t="s">
        <v>1887</v>
      </c>
      <c r="G1916" s="554">
        <v>484</v>
      </c>
      <c r="H1916">
        <v>2.3562049279999999</v>
      </c>
    </row>
    <row r="1917" spans="2:8">
      <c r="B1917" s="555" t="s">
        <v>2271</v>
      </c>
      <c r="C1917" s="555" t="str">
        <f>VLOOKUP(D1917,기본!$D$13:$E$74,2,0)</f>
        <v>삼성 VD</v>
      </c>
      <c r="D1917" t="s">
        <v>1927</v>
      </c>
      <c r="E1917" t="s">
        <v>2235</v>
      </c>
      <c r="F1917" t="s">
        <v>2236</v>
      </c>
      <c r="G1917" s="554">
        <v>2992</v>
      </c>
      <c r="H1917">
        <v>13.947276112000001</v>
      </c>
    </row>
    <row r="1918" spans="2:8">
      <c r="B1918" s="555" t="s">
        <v>2271</v>
      </c>
      <c r="C1918" s="555" t="str">
        <f>VLOOKUP(D1918,기본!$D$13:$E$74,2,0)</f>
        <v>삼성 생활가전</v>
      </c>
      <c r="D1918" t="s">
        <v>1942</v>
      </c>
      <c r="E1918" t="s">
        <v>1943</v>
      </c>
      <c r="F1918" t="s">
        <v>1943</v>
      </c>
      <c r="G1918" s="554">
        <v>57600</v>
      </c>
      <c r="H1918">
        <v>441.45889920000002</v>
      </c>
    </row>
    <row r="1919" spans="2:8">
      <c r="B1919" s="555" t="s">
        <v>2271</v>
      </c>
      <c r="C1919" s="555" t="str">
        <f>VLOOKUP(D1919,기본!$D$13:$E$74,2,0)</f>
        <v>삼성 생활가전</v>
      </c>
      <c r="D1919" t="s">
        <v>1942</v>
      </c>
      <c r="E1919" t="s">
        <v>1945</v>
      </c>
      <c r="F1919" t="s">
        <v>1945</v>
      </c>
      <c r="G1919" s="554">
        <v>18432</v>
      </c>
      <c r="H1919">
        <v>152.55889919999998</v>
      </c>
    </row>
    <row r="1920" spans="2:8">
      <c r="B1920" s="555" t="s">
        <v>2271</v>
      </c>
      <c r="C1920" s="555" t="str">
        <f>VLOOKUP(D1920,기본!$D$13:$E$74,2,0)</f>
        <v>삼성 생활가전</v>
      </c>
      <c r="D1920" t="s">
        <v>1942</v>
      </c>
      <c r="E1920" t="s">
        <v>2264</v>
      </c>
      <c r="F1920" t="s">
        <v>2264</v>
      </c>
      <c r="G1920" s="554">
        <v>200</v>
      </c>
      <c r="H1920">
        <v>1.693095</v>
      </c>
    </row>
    <row r="1921" spans="2:8">
      <c r="B1921" s="555" t="s">
        <v>2271</v>
      </c>
      <c r="C1921" s="555" t="str">
        <f>VLOOKUP(D1921,기본!$D$13:$E$74,2,0)</f>
        <v>삼성 생활가전</v>
      </c>
      <c r="D1921" t="s">
        <v>1942</v>
      </c>
      <c r="E1921" t="s">
        <v>1975</v>
      </c>
      <c r="F1921" t="s">
        <v>1975</v>
      </c>
      <c r="G1921" s="554">
        <v>1152</v>
      </c>
      <c r="H1921">
        <v>10.085230080000001</v>
      </c>
    </row>
    <row r="1922" spans="2:8">
      <c r="B1922" s="555" t="s">
        <v>2271</v>
      </c>
      <c r="C1922" s="555" t="str">
        <f>VLOOKUP(D1922,기본!$D$13:$E$74,2,0)</f>
        <v>삼성 생활가전</v>
      </c>
      <c r="D1922" t="s">
        <v>1942</v>
      </c>
      <c r="E1922" t="s">
        <v>2213</v>
      </c>
      <c r="F1922" t="s">
        <v>2213</v>
      </c>
      <c r="G1922" s="554">
        <v>96</v>
      </c>
      <c r="H1922">
        <v>0.83864505599999994</v>
      </c>
    </row>
    <row r="1923" spans="2:8">
      <c r="B1923" s="555" t="s">
        <v>2271</v>
      </c>
      <c r="C1923" s="555" t="str">
        <f>VLOOKUP(D1923,기본!$D$13:$E$74,2,0)</f>
        <v>삼성 생활가전</v>
      </c>
      <c r="D1923" t="s">
        <v>1942</v>
      </c>
      <c r="E1923" t="s">
        <v>2265</v>
      </c>
      <c r="F1923" t="s">
        <v>2265</v>
      </c>
      <c r="G1923" s="554">
        <v>1728</v>
      </c>
      <c r="H1923">
        <v>15.143231232000002</v>
      </c>
    </row>
    <row r="1924" spans="2:8">
      <c r="B1924" s="555" t="s">
        <v>2271</v>
      </c>
      <c r="C1924" s="555" t="str">
        <f>VLOOKUP(D1924,기본!$D$13:$E$74,2,0)</f>
        <v>삼성 VD</v>
      </c>
      <c r="D1924" t="s">
        <v>1946</v>
      </c>
      <c r="E1924" t="s">
        <v>1777</v>
      </c>
      <c r="F1924" t="s">
        <v>1672</v>
      </c>
      <c r="G1924" s="554">
        <v>432</v>
      </c>
      <c r="H1924">
        <v>4.9355784000000007</v>
      </c>
    </row>
    <row r="1925" spans="2:8">
      <c r="B1925" s="555" t="s">
        <v>2271</v>
      </c>
      <c r="C1925" s="555" t="str">
        <f>VLOOKUP(D1925,기본!$D$13:$E$74,2,0)</f>
        <v>삼성 VD</v>
      </c>
      <c r="D1925" t="s">
        <v>1946</v>
      </c>
      <c r="E1925" t="s">
        <v>1778</v>
      </c>
      <c r="F1925" t="s">
        <v>1919</v>
      </c>
      <c r="G1925" s="554">
        <v>1044</v>
      </c>
      <c r="H1925">
        <v>13.522791060000001</v>
      </c>
    </row>
    <row r="1926" spans="2:8">
      <c r="B1926" s="555" t="s">
        <v>2271</v>
      </c>
      <c r="C1926" s="555" t="str">
        <f>VLOOKUP(D1926,기본!$D$13:$E$74,2,0)</f>
        <v>삼성 VD</v>
      </c>
      <c r="D1926" t="s">
        <v>1946</v>
      </c>
      <c r="E1926" t="s">
        <v>1779</v>
      </c>
      <c r="F1926" t="s">
        <v>1920</v>
      </c>
      <c r="G1926" s="554">
        <v>1984</v>
      </c>
      <c r="H1926">
        <v>28.648892830000001</v>
      </c>
    </row>
    <row r="1927" spans="2:8">
      <c r="B1927" s="555" t="s">
        <v>2271</v>
      </c>
      <c r="C1927" s="555" t="str">
        <f>VLOOKUP(D1927,기본!$D$13:$E$74,2,0)</f>
        <v>삼성 VD</v>
      </c>
      <c r="D1927" t="s">
        <v>1946</v>
      </c>
      <c r="E1927" t="s">
        <v>1792</v>
      </c>
      <c r="F1927" t="s">
        <v>1915</v>
      </c>
      <c r="G1927" s="554">
        <v>1008</v>
      </c>
      <c r="H1927">
        <v>17.954405279999996</v>
      </c>
    </row>
    <row r="1928" spans="2:8">
      <c r="B1928" s="555" t="s">
        <v>2271</v>
      </c>
      <c r="C1928" s="555" t="str">
        <f>VLOOKUP(D1928,기본!$D$13:$E$74,2,0)</f>
        <v>삼성 VD</v>
      </c>
      <c r="D1928" t="s">
        <v>1946</v>
      </c>
      <c r="E1928" t="s">
        <v>710</v>
      </c>
      <c r="F1928" t="s">
        <v>1947</v>
      </c>
      <c r="G1928" s="554">
        <v>1936</v>
      </c>
      <c r="H1928">
        <v>8.8741303200000008</v>
      </c>
    </row>
    <row r="1929" spans="2:8">
      <c r="B1929" s="555" t="s">
        <v>2271</v>
      </c>
      <c r="C1929" s="555" t="str">
        <f>VLOOKUP(D1929,기본!$D$13:$E$74,2,0)</f>
        <v>삼성 생활가전</v>
      </c>
      <c r="D1929" t="s">
        <v>1948</v>
      </c>
      <c r="E1929" t="s">
        <v>1949</v>
      </c>
      <c r="F1929" t="s">
        <v>1949</v>
      </c>
      <c r="G1929" s="554">
        <v>1100</v>
      </c>
      <c r="H1929">
        <v>12.003393599999999</v>
      </c>
    </row>
    <row r="1930" spans="2:8">
      <c r="B1930" s="555" t="s">
        <v>2271</v>
      </c>
      <c r="C1930" s="555" t="str">
        <f>VLOOKUP(D1930,기본!$D$13:$E$74,2,0)</f>
        <v>AV JDM</v>
      </c>
      <c r="D1930" t="s">
        <v>1950</v>
      </c>
      <c r="E1930" t="s">
        <v>691</v>
      </c>
      <c r="F1930" t="s">
        <v>2266</v>
      </c>
      <c r="G1930" s="554">
        <v>3528</v>
      </c>
      <c r="H1930">
        <v>36.373627079999999</v>
      </c>
    </row>
    <row r="1931" spans="2:8">
      <c r="B1931" s="555" t="s">
        <v>2271</v>
      </c>
      <c r="C1931" s="555" t="str">
        <f>VLOOKUP(D1931,기본!$D$13:$E$74,2,0)</f>
        <v>AV JDM</v>
      </c>
      <c r="D1931" t="s">
        <v>1950</v>
      </c>
      <c r="E1931" t="s">
        <v>436</v>
      </c>
      <c r="F1931" t="s">
        <v>2168</v>
      </c>
      <c r="G1931" s="554">
        <v>7056</v>
      </c>
      <c r="H1931">
        <v>61.286405039999998</v>
      </c>
    </row>
    <row r="1932" spans="2:8">
      <c r="B1932" s="555" t="s">
        <v>2271</v>
      </c>
      <c r="C1932" s="555" t="str">
        <f>VLOOKUP(D1932,기본!$D$13:$E$74,2,0)</f>
        <v>MNT JDM</v>
      </c>
      <c r="D1932" t="s">
        <v>1951</v>
      </c>
      <c r="E1932" t="s">
        <v>709</v>
      </c>
      <c r="F1932" t="s">
        <v>2124</v>
      </c>
      <c r="G1932" s="554">
        <v>21120</v>
      </c>
      <c r="H1932">
        <v>98.153056320000019</v>
      </c>
    </row>
    <row r="1933" spans="2:8">
      <c r="B1933" s="555" t="s">
        <v>2271</v>
      </c>
      <c r="C1933" s="555" t="str">
        <f>VLOOKUP(D1933,기본!$D$13:$E$74,2,0)</f>
        <v>MNT JDM</v>
      </c>
      <c r="D1933" t="s">
        <v>1951</v>
      </c>
      <c r="E1933" t="s">
        <v>710</v>
      </c>
      <c r="F1933" t="s">
        <v>2169</v>
      </c>
      <c r="G1933" s="554">
        <v>16896</v>
      </c>
      <c r="H1933">
        <v>93.727096320000001</v>
      </c>
    </row>
    <row r="1934" spans="2:8">
      <c r="B1934" s="555" t="s">
        <v>2271</v>
      </c>
      <c r="C1934" s="555" t="str">
        <f>VLOOKUP(D1934,기본!$D$13:$E$74,2,0)</f>
        <v>MNT JDM</v>
      </c>
      <c r="D1934" t="s">
        <v>1951</v>
      </c>
      <c r="E1934" t="s">
        <v>1156</v>
      </c>
      <c r="F1934" t="s">
        <v>2238</v>
      </c>
      <c r="G1934" s="554">
        <v>12672</v>
      </c>
      <c r="H1934">
        <v>72.039623040000009</v>
      </c>
    </row>
    <row r="1935" spans="2:8">
      <c r="B1935" s="555" t="s">
        <v>2271</v>
      </c>
      <c r="C1935" s="555" t="str">
        <f>VLOOKUP(D1935,기본!$D$13:$E$74,2,0)</f>
        <v>MNT JDM</v>
      </c>
      <c r="D1935" t="s">
        <v>1951</v>
      </c>
      <c r="E1935" t="s">
        <v>1157</v>
      </c>
      <c r="F1935" t="s">
        <v>2239</v>
      </c>
      <c r="G1935" s="554">
        <v>3168</v>
      </c>
      <c r="H1935">
        <v>21.629329920000004</v>
      </c>
    </row>
    <row r="1936" spans="2:8">
      <c r="B1936" s="555" t="s">
        <v>2271</v>
      </c>
      <c r="C1936" s="555" t="str">
        <f>VLOOKUP(D1936,기본!$D$13:$E$74,2,0)</f>
        <v>HP</v>
      </c>
      <c r="D1936" t="s">
        <v>1952</v>
      </c>
      <c r="E1936" t="s">
        <v>1297</v>
      </c>
      <c r="F1936" t="s">
        <v>1293</v>
      </c>
      <c r="G1936" s="554">
        <v>768</v>
      </c>
      <c r="H1936">
        <v>25.929048959999999</v>
      </c>
    </row>
    <row r="1937" spans="2:8">
      <c r="B1937" s="555" t="s">
        <v>2271</v>
      </c>
      <c r="C1937" s="555" t="str">
        <f>VLOOKUP(D1937,기본!$D$13:$E$74,2,0)</f>
        <v>HP</v>
      </c>
      <c r="D1937" t="s">
        <v>1952</v>
      </c>
      <c r="E1937" t="s">
        <v>1298</v>
      </c>
      <c r="F1937" t="s">
        <v>1294</v>
      </c>
      <c r="G1937" s="554">
        <v>2688</v>
      </c>
      <c r="H1937">
        <v>80.557545600000012</v>
      </c>
    </row>
    <row r="1938" spans="2:8">
      <c r="B1938" s="555" t="s">
        <v>2271</v>
      </c>
      <c r="C1938" s="555" t="str">
        <f>VLOOKUP(D1938,기본!$D$13:$E$74,2,0)</f>
        <v>HP</v>
      </c>
      <c r="D1938" t="s">
        <v>1952</v>
      </c>
      <c r="E1938" t="s">
        <v>2240</v>
      </c>
      <c r="F1938" t="s">
        <v>2241</v>
      </c>
      <c r="G1938" s="554">
        <v>140</v>
      </c>
      <c r="H1938">
        <v>1.1504786999999999</v>
      </c>
    </row>
    <row r="1939" spans="2:8">
      <c r="B1939" s="555" t="s">
        <v>2271</v>
      </c>
      <c r="C1939" s="555" t="str">
        <f>VLOOKUP(D1939,기본!$D$13:$E$74,2,0)</f>
        <v>HP</v>
      </c>
      <c r="D1939" t="s">
        <v>1952</v>
      </c>
      <c r="E1939" t="s">
        <v>1954</v>
      </c>
      <c r="F1939" t="s">
        <v>1955</v>
      </c>
      <c r="G1939" s="554">
        <v>2240</v>
      </c>
      <c r="H1939">
        <v>29.108645999999997</v>
      </c>
    </row>
    <row r="1940" spans="2:8">
      <c r="B1940" s="555" t="s">
        <v>2271</v>
      </c>
      <c r="C1940" s="555" t="str">
        <f>VLOOKUP(D1940,기본!$D$13:$E$74,2,0)</f>
        <v>HP</v>
      </c>
      <c r="D1940" t="s">
        <v>1952</v>
      </c>
      <c r="E1940" t="s">
        <v>2125</v>
      </c>
      <c r="F1940" t="s">
        <v>192</v>
      </c>
      <c r="G1940" s="554">
        <v>2160</v>
      </c>
      <c r="H1940">
        <v>10.7320464</v>
      </c>
    </row>
    <row r="1941" spans="2:8">
      <c r="B1941" s="555" t="s">
        <v>2271</v>
      </c>
      <c r="C1941" s="555" t="str">
        <f>VLOOKUP(D1941,기본!$D$13:$E$74,2,0)</f>
        <v>HP</v>
      </c>
      <c r="D1941" t="s">
        <v>1952</v>
      </c>
      <c r="E1941" t="s">
        <v>1960</v>
      </c>
      <c r="F1941" t="s">
        <v>671</v>
      </c>
      <c r="G1941" s="554">
        <v>1440</v>
      </c>
      <c r="H1941">
        <v>11.896251839999998</v>
      </c>
    </row>
    <row r="1942" spans="2:8">
      <c r="B1942" s="555" t="s">
        <v>2271</v>
      </c>
      <c r="C1942" s="555" t="str">
        <f>VLOOKUP(D1942,기본!$D$13:$E$74,2,0)</f>
        <v>HP</v>
      </c>
      <c r="D1942" t="s">
        <v>1952</v>
      </c>
      <c r="E1942" t="s">
        <v>1961</v>
      </c>
      <c r="F1942" t="s">
        <v>1962</v>
      </c>
      <c r="G1942" s="554">
        <v>4464</v>
      </c>
      <c r="H1942">
        <v>161.28965476799999</v>
      </c>
    </row>
    <row r="1943" spans="2:8">
      <c r="B1943" s="555" t="s">
        <v>2271</v>
      </c>
      <c r="C1943" s="555" t="str">
        <f>VLOOKUP(D1943,기본!$D$13:$E$74,2,0)</f>
        <v>HP</v>
      </c>
      <c r="D1943" t="s">
        <v>1952</v>
      </c>
      <c r="E1943" t="s">
        <v>2126</v>
      </c>
      <c r="F1943" t="s">
        <v>2127</v>
      </c>
      <c r="G1943" s="554">
        <v>180</v>
      </c>
      <c r="H1943">
        <v>1.6228935</v>
      </c>
    </row>
    <row r="1944" spans="2:8">
      <c r="B1944" s="555" t="s">
        <v>2271</v>
      </c>
      <c r="C1944" s="555" t="str">
        <f>VLOOKUP(D1944,기본!$D$13:$E$74,2,0)</f>
        <v>HP</v>
      </c>
      <c r="D1944" t="s">
        <v>1952</v>
      </c>
      <c r="E1944" t="s">
        <v>1963</v>
      </c>
      <c r="F1944" t="s">
        <v>1964</v>
      </c>
      <c r="G1944" s="554">
        <v>13500</v>
      </c>
      <c r="H1944">
        <v>113.10569279999999</v>
      </c>
    </row>
    <row r="1945" spans="2:8">
      <c r="B1945" s="555" t="s">
        <v>2271</v>
      </c>
      <c r="C1945" s="555" t="str">
        <f>VLOOKUP(D1945,기본!$D$13:$E$74,2,0)</f>
        <v>HP</v>
      </c>
      <c r="D1945" t="s">
        <v>1952</v>
      </c>
      <c r="E1945" t="s">
        <v>1965</v>
      </c>
      <c r="F1945" t="s">
        <v>1966</v>
      </c>
      <c r="G1945" s="554">
        <v>560</v>
      </c>
      <c r="H1945">
        <v>8.9894196000000015</v>
      </c>
    </row>
    <row r="1946" spans="2:8">
      <c r="B1946" s="555" t="s">
        <v>2271</v>
      </c>
      <c r="C1946" s="555" t="str">
        <f>VLOOKUP(D1946,기본!$D$13:$E$74,2,0)</f>
        <v>HP</v>
      </c>
      <c r="D1946" t="s">
        <v>1952</v>
      </c>
      <c r="E1946" t="s">
        <v>2128</v>
      </c>
      <c r="F1946" t="s">
        <v>2129</v>
      </c>
      <c r="G1946" s="554">
        <v>1080</v>
      </c>
      <c r="H1946">
        <v>12.990600000000001</v>
      </c>
    </row>
    <row r="1947" spans="2:8">
      <c r="B1947" s="555" t="s">
        <v>2271</v>
      </c>
      <c r="C1947" s="555" t="str">
        <f>VLOOKUP(D1947,기본!$D$13:$E$74,2,0)</f>
        <v>HP</v>
      </c>
      <c r="D1947" t="s">
        <v>1952</v>
      </c>
      <c r="E1947" t="s">
        <v>2172</v>
      </c>
      <c r="F1947" t="s">
        <v>2173</v>
      </c>
      <c r="G1947" s="554">
        <v>2592</v>
      </c>
      <c r="H1947">
        <v>95.997104640000003</v>
      </c>
    </row>
    <row r="1948" spans="2:8">
      <c r="B1948" s="555" t="s">
        <v>2271</v>
      </c>
      <c r="C1948" s="555" t="str">
        <f>VLOOKUP(D1948,기본!$D$13:$E$74,2,0)</f>
        <v>HP</v>
      </c>
      <c r="D1948" t="s">
        <v>1952</v>
      </c>
      <c r="E1948" t="s">
        <v>1969</v>
      </c>
      <c r="F1948" t="s">
        <v>1970</v>
      </c>
      <c r="G1948" s="554">
        <v>480</v>
      </c>
      <c r="H1948">
        <v>5.8695019199999994</v>
      </c>
    </row>
    <row r="1949" spans="2:8">
      <c r="B1949" s="555" t="s">
        <v>2271</v>
      </c>
      <c r="C1949" s="555" t="str">
        <f>VLOOKUP(D1949,기본!$D$13:$E$74,2,0)</f>
        <v>HP</v>
      </c>
      <c r="D1949" t="s">
        <v>1952</v>
      </c>
      <c r="E1949" t="s">
        <v>2130</v>
      </c>
      <c r="F1949" t="s">
        <v>2131</v>
      </c>
      <c r="G1949" s="554">
        <v>1440</v>
      </c>
      <c r="H1949">
        <v>10.7225856</v>
      </c>
    </row>
    <row r="1950" spans="2:8">
      <c r="B1950" s="555" t="s">
        <v>2271</v>
      </c>
      <c r="C1950" s="555" t="str">
        <f>VLOOKUP(D1950,기본!$D$13:$E$74,2,0)</f>
        <v>코웨이</v>
      </c>
      <c r="D1950" t="s">
        <v>2132</v>
      </c>
      <c r="E1950" t="s">
        <v>855</v>
      </c>
      <c r="F1950" t="s">
        <v>855</v>
      </c>
      <c r="G1950" s="554">
        <v>1000</v>
      </c>
      <c r="H1950">
        <v>3.1206079999999998</v>
      </c>
    </row>
    <row r="1951" spans="2:8">
      <c r="B1951" s="555" t="s">
        <v>2271</v>
      </c>
      <c r="C1951" s="555" t="str">
        <f>VLOOKUP(D1951,기본!$D$13:$E$74,2,0)</f>
        <v>코웨이</v>
      </c>
      <c r="D1951" t="s">
        <v>2132</v>
      </c>
      <c r="E1951" t="s">
        <v>854</v>
      </c>
      <c r="F1951" t="s">
        <v>854</v>
      </c>
      <c r="G1951" s="554">
        <v>1000</v>
      </c>
      <c r="H1951">
        <v>6.4345280000000002</v>
      </c>
    </row>
    <row r="1952" spans="2:8">
      <c r="B1952" s="555" t="s">
        <v>2271</v>
      </c>
      <c r="C1952" s="555" t="str">
        <f>VLOOKUP(D1952,기본!$D$13:$E$74,2,0)</f>
        <v>코웨이</v>
      </c>
      <c r="D1952" t="s">
        <v>2132</v>
      </c>
      <c r="E1952" t="s">
        <v>2133</v>
      </c>
      <c r="F1952" t="s">
        <v>2133</v>
      </c>
      <c r="G1952" s="554">
        <v>1000</v>
      </c>
      <c r="H1952">
        <v>6.5726079999999998</v>
      </c>
    </row>
    <row r="1953" spans="2:8">
      <c r="B1953" s="555" t="s">
        <v>2271</v>
      </c>
      <c r="C1953" s="555" t="str">
        <f>VLOOKUP(D1953,기본!$D$13:$E$74,2,0)</f>
        <v>코웨이</v>
      </c>
      <c r="D1953" t="s">
        <v>2132</v>
      </c>
      <c r="E1953" t="s">
        <v>1909</v>
      </c>
      <c r="F1953" t="s">
        <v>1909</v>
      </c>
      <c r="G1953" s="554">
        <v>500</v>
      </c>
      <c r="H1953">
        <v>3.0032399999999999</v>
      </c>
    </row>
    <row r="1954" spans="2:8">
      <c r="B1954" s="555" t="s">
        <v>2271</v>
      </c>
      <c r="C1954" s="555" t="str">
        <f>VLOOKUP(D1954,기본!$D$13:$E$74,2,0)</f>
        <v>코웨이</v>
      </c>
      <c r="D1954" t="s">
        <v>2132</v>
      </c>
      <c r="E1954" t="s">
        <v>2165</v>
      </c>
      <c r="F1954" t="s">
        <v>2165</v>
      </c>
      <c r="G1954" s="554">
        <v>500</v>
      </c>
      <c r="H1954">
        <v>3.2448800000000002</v>
      </c>
    </row>
    <row r="1955" spans="2:8">
      <c r="B1955" s="555" t="s">
        <v>2271</v>
      </c>
      <c r="C1955" s="555" t="str">
        <f>VLOOKUP(D1955,기본!$D$13:$E$74,2,0)</f>
        <v>AV JDM</v>
      </c>
      <c r="D1955" t="s">
        <v>1971</v>
      </c>
      <c r="E1955" t="s">
        <v>688</v>
      </c>
      <c r="F1955" t="s">
        <v>1521</v>
      </c>
      <c r="G1955" s="554">
        <v>5080</v>
      </c>
      <c r="H1955">
        <v>53.707806720000001</v>
      </c>
    </row>
    <row r="1956" spans="2:8">
      <c r="B1956" s="555" t="s">
        <v>2271</v>
      </c>
      <c r="C1956" s="555" t="str">
        <f>VLOOKUP(D1956,기본!$D$13:$E$74,2,0)</f>
        <v>AV JDM</v>
      </c>
      <c r="D1956" t="s">
        <v>1971</v>
      </c>
      <c r="E1956" t="s">
        <v>1889</v>
      </c>
      <c r="F1956" t="s">
        <v>1520</v>
      </c>
      <c r="G1956" s="554">
        <v>11088</v>
      </c>
      <c r="H1956">
        <v>99.639540000000011</v>
      </c>
    </row>
    <row r="1957" spans="2:8">
      <c r="B1957" s="555" t="s">
        <v>2271</v>
      </c>
      <c r="C1957" s="555" t="str">
        <f>VLOOKUP(D1957,기본!$D$13:$E$74,2,0)</f>
        <v>삼성 생활가전</v>
      </c>
      <c r="D1957" t="s">
        <v>1974</v>
      </c>
      <c r="E1957" t="s">
        <v>1975</v>
      </c>
      <c r="F1957" t="s">
        <v>1975</v>
      </c>
      <c r="G1957" s="554">
        <v>9216</v>
      </c>
      <c r="H1957">
        <v>74.833920000000006</v>
      </c>
    </row>
    <row r="1958" spans="2:8">
      <c r="B1958" s="555" t="s">
        <v>2271</v>
      </c>
      <c r="C1958" s="555" t="str">
        <f>VLOOKUP(D1958,기본!$D$13:$E$74,2,0)</f>
        <v>대덕</v>
      </c>
      <c r="D1958" t="s">
        <v>1976</v>
      </c>
      <c r="E1958" t="s">
        <v>2181</v>
      </c>
      <c r="F1958" t="s">
        <v>2181</v>
      </c>
      <c r="G1958" s="554">
        <v>1200</v>
      </c>
      <c r="H1958">
        <v>9.4187759999999994</v>
      </c>
    </row>
    <row r="1959" spans="2:8">
      <c r="B1959" s="555" t="s">
        <v>2271</v>
      </c>
      <c r="C1959" s="555" t="str">
        <f>VLOOKUP(D1959,기본!$D$13:$E$74,2,0)</f>
        <v>대덕</v>
      </c>
      <c r="D1959" t="s">
        <v>1976</v>
      </c>
      <c r="E1959" t="s">
        <v>2243</v>
      </c>
      <c r="F1959" t="s">
        <v>2243</v>
      </c>
      <c r="G1959" s="554">
        <v>2400</v>
      </c>
      <c r="H1959">
        <v>18.837551999999999</v>
      </c>
    </row>
    <row r="1960" spans="2:8">
      <c r="B1960" s="555" t="s">
        <v>2271</v>
      </c>
      <c r="C1960" s="555" t="str">
        <f>VLOOKUP(D1960,기본!$D$13:$E$74,2,0)</f>
        <v>대덕</v>
      </c>
      <c r="D1960" t="s">
        <v>1976</v>
      </c>
      <c r="E1960" t="s">
        <v>2175</v>
      </c>
      <c r="F1960" t="s">
        <v>2175</v>
      </c>
      <c r="G1960" s="554">
        <v>300</v>
      </c>
      <c r="H1960">
        <v>2.3421912000000003</v>
      </c>
    </row>
    <row r="1961" spans="2:8">
      <c r="B1961" s="555" t="s">
        <v>2271</v>
      </c>
      <c r="C1961" s="555" t="str">
        <f>VLOOKUP(D1961,기본!$D$13:$E$74,2,0)</f>
        <v>대덕</v>
      </c>
      <c r="D1961" t="s">
        <v>1976</v>
      </c>
      <c r="E1961" t="s">
        <v>1979</v>
      </c>
      <c r="F1961" t="s">
        <v>1979</v>
      </c>
      <c r="G1961" s="554">
        <v>2000</v>
      </c>
      <c r="H1961">
        <v>18.142952000000001</v>
      </c>
    </row>
    <row r="1962" spans="2:8">
      <c r="B1962" s="555" t="s">
        <v>2271</v>
      </c>
      <c r="C1962" s="555" t="str">
        <f>VLOOKUP(D1962,기본!$D$13:$E$74,2,0)</f>
        <v>대덕</v>
      </c>
      <c r="D1962" t="s">
        <v>1976</v>
      </c>
      <c r="E1962" t="s">
        <v>2224</v>
      </c>
      <c r="F1962" t="s">
        <v>2224</v>
      </c>
      <c r="G1962" s="554">
        <v>280</v>
      </c>
      <c r="H1962">
        <v>2.9250995199999998</v>
      </c>
    </row>
    <row r="1963" spans="2:8">
      <c r="B1963" s="555" t="s">
        <v>2271</v>
      </c>
      <c r="C1963" s="555" t="str">
        <f>VLOOKUP(D1963,기본!$D$13:$E$74,2,0)</f>
        <v>대덕</v>
      </c>
      <c r="D1963" t="s">
        <v>1976</v>
      </c>
      <c r="E1963" t="s">
        <v>2219</v>
      </c>
      <c r="F1963" t="s">
        <v>2219</v>
      </c>
      <c r="G1963" s="554">
        <v>2000</v>
      </c>
      <c r="H1963">
        <v>27.367239999999999</v>
      </c>
    </row>
    <row r="1964" spans="2:8">
      <c r="B1964" s="555" t="s">
        <v>2271</v>
      </c>
      <c r="C1964" s="555" t="str">
        <f>VLOOKUP(D1964,기본!$D$13:$E$74,2,0)</f>
        <v>대덕</v>
      </c>
      <c r="D1964" t="s">
        <v>1976</v>
      </c>
      <c r="E1964" t="s">
        <v>1569</v>
      </c>
      <c r="F1964" t="s">
        <v>1569</v>
      </c>
      <c r="G1964" s="554">
        <v>1000</v>
      </c>
      <c r="H1964">
        <v>12.488908</v>
      </c>
    </row>
    <row r="1965" spans="2:8">
      <c r="B1965" s="555" t="s">
        <v>2271</v>
      </c>
      <c r="C1965" s="555" t="str">
        <f>VLOOKUP(D1965,기본!$D$13:$E$74,2,0)</f>
        <v>대덕</v>
      </c>
      <c r="D1965" t="s">
        <v>1978</v>
      </c>
      <c r="E1965" t="s">
        <v>2175</v>
      </c>
      <c r="F1965" t="s">
        <v>2175</v>
      </c>
      <c r="G1965" s="554">
        <v>200</v>
      </c>
      <c r="H1965">
        <v>1.5520191999999999</v>
      </c>
    </row>
    <row r="1966" spans="2:8">
      <c r="B1966" s="555" t="s">
        <v>2271</v>
      </c>
      <c r="C1966" s="555" t="str">
        <f>VLOOKUP(D1966,기본!$D$13:$E$74,2,0)</f>
        <v>대덕</v>
      </c>
      <c r="D1966" t="s">
        <v>1978</v>
      </c>
      <c r="E1966" t="s">
        <v>2183</v>
      </c>
      <c r="F1966" t="s">
        <v>2183</v>
      </c>
      <c r="G1966" s="554">
        <v>1000</v>
      </c>
      <c r="H1966">
        <v>32.604523999999998</v>
      </c>
    </row>
    <row r="1967" spans="2:8">
      <c r="B1967" s="555" t="s">
        <v>2271</v>
      </c>
      <c r="C1967" s="555" t="str">
        <f>VLOOKUP(D1967,기본!$D$13:$E$74,2,0)</f>
        <v>대덕</v>
      </c>
      <c r="D1967" t="s">
        <v>1978</v>
      </c>
      <c r="E1967" t="s">
        <v>1980</v>
      </c>
      <c r="F1967" t="s">
        <v>1980</v>
      </c>
      <c r="G1967" s="554">
        <v>1080</v>
      </c>
      <c r="H1967">
        <v>23.510265119999996</v>
      </c>
    </row>
    <row r="1968" spans="2:8">
      <c r="B1968" s="555" t="s">
        <v>2271</v>
      </c>
      <c r="C1968" s="555" t="str">
        <f>VLOOKUP(D1968,기본!$D$13:$E$74,2,0)</f>
        <v>대덕</v>
      </c>
      <c r="D1968" t="s">
        <v>1978</v>
      </c>
      <c r="E1968" t="s">
        <v>2224</v>
      </c>
      <c r="F1968" t="s">
        <v>2224</v>
      </c>
      <c r="G1968" s="554">
        <v>220</v>
      </c>
      <c r="H1968">
        <v>2.2843955199999995</v>
      </c>
    </row>
    <row r="1969" spans="2:8">
      <c r="B1969" s="555" t="s">
        <v>2271</v>
      </c>
      <c r="C1969" s="555" t="str">
        <f>VLOOKUP(D1969,기본!$D$13:$E$74,2,0)</f>
        <v>대덕</v>
      </c>
      <c r="D1969" t="s">
        <v>1978</v>
      </c>
      <c r="E1969" t="s">
        <v>1984</v>
      </c>
      <c r="F1969" t="s">
        <v>1984</v>
      </c>
      <c r="G1969" s="554">
        <v>150</v>
      </c>
      <c r="H1969">
        <v>2.3073167999999997</v>
      </c>
    </row>
    <row r="1970" spans="2:8">
      <c r="B1970" s="555" t="s">
        <v>2271</v>
      </c>
      <c r="C1970" s="555" t="str">
        <f>VLOOKUP(D1970,기본!$D$13:$E$74,2,0)</f>
        <v>대덕</v>
      </c>
      <c r="D1970" t="s">
        <v>1978</v>
      </c>
      <c r="E1970" t="s">
        <v>1985</v>
      </c>
      <c r="F1970" t="s">
        <v>1985</v>
      </c>
      <c r="G1970" s="554">
        <v>7000</v>
      </c>
      <c r="H1970">
        <v>95.785340000000005</v>
      </c>
    </row>
    <row r="1971" spans="2:8">
      <c r="B1971" s="555" t="s">
        <v>2271</v>
      </c>
      <c r="C1971" s="555" t="str">
        <f>VLOOKUP(D1971,기본!$D$13:$E$74,2,0)</f>
        <v>대덕</v>
      </c>
      <c r="D1971" t="s">
        <v>1978</v>
      </c>
      <c r="E1971" t="s">
        <v>2247</v>
      </c>
      <c r="F1971" t="s">
        <v>2247</v>
      </c>
      <c r="G1971" s="554">
        <v>800</v>
      </c>
      <c r="H1971">
        <v>10.891750400000001</v>
      </c>
    </row>
    <row r="1972" spans="2:8">
      <c r="B1972" s="555" t="s">
        <v>2271</v>
      </c>
      <c r="C1972" s="555" t="str">
        <f>VLOOKUP(D1972,기본!$D$13:$E$74,2,0)</f>
        <v>대덕</v>
      </c>
      <c r="D1972" t="s">
        <v>1978</v>
      </c>
      <c r="E1972" t="s">
        <v>1572</v>
      </c>
      <c r="F1972" t="s">
        <v>1572</v>
      </c>
      <c r="G1972" s="554">
        <v>1000</v>
      </c>
      <c r="H1972">
        <v>13.697512</v>
      </c>
    </row>
    <row r="1973" spans="2:8">
      <c r="B1973" s="555" t="s">
        <v>2271</v>
      </c>
      <c r="C1973" s="555" t="str">
        <f>VLOOKUP(D1973,기본!$D$13:$E$74,2,0)</f>
        <v>코웨이</v>
      </c>
      <c r="D1973" t="s">
        <v>2140</v>
      </c>
      <c r="E1973" t="s">
        <v>2141</v>
      </c>
      <c r="F1973" t="s">
        <v>2141</v>
      </c>
      <c r="G1973" s="554">
        <v>525</v>
      </c>
      <c r="H1973">
        <v>2.58405</v>
      </c>
    </row>
    <row r="1974" spans="2:8">
      <c r="B1974" s="555" t="s">
        <v>2271</v>
      </c>
      <c r="C1974" s="555" t="str">
        <f>VLOOKUP(D1974,기본!$D$13:$E$74,2,0)</f>
        <v>삼성 생활가전</v>
      </c>
      <c r="D1974" t="s">
        <v>1986</v>
      </c>
      <c r="E1974" t="s">
        <v>2003</v>
      </c>
      <c r="F1974" t="s">
        <v>2003</v>
      </c>
      <c r="G1974" s="554">
        <v>3000</v>
      </c>
      <c r="H1974">
        <v>17.940000000000001</v>
      </c>
    </row>
    <row r="1975" spans="2:8">
      <c r="B1975" s="555" t="s">
        <v>2271</v>
      </c>
      <c r="C1975" s="555" t="str">
        <f>VLOOKUP(D1975,기본!$D$13:$E$74,2,0)</f>
        <v>머큐리</v>
      </c>
      <c r="D1975" t="s">
        <v>1988</v>
      </c>
      <c r="E1975" t="s">
        <v>1989</v>
      </c>
      <c r="F1975" t="s">
        <v>1989</v>
      </c>
      <c r="G1975" s="554">
        <v>51120</v>
      </c>
      <c r="H1975">
        <v>142.31808000000001</v>
      </c>
    </row>
    <row r="1976" spans="2:8">
      <c r="B1976" s="555" t="s">
        <v>2271</v>
      </c>
      <c r="C1976" s="555" t="str">
        <f>VLOOKUP(D1976,기본!$D$13:$E$74,2,0)</f>
        <v>머큐리</v>
      </c>
      <c r="D1976" t="s">
        <v>1988</v>
      </c>
      <c r="E1976" t="s">
        <v>1433</v>
      </c>
      <c r="F1976" t="s">
        <v>1433</v>
      </c>
      <c r="G1976" s="554">
        <v>27000</v>
      </c>
      <c r="H1976">
        <v>81.864000000000004</v>
      </c>
    </row>
    <row r="1977" spans="2:8">
      <c r="B1977" s="555" t="s">
        <v>2271</v>
      </c>
      <c r="C1977" s="555" t="str">
        <f>VLOOKUP(D1977,기본!$D$13:$E$74,2,0)</f>
        <v>머큐리</v>
      </c>
      <c r="D1977" t="s">
        <v>1988</v>
      </c>
      <c r="E1977" t="s">
        <v>2226</v>
      </c>
      <c r="F1977" t="s">
        <v>2226</v>
      </c>
      <c r="G1977" s="554">
        <v>4000</v>
      </c>
      <c r="H1977">
        <v>21.143999999999998</v>
      </c>
    </row>
    <row r="1978" spans="2:8">
      <c r="B1978" s="555" t="s">
        <v>2271</v>
      </c>
      <c r="C1978" s="555" t="str">
        <f>VLOOKUP(D1978,기본!$D$13:$E$74,2,0)</f>
        <v>삼성 생활가전</v>
      </c>
      <c r="D1978" t="s">
        <v>2188</v>
      </c>
      <c r="E1978" t="s">
        <v>2189</v>
      </c>
      <c r="F1978" t="s">
        <v>2189</v>
      </c>
      <c r="G1978" s="554">
        <v>3264</v>
      </c>
      <c r="H1978">
        <v>24.44736</v>
      </c>
    </row>
    <row r="1979" spans="2:8">
      <c r="B1979" s="555" t="s">
        <v>2271</v>
      </c>
      <c r="C1979" s="555" t="str">
        <f>VLOOKUP(D1979,기본!$D$13:$E$74,2,0)</f>
        <v>삼성 VD</v>
      </c>
      <c r="D1979" t="s">
        <v>1990</v>
      </c>
      <c r="E1979" t="s">
        <v>1165</v>
      </c>
      <c r="F1979" t="s">
        <v>1882</v>
      </c>
      <c r="G1979" s="554">
        <v>3</v>
      </c>
      <c r="H1979">
        <v>8.9694779999999988E-2</v>
      </c>
    </row>
    <row r="1980" spans="2:8">
      <c r="B1980" s="555" t="s">
        <v>2271</v>
      </c>
      <c r="C1980" s="555" t="str">
        <f>VLOOKUP(D1980,기본!$D$13:$E$74,2,0)</f>
        <v>삼성 VD</v>
      </c>
      <c r="D1980" t="s">
        <v>1990</v>
      </c>
      <c r="E1980" t="s">
        <v>1164</v>
      </c>
      <c r="F1980" t="s">
        <v>1850</v>
      </c>
      <c r="G1980" s="554">
        <v>3</v>
      </c>
      <c r="H1980">
        <v>8.1469314000000001E-2</v>
      </c>
    </row>
    <row r="1981" spans="2:8">
      <c r="B1981" s="555" t="s">
        <v>2271</v>
      </c>
      <c r="C1981" s="555" t="str">
        <f>VLOOKUP(D1981,기본!$D$13:$E$74,2,0)</f>
        <v>삼성 VD</v>
      </c>
      <c r="D1981" t="s">
        <v>1990</v>
      </c>
      <c r="E1981" t="s">
        <v>1853</v>
      </c>
      <c r="F1981" t="s">
        <v>1854</v>
      </c>
      <c r="G1981" s="554">
        <v>3</v>
      </c>
      <c r="H1981">
        <v>4.2284715E-2</v>
      </c>
    </row>
    <row r="1982" spans="2:8">
      <c r="B1982" s="555" t="s">
        <v>2271</v>
      </c>
      <c r="C1982" s="555" t="str">
        <f>VLOOKUP(D1982,기본!$D$13:$E$74,2,0)</f>
        <v>삼성 VD</v>
      </c>
      <c r="D1982" t="s">
        <v>1990</v>
      </c>
      <c r="E1982" t="s">
        <v>1855</v>
      </c>
      <c r="F1982" t="s">
        <v>1856</v>
      </c>
      <c r="G1982" s="554">
        <v>3</v>
      </c>
      <c r="H1982">
        <v>4.3278674999999996E-2</v>
      </c>
    </row>
    <row r="1983" spans="2:8">
      <c r="B1983" s="555" t="s">
        <v>2271</v>
      </c>
      <c r="C1983" s="555" t="str">
        <f>VLOOKUP(D1983,기본!$D$13:$E$74,2,0)</f>
        <v>삼성 VD</v>
      </c>
      <c r="D1983" t="s">
        <v>1990</v>
      </c>
      <c r="E1983" t="s">
        <v>1874</v>
      </c>
      <c r="F1983" t="s">
        <v>1875</v>
      </c>
      <c r="G1983" s="554">
        <v>3</v>
      </c>
      <c r="H1983">
        <v>4.696460999999999E-2</v>
      </c>
    </row>
    <row r="1984" spans="2:8">
      <c r="B1984" s="555" t="s">
        <v>2271</v>
      </c>
      <c r="C1984" s="555" t="str">
        <f>VLOOKUP(D1984,기본!$D$13:$E$74,2,0)</f>
        <v>삼성 VD</v>
      </c>
      <c r="D1984" t="s">
        <v>1990</v>
      </c>
      <c r="E1984" t="s">
        <v>1313</v>
      </c>
      <c r="F1984" t="s">
        <v>1312</v>
      </c>
      <c r="G1984" s="554">
        <v>96</v>
      </c>
      <c r="H1984">
        <v>2.1289094400000006</v>
      </c>
    </row>
    <row r="1985" spans="2:8">
      <c r="B1985" s="555" t="s">
        <v>2271</v>
      </c>
      <c r="C1985" s="555" t="str">
        <f>VLOOKUP(D1985,기본!$D$13:$E$74,2,0)</f>
        <v>삼성 VD</v>
      </c>
      <c r="D1985" t="s">
        <v>1990</v>
      </c>
      <c r="E1985" t="s">
        <v>1938</v>
      </c>
      <c r="F1985" t="s">
        <v>1939</v>
      </c>
      <c r="G1985" s="554">
        <v>22</v>
      </c>
      <c r="H1985">
        <v>0.123157606</v>
      </c>
    </row>
    <row r="1986" spans="2:8">
      <c r="B1986" s="555" t="s">
        <v>2271</v>
      </c>
      <c r="C1986" s="555" t="str">
        <f>VLOOKUP(D1986,기본!$D$13:$E$74,2,0)</f>
        <v>삼성 VD</v>
      </c>
      <c r="D1986" t="s">
        <v>1990</v>
      </c>
      <c r="E1986" t="s">
        <v>709</v>
      </c>
      <c r="F1986" t="s">
        <v>1869</v>
      </c>
      <c r="G1986" s="554">
        <v>792</v>
      </c>
      <c r="H1986">
        <v>2.727252</v>
      </c>
    </row>
    <row r="1987" spans="2:8">
      <c r="B1987" s="555" t="s">
        <v>2271</v>
      </c>
      <c r="C1987" s="555" t="str">
        <f>VLOOKUP(D1987,기본!$D$13:$E$74,2,0)</f>
        <v>삼성 VD</v>
      </c>
      <c r="D1987" t="s">
        <v>1990</v>
      </c>
      <c r="E1987" t="s">
        <v>1156</v>
      </c>
      <c r="F1987" t="s">
        <v>1870</v>
      </c>
      <c r="G1987" s="554">
        <v>308</v>
      </c>
      <c r="H1987">
        <v>1.4375518079999998</v>
      </c>
    </row>
    <row r="1988" spans="2:8">
      <c r="B1988" s="555" t="s">
        <v>2271</v>
      </c>
      <c r="C1988" s="555" t="str">
        <f>VLOOKUP(D1988,기본!$D$13:$E$74,2,0)</f>
        <v>삼성 VD</v>
      </c>
      <c r="D1988" t="s">
        <v>1990</v>
      </c>
      <c r="E1988" t="s">
        <v>1897</v>
      </c>
      <c r="F1988" t="s">
        <v>1897</v>
      </c>
      <c r="G1988" s="554">
        <v>54</v>
      </c>
      <c r="H1988">
        <v>1.9641916799999997</v>
      </c>
    </row>
    <row r="1989" spans="2:8">
      <c r="B1989" s="555" t="s">
        <v>2271</v>
      </c>
      <c r="C1989" s="555" t="str">
        <f>VLOOKUP(D1989,기본!$D$13:$E$74,2,0)</f>
        <v>삼성 VD</v>
      </c>
      <c r="D1989" t="s">
        <v>1990</v>
      </c>
      <c r="E1989" t="s">
        <v>1660</v>
      </c>
      <c r="F1989" t="s">
        <v>1660</v>
      </c>
      <c r="G1989" s="554">
        <v>1920</v>
      </c>
      <c r="H1989">
        <v>28.2259584</v>
      </c>
    </row>
    <row r="1990" spans="2:8">
      <c r="B1990" s="555" t="s">
        <v>2271</v>
      </c>
      <c r="C1990" s="555" t="str">
        <f>VLOOKUP(D1990,기본!$D$13:$E$74,2,0)</f>
        <v>삼성 VD</v>
      </c>
      <c r="D1990" t="s">
        <v>1990</v>
      </c>
      <c r="E1990" t="s">
        <v>1658</v>
      </c>
      <c r="F1990" t="s">
        <v>1658</v>
      </c>
      <c r="G1990" s="554">
        <v>360</v>
      </c>
      <c r="H1990">
        <v>3.369672</v>
      </c>
    </row>
    <row r="1991" spans="2:8">
      <c r="B1991" s="555" t="s">
        <v>2271</v>
      </c>
      <c r="C1991" s="555" t="str">
        <f>VLOOKUP(D1991,기본!$D$13:$E$74,2,0)</f>
        <v>삼성 VD</v>
      </c>
      <c r="D1991" t="s">
        <v>1990</v>
      </c>
      <c r="E1991" t="s">
        <v>2267</v>
      </c>
      <c r="F1991" t="s">
        <v>2267</v>
      </c>
      <c r="G1991" s="554">
        <v>10</v>
      </c>
      <c r="H1991">
        <v>6.2554499999999999E-2</v>
      </c>
    </row>
    <row r="1992" spans="2:8">
      <c r="B1992" s="555" t="s">
        <v>2271</v>
      </c>
      <c r="C1992" s="555" t="str">
        <f>VLOOKUP(D1992,기본!$D$13:$E$74,2,0)</f>
        <v>삼성 VD</v>
      </c>
      <c r="D1992" t="s">
        <v>1990</v>
      </c>
      <c r="E1992" t="s">
        <v>229</v>
      </c>
      <c r="F1992" t="s">
        <v>229</v>
      </c>
      <c r="G1992" s="554">
        <v>0</v>
      </c>
      <c r="H1992">
        <v>6.000451</v>
      </c>
    </row>
    <row r="1993" spans="2:8">
      <c r="B1993" s="555" t="s">
        <v>2271</v>
      </c>
      <c r="C1993" s="555" t="str">
        <f>VLOOKUP(D1993,기본!$D$13:$E$74,2,0)</f>
        <v>삼성 생활가전</v>
      </c>
      <c r="D1993" t="s">
        <v>1991</v>
      </c>
      <c r="E1993" t="s">
        <v>1994</v>
      </c>
      <c r="F1993" t="s">
        <v>1994</v>
      </c>
      <c r="G1993" s="554">
        <v>2160</v>
      </c>
      <c r="H1993">
        <v>16.814671199999999</v>
      </c>
    </row>
    <row r="1994" spans="2:8">
      <c r="B1994" s="555" t="s">
        <v>2271</v>
      </c>
      <c r="C1994" s="555" t="str">
        <f>VLOOKUP(D1994,기본!$D$13:$E$74,2,0)</f>
        <v>삼성 생활가전</v>
      </c>
      <c r="D1994" t="s">
        <v>1991</v>
      </c>
      <c r="E1994" t="s">
        <v>1317</v>
      </c>
      <c r="F1994" t="s">
        <v>1317</v>
      </c>
      <c r="G1994" s="554">
        <v>14</v>
      </c>
      <c r="H1994">
        <v>0.11577999999999999</v>
      </c>
    </row>
    <row r="1995" spans="2:8">
      <c r="B1995" s="555" t="s">
        <v>2271</v>
      </c>
      <c r="C1995" s="555" t="str">
        <f>VLOOKUP(D1995,기본!$D$13:$E$74,2,0)</f>
        <v>삼성 생활가전</v>
      </c>
      <c r="D1995" t="s">
        <v>1991</v>
      </c>
      <c r="E1995" t="s">
        <v>713</v>
      </c>
      <c r="F1995" t="s">
        <v>713</v>
      </c>
      <c r="G1995" s="554">
        <v>1008</v>
      </c>
      <c r="H1995">
        <v>8.0539199999999997</v>
      </c>
    </row>
    <row r="1996" spans="2:8">
      <c r="B1996" s="555" t="s">
        <v>2271</v>
      </c>
      <c r="C1996" s="555" t="str">
        <f>VLOOKUP(D1996,기본!$D$13:$E$74,2,0)</f>
        <v>삼성 생활가전</v>
      </c>
      <c r="D1996" t="s">
        <v>1991</v>
      </c>
      <c r="E1996" t="s">
        <v>2190</v>
      </c>
      <c r="F1996" t="s">
        <v>2190</v>
      </c>
      <c r="G1996" s="554">
        <v>2432</v>
      </c>
      <c r="H1996">
        <v>32.686113280000001</v>
      </c>
    </row>
    <row r="1997" spans="2:8">
      <c r="B1997" s="555" t="s">
        <v>2271</v>
      </c>
      <c r="C1997" s="555" t="str">
        <f>VLOOKUP(D1997,기본!$D$13:$E$74,2,0)</f>
        <v>삼성 생활가전</v>
      </c>
      <c r="D1997" t="s">
        <v>1991</v>
      </c>
      <c r="E1997" t="s">
        <v>1999</v>
      </c>
      <c r="F1997" t="s">
        <v>1999</v>
      </c>
      <c r="G1997" s="554">
        <v>2880</v>
      </c>
      <c r="H1997">
        <v>17.219519999999999</v>
      </c>
    </row>
    <row r="1998" spans="2:8">
      <c r="B1998" s="555" t="s">
        <v>2271</v>
      </c>
      <c r="C1998" s="555" t="str">
        <f>VLOOKUP(D1998,기본!$D$13:$E$74,2,0)</f>
        <v>삼성 생활가전</v>
      </c>
      <c r="D1998" t="s">
        <v>1991</v>
      </c>
      <c r="E1998" t="s">
        <v>2001</v>
      </c>
      <c r="F1998" t="s">
        <v>2001</v>
      </c>
      <c r="G1998" s="554">
        <v>8640</v>
      </c>
      <c r="H1998">
        <v>47.260800000000003</v>
      </c>
    </row>
    <row r="1999" spans="2:8">
      <c r="B1999" s="555" t="s">
        <v>2271</v>
      </c>
      <c r="C1999" s="555" t="str">
        <f>VLOOKUP(D1999,기본!$D$13:$E$74,2,0)</f>
        <v>삼성 생활가전</v>
      </c>
      <c r="D1999" t="s">
        <v>1991</v>
      </c>
      <c r="E1999" t="s">
        <v>2002</v>
      </c>
      <c r="F1999" t="s">
        <v>2002</v>
      </c>
      <c r="G1999" s="554">
        <v>2880</v>
      </c>
      <c r="H1999">
        <v>28.451519999999999</v>
      </c>
    </row>
    <row r="2000" spans="2:8">
      <c r="B2000" s="555" t="s">
        <v>2271</v>
      </c>
      <c r="C2000" s="555" t="str">
        <f>VLOOKUP(D2000,기본!$D$13:$E$74,2,0)</f>
        <v>삼성 생활가전</v>
      </c>
      <c r="D2000" t="s">
        <v>1991</v>
      </c>
      <c r="E2000" t="s">
        <v>1508</v>
      </c>
      <c r="F2000" t="s">
        <v>1508</v>
      </c>
      <c r="G2000" s="554">
        <v>5</v>
      </c>
      <c r="H2000">
        <v>4.7500000000000001E-2</v>
      </c>
    </row>
    <row r="2001" spans="2:8">
      <c r="B2001" s="555" t="s">
        <v>2271</v>
      </c>
      <c r="C2001" s="555" t="str">
        <f>VLOOKUP(D2001,기본!$D$13:$E$74,2,0)</f>
        <v>삼성 생활가전</v>
      </c>
      <c r="D2001" t="s">
        <v>1991</v>
      </c>
      <c r="E2001" t="s">
        <v>1509</v>
      </c>
      <c r="F2001" t="s">
        <v>1509</v>
      </c>
      <c r="G2001" s="554">
        <v>5</v>
      </c>
      <c r="H2001">
        <v>5.475E-2</v>
      </c>
    </row>
    <row r="2002" spans="2:8">
      <c r="B2002" s="555" t="s">
        <v>2271</v>
      </c>
      <c r="C2002" s="555" t="str">
        <f>VLOOKUP(D2002,기본!$D$13:$E$74,2,0)</f>
        <v>삼성 생활가전</v>
      </c>
      <c r="D2002" t="s">
        <v>1991</v>
      </c>
      <c r="E2002" t="s">
        <v>1242</v>
      </c>
      <c r="F2002" t="s">
        <v>1242</v>
      </c>
      <c r="G2002" s="554">
        <v>8404</v>
      </c>
      <c r="H2002">
        <v>43.112520000000004</v>
      </c>
    </row>
    <row r="2003" spans="2:8">
      <c r="B2003" s="555" t="s">
        <v>2271</v>
      </c>
      <c r="C2003" s="555" t="str">
        <f>VLOOKUP(D2003,기본!$D$13:$E$74,2,0)</f>
        <v>삼성 생활가전</v>
      </c>
      <c r="D2003" t="s">
        <v>1991</v>
      </c>
      <c r="E2003" t="s">
        <v>1395</v>
      </c>
      <c r="F2003" t="s">
        <v>1395</v>
      </c>
      <c r="G2003" s="554">
        <v>9945</v>
      </c>
      <c r="H2003">
        <v>54.279809999999998</v>
      </c>
    </row>
    <row r="2004" spans="2:8">
      <c r="B2004" s="555" t="s">
        <v>2271</v>
      </c>
      <c r="C2004" s="555" t="str">
        <f>VLOOKUP(D2004,기본!$D$13:$E$74,2,0)</f>
        <v>삼성 생활가전</v>
      </c>
      <c r="D2004" t="s">
        <v>1991</v>
      </c>
      <c r="E2004" t="s">
        <v>2004</v>
      </c>
      <c r="F2004" t="s">
        <v>2004</v>
      </c>
      <c r="G2004" s="554">
        <v>5950</v>
      </c>
      <c r="H2004">
        <v>60.719749999999998</v>
      </c>
    </row>
    <row r="2005" spans="2:8">
      <c r="B2005" s="555" t="s">
        <v>2271</v>
      </c>
      <c r="C2005" s="555" t="str">
        <f>VLOOKUP(D2005,기본!$D$13:$E$74,2,0)</f>
        <v>삼성 생활가전</v>
      </c>
      <c r="D2005" t="s">
        <v>1991</v>
      </c>
      <c r="E2005" t="s">
        <v>2087</v>
      </c>
      <c r="F2005" t="s">
        <v>2087</v>
      </c>
      <c r="G2005" s="554">
        <v>294</v>
      </c>
      <c r="H2005">
        <v>3.0642958499999997</v>
      </c>
    </row>
    <row r="2006" spans="2:8">
      <c r="B2006" s="555" t="s">
        <v>2271</v>
      </c>
      <c r="C2006" s="555" t="str">
        <f>VLOOKUP(D2006,기본!$D$13:$E$74,2,0)</f>
        <v>삼성 생활가전</v>
      </c>
      <c r="D2006" t="s">
        <v>1991</v>
      </c>
      <c r="E2006" t="s">
        <v>2227</v>
      </c>
      <c r="F2006" t="s">
        <v>2227</v>
      </c>
      <c r="G2006" s="554">
        <v>350</v>
      </c>
      <c r="H2006">
        <v>1.8843825000000001</v>
      </c>
    </row>
    <row r="2007" spans="2:8">
      <c r="B2007" s="555" t="s">
        <v>2271</v>
      </c>
      <c r="C2007" s="555" t="str">
        <f>VLOOKUP(D2007,기본!$D$13:$E$74,2,0)</f>
        <v>삼성 생활가전</v>
      </c>
      <c r="D2007" t="s">
        <v>1991</v>
      </c>
      <c r="E2007" t="s">
        <v>1465</v>
      </c>
      <c r="F2007" t="s">
        <v>1465</v>
      </c>
      <c r="G2007" s="554">
        <v>8411</v>
      </c>
      <c r="H2007">
        <v>113.49615556000001</v>
      </c>
    </row>
    <row r="2008" spans="2:8">
      <c r="B2008" s="555" t="s">
        <v>2271</v>
      </c>
      <c r="C2008" s="555" t="str">
        <f>VLOOKUP(D2008,기본!$D$13:$E$74,2,0)</f>
        <v>삼성 생활가전</v>
      </c>
      <c r="D2008" t="s">
        <v>1991</v>
      </c>
      <c r="E2008" t="s">
        <v>2005</v>
      </c>
      <c r="F2008" t="s">
        <v>2005</v>
      </c>
      <c r="G2008" s="554">
        <v>0</v>
      </c>
      <c r="H2008">
        <v>8.9778020000000005</v>
      </c>
    </row>
    <row r="2009" spans="2:8">
      <c r="B2009" s="555" t="s">
        <v>2271</v>
      </c>
      <c r="C2009" s="555" t="str">
        <f>VLOOKUP(D2009,기본!$D$13:$E$74,2,0)</f>
        <v>삼성 생활가전</v>
      </c>
      <c r="D2009" t="s">
        <v>1991</v>
      </c>
      <c r="E2009" t="s">
        <v>229</v>
      </c>
      <c r="F2009" t="s">
        <v>229</v>
      </c>
      <c r="G2009" s="554">
        <v>0</v>
      </c>
      <c r="H2009">
        <v>4.5159999999999999E-2</v>
      </c>
    </row>
    <row r="2010" spans="2:8">
      <c r="B2010" s="555" t="s">
        <v>2271</v>
      </c>
      <c r="C2010" s="555" t="str">
        <f>VLOOKUP(D2010,기본!$D$13:$E$74,2,0)</f>
        <v>삼성 생활가전</v>
      </c>
      <c r="D2010" t="s">
        <v>2006</v>
      </c>
      <c r="E2010" t="s">
        <v>1465</v>
      </c>
      <c r="F2010" t="s">
        <v>1465</v>
      </c>
      <c r="G2010" s="554">
        <v>280</v>
      </c>
      <c r="H2010">
        <v>3.6217999999999999</v>
      </c>
    </row>
    <row r="2011" spans="2:8">
      <c r="B2011" s="555" t="s">
        <v>2271</v>
      </c>
      <c r="C2011" s="555" t="str">
        <f>VLOOKUP(D2011,기본!$D$13:$E$74,2,0)</f>
        <v>코웨이</v>
      </c>
      <c r="D2011" t="s">
        <v>2191</v>
      </c>
      <c r="E2011" t="s">
        <v>2192</v>
      </c>
      <c r="F2011" t="s">
        <v>2192</v>
      </c>
      <c r="G2011" s="554">
        <v>600</v>
      </c>
      <c r="H2011">
        <v>7.4160000000000004</v>
      </c>
    </row>
    <row r="2012" spans="2:8">
      <c r="B2012" s="555" t="s">
        <v>2271</v>
      </c>
      <c r="C2012" s="555" t="str">
        <f>VLOOKUP(D2012,기본!$D$13:$E$74,2,0)</f>
        <v>HP</v>
      </c>
      <c r="D2012" t="s">
        <v>2148</v>
      </c>
      <c r="E2012" t="s">
        <v>2268</v>
      </c>
      <c r="F2012" t="s">
        <v>2268</v>
      </c>
      <c r="G2012" s="554">
        <v>5</v>
      </c>
      <c r="H2012">
        <v>0.25724303999999998</v>
      </c>
    </row>
    <row r="2013" spans="2:8">
      <c r="B2013" s="555" t="s">
        <v>2271</v>
      </c>
      <c r="C2013" s="555" t="str">
        <f>VLOOKUP(D2013,기본!$D$13:$E$74,2,0)</f>
        <v>HP</v>
      </c>
      <c r="D2013" t="s">
        <v>2148</v>
      </c>
      <c r="E2013" t="s">
        <v>229</v>
      </c>
      <c r="F2013" t="s">
        <v>229</v>
      </c>
      <c r="G2013" s="554">
        <v>0</v>
      </c>
      <c r="H2013">
        <v>0.68852999999999998</v>
      </c>
    </row>
    <row r="2014" spans="2:8">
      <c r="B2014" s="555" t="s">
        <v>2271</v>
      </c>
      <c r="C2014" s="555" t="str">
        <f>VLOOKUP(D2014,기본!$D$13:$E$74,2,0)</f>
        <v>코웨이</v>
      </c>
      <c r="D2014" t="s">
        <v>2007</v>
      </c>
      <c r="E2014" t="s">
        <v>1072</v>
      </c>
      <c r="F2014" t="s">
        <v>1072</v>
      </c>
      <c r="G2014" s="554">
        <v>5040</v>
      </c>
      <c r="H2014">
        <v>24.443999999999999</v>
      </c>
    </row>
    <row r="2015" spans="2:8">
      <c r="B2015" s="555" t="s">
        <v>2271</v>
      </c>
      <c r="C2015" s="555" t="str">
        <f>VLOOKUP(D2015,기본!$D$13:$E$74,2,0)</f>
        <v>코웨이</v>
      </c>
      <c r="D2015" t="s">
        <v>2007</v>
      </c>
      <c r="E2015" t="s">
        <v>1075</v>
      </c>
      <c r="F2015" t="s">
        <v>1075</v>
      </c>
      <c r="G2015" s="554">
        <v>6912</v>
      </c>
      <c r="H2015">
        <v>9.6422399999999993</v>
      </c>
    </row>
    <row r="2016" spans="2:8">
      <c r="B2016" s="555" t="s">
        <v>2271</v>
      </c>
      <c r="C2016" s="555" t="str">
        <f>VLOOKUP(D2016,기본!$D$13:$E$74,2,0)</f>
        <v>코웨이</v>
      </c>
      <c r="D2016" t="s">
        <v>2008</v>
      </c>
      <c r="E2016" t="s">
        <v>2009</v>
      </c>
      <c r="F2016" t="s">
        <v>2009</v>
      </c>
      <c r="G2016" s="554">
        <v>7800</v>
      </c>
      <c r="H2016">
        <v>21.317399999999999</v>
      </c>
    </row>
    <row r="2017" spans="2:8">
      <c r="B2017" s="555" t="s">
        <v>2271</v>
      </c>
      <c r="C2017" s="555" t="str">
        <f>VLOOKUP(D2017,기본!$D$13:$E$74,2,0)</f>
        <v>코웨이</v>
      </c>
      <c r="D2017" t="s">
        <v>2010</v>
      </c>
      <c r="E2017" t="s">
        <v>2011</v>
      </c>
      <c r="F2017" t="s">
        <v>2011</v>
      </c>
      <c r="G2017" s="554">
        <v>25</v>
      </c>
      <c r="H2017">
        <v>0.1239</v>
      </c>
    </row>
    <row r="2018" spans="2:8">
      <c r="B2018" s="555" t="s">
        <v>2271</v>
      </c>
      <c r="C2018" s="555" t="str">
        <f>VLOOKUP(D2018,기본!$D$13:$E$74,2,0)</f>
        <v>코웨이</v>
      </c>
      <c r="D2018" t="s">
        <v>2010</v>
      </c>
      <c r="E2018" t="s">
        <v>2013</v>
      </c>
      <c r="F2018" t="s">
        <v>2013</v>
      </c>
      <c r="G2018" s="554">
        <v>9</v>
      </c>
      <c r="H2018">
        <v>7.8911999999999996E-2</v>
      </c>
    </row>
    <row r="2019" spans="2:8">
      <c r="B2019" s="555" t="s">
        <v>2271</v>
      </c>
      <c r="C2019" s="555" t="str">
        <f>VLOOKUP(D2019,기본!$D$13:$E$74,2,0)</f>
        <v>코웨이</v>
      </c>
      <c r="D2019" t="s">
        <v>2010</v>
      </c>
      <c r="E2019" t="s">
        <v>2014</v>
      </c>
      <c r="F2019" t="s">
        <v>2014</v>
      </c>
      <c r="G2019" s="554">
        <v>7550</v>
      </c>
      <c r="H2019">
        <v>65.926600000000008</v>
      </c>
    </row>
    <row r="2020" spans="2:8">
      <c r="B2020" s="555" t="s">
        <v>2271</v>
      </c>
      <c r="C2020" s="555" t="str">
        <f>VLOOKUP(D2020,기본!$D$13:$E$74,2,0)</f>
        <v>코웨이</v>
      </c>
      <c r="D2020" t="s">
        <v>2010</v>
      </c>
      <c r="E2020" t="s">
        <v>1093</v>
      </c>
      <c r="F2020" t="s">
        <v>1093</v>
      </c>
      <c r="G2020" s="554">
        <v>15</v>
      </c>
      <c r="H2020">
        <v>8.9429999999999996E-2</v>
      </c>
    </row>
    <row r="2021" spans="2:8">
      <c r="B2021" s="555" t="s">
        <v>2271</v>
      </c>
      <c r="C2021" s="555" t="str">
        <f>VLOOKUP(D2021,기본!$D$13:$E$74,2,0)</f>
        <v>코웨이</v>
      </c>
      <c r="D2021" t="s">
        <v>2010</v>
      </c>
      <c r="E2021" t="s">
        <v>1094</v>
      </c>
      <c r="F2021" t="s">
        <v>1094</v>
      </c>
      <c r="G2021" s="554">
        <v>469</v>
      </c>
      <c r="H2021">
        <v>1.496089</v>
      </c>
    </row>
    <row r="2022" spans="2:8">
      <c r="B2022" s="555" t="s">
        <v>2271</v>
      </c>
      <c r="C2022" s="555" t="str">
        <f>VLOOKUP(D2022,기본!$D$13:$E$74,2,0)</f>
        <v>코웨이</v>
      </c>
      <c r="D2022" t="s">
        <v>2010</v>
      </c>
      <c r="E2022" t="s">
        <v>1095</v>
      </c>
      <c r="F2022" t="s">
        <v>1095</v>
      </c>
      <c r="G2022" s="554">
        <v>1682</v>
      </c>
      <c r="H2022">
        <v>10.152552</v>
      </c>
    </row>
    <row r="2023" spans="2:8">
      <c r="B2023" s="555" t="s">
        <v>2271</v>
      </c>
      <c r="C2023" s="555" t="str">
        <f>VLOOKUP(D2023,기본!$D$13:$E$74,2,0)</f>
        <v>코웨이</v>
      </c>
      <c r="D2023" t="s">
        <v>2010</v>
      </c>
      <c r="E2023" t="s">
        <v>2015</v>
      </c>
      <c r="F2023" t="s">
        <v>2015</v>
      </c>
      <c r="G2023" s="554">
        <v>5</v>
      </c>
      <c r="H2023">
        <v>6.4430000000000001E-2</v>
      </c>
    </row>
    <row r="2024" spans="2:8">
      <c r="B2024" s="555" t="s">
        <v>2271</v>
      </c>
      <c r="C2024" s="555" t="str">
        <f>VLOOKUP(D2024,기본!$D$13:$E$74,2,0)</f>
        <v>코웨이</v>
      </c>
      <c r="D2024" t="s">
        <v>2010</v>
      </c>
      <c r="E2024" t="s">
        <v>2197</v>
      </c>
      <c r="F2024" t="s">
        <v>2197</v>
      </c>
      <c r="G2024" s="554">
        <v>109</v>
      </c>
      <c r="H2024">
        <v>0.71961799999999998</v>
      </c>
    </row>
    <row r="2025" spans="2:8">
      <c r="B2025" s="555" t="s">
        <v>2271</v>
      </c>
      <c r="C2025" s="555" t="str">
        <f>VLOOKUP(D2025,기본!$D$13:$E$74,2,0)</f>
        <v>코웨이</v>
      </c>
      <c r="D2025" t="s">
        <v>2010</v>
      </c>
      <c r="E2025" t="s">
        <v>2016</v>
      </c>
      <c r="F2025" t="s">
        <v>2016</v>
      </c>
      <c r="G2025" s="554">
        <v>74</v>
      </c>
      <c r="H2025">
        <v>0.59082699999999999</v>
      </c>
    </row>
    <row r="2026" spans="2:8">
      <c r="B2026" s="555" t="s">
        <v>2271</v>
      </c>
      <c r="C2026" s="555" t="str">
        <f>VLOOKUP(D2026,기본!$D$13:$E$74,2,0)</f>
        <v>코웨이</v>
      </c>
      <c r="D2026" t="s">
        <v>2010</v>
      </c>
      <c r="E2026" t="s">
        <v>2228</v>
      </c>
      <c r="F2026" t="s">
        <v>2228</v>
      </c>
      <c r="G2026" s="554">
        <v>56</v>
      </c>
      <c r="H2026">
        <v>0.491232</v>
      </c>
    </row>
    <row r="2027" spans="2:8">
      <c r="B2027" s="555" t="s">
        <v>2271</v>
      </c>
      <c r="C2027" s="555" t="str">
        <f>VLOOKUP(D2027,기본!$D$13:$E$74,2,0)</f>
        <v>코웨이</v>
      </c>
      <c r="D2027" t="s">
        <v>2010</v>
      </c>
      <c r="E2027" t="s">
        <v>2229</v>
      </c>
      <c r="F2027" t="s">
        <v>2229</v>
      </c>
      <c r="G2027" s="554">
        <v>56</v>
      </c>
      <c r="H2027">
        <v>0.82264000000000004</v>
      </c>
    </row>
    <row r="2028" spans="2:8">
      <c r="B2028" s="555" t="s">
        <v>2271</v>
      </c>
      <c r="C2028" s="555" t="str">
        <f>VLOOKUP(D2028,기본!$D$13:$E$74,2,0)</f>
        <v>코웨이</v>
      </c>
      <c r="D2028" t="s">
        <v>2010</v>
      </c>
      <c r="E2028" t="s">
        <v>2149</v>
      </c>
      <c r="F2028" t="s">
        <v>2149</v>
      </c>
      <c r="G2028" s="554">
        <v>3</v>
      </c>
      <c r="H2028">
        <v>2.9909999999999999E-2</v>
      </c>
    </row>
    <row r="2029" spans="2:8">
      <c r="B2029" s="555" t="s">
        <v>2271</v>
      </c>
      <c r="C2029" s="555" t="str">
        <f>VLOOKUP(D2029,기본!$D$13:$E$74,2,0)</f>
        <v>코웨이</v>
      </c>
      <c r="D2029" t="s">
        <v>2010</v>
      </c>
      <c r="E2029" t="s">
        <v>2018</v>
      </c>
      <c r="F2029" t="s">
        <v>2018</v>
      </c>
      <c r="G2029" s="554">
        <v>200</v>
      </c>
      <c r="H2029">
        <v>2.5674000000000001</v>
      </c>
    </row>
    <row r="2030" spans="2:8">
      <c r="B2030" s="555" t="s">
        <v>2271</v>
      </c>
      <c r="C2030" s="555" t="str">
        <f>VLOOKUP(D2030,기본!$D$13:$E$74,2,0)</f>
        <v>코웨이</v>
      </c>
      <c r="D2030" t="s">
        <v>2010</v>
      </c>
      <c r="E2030" t="s">
        <v>2019</v>
      </c>
      <c r="F2030" t="s">
        <v>2019</v>
      </c>
      <c r="G2030" s="554">
        <v>800</v>
      </c>
      <c r="H2030">
        <v>13.228</v>
      </c>
    </row>
    <row r="2031" spans="2:8">
      <c r="B2031" s="555" t="s">
        <v>2271</v>
      </c>
      <c r="C2031" s="555" t="str">
        <f>VLOOKUP(D2031,기본!$D$13:$E$74,2,0)</f>
        <v>코웨이</v>
      </c>
      <c r="D2031" t="s">
        <v>2010</v>
      </c>
      <c r="E2031" t="s">
        <v>2020</v>
      </c>
      <c r="F2031" t="s">
        <v>2020</v>
      </c>
      <c r="G2031" s="554">
        <v>24</v>
      </c>
      <c r="H2031">
        <v>0.36998399999999998</v>
      </c>
    </row>
    <row r="2032" spans="2:8">
      <c r="B2032" s="555" t="s">
        <v>2271</v>
      </c>
      <c r="C2032" s="555" t="str">
        <f>VLOOKUP(D2032,기본!$D$13:$E$74,2,0)</f>
        <v>코웨이</v>
      </c>
      <c r="D2032" t="s">
        <v>2010</v>
      </c>
      <c r="E2032" t="s">
        <v>2021</v>
      </c>
      <c r="F2032" t="s">
        <v>2021</v>
      </c>
      <c r="G2032" s="554">
        <v>23370</v>
      </c>
      <c r="H2032">
        <v>301.83986400000003</v>
      </c>
    </row>
    <row r="2033" spans="2:8">
      <c r="B2033" s="555" t="s">
        <v>2271</v>
      </c>
      <c r="C2033" s="555" t="str">
        <f>VLOOKUP(D2033,기본!$D$13:$E$74,2,0)</f>
        <v>코웨이</v>
      </c>
      <c r="D2033" t="s">
        <v>2010</v>
      </c>
      <c r="E2033" t="s">
        <v>1542</v>
      </c>
      <c r="F2033" t="s">
        <v>1542</v>
      </c>
      <c r="G2033" s="554">
        <v>21</v>
      </c>
      <c r="H2033">
        <v>0.16401000000000002</v>
      </c>
    </row>
    <row r="2034" spans="2:8">
      <c r="B2034" s="555" t="s">
        <v>2271</v>
      </c>
      <c r="C2034" s="555" t="str">
        <f>VLOOKUP(D2034,기본!$D$13:$E$74,2,0)</f>
        <v>코웨이</v>
      </c>
      <c r="D2034" t="s">
        <v>2010</v>
      </c>
      <c r="E2034" t="s">
        <v>1544</v>
      </c>
      <c r="F2034" t="s">
        <v>1544</v>
      </c>
      <c r="G2034" s="554">
        <v>2550</v>
      </c>
      <c r="H2034">
        <v>16.692300000000003</v>
      </c>
    </row>
    <row r="2035" spans="2:8">
      <c r="B2035" s="555" t="s">
        <v>2271</v>
      </c>
      <c r="C2035" s="555" t="str">
        <f>VLOOKUP(D2035,기본!$D$13:$E$74,2,0)</f>
        <v>코웨이</v>
      </c>
      <c r="D2035" t="s">
        <v>2010</v>
      </c>
      <c r="E2035" t="s">
        <v>1545</v>
      </c>
      <c r="F2035" t="s">
        <v>1545</v>
      </c>
      <c r="G2035" s="554">
        <v>550</v>
      </c>
      <c r="H2035">
        <v>3.2736000000000001</v>
      </c>
    </row>
    <row r="2036" spans="2:8">
      <c r="B2036" s="555" t="s">
        <v>2271</v>
      </c>
      <c r="C2036" s="555" t="str">
        <f>VLOOKUP(D2036,기본!$D$13:$E$74,2,0)</f>
        <v>코웨이</v>
      </c>
      <c r="D2036" t="s">
        <v>2010</v>
      </c>
      <c r="E2036" t="s">
        <v>2022</v>
      </c>
      <c r="F2036" t="s">
        <v>2022</v>
      </c>
      <c r="G2036" s="554">
        <v>150</v>
      </c>
      <c r="H2036">
        <v>1.1692499999999999</v>
      </c>
    </row>
    <row r="2037" spans="2:8">
      <c r="B2037" s="555" t="s">
        <v>2271</v>
      </c>
      <c r="C2037" s="555" t="str">
        <f>VLOOKUP(D2037,기본!$D$13:$E$74,2,0)</f>
        <v>코웨이</v>
      </c>
      <c r="D2037" t="s">
        <v>2010</v>
      </c>
      <c r="E2037" t="s">
        <v>2023</v>
      </c>
      <c r="F2037" t="s">
        <v>2023</v>
      </c>
      <c r="G2037" s="554">
        <v>933</v>
      </c>
      <c r="H2037">
        <v>6.656955</v>
      </c>
    </row>
    <row r="2038" spans="2:8">
      <c r="B2038" s="555" t="s">
        <v>2271</v>
      </c>
      <c r="C2038" s="555" t="str">
        <f>VLOOKUP(D2038,기본!$D$13:$E$74,2,0)</f>
        <v>코웨이</v>
      </c>
      <c r="D2038" t="s">
        <v>2010</v>
      </c>
      <c r="E2038" t="s">
        <v>2024</v>
      </c>
      <c r="F2038" t="s">
        <v>2024</v>
      </c>
      <c r="G2038" s="554">
        <v>19</v>
      </c>
      <c r="H2038">
        <v>0.19207099999999999</v>
      </c>
    </row>
    <row r="2039" spans="2:8">
      <c r="B2039" s="555" t="s">
        <v>2271</v>
      </c>
      <c r="C2039" s="555" t="str">
        <f>VLOOKUP(D2039,기본!$D$13:$E$74,2,0)</f>
        <v>코웨이</v>
      </c>
      <c r="D2039" t="s">
        <v>2010</v>
      </c>
      <c r="E2039" t="s">
        <v>2025</v>
      </c>
      <c r="F2039" t="s">
        <v>2025</v>
      </c>
      <c r="G2039" s="554">
        <v>1152</v>
      </c>
      <c r="H2039">
        <v>10.327680000000001</v>
      </c>
    </row>
    <row r="2040" spans="2:8">
      <c r="B2040" s="555" t="s">
        <v>2271</v>
      </c>
      <c r="C2040" s="555" t="str">
        <f>VLOOKUP(D2040,기본!$D$13:$E$74,2,0)</f>
        <v>코웨이</v>
      </c>
      <c r="D2040" t="s">
        <v>2010</v>
      </c>
      <c r="E2040" t="s">
        <v>2026</v>
      </c>
      <c r="F2040" t="s">
        <v>2026</v>
      </c>
      <c r="G2040" s="554">
        <v>108</v>
      </c>
      <c r="H2040">
        <v>1.84032</v>
      </c>
    </row>
    <row r="2041" spans="2:8">
      <c r="B2041" s="555" t="s">
        <v>2271</v>
      </c>
      <c r="C2041" s="555" t="str">
        <f>VLOOKUP(D2041,기본!$D$13:$E$74,2,0)</f>
        <v>코웨이</v>
      </c>
      <c r="D2041" t="s">
        <v>2010</v>
      </c>
      <c r="E2041" t="s">
        <v>2027</v>
      </c>
      <c r="F2041" t="s">
        <v>2027</v>
      </c>
      <c r="G2041" s="554">
        <v>55</v>
      </c>
      <c r="H2041">
        <v>1.0670000000000002</v>
      </c>
    </row>
    <row r="2042" spans="2:8">
      <c r="B2042" s="555" t="s">
        <v>2271</v>
      </c>
      <c r="C2042" s="555" t="str">
        <f>VLOOKUP(D2042,기본!$D$13:$E$74,2,0)</f>
        <v>코웨이</v>
      </c>
      <c r="D2042" t="s">
        <v>2010</v>
      </c>
      <c r="E2042" t="s">
        <v>2028</v>
      </c>
      <c r="F2042" t="s">
        <v>2028</v>
      </c>
      <c r="G2042" s="554">
        <v>23</v>
      </c>
      <c r="H2042">
        <v>0.43469999999999998</v>
      </c>
    </row>
    <row r="2043" spans="2:8">
      <c r="B2043" s="555" t="s">
        <v>2271</v>
      </c>
      <c r="C2043" s="555" t="str">
        <f>VLOOKUP(D2043,기본!$D$13:$E$74,2,0)</f>
        <v>코웨이</v>
      </c>
      <c r="D2043" t="s">
        <v>2010</v>
      </c>
      <c r="E2043" t="s">
        <v>2029</v>
      </c>
      <c r="F2043" t="s">
        <v>2029</v>
      </c>
      <c r="G2043" s="554">
        <v>225</v>
      </c>
      <c r="H2043">
        <v>4.6320750000000004</v>
      </c>
    </row>
    <row r="2044" spans="2:8">
      <c r="B2044" s="555" t="s">
        <v>2271</v>
      </c>
      <c r="C2044" s="555" t="str">
        <f>VLOOKUP(D2044,기본!$D$13:$E$74,2,0)</f>
        <v>코웨이</v>
      </c>
      <c r="D2044" t="s">
        <v>2010</v>
      </c>
      <c r="E2044" t="s">
        <v>2030</v>
      </c>
      <c r="F2044" t="s">
        <v>2030</v>
      </c>
      <c r="G2044" s="554">
        <v>538</v>
      </c>
      <c r="H2044">
        <v>11.075806</v>
      </c>
    </row>
    <row r="2045" spans="2:8">
      <c r="B2045" s="555" t="s">
        <v>2271</v>
      </c>
      <c r="C2045" s="555" t="str">
        <f>VLOOKUP(D2045,기본!$D$13:$E$74,2,0)</f>
        <v>코웨이</v>
      </c>
      <c r="D2045" t="s">
        <v>2010</v>
      </c>
      <c r="E2045" t="s">
        <v>2032</v>
      </c>
      <c r="F2045" t="s">
        <v>2032</v>
      </c>
      <c r="G2045" s="554">
        <v>389</v>
      </c>
      <c r="H2045">
        <v>0.86278699999999997</v>
      </c>
    </row>
    <row r="2046" spans="2:8">
      <c r="B2046" s="555" t="s">
        <v>2271</v>
      </c>
      <c r="C2046" s="555" t="str">
        <f>VLOOKUP(D2046,기본!$D$13:$E$74,2,0)</f>
        <v>코웨이</v>
      </c>
      <c r="D2046" t="s">
        <v>2010</v>
      </c>
      <c r="E2046" t="s">
        <v>2033</v>
      </c>
      <c r="F2046" t="s">
        <v>2033</v>
      </c>
      <c r="G2046" s="554">
        <v>4575</v>
      </c>
      <c r="H2046">
        <v>29.336099999999998</v>
      </c>
    </row>
    <row r="2047" spans="2:8">
      <c r="B2047" s="555" t="s">
        <v>2271</v>
      </c>
      <c r="C2047" s="555" t="str">
        <f>VLOOKUP(D2047,기본!$D$13:$E$74,2,0)</f>
        <v>코웨이</v>
      </c>
      <c r="D2047" t="s">
        <v>2010</v>
      </c>
      <c r="E2047" t="s">
        <v>2034</v>
      </c>
      <c r="F2047" t="s">
        <v>2034</v>
      </c>
      <c r="G2047" s="554">
        <v>12195</v>
      </c>
      <c r="H2047">
        <v>187.71415999999996</v>
      </c>
    </row>
    <row r="2048" spans="2:8">
      <c r="B2048" s="555" t="s">
        <v>2271</v>
      </c>
      <c r="C2048" s="555" t="str">
        <f>VLOOKUP(D2048,기본!$D$13:$E$74,2,0)</f>
        <v>코웨이</v>
      </c>
      <c r="D2048" t="s">
        <v>2010</v>
      </c>
      <c r="E2048" t="s">
        <v>2035</v>
      </c>
      <c r="F2048" t="s">
        <v>2035</v>
      </c>
      <c r="G2048" s="554">
        <v>467</v>
      </c>
      <c r="H2048">
        <v>7.8293429999999997</v>
      </c>
    </row>
    <row r="2049" spans="2:8">
      <c r="B2049" s="555" t="s">
        <v>2271</v>
      </c>
      <c r="C2049" s="555" t="str">
        <f>VLOOKUP(D2049,기본!$D$13:$E$74,2,0)</f>
        <v>코웨이</v>
      </c>
      <c r="D2049" t="s">
        <v>2010</v>
      </c>
      <c r="E2049" t="s">
        <v>2249</v>
      </c>
      <c r="F2049" t="s">
        <v>2249</v>
      </c>
      <c r="G2049" s="554">
        <v>58</v>
      </c>
      <c r="H2049">
        <v>1.178096</v>
      </c>
    </row>
    <row r="2050" spans="2:8">
      <c r="B2050" s="555" t="s">
        <v>2271</v>
      </c>
      <c r="C2050" s="555" t="str">
        <f>VLOOKUP(D2050,기본!$D$13:$E$74,2,0)</f>
        <v>코웨이</v>
      </c>
      <c r="D2050" t="s">
        <v>2010</v>
      </c>
      <c r="E2050" t="s">
        <v>2036</v>
      </c>
      <c r="F2050" t="s">
        <v>2036</v>
      </c>
      <c r="G2050" s="554">
        <v>1500</v>
      </c>
      <c r="H2050">
        <v>22.988999999999997</v>
      </c>
    </row>
    <row r="2051" spans="2:8">
      <c r="B2051" s="555" t="s">
        <v>2271</v>
      </c>
      <c r="C2051" s="555" t="str">
        <f>VLOOKUP(D2051,기본!$D$13:$E$74,2,0)</f>
        <v>코웨이</v>
      </c>
      <c r="D2051" t="s">
        <v>2010</v>
      </c>
      <c r="E2051" t="s">
        <v>2037</v>
      </c>
      <c r="F2051" t="s">
        <v>2037</v>
      </c>
      <c r="G2051" s="554">
        <v>320</v>
      </c>
      <c r="H2051">
        <v>5.0063399999999998</v>
      </c>
    </row>
    <row r="2052" spans="2:8">
      <c r="B2052" s="555" t="s">
        <v>2271</v>
      </c>
      <c r="C2052" s="555" t="str">
        <f>VLOOKUP(D2052,기본!$D$13:$E$74,2,0)</f>
        <v>코웨이</v>
      </c>
      <c r="D2052" t="s">
        <v>2010</v>
      </c>
      <c r="E2052" t="s">
        <v>2038</v>
      </c>
      <c r="F2052" t="s">
        <v>2038</v>
      </c>
      <c r="G2052" s="554">
        <v>250</v>
      </c>
      <c r="H2052">
        <v>3.9727499999999996</v>
      </c>
    </row>
    <row r="2053" spans="2:8">
      <c r="B2053" s="555" t="s">
        <v>2271</v>
      </c>
      <c r="C2053" s="555" t="str">
        <f>VLOOKUP(D2053,기본!$D$13:$E$74,2,0)</f>
        <v>코웨이</v>
      </c>
      <c r="D2053" t="s">
        <v>2010</v>
      </c>
      <c r="E2053" t="s">
        <v>2041</v>
      </c>
      <c r="F2053" t="s">
        <v>2041</v>
      </c>
      <c r="G2053" s="554">
        <v>1213</v>
      </c>
      <c r="H2053">
        <v>19.861661999999995</v>
      </c>
    </row>
    <row r="2054" spans="2:8">
      <c r="B2054" s="555" t="s">
        <v>2271</v>
      </c>
      <c r="C2054" s="555" t="str">
        <f>VLOOKUP(D2054,기본!$D$13:$E$74,2,0)</f>
        <v>코웨이</v>
      </c>
      <c r="D2054" t="s">
        <v>2010</v>
      </c>
      <c r="E2054" t="s">
        <v>1089</v>
      </c>
      <c r="F2054" t="s">
        <v>1089</v>
      </c>
      <c r="G2054" s="554">
        <v>1503</v>
      </c>
      <c r="H2054">
        <v>16.859504999999999</v>
      </c>
    </row>
    <row r="2055" spans="2:8">
      <c r="B2055" s="555" t="s">
        <v>2271</v>
      </c>
      <c r="C2055" s="555" t="str">
        <f>VLOOKUP(D2055,기본!$D$13:$E$74,2,0)</f>
        <v>코웨이</v>
      </c>
      <c r="D2055" t="s">
        <v>2010</v>
      </c>
      <c r="E2055" t="s">
        <v>2042</v>
      </c>
      <c r="F2055" t="s">
        <v>2042</v>
      </c>
      <c r="G2055" s="554">
        <v>6</v>
      </c>
      <c r="H2055">
        <v>4.4333999999999998E-2</v>
      </c>
    </row>
    <row r="2056" spans="2:8">
      <c r="B2056" s="555" t="s">
        <v>2271</v>
      </c>
      <c r="C2056" s="555" t="str">
        <f>VLOOKUP(D2056,기본!$D$13:$E$74,2,0)</f>
        <v>코웨이</v>
      </c>
      <c r="D2056" t="s">
        <v>2010</v>
      </c>
      <c r="E2056" t="s">
        <v>2043</v>
      </c>
      <c r="F2056" t="s">
        <v>2043</v>
      </c>
      <c r="G2056" s="554">
        <v>1070</v>
      </c>
      <c r="H2056">
        <v>8.9526900000000005</v>
      </c>
    </row>
    <row r="2057" spans="2:8">
      <c r="B2057" s="555" t="s">
        <v>2271</v>
      </c>
      <c r="C2057" s="555" t="str">
        <f>VLOOKUP(D2057,기본!$D$13:$E$74,2,0)</f>
        <v>코웨이</v>
      </c>
      <c r="D2057" t="s">
        <v>2010</v>
      </c>
      <c r="E2057" t="s">
        <v>2044</v>
      </c>
      <c r="F2057" t="s">
        <v>2044</v>
      </c>
      <c r="G2057" s="554">
        <v>186</v>
      </c>
      <c r="H2057">
        <v>3.047784</v>
      </c>
    </row>
    <row r="2058" spans="2:8">
      <c r="B2058" s="555" t="s">
        <v>2271</v>
      </c>
      <c r="C2058" s="555" t="str">
        <f>VLOOKUP(D2058,기본!$D$13:$E$74,2,0)</f>
        <v>코웨이</v>
      </c>
      <c r="D2058" t="s">
        <v>2010</v>
      </c>
      <c r="E2058" t="s">
        <v>2045</v>
      </c>
      <c r="F2058" t="s">
        <v>2045</v>
      </c>
      <c r="G2058" s="554">
        <v>31</v>
      </c>
      <c r="H2058">
        <v>0.52504700000000004</v>
      </c>
    </row>
    <row r="2059" spans="2:8">
      <c r="B2059" s="555" t="s">
        <v>2271</v>
      </c>
      <c r="C2059" s="555" t="str">
        <f>VLOOKUP(D2059,기본!$D$13:$E$74,2,0)</f>
        <v>코웨이</v>
      </c>
      <c r="D2059" t="s">
        <v>2010</v>
      </c>
      <c r="E2059" t="s">
        <v>2046</v>
      </c>
      <c r="F2059" t="s">
        <v>2046</v>
      </c>
      <c r="G2059" s="554">
        <v>475</v>
      </c>
      <c r="H2059">
        <v>7.4346000000000005</v>
      </c>
    </row>
    <row r="2060" spans="2:8">
      <c r="B2060" s="555" t="s">
        <v>2271</v>
      </c>
      <c r="C2060" s="555" t="str">
        <f>VLOOKUP(D2060,기본!$D$13:$E$74,2,0)</f>
        <v>코웨이</v>
      </c>
      <c r="D2060" t="s">
        <v>2010</v>
      </c>
      <c r="E2060" t="s">
        <v>2049</v>
      </c>
      <c r="F2060" t="s">
        <v>2049</v>
      </c>
      <c r="G2060" s="554">
        <v>10</v>
      </c>
      <c r="H2060">
        <v>0.24031</v>
      </c>
    </row>
    <row r="2061" spans="2:8">
      <c r="B2061" s="555" t="s">
        <v>2271</v>
      </c>
      <c r="C2061" s="555" t="str">
        <f>VLOOKUP(D2061,기본!$D$13:$E$74,2,0)</f>
        <v>코웨이</v>
      </c>
      <c r="D2061" t="s">
        <v>2010</v>
      </c>
      <c r="E2061" t="s">
        <v>1215</v>
      </c>
      <c r="F2061" t="s">
        <v>1215</v>
      </c>
      <c r="G2061" s="554">
        <v>433</v>
      </c>
      <c r="H2061">
        <v>13.304017</v>
      </c>
    </row>
    <row r="2062" spans="2:8">
      <c r="B2062" s="555" t="s">
        <v>2271</v>
      </c>
      <c r="C2062" s="555" t="str">
        <f>VLOOKUP(D2062,기본!$D$13:$E$74,2,0)</f>
        <v>코웨이</v>
      </c>
      <c r="D2062" t="s">
        <v>2010</v>
      </c>
      <c r="E2062" t="s">
        <v>1216</v>
      </c>
      <c r="F2062" t="s">
        <v>1216</v>
      </c>
      <c r="G2062" s="554">
        <v>50</v>
      </c>
      <c r="H2062">
        <v>1.2908500000000001</v>
      </c>
    </row>
    <row r="2063" spans="2:8">
      <c r="B2063" s="555" t="s">
        <v>2271</v>
      </c>
      <c r="C2063" s="555" t="str">
        <f>VLOOKUP(D2063,기본!$D$13:$E$74,2,0)</f>
        <v>코웨이</v>
      </c>
      <c r="D2063" t="s">
        <v>2010</v>
      </c>
      <c r="E2063" t="s">
        <v>2050</v>
      </c>
      <c r="F2063" t="s">
        <v>2050</v>
      </c>
      <c r="G2063" s="554">
        <v>18</v>
      </c>
      <c r="H2063">
        <v>0.43666199999999999</v>
      </c>
    </row>
    <row r="2064" spans="2:8">
      <c r="B2064" s="555" t="s">
        <v>2271</v>
      </c>
      <c r="C2064" s="555" t="str">
        <f>VLOOKUP(D2064,기본!$D$13:$E$74,2,0)</f>
        <v>코웨이</v>
      </c>
      <c r="D2064" t="s">
        <v>2010</v>
      </c>
      <c r="E2064" t="s">
        <v>2051</v>
      </c>
      <c r="F2064" t="s">
        <v>2051</v>
      </c>
      <c r="G2064" s="554">
        <v>1788</v>
      </c>
      <c r="H2064">
        <v>43.266323999999997</v>
      </c>
    </row>
    <row r="2065" spans="2:8">
      <c r="B2065" s="555" t="s">
        <v>2271</v>
      </c>
      <c r="C2065" s="555" t="str">
        <f>VLOOKUP(D2065,기본!$D$13:$E$74,2,0)</f>
        <v>코웨이</v>
      </c>
      <c r="D2065" t="s">
        <v>2010</v>
      </c>
      <c r="E2065" t="s">
        <v>2052</v>
      </c>
      <c r="F2065" t="s">
        <v>2052</v>
      </c>
      <c r="G2065" s="554">
        <v>240</v>
      </c>
      <c r="H2065">
        <v>5.5296000000000003</v>
      </c>
    </row>
    <row r="2066" spans="2:8">
      <c r="B2066" s="555" t="s">
        <v>2271</v>
      </c>
      <c r="C2066" s="555" t="str">
        <f>VLOOKUP(D2066,기본!$D$13:$E$74,2,0)</f>
        <v>코웨이</v>
      </c>
      <c r="D2066" t="s">
        <v>2010</v>
      </c>
      <c r="E2066" t="s">
        <v>2053</v>
      </c>
      <c r="F2066" t="s">
        <v>2053</v>
      </c>
      <c r="G2066" s="554">
        <v>150</v>
      </c>
      <c r="H2066">
        <v>3.9441000000000002</v>
      </c>
    </row>
    <row r="2067" spans="2:8">
      <c r="B2067" s="555" t="s">
        <v>2271</v>
      </c>
      <c r="C2067" s="555" t="str">
        <f>VLOOKUP(D2067,기본!$D$13:$E$74,2,0)</f>
        <v>코웨이</v>
      </c>
      <c r="D2067" t="s">
        <v>2010</v>
      </c>
      <c r="E2067" t="s">
        <v>1217</v>
      </c>
      <c r="F2067" t="s">
        <v>1217</v>
      </c>
      <c r="G2067" s="554">
        <v>36</v>
      </c>
      <c r="H2067">
        <v>1.140768</v>
      </c>
    </row>
    <row r="2068" spans="2:8">
      <c r="B2068" s="555" t="s">
        <v>2271</v>
      </c>
      <c r="C2068" s="555" t="str">
        <f>VLOOKUP(D2068,기본!$D$13:$E$74,2,0)</f>
        <v>코웨이</v>
      </c>
      <c r="D2068" t="s">
        <v>2010</v>
      </c>
      <c r="E2068" t="s">
        <v>2054</v>
      </c>
      <c r="F2068" t="s">
        <v>2054</v>
      </c>
      <c r="G2068" s="554">
        <v>14</v>
      </c>
      <c r="H2068">
        <v>0.442106</v>
      </c>
    </row>
    <row r="2069" spans="2:8">
      <c r="B2069" s="555" t="s">
        <v>2271</v>
      </c>
      <c r="C2069" s="555" t="str">
        <f>VLOOKUP(D2069,기본!$D$13:$E$74,2,0)</f>
        <v>코웨이</v>
      </c>
      <c r="D2069" t="s">
        <v>2010</v>
      </c>
      <c r="E2069" t="s">
        <v>2056</v>
      </c>
      <c r="F2069" t="s">
        <v>2056</v>
      </c>
      <c r="G2069" s="554">
        <v>14</v>
      </c>
      <c r="H2069">
        <v>0.25174800000000003</v>
      </c>
    </row>
    <row r="2070" spans="2:8">
      <c r="B2070" s="555" t="s">
        <v>2271</v>
      </c>
      <c r="C2070" s="555" t="str">
        <f>VLOOKUP(D2070,기본!$D$13:$E$74,2,0)</f>
        <v>코웨이</v>
      </c>
      <c r="D2070" t="s">
        <v>2010</v>
      </c>
      <c r="E2070" t="s">
        <v>2057</v>
      </c>
      <c r="F2070" t="s">
        <v>2057</v>
      </c>
      <c r="G2070" s="554">
        <v>15</v>
      </c>
      <c r="H2070">
        <v>0.45736500000000002</v>
      </c>
    </row>
    <row r="2071" spans="2:8">
      <c r="B2071" s="555" t="s">
        <v>2271</v>
      </c>
      <c r="C2071" s="555" t="str">
        <f>VLOOKUP(D2071,기본!$D$13:$E$74,2,0)</f>
        <v>코웨이</v>
      </c>
      <c r="D2071" t="s">
        <v>2010</v>
      </c>
      <c r="E2071" t="s">
        <v>1328</v>
      </c>
      <c r="F2071" t="s">
        <v>1328</v>
      </c>
      <c r="G2071" s="554">
        <v>3</v>
      </c>
      <c r="H2071">
        <v>1.1142000000000001E-2</v>
      </c>
    </row>
    <row r="2072" spans="2:8">
      <c r="B2072" s="555" t="s">
        <v>2271</v>
      </c>
      <c r="C2072" s="555" t="str">
        <f>VLOOKUP(D2072,기본!$D$13:$E$74,2,0)</f>
        <v>코웨이</v>
      </c>
      <c r="D2072" t="s">
        <v>2010</v>
      </c>
      <c r="E2072" t="s">
        <v>1327</v>
      </c>
      <c r="F2072" t="s">
        <v>1327</v>
      </c>
      <c r="G2072" s="554">
        <v>36</v>
      </c>
      <c r="H2072">
        <v>0.39661200000000002</v>
      </c>
    </row>
    <row r="2073" spans="2:8">
      <c r="B2073" s="555" t="s">
        <v>2271</v>
      </c>
      <c r="C2073" s="555" t="str">
        <f>VLOOKUP(D2073,기본!$D$13:$E$74,2,0)</f>
        <v>코웨이</v>
      </c>
      <c r="D2073" t="s">
        <v>2010</v>
      </c>
      <c r="E2073" t="s">
        <v>1325</v>
      </c>
      <c r="F2073" t="s">
        <v>1325</v>
      </c>
      <c r="G2073" s="554">
        <v>32</v>
      </c>
      <c r="H2073">
        <v>1.0964800000000001</v>
      </c>
    </row>
    <row r="2074" spans="2:8">
      <c r="B2074" s="555" t="s">
        <v>2271</v>
      </c>
      <c r="C2074" s="555" t="str">
        <f>VLOOKUP(D2074,기본!$D$13:$E$74,2,0)</f>
        <v>코웨이</v>
      </c>
      <c r="D2074" t="s">
        <v>2010</v>
      </c>
      <c r="E2074" t="s">
        <v>1326</v>
      </c>
      <c r="F2074" t="s">
        <v>1326</v>
      </c>
      <c r="G2074" s="554">
        <v>8</v>
      </c>
      <c r="H2074">
        <v>0.26873599999999997</v>
      </c>
    </row>
    <row r="2075" spans="2:8">
      <c r="B2075" s="555" t="s">
        <v>2271</v>
      </c>
      <c r="C2075" s="555" t="str">
        <f>VLOOKUP(D2075,기본!$D$13:$E$74,2,0)</f>
        <v>코웨이</v>
      </c>
      <c r="D2075" t="s">
        <v>2010</v>
      </c>
      <c r="E2075" t="s">
        <v>2078</v>
      </c>
      <c r="F2075" t="s">
        <v>2078</v>
      </c>
      <c r="G2075" s="554">
        <v>8</v>
      </c>
      <c r="H2075">
        <v>0.29780000000000001</v>
      </c>
    </row>
    <row r="2076" spans="2:8">
      <c r="B2076" s="555" t="s">
        <v>2271</v>
      </c>
      <c r="C2076" s="555" t="str">
        <f>VLOOKUP(D2076,기본!$D$13:$E$74,2,0)</f>
        <v>코웨이</v>
      </c>
      <c r="D2076" t="s">
        <v>2010</v>
      </c>
      <c r="E2076" t="s">
        <v>2059</v>
      </c>
      <c r="F2076" t="s">
        <v>2059</v>
      </c>
      <c r="G2076" s="554">
        <v>251</v>
      </c>
      <c r="H2076">
        <v>9.3640570000000007</v>
      </c>
    </row>
    <row r="2077" spans="2:8">
      <c r="B2077" s="555" t="s">
        <v>2271</v>
      </c>
      <c r="C2077" s="555" t="str">
        <f>VLOOKUP(D2077,기본!$D$13:$E$74,2,0)</f>
        <v>코웨이</v>
      </c>
      <c r="D2077" t="s">
        <v>2010</v>
      </c>
      <c r="E2077" t="s">
        <v>1071</v>
      </c>
      <c r="F2077" t="s">
        <v>1071</v>
      </c>
      <c r="G2077" s="554">
        <v>105</v>
      </c>
      <c r="H2077">
        <v>0.18690000000000001</v>
      </c>
    </row>
    <row r="2078" spans="2:8">
      <c r="B2078" s="555" t="s">
        <v>2271</v>
      </c>
      <c r="C2078" s="555" t="str">
        <f>VLOOKUP(D2078,기본!$D$13:$E$74,2,0)</f>
        <v>코웨이</v>
      </c>
      <c r="D2078" t="s">
        <v>2010</v>
      </c>
      <c r="E2078" t="s">
        <v>2155</v>
      </c>
      <c r="F2078" t="s">
        <v>2155</v>
      </c>
      <c r="G2078" s="554">
        <v>144</v>
      </c>
      <c r="H2078">
        <v>0.82079999999999997</v>
      </c>
    </row>
    <row r="2079" spans="2:8">
      <c r="B2079" s="555" t="s">
        <v>2271</v>
      </c>
      <c r="C2079" s="555" t="str">
        <f>VLOOKUP(D2079,기본!$D$13:$E$74,2,0)</f>
        <v>코웨이</v>
      </c>
      <c r="D2079" t="s">
        <v>2010</v>
      </c>
      <c r="E2079" t="s">
        <v>1069</v>
      </c>
      <c r="F2079" t="s">
        <v>1069</v>
      </c>
      <c r="G2079" s="554">
        <v>150</v>
      </c>
      <c r="H2079">
        <v>0.83460000000000001</v>
      </c>
    </row>
    <row r="2080" spans="2:8">
      <c r="B2080" s="555" t="s">
        <v>2271</v>
      </c>
      <c r="C2080" s="555" t="str">
        <f>VLOOKUP(D2080,기본!$D$13:$E$74,2,0)</f>
        <v>코웨이</v>
      </c>
      <c r="D2080" t="s">
        <v>2010</v>
      </c>
      <c r="E2080" t="s">
        <v>2061</v>
      </c>
      <c r="F2080" t="s">
        <v>2061</v>
      </c>
      <c r="G2080" s="554">
        <v>16</v>
      </c>
      <c r="H2080">
        <v>9.9535999999999999E-2</v>
      </c>
    </row>
    <row r="2081" spans="2:8">
      <c r="B2081" s="555" t="s">
        <v>2271</v>
      </c>
      <c r="C2081" s="555" t="str">
        <f>VLOOKUP(D2081,기본!$D$13:$E$74,2,0)</f>
        <v>코웨이</v>
      </c>
      <c r="D2081" t="s">
        <v>2010</v>
      </c>
      <c r="E2081" t="s">
        <v>2062</v>
      </c>
      <c r="F2081" t="s">
        <v>2062</v>
      </c>
      <c r="G2081" s="554">
        <v>2260</v>
      </c>
      <c r="H2081">
        <v>13.449200000000001</v>
      </c>
    </row>
    <row r="2082" spans="2:8">
      <c r="B2082" s="555" t="s">
        <v>2271</v>
      </c>
      <c r="C2082" s="555" t="str">
        <f>VLOOKUP(D2082,기본!$D$13:$E$74,2,0)</f>
        <v>코웨이</v>
      </c>
      <c r="D2082" t="s">
        <v>2010</v>
      </c>
      <c r="E2082" t="s">
        <v>2063</v>
      </c>
      <c r="F2082" t="s">
        <v>2063</v>
      </c>
      <c r="G2082" s="554">
        <v>290</v>
      </c>
      <c r="H2082">
        <v>1.6837399999999998</v>
      </c>
    </row>
    <row r="2083" spans="2:8">
      <c r="B2083" s="555" t="s">
        <v>2271</v>
      </c>
      <c r="C2083" s="555" t="str">
        <f>VLOOKUP(D2083,기본!$D$13:$E$74,2,0)</f>
        <v>코웨이</v>
      </c>
      <c r="D2083" t="s">
        <v>2010</v>
      </c>
      <c r="E2083" t="s">
        <v>2064</v>
      </c>
      <c r="F2083" t="s">
        <v>2064</v>
      </c>
      <c r="G2083" s="554">
        <v>106</v>
      </c>
      <c r="H2083">
        <v>4.1535679999999999</v>
      </c>
    </row>
    <row r="2084" spans="2:8">
      <c r="B2084" s="555" t="s">
        <v>2271</v>
      </c>
      <c r="C2084" s="555" t="str">
        <f>VLOOKUP(D2084,기본!$D$13:$E$74,2,0)</f>
        <v>코웨이</v>
      </c>
      <c r="D2084" t="s">
        <v>2010</v>
      </c>
      <c r="E2084" t="s">
        <v>2065</v>
      </c>
      <c r="F2084" t="s">
        <v>2065</v>
      </c>
      <c r="G2084" s="554">
        <v>3</v>
      </c>
      <c r="H2084">
        <v>3.2382000000000001E-2</v>
      </c>
    </row>
    <row r="2085" spans="2:8">
      <c r="B2085" s="555" t="s">
        <v>2271</v>
      </c>
      <c r="C2085" s="555" t="str">
        <f>VLOOKUP(D2085,기본!$D$13:$E$74,2,0)</f>
        <v>코웨이</v>
      </c>
      <c r="D2085" t="s">
        <v>2010</v>
      </c>
      <c r="E2085" t="s">
        <v>1289</v>
      </c>
      <c r="F2085" t="s">
        <v>1289</v>
      </c>
      <c r="G2085" s="554">
        <v>38</v>
      </c>
      <c r="H2085">
        <v>0.31798399999999999</v>
      </c>
    </row>
    <row r="2086" spans="2:8">
      <c r="B2086" s="555" t="s">
        <v>2271</v>
      </c>
      <c r="C2086" s="555" t="str">
        <f>VLOOKUP(D2086,기본!$D$13:$E$74,2,0)</f>
        <v>코웨이</v>
      </c>
      <c r="D2086" t="s">
        <v>2010</v>
      </c>
      <c r="E2086" t="s">
        <v>1275</v>
      </c>
      <c r="F2086" t="s">
        <v>1275</v>
      </c>
      <c r="G2086" s="554">
        <v>1714</v>
      </c>
      <c r="H2086">
        <v>13.23718</v>
      </c>
    </row>
    <row r="2087" spans="2:8">
      <c r="B2087" s="555" t="s">
        <v>2271</v>
      </c>
      <c r="C2087" s="555" t="str">
        <f>VLOOKUP(D2087,기본!$D$13:$E$74,2,0)</f>
        <v>코웨이</v>
      </c>
      <c r="D2087" t="s">
        <v>2010</v>
      </c>
      <c r="E2087" t="s">
        <v>2066</v>
      </c>
      <c r="F2087" t="s">
        <v>2066</v>
      </c>
      <c r="G2087" s="554">
        <v>173</v>
      </c>
      <c r="H2087">
        <v>1.3755230000000001</v>
      </c>
    </row>
    <row r="2088" spans="2:8">
      <c r="B2088" s="555" t="s">
        <v>2271</v>
      </c>
      <c r="C2088" s="555" t="str">
        <f>VLOOKUP(D2088,기본!$D$13:$E$74,2,0)</f>
        <v>코웨이</v>
      </c>
      <c r="D2088" t="s">
        <v>2010</v>
      </c>
      <c r="E2088" t="s">
        <v>229</v>
      </c>
      <c r="F2088" t="s">
        <v>229</v>
      </c>
      <c r="G2088" s="554">
        <v>0</v>
      </c>
      <c r="H2088">
        <v>1.79392</v>
      </c>
    </row>
    <row r="2089" spans="2:8">
      <c r="B2089" s="555" t="s">
        <v>2271</v>
      </c>
      <c r="C2089" s="555" t="str">
        <f>VLOOKUP(D2089,기본!$D$13:$E$74,2,0)</f>
        <v>코웨이</v>
      </c>
      <c r="D2089" t="s">
        <v>2067</v>
      </c>
      <c r="E2089" t="s">
        <v>1186</v>
      </c>
      <c r="F2089" t="s">
        <v>1186</v>
      </c>
      <c r="G2089" s="554">
        <v>276</v>
      </c>
      <c r="H2089">
        <v>6.5748479999999994</v>
      </c>
    </row>
    <row r="2090" spans="2:8">
      <c r="B2090" s="555" t="s">
        <v>2271</v>
      </c>
      <c r="C2090" s="555" t="str">
        <f>VLOOKUP(D2090,기본!$D$13:$E$74,2,0)</f>
        <v>코웨이</v>
      </c>
      <c r="D2090" t="s">
        <v>2067</v>
      </c>
      <c r="E2090" t="s">
        <v>2015</v>
      </c>
      <c r="F2090" t="s">
        <v>2015</v>
      </c>
      <c r="G2090" s="554">
        <v>1244</v>
      </c>
      <c r="H2090">
        <v>14.465232</v>
      </c>
    </row>
    <row r="2091" spans="2:8">
      <c r="B2091" s="555" t="s">
        <v>2271</v>
      </c>
      <c r="C2091" s="555" t="str">
        <f>VLOOKUP(D2091,기본!$D$13:$E$74,2,0)</f>
        <v>코웨이</v>
      </c>
      <c r="D2091" t="s">
        <v>2067</v>
      </c>
      <c r="E2091" t="s">
        <v>2016</v>
      </c>
      <c r="F2091" t="s">
        <v>2016</v>
      </c>
      <c r="G2091" s="554">
        <v>8466</v>
      </c>
      <c r="H2091">
        <v>64.008875999999987</v>
      </c>
    </row>
    <row r="2092" spans="2:8">
      <c r="B2092" s="555" t="s">
        <v>2271</v>
      </c>
      <c r="C2092" s="555" t="str">
        <f>VLOOKUP(D2092,기본!$D$13:$E$74,2,0)</f>
        <v>코웨이</v>
      </c>
      <c r="D2092" t="s">
        <v>2067</v>
      </c>
      <c r="E2092" t="s">
        <v>2156</v>
      </c>
      <c r="F2092" t="s">
        <v>2156</v>
      </c>
      <c r="G2092" s="554">
        <v>240</v>
      </c>
      <c r="H2092">
        <v>4.1592000000000002</v>
      </c>
    </row>
    <row r="2093" spans="2:8">
      <c r="B2093" s="555" t="s">
        <v>2271</v>
      </c>
      <c r="C2093" s="555" t="str">
        <f>VLOOKUP(D2093,기본!$D$13:$E$74,2,0)</f>
        <v>코웨이</v>
      </c>
      <c r="D2093" t="s">
        <v>2067</v>
      </c>
      <c r="E2093" t="s">
        <v>2068</v>
      </c>
      <c r="F2093" t="s">
        <v>2068</v>
      </c>
      <c r="G2093" s="554">
        <v>850</v>
      </c>
      <c r="H2093">
        <v>14.585150000000001</v>
      </c>
    </row>
    <row r="2094" spans="2:8">
      <c r="B2094" s="555" t="s">
        <v>2271</v>
      </c>
      <c r="C2094" s="555" t="str">
        <f>VLOOKUP(D2094,기본!$D$13:$E$74,2,0)</f>
        <v>코웨이</v>
      </c>
      <c r="D2094" t="s">
        <v>2067</v>
      </c>
      <c r="E2094" t="s">
        <v>2069</v>
      </c>
      <c r="F2094" t="s">
        <v>2069</v>
      </c>
      <c r="G2094" s="554">
        <v>200</v>
      </c>
      <c r="H2094">
        <v>3.4851999999999999</v>
      </c>
    </row>
    <row r="2095" spans="2:8">
      <c r="B2095" s="555" t="s">
        <v>2271</v>
      </c>
      <c r="C2095" s="555" t="str">
        <f>VLOOKUP(D2095,기본!$D$13:$E$74,2,0)</f>
        <v>코웨이</v>
      </c>
      <c r="D2095" t="s">
        <v>2067</v>
      </c>
      <c r="E2095" t="s">
        <v>2020</v>
      </c>
      <c r="F2095" t="s">
        <v>2020</v>
      </c>
      <c r="G2095" s="554">
        <v>601</v>
      </c>
      <c r="H2095">
        <v>7.9842849999999999</v>
      </c>
    </row>
    <row r="2096" spans="2:8">
      <c r="B2096" s="555" t="s">
        <v>2271</v>
      </c>
      <c r="C2096" s="555" t="str">
        <f>VLOOKUP(D2096,기본!$D$13:$E$74,2,0)</f>
        <v>코웨이</v>
      </c>
      <c r="D2096" t="s">
        <v>2067</v>
      </c>
      <c r="E2096" t="s">
        <v>2200</v>
      </c>
      <c r="F2096" t="s">
        <v>2200</v>
      </c>
      <c r="G2096" s="554">
        <v>1060</v>
      </c>
      <c r="H2096">
        <v>36.967500000000001</v>
      </c>
    </row>
    <row r="2097" spans="2:8">
      <c r="B2097" s="555" t="s">
        <v>2271</v>
      </c>
      <c r="C2097" s="555" t="str">
        <f>VLOOKUP(D2097,기본!$D$13:$E$74,2,0)</f>
        <v>코웨이</v>
      </c>
      <c r="D2097" t="s">
        <v>2067</v>
      </c>
      <c r="E2097" t="s">
        <v>2201</v>
      </c>
      <c r="F2097" t="s">
        <v>2201</v>
      </c>
      <c r="G2097" s="554">
        <v>1060</v>
      </c>
      <c r="H2097">
        <v>10.75264</v>
      </c>
    </row>
    <row r="2098" spans="2:8">
      <c r="B2098" s="555" t="s">
        <v>2271</v>
      </c>
      <c r="C2098" s="555" t="str">
        <f>VLOOKUP(D2098,기본!$D$13:$E$74,2,0)</f>
        <v>코웨이</v>
      </c>
      <c r="D2098" t="s">
        <v>2067</v>
      </c>
      <c r="E2098" t="s">
        <v>2269</v>
      </c>
      <c r="F2098" t="s">
        <v>2269</v>
      </c>
      <c r="G2098" s="554">
        <v>470</v>
      </c>
      <c r="H2098">
        <v>7.2177899999999999</v>
      </c>
    </row>
    <row r="2099" spans="2:8">
      <c r="B2099" s="555" t="s">
        <v>2271</v>
      </c>
      <c r="C2099" s="555" t="str">
        <f>VLOOKUP(D2099,기본!$D$13:$E$74,2,0)</f>
        <v>코웨이</v>
      </c>
      <c r="D2099" t="s">
        <v>2067</v>
      </c>
      <c r="E2099" t="s">
        <v>1544</v>
      </c>
      <c r="F2099" t="s">
        <v>1544</v>
      </c>
      <c r="G2099" s="554">
        <v>2166</v>
      </c>
      <c r="H2099">
        <v>14.178636000000001</v>
      </c>
    </row>
    <row r="2100" spans="2:8">
      <c r="B2100" s="555" t="s">
        <v>2271</v>
      </c>
      <c r="C2100" s="555" t="str">
        <f>VLOOKUP(D2100,기본!$D$13:$E$74,2,0)</f>
        <v>코웨이</v>
      </c>
      <c r="D2100" t="s">
        <v>2067</v>
      </c>
      <c r="E2100" t="s">
        <v>1545</v>
      </c>
      <c r="F2100" t="s">
        <v>1545</v>
      </c>
      <c r="G2100" s="554">
        <v>748</v>
      </c>
      <c r="H2100">
        <v>4.4520960000000001</v>
      </c>
    </row>
    <row r="2101" spans="2:8">
      <c r="B2101" s="555" t="s">
        <v>2271</v>
      </c>
      <c r="C2101" s="555" t="str">
        <f>VLOOKUP(D2101,기본!$D$13:$E$74,2,0)</f>
        <v>코웨이</v>
      </c>
      <c r="D2101" t="s">
        <v>2067</v>
      </c>
      <c r="E2101" t="s">
        <v>2270</v>
      </c>
      <c r="F2101" t="s">
        <v>2270</v>
      </c>
      <c r="G2101" s="554">
        <v>105</v>
      </c>
      <c r="H2101">
        <v>0.85564499999999999</v>
      </c>
    </row>
    <row r="2102" spans="2:8">
      <c r="B2102" s="555" t="s">
        <v>2271</v>
      </c>
      <c r="C2102" s="555" t="str">
        <f>VLOOKUP(D2102,기본!$D$13:$E$74,2,0)</f>
        <v>코웨이</v>
      </c>
      <c r="D2102" t="s">
        <v>2067</v>
      </c>
      <c r="E2102" t="s">
        <v>912</v>
      </c>
      <c r="F2102" t="s">
        <v>912</v>
      </c>
      <c r="G2102" s="554">
        <v>8356</v>
      </c>
      <c r="H2102">
        <v>53.548572</v>
      </c>
    </row>
    <row r="2103" spans="2:8">
      <c r="B2103" s="555" t="s">
        <v>2271</v>
      </c>
      <c r="C2103" s="555" t="str">
        <f>VLOOKUP(D2103,기본!$D$13:$E$74,2,0)</f>
        <v>코웨이</v>
      </c>
      <c r="D2103" t="s">
        <v>2067</v>
      </c>
      <c r="E2103" t="s">
        <v>913</v>
      </c>
      <c r="F2103" t="s">
        <v>913</v>
      </c>
      <c r="G2103" s="554">
        <v>360</v>
      </c>
      <c r="H2103">
        <v>6.6657599999999997</v>
      </c>
    </row>
    <row r="2104" spans="2:8">
      <c r="B2104" s="555" t="s">
        <v>2271</v>
      </c>
      <c r="C2104" s="555" t="str">
        <f>VLOOKUP(D2104,기본!$D$13:$E$74,2,0)</f>
        <v>코웨이</v>
      </c>
      <c r="D2104" t="s">
        <v>2067</v>
      </c>
      <c r="E2104" t="s">
        <v>2070</v>
      </c>
      <c r="F2104" t="s">
        <v>2070</v>
      </c>
      <c r="G2104" s="554">
        <v>7556</v>
      </c>
      <c r="H2104">
        <v>138.07834399999999</v>
      </c>
    </row>
    <row r="2105" spans="2:8">
      <c r="B2105" s="555" t="s">
        <v>2271</v>
      </c>
      <c r="C2105" s="555" t="str">
        <f>VLOOKUP(D2105,기본!$D$13:$E$74,2,0)</f>
        <v>코웨이</v>
      </c>
      <c r="D2105" t="s">
        <v>2067</v>
      </c>
      <c r="E2105" t="s">
        <v>2024</v>
      </c>
      <c r="F2105" t="s">
        <v>2024</v>
      </c>
      <c r="G2105" s="554">
        <v>700</v>
      </c>
      <c r="H2105">
        <v>6.7445000000000004</v>
      </c>
    </row>
    <row r="2106" spans="2:8">
      <c r="B2106" s="555" t="s">
        <v>2271</v>
      </c>
      <c r="C2106" s="555" t="str">
        <f>VLOOKUP(D2106,기본!$D$13:$E$74,2,0)</f>
        <v>코웨이</v>
      </c>
      <c r="D2106" t="s">
        <v>2067</v>
      </c>
      <c r="E2106" t="s">
        <v>2071</v>
      </c>
      <c r="F2106" t="s">
        <v>2071</v>
      </c>
      <c r="G2106" s="554">
        <v>640</v>
      </c>
      <c r="H2106">
        <v>10.158160000000001</v>
      </c>
    </row>
    <row r="2107" spans="2:8">
      <c r="B2107" s="555" t="s">
        <v>2271</v>
      </c>
      <c r="C2107" s="555" t="str">
        <f>VLOOKUP(D2107,기본!$D$13:$E$74,2,0)</f>
        <v>코웨이</v>
      </c>
      <c r="D2107" t="s">
        <v>2067</v>
      </c>
      <c r="E2107" t="s">
        <v>2072</v>
      </c>
      <c r="F2107" t="s">
        <v>2072</v>
      </c>
      <c r="G2107" s="554">
        <v>440</v>
      </c>
      <c r="H2107">
        <v>5.7315199999999997</v>
      </c>
    </row>
    <row r="2108" spans="2:8">
      <c r="B2108" s="555" t="s">
        <v>2271</v>
      </c>
      <c r="C2108" s="555" t="str">
        <f>VLOOKUP(D2108,기본!$D$13:$E$74,2,0)</f>
        <v>코웨이</v>
      </c>
      <c r="D2108" t="s">
        <v>2067</v>
      </c>
      <c r="E2108" t="s">
        <v>2034</v>
      </c>
      <c r="F2108" t="s">
        <v>2034</v>
      </c>
      <c r="G2108" s="554">
        <v>9194</v>
      </c>
      <c r="H2108">
        <v>141.36694399999999</v>
      </c>
    </row>
    <row r="2109" spans="2:8">
      <c r="B2109" s="555" t="s">
        <v>2271</v>
      </c>
      <c r="C2109" s="555" t="str">
        <f>VLOOKUP(D2109,기본!$D$13:$E$74,2,0)</f>
        <v>코웨이</v>
      </c>
      <c r="D2109" t="s">
        <v>2067</v>
      </c>
      <c r="E2109" t="s">
        <v>2038</v>
      </c>
      <c r="F2109" t="s">
        <v>2038</v>
      </c>
      <c r="G2109" s="554">
        <v>2298</v>
      </c>
      <c r="H2109">
        <v>35.821224000000001</v>
      </c>
    </row>
    <row r="2110" spans="2:8">
      <c r="B2110" s="555" t="s">
        <v>2271</v>
      </c>
      <c r="C2110" s="555" t="str">
        <f>VLOOKUP(D2110,기본!$D$13:$E$74,2,0)</f>
        <v>코웨이</v>
      </c>
      <c r="D2110" t="s">
        <v>2067</v>
      </c>
      <c r="E2110" t="s">
        <v>2073</v>
      </c>
      <c r="F2110" t="s">
        <v>2073</v>
      </c>
      <c r="G2110" s="554">
        <v>14224</v>
      </c>
      <c r="H2110">
        <v>196.10628799999998</v>
      </c>
    </row>
    <row r="2111" spans="2:8">
      <c r="B2111" s="555" t="s">
        <v>2271</v>
      </c>
      <c r="C2111" s="555" t="str">
        <f>VLOOKUP(D2111,기본!$D$13:$E$74,2,0)</f>
        <v>코웨이</v>
      </c>
      <c r="D2111" t="s">
        <v>2067</v>
      </c>
      <c r="E2111" t="s">
        <v>1188</v>
      </c>
      <c r="F2111" t="s">
        <v>1188</v>
      </c>
      <c r="G2111" s="554">
        <v>272</v>
      </c>
      <c r="H2111">
        <v>0.56004799999999999</v>
      </c>
    </row>
    <row r="2112" spans="2:8">
      <c r="B2112" s="555" t="s">
        <v>2271</v>
      </c>
      <c r="C2112" s="555" t="str">
        <f>VLOOKUP(D2112,기본!$D$13:$E$74,2,0)</f>
        <v>코웨이</v>
      </c>
      <c r="D2112" t="s">
        <v>2067</v>
      </c>
      <c r="E2112" t="s">
        <v>1187</v>
      </c>
      <c r="F2112" t="s">
        <v>1187</v>
      </c>
      <c r="G2112" s="554">
        <v>272</v>
      </c>
      <c r="H2112">
        <v>3.3295520000000001</v>
      </c>
    </row>
    <row r="2113" spans="2:8">
      <c r="B2113" s="555" t="s">
        <v>2271</v>
      </c>
      <c r="C2113" s="555" t="str">
        <f>VLOOKUP(D2113,기본!$D$13:$E$74,2,0)</f>
        <v>코웨이</v>
      </c>
      <c r="D2113" t="s">
        <v>2067</v>
      </c>
      <c r="E2113" t="s">
        <v>2074</v>
      </c>
      <c r="F2113" t="s">
        <v>2074</v>
      </c>
      <c r="G2113" s="554">
        <v>121</v>
      </c>
      <c r="H2113">
        <v>2.6399759999999999</v>
      </c>
    </row>
    <row r="2114" spans="2:8">
      <c r="B2114" s="555" t="s">
        <v>2271</v>
      </c>
      <c r="C2114" s="555" t="str">
        <f>VLOOKUP(D2114,기본!$D$13:$E$74,2,0)</f>
        <v>코웨이</v>
      </c>
      <c r="D2114" t="s">
        <v>2067</v>
      </c>
      <c r="E2114" t="s">
        <v>2075</v>
      </c>
      <c r="F2114" t="s">
        <v>2075</v>
      </c>
      <c r="G2114" s="554">
        <v>415</v>
      </c>
      <c r="H2114">
        <v>9.1254449999999991</v>
      </c>
    </row>
    <row r="2115" spans="2:8">
      <c r="B2115" s="555" t="s">
        <v>2271</v>
      </c>
      <c r="C2115" s="555" t="str">
        <f>VLOOKUP(D2115,기본!$D$13:$E$74,2,0)</f>
        <v>코웨이</v>
      </c>
      <c r="D2115" t="s">
        <v>2067</v>
      </c>
      <c r="E2115" t="s">
        <v>2076</v>
      </c>
      <c r="F2115" t="s">
        <v>2076</v>
      </c>
      <c r="G2115" s="554">
        <v>4218</v>
      </c>
      <c r="H2115">
        <v>77.914205999999979</v>
      </c>
    </row>
    <row r="2116" spans="2:8">
      <c r="B2116" s="555" t="s">
        <v>2271</v>
      </c>
      <c r="C2116" s="555" t="str">
        <f>VLOOKUP(D2116,기본!$D$13:$E$74,2,0)</f>
        <v>코웨이</v>
      </c>
      <c r="D2116" t="s">
        <v>2067</v>
      </c>
      <c r="E2116" t="s">
        <v>2042</v>
      </c>
      <c r="F2116" t="s">
        <v>2042</v>
      </c>
      <c r="G2116" s="554">
        <v>100</v>
      </c>
      <c r="H2116">
        <v>0.63949999999999996</v>
      </c>
    </row>
    <row r="2117" spans="2:8">
      <c r="B2117" s="555" t="s">
        <v>2271</v>
      </c>
      <c r="C2117" s="555" t="str">
        <f>VLOOKUP(D2117,기본!$D$13:$E$74,2,0)</f>
        <v>코웨이</v>
      </c>
      <c r="D2117" t="s">
        <v>2067</v>
      </c>
      <c r="E2117" t="s">
        <v>2058</v>
      </c>
      <c r="F2117" t="s">
        <v>2058</v>
      </c>
      <c r="G2117" s="554">
        <v>17992</v>
      </c>
      <c r="H2117">
        <v>623.91752800000017</v>
      </c>
    </row>
    <row r="2118" spans="2:8">
      <c r="B2118" s="555" t="s">
        <v>2271</v>
      </c>
      <c r="C2118" s="555" t="str">
        <f>VLOOKUP(D2118,기본!$D$13:$E$74,2,0)</f>
        <v>코웨이</v>
      </c>
      <c r="D2118" t="s">
        <v>2067</v>
      </c>
      <c r="E2118" t="s">
        <v>2077</v>
      </c>
      <c r="F2118" t="s">
        <v>2077</v>
      </c>
      <c r="G2118" s="554">
        <v>3672</v>
      </c>
      <c r="H2118">
        <v>123.39451199999999</v>
      </c>
    </row>
    <row r="2119" spans="2:8">
      <c r="B2119" s="555" t="s">
        <v>2271</v>
      </c>
      <c r="C2119" s="555" t="str">
        <f>VLOOKUP(D2119,기본!$D$13:$E$74,2,0)</f>
        <v>코웨이</v>
      </c>
      <c r="D2119" t="s">
        <v>2067</v>
      </c>
      <c r="E2119" t="s">
        <v>2078</v>
      </c>
      <c r="F2119" t="s">
        <v>2078</v>
      </c>
      <c r="G2119" s="554">
        <v>3</v>
      </c>
      <c r="H2119">
        <v>0.103467</v>
      </c>
    </row>
    <row r="2120" spans="2:8">
      <c r="B2120" s="555" t="s">
        <v>2271</v>
      </c>
      <c r="C2120" s="555" t="str">
        <f>VLOOKUP(D2120,기본!$D$13:$E$74,2,0)</f>
        <v>코웨이</v>
      </c>
      <c r="D2120" t="s">
        <v>2067</v>
      </c>
      <c r="E2120" t="s">
        <v>2203</v>
      </c>
      <c r="F2120" t="s">
        <v>2203</v>
      </c>
      <c r="G2120" s="554">
        <v>687</v>
      </c>
      <c r="H2120">
        <v>24.805509000000001</v>
      </c>
    </row>
    <row r="2121" spans="2:8">
      <c r="B2121" s="555" t="s">
        <v>2271</v>
      </c>
      <c r="C2121" s="555" t="str">
        <f>VLOOKUP(D2121,기본!$D$13:$E$74,2,0)</f>
        <v>코웨이</v>
      </c>
      <c r="D2121" t="s">
        <v>2067</v>
      </c>
      <c r="E2121" t="s">
        <v>2231</v>
      </c>
      <c r="F2121" t="s">
        <v>2231</v>
      </c>
      <c r="G2121" s="554">
        <v>390</v>
      </c>
      <c r="H2121">
        <v>14.17611</v>
      </c>
    </row>
    <row r="2122" spans="2:8">
      <c r="B2122" s="555" t="s">
        <v>2271</v>
      </c>
      <c r="C2122" s="555" t="str">
        <f>VLOOKUP(D2122,기본!$D$13:$E$74,2,0)</f>
        <v>코웨이</v>
      </c>
      <c r="D2122" t="s">
        <v>2079</v>
      </c>
      <c r="E2122" t="s">
        <v>1093</v>
      </c>
      <c r="F2122" t="s">
        <v>1093</v>
      </c>
      <c r="G2122" s="554">
        <v>1977</v>
      </c>
      <c r="H2122">
        <v>10.549272</v>
      </c>
    </row>
    <row r="2123" spans="2:8">
      <c r="B2123" s="555" t="s">
        <v>2271</v>
      </c>
      <c r="C2123" s="555" t="str">
        <f>VLOOKUP(D2123,기본!$D$13:$E$74,2,0)</f>
        <v>코웨이</v>
      </c>
      <c r="D2123" t="s">
        <v>2079</v>
      </c>
      <c r="E2123" t="s">
        <v>1094</v>
      </c>
      <c r="F2123" t="s">
        <v>1094</v>
      </c>
      <c r="G2123" s="554">
        <v>1977</v>
      </c>
      <c r="H2123">
        <v>6.1603320000000004</v>
      </c>
    </row>
    <row r="2124" spans="2:8">
      <c r="B2124" s="555" t="s">
        <v>2271</v>
      </c>
      <c r="C2124" s="555" t="str">
        <f>VLOOKUP(D2124,기본!$D$13:$E$74,2,0)</f>
        <v>코웨이</v>
      </c>
      <c r="D2124" t="s">
        <v>2079</v>
      </c>
      <c r="E2124" t="s">
        <v>2017</v>
      </c>
      <c r="F2124" t="s">
        <v>2017</v>
      </c>
      <c r="G2124" s="554">
        <v>300</v>
      </c>
      <c r="H2124">
        <v>3.5657999999999999</v>
      </c>
    </row>
    <row r="2125" spans="2:8">
      <c r="B2125" s="555" t="s">
        <v>2271</v>
      </c>
      <c r="C2125" s="555" t="str">
        <f>VLOOKUP(D2125,기본!$D$13:$E$74,2,0)</f>
        <v>코웨이</v>
      </c>
      <c r="D2125" t="s">
        <v>2079</v>
      </c>
      <c r="E2125" t="s">
        <v>2080</v>
      </c>
      <c r="F2125" t="s">
        <v>2080</v>
      </c>
      <c r="G2125" s="554">
        <v>200</v>
      </c>
      <c r="H2125">
        <v>1.3406</v>
      </c>
    </row>
    <row r="2126" spans="2:8">
      <c r="B2126" s="555" t="s">
        <v>2271</v>
      </c>
      <c r="C2126" s="555" t="str">
        <f>VLOOKUP(D2126,기본!$D$13:$E$74,2,0)</f>
        <v>코웨이</v>
      </c>
      <c r="D2126" t="s">
        <v>2079</v>
      </c>
      <c r="E2126" t="s">
        <v>2081</v>
      </c>
      <c r="F2126" t="s">
        <v>2081</v>
      </c>
      <c r="G2126" s="554">
        <v>650</v>
      </c>
      <c r="H2126">
        <v>5.8409000000000004</v>
      </c>
    </row>
    <row r="2127" spans="2:8">
      <c r="B2127" s="555" t="s">
        <v>2271</v>
      </c>
      <c r="C2127" s="555" t="str">
        <f>VLOOKUP(D2127,기본!$D$13:$E$74,2,0)</f>
        <v>코웨이</v>
      </c>
      <c r="D2127" t="s">
        <v>2079</v>
      </c>
      <c r="E2127" t="s">
        <v>1089</v>
      </c>
      <c r="F2127" t="s">
        <v>1089</v>
      </c>
      <c r="G2127" s="554">
        <v>2598</v>
      </c>
      <c r="H2127">
        <v>29.126178000000003</v>
      </c>
    </row>
    <row r="2128" spans="2:8">
      <c r="B2128" s="555" t="s">
        <v>2271</v>
      </c>
      <c r="C2128" s="555" t="str">
        <f>VLOOKUP(D2128,기본!$D$13:$E$74,2,0)</f>
        <v>코웨이</v>
      </c>
      <c r="D2128" t="s">
        <v>2079</v>
      </c>
      <c r="E2128" t="s">
        <v>1118</v>
      </c>
      <c r="F2128" t="s">
        <v>1118</v>
      </c>
      <c r="G2128" s="554">
        <v>5</v>
      </c>
      <c r="H2128">
        <v>9.3804999999999999E-2</v>
      </c>
    </row>
    <row r="2129" spans="2:8">
      <c r="B2129" s="555" t="s">
        <v>2271</v>
      </c>
      <c r="C2129" s="555" t="str">
        <f>VLOOKUP(D2129,기본!$D$13:$E$74,2,0)</f>
        <v>코웨이</v>
      </c>
      <c r="D2129" t="s">
        <v>2079</v>
      </c>
      <c r="E2129" t="s">
        <v>2157</v>
      </c>
      <c r="F2129" t="s">
        <v>2157</v>
      </c>
      <c r="G2129" s="554">
        <v>150</v>
      </c>
      <c r="H2129">
        <v>3.5070000000000001</v>
      </c>
    </row>
    <row r="2130" spans="2:8">
      <c r="B2130" s="555" t="s">
        <v>2271</v>
      </c>
      <c r="C2130" s="555" t="str">
        <f>VLOOKUP(D2130,기본!$D$13:$E$74,2,0)</f>
        <v>코웨이</v>
      </c>
      <c r="D2130" t="s">
        <v>2079</v>
      </c>
      <c r="E2130" t="s">
        <v>2061</v>
      </c>
      <c r="F2130" t="s">
        <v>2061</v>
      </c>
      <c r="G2130" s="554">
        <v>2007</v>
      </c>
      <c r="H2130">
        <v>11.247228</v>
      </c>
    </row>
    <row r="2131" spans="2:8">
      <c r="B2131" s="555" t="s">
        <v>2271</v>
      </c>
      <c r="C2131" s="555" t="str">
        <f>VLOOKUP(D2131,기본!$D$13:$E$74,2,0)</f>
        <v>코웨이</v>
      </c>
      <c r="D2131" t="s">
        <v>2079</v>
      </c>
      <c r="E2131" t="s">
        <v>230</v>
      </c>
      <c r="F2131" t="s">
        <v>230</v>
      </c>
      <c r="G2131" s="554">
        <v>155</v>
      </c>
      <c r="H2131">
        <v>0.86164499999999999</v>
      </c>
    </row>
    <row r="2132" spans="2:8">
      <c r="B2132" s="555" t="s">
        <v>2271</v>
      </c>
      <c r="C2132" s="555" t="str">
        <f>VLOOKUP(D2132,기본!$D$13:$E$74,2,0)</f>
        <v>코웨이</v>
      </c>
      <c r="D2132" t="s">
        <v>2079</v>
      </c>
      <c r="E2132" t="s">
        <v>229</v>
      </c>
      <c r="F2132" t="s">
        <v>229</v>
      </c>
      <c r="G2132" s="554">
        <v>0</v>
      </c>
      <c r="H2132">
        <v>-4.3659999999999997E-2</v>
      </c>
    </row>
    <row r="2133" spans="2:8">
      <c r="B2133" s="555" t="s">
        <v>2271</v>
      </c>
      <c r="C2133" s="555" t="str">
        <f>VLOOKUP(D2133,기본!$D$13:$E$74,2,0)</f>
        <v>코웨이</v>
      </c>
      <c r="D2133" t="s">
        <v>2082</v>
      </c>
      <c r="E2133" t="s">
        <v>2083</v>
      </c>
      <c r="F2133" t="s">
        <v>2083</v>
      </c>
      <c r="G2133" s="554">
        <v>1200</v>
      </c>
      <c r="H2133">
        <v>20.58</v>
      </c>
    </row>
    <row r="2134" spans="2:8">
      <c r="B2134" s="555" t="s">
        <v>2271</v>
      </c>
      <c r="C2134" s="555" t="str">
        <f>VLOOKUP(D2134,기본!$D$13:$E$74,2,0)</f>
        <v>코웨이</v>
      </c>
      <c r="D2134" t="s">
        <v>2082</v>
      </c>
      <c r="E2134" t="s">
        <v>2058</v>
      </c>
      <c r="F2134" t="s">
        <v>2058</v>
      </c>
      <c r="G2134" s="554">
        <v>7344</v>
      </c>
      <c r="H2134">
        <v>254.53569600000003</v>
      </c>
    </row>
    <row r="2135" spans="2:8">
      <c r="B2135" s="555" t="s">
        <v>2271</v>
      </c>
      <c r="C2135" s="555" t="str">
        <f>VLOOKUP(D2135,기본!$D$13:$E$74,2,0)</f>
        <v>코웨이</v>
      </c>
      <c r="D2135" t="s">
        <v>2082</v>
      </c>
      <c r="E2135" t="s">
        <v>2077</v>
      </c>
      <c r="F2135" t="s">
        <v>2077</v>
      </c>
      <c r="G2135" s="554">
        <v>1728</v>
      </c>
      <c r="H2135">
        <v>58.034880000000001</v>
      </c>
    </row>
    <row r="2136" spans="2:8">
      <c r="B2136" s="555" t="s">
        <v>2271</v>
      </c>
      <c r="C2136" s="555" t="str">
        <f>VLOOKUP(D2136,기본!$D$13:$E$74,2,0)</f>
        <v>코웨이</v>
      </c>
      <c r="D2136" t="s">
        <v>2205</v>
      </c>
      <c r="E2136" t="s">
        <v>1073</v>
      </c>
      <c r="F2136" t="s">
        <v>1073</v>
      </c>
      <c r="G2136" s="554">
        <v>3240</v>
      </c>
      <c r="H2136">
        <v>15.714</v>
      </c>
    </row>
    <row r="2137" spans="2:8">
      <c r="B2137" s="555" t="s">
        <v>2271</v>
      </c>
      <c r="C2137" s="555" t="str">
        <f>VLOOKUP(D2137,기본!$D$13:$E$74,2,0)</f>
        <v>코웨이</v>
      </c>
      <c r="D2137" t="s">
        <v>2205</v>
      </c>
      <c r="E2137" t="s">
        <v>1075</v>
      </c>
      <c r="F2137" t="s">
        <v>1075</v>
      </c>
      <c r="G2137" s="554">
        <v>3456</v>
      </c>
      <c r="H2137">
        <v>4.3338239999999999</v>
      </c>
    </row>
    <row r="2138" spans="2:8">
      <c r="B2138" s="555" t="s">
        <v>2271</v>
      </c>
      <c r="C2138" s="555" t="str">
        <f>VLOOKUP(D2138,기본!$D$13:$E$74,2,0)</f>
        <v>한화비전</v>
      </c>
      <c r="D2138" t="s">
        <v>2089</v>
      </c>
      <c r="E2138" t="s">
        <v>2090</v>
      </c>
      <c r="F2138" t="s">
        <v>2091</v>
      </c>
      <c r="G2138" s="554">
        <v>1044</v>
      </c>
      <c r="H2138">
        <v>36.320185799999997</v>
      </c>
    </row>
    <row r="2139" spans="2:8">
      <c r="B2139" s="555" t="s">
        <v>2286</v>
      </c>
      <c r="C2139" s="555" t="str">
        <f>VLOOKUP(D2139,기본!$D$13:$E$74,2,0)</f>
        <v>AV JDM</v>
      </c>
      <c r="D2139" t="s">
        <v>1841</v>
      </c>
      <c r="E2139" t="s">
        <v>1842</v>
      </c>
      <c r="F2139" t="s">
        <v>1680</v>
      </c>
      <c r="G2139" s="554">
        <v>17720</v>
      </c>
      <c r="H2139">
        <v>161.65522559999999</v>
      </c>
    </row>
    <row r="2140" spans="2:8">
      <c r="B2140" s="555" t="s">
        <v>2286</v>
      </c>
      <c r="C2140" s="555" t="str">
        <f>VLOOKUP(D2140,기본!$D$13:$E$74,2,0)</f>
        <v>AV JDM</v>
      </c>
      <c r="D2140" t="s">
        <v>1841</v>
      </c>
      <c r="E2140" t="s">
        <v>2104</v>
      </c>
      <c r="F2140" t="s">
        <v>2105</v>
      </c>
      <c r="G2140" s="554">
        <v>400</v>
      </c>
      <c r="H2140">
        <v>3.9066306000000002</v>
      </c>
    </row>
    <row r="2141" spans="2:8">
      <c r="B2141" s="555" t="s">
        <v>2286</v>
      </c>
      <c r="C2141" s="555" t="str">
        <f>VLOOKUP(D2141,기본!$D$13:$E$74,2,0)</f>
        <v>AV JDM</v>
      </c>
      <c r="D2141" t="s">
        <v>1841</v>
      </c>
      <c r="E2141" t="s">
        <v>1654</v>
      </c>
      <c r="F2141" t="s">
        <v>1654</v>
      </c>
      <c r="G2141" s="554">
        <v>6048</v>
      </c>
      <c r="H2141">
        <v>49.384161120000002</v>
      </c>
    </row>
    <row r="2142" spans="2:8">
      <c r="B2142" s="555" t="s">
        <v>2286</v>
      </c>
      <c r="C2142" s="555" t="str">
        <f>VLOOKUP(D2142,기본!$D$13:$E$74,2,0)</f>
        <v>AV JDM</v>
      </c>
      <c r="D2142" t="s">
        <v>1841</v>
      </c>
      <c r="E2142" t="s">
        <v>1656</v>
      </c>
      <c r="F2142" t="s">
        <v>1656</v>
      </c>
      <c r="G2142" s="554">
        <v>9184</v>
      </c>
      <c r="H2142">
        <v>80.667824440000004</v>
      </c>
    </row>
    <row r="2143" spans="2:8">
      <c r="B2143" s="555" t="s">
        <v>2286</v>
      </c>
      <c r="C2143" s="555" t="str">
        <f>VLOOKUP(D2143,기본!$D$13:$E$74,2,0)</f>
        <v>AV JDM</v>
      </c>
      <c r="D2143" t="s">
        <v>1841</v>
      </c>
      <c r="E2143" t="s">
        <v>1657</v>
      </c>
      <c r="F2143" t="s">
        <v>1657</v>
      </c>
      <c r="G2143" s="554">
        <v>5152</v>
      </c>
      <c r="H2143">
        <v>46.581692640000007</v>
      </c>
    </row>
    <row r="2144" spans="2:8">
      <c r="B2144" s="555" t="s">
        <v>2286</v>
      </c>
      <c r="C2144" s="555" t="str">
        <f>VLOOKUP(D2144,기본!$D$13:$E$74,2,0)</f>
        <v>AV JDM</v>
      </c>
      <c r="D2144" t="s">
        <v>1841</v>
      </c>
      <c r="E2144" t="s">
        <v>1658</v>
      </c>
      <c r="F2144" t="s">
        <v>1658</v>
      </c>
      <c r="G2144" s="554">
        <v>18252</v>
      </c>
      <c r="H2144">
        <v>171.33363503999999</v>
      </c>
    </row>
    <row r="2145" spans="2:8">
      <c r="B2145" s="555" t="s">
        <v>2286</v>
      </c>
      <c r="C2145" s="555" t="str">
        <f>VLOOKUP(D2145,기본!$D$13:$E$74,2,0)</f>
        <v>AV JDM</v>
      </c>
      <c r="D2145" t="s">
        <v>1841</v>
      </c>
      <c r="E2145" t="s">
        <v>1655</v>
      </c>
      <c r="F2145" t="s">
        <v>1655</v>
      </c>
      <c r="G2145" s="554">
        <v>1624</v>
      </c>
      <c r="H2145">
        <v>13.679816080000002</v>
      </c>
    </row>
    <row r="2146" spans="2:8">
      <c r="B2146" s="555" t="s">
        <v>2286</v>
      </c>
      <c r="C2146" s="555" t="str">
        <f>VLOOKUP(D2146,기본!$D$13:$E$74,2,0)</f>
        <v>AV JDM</v>
      </c>
      <c r="D2146" t="s">
        <v>1841</v>
      </c>
      <c r="E2146" t="s">
        <v>1845</v>
      </c>
      <c r="F2146" t="s">
        <v>1340</v>
      </c>
      <c r="G2146" s="554">
        <v>8568</v>
      </c>
      <c r="H2146">
        <v>89.762620752000004</v>
      </c>
    </row>
    <row r="2147" spans="2:8">
      <c r="B2147" s="555" t="s">
        <v>2286</v>
      </c>
      <c r="C2147" s="555" t="str">
        <f>VLOOKUP(D2147,기본!$D$13:$E$74,2,0)</f>
        <v>AV JDM</v>
      </c>
      <c r="D2147" t="s">
        <v>1841</v>
      </c>
      <c r="E2147" t="s">
        <v>1847</v>
      </c>
      <c r="F2147" t="s">
        <v>1336</v>
      </c>
      <c r="G2147" s="554">
        <v>9120</v>
      </c>
      <c r="H2147">
        <v>84.443557200000015</v>
      </c>
    </row>
    <row r="2148" spans="2:8">
      <c r="B2148" s="555" t="s">
        <v>2286</v>
      </c>
      <c r="C2148" s="555" t="str">
        <f>VLOOKUP(D2148,기본!$D$13:$E$74,2,0)</f>
        <v>AV JDM</v>
      </c>
      <c r="D2148" t="s">
        <v>1841</v>
      </c>
      <c r="E2148" t="s">
        <v>1016</v>
      </c>
      <c r="F2148" t="s">
        <v>1016</v>
      </c>
      <c r="G2148" s="554">
        <v>384</v>
      </c>
      <c r="H2148">
        <v>3.3006405120000002</v>
      </c>
    </row>
    <row r="2149" spans="2:8">
      <c r="B2149" s="555" t="s">
        <v>2286</v>
      </c>
      <c r="C2149" s="555" t="str">
        <f>VLOOKUP(D2149,기본!$D$13:$E$74,2,0)</f>
        <v>AV JDM</v>
      </c>
      <c r="D2149" t="s">
        <v>1841</v>
      </c>
      <c r="E2149" t="s">
        <v>1006</v>
      </c>
      <c r="F2149" t="s">
        <v>1006</v>
      </c>
      <c r="G2149" s="554">
        <v>15000</v>
      </c>
      <c r="H2149">
        <v>169.05231936000001</v>
      </c>
    </row>
    <row r="2150" spans="2:8">
      <c r="B2150" s="555" t="s">
        <v>2286</v>
      </c>
      <c r="C2150" s="555" t="str">
        <f>VLOOKUP(D2150,기본!$D$13:$E$74,2,0)</f>
        <v>AV JDM</v>
      </c>
      <c r="D2150" t="s">
        <v>1841</v>
      </c>
      <c r="E2150" t="s">
        <v>2255</v>
      </c>
      <c r="F2150" t="s">
        <v>2255</v>
      </c>
      <c r="G2150" s="554">
        <v>0</v>
      </c>
      <c r="H2150">
        <v>-4.5771259999999998</v>
      </c>
    </row>
    <row r="2151" spans="2:8">
      <c r="B2151" s="555" t="s">
        <v>2286</v>
      </c>
      <c r="C2151" s="555" t="str">
        <f>VLOOKUP(D2151,기본!$D$13:$E$74,2,0)</f>
        <v>삼성 VD</v>
      </c>
      <c r="D2151" t="s">
        <v>1849</v>
      </c>
      <c r="E2151" t="s">
        <v>1165</v>
      </c>
      <c r="F2151" t="s">
        <v>1882</v>
      </c>
      <c r="G2151" s="554">
        <v>12096</v>
      </c>
      <c r="H2151">
        <v>361.70711168399998</v>
      </c>
    </row>
    <row r="2152" spans="2:8">
      <c r="B2152" s="555" t="s">
        <v>2286</v>
      </c>
      <c r="C2152" s="555" t="str">
        <f>VLOOKUP(D2152,기본!$D$13:$E$74,2,0)</f>
        <v>삼성 VD</v>
      </c>
      <c r="D2152" t="s">
        <v>1849</v>
      </c>
      <c r="E2152" t="s">
        <v>1164</v>
      </c>
      <c r="F2152" t="s">
        <v>1850</v>
      </c>
      <c r="G2152" s="554">
        <v>42336</v>
      </c>
      <c r="H2152">
        <v>1149.9242440379999</v>
      </c>
    </row>
    <row r="2153" spans="2:8">
      <c r="B2153" s="555" t="s">
        <v>2286</v>
      </c>
      <c r="C2153" s="555" t="str">
        <f>VLOOKUP(D2153,기본!$D$13:$E$74,2,0)</f>
        <v>삼성 VD</v>
      </c>
      <c r="D2153" t="s">
        <v>1849</v>
      </c>
      <c r="E2153" t="s">
        <v>1851</v>
      </c>
      <c r="F2153" t="s">
        <v>1852</v>
      </c>
      <c r="G2153" s="554">
        <v>576</v>
      </c>
      <c r="H2153">
        <v>4.3321308800000002</v>
      </c>
    </row>
    <row r="2154" spans="2:8">
      <c r="B2154" s="555" t="s">
        <v>2286</v>
      </c>
      <c r="C2154" s="555" t="str">
        <f>VLOOKUP(D2154,기본!$D$13:$E$74,2,0)</f>
        <v>삼성 VD</v>
      </c>
      <c r="D2154" t="s">
        <v>1849</v>
      </c>
      <c r="E2154" t="s">
        <v>1853</v>
      </c>
      <c r="F2154" t="s">
        <v>1854</v>
      </c>
      <c r="G2154" s="554">
        <v>4320</v>
      </c>
      <c r="H2154">
        <v>60.57308376000001</v>
      </c>
    </row>
    <row r="2155" spans="2:8">
      <c r="B2155" s="555" t="s">
        <v>2286</v>
      </c>
      <c r="C2155" s="555" t="str">
        <f>VLOOKUP(D2155,기본!$D$13:$E$74,2,0)</f>
        <v>삼성 VD</v>
      </c>
      <c r="D2155" t="s">
        <v>1849</v>
      </c>
      <c r="E2155" t="s">
        <v>1855</v>
      </c>
      <c r="F2155" t="s">
        <v>1856</v>
      </c>
      <c r="G2155" s="554">
        <v>5382</v>
      </c>
      <c r="H2155">
        <v>77.606447693999996</v>
      </c>
    </row>
    <row r="2156" spans="2:8">
      <c r="B2156" s="555" t="s">
        <v>2286</v>
      </c>
      <c r="C2156" s="555" t="str">
        <f>VLOOKUP(D2156,기본!$D$13:$E$74,2,0)</f>
        <v>삼성 VD</v>
      </c>
      <c r="D2156" t="s">
        <v>1849</v>
      </c>
      <c r="E2156" t="s">
        <v>1874</v>
      </c>
      <c r="F2156" t="s">
        <v>1875</v>
      </c>
      <c r="G2156" s="554">
        <v>19458</v>
      </c>
      <c r="H2156">
        <v>302.72830501399994</v>
      </c>
    </row>
    <row r="2157" spans="2:8">
      <c r="B2157" s="555" t="s">
        <v>2286</v>
      </c>
      <c r="C2157" s="555" t="str">
        <f>VLOOKUP(D2157,기본!$D$13:$E$74,2,0)</f>
        <v>삼성 VD</v>
      </c>
      <c r="D2157" t="s">
        <v>1849</v>
      </c>
      <c r="E2157" t="s">
        <v>1859</v>
      </c>
      <c r="F2157" t="s">
        <v>1860</v>
      </c>
      <c r="G2157" s="554">
        <v>4608</v>
      </c>
      <c r="H2157">
        <v>82.136848896000004</v>
      </c>
    </row>
    <row r="2158" spans="2:8">
      <c r="B2158" s="555" t="s">
        <v>2286</v>
      </c>
      <c r="C2158" s="555" t="str">
        <f>VLOOKUP(D2158,기본!$D$13:$E$74,2,0)</f>
        <v>삼성 VD</v>
      </c>
      <c r="D2158" t="s">
        <v>1849</v>
      </c>
      <c r="E2158" t="s">
        <v>1309</v>
      </c>
      <c r="F2158" t="s">
        <v>1308</v>
      </c>
      <c r="G2158" s="554">
        <v>576</v>
      </c>
      <c r="H2158">
        <v>12.796640640000001</v>
      </c>
    </row>
    <row r="2159" spans="2:8">
      <c r="B2159" s="555" t="s">
        <v>2286</v>
      </c>
      <c r="C2159" s="555" t="str">
        <f>VLOOKUP(D2159,기본!$D$13:$E$74,2,0)</f>
        <v>삼성 VD</v>
      </c>
      <c r="D2159" t="s">
        <v>1849</v>
      </c>
      <c r="E2159" t="s">
        <v>1865</v>
      </c>
      <c r="F2159" t="s">
        <v>1866</v>
      </c>
      <c r="G2159" s="554">
        <v>9984</v>
      </c>
      <c r="H2159">
        <v>401.18508470400002</v>
      </c>
    </row>
    <row r="2160" spans="2:8">
      <c r="B2160" s="555" t="s">
        <v>2286</v>
      </c>
      <c r="C2160" s="555" t="str">
        <f>VLOOKUP(D2160,기본!$D$13:$E$74,2,0)</f>
        <v>삼성 VD</v>
      </c>
      <c r="D2160" t="s">
        <v>1849</v>
      </c>
      <c r="E2160" t="s">
        <v>1923</v>
      </c>
      <c r="F2160" t="s">
        <v>1924</v>
      </c>
      <c r="G2160" s="554">
        <v>47520</v>
      </c>
      <c r="H2160">
        <v>221.47855531999997</v>
      </c>
    </row>
    <row r="2161" spans="2:8">
      <c r="B2161" s="555" t="s">
        <v>2286</v>
      </c>
      <c r="C2161" s="555" t="str">
        <f>VLOOKUP(D2161,기본!$D$13:$E$74,2,0)</f>
        <v>삼성 VD</v>
      </c>
      <c r="D2161" t="s">
        <v>1849</v>
      </c>
      <c r="E2161" t="s">
        <v>1867</v>
      </c>
      <c r="F2161" t="s">
        <v>1868</v>
      </c>
      <c r="G2161" s="554">
        <v>3024</v>
      </c>
      <c r="H2161">
        <v>25.526639376000006</v>
      </c>
    </row>
    <row r="2162" spans="2:8">
      <c r="B2162" s="555" t="s">
        <v>2286</v>
      </c>
      <c r="C2162" s="555" t="str">
        <f>VLOOKUP(D2162,기본!$D$13:$E$74,2,0)</f>
        <v>삼성 VD</v>
      </c>
      <c r="D2162" t="s">
        <v>1849</v>
      </c>
      <c r="E2162" t="s">
        <v>709</v>
      </c>
      <c r="F2162" t="s">
        <v>1869</v>
      </c>
      <c r="G2162" s="554">
        <v>119328</v>
      </c>
      <c r="H2162">
        <v>410.93474399999997</v>
      </c>
    </row>
    <row r="2163" spans="2:8">
      <c r="B2163" s="555" t="s">
        <v>2286</v>
      </c>
      <c r="C2163" s="555" t="str">
        <f>VLOOKUP(D2163,기본!$D$13:$E$74,2,0)</f>
        <v>삼성 VD</v>
      </c>
      <c r="D2163" t="s">
        <v>1849</v>
      </c>
      <c r="E2163" t="s">
        <v>1156</v>
      </c>
      <c r="F2163" t="s">
        <v>1870</v>
      </c>
      <c r="G2163" s="554">
        <v>9504</v>
      </c>
      <c r="H2163">
        <v>44.124208127999999</v>
      </c>
    </row>
    <row r="2164" spans="2:8">
      <c r="B2164" s="555" t="s">
        <v>2286</v>
      </c>
      <c r="C2164" s="555" t="str">
        <f>VLOOKUP(D2164,기본!$D$13:$E$74,2,0)</f>
        <v>삼성 VD</v>
      </c>
      <c r="D2164" t="s">
        <v>1871</v>
      </c>
      <c r="E2164" t="s">
        <v>1165</v>
      </c>
      <c r="F2164" t="s">
        <v>1882</v>
      </c>
      <c r="G2164" s="554">
        <v>8424</v>
      </c>
      <c r="H2164">
        <v>253.59814367999996</v>
      </c>
    </row>
    <row r="2165" spans="2:8">
      <c r="B2165" s="555" t="s">
        <v>2286</v>
      </c>
      <c r="C2165" s="555" t="str">
        <f>VLOOKUP(D2165,기본!$D$13:$E$74,2,0)</f>
        <v>삼성 VD</v>
      </c>
      <c r="D2165" t="s">
        <v>1871</v>
      </c>
      <c r="E2165" t="s">
        <v>1164</v>
      </c>
      <c r="F2165" t="s">
        <v>1850</v>
      </c>
      <c r="G2165" s="554">
        <v>26136</v>
      </c>
      <c r="H2165">
        <v>713.43731966399992</v>
      </c>
    </row>
    <row r="2166" spans="2:8">
      <c r="B2166" s="555" t="s">
        <v>2286</v>
      </c>
      <c r="C2166" s="555" t="str">
        <f>VLOOKUP(D2166,기본!$D$13:$E$74,2,0)</f>
        <v>삼성 VD</v>
      </c>
      <c r="D2166" t="s">
        <v>1871</v>
      </c>
      <c r="E2166" t="s">
        <v>1853</v>
      </c>
      <c r="F2166" t="s">
        <v>1854</v>
      </c>
      <c r="G2166" s="554">
        <v>10464</v>
      </c>
      <c r="H2166">
        <v>147.71653204800003</v>
      </c>
    </row>
    <row r="2167" spans="2:8">
      <c r="B2167" s="555" t="s">
        <v>2286</v>
      </c>
      <c r="C2167" s="555" t="str">
        <f>VLOOKUP(D2167,기본!$D$13:$E$74,2,0)</f>
        <v>삼성 VD</v>
      </c>
      <c r="D2167" t="s">
        <v>1871</v>
      </c>
      <c r="E2167" t="s">
        <v>1874</v>
      </c>
      <c r="F2167" t="s">
        <v>1875</v>
      </c>
      <c r="G2167" s="554">
        <v>18952</v>
      </c>
      <c r="H2167">
        <v>297.00126338399997</v>
      </c>
    </row>
    <row r="2168" spans="2:8">
      <c r="B2168" s="555" t="s">
        <v>2286</v>
      </c>
      <c r="C2168" s="555" t="str">
        <f>VLOOKUP(D2168,기본!$D$13:$E$74,2,0)</f>
        <v>삼성 VD</v>
      </c>
      <c r="D2168" t="s">
        <v>1871</v>
      </c>
      <c r="E2168" t="s">
        <v>1876</v>
      </c>
      <c r="F2168" t="s">
        <v>1877</v>
      </c>
      <c r="G2168" s="554">
        <v>12240</v>
      </c>
      <c r="H2168">
        <v>84.866039999999998</v>
      </c>
    </row>
    <row r="2169" spans="2:8">
      <c r="B2169" s="555" t="s">
        <v>2286</v>
      </c>
      <c r="C2169" s="555" t="str">
        <f>VLOOKUP(D2169,기본!$D$13:$E$74,2,0)</f>
        <v>삼성 VD</v>
      </c>
      <c r="D2169" t="s">
        <v>1871</v>
      </c>
      <c r="E2169" t="s">
        <v>1878</v>
      </c>
      <c r="F2169" t="s">
        <v>1879</v>
      </c>
      <c r="G2169" s="554">
        <v>1032</v>
      </c>
      <c r="H2169">
        <v>7.1848439520000014</v>
      </c>
    </row>
    <row r="2170" spans="2:8">
      <c r="B2170" s="555" t="s">
        <v>2286</v>
      </c>
      <c r="C2170" s="555" t="str">
        <f>VLOOKUP(D2170,기본!$D$13:$E$74,2,0)</f>
        <v>삼성 VD</v>
      </c>
      <c r="D2170" t="s">
        <v>1880</v>
      </c>
      <c r="E2170" t="s">
        <v>1855</v>
      </c>
      <c r="F2170" t="s">
        <v>1856</v>
      </c>
      <c r="G2170" s="554">
        <v>8809</v>
      </c>
      <c r="H2170">
        <v>125.13669027200001</v>
      </c>
    </row>
    <row r="2171" spans="2:8">
      <c r="B2171" s="555" t="s">
        <v>2286</v>
      </c>
      <c r="C2171" s="555" t="str">
        <f>VLOOKUP(D2171,기본!$D$13:$E$74,2,0)</f>
        <v>삼성 VD</v>
      </c>
      <c r="D2171" t="s">
        <v>1881</v>
      </c>
      <c r="E2171" t="s">
        <v>1165</v>
      </c>
      <c r="F2171" t="s">
        <v>1882</v>
      </c>
      <c r="G2171" s="554">
        <v>516</v>
      </c>
      <c r="H2171">
        <v>15.501244992</v>
      </c>
    </row>
    <row r="2172" spans="2:8">
      <c r="B2172" s="555" t="s">
        <v>2286</v>
      </c>
      <c r="C2172" s="555" t="str">
        <f>VLOOKUP(D2172,기본!$D$13:$E$74,2,0)</f>
        <v>삼성 VD</v>
      </c>
      <c r="D2172" t="s">
        <v>1881</v>
      </c>
      <c r="E2172" t="s">
        <v>1164</v>
      </c>
      <c r="F2172" t="s">
        <v>1850</v>
      </c>
      <c r="G2172" s="554">
        <v>2484</v>
      </c>
      <c r="H2172">
        <v>67.908559643999993</v>
      </c>
    </row>
    <row r="2173" spans="2:8">
      <c r="B2173" s="555" t="s">
        <v>2286</v>
      </c>
      <c r="C2173" s="555" t="str">
        <f>VLOOKUP(D2173,기본!$D$13:$E$74,2,0)</f>
        <v>삼성 VD</v>
      </c>
      <c r="D2173" t="s">
        <v>1881</v>
      </c>
      <c r="E2173" t="s">
        <v>1853</v>
      </c>
      <c r="F2173" t="s">
        <v>1854</v>
      </c>
      <c r="G2173" s="554">
        <v>210</v>
      </c>
      <c r="H2173">
        <v>2.9538464400000004</v>
      </c>
    </row>
    <row r="2174" spans="2:8">
      <c r="B2174" s="555" t="s">
        <v>2286</v>
      </c>
      <c r="C2174" s="555" t="str">
        <f>VLOOKUP(D2174,기본!$D$13:$E$74,2,0)</f>
        <v>삼성 VD</v>
      </c>
      <c r="D2174" t="s">
        <v>1881</v>
      </c>
      <c r="E2174" t="s">
        <v>1855</v>
      </c>
      <c r="F2174" t="s">
        <v>1856</v>
      </c>
      <c r="G2174" s="554">
        <v>253</v>
      </c>
      <c r="H2174">
        <v>3.6508698559999999</v>
      </c>
    </row>
    <row r="2175" spans="2:8">
      <c r="B2175" s="555" t="s">
        <v>2286</v>
      </c>
      <c r="C2175" s="555" t="str">
        <f>VLOOKUP(D2175,기본!$D$13:$E$74,2,0)</f>
        <v>삼성 VD</v>
      </c>
      <c r="D2175" t="s">
        <v>1881</v>
      </c>
      <c r="E2175" t="s">
        <v>1874</v>
      </c>
      <c r="F2175" t="s">
        <v>1875</v>
      </c>
      <c r="G2175" s="554">
        <v>1932</v>
      </c>
      <c r="H2175">
        <v>30.217087476000003</v>
      </c>
    </row>
    <row r="2176" spans="2:8">
      <c r="B2176" s="555" t="s">
        <v>2286</v>
      </c>
      <c r="C2176" s="555" t="str">
        <f>VLOOKUP(D2176,기본!$D$13:$E$74,2,0)</f>
        <v>기타</v>
      </c>
      <c r="D2176" t="s">
        <v>1883</v>
      </c>
      <c r="E2176" t="s">
        <v>229</v>
      </c>
      <c r="F2176" t="s">
        <v>229</v>
      </c>
      <c r="G2176" s="554">
        <v>0</v>
      </c>
      <c r="H2176">
        <v>0.357429</v>
      </c>
    </row>
    <row r="2177" spans="2:8">
      <c r="B2177" s="555" t="s">
        <v>2286</v>
      </c>
      <c r="C2177" s="555" t="str">
        <f>VLOOKUP(D2177,기본!$D$13:$E$74,2,0)</f>
        <v>MNT JDM</v>
      </c>
      <c r="D2177" t="s">
        <v>2107</v>
      </c>
      <c r="E2177" t="s">
        <v>709</v>
      </c>
      <c r="F2177" t="s">
        <v>2108</v>
      </c>
      <c r="G2177" s="554">
        <v>67584</v>
      </c>
      <c r="H2177">
        <v>309.82938624000002</v>
      </c>
    </row>
    <row r="2178" spans="2:8">
      <c r="B2178" s="555" t="s">
        <v>2286</v>
      </c>
      <c r="C2178" s="555" t="str">
        <f>VLOOKUP(D2178,기본!$D$13:$E$74,2,0)</f>
        <v>MNT JDM</v>
      </c>
      <c r="D2178" t="s">
        <v>2107</v>
      </c>
      <c r="E2178" t="s">
        <v>710</v>
      </c>
      <c r="F2178" t="s">
        <v>2109</v>
      </c>
      <c r="G2178" s="554">
        <v>21120</v>
      </c>
      <c r="H2178">
        <v>114.4256256</v>
      </c>
    </row>
    <row r="2179" spans="2:8">
      <c r="B2179" s="555" t="s">
        <v>2286</v>
      </c>
      <c r="C2179" s="555" t="str">
        <f>VLOOKUP(D2179,기본!$D$13:$E$74,2,0)</f>
        <v>MNT JDM</v>
      </c>
      <c r="D2179" t="s">
        <v>2107</v>
      </c>
      <c r="E2179" t="s">
        <v>1156</v>
      </c>
      <c r="F2179" t="s">
        <v>1870</v>
      </c>
      <c r="G2179" s="554">
        <v>22176</v>
      </c>
      <c r="H2179">
        <v>125.076010752</v>
      </c>
    </row>
    <row r="2180" spans="2:8">
      <c r="B2180" s="555" t="s">
        <v>2286</v>
      </c>
      <c r="C2180" s="555" t="str">
        <f>VLOOKUP(D2180,기본!$D$13:$E$74,2,0)</f>
        <v>MNT JDM</v>
      </c>
      <c r="D2180" t="s">
        <v>2107</v>
      </c>
      <c r="E2180" t="s">
        <v>1157</v>
      </c>
      <c r="F2180" t="s">
        <v>1887</v>
      </c>
      <c r="G2180" s="554">
        <v>10560</v>
      </c>
      <c r="H2180">
        <v>69.975671039999995</v>
      </c>
    </row>
    <row r="2181" spans="2:8">
      <c r="B2181" s="555" t="s">
        <v>2286</v>
      </c>
      <c r="C2181" s="555" t="str">
        <f>VLOOKUP(D2181,기본!$D$13:$E$74,2,0)</f>
        <v>MNT JDM</v>
      </c>
      <c r="D2181" t="s">
        <v>1884</v>
      </c>
      <c r="E2181" t="s">
        <v>709</v>
      </c>
      <c r="F2181" t="s">
        <v>2110</v>
      </c>
      <c r="G2181" s="554">
        <v>59136</v>
      </c>
      <c r="H2181">
        <v>276.85133414400002</v>
      </c>
    </row>
    <row r="2182" spans="2:8">
      <c r="B2182" s="555" t="s">
        <v>2286</v>
      </c>
      <c r="C2182" s="555" t="str">
        <f>VLOOKUP(D2182,기본!$D$13:$E$74,2,0)</f>
        <v>MNT JDM</v>
      </c>
      <c r="D2182" t="s">
        <v>1884</v>
      </c>
      <c r="E2182" t="s">
        <v>710</v>
      </c>
      <c r="F2182" t="s">
        <v>2111</v>
      </c>
      <c r="G2182" s="554">
        <v>8448</v>
      </c>
      <c r="H2182">
        <v>47.295925248000003</v>
      </c>
    </row>
    <row r="2183" spans="2:8">
      <c r="B2183" s="555" t="s">
        <v>2286</v>
      </c>
      <c r="C2183" s="555" t="str">
        <f>VLOOKUP(D2183,기본!$D$13:$E$74,2,0)</f>
        <v>MNT JDM</v>
      </c>
      <c r="D2183" t="s">
        <v>1884</v>
      </c>
      <c r="E2183" t="s">
        <v>1156</v>
      </c>
      <c r="F2183" t="s">
        <v>2112</v>
      </c>
      <c r="G2183" s="554">
        <v>42240</v>
      </c>
      <c r="H2183">
        <v>241.59659462400001</v>
      </c>
    </row>
    <row r="2184" spans="2:8">
      <c r="B2184" s="555" t="s">
        <v>2286</v>
      </c>
      <c r="C2184" s="555" t="str">
        <f>VLOOKUP(D2184,기본!$D$13:$E$74,2,0)</f>
        <v>MNT JDM</v>
      </c>
      <c r="D2184" t="s">
        <v>1884</v>
      </c>
      <c r="E2184" t="s">
        <v>1157</v>
      </c>
      <c r="F2184" t="s">
        <v>2208</v>
      </c>
      <c r="G2184" s="554">
        <v>3432</v>
      </c>
      <c r="H2184">
        <v>23.535743615999998</v>
      </c>
    </row>
    <row r="2185" spans="2:8">
      <c r="B2185" s="555" t="s">
        <v>2286</v>
      </c>
      <c r="C2185" s="555" t="str">
        <f>VLOOKUP(D2185,기본!$D$13:$E$74,2,0)</f>
        <v>MNT JDM</v>
      </c>
      <c r="D2185" t="s">
        <v>1884</v>
      </c>
      <c r="E2185" t="s">
        <v>229</v>
      </c>
      <c r="F2185" t="s">
        <v>229</v>
      </c>
      <c r="G2185" s="554">
        <v>0</v>
      </c>
      <c r="H2185">
        <v>-5.728478</v>
      </c>
    </row>
    <row r="2186" spans="2:8">
      <c r="B2186" s="555" t="s">
        <v>2286</v>
      </c>
      <c r="C2186" s="555" t="str">
        <f>VLOOKUP(D2186,기본!$D$13:$E$74,2,0)</f>
        <v>MNT JDM</v>
      </c>
      <c r="D2186" t="s">
        <v>157</v>
      </c>
      <c r="E2186" t="s">
        <v>709</v>
      </c>
      <c r="F2186" t="s">
        <v>1885</v>
      </c>
      <c r="G2186" s="554">
        <v>8448</v>
      </c>
      <c r="H2186">
        <v>38.141875200000001</v>
      </c>
    </row>
    <row r="2187" spans="2:8">
      <c r="B2187" s="555" t="s">
        <v>2286</v>
      </c>
      <c r="C2187" s="555" t="str">
        <f>VLOOKUP(D2187,기본!$D$13:$E$74,2,0)</f>
        <v>MNT JDM</v>
      </c>
      <c r="D2187" t="s">
        <v>157</v>
      </c>
      <c r="E2187" t="s">
        <v>710</v>
      </c>
      <c r="F2187" t="s">
        <v>1886</v>
      </c>
      <c r="G2187" s="554">
        <v>26400</v>
      </c>
      <c r="H2187">
        <v>142.284075648</v>
      </c>
    </row>
    <row r="2188" spans="2:8">
      <c r="B2188" s="555" t="s">
        <v>2286</v>
      </c>
      <c r="C2188" s="555" t="str">
        <f>VLOOKUP(D2188,기본!$D$13:$E$74,2,0)</f>
        <v>MNT JDM</v>
      </c>
      <c r="D2188" t="s">
        <v>157</v>
      </c>
      <c r="E2188" t="s">
        <v>1156</v>
      </c>
      <c r="F2188" t="s">
        <v>1870</v>
      </c>
      <c r="G2188" s="554">
        <v>8448</v>
      </c>
      <c r="H2188">
        <v>46.943846399999998</v>
      </c>
    </row>
    <row r="2189" spans="2:8">
      <c r="B2189" s="555" t="s">
        <v>2286</v>
      </c>
      <c r="C2189" s="555" t="str">
        <f>VLOOKUP(D2189,기본!$D$13:$E$74,2,0)</f>
        <v>AV JDM</v>
      </c>
      <c r="D2189" t="s">
        <v>1888</v>
      </c>
      <c r="E2189" t="s">
        <v>1842</v>
      </c>
      <c r="F2189" t="s">
        <v>1680</v>
      </c>
      <c r="G2189" s="554">
        <v>20000</v>
      </c>
      <c r="H2189">
        <v>182.55710880000001</v>
      </c>
    </row>
    <row r="2190" spans="2:8">
      <c r="B2190" s="555" t="s">
        <v>2286</v>
      </c>
      <c r="C2190" s="555" t="str">
        <f>VLOOKUP(D2190,기본!$D$13:$E$74,2,0)</f>
        <v>AV JDM</v>
      </c>
      <c r="D2190" t="s">
        <v>1888</v>
      </c>
      <c r="E2190" t="s">
        <v>2104</v>
      </c>
      <c r="F2190" t="s">
        <v>2105</v>
      </c>
      <c r="G2190" s="554">
        <v>600</v>
      </c>
      <c r="H2190">
        <v>5.8581269999999996</v>
      </c>
    </row>
    <row r="2191" spans="2:8">
      <c r="B2191" s="555" t="s">
        <v>2286</v>
      </c>
      <c r="C2191" s="555" t="str">
        <f>VLOOKUP(D2191,기본!$D$13:$E$74,2,0)</f>
        <v>AV JDM</v>
      </c>
      <c r="D2191" t="s">
        <v>1888</v>
      </c>
      <c r="E2191" t="s">
        <v>105</v>
      </c>
      <c r="F2191" t="s">
        <v>104</v>
      </c>
      <c r="G2191" s="554">
        <v>8320</v>
      </c>
      <c r="H2191">
        <v>85.046439280000001</v>
      </c>
    </row>
    <row r="2192" spans="2:8">
      <c r="B2192" s="555" t="s">
        <v>2286</v>
      </c>
      <c r="C2192" s="555" t="str">
        <f>VLOOKUP(D2192,기본!$D$13:$E$74,2,0)</f>
        <v>AV JDM</v>
      </c>
      <c r="D2192" t="s">
        <v>1888</v>
      </c>
      <c r="E2192" t="s">
        <v>690</v>
      </c>
      <c r="F2192" t="s">
        <v>689</v>
      </c>
      <c r="G2192" s="554">
        <v>2880</v>
      </c>
      <c r="H2192">
        <v>29.899202519999999</v>
      </c>
    </row>
    <row r="2193" spans="2:8">
      <c r="B2193" s="555" t="s">
        <v>2286</v>
      </c>
      <c r="C2193" s="555" t="str">
        <f>VLOOKUP(D2193,기본!$D$13:$E$74,2,0)</f>
        <v>AV JDM</v>
      </c>
      <c r="D2193" t="s">
        <v>1888</v>
      </c>
      <c r="E2193" t="s">
        <v>1656</v>
      </c>
      <c r="F2193" t="s">
        <v>1656</v>
      </c>
      <c r="G2193" s="554">
        <v>240</v>
      </c>
      <c r="H2193">
        <v>2.1046185999999993</v>
      </c>
    </row>
    <row r="2194" spans="2:8">
      <c r="B2194" s="555" t="s">
        <v>2286</v>
      </c>
      <c r="C2194" s="555" t="str">
        <f>VLOOKUP(D2194,기본!$D$13:$E$74,2,0)</f>
        <v>AV JDM</v>
      </c>
      <c r="D2194" t="s">
        <v>1888</v>
      </c>
      <c r="E2194" t="s">
        <v>1889</v>
      </c>
      <c r="F2194" t="s">
        <v>1890</v>
      </c>
      <c r="G2194" s="554">
        <v>40320</v>
      </c>
      <c r="H2194">
        <v>320.12467200000003</v>
      </c>
    </row>
    <row r="2195" spans="2:8">
      <c r="B2195" s="555" t="s">
        <v>2286</v>
      </c>
      <c r="C2195" s="555" t="str">
        <f>VLOOKUP(D2195,기본!$D$13:$E$74,2,0)</f>
        <v>AV JDM</v>
      </c>
      <c r="D2195" t="s">
        <v>1888</v>
      </c>
      <c r="E2195" t="s">
        <v>2106</v>
      </c>
      <c r="F2195" t="s">
        <v>1256</v>
      </c>
      <c r="G2195" s="554">
        <v>10080</v>
      </c>
      <c r="H2195">
        <v>98.532733824000005</v>
      </c>
    </row>
    <row r="2196" spans="2:8">
      <c r="B2196" s="555" t="s">
        <v>2286</v>
      </c>
      <c r="C2196" s="555" t="str">
        <f>VLOOKUP(D2196,기본!$D$13:$E$74,2,0)</f>
        <v>AV JDM</v>
      </c>
      <c r="D2196" t="s">
        <v>1888</v>
      </c>
      <c r="E2196" t="s">
        <v>1845</v>
      </c>
      <c r="F2196" t="s">
        <v>1340</v>
      </c>
      <c r="G2196" s="554">
        <v>16632</v>
      </c>
      <c r="H2196">
        <v>174.60874793600001</v>
      </c>
    </row>
    <row r="2197" spans="2:8">
      <c r="B2197" s="555" t="s">
        <v>2286</v>
      </c>
      <c r="C2197" s="555" t="str">
        <f>VLOOKUP(D2197,기본!$D$13:$E$74,2,0)</f>
        <v>AV JDM</v>
      </c>
      <c r="D2197" t="s">
        <v>1888</v>
      </c>
      <c r="E2197" t="s">
        <v>1846</v>
      </c>
      <c r="F2197" t="s">
        <v>1341</v>
      </c>
      <c r="G2197" s="554">
        <v>504</v>
      </c>
      <c r="H2197">
        <v>5.7941014319999988</v>
      </c>
    </row>
    <row r="2198" spans="2:8">
      <c r="B2198" s="555" t="s">
        <v>2286</v>
      </c>
      <c r="C2198" s="555" t="str">
        <f>VLOOKUP(D2198,기본!$D$13:$E$74,2,0)</f>
        <v>AV JDM</v>
      </c>
      <c r="D2198" t="s">
        <v>1888</v>
      </c>
      <c r="E2198" t="s">
        <v>1847</v>
      </c>
      <c r="F2198" t="s">
        <v>1336</v>
      </c>
      <c r="G2198" s="554">
        <v>36000</v>
      </c>
      <c r="H2198">
        <v>329.03560799999997</v>
      </c>
    </row>
    <row r="2199" spans="2:8">
      <c r="B2199" s="555" t="s">
        <v>2286</v>
      </c>
      <c r="C2199" s="555" t="str">
        <f>VLOOKUP(D2199,기본!$D$13:$E$74,2,0)</f>
        <v>AV JDM</v>
      </c>
      <c r="D2199" t="s">
        <v>1888</v>
      </c>
      <c r="E2199" t="s">
        <v>1894</v>
      </c>
      <c r="F2199" t="s">
        <v>1337</v>
      </c>
      <c r="G2199" s="554">
        <v>1520</v>
      </c>
      <c r="H2199">
        <v>15.4046298</v>
      </c>
    </row>
    <row r="2200" spans="2:8">
      <c r="B2200" s="555" t="s">
        <v>2286</v>
      </c>
      <c r="C2200" s="555" t="str">
        <f>VLOOKUP(D2200,기본!$D$13:$E$74,2,0)</f>
        <v>AV JDM</v>
      </c>
      <c r="D2200" t="s">
        <v>1888</v>
      </c>
      <c r="E2200" t="s">
        <v>1015</v>
      </c>
      <c r="F2200" t="s">
        <v>1015</v>
      </c>
      <c r="G2200" s="554">
        <v>22848</v>
      </c>
      <c r="H2200">
        <v>161.23239551999998</v>
      </c>
    </row>
    <row r="2201" spans="2:8">
      <c r="B2201" s="555" t="s">
        <v>2286</v>
      </c>
      <c r="C2201" s="555" t="str">
        <f>VLOOKUP(D2201,기본!$D$13:$E$74,2,0)</f>
        <v>AV JDM</v>
      </c>
      <c r="D2201" t="s">
        <v>1888</v>
      </c>
      <c r="E2201" t="s">
        <v>1016</v>
      </c>
      <c r="F2201" t="s">
        <v>1016</v>
      </c>
      <c r="G2201" s="554">
        <v>33344</v>
      </c>
      <c r="H2201">
        <v>278.242839936</v>
      </c>
    </row>
    <row r="2202" spans="2:8">
      <c r="B2202" s="555" t="s">
        <v>2286</v>
      </c>
      <c r="C2202" s="555" t="str">
        <f>VLOOKUP(D2202,기본!$D$13:$E$74,2,0)</f>
        <v>AV JDM</v>
      </c>
      <c r="D2202" t="s">
        <v>1888</v>
      </c>
      <c r="E2202" t="s">
        <v>1047</v>
      </c>
      <c r="F2202" t="s">
        <v>1047</v>
      </c>
      <c r="G2202" s="554">
        <v>1920</v>
      </c>
      <c r="H2202">
        <v>17.408544767999999</v>
      </c>
    </row>
    <row r="2203" spans="2:8">
      <c r="B2203" s="555" t="s">
        <v>2286</v>
      </c>
      <c r="C2203" s="555" t="str">
        <f>VLOOKUP(D2203,기본!$D$13:$E$74,2,0)</f>
        <v>AV JDM</v>
      </c>
      <c r="D2203" t="s">
        <v>1888</v>
      </c>
      <c r="E2203" t="s">
        <v>1895</v>
      </c>
      <c r="F2203" t="s">
        <v>1895</v>
      </c>
      <c r="G2203" s="554">
        <v>9440</v>
      </c>
      <c r="H2203">
        <v>83.210176568000009</v>
      </c>
    </row>
    <row r="2204" spans="2:8">
      <c r="B2204" s="555" t="s">
        <v>2286</v>
      </c>
      <c r="C2204" s="555" t="str">
        <f>VLOOKUP(D2204,기본!$D$13:$E$74,2,0)</f>
        <v>AV JDM</v>
      </c>
      <c r="D2204" t="s">
        <v>1888</v>
      </c>
      <c r="E2204" t="s">
        <v>2160</v>
      </c>
      <c r="F2204" t="s">
        <v>2160</v>
      </c>
      <c r="G2204" s="554">
        <v>4800</v>
      </c>
      <c r="H2204">
        <v>44.949908399999998</v>
      </c>
    </row>
    <row r="2205" spans="2:8">
      <c r="B2205" s="555" t="s">
        <v>2286</v>
      </c>
      <c r="C2205" s="555" t="str">
        <f>VLOOKUP(D2205,기본!$D$13:$E$74,2,0)</f>
        <v>JDM</v>
      </c>
      <c r="D2205" t="s">
        <v>1896</v>
      </c>
      <c r="E2205" t="s">
        <v>1897</v>
      </c>
      <c r="F2205" t="s">
        <v>1897</v>
      </c>
      <c r="G2205" s="554">
        <v>50</v>
      </c>
      <c r="H2205">
        <v>1.9787549999999998</v>
      </c>
    </row>
    <row r="2206" spans="2:8">
      <c r="B2206" s="555" t="s">
        <v>2286</v>
      </c>
      <c r="C2206" s="555" t="str">
        <f>VLOOKUP(D2206,기본!$D$13:$E$74,2,0)</f>
        <v>MNT JDM</v>
      </c>
      <c r="D2206" t="s">
        <v>1898</v>
      </c>
      <c r="E2206" t="s">
        <v>710</v>
      </c>
      <c r="F2206" t="s">
        <v>2162</v>
      </c>
      <c r="G2206" s="554">
        <v>1408</v>
      </c>
      <c r="H2206">
        <v>7.6479349760000011</v>
      </c>
    </row>
    <row r="2207" spans="2:8">
      <c r="B2207" s="555" t="s">
        <v>2286</v>
      </c>
      <c r="C2207" s="555" t="str">
        <f>VLOOKUP(D2207,기본!$D$13:$E$74,2,0)</f>
        <v>AV JDM</v>
      </c>
      <c r="D2207" t="s">
        <v>1899</v>
      </c>
      <c r="E2207" t="s">
        <v>436</v>
      </c>
      <c r="F2207" t="s">
        <v>2210</v>
      </c>
      <c r="G2207" s="554">
        <v>34035</v>
      </c>
      <c r="H2207">
        <v>297.67236330999998</v>
      </c>
    </row>
    <row r="2208" spans="2:8">
      <c r="B2208" s="555" t="s">
        <v>2286</v>
      </c>
      <c r="C2208" s="555" t="str">
        <f>VLOOKUP(D2208,기본!$D$13:$E$74,2,0)</f>
        <v>MNT JDM</v>
      </c>
      <c r="D2208" t="s">
        <v>1900</v>
      </c>
      <c r="E2208" t="s">
        <v>709</v>
      </c>
      <c r="F2208" t="s">
        <v>2115</v>
      </c>
      <c r="G2208" s="554">
        <v>39072</v>
      </c>
      <c r="H2208">
        <v>176.78316902400002</v>
      </c>
    </row>
    <row r="2209" spans="2:8">
      <c r="B2209" s="555" t="s">
        <v>2286</v>
      </c>
      <c r="C2209" s="555" t="str">
        <f>VLOOKUP(D2209,기본!$D$13:$E$74,2,0)</f>
        <v>MNT JDM</v>
      </c>
      <c r="D2209" t="s">
        <v>1900</v>
      </c>
      <c r="E2209" t="s">
        <v>1156</v>
      </c>
      <c r="F2209" t="s">
        <v>2116</v>
      </c>
      <c r="G2209" s="554">
        <v>4224</v>
      </c>
      <c r="H2209">
        <v>23.389132799999999</v>
      </c>
    </row>
    <row r="2210" spans="2:8">
      <c r="B2210" s="555" t="s">
        <v>2286</v>
      </c>
      <c r="C2210" s="555" t="str">
        <f>VLOOKUP(D2210,기본!$D$13:$E$74,2,0)</f>
        <v>MNT JDM</v>
      </c>
      <c r="D2210" t="s">
        <v>1900</v>
      </c>
      <c r="E2210" t="s">
        <v>1157</v>
      </c>
      <c r="F2210" t="s">
        <v>2233</v>
      </c>
      <c r="G2210" s="554">
        <v>5280</v>
      </c>
      <c r="H2210">
        <v>34.742577408000002</v>
      </c>
    </row>
    <row r="2211" spans="2:8">
      <c r="B2211" s="555" t="s">
        <v>2286</v>
      </c>
      <c r="C2211" s="555" t="str">
        <f>VLOOKUP(D2211,기본!$D$13:$E$74,2,0)</f>
        <v>MNT JDM</v>
      </c>
      <c r="D2211" t="s">
        <v>2259</v>
      </c>
      <c r="E2211" t="s">
        <v>709</v>
      </c>
      <c r="F2211" t="s">
        <v>1869</v>
      </c>
      <c r="G2211" s="554">
        <v>1000</v>
      </c>
      <c r="H2211">
        <v>4.6570029999999996</v>
      </c>
    </row>
    <row r="2212" spans="2:8">
      <c r="B2212" s="555" t="s">
        <v>2286</v>
      </c>
      <c r="C2212" s="555" t="str">
        <f>VLOOKUP(D2212,기본!$D$13:$E$74,2,0)</f>
        <v>코웨이</v>
      </c>
      <c r="D2212" t="s">
        <v>1905</v>
      </c>
      <c r="E2212" t="s">
        <v>1067</v>
      </c>
      <c r="F2212" t="s">
        <v>1067</v>
      </c>
      <c r="G2212" s="554">
        <v>2448</v>
      </c>
      <c r="H2212">
        <v>16.157328767999999</v>
      </c>
    </row>
    <row r="2213" spans="2:8">
      <c r="B2213" s="555" t="s">
        <v>2286</v>
      </c>
      <c r="C2213" s="555" t="str">
        <f>VLOOKUP(D2213,기본!$D$13:$E$74,2,0)</f>
        <v>코웨이</v>
      </c>
      <c r="D2213" t="s">
        <v>1905</v>
      </c>
      <c r="E2213" t="s">
        <v>1066</v>
      </c>
      <c r="F2213" t="s">
        <v>1066</v>
      </c>
      <c r="G2213" s="554">
        <v>2240</v>
      </c>
      <c r="H2213">
        <v>18.480604799999998</v>
      </c>
    </row>
    <row r="2214" spans="2:8">
      <c r="B2214" s="555" t="s">
        <v>2286</v>
      </c>
      <c r="C2214" s="555" t="str">
        <f>VLOOKUP(D2214,기본!$D$13:$E$74,2,0)</f>
        <v>코웨이</v>
      </c>
      <c r="D2214" t="s">
        <v>1905</v>
      </c>
      <c r="E2214" t="s">
        <v>2234</v>
      </c>
      <c r="F2214" t="s">
        <v>2234</v>
      </c>
      <c r="G2214" s="554">
        <v>720</v>
      </c>
      <c r="H2214">
        <v>6.5092550399999993</v>
      </c>
    </row>
    <row r="2215" spans="2:8">
      <c r="B2215" s="555" t="s">
        <v>2286</v>
      </c>
      <c r="C2215" s="555" t="str">
        <f>VLOOKUP(D2215,기본!$D$13:$E$74,2,0)</f>
        <v>코웨이</v>
      </c>
      <c r="D2215" t="s">
        <v>1905</v>
      </c>
      <c r="E2215" t="s">
        <v>1906</v>
      </c>
      <c r="F2215" t="s">
        <v>1906</v>
      </c>
      <c r="G2215" s="554">
        <v>40320</v>
      </c>
      <c r="H2215">
        <v>272.64236832000006</v>
      </c>
    </row>
    <row r="2216" spans="2:8">
      <c r="B2216" s="555" t="s">
        <v>2286</v>
      </c>
      <c r="C2216" s="555" t="str">
        <f>VLOOKUP(D2216,기본!$D$13:$E$74,2,0)</f>
        <v>코웨이</v>
      </c>
      <c r="D2216" t="s">
        <v>1905</v>
      </c>
      <c r="E2216" t="s">
        <v>1907</v>
      </c>
      <c r="F2216" t="s">
        <v>1907</v>
      </c>
      <c r="G2216" s="554">
        <v>1000</v>
      </c>
      <c r="H2216">
        <v>7.5558870000000002</v>
      </c>
    </row>
    <row r="2217" spans="2:8">
      <c r="B2217" s="555" t="s">
        <v>2286</v>
      </c>
      <c r="C2217" s="555" t="str">
        <f>VLOOKUP(D2217,기본!$D$13:$E$74,2,0)</f>
        <v>코웨이</v>
      </c>
      <c r="D2217" t="s">
        <v>1905</v>
      </c>
      <c r="E2217" t="s">
        <v>1909</v>
      </c>
      <c r="F2217" t="s">
        <v>1909</v>
      </c>
      <c r="G2217" s="554">
        <v>1992</v>
      </c>
      <c r="H2217">
        <v>11.377596840000002</v>
      </c>
    </row>
    <row r="2218" spans="2:8">
      <c r="B2218" s="555" t="s">
        <v>2286</v>
      </c>
      <c r="C2218" s="555" t="str">
        <f>VLOOKUP(D2218,기본!$D$13:$E$74,2,0)</f>
        <v>코웨이</v>
      </c>
      <c r="D2218" t="s">
        <v>1905</v>
      </c>
      <c r="E2218" t="s">
        <v>2165</v>
      </c>
      <c r="F2218" t="s">
        <v>2165</v>
      </c>
      <c r="G2218" s="554">
        <v>1744</v>
      </c>
      <c r="H2218">
        <v>11.281255840000002</v>
      </c>
    </row>
    <row r="2219" spans="2:8">
      <c r="B2219" s="555" t="s">
        <v>2286</v>
      </c>
      <c r="C2219" s="555" t="str">
        <f>VLOOKUP(D2219,기본!$D$13:$E$74,2,0)</f>
        <v>코웨이</v>
      </c>
      <c r="D2219" t="s">
        <v>1905</v>
      </c>
      <c r="E2219" t="s">
        <v>1910</v>
      </c>
      <c r="F2219" t="s">
        <v>1910</v>
      </c>
      <c r="G2219" s="554">
        <v>3086</v>
      </c>
      <c r="H2219">
        <v>18.897022247999999</v>
      </c>
    </row>
    <row r="2220" spans="2:8">
      <c r="B2220" s="555" t="s">
        <v>2286</v>
      </c>
      <c r="C2220" s="555" t="str">
        <f>VLOOKUP(D2220,기본!$D$13:$E$74,2,0)</f>
        <v>삼성 VD</v>
      </c>
      <c r="D2220" t="s">
        <v>1912</v>
      </c>
      <c r="E2220" t="s">
        <v>1165</v>
      </c>
      <c r="F2220" t="s">
        <v>1882</v>
      </c>
      <c r="G2220" s="554">
        <v>198</v>
      </c>
      <c r="H2220">
        <v>5.9688367199999997</v>
      </c>
    </row>
    <row r="2221" spans="2:8">
      <c r="B2221" s="555" t="s">
        <v>2286</v>
      </c>
      <c r="C2221" s="555" t="str">
        <f>VLOOKUP(D2221,기본!$D$13:$E$74,2,0)</f>
        <v>삼성 VD</v>
      </c>
      <c r="D2221" t="s">
        <v>1912</v>
      </c>
      <c r="E2221" t="s">
        <v>1164</v>
      </c>
      <c r="F2221" t="s">
        <v>1850</v>
      </c>
      <c r="G2221" s="554">
        <v>2838</v>
      </c>
      <c r="H2221">
        <v>77.522457456000012</v>
      </c>
    </row>
    <row r="2222" spans="2:8">
      <c r="B2222" s="555" t="s">
        <v>2286</v>
      </c>
      <c r="C2222" s="555" t="str">
        <f>VLOOKUP(D2222,기본!$D$13:$E$74,2,0)</f>
        <v>삼성 VD</v>
      </c>
      <c r="D2222" t="s">
        <v>1912</v>
      </c>
      <c r="E2222" t="s">
        <v>1853</v>
      </c>
      <c r="F2222" t="s">
        <v>1854</v>
      </c>
      <c r="G2222" s="554">
        <v>1170</v>
      </c>
      <c r="H2222">
        <v>16.478234640000004</v>
      </c>
    </row>
    <row r="2223" spans="2:8">
      <c r="B2223" s="555" t="s">
        <v>2286</v>
      </c>
      <c r="C2223" s="555" t="str">
        <f>VLOOKUP(D2223,기본!$D$13:$E$74,2,0)</f>
        <v>삼성 VD</v>
      </c>
      <c r="D2223" t="s">
        <v>1912</v>
      </c>
      <c r="E2223" t="s">
        <v>1855</v>
      </c>
      <c r="F2223" t="s">
        <v>1856</v>
      </c>
      <c r="G2223" s="554">
        <v>2070</v>
      </c>
      <c r="H2223">
        <v>29.578393943999998</v>
      </c>
    </row>
    <row r="2224" spans="2:8">
      <c r="B2224" s="555" t="s">
        <v>2286</v>
      </c>
      <c r="C2224" s="555" t="str">
        <f>VLOOKUP(D2224,기본!$D$13:$E$74,2,0)</f>
        <v>삼성 VD</v>
      </c>
      <c r="D2224" t="s">
        <v>1912</v>
      </c>
      <c r="E2224" t="s">
        <v>1874</v>
      </c>
      <c r="F2224" t="s">
        <v>1875</v>
      </c>
      <c r="G2224" s="554">
        <v>1380</v>
      </c>
      <c r="H2224">
        <v>21.670073208000005</v>
      </c>
    </row>
    <row r="2225" spans="2:8">
      <c r="B2225" s="555" t="s">
        <v>2286</v>
      </c>
      <c r="C2225" s="555" t="str">
        <f>VLOOKUP(D2225,기본!$D$13:$E$74,2,0)</f>
        <v>삼성 VD</v>
      </c>
      <c r="D2225" t="s">
        <v>1912</v>
      </c>
      <c r="E2225" t="s">
        <v>1865</v>
      </c>
      <c r="F2225" t="s">
        <v>1866</v>
      </c>
      <c r="G2225" s="554">
        <v>504</v>
      </c>
      <c r="H2225">
        <v>20.679948576000001</v>
      </c>
    </row>
    <row r="2226" spans="2:8">
      <c r="B2226" s="555" t="s">
        <v>2286</v>
      </c>
      <c r="C2226" s="555" t="str">
        <f>VLOOKUP(D2226,기본!$D$13:$E$74,2,0)</f>
        <v>삼성 VD</v>
      </c>
      <c r="D2226" t="s">
        <v>1912</v>
      </c>
      <c r="E2226" t="s">
        <v>1788</v>
      </c>
      <c r="F2226" t="s">
        <v>1913</v>
      </c>
      <c r="G2226" s="554">
        <v>91584</v>
      </c>
      <c r="H2226">
        <v>1132.440642432</v>
      </c>
    </row>
    <row r="2227" spans="2:8">
      <c r="B2227" s="555" t="s">
        <v>2286</v>
      </c>
      <c r="C2227" s="555" t="str">
        <f>VLOOKUP(D2227,기본!$D$13:$E$74,2,0)</f>
        <v>삼성 VD</v>
      </c>
      <c r="D2227" t="s">
        <v>1912</v>
      </c>
      <c r="E2227" t="s">
        <v>1790</v>
      </c>
      <c r="F2227" t="s">
        <v>1914</v>
      </c>
      <c r="G2227" s="554">
        <v>34056</v>
      </c>
      <c r="H2227">
        <v>463.24636934399996</v>
      </c>
    </row>
    <row r="2228" spans="2:8">
      <c r="B2228" s="555" t="s">
        <v>2286</v>
      </c>
      <c r="C2228" s="555" t="str">
        <f>VLOOKUP(D2228,기본!$D$13:$E$74,2,0)</f>
        <v>삼성 VD</v>
      </c>
      <c r="D2228" t="s">
        <v>1912</v>
      </c>
      <c r="E2228" t="s">
        <v>1792</v>
      </c>
      <c r="F2228" t="s">
        <v>1915</v>
      </c>
      <c r="G2228" s="554">
        <v>10368</v>
      </c>
      <c r="H2228">
        <v>184.80580876799999</v>
      </c>
    </row>
    <row r="2229" spans="2:8">
      <c r="B2229" s="555" t="s">
        <v>2286</v>
      </c>
      <c r="C2229" s="555" t="str">
        <f>VLOOKUP(D2229,기본!$D$13:$E$74,2,0)</f>
        <v>삼성 VD</v>
      </c>
      <c r="D2229" t="s">
        <v>1916</v>
      </c>
      <c r="E2229" t="s">
        <v>1165</v>
      </c>
      <c r="F2229" t="s">
        <v>1882</v>
      </c>
      <c r="G2229" s="554">
        <v>246</v>
      </c>
      <c r="H2229">
        <v>7.404432936000001</v>
      </c>
    </row>
    <row r="2230" spans="2:8">
      <c r="B2230" s="555" t="s">
        <v>2286</v>
      </c>
      <c r="C2230" s="555" t="str">
        <f>VLOOKUP(D2230,기본!$D$13:$E$74,2,0)</f>
        <v>삼성 VD</v>
      </c>
      <c r="D2230" t="s">
        <v>1916</v>
      </c>
      <c r="E2230" t="s">
        <v>1164</v>
      </c>
      <c r="F2230" t="s">
        <v>1850</v>
      </c>
      <c r="G2230" s="554">
        <v>366</v>
      </c>
      <c r="H2230">
        <v>9.9795826319999996</v>
      </c>
    </row>
    <row r="2231" spans="2:8">
      <c r="B2231" s="555" t="s">
        <v>2286</v>
      </c>
      <c r="C2231" s="555" t="str">
        <f>VLOOKUP(D2231,기본!$D$13:$E$74,2,0)</f>
        <v>삼성 VD</v>
      </c>
      <c r="D2231" t="s">
        <v>1916</v>
      </c>
      <c r="E2231" t="s">
        <v>1851</v>
      </c>
      <c r="F2231" t="s">
        <v>1852</v>
      </c>
      <c r="G2231" s="554">
        <v>3648</v>
      </c>
      <c r="H2231">
        <v>27.562280640000004</v>
      </c>
    </row>
    <row r="2232" spans="2:8">
      <c r="B2232" s="555" t="s">
        <v>2286</v>
      </c>
      <c r="C2232" s="555" t="str">
        <f>VLOOKUP(D2232,기본!$D$13:$E$74,2,0)</f>
        <v>삼성 VD</v>
      </c>
      <c r="D2232" t="s">
        <v>1916</v>
      </c>
      <c r="E2232" t="s">
        <v>1853</v>
      </c>
      <c r="F2232" t="s">
        <v>1854</v>
      </c>
      <c r="G2232" s="554">
        <v>210</v>
      </c>
      <c r="H2232">
        <v>2.9255259900000006</v>
      </c>
    </row>
    <row r="2233" spans="2:8">
      <c r="B2233" s="555" t="s">
        <v>2286</v>
      </c>
      <c r="C2233" s="555" t="str">
        <f>VLOOKUP(D2233,기본!$D$13:$E$74,2,0)</f>
        <v>삼성 VD</v>
      </c>
      <c r="D2233" t="s">
        <v>1916</v>
      </c>
      <c r="E2233" t="s">
        <v>1855</v>
      </c>
      <c r="F2233" t="s">
        <v>1856</v>
      </c>
      <c r="G2233" s="554">
        <v>161</v>
      </c>
      <c r="H2233">
        <v>2.2882881700000004</v>
      </c>
    </row>
    <row r="2234" spans="2:8">
      <c r="B2234" s="555" t="s">
        <v>2286</v>
      </c>
      <c r="C2234" s="555" t="str">
        <f>VLOOKUP(D2234,기본!$D$13:$E$74,2,0)</f>
        <v>삼성 VD</v>
      </c>
      <c r="D2234" t="s">
        <v>1916</v>
      </c>
      <c r="E2234" t="s">
        <v>1874</v>
      </c>
      <c r="F2234" t="s">
        <v>1875</v>
      </c>
      <c r="G2234" s="554">
        <v>161</v>
      </c>
      <c r="H2234">
        <v>2.4974396130000001</v>
      </c>
    </row>
    <row r="2235" spans="2:8">
      <c r="B2235" s="555" t="s">
        <v>2286</v>
      </c>
      <c r="C2235" s="555" t="str">
        <f>VLOOKUP(D2235,기본!$D$13:$E$74,2,0)</f>
        <v>삼성 VD</v>
      </c>
      <c r="D2235" t="s">
        <v>1916</v>
      </c>
      <c r="E2235" t="s">
        <v>1786</v>
      </c>
      <c r="F2235" t="s">
        <v>1671</v>
      </c>
      <c r="G2235" s="554">
        <v>7776</v>
      </c>
      <c r="H2235">
        <v>85.939152012000008</v>
      </c>
    </row>
    <row r="2236" spans="2:8">
      <c r="B2236" s="555" t="s">
        <v>2286</v>
      </c>
      <c r="C2236" s="555" t="str">
        <f>VLOOKUP(D2236,기본!$D$13:$E$74,2,0)</f>
        <v>삼성 VD</v>
      </c>
      <c r="D2236" t="s">
        <v>1916</v>
      </c>
      <c r="E2236" t="s">
        <v>1777</v>
      </c>
      <c r="F2236" t="s">
        <v>1672</v>
      </c>
      <c r="G2236" s="554">
        <v>5148</v>
      </c>
      <c r="H2236">
        <v>59.265784800000006</v>
      </c>
    </row>
    <row r="2237" spans="2:8">
      <c r="B2237" s="555" t="s">
        <v>2286</v>
      </c>
      <c r="C2237" s="555" t="str">
        <f>VLOOKUP(D2237,기본!$D$13:$E$74,2,0)</f>
        <v>삼성 VD</v>
      </c>
      <c r="D2237" t="s">
        <v>1916</v>
      </c>
      <c r="E2237" t="s">
        <v>2260</v>
      </c>
      <c r="F2237" t="s">
        <v>1774</v>
      </c>
      <c r="G2237" s="554">
        <v>109</v>
      </c>
      <c r="H2237">
        <v>1.1836317629999999</v>
      </c>
    </row>
    <row r="2238" spans="2:8">
      <c r="B2238" s="555" t="s">
        <v>2286</v>
      </c>
      <c r="C2238" s="555" t="str">
        <f>VLOOKUP(D2238,기본!$D$13:$E$74,2,0)</f>
        <v>삼성 VD</v>
      </c>
      <c r="D2238" t="s">
        <v>1916</v>
      </c>
      <c r="E2238" t="s">
        <v>1788</v>
      </c>
      <c r="F2238" t="s">
        <v>1913</v>
      </c>
      <c r="G2238" s="554">
        <v>13824</v>
      </c>
      <c r="H2238">
        <v>171.38906899200001</v>
      </c>
    </row>
    <row r="2239" spans="2:8">
      <c r="B2239" s="555" t="s">
        <v>2286</v>
      </c>
      <c r="C2239" s="555" t="str">
        <f>VLOOKUP(D2239,기본!$D$13:$E$74,2,0)</f>
        <v>삼성 VD</v>
      </c>
      <c r="D2239" t="s">
        <v>1916</v>
      </c>
      <c r="E2239" t="s">
        <v>1778</v>
      </c>
      <c r="F2239" t="s">
        <v>1919</v>
      </c>
      <c r="G2239" s="554">
        <v>39852</v>
      </c>
      <c r="H2239">
        <v>516.90124825200007</v>
      </c>
    </row>
    <row r="2240" spans="2:8">
      <c r="B2240" s="555" t="s">
        <v>2286</v>
      </c>
      <c r="C2240" s="555" t="str">
        <f>VLOOKUP(D2240,기본!$D$13:$E$74,2,0)</f>
        <v>삼성 VD</v>
      </c>
      <c r="D2240" t="s">
        <v>1916</v>
      </c>
      <c r="E2240" t="s">
        <v>1790</v>
      </c>
      <c r="F2240" t="s">
        <v>1914</v>
      </c>
      <c r="G2240" s="554">
        <v>5511</v>
      </c>
      <c r="H2240">
        <v>75.317823570000002</v>
      </c>
    </row>
    <row r="2241" spans="2:8">
      <c r="B2241" s="555" t="s">
        <v>2286</v>
      </c>
      <c r="C2241" s="555" t="str">
        <f>VLOOKUP(D2241,기본!$D$13:$E$74,2,0)</f>
        <v>삼성 VD</v>
      </c>
      <c r="D2241" t="s">
        <v>1916</v>
      </c>
      <c r="E2241" t="s">
        <v>1779</v>
      </c>
      <c r="F2241" t="s">
        <v>1920</v>
      </c>
      <c r="G2241" s="554">
        <v>22176</v>
      </c>
      <c r="H2241">
        <v>321.26431471199999</v>
      </c>
    </row>
    <row r="2242" spans="2:8">
      <c r="B2242" s="555" t="s">
        <v>2286</v>
      </c>
      <c r="C2242" s="555" t="str">
        <f>VLOOKUP(D2242,기본!$D$13:$E$74,2,0)</f>
        <v>삼성 VD</v>
      </c>
      <c r="D2242" t="s">
        <v>1916</v>
      </c>
      <c r="E2242" t="s">
        <v>1792</v>
      </c>
      <c r="F2242" t="s">
        <v>1915</v>
      </c>
      <c r="G2242" s="554">
        <v>4752</v>
      </c>
      <c r="H2242">
        <v>84.95859484799999</v>
      </c>
    </row>
    <row r="2243" spans="2:8">
      <c r="B2243" s="555" t="s">
        <v>2286</v>
      </c>
      <c r="C2243" s="555" t="str">
        <f>VLOOKUP(D2243,기본!$D$13:$E$74,2,0)</f>
        <v>삼성 VD</v>
      </c>
      <c r="D2243" t="s">
        <v>1916</v>
      </c>
      <c r="E2243" t="s">
        <v>1921</v>
      </c>
      <c r="F2243" t="s">
        <v>1922</v>
      </c>
      <c r="G2243" s="554">
        <v>2160</v>
      </c>
      <c r="H2243">
        <v>51.314497919999994</v>
      </c>
    </row>
    <row r="2244" spans="2:8">
      <c r="B2244" s="555" t="s">
        <v>2286</v>
      </c>
      <c r="C2244" s="555" t="str">
        <f>VLOOKUP(D2244,기본!$D$13:$E$74,2,0)</f>
        <v>삼성 VD</v>
      </c>
      <c r="D2244" t="s">
        <v>1916</v>
      </c>
      <c r="E2244" t="s">
        <v>1923</v>
      </c>
      <c r="F2244" t="s">
        <v>1924</v>
      </c>
      <c r="G2244" s="554">
        <v>19008</v>
      </c>
      <c r="H2244">
        <v>89.479859040000008</v>
      </c>
    </row>
    <row r="2245" spans="2:8">
      <c r="B2245" s="555" t="s">
        <v>2286</v>
      </c>
      <c r="C2245" s="555" t="str">
        <f>VLOOKUP(D2245,기본!$D$13:$E$74,2,0)</f>
        <v>삼성 VD</v>
      </c>
      <c r="D2245" t="s">
        <v>1916</v>
      </c>
      <c r="E2245" t="s">
        <v>709</v>
      </c>
      <c r="F2245" t="s">
        <v>1869</v>
      </c>
      <c r="G2245" s="554">
        <v>9504</v>
      </c>
      <c r="H2245">
        <v>32.809128000000001</v>
      </c>
    </row>
    <row r="2246" spans="2:8">
      <c r="B2246" s="555" t="s">
        <v>2286</v>
      </c>
      <c r="C2246" s="555" t="str">
        <f>VLOOKUP(D2246,기본!$D$13:$E$74,2,0)</f>
        <v>삼성 VD</v>
      </c>
      <c r="D2246" t="s">
        <v>1916</v>
      </c>
      <c r="E2246" t="s">
        <v>710</v>
      </c>
      <c r="F2246" t="s">
        <v>1947</v>
      </c>
      <c r="G2246" s="554">
        <v>264</v>
      </c>
      <c r="H2246">
        <v>1.221273504</v>
      </c>
    </row>
    <row r="2247" spans="2:8">
      <c r="B2247" s="555" t="s">
        <v>2286</v>
      </c>
      <c r="C2247" s="555" t="str">
        <f>VLOOKUP(D2247,기본!$D$13:$E$74,2,0)</f>
        <v>삼성 VD</v>
      </c>
      <c r="D2247" t="s">
        <v>1927</v>
      </c>
      <c r="E2247" t="s">
        <v>2119</v>
      </c>
      <c r="F2247" t="s">
        <v>2120</v>
      </c>
      <c r="G2247" s="554">
        <v>10920</v>
      </c>
      <c r="H2247">
        <v>213.31068211199999</v>
      </c>
    </row>
    <row r="2248" spans="2:8">
      <c r="B2248" s="555" t="s">
        <v>2286</v>
      </c>
      <c r="C2248" s="555" t="str">
        <f>VLOOKUP(D2248,기본!$D$13:$E$74,2,0)</f>
        <v>삼성 VD</v>
      </c>
      <c r="D2248" t="s">
        <v>1927</v>
      </c>
      <c r="E2248" t="s">
        <v>1165</v>
      </c>
      <c r="F2248" t="s">
        <v>1882</v>
      </c>
      <c r="G2248" s="554">
        <v>6480</v>
      </c>
      <c r="H2248">
        <v>194.47196700000001</v>
      </c>
    </row>
    <row r="2249" spans="2:8">
      <c r="B2249" s="555" t="s">
        <v>2286</v>
      </c>
      <c r="C2249" s="555" t="str">
        <f>VLOOKUP(D2249,기본!$D$13:$E$74,2,0)</f>
        <v>삼성 VD</v>
      </c>
      <c r="D2249" t="s">
        <v>1927</v>
      </c>
      <c r="E2249" t="s">
        <v>1164</v>
      </c>
      <c r="F2249" t="s">
        <v>1850</v>
      </c>
      <c r="G2249" s="554">
        <v>5832</v>
      </c>
      <c r="H2249">
        <v>159.05786818000001</v>
      </c>
    </row>
    <row r="2250" spans="2:8">
      <c r="B2250" s="555" t="s">
        <v>2286</v>
      </c>
      <c r="C2250" s="555" t="str">
        <f>VLOOKUP(D2250,기본!$D$13:$E$74,2,0)</f>
        <v>삼성 VD</v>
      </c>
      <c r="D2250" t="s">
        <v>1927</v>
      </c>
      <c r="E2250" t="s">
        <v>1851</v>
      </c>
      <c r="F2250" t="s">
        <v>1852</v>
      </c>
      <c r="G2250" s="554">
        <v>3840</v>
      </c>
      <c r="H2250">
        <v>28.985907840000007</v>
      </c>
    </row>
    <row r="2251" spans="2:8">
      <c r="B2251" s="555" t="s">
        <v>2286</v>
      </c>
      <c r="C2251" s="555" t="str">
        <f>VLOOKUP(D2251,기본!$D$13:$E$74,2,0)</f>
        <v>삼성 VD</v>
      </c>
      <c r="D2251" t="s">
        <v>1927</v>
      </c>
      <c r="E2251" t="s">
        <v>1917</v>
      </c>
      <c r="F2251" t="s">
        <v>1918</v>
      </c>
      <c r="G2251" s="554">
        <v>2688</v>
      </c>
      <c r="H2251">
        <v>23.661989760000001</v>
      </c>
    </row>
    <row r="2252" spans="2:8">
      <c r="B2252" s="555" t="s">
        <v>2286</v>
      </c>
      <c r="C2252" s="555" t="str">
        <f>VLOOKUP(D2252,기본!$D$13:$E$74,2,0)</f>
        <v>삼성 VD</v>
      </c>
      <c r="D2252" t="s">
        <v>1927</v>
      </c>
      <c r="E2252" t="s">
        <v>1874</v>
      </c>
      <c r="F2252" t="s">
        <v>1875</v>
      </c>
      <c r="G2252" s="554">
        <v>1601</v>
      </c>
      <c r="H2252">
        <v>25.047071747999997</v>
      </c>
    </row>
    <row r="2253" spans="2:8">
      <c r="B2253" s="555" t="s">
        <v>2286</v>
      </c>
      <c r="C2253" s="555" t="str">
        <f>VLOOKUP(D2253,기본!$D$13:$E$74,2,0)</f>
        <v>삼성 VD</v>
      </c>
      <c r="D2253" t="s">
        <v>1927</v>
      </c>
      <c r="E2253" t="s">
        <v>1928</v>
      </c>
      <c r="F2253" t="s">
        <v>1929</v>
      </c>
      <c r="G2253" s="554">
        <v>3480</v>
      </c>
      <c r="H2253">
        <v>35.282079447000001</v>
      </c>
    </row>
    <row r="2254" spans="2:8">
      <c r="B2254" s="555" t="s">
        <v>2286</v>
      </c>
      <c r="C2254" s="555" t="str">
        <f>VLOOKUP(D2254,기본!$D$13:$E$74,2,0)</f>
        <v>삼성 VD</v>
      </c>
      <c r="D2254" t="s">
        <v>1927</v>
      </c>
      <c r="E2254" t="s">
        <v>1036</v>
      </c>
      <c r="F2254" t="s">
        <v>1035</v>
      </c>
      <c r="G2254" s="554">
        <v>240</v>
      </c>
      <c r="H2254">
        <v>2.6200824000000003</v>
      </c>
    </row>
    <row r="2255" spans="2:8">
      <c r="B2255" s="555" t="s">
        <v>2286</v>
      </c>
      <c r="C2255" s="555" t="str">
        <f>VLOOKUP(D2255,기본!$D$13:$E$74,2,0)</f>
        <v>삼성 VD</v>
      </c>
      <c r="D2255" t="s">
        <v>1927</v>
      </c>
      <c r="E2255" t="s">
        <v>1859</v>
      </c>
      <c r="F2255" t="s">
        <v>1860</v>
      </c>
      <c r="G2255" s="554">
        <v>9648</v>
      </c>
      <c r="H2255">
        <v>172.499206176</v>
      </c>
    </row>
    <row r="2256" spans="2:8">
      <c r="B2256" s="555" t="s">
        <v>2286</v>
      </c>
      <c r="C2256" s="555" t="str">
        <f>VLOOKUP(D2256,기본!$D$13:$E$74,2,0)</f>
        <v>삼성 VD</v>
      </c>
      <c r="D2256" t="s">
        <v>1927</v>
      </c>
      <c r="E2256" t="s">
        <v>1930</v>
      </c>
      <c r="F2256" t="s">
        <v>1931</v>
      </c>
      <c r="G2256" s="554">
        <v>7956</v>
      </c>
      <c r="H2256">
        <v>52.433712677999999</v>
      </c>
    </row>
    <row r="2257" spans="2:8">
      <c r="B2257" s="555" t="s">
        <v>2286</v>
      </c>
      <c r="C2257" s="555" t="str">
        <f>VLOOKUP(D2257,기본!$D$13:$E$74,2,0)</f>
        <v>삼성 VD</v>
      </c>
      <c r="D2257" t="s">
        <v>1927</v>
      </c>
      <c r="E2257" t="s">
        <v>1309</v>
      </c>
      <c r="F2257" t="s">
        <v>1308</v>
      </c>
      <c r="G2257" s="554">
        <v>9792</v>
      </c>
      <c r="H2257">
        <v>217.74227328000003</v>
      </c>
    </row>
    <row r="2258" spans="2:8">
      <c r="B2258" s="555" t="s">
        <v>2286</v>
      </c>
      <c r="C2258" s="555" t="str">
        <f>VLOOKUP(D2258,기본!$D$13:$E$74,2,0)</f>
        <v>삼성 VD</v>
      </c>
      <c r="D2258" t="s">
        <v>1927</v>
      </c>
      <c r="E2258" t="s">
        <v>1311</v>
      </c>
      <c r="F2258" t="s">
        <v>1310</v>
      </c>
      <c r="G2258" s="554">
        <v>768</v>
      </c>
      <c r="H2258">
        <v>18.347159808000001</v>
      </c>
    </row>
    <row r="2259" spans="2:8">
      <c r="B2259" s="555" t="s">
        <v>2286</v>
      </c>
      <c r="C2259" s="555" t="str">
        <f>VLOOKUP(D2259,기본!$D$13:$E$74,2,0)</f>
        <v>삼성 VD</v>
      </c>
      <c r="D2259" t="s">
        <v>1927</v>
      </c>
      <c r="E2259" t="s">
        <v>1313</v>
      </c>
      <c r="F2259" t="s">
        <v>1312</v>
      </c>
      <c r="G2259" s="554">
        <v>1872</v>
      </c>
      <c r="H2259">
        <v>41.71160952000001</v>
      </c>
    </row>
    <row r="2260" spans="2:8">
      <c r="B2260" s="555" t="s">
        <v>2286</v>
      </c>
      <c r="C2260" s="555" t="str">
        <f>VLOOKUP(D2260,기본!$D$13:$E$74,2,0)</f>
        <v>삼성 VD</v>
      </c>
      <c r="D2260" t="s">
        <v>1927</v>
      </c>
      <c r="E2260" t="s">
        <v>1865</v>
      </c>
      <c r="F2260" t="s">
        <v>1866</v>
      </c>
      <c r="G2260" s="554">
        <v>7488</v>
      </c>
      <c r="H2260">
        <v>305.57788707600002</v>
      </c>
    </row>
    <row r="2261" spans="2:8">
      <c r="B2261" s="555" t="s">
        <v>2286</v>
      </c>
      <c r="C2261" s="555" t="str">
        <f>VLOOKUP(D2261,기본!$D$13:$E$74,2,0)</f>
        <v>삼성 VD</v>
      </c>
      <c r="D2261" t="s">
        <v>1927</v>
      </c>
      <c r="E2261" t="s">
        <v>1932</v>
      </c>
      <c r="F2261" t="s">
        <v>1933</v>
      </c>
      <c r="G2261" s="554">
        <v>13284</v>
      </c>
      <c r="H2261">
        <v>221.90537407800002</v>
      </c>
    </row>
    <row r="2262" spans="2:8">
      <c r="B2262" s="555" t="s">
        <v>2286</v>
      </c>
      <c r="C2262" s="555" t="str">
        <f>VLOOKUP(D2262,기본!$D$13:$E$74,2,0)</f>
        <v>삼성 VD</v>
      </c>
      <c r="D2262" t="s">
        <v>1927</v>
      </c>
      <c r="E2262" t="s">
        <v>1786</v>
      </c>
      <c r="F2262" t="s">
        <v>1671</v>
      </c>
      <c r="G2262" s="554">
        <v>2412</v>
      </c>
      <c r="H2262">
        <v>26.772495696000004</v>
      </c>
    </row>
    <row r="2263" spans="2:8">
      <c r="B2263" s="555" t="s">
        <v>2286</v>
      </c>
      <c r="C2263" s="555" t="str">
        <f>VLOOKUP(D2263,기본!$D$13:$E$74,2,0)</f>
        <v>삼성 VD</v>
      </c>
      <c r="D2263" t="s">
        <v>1927</v>
      </c>
      <c r="E2263" t="s">
        <v>2272</v>
      </c>
      <c r="F2263" t="s">
        <v>1785</v>
      </c>
      <c r="G2263" s="554">
        <v>15804</v>
      </c>
      <c r="H2263">
        <v>174.90206199599999</v>
      </c>
    </row>
    <row r="2264" spans="2:8">
      <c r="B2264" s="555" t="s">
        <v>2286</v>
      </c>
      <c r="C2264" s="555" t="str">
        <f>VLOOKUP(D2264,기본!$D$13:$E$74,2,0)</f>
        <v>삼성 VD</v>
      </c>
      <c r="D2264" t="s">
        <v>1927</v>
      </c>
      <c r="E2264" t="s">
        <v>1788</v>
      </c>
      <c r="F2264" t="s">
        <v>1913</v>
      </c>
      <c r="G2264" s="554">
        <v>2844</v>
      </c>
      <c r="H2264">
        <v>35.311673304000003</v>
      </c>
    </row>
    <row r="2265" spans="2:8">
      <c r="B2265" s="555" t="s">
        <v>2286</v>
      </c>
      <c r="C2265" s="555" t="str">
        <f>VLOOKUP(D2265,기본!$D$13:$E$74,2,0)</f>
        <v>삼성 VD</v>
      </c>
      <c r="D2265" t="s">
        <v>1927</v>
      </c>
      <c r="E2265" t="s">
        <v>1790</v>
      </c>
      <c r="F2265" t="s">
        <v>1914</v>
      </c>
      <c r="G2265" s="554">
        <v>1392</v>
      </c>
      <c r="H2265">
        <v>19.066936704</v>
      </c>
    </row>
    <row r="2266" spans="2:8">
      <c r="B2266" s="555" t="s">
        <v>2286</v>
      </c>
      <c r="C2266" s="555" t="str">
        <f>VLOOKUP(D2266,기본!$D$13:$E$74,2,0)</f>
        <v>삼성 VD</v>
      </c>
      <c r="D2266" t="s">
        <v>1927</v>
      </c>
      <c r="E2266" t="s">
        <v>1792</v>
      </c>
      <c r="F2266" t="s">
        <v>1915</v>
      </c>
      <c r="G2266" s="554">
        <v>29</v>
      </c>
      <c r="H2266">
        <v>0.51977262599999996</v>
      </c>
    </row>
    <row r="2267" spans="2:8">
      <c r="B2267" s="555" t="s">
        <v>2286</v>
      </c>
      <c r="C2267" s="555" t="str">
        <f>VLOOKUP(D2267,기본!$D$13:$E$74,2,0)</f>
        <v>삼성 VD</v>
      </c>
      <c r="D2267" t="s">
        <v>1927</v>
      </c>
      <c r="E2267" t="s">
        <v>1921</v>
      </c>
      <c r="F2267" t="s">
        <v>1922</v>
      </c>
      <c r="G2267" s="554">
        <v>9</v>
      </c>
      <c r="H2267">
        <v>0.21466279799999999</v>
      </c>
    </row>
    <row r="2268" spans="2:8">
      <c r="B2268" s="555" t="s">
        <v>2286</v>
      </c>
      <c r="C2268" s="555" t="str">
        <f>VLOOKUP(D2268,기본!$D$13:$E$74,2,0)</f>
        <v>삼성 VD</v>
      </c>
      <c r="D2268" t="s">
        <v>1927</v>
      </c>
      <c r="E2268" t="s">
        <v>1936</v>
      </c>
      <c r="F2268" t="s">
        <v>1937</v>
      </c>
      <c r="G2268" s="554">
        <v>792</v>
      </c>
      <c r="H2268">
        <v>4.4464131360000003</v>
      </c>
    </row>
    <row r="2269" spans="2:8">
      <c r="B2269" s="555" t="s">
        <v>2286</v>
      </c>
      <c r="C2269" s="555" t="str">
        <f>VLOOKUP(D2269,기본!$D$13:$E$74,2,0)</f>
        <v>삼성 VD</v>
      </c>
      <c r="D2269" t="s">
        <v>1927</v>
      </c>
      <c r="E2269" t="s">
        <v>1923</v>
      </c>
      <c r="F2269" t="s">
        <v>1924</v>
      </c>
      <c r="G2269" s="554">
        <v>4290</v>
      </c>
      <c r="H2269">
        <v>20.199447899999999</v>
      </c>
    </row>
    <row r="2270" spans="2:8">
      <c r="B2270" s="555" t="s">
        <v>2286</v>
      </c>
      <c r="C2270" s="555" t="str">
        <f>VLOOKUP(D2270,기본!$D$13:$E$74,2,0)</f>
        <v>삼성 VD</v>
      </c>
      <c r="D2270" t="s">
        <v>1927</v>
      </c>
      <c r="E2270" t="s">
        <v>1938</v>
      </c>
      <c r="F2270" t="s">
        <v>1939</v>
      </c>
      <c r="G2270" s="554">
        <v>3167</v>
      </c>
      <c r="H2270">
        <v>17.614230101</v>
      </c>
    </row>
    <row r="2271" spans="2:8">
      <c r="B2271" s="555" t="s">
        <v>2286</v>
      </c>
      <c r="C2271" s="555" t="str">
        <f>VLOOKUP(D2271,기본!$D$13:$E$74,2,0)</f>
        <v>삼성 VD</v>
      </c>
      <c r="D2271" t="s">
        <v>1927</v>
      </c>
      <c r="E2271" t="s">
        <v>1940</v>
      </c>
      <c r="F2271" t="s">
        <v>1941</v>
      </c>
      <c r="G2271" s="554">
        <v>567</v>
      </c>
      <c r="H2271">
        <v>7.6143606120000014</v>
      </c>
    </row>
    <row r="2272" spans="2:8">
      <c r="B2272" s="555" t="s">
        <v>2286</v>
      </c>
      <c r="C2272" s="555" t="str">
        <f>VLOOKUP(D2272,기본!$D$13:$E$74,2,0)</f>
        <v>삼성 VD</v>
      </c>
      <c r="D2272" t="s">
        <v>1927</v>
      </c>
      <c r="E2272" t="s">
        <v>1925</v>
      </c>
      <c r="F2272" t="s">
        <v>1926</v>
      </c>
      <c r="G2272" s="554">
        <v>4536</v>
      </c>
      <c r="H2272">
        <v>38.086506360000001</v>
      </c>
    </row>
    <row r="2273" spans="2:8">
      <c r="B2273" s="555" t="s">
        <v>2286</v>
      </c>
      <c r="C2273" s="555" t="str">
        <f>VLOOKUP(D2273,기본!$D$13:$E$74,2,0)</f>
        <v>삼성 VD</v>
      </c>
      <c r="D2273" t="s">
        <v>1927</v>
      </c>
      <c r="E2273" t="s">
        <v>2211</v>
      </c>
      <c r="F2273" t="s">
        <v>2212</v>
      </c>
      <c r="G2273" s="554">
        <v>120</v>
      </c>
      <c r="H2273">
        <v>1.0447164</v>
      </c>
    </row>
    <row r="2274" spans="2:8">
      <c r="B2274" s="555" t="s">
        <v>2286</v>
      </c>
      <c r="C2274" s="555" t="str">
        <f>VLOOKUP(D2274,기본!$D$13:$E$74,2,0)</f>
        <v>삼성 VD</v>
      </c>
      <c r="D2274" t="s">
        <v>1927</v>
      </c>
      <c r="E2274" t="s">
        <v>709</v>
      </c>
      <c r="F2274" t="s">
        <v>1869</v>
      </c>
      <c r="G2274" s="554">
        <v>12056</v>
      </c>
      <c r="H2274">
        <v>41.643734000000002</v>
      </c>
    </row>
    <row r="2275" spans="2:8">
      <c r="B2275" s="555" t="s">
        <v>2286</v>
      </c>
      <c r="C2275" s="555" t="str">
        <f>VLOOKUP(D2275,기본!$D$13:$E$74,2,0)</f>
        <v>삼성 VD</v>
      </c>
      <c r="D2275" t="s">
        <v>1927</v>
      </c>
      <c r="E2275" t="s">
        <v>1156</v>
      </c>
      <c r="F2275" t="s">
        <v>1870</v>
      </c>
      <c r="G2275" s="554">
        <v>1408</v>
      </c>
      <c r="H2275">
        <v>6.5290874880000001</v>
      </c>
    </row>
    <row r="2276" spans="2:8">
      <c r="B2276" s="555" t="s">
        <v>2286</v>
      </c>
      <c r="C2276" s="555" t="str">
        <f>VLOOKUP(D2276,기본!$D$13:$E$74,2,0)</f>
        <v>삼성 VD</v>
      </c>
      <c r="D2276" t="s">
        <v>1927</v>
      </c>
      <c r="E2276" t="s">
        <v>1157</v>
      </c>
      <c r="F2276" t="s">
        <v>1887</v>
      </c>
      <c r="G2276" s="554">
        <v>1527</v>
      </c>
      <c r="H2276">
        <v>7.4291616960000004</v>
      </c>
    </row>
    <row r="2277" spans="2:8">
      <c r="B2277" s="555" t="s">
        <v>2286</v>
      </c>
      <c r="C2277" s="555" t="str">
        <f>VLOOKUP(D2277,기본!$D$13:$E$74,2,0)</f>
        <v>삼성 VD</v>
      </c>
      <c r="D2277" t="s">
        <v>1927</v>
      </c>
      <c r="E2277" t="s">
        <v>2235</v>
      </c>
      <c r="F2277" t="s">
        <v>2236</v>
      </c>
      <c r="G2277" s="554">
        <v>4972</v>
      </c>
      <c r="H2277">
        <v>23.163159844000003</v>
      </c>
    </row>
    <row r="2278" spans="2:8">
      <c r="B2278" s="555" t="s">
        <v>2286</v>
      </c>
      <c r="C2278" s="555" t="str">
        <f>VLOOKUP(D2278,기본!$D$13:$E$74,2,0)</f>
        <v>삼성 생활가전</v>
      </c>
      <c r="D2278" t="s">
        <v>1942</v>
      </c>
      <c r="E2278" t="s">
        <v>1943</v>
      </c>
      <c r="F2278" t="s">
        <v>1943</v>
      </c>
      <c r="G2278" s="554">
        <v>44928</v>
      </c>
      <c r="H2278">
        <v>344.14376736000003</v>
      </c>
    </row>
    <row r="2279" spans="2:8">
      <c r="B2279" s="555" t="s">
        <v>2286</v>
      </c>
      <c r="C2279" s="555" t="str">
        <f>VLOOKUP(D2279,기본!$D$13:$E$74,2,0)</f>
        <v>삼성 생활가전</v>
      </c>
      <c r="D2279" t="s">
        <v>1942</v>
      </c>
      <c r="E2279" t="s">
        <v>2273</v>
      </c>
      <c r="F2279" t="s">
        <v>2273</v>
      </c>
      <c r="G2279" s="554">
        <v>4860</v>
      </c>
      <c r="H2279">
        <v>37.293469200000004</v>
      </c>
    </row>
    <row r="2280" spans="2:8">
      <c r="B2280" s="555" t="s">
        <v>2286</v>
      </c>
      <c r="C2280" s="555" t="str">
        <f>VLOOKUP(D2280,기본!$D$13:$E$74,2,0)</f>
        <v>삼성 생활가전</v>
      </c>
      <c r="D2280" t="s">
        <v>1942</v>
      </c>
      <c r="E2280" t="s">
        <v>1944</v>
      </c>
      <c r="F2280" t="s">
        <v>1944</v>
      </c>
      <c r="G2280" s="554">
        <v>768</v>
      </c>
      <c r="H2280">
        <v>5.9551027199999993</v>
      </c>
    </row>
    <row r="2281" spans="2:8">
      <c r="B2281" s="555" t="s">
        <v>2286</v>
      </c>
      <c r="C2281" s="555" t="str">
        <f>VLOOKUP(D2281,기본!$D$13:$E$74,2,0)</f>
        <v>삼성 생활가전</v>
      </c>
      <c r="D2281" t="s">
        <v>1942</v>
      </c>
      <c r="E2281" t="s">
        <v>2237</v>
      </c>
      <c r="F2281" t="s">
        <v>2237</v>
      </c>
      <c r="G2281" s="554">
        <v>96</v>
      </c>
      <c r="H2281">
        <v>0.74320243200000013</v>
      </c>
    </row>
    <row r="2282" spans="2:8">
      <c r="B2282" s="555" t="s">
        <v>2286</v>
      </c>
      <c r="C2282" s="555" t="str">
        <f>VLOOKUP(D2282,기본!$D$13:$E$74,2,0)</f>
        <v>삼성 생활가전</v>
      </c>
      <c r="D2282" t="s">
        <v>1942</v>
      </c>
      <c r="E2282" t="s">
        <v>2274</v>
      </c>
      <c r="F2282" t="s">
        <v>2274</v>
      </c>
      <c r="G2282" s="554">
        <v>11808</v>
      </c>
      <c r="H2282">
        <v>93.037679999999995</v>
      </c>
    </row>
    <row r="2283" spans="2:8">
      <c r="B2283" s="555" t="s">
        <v>2286</v>
      </c>
      <c r="C2283" s="555" t="str">
        <f>VLOOKUP(D2283,기본!$D$13:$E$74,2,0)</f>
        <v>삼성 생활가전</v>
      </c>
      <c r="D2283" t="s">
        <v>1942</v>
      </c>
      <c r="E2283" t="s">
        <v>1945</v>
      </c>
      <c r="F2283" t="s">
        <v>1945</v>
      </c>
      <c r="G2283" s="554">
        <v>22176</v>
      </c>
      <c r="H2283">
        <v>184.20998400000002</v>
      </c>
    </row>
    <row r="2284" spans="2:8">
      <c r="B2284" s="555" t="s">
        <v>2286</v>
      </c>
      <c r="C2284" s="555" t="str">
        <f>VLOOKUP(D2284,기본!$D$13:$E$74,2,0)</f>
        <v>삼성 생활가전</v>
      </c>
      <c r="D2284" t="s">
        <v>1942</v>
      </c>
      <c r="E2284" t="s">
        <v>2213</v>
      </c>
      <c r="F2284" t="s">
        <v>2213</v>
      </c>
      <c r="G2284" s="554">
        <v>48</v>
      </c>
      <c r="H2284">
        <v>0.42160492799999999</v>
      </c>
    </row>
    <row r="2285" spans="2:8">
      <c r="B2285" s="555" t="s">
        <v>2286</v>
      </c>
      <c r="C2285" s="555" t="str">
        <f>VLOOKUP(D2285,기본!$D$13:$E$74,2,0)</f>
        <v>삼성 생활가전</v>
      </c>
      <c r="D2285" t="s">
        <v>1942</v>
      </c>
      <c r="E2285" t="s">
        <v>2265</v>
      </c>
      <c r="F2285" t="s">
        <v>2265</v>
      </c>
      <c r="G2285" s="554">
        <v>4680</v>
      </c>
      <c r="H2285">
        <v>40.464505728000006</v>
      </c>
    </row>
    <row r="2286" spans="2:8">
      <c r="B2286" s="555" t="s">
        <v>2286</v>
      </c>
      <c r="C2286" s="555" t="str">
        <f>VLOOKUP(D2286,기본!$D$13:$E$74,2,0)</f>
        <v>삼성 VD</v>
      </c>
      <c r="D2286" t="s">
        <v>1946</v>
      </c>
      <c r="E2286" t="s">
        <v>1165</v>
      </c>
      <c r="F2286" t="s">
        <v>1882</v>
      </c>
      <c r="G2286" s="554">
        <v>168</v>
      </c>
      <c r="H2286">
        <v>5.0418978479999996</v>
      </c>
    </row>
    <row r="2287" spans="2:8">
      <c r="B2287" s="555" t="s">
        <v>2286</v>
      </c>
      <c r="C2287" s="555" t="str">
        <f>VLOOKUP(D2287,기본!$D$13:$E$74,2,0)</f>
        <v>삼성 VD</v>
      </c>
      <c r="D2287" t="s">
        <v>1946</v>
      </c>
      <c r="E2287" t="s">
        <v>1164</v>
      </c>
      <c r="F2287" t="s">
        <v>1850</v>
      </c>
      <c r="G2287" s="554">
        <v>54</v>
      </c>
      <c r="H2287">
        <v>1.4750650799999998</v>
      </c>
    </row>
    <row r="2288" spans="2:8">
      <c r="B2288" s="555" t="s">
        <v>2286</v>
      </c>
      <c r="C2288" s="555" t="str">
        <f>VLOOKUP(D2288,기본!$D$13:$E$74,2,0)</f>
        <v>삼성 VD</v>
      </c>
      <c r="D2288" t="s">
        <v>1946</v>
      </c>
      <c r="E2288" t="s">
        <v>1777</v>
      </c>
      <c r="F2288" t="s">
        <v>1672</v>
      </c>
      <c r="G2288" s="554">
        <v>2088</v>
      </c>
      <c r="H2288">
        <v>24.014944440000004</v>
      </c>
    </row>
    <row r="2289" spans="2:8">
      <c r="B2289" s="555" t="s">
        <v>2286</v>
      </c>
      <c r="C2289" s="555" t="str">
        <f>VLOOKUP(D2289,기본!$D$13:$E$74,2,0)</f>
        <v>삼성 VD</v>
      </c>
      <c r="D2289" t="s">
        <v>1946</v>
      </c>
      <c r="E2289" t="s">
        <v>1778</v>
      </c>
      <c r="F2289" t="s">
        <v>1919</v>
      </c>
      <c r="G2289" s="554">
        <v>5292</v>
      </c>
      <c r="H2289">
        <v>69.032648304000006</v>
      </c>
    </row>
    <row r="2290" spans="2:8">
      <c r="B2290" s="555" t="s">
        <v>2286</v>
      </c>
      <c r="C2290" s="555" t="str">
        <f>VLOOKUP(D2290,기본!$D$13:$E$74,2,0)</f>
        <v>삼성 VD</v>
      </c>
      <c r="D2290" t="s">
        <v>1946</v>
      </c>
      <c r="E2290" t="s">
        <v>1779</v>
      </c>
      <c r="F2290" t="s">
        <v>1920</v>
      </c>
      <c r="G2290" s="554">
        <v>5544</v>
      </c>
      <c r="H2290">
        <v>80.408090663999999</v>
      </c>
    </row>
    <row r="2291" spans="2:8">
      <c r="B2291" s="555" t="s">
        <v>2286</v>
      </c>
      <c r="C2291" s="555" t="str">
        <f>VLOOKUP(D2291,기본!$D$13:$E$74,2,0)</f>
        <v>삼성 VD</v>
      </c>
      <c r="D2291" t="s">
        <v>1946</v>
      </c>
      <c r="E2291" t="s">
        <v>1792</v>
      </c>
      <c r="F2291" t="s">
        <v>1915</v>
      </c>
      <c r="G2291" s="554">
        <v>2520</v>
      </c>
      <c r="H2291">
        <v>45.213009588000006</v>
      </c>
    </row>
    <row r="2292" spans="2:8">
      <c r="B2292" s="555" t="s">
        <v>2286</v>
      </c>
      <c r="C2292" s="555" t="str">
        <f>VLOOKUP(D2292,기본!$D$13:$E$74,2,0)</f>
        <v>삼성 VD</v>
      </c>
      <c r="D2292" t="s">
        <v>1946</v>
      </c>
      <c r="E2292" t="s">
        <v>1921</v>
      </c>
      <c r="F2292" t="s">
        <v>1922</v>
      </c>
      <c r="G2292" s="554">
        <v>810</v>
      </c>
      <c r="H2292">
        <v>19.354274351999997</v>
      </c>
    </row>
    <row r="2293" spans="2:8">
      <c r="B2293" s="555" t="s">
        <v>2286</v>
      </c>
      <c r="C2293" s="555" t="str">
        <f>VLOOKUP(D2293,기본!$D$13:$E$74,2,0)</f>
        <v>삼성 VD</v>
      </c>
      <c r="D2293" t="s">
        <v>1946</v>
      </c>
      <c r="E2293" t="s">
        <v>710</v>
      </c>
      <c r="F2293" t="s">
        <v>1947</v>
      </c>
      <c r="G2293" s="554">
        <v>2948</v>
      </c>
      <c r="H2293">
        <v>13.571795951999999</v>
      </c>
    </row>
    <row r="2294" spans="2:8">
      <c r="B2294" s="555" t="s">
        <v>2286</v>
      </c>
      <c r="C2294" s="555" t="str">
        <f>VLOOKUP(D2294,기본!$D$13:$E$74,2,0)</f>
        <v>삼성 생활가전</v>
      </c>
      <c r="D2294" t="s">
        <v>1948</v>
      </c>
      <c r="E2294" t="s">
        <v>1465</v>
      </c>
      <c r="F2294" t="s">
        <v>1465</v>
      </c>
      <c r="G2294" s="554">
        <v>672</v>
      </c>
      <c r="H2294">
        <v>9.2613326399999991</v>
      </c>
    </row>
    <row r="2295" spans="2:8">
      <c r="B2295" s="555" t="s">
        <v>2286</v>
      </c>
      <c r="C2295" s="555" t="str">
        <f>VLOOKUP(D2295,기본!$D$13:$E$74,2,0)</f>
        <v>AV JDM</v>
      </c>
      <c r="D2295" t="s">
        <v>1950</v>
      </c>
      <c r="E2295" t="s">
        <v>691</v>
      </c>
      <c r="F2295" t="s">
        <v>2266</v>
      </c>
      <c r="G2295" s="554">
        <v>3528</v>
      </c>
      <c r="H2295">
        <v>36.709221024000001</v>
      </c>
    </row>
    <row r="2296" spans="2:8">
      <c r="B2296" s="555" t="s">
        <v>2286</v>
      </c>
      <c r="C2296" s="555" t="str">
        <f>VLOOKUP(D2296,기본!$D$13:$E$74,2,0)</f>
        <v>AV JDM</v>
      </c>
      <c r="D2296" t="s">
        <v>1950</v>
      </c>
      <c r="E2296" t="s">
        <v>436</v>
      </c>
      <c r="F2296" t="s">
        <v>2168</v>
      </c>
      <c r="G2296" s="554">
        <v>15120</v>
      </c>
      <c r="H2296">
        <v>132.53968223999999</v>
      </c>
    </row>
    <row r="2297" spans="2:8">
      <c r="B2297" s="555" t="s">
        <v>2286</v>
      </c>
      <c r="C2297" s="555" t="str">
        <f>VLOOKUP(D2297,기본!$D$13:$E$74,2,0)</f>
        <v>MNT JDM</v>
      </c>
      <c r="D2297" t="s">
        <v>1951</v>
      </c>
      <c r="E2297" t="s">
        <v>709</v>
      </c>
      <c r="F2297" t="s">
        <v>2124</v>
      </c>
      <c r="G2297" s="554">
        <v>47520</v>
      </c>
      <c r="H2297">
        <v>221.55167231999999</v>
      </c>
    </row>
    <row r="2298" spans="2:8">
      <c r="B2298" s="555" t="s">
        <v>2286</v>
      </c>
      <c r="C2298" s="555" t="str">
        <f>VLOOKUP(D2298,기본!$D$13:$E$74,2,0)</f>
        <v>HP</v>
      </c>
      <c r="D2298" t="s">
        <v>1952</v>
      </c>
      <c r="E2298" t="s">
        <v>1296</v>
      </c>
      <c r="F2298" t="s">
        <v>1292</v>
      </c>
      <c r="G2298" s="554">
        <v>1536</v>
      </c>
      <c r="H2298">
        <v>42.621520896</v>
      </c>
    </row>
    <row r="2299" spans="2:8">
      <c r="B2299" s="555" t="s">
        <v>2286</v>
      </c>
      <c r="C2299" s="555" t="str">
        <f>VLOOKUP(D2299,기본!$D$13:$E$74,2,0)</f>
        <v>HP</v>
      </c>
      <c r="D2299" t="s">
        <v>1952</v>
      </c>
      <c r="E2299" t="s">
        <v>1297</v>
      </c>
      <c r="F2299" t="s">
        <v>1293</v>
      </c>
      <c r="G2299" s="554">
        <v>768</v>
      </c>
      <c r="H2299">
        <v>26.000403839999997</v>
      </c>
    </row>
    <row r="2300" spans="2:8">
      <c r="B2300" s="555" t="s">
        <v>2286</v>
      </c>
      <c r="C2300" s="555" t="str">
        <f>VLOOKUP(D2300,기본!$D$13:$E$74,2,0)</f>
        <v>HP</v>
      </c>
      <c r="D2300" t="s">
        <v>1952</v>
      </c>
      <c r="E2300" t="s">
        <v>1298</v>
      </c>
      <c r="F2300" t="s">
        <v>1294</v>
      </c>
      <c r="G2300" s="554">
        <v>4304</v>
      </c>
      <c r="H2300">
        <v>129.56137440000001</v>
      </c>
    </row>
    <row r="2301" spans="2:8">
      <c r="B2301" s="555" t="s">
        <v>2286</v>
      </c>
      <c r="C2301" s="555" t="str">
        <f>VLOOKUP(D2301,기본!$D$13:$E$74,2,0)</f>
        <v>HP</v>
      </c>
      <c r="D2301" t="s">
        <v>1952</v>
      </c>
      <c r="E2301" t="s">
        <v>2240</v>
      </c>
      <c r="F2301" t="s">
        <v>2241</v>
      </c>
      <c r="G2301" s="554">
        <v>240</v>
      </c>
      <c r="H2301">
        <v>1.9904457600000001</v>
      </c>
    </row>
    <row r="2302" spans="2:8">
      <c r="B2302" s="555" t="s">
        <v>2286</v>
      </c>
      <c r="C2302" s="555" t="str">
        <f>VLOOKUP(D2302,기본!$D$13:$E$74,2,0)</f>
        <v>HP</v>
      </c>
      <c r="D2302" t="s">
        <v>1952</v>
      </c>
      <c r="E2302" t="s">
        <v>1954</v>
      </c>
      <c r="F2302" t="s">
        <v>1955</v>
      </c>
      <c r="G2302" s="554">
        <v>2240</v>
      </c>
      <c r="H2302">
        <v>29.354194800000002</v>
      </c>
    </row>
    <row r="2303" spans="2:8">
      <c r="B2303" s="555" t="s">
        <v>2286</v>
      </c>
      <c r="C2303" s="555" t="str">
        <f>VLOOKUP(D2303,기본!$D$13:$E$74,2,0)</f>
        <v>HP</v>
      </c>
      <c r="D2303" t="s">
        <v>1952</v>
      </c>
      <c r="E2303" t="s">
        <v>2125</v>
      </c>
      <c r="F2303" t="s">
        <v>192</v>
      </c>
      <c r="G2303" s="554">
        <v>2808</v>
      </c>
      <c r="H2303">
        <v>14.001698880000001</v>
      </c>
    </row>
    <row r="2304" spans="2:8">
      <c r="B2304" s="555" t="s">
        <v>2286</v>
      </c>
      <c r="C2304" s="555" t="str">
        <f>VLOOKUP(D2304,기본!$D$13:$E$74,2,0)</f>
        <v>HP</v>
      </c>
      <c r="D2304" t="s">
        <v>1952</v>
      </c>
      <c r="E2304" t="s">
        <v>1960</v>
      </c>
      <c r="F2304" t="s">
        <v>671</v>
      </c>
      <c r="G2304" s="554">
        <v>1440</v>
      </c>
      <c r="H2304">
        <v>11.931498719999999</v>
      </c>
    </row>
    <row r="2305" spans="2:8">
      <c r="B2305" s="555" t="s">
        <v>2286</v>
      </c>
      <c r="C2305" s="555" t="str">
        <f>VLOOKUP(D2305,기본!$D$13:$E$74,2,0)</f>
        <v>HP</v>
      </c>
      <c r="D2305" t="s">
        <v>1952</v>
      </c>
      <c r="E2305" t="s">
        <v>1961</v>
      </c>
      <c r="F2305" t="s">
        <v>1962</v>
      </c>
      <c r="G2305" s="554">
        <v>7200</v>
      </c>
      <c r="H2305">
        <v>261.67627411199999</v>
      </c>
    </row>
    <row r="2306" spans="2:8">
      <c r="B2306" s="555" t="s">
        <v>2286</v>
      </c>
      <c r="C2306" s="555" t="str">
        <f>VLOOKUP(D2306,기본!$D$13:$E$74,2,0)</f>
        <v>HP</v>
      </c>
      <c r="D2306" t="s">
        <v>1952</v>
      </c>
      <c r="E2306" t="s">
        <v>2126</v>
      </c>
      <c r="F2306" t="s">
        <v>2127</v>
      </c>
      <c r="G2306" s="554">
        <v>120</v>
      </c>
      <c r="H2306">
        <v>1.0919112</v>
      </c>
    </row>
    <row r="2307" spans="2:8">
      <c r="B2307" s="555" t="s">
        <v>2286</v>
      </c>
      <c r="C2307" s="555" t="str">
        <f>VLOOKUP(D2307,기본!$D$13:$E$74,2,0)</f>
        <v>HP</v>
      </c>
      <c r="D2307" t="s">
        <v>1952</v>
      </c>
      <c r="E2307" t="s">
        <v>1963</v>
      </c>
      <c r="F2307" t="s">
        <v>1964</v>
      </c>
      <c r="G2307" s="554">
        <v>7200</v>
      </c>
      <c r="H2307">
        <v>60.669705600000007</v>
      </c>
    </row>
    <row r="2308" spans="2:8">
      <c r="B2308" s="555" t="s">
        <v>2286</v>
      </c>
      <c r="C2308" s="555" t="str">
        <f>VLOOKUP(D2308,기본!$D$13:$E$74,2,0)</f>
        <v>HP</v>
      </c>
      <c r="D2308" t="s">
        <v>1952</v>
      </c>
      <c r="E2308" t="s">
        <v>1965</v>
      </c>
      <c r="F2308" t="s">
        <v>1966</v>
      </c>
      <c r="G2308" s="554">
        <v>1120</v>
      </c>
      <c r="H2308">
        <v>18.078656400000003</v>
      </c>
    </row>
    <row r="2309" spans="2:8">
      <c r="B2309" s="555" t="s">
        <v>2286</v>
      </c>
      <c r="C2309" s="555" t="str">
        <f>VLOOKUP(D2309,기본!$D$13:$E$74,2,0)</f>
        <v>HP</v>
      </c>
      <c r="D2309" t="s">
        <v>1952</v>
      </c>
      <c r="E2309" t="s">
        <v>2128</v>
      </c>
      <c r="F2309" t="s">
        <v>2129</v>
      </c>
      <c r="G2309" s="554">
        <v>1080</v>
      </c>
      <c r="H2309">
        <v>13.07061</v>
      </c>
    </row>
    <row r="2310" spans="2:8">
      <c r="B2310" s="555" t="s">
        <v>2286</v>
      </c>
      <c r="C2310" s="555" t="str">
        <f>VLOOKUP(D2310,기본!$D$13:$E$74,2,0)</f>
        <v>HP</v>
      </c>
      <c r="D2310" t="s">
        <v>1952</v>
      </c>
      <c r="E2310" t="s">
        <v>2172</v>
      </c>
      <c r="F2310" t="s">
        <v>2173</v>
      </c>
      <c r="G2310" s="554">
        <v>2880</v>
      </c>
      <c r="H2310">
        <v>107.46296063999999</v>
      </c>
    </row>
    <row r="2311" spans="2:8">
      <c r="B2311" s="555" t="s">
        <v>2286</v>
      </c>
      <c r="C2311" s="555" t="str">
        <f>VLOOKUP(D2311,기본!$D$13:$E$74,2,0)</f>
        <v>HP</v>
      </c>
      <c r="D2311" t="s">
        <v>1952</v>
      </c>
      <c r="E2311" t="s">
        <v>1969</v>
      </c>
      <c r="F2311" t="s">
        <v>1970</v>
      </c>
      <c r="G2311" s="554">
        <v>240</v>
      </c>
      <c r="H2311">
        <v>2.9539948799999993</v>
      </c>
    </row>
    <row r="2312" spans="2:8">
      <c r="B2312" s="555" t="s">
        <v>2286</v>
      </c>
      <c r="C2312" s="555" t="str">
        <f>VLOOKUP(D2312,기본!$D$13:$E$74,2,0)</f>
        <v>HP</v>
      </c>
      <c r="D2312" t="s">
        <v>1952</v>
      </c>
      <c r="E2312" t="s">
        <v>2130</v>
      </c>
      <c r="F2312" t="s">
        <v>2131</v>
      </c>
      <c r="G2312" s="554">
        <v>840</v>
      </c>
      <c r="H2312">
        <v>6.2719271999999995</v>
      </c>
    </row>
    <row r="2313" spans="2:8">
      <c r="B2313" s="555" t="s">
        <v>2286</v>
      </c>
      <c r="C2313" s="555" t="str">
        <f>VLOOKUP(D2313,기본!$D$13:$E$74,2,0)</f>
        <v>AV JDM</v>
      </c>
      <c r="D2313" t="s">
        <v>1971</v>
      </c>
      <c r="E2313" t="s">
        <v>1842</v>
      </c>
      <c r="F2313" t="s">
        <v>1680</v>
      </c>
      <c r="G2313" s="554">
        <v>3000</v>
      </c>
      <c r="H2313">
        <v>27.922920000000001</v>
      </c>
    </row>
    <row r="2314" spans="2:8">
      <c r="B2314" s="555" t="s">
        <v>2286</v>
      </c>
      <c r="C2314" s="555" t="str">
        <f>VLOOKUP(D2314,기본!$D$13:$E$74,2,0)</f>
        <v>AV JDM</v>
      </c>
      <c r="D2314" t="s">
        <v>1971</v>
      </c>
      <c r="E2314" t="s">
        <v>688</v>
      </c>
      <c r="F2314" t="s">
        <v>1521</v>
      </c>
      <c r="G2314" s="554">
        <v>6000</v>
      </c>
      <c r="H2314">
        <v>64.014336</v>
      </c>
    </row>
    <row r="2315" spans="2:8">
      <c r="B2315" s="555" t="s">
        <v>2286</v>
      </c>
      <c r="C2315" s="555" t="str">
        <f>VLOOKUP(D2315,기본!$D$13:$E$74,2,0)</f>
        <v>AV JDM</v>
      </c>
      <c r="D2315" t="s">
        <v>1971</v>
      </c>
      <c r="E2315" t="s">
        <v>1847</v>
      </c>
      <c r="F2315" t="s">
        <v>1336</v>
      </c>
      <c r="G2315" s="554">
        <v>3000</v>
      </c>
      <c r="H2315">
        <v>27.922920000000001</v>
      </c>
    </row>
    <row r="2316" spans="2:8">
      <c r="B2316" s="555" t="s">
        <v>2286</v>
      </c>
      <c r="C2316" s="555" t="str">
        <f>VLOOKUP(D2316,기본!$D$13:$E$74,2,0)</f>
        <v>AV JDM</v>
      </c>
      <c r="D2316" t="s">
        <v>1971</v>
      </c>
      <c r="E2316" t="s">
        <v>1015</v>
      </c>
      <c r="F2316" t="s">
        <v>1015</v>
      </c>
      <c r="G2316" s="554">
        <v>3008</v>
      </c>
      <c r="H2316">
        <v>22.105394944</v>
      </c>
    </row>
    <row r="2317" spans="2:8">
      <c r="B2317" s="555" t="s">
        <v>2286</v>
      </c>
      <c r="C2317" s="555" t="str">
        <f>VLOOKUP(D2317,기본!$D$13:$E$74,2,0)</f>
        <v>경동나비엔</v>
      </c>
      <c r="D2317" t="s">
        <v>1972</v>
      </c>
      <c r="E2317" t="s">
        <v>2242</v>
      </c>
      <c r="F2317" t="s">
        <v>2242</v>
      </c>
      <c r="G2317" s="554">
        <v>1200</v>
      </c>
      <c r="H2317">
        <v>37.799999999999997</v>
      </c>
    </row>
    <row r="2318" spans="2:8">
      <c r="B2318" s="555" t="s">
        <v>2286</v>
      </c>
      <c r="C2318" s="555" t="str">
        <f>VLOOKUP(D2318,기본!$D$13:$E$74,2,0)</f>
        <v>경동나비엔</v>
      </c>
      <c r="D2318" t="s">
        <v>1972</v>
      </c>
      <c r="E2318" t="s">
        <v>229</v>
      </c>
      <c r="F2318" t="s">
        <v>229</v>
      </c>
      <c r="G2318" s="554">
        <v>0</v>
      </c>
      <c r="H2318">
        <v>2.9660000000000002</v>
      </c>
    </row>
    <row r="2319" spans="2:8">
      <c r="B2319" s="555" t="s">
        <v>2286</v>
      </c>
      <c r="C2319" s="555" t="str">
        <f>VLOOKUP(D2319,기본!$D$13:$E$74,2,0)</f>
        <v>대덕</v>
      </c>
      <c r="D2319" t="s">
        <v>1976</v>
      </c>
      <c r="E2319" t="s">
        <v>2275</v>
      </c>
      <c r="F2319" t="s">
        <v>2275</v>
      </c>
      <c r="G2319" s="554">
        <v>80</v>
      </c>
      <c r="H2319">
        <v>2.5997249599999996</v>
      </c>
    </row>
    <row r="2320" spans="2:8">
      <c r="B2320" s="555" t="s">
        <v>2286</v>
      </c>
      <c r="C2320" s="555" t="str">
        <f>VLOOKUP(D2320,기본!$D$13:$E$74,2,0)</f>
        <v>대덕</v>
      </c>
      <c r="D2320" t="s">
        <v>1976</v>
      </c>
      <c r="E2320" t="s">
        <v>2223</v>
      </c>
      <c r="F2320" t="s">
        <v>2223</v>
      </c>
      <c r="G2320" s="554">
        <v>85</v>
      </c>
      <c r="H2320">
        <v>1.9230709399999999</v>
      </c>
    </row>
    <row r="2321" spans="2:8">
      <c r="B2321" s="555" t="s">
        <v>2286</v>
      </c>
      <c r="C2321" s="555" t="str">
        <f>VLOOKUP(D2321,기본!$D$13:$E$74,2,0)</f>
        <v>대덕</v>
      </c>
      <c r="D2321" t="s">
        <v>1976</v>
      </c>
      <c r="E2321" t="s">
        <v>2244</v>
      </c>
      <c r="F2321" t="s">
        <v>2244</v>
      </c>
      <c r="G2321" s="554">
        <v>256</v>
      </c>
      <c r="H2321">
        <v>2.5662730239999996</v>
      </c>
    </row>
    <row r="2322" spans="2:8">
      <c r="B2322" s="555" t="s">
        <v>2286</v>
      </c>
      <c r="C2322" s="555" t="str">
        <f>VLOOKUP(D2322,기본!$D$13:$E$74,2,0)</f>
        <v>대덕</v>
      </c>
      <c r="D2322" t="s">
        <v>1976</v>
      </c>
      <c r="E2322" t="s">
        <v>2276</v>
      </c>
      <c r="F2322" t="s">
        <v>2276</v>
      </c>
      <c r="G2322" s="554">
        <v>989</v>
      </c>
      <c r="H2322">
        <v>17.993513916000001</v>
      </c>
    </row>
    <row r="2323" spans="2:8">
      <c r="B2323" s="555" t="s">
        <v>2286</v>
      </c>
      <c r="C2323" s="555" t="str">
        <f>VLOOKUP(D2323,기본!$D$13:$E$74,2,0)</f>
        <v>대덕</v>
      </c>
      <c r="D2323" t="s">
        <v>1976</v>
      </c>
      <c r="E2323" t="s">
        <v>2277</v>
      </c>
      <c r="F2323" t="s">
        <v>2277</v>
      </c>
      <c r="G2323" s="554">
        <v>976</v>
      </c>
      <c r="H2323">
        <v>17.756996544</v>
      </c>
    </row>
    <row r="2324" spans="2:8">
      <c r="B2324" s="555" t="s">
        <v>2286</v>
      </c>
      <c r="C2324" s="555" t="str">
        <f>VLOOKUP(D2324,기본!$D$13:$E$74,2,0)</f>
        <v>대덕</v>
      </c>
      <c r="D2324" t="s">
        <v>1978</v>
      </c>
      <c r="E2324" t="s">
        <v>2278</v>
      </c>
      <c r="F2324" t="s">
        <v>2278</v>
      </c>
      <c r="G2324" s="554">
        <v>500</v>
      </c>
      <c r="H2324">
        <v>2.8123700000000005</v>
      </c>
    </row>
    <row r="2325" spans="2:8">
      <c r="B2325" s="555" t="s">
        <v>2286</v>
      </c>
      <c r="C2325" s="555" t="str">
        <f>VLOOKUP(D2325,기본!$D$13:$E$74,2,0)</f>
        <v>대덕</v>
      </c>
      <c r="D2325" t="s">
        <v>1978</v>
      </c>
      <c r="E2325" t="s">
        <v>2275</v>
      </c>
      <c r="F2325" t="s">
        <v>2275</v>
      </c>
      <c r="G2325" s="554">
        <v>20</v>
      </c>
      <c r="H2325">
        <v>0.64982797199999986</v>
      </c>
    </row>
    <row r="2326" spans="2:8">
      <c r="B2326" s="555" t="s">
        <v>2286</v>
      </c>
      <c r="C2326" s="555" t="str">
        <f>VLOOKUP(D2326,기본!$D$13:$E$74,2,0)</f>
        <v>대덕</v>
      </c>
      <c r="D2326" t="s">
        <v>1978</v>
      </c>
      <c r="E2326" t="s">
        <v>2223</v>
      </c>
      <c r="F2326" t="s">
        <v>2223</v>
      </c>
      <c r="G2326" s="554">
        <v>23</v>
      </c>
      <c r="H2326">
        <v>0.51948945000000002</v>
      </c>
    </row>
    <row r="2327" spans="2:8">
      <c r="B2327" s="555" t="s">
        <v>2286</v>
      </c>
      <c r="C2327" s="555" t="str">
        <f>VLOOKUP(D2327,기본!$D$13:$E$74,2,0)</f>
        <v>대덕</v>
      </c>
      <c r="D2327" t="s">
        <v>1978</v>
      </c>
      <c r="E2327" t="s">
        <v>979</v>
      </c>
      <c r="F2327" t="s">
        <v>979</v>
      </c>
      <c r="G2327" s="554">
        <v>500</v>
      </c>
      <c r="H2327">
        <v>0.75319000000000003</v>
      </c>
    </row>
    <row r="2328" spans="2:8">
      <c r="B2328" s="555" t="s">
        <v>2286</v>
      </c>
      <c r="C2328" s="555" t="str">
        <f>VLOOKUP(D2328,기본!$D$13:$E$74,2,0)</f>
        <v>대덕</v>
      </c>
      <c r="D2328" t="s">
        <v>1978</v>
      </c>
      <c r="E2328" t="s">
        <v>2244</v>
      </c>
      <c r="F2328" t="s">
        <v>2244</v>
      </c>
      <c r="G2328" s="554">
        <v>244</v>
      </c>
      <c r="H2328">
        <v>2.4413859200000001</v>
      </c>
    </row>
    <row r="2329" spans="2:8">
      <c r="B2329" s="555" t="s">
        <v>2286</v>
      </c>
      <c r="C2329" s="555" t="str">
        <f>VLOOKUP(D2329,기본!$D$13:$E$74,2,0)</f>
        <v>대덕</v>
      </c>
      <c r="D2329" t="s">
        <v>1978</v>
      </c>
      <c r="E2329" t="s">
        <v>1983</v>
      </c>
      <c r="F2329" t="s">
        <v>1983</v>
      </c>
      <c r="G2329" s="554">
        <v>10000</v>
      </c>
      <c r="H2329">
        <v>136.38310000000001</v>
      </c>
    </row>
    <row r="2330" spans="2:8">
      <c r="B2330" s="555" t="s">
        <v>2286</v>
      </c>
      <c r="C2330" s="555" t="str">
        <f>VLOOKUP(D2330,기본!$D$13:$E$74,2,0)</f>
        <v>대덕</v>
      </c>
      <c r="D2330" t="s">
        <v>1978</v>
      </c>
      <c r="E2330" t="s">
        <v>1985</v>
      </c>
      <c r="F2330" t="s">
        <v>1985</v>
      </c>
      <c r="G2330" s="554">
        <v>13000</v>
      </c>
      <c r="H2330">
        <v>177.29803000000001</v>
      </c>
    </row>
    <row r="2331" spans="2:8">
      <c r="B2331" s="555" t="s">
        <v>2286</v>
      </c>
      <c r="C2331" s="555" t="str">
        <f>VLOOKUP(D2331,기본!$D$13:$E$74,2,0)</f>
        <v>대덕</v>
      </c>
      <c r="D2331" t="s">
        <v>1978</v>
      </c>
      <c r="E2331" t="s">
        <v>2247</v>
      </c>
      <c r="F2331" t="s">
        <v>2247</v>
      </c>
      <c r="G2331" s="554">
        <v>73</v>
      </c>
      <c r="H2331">
        <v>0.99483751799999987</v>
      </c>
    </row>
    <row r="2332" spans="2:8">
      <c r="B2332" s="555" t="s">
        <v>2286</v>
      </c>
      <c r="C2332" s="555" t="str">
        <f>VLOOKUP(D2332,기본!$D$13:$E$74,2,0)</f>
        <v>대덕</v>
      </c>
      <c r="D2332" t="s">
        <v>1978</v>
      </c>
      <c r="E2332" t="s">
        <v>1572</v>
      </c>
      <c r="F2332" t="s">
        <v>1572</v>
      </c>
      <c r="G2332" s="554">
        <v>667</v>
      </c>
      <c r="H2332">
        <v>9.1092763619999992</v>
      </c>
    </row>
    <row r="2333" spans="2:8">
      <c r="B2333" s="555" t="s">
        <v>2286</v>
      </c>
      <c r="C2333" s="555" t="str">
        <f>VLOOKUP(D2333,기본!$D$13:$E$74,2,0)</f>
        <v>삼성 생활가전</v>
      </c>
      <c r="D2333" t="s">
        <v>1986</v>
      </c>
      <c r="E2333" t="s">
        <v>2003</v>
      </c>
      <c r="F2333" t="s">
        <v>2003</v>
      </c>
      <c r="G2333" s="554">
        <v>3000</v>
      </c>
      <c r="H2333">
        <v>17.939999999999998</v>
      </c>
    </row>
    <row r="2334" spans="2:8">
      <c r="B2334" s="555" t="s">
        <v>2286</v>
      </c>
      <c r="C2334" s="555" t="str">
        <f>VLOOKUP(D2334,기본!$D$13:$E$74,2,0)</f>
        <v>머큐리</v>
      </c>
      <c r="D2334" t="s">
        <v>1988</v>
      </c>
      <c r="E2334" t="s">
        <v>2225</v>
      </c>
      <c r="F2334" t="s">
        <v>2225</v>
      </c>
      <c r="G2334" s="554">
        <v>1080</v>
      </c>
      <c r="H2334">
        <v>4.0856399999999997</v>
      </c>
    </row>
    <row r="2335" spans="2:8">
      <c r="B2335" s="555" t="s">
        <v>2286</v>
      </c>
      <c r="C2335" s="555" t="str">
        <f>VLOOKUP(D2335,기본!$D$13:$E$74,2,0)</f>
        <v>머큐리</v>
      </c>
      <c r="D2335" t="s">
        <v>1988</v>
      </c>
      <c r="E2335" t="s">
        <v>2279</v>
      </c>
      <c r="F2335" t="s">
        <v>2279</v>
      </c>
      <c r="G2335" s="554">
        <v>2880</v>
      </c>
      <c r="H2335">
        <v>8.0179200000000002</v>
      </c>
    </row>
    <row r="2336" spans="2:8">
      <c r="B2336" s="555" t="s">
        <v>2286</v>
      </c>
      <c r="C2336" s="555" t="str">
        <f>VLOOKUP(D2336,기본!$D$13:$E$74,2,0)</f>
        <v>머큐리</v>
      </c>
      <c r="D2336" t="s">
        <v>1988</v>
      </c>
      <c r="E2336" t="s">
        <v>1989</v>
      </c>
      <c r="F2336" t="s">
        <v>1989</v>
      </c>
      <c r="G2336" s="554">
        <v>40320</v>
      </c>
      <c r="H2336">
        <v>112.25088</v>
      </c>
    </row>
    <row r="2337" spans="2:8">
      <c r="B2337" s="555" t="s">
        <v>2286</v>
      </c>
      <c r="C2337" s="555" t="str">
        <f>VLOOKUP(D2337,기본!$D$13:$E$74,2,0)</f>
        <v>머큐리</v>
      </c>
      <c r="D2337" t="s">
        <v>1988</v>
      </c>
      <c r="E2337" t="s">
        <v>1433</v>
      </c>
      <c r="F2337" t="s">
        <v>1433</v>
      </c>
      <c r="G2337" s="554">
        <v>27000</v>
      </c>
      <c r="H2337">
        <v>81.864000000000004</v>
      </c>
    </row>
    <row r="2338" spans="2:8">
      <c r="B2338" s="555" t="s">
        <v>2286</v>
      </c>
      <c r="C2338" s="555" t="str">
        <f>VLOOKUP(D2338,기본!$D$13:$E$74,2,0)</f>
        <v>머큐리</v>
      </c>
      <c r="D2338" t="s">
        <v>1988</v>
      </c>
      <c r="E2338" t="s">
        <v>2226</v>
      </c>
      <c r="F2338" t="s">
        <v>2226</v>
      </c>
      <c r="G2338" s="554">
        <v>4000</v>
      </c>
      <c r="H2338">
        <v>21.143999999999998</v>
      </c>
    </row>
    <row r="2339" spans="2:8">
      <c r="B2339" s="555" t="s">
        <v>2286</v>
      </c>
      <c r="C2339" s="555" t="str">
        <f>VLOOKUP(D2339,기본!$D$13:$E$74,2,0)</f>
        <v>머큐리</v>
      </c>
      <c r="D2339" t="s">
        <v>1988</v>
      </c>
      <c r="E2339" t="s">
        <v>2142</v>
      </c>
      <c r="F2339" t="s">
        <v>2142</v>
      </c>
      <c r="G2339" s="554">
        <v>9216</v>
      </c>
      <c r="H2339">
        <v>24.606719999999999</v>
      </c>
    </row>
    <row r="2340" spans="2:8">
      <c r="B2340" s="555" t="s">
        <v>2286</v>
      </c>
      <c r="C2340" s="555" t="str">
        <f>VLOOKUP(D2340,기본!$D$13:$E$74,2,0)</f>
        <v>삼성 생활가전</v>
      </c>
      <c r="D2340" t="s">
        <v>2143</v>
      </c>
      <c r="E2340" t="s">
        <v>2144</v>
      </c>
      <c r="F2340" t="s">
        <v>2144</v>
      </c>
      <c r="G2340" s="554">
        <v>1000</v>
      </c>
      <c r="H2340">
        <v>7.09</v>
      </c>
    </row>
    <row r="2341" spans="2:8">
      <c r="B2341" s="555" t="s">
        <v>2286</v>
      </c>
      <c r="C2341" s="555" t="str">
        <f>VLOOKUP(D2341,기본!$D$13:$E$74,2,0)</f>
        <v>삼성 생활가전</v>
      </c>
      <c r="D2341" t="s">
        <v>2143</v>
      </c>
      <c r="E2341" t="s">
        <v>2145</v>
      </c>
      <c r="F2341" t="s">
        <v>2145</v>
      </c>
      <c r="G2341" s="554">
        <v>720</v>
      </c>
      <c r="H2341">
        <v>5.1407999999999996</v>
      </c>
    </row>
    <row r="2342" spans="2:8">
      <c r="B2342" s="555" t="s">
        <v>2286</v>
      </c>
      <c r="C2342" s="555" t="str">
        <f>VLOOKUP(D2342,기본!$D$13:$E$74,2,0)</f>
        <v>삼성 VD</v>
      </c>
      <c r="D2342" t="s">
        <v>1990</v>
      </c>
      <c r="E2342" t="s">
        <v>1865</v>
      </c>
      <c r="F2342" t="s">
        <v>1866</v>
      </c>
      <c r="G2342" s="554">
        <v>200</v>
      </c>
      <c r="H2342">
        <v>8.0388000000000002</v>
      </c>
    </row>
    <row r="2343" spans="2:8">
      <c r="B2343" s="555" t="s">
        <v>2286</v>
      </c>
      <c r="C2343" s="555" t="str">
        <f>VLOOKUP(D2343,기본!$D$13:$E$74,2,0)</f>
        <v>삼성 VD</v>
      </c>
      <c r="D2343" t="s">
        <v>1990</v>
      </c>
      <c r="E2343" t="s">
        <v>1786</v>
      </c>
      <c r="F2343" t="s">
        <v>1671</v>
      </c>
      <c r="G2343" s="554">
        <v>2</v>
      </c>
      <c r="H2343">
        <v>2.2133897999999999E-2</v>
      </c>
    </row>
    <row r="2344" spans="2:8">
      <c r="B2344" s="555" t="s">
        <v>2286</v>
      </c>
      <c r="C2344" s="555" t="str">
        <f>VLOOKUP(D2344,기본!$D$13:$E$74,2,0)</f>
        <v>삼성 VD</v>
      </c>
      <c r="D2344" t="s">
        <v>1990</v>
      </c>
      <c r="E2344" t="s">
        <v>1788</v>
      </c>
      <c r="F2344" t="s">
        <v>1913</v>
      </c>
      <c r="G2344" s="554">
        <v>2</v>
      </c>
      <c r="H2344">
        <v>2.4765587999999995E-2</v>
      </c>
    </row>
    <row r="2345" spans="2:8">
      <c r="B2345" s="555" t="s">
        <v>2286</v>
      </c>
      <c r="C2345" s="555" t="str">
        <f>VLOOKUP(D2345,기본!$D$13:$E$74,2,0)</f>
        <v>삼성 VD</v>
      </c>
      <c r="D2345" t="s">
        <v>1990</v>
      </c>
      <c r="E2345" t="s">
        <v>709</v>
      </c>
      <c r="F2345" t="s">
        <v>1869</v>
      </c>
      <c r="G2345" s="554">
        <v>88</v>
      </c>
      <c r="H2345">
        <v>0.30482100000000001</v>
      </c>
    </row>
    <row r="2346" spans="2:8">
      <c r="B2346" s="555" t="s">
        <v>2286</v>
      </c>
      <c r="C2346" s="555" t="str">
        <f>VLOOKUP(D2346,기본!$D$13:$E$74,2,0)</f>
        <v>삼성 VD</v>
      </c>
      <c r="D2346" t="s">
        <v>1990</v>
      </c>
      <c r="E2346" t="s">
        <v>710</v>
      </c>
      <c r="F2346" t="s">
        <v>1947</v>
      </c>
      <c r="G2346" s="554">
        <v>44</v>
      </c>
      <c r="H2346">
        <v>0.20294485200000001</v>
      </c>
    </row>
    <row r="2347" spans="2:8">
      <c r="B2347" s="555" t="s">
        <v>2286</v>
      </c>
      <c r="C2347" s="555" t="str">
        <f>VLOOKUP(D2347,기본!$D$13:$E$74,2,0)</f>
        <v>삼성 VD</v>
      </c>
      <c r="D2347" t="s">
        <v>1990</v>
      </c>
      <c r="E2347" t="s">
        <v>1382</v>
      </c>
      <c r="F2347" t="s">
        <v>1382</v>
      </c>
      <c r="G2347" s="554">
        <v>510</v>
      </c>
      <c r="H2347">
        <v>13.6017522</v>
      </c>
    </row>
    <row r="2348" spans="2:8">
      <c r="B2348" s="555" t="s">
        <v>2286</v>
      </c>
      <c r="C2348" s="555" t="str">
        <f>VLOOKUP(D2348,기본!$D$13:$E$74,2,0)</f>
        <v>삼성 VD</v>
      </c>
      <c r="D2348" t="s">
        <v>1990</v>
      </c>
      <c r="E2348" t="s">
        <v>2280</v>
      </c>
      <c r="F2348" t="s">
        <v>2280</v>
      </c>
      <c r="G2348" s="554">
        <v>70</v>
      </c>
      <c r="H2348">
        <v>0.75457200000000002</v>
      </c>
    </row>
    <row r="2349" spans="2:8">
      <c r="B2349" s="555" t="s">
        <v>2286</v>
      </c>
      <c r="C2349" s="555" t="str">
        <f>VLOOKUP(D2349,기본!$D$13:$E$74,2,0)</f>
        <v>삼성 VD</v>
      </c>
      <c r="D2349" t="s">
        <v>1990</v>
      </c>
      <c r="E2349" t="s">
        <v>2281</v>
      </c>
      <c r="F2349" t="s">
        <v>2281</v>
      </c>
      <c r="G2349" s="554">
        <v>70</v>
      </c>
      <c r="H2349">
        <v>0.98674799999999996</v>
      </c>
    </row>
    <row r="2350" spans="2:8">
      <c r="B2350" s="555" t="s">
        <v>2286</v>
      </c>
      <c r="C2350" s="555" t="str">
        <f>VLOOKUP(D2350,기본!$D$13:$E$74,2,0)</f>
        <v>삼성 VD</v>
      </c>
      <c r="D2350" t="s">
        <v>1990</v>
      </c>
      <c r="E2350" t="s">
        <v>229</v>
      </c>
      <c r="F2350" t="s">
        <v>229</v>
      </c>
      <c r="G2350" s="554">
        <v>0</v>
      </c>
      <c r="H2350">
        <v>4.7604880000000005</v>
      </c>
    </row>
    <row r="2351" spans="2:8">
      <c r="B2351" s="555" t="s">
        <v>2286</v>
      </c>
      <c r="C2351" s="555" t="str">
        <f>VLOOKUP(D2351,기본!$D$13:$E$74,2,0)</f>
        <v>삼성 생활가전</v>
      </c>
      <c r="D2351" t="s">
        <v>1991</v>
      </c>
      <c r="E2351" t="s">
        <v>713</v>
      </c>
      <c r="F2351" t="s">
        <v>713</v>
      </c>
      <c r="G2351" s="554">
        <v>1048</v>
      </c>
      <c r="H2351">
        <v>8.3735199999999992</v>
      </c>
    </row>
    <row r="2352" spans="2:8">
      <c r="B2352" s="555" t="s">
        <v>2286</v>
      </c>
      <c r="C2352" s="555" t="str">
        <f>VLOOKUP(D2352,기본!$D$13:$E$74,2,0)</f>
        <v>삼성 생활가전</v>
      </c>
      <c r="D2352" t="s">
        <v>1991</v>
      </c>
      <c r="E2352" t="s">
        <v>1996</v>
      </c>
      <c r="F2352" t="s">
        <v>1996</v>
      </c>
      <c r="G2352" s="554">
        <v>1440</v>
      </c>
      <c r="H2352">
        <v>8.5679999999999996</v>
      </c>
    </row>
    <row r="2353" spans="2:8">
      <c r="B2353" s="555" t="s">
        <v>2286</v>
      </c>
      <c r="C2353" s="555" t="str">
        <f>VLOOKUP(D2353,기본!$D$13:$E$74,2,0)</f>
        <v>삼성 생활가전</v>
      </c>
      <c r="D2353" t="s">
        <v>1991</v>
      </c>
      <c r="E2353" t="s">
        <v>1997</v>
      </c>
      <c r="F2353" t="s">
        <v>1997</v>
      </c>
      <c r="G2353" s="554">
        <v>1000</v>
      </c>
      <c r="H2353">
        <v>5.94</v>
      </c>
    </row>
    <row r="2354" spans="2:8">
      <c r="B2354" s="555" t="s">
        <v>2286</v>
      </c>
      <c r="C2354" s="555" t="str">
        <f>VLOOKUP(D2354,기본!$D$13:$E$74,2,0)</f>
        <v>삼성 생활가전</v>
      </c>
      <c r="D2354" t="s">
        <v>1991</v>
      </c>
      <c r="E2354" t="s">
        <v>1998</v>
      </c>
      <c r="F2354" t="s">
        <v>1998</v>
      </c>
      <c r="G2354" s="554">
        <v>720</v>
      </c>
      <c r="H2354">
        <v>4.2480000000000002</v>
      </c>
    </row>
    <row r="2355" spans="2:8">
      <c r="B2355" s="555" t="s">
        <v>2286</v>
      </c>
      <c r="C2355" s="555" t="str">
        <f>VLOOKUP(D2355,기본!$D$13:$E$74,2,0)</f>
        <v>삼성 생활가전</v>
      </c>
      <c r="D2355" t="s">
        <v>1991</v>
      </c>
      <c r="E2355" t="s">
        <v>1999</v>
      </c>
      <c r="F2355" t="s">
        <v>1999</v>
      </c>
      <c r="G2355" s="554">
        <v>2880</v>
      </c>
      <c r="H2355">
        <v>17.219519999999999</v>
      </c>
    </row>
    <row r="2356" spans="2:8">
      <c r="B2356" s="555" t="s">
        <v>2286</v>
      </c>
      <c r="C2356" s="555" t="str">
        <f>VLOOKUP(D2356,기본!$D$13:$E$74,2,0)</f>
        <v>삼성 생활가전</v>
      </c>
      <c r="D2356" t="s">
        <v>1991</v>
      </c>
      <c r="E2356" t="s">
        <v>2000</v>
      </c>
      <c r="F2356" t="s">
        <v>2000</v>
      </c>
      <c r="G2356" s="554">
        <v>240</v>
      </c>
      <c r="H2356">
        <v>1.4159999999999999</v>
      </c>
    </row>
    <row r="2357" spans="2:8">
      <c r="B2357" s="555" t="s">
        <v>2286</v>
      </c>
      <c r="C2357" s="555" t="str">
        <f>VLOOKUP(D2357,기본!$D$13:$E$74,2,0)</f>
        <v>삼성 생활가전</v>
      </c>
      <c r="D2357" t="s">
        <v>1991</v>
      </c>
      <c r="E2357" t="s">
        <v>2001</v>
      </c>
      <c r="F2357" t="s">
        <v>2001</v>
      </c>
      <c r="G2357" s="554">
        <v>12000</v>
      </c>
      <c r="H2357">
        <v>65.64</v>
      </c>
    </row>
    <row r="2358" spans="2:8">
      <c r="B2358" s="555" t="s">
        <v>2286</v>
      </c>
      <c r="C2358" s="555" t="str">
        <f>VLOOKUP(D2358,기본!$D$13:$E$74,2,0)</f>
        <v>삼성 생활가전</v>
      </c>
      <c r="D2358" t="s">
        <v>1991</v>
      </c>
      <c r="E2358" t="s">
        <v>2002</v>
      </c>
      <c r="F2358" t="s">
        <v>2002</v>
      </c>
      <c r="G2358" s="554">
        <v>5040</v>
      </c>
      <c r="H2358">
        <v>49.79016</v>
      </c>
    </row>
    <row r="2359" spans="2:8">
      <c r="B2359" s="555" t="s">
        <v>2286</v>
      </c>
      <c r="C2359" s="555" t="str">
        <f>VLOOKUP(D2359,기본!$D$13:$E$74,2,0)</f>
        <v>삼성 생활가전</v>
      </c>
      <c r="D2359" t="s">
        <v>1991</v>
      </c>
      <c r="E2359" t="s">
        <v>1508</v>
      </c>
      <c r="F2359" t="s">
        <v>1508</v>
      </c>
      <c r="G2359" s="554">
        <v>15</v>
      </c>
      <c r="H2359">
        <v>0.14249999999999999</v>
      </c>
    </row>
    <row r="2360" spans="2:8">
      <c r="B2360" s="555" t="s">
        <v>2286</v>
      </c>
      <c r="C2360" s="555" t="str">
        <f>VLOOKUP(D2360,기본!$D$13:$E$74,2,0)</f>
        <v>삼성 생활가전</v>
      </c>
      <c r="D2360" t="s">
        <v>1991</v>
      </c>
      <c r="E2360" t="s">
        <v>1239</v>
      </c>
      <c r="F2360" t="s">
        <v>1239</v>
      </c>
      <c r="G2360" s="554">
        <v>8</v>
      </c>
      <c r="H2360">
        <v>4.3200000000000002E-2</v>
      </c>
    </row>
    <row r="2361" spans="2:8">
      <c r="B2361" s="555" t="s">
        <v>2286</v>
      </c>
      <c r="C2361" s="555" t="str">
        <f>VLOOKUP(D2361,기본!$D$13:$E$74,2,0)</f>
        <v>삼성 생활가전</v>
      </c>
      <c r="D2361" t="s">
        <v>1991</v>
      </c>
      <c r="E2361" t="s">
        <v>1242</v>
      </c>
      <c r="F2361" t="s">
        <v>1242</v>
      </c>
      <c r="G2361" s="554">
        <v>10413</v>
      </c>
      <c r="H2361">
        <v>53.418689999999998</v>
      </c>
    </row>
    <row r="2362" spans="2:8">
      <c r="B2362" s="555" t="s">
        <v>2286</v>
      </c>
      <c r="C2362" s="555" t="str">
        <f>VLOOKUP(D2362,기본!$D$13:$E$74,2,0)</f>
        <v>삼성 생활가전</v>
      </c>
      <c r="D2362" t="s">
        <v>1991</v>
      </c>
      <c r="E2362" t="s">
        <v>1395</v>
      </c>
      <c r="F2362" t="s">
        <v>1395</v>
      </c>
      <c r="G2362" s="554">
        <v>8694</v>
      </c>
      <c r="H2362">
        <v>47.451852000000002</v>
      </c>
    </row>
    <row r="2363" spans="2:8">
      <c r="B2363" s="555" t="s">
        <v>2286</v>
      </c>
      <c r="C2363" s="555" t="str">
        <f>VLOOKUP(D2363,기본!$D$13:$E$74,2,0)</f>
        <v>삼성 생활가전</v>
      </c>
      <c r="D2363" t="s">
        <v>1991</v>
      </c>
      <c r="E2363" t="s">
        <v>2004</v>
      </c>
      <c r="F2363" t="s">
        <v>2004</v>
      </c>
      <c r="G2363" s="554">
        <v>7795</v>
      </c>
      <c r="H2363">
        <v>75.882182</v>
      </c>
    </row>
    <row r="2364" spans="2:8">
      <c r="B2364" s="555" t="s">
        <v>2286</v>
      </c>
      <c r="C2364" s="555" t="str">
        <f>VLOOKUP(D2364,기본!$D$13:$E$74,2,0)</f>
        <v>삼성 생활가전</v>
      </c>
      <c r="D2364" t="s">
        <v>1991</v>
      </c>
      <c r="E2364" t="s">
        <v>2087</v>
      </c>
      <c r="F2364" t="s">
        <v>2087</v>
      </c>
      <c r="G2364" s="554">
        <v>630</v>
      </c>
      <c r="H2364">
        <v>6.5831862599999997</v>
      </c>
    </row>
    <row r="2365" spans="2:8">
      <c r="B2365" s="555" t="s">
        <v>2286</v>
      </c>
      <c r="C2365" s="555" t="str">
        <f>VLOOKUP(D2365,기본!$D$13:$E$74,2,0)</f>
        <v>삼성 생활가전</v>
      </c>
      <c r="D2365" t="s">
        <v>1991</v>
      </c>
      <c r="E2365" t="s">
        <v>2227</v>
      </c>
      <c r="F2365" t="s">
        <v>2227</v>
      </c>
      <c r="G2365" s="554">
        <v>420</v>
      </c>
      <c r="H2365">
        <v>2.2691214</v>
      </c>
    </row>
    <row r="2366" spans="2:8">
      <c r="B2366" s="555" t="s">
        <v>2286</v>
      </c>
      <c r="C2366" s="555" t="str">
        <f>VLOOKUP(D2366,기본!$D$13:$E$74,2,0)</f>
        <v>삼성 생활가전</v>
      </c>
      <c r="D2366" t="s">
        <v>1991</v>
      </c>
      <c r="E2366" t="s">
        <v>1465</v>
      </c>
      <c r="F2366" t="s">
        <v>1465</v>
      </c>
      <c r="G2366" s="554">
        <v>13933</v>
      </c>
      <c r="H2366">
        <v>190.44552331999998</v>
      </c>
    </row>
    <row r="2367" spans="2:8">
      <c r="B2367" s="555" t="s">
        <v>2286</v>
      </c>
      <c r="C2367" s="555" t="str">
        <f>VLOOKUP(D2367,기본!$D$13:$E$74,2,0)</f>
        <v>삼성 생활가전</v>
      </c>
      <c r="D2367" t="s">
        <v>1991</v>
      </c>
      <c r="E2367" t="s">
        <v>2005</v>
      </c>
      <c r="F2367" t="s">
        <v>2005</v>
      </c>
      <c r="G2367" s="554">
        <v>0</v>
      </c>
      <c r="H2367">
        <v>8.4549570000000003</v>
      </c>
    </row>
    <row r="2368" spans="2:8">
      <c r="B2368" s="555" t="s">
        <v>2286</v>
      </c>
      <c r="C2368" s="555" t="str">
        <f>VLOOKUP(D2368,기본!$D$13:$E$74,2,0)</f>
        <v>삼성 생활가전</v>
      </c>
      <c r="D2368" t="s">
        <v>1991</v>
      </c>
      <c r="E2368" t="s">
        <v>229</v>
      </c>
      <c r="F2368" t="s">
        <v>229</v>
      </c>
      <c r="G2368" s="554">
        <v>0</v>
      </c>
      <c r="H2368">
        <v>2.3984999999999999</v>
      </c>
    </row>
    <row r="2369" spans="2:8">
      <c r="B2369" s="555" t="s">
        <v>2286</v>
      </c>
      <c r="C2369" s="555" t="str">
        <f>VLOOKUP(D2369,기본!$D$13:$E$74,2,0)</f>
        <v>삼성 생활가전</v>
      </c>
      <c r="D2369" t="s">
        <v>2006</v>
      </c>
      <c r="E2369" t="s">
        <v>1465</v>
      </c>
      <c r="F2369" t="s">
        <v>1465</v>
      </c>
      <c r="G2369" s="554">
        <v>672</v>
      </c>
      <c r="H2369">
        <v>8.6923200000000005</v>
      </c>
    </row>
    <row r="2370" spans="2:8">
      <c r="B2370" s="555" t="s">
        <v>2286</v>
      </c>
      <c r="C2370" s="555" t="str">
        <f>VLOOKUP(D2370,기본!$D$13:$E$74,2,0)</f>
        <v>코웨이</v>
      </c>
      <c r="D2370" t="s">
        <v>2282</v>
      </c>
      <c r="E2370" t="s">
        <v>1544</v>
      </c>
      <c r="F2370" t="s">
        <v>1544</v>
      </c>
      <c r="G2370" s="554">
        <v>45</v>
      </c>
      <c r="H2370">
        <v>0.29457</v>
      </c>
    </row>
    <row r="2371" spans="2:8">
      <c r="B2371" s="555" t="s">
        <v>2286</v>
      </c>
      <c r="C2371" s="555" t="str">
        <f>VLOOKUP(D2371,기본!$D$13:$E$74,2,0)</f>
        <v>코웨이</v>
      </c>
      <c r="D2371" t="s">
        <v>2282</v>
      </c>
      <c r="E2371" t="s">
        <v>1545</v>
      </c>
      <c r="F2371" t="s">
        <v>1545</v>
      </c>
      <c r="G2371" s="554">
        <v>15</v>
      </c>
      <c r="H2371">
        <v>8.9279999999999998E-2</v>
      </c>
    </row>
    <row r="2372" spans="2:8">
      <c r="B2372" s="555" t="s">
        <v>2286</v>
      </c>
      <c r="C2372" s="555" t="str">
        <f>VLOOKUP(D2372,기본!$D$13:$E$74,2,0)</f>
        <v>코웨이</v>
      </c>
      <c r="D2372" t="s">
        <v>2007</v>
      </c>
      <c r="E2372" t="s">
        <v>1075</v>
      </c>
      <c r="F2372" t="s">
        <v>1075</v>
      </c>
      <c r="G2372" s="554">
        <v>10368</v>
      </c>
      <c r="H2372">
        <v>14.46336</v>
      </c>
    </row>
    <row r="2373" spans="2:8">
      <c r="B2373" s="555" t="s">
        <v>2286</v>
      </c>
      <c r="C2373" s="555" t="str">
        <f>VLOOKUP(D2373,기본!$D$13:$E$74,2,0)</f>
        <v>코웨이</v>
      </c>
      <c r="D2373" t="s">
        <v>2193</v>
      </c>
      <c r="E2373" t="s">
        <v>1090</v>
      </c>
      <c r="F2373" t="s">
        <v>1090</v>
      </c>
      <c r="G2373" s="554">
        <v>1510</v>
      </c>
      <c r="H2373">
        <v>4.12683</v>
      </c>
    </row>
    <row r="2374" spans="2:8">
      <c r="B2374" s="555" t="s">
        <v>2286</v>
      </c>
      <c r="C2374" s="555" t="str">
        <f>VLOOKUP(D2374,기본!$D$13:$E$74,2,0)</f>
        <v>코웨이</v>
      </c>
      <c r="D2374" t="s">
        <v>2010</v>
      </c>
      <c r="E2374" t="s">
        <v>2283</v>
      </c>
      <c r="F2374" t="s">
        <v>2283</v>
      </c>
      <c r="G2374" s="554">
        <v>1000</v>
      </c>
      <c r="H2374">
        <v>8.7680000000000007</v>
      </c>
    </row>
    <row r="2375" spans="2:8">
      <c r="B2375" s="555" t="s">
        <v>2286</v>
      </c>
      <c r="C2375" s="555" t="str">
        <f>VLOOKUP(D2375,기본!$D$13:$E$74,2,0)</f>
        <v>코웨이</v>
      </c>
      <c r="D2375" t="s">
        <v>2010</v>
      </c>
      <c r="E2375" t="s">
        <v>2014</v>
      </c>
      <c r="F2375" t="s">
        <v>2014</v>
      </c>
      <c r="G2375" s="554">
        <v>4515</v>
      </c>
      <c r="H2375">
        <v>39.217300000000002</v>
      </c>
    </row>
    <row r="2376" spans="2:8">
      <c r="B2376" s="555" t="s">
        <v>2286</v>
      </c>
      <c r="C2376" s="555" t="str">
        <f>VLOOKUP(D2376,기본!$D$13:$E$74,2,0)</f>
        <v>코웨이</v>
      </c>
      <c r="D2376" t="s">
        <v>2010</v>
      </c>
      <c r="E2376" t="s">
        <v>1093</v>
      </c>
      <c r="F2376" t="s">
        <v>1093</v>
      </c>
      <c r="G2376" s="554">
        <v>528</v>
      </c>
      <c r="H2376">
        <v>2.8286759999999997</v>
      </c>
    </row>
    <row r="2377" spans="2:8">
      <c r="B2377" s="555" t="s">
        <v>2286</v>
      </c>
      <c r="C2377" s="555" t="str">
        <f>VLOOKUP(D2377,기본!$D$13:$E$74,2,0)</f>
        <v>코웨이</v>
      </c>
      <c r="D2377" t="s">
        <v>2010</v>
      </c>
      <c r="E2377" t="s">
        <v>1094</v>
      </c>
      <c r="F2377" t="s">
        <v>1094</v>
      </c>
      <c r="G2377" s="554">
        <v>569</v>
      </c>
      <c r="H2377">
        <v>1.7819230000000001</v>
      </c>
    </row>
    <row r="2378" spans="2:8">
      <c r="B2378" s="555" t="s">
        <v>2286</v>
      </c>
      <c r="C2378" s="555" t="str">
        <f>VLOOKUP(D2378,기본!$D$13:$E$74,2,0)</f>
        <v>코웨이</v>
      </c>
      <c r="D2378" t="s">
        <v>2010</v>
      </c>
      <c r="E2378" t="s">
        <v>1095</v>
      </c>
      <c r="F2378" t="s">
        <v>1095</v>
      </c>
      <c r="G2378" s="554">
        <v>50</v>
      </c>
      <c r="H2378">
        <v>0.30180000000000001</v>
      </c>
    </row>
    <row r="2379" spans="2:8">
      <c r="B2379" s="555" t="s">
        <v>2286</v>
      </c>
      <c r="C2379" s="555" t="str">
        <f>VLOOKUP(D2379,기본!$D$13:$E$74,2,0)</f>
        <v>코웨이</v>
      </c>
      <c r="D2379" t="s">
        <v>2010</v>
      </c>
      <c r="E2379" t="s">
        <v>2015</v>
      </c>
      <c r="F2379" t="s">
        <v>2015</v>
      </c>
      <c r="G2379" s="554">
        <v>9</v>
      </c>
      <c r="H2379">
        <v>0.11597399999999999</v>
      </c>
    </row>
    <row r="2380" spans="2:8">
      <c r="B2380" s="555" t="s">
        <v>2286</v>
      </c>
      <c r="C2380" s="555" t="str">
        <f>VLOOKUP(D2380,기본!$D$13:$E$74,2,0)</f>
        <v>코웨이</v>
      </c>
      <c r="D2380" t="s">
        <v>2010</v>
      </c>
      <c r="E2380" t="s">
        <v>2197</v>
      </c>
      <c r="F2380" t="s">
        <v>2197</v>
      </c>
      <c r="G2380" s="554">
        <v>207</v>
      </c>
      <c r="H2380">
        <v>1.366614</v>
      </c>
    </row>
    <row r="2381" spans="2:8">
      <c r="B2381" s="555" t="s">
        <v>2286</v>
      </c>
      <c r="C2381" s="555" t="str">
        <f>VLOOKUP(D2381,기본!$D$13:$E$74,2,0)</f>
        <v>코웨이</v>
      </c>
      <c r="D2381" t="s">
        <v>2010</v>
      </c>
      <c r="E2381" t="s">
        <v>2016</v>
      </c>
      <c r="F2381" t="s">
        <v>2016</v>
      </c>
      <c r="G2381" s="554">
        <v>120</v>
      </c>
      <c r="H2381">
        <v>0.97223999999999999</v>
      </c>
    </row>
    <row r="2382" spans="2:8">
      <c r="B2382" s="555" t="s">
        <v>2286</v>
      </c>
      <c r="C2382" s="555" t="str">
        <f>VLOOKUP(D2382,기본!$D$13:$E$74,2,0)</f>
        <v>코웨이</v>
      </c>
      <c r="D2382" t="s">
        <v>2010</v>
      </c>
      <c r="E2382" t="s">
        <v>2228</v>
      </c>
      <c r="F2382" t="s">
        <v>2228</v>
      </c>
      <c r="G2382" s="554">
        <v>168</v>
      </c>
      <c r="H2382">
        <v>1.4736959999999999</v>
      </c>
    </row>
    <row r="2383" spans="2:8">
      <c r="B2383" s="555" t="s">
        <v>2286</v>
      </c>
      <c r="C2383" s="555" t="str">
        <f>VLOOKUP(D2383,기본!$D$13:$E$74,2,0)</f>
        <v>코웨이</v>
      </c>
      <c r="D2383" t="s">
        <v>2010</v>
      </c>
      <c r="E2383" t="s">
        <v>2229</v>
      </c>
      <c r="F2383" t="s">
        <v>2229</v>
      </c>
      <c r="G2383" s="554">
        <v>168</v>
      </c>
      <c r="H2383">
        <v>2.4679200000000003</v>
      </c>
    </row>
    <row r="2384" spans="2:8">
      <c r="B2384" s="555" t="s">
        <v>2286</v>
      </c>
      <c r="C2384" s="555" t="str">
        <f>VLOOKUP(D2384,기본!$D$13:$E$74,2,0)</f>
        <v>코웨이</v>
      </c>
      <c r="D2384" t="s">
        <v>2010</v>
      </c>
      <c r="E2384" t="s">
        <v>2019</v>
      </c>
      <c r="F2384" t="s">
        <v>2019</v>
      </c>
      <c r="G2384" s="554">
        <v>500</v>
      </c>
      <c r="H2384">
        <v>8.2675000000000001</v>
      </c>
    </row>
    <row r="2385" spans="2:8">
      <c r="B2385" s="555" t="s">
        <v>2286</v>
      </c>
      <c r="C2385" s="555" t="str">
        <f>VLOOKUP(D2385,기본!$D$13:$E$74,2,0)</f>
        <v>코웨이</v>
      </c>
      <c r="D2385" t="s">
        <v>2010</v>
      </c>
      <c r="E2385" t="s">
        <v>2020</v>
      </c>
      <c r="F2385" t="s">
        <v>2020</v>
      </c>
      <c r="G2385" s="554">
        <v>36</v>
      </c>
      <c r="H2385">
        <v>0.55497599999999991</v>
      </c>
    </row>
    <row r="2386" spans="2:8">
      <c r="B2386" s="555" t="s">
        <v>2286</v>
      </c>
      <c r="C2386" s="555" t="str">
        <f>VLOOKUP(D2386,기본!$D$13:$E$74,2,0)</f>
        <v>코웨이</v>
      </c>
      <c r="D2386" t="s">
        <v>2010</v>
      </c>
      <c r="E2386" t="s">
        <v>2021</v>
      </c>
      <c r="F2386" t="s">
        <v>2021</v>
      </c>
      <c r="G2386" s="554">
        <v>30207</v>
      </c>
      <c r="H2386">
        <v>390.75775199999998</v>
      </c>
    </row>
    <row r="2387" spans="2:8">
      <c r="B2387" s="555" t="s">
        <v>2286</v>
      </c>
      <c r="C2387" s="555" t="str">
        <f>VLOOKUP(D2387,기본!$D$13:$E$74,2,0)</f>
        <v>코웨이</v>
      </c>
      <c r="D2387" t="s">
        <v>2010</v>
      </c>
      <c r="E2387" t="s">
        <v>1542</v>
      </c>
      <c r="F2387" t="s">
        <v>1542</v>
      </c>
      <c r="G2387" s="554">
        <v>1191</v>
      </c>
      <c r="H2387">
        <v>9.3017099999999999</v>
      </c>
    </row>
    <row r="2388" spans="2:8">
      <c r="B2388" s="555" t="s">
        <v>2286</v>
      </c>
      <c r="C2388" s="555" t="str">
        <f>VLOOKUP(D2388,기본!$D$13:$E$74,2,0)</f>
        <v>코웨이</v>
      </c>
      <c r="D2388" t="s">
        <v>2010</v>
      </c>
      <c r="E2388" t="s">
        <v>1543</v>
      </c>
      <c r="F2388" t="s">
        <v>1543</v>
      </c>
      <c r="G2388" s="554">
        <v>95</v>
      </c>
      <c r="H2388">
        <v>0.68380999999999992</v>
      </c>
    </row>
    <row r="2389" spans="2:8">
      <c r="B2389" s="555" t="s">
        <v>2286</v>
      </c>
      <c r="C2389" s="555" t="str">
        <f>VLOOKUP(D2389,기본!$D$13:$E$74,2,0)</f>
        <v>코웨이</v>
      </c>
      <c r="D2389" t="s">
        <v>2010</v>
      </c>
      <c r="E2389" t="s">
        <v>2022</v>
      </c>
      <c r="F2389" t="s">
        <v>2022</v>
      </c>
      <c r="G2389" s="554">
        <v>125</v>
      </c>
      <c r="H2389">
        <v>0.97437499999999999</v>
      </c>
    </row>
    <row r="2390" spans="2:8">
      <c r="B2390" s="555" t="s">
        <v>2286</v>
      </c>
      <c r="C2390" s="555" t="str">
        <f>VLOOKUP(D2390,기본!$D$13:$E$74,2,0)</f>
        <v>코웨이</v>
      </c>
      <c r="D2390" t="s">
        <v>2010</v>
      </c>
      <c r="E2390" t="s">
        <v>2023</v>
      </c>
      <c r="F2390" t="s">
        <v>2023</v>
      </c>
      <c r="G2390" s="554">
        <v>265</v>
      </c>
      <c r="H2390">
        <v>2.0688019999999998</v>
      </c>
    </row>
    <row r="2391" spans="2:8">
      <c r="B2391" s="555" t="s">
        <v>2286</v>
      </c>
      <c r="C2391" s="555" t="str">
        <f>VLOOKUP(D2391,기본!$D$13:$E$74,2,0)</f>
        <v>코웨이</v>
      </c>
      <c r="D2391" t="s">
        <v>2010</v>
      </c>
      <c r="E2391" t="s">
        <v>2024</v>
      </c>
      <c r="F2391" t="s">
        <v>2024</v>
      </c>
      <c r="G2391" s="554">
        <v>23</v>
      </c>
      <c r="H2391">
        <v>0.23250700000000002</v>
      </c>
    </row>
    <row r="2392" spans="2:8">
      <c r="B2392" s="555" t="s">
        <v>2286</v>
      </c>
      <c r="C2392" s="555" t="str">
        <f>VLOOKUP(D2392,기본!$D$13:$E$74,2,0)</f>
        <v>코웨이</v>
      </c>
      <c r="D2392" t="s">
        <v>2010</v>
      </c>
      <c r="E2392" t="s">
        <v>2025</v>
      </c>
      <c r="F2392" t="s">
        <v>2025</v>
      </c>
      <c r="G2392" s="554">
        <v>476</v>
      </c>
      <c r="H2392">
        <v>4.2673399999999999</v>
      </c>
    </row>
    <row r="2393" spans="2:8">
      <c r="B2393" s="555" t="s">
        <v>2286</v>
      </c>
      <c r="C2393" s="555" t="str">
        <f>VLOOKUP(D2393,기본!$D$13:$E$74,2,0)</f>
        <v>코웨이</v>
      </c>
      <c r="D2393" t="s">
        <v>2010</v>
      </c>
      <c r="E2393" t="s">
        <v>2026</v>
      </c>
      <c r="F2393" t="s">
        <v>2026</v>
      </c>
      <c r="G2393" s="554">
        <v>108</v>
      </c>
      <c r="H2393">
        <v>1.84032</v>
      </c>
    </row>
    <row r="2394" spans="2:8">
      <c r="B2394" s="555" t="s">
        <v>2286</v>
      </c>
      <c r="C2394" s="555" t="str">
        <f>VLOOKUP(D2394,기본!$D$13:$E$74,2,0)</f>
        <v>코웨이</v>
      </c>
      <c r="D2394" t="s">
        <v>2010</v>
      </c>
      <c r="E2394" t="s">
        <v>2027</v>
      </c>
      <c r="F2394" t="s">
        <v>2027</v>
      </c>
      <c r="G2394" s="554">
        <v>117</v>
      </c>
      <c r="H2394">
        <v>2.2698</v>
      </c>
    </row>
    <row r="2395" spans="2:8">
      <c r="B2395" s="555" t="s">
        <v>2286</v>
      </c>
      <c r="C2395" s="555" t="str">
        <f>VLOOKUP(D2395,기본!$D$13:$E$74,2,0)</f>
        <v>코웨이</v>
      </c>
      <c r="D2395" t="s">
        <v>2010</v>
      </c>
      <c r="E2395" t="s">
        <v>2028</v>
      </c>
      <c r="F2395" t="s">
        <v>2028</v>
      </c>
      <c r="G2395" s="554">
        <v>43</v>
      </c>
      <c r="H2395">
        <v>0.81269999999999998</v>
      </c>
    </row>
    <row r="2396" spans="2:8">
      <c r="B2396" s="555" t="s">
        <v>2286</v>
      </c>
      <c r="C2396" s="555" t="str">
        <f>VLOOKUP(D2396,기본!$D$13:$E$74,2,0)</f>
        <v>코웨이</v>
      </c>
      <c r="D2396" t="s">
        <v>2010</v>
      </c>
      <c r="E2396" t="s">
        <v>2030</v>
      </c>
      <c r="F2396" t="s">
        <v>2030</v>
      </c>
      <c r="G2396" s="554">
        <v>632</v>
      </c>
      <c r="H2396">
        <v>13.010983999999999</v>
      </c>
    </row>
    <row r="2397" spans="2:8">
      <c r="B2397" s="555" t="s">
        <v>2286</v>
      </c>
      <c r="C2397" s="555" t="str">
        <f>VLOOKUP(D2397,기본!$D$13:$E$74,2,0)</f>
        <v>코웨이</v>
      </c>
      <c r="D2397" t="s">
        <v>2010</v>
      </c>
      <c r="E2397" t="s">
        <v>2031</v>
      </c>
      <c r="F2397" t="s">
        <v>2031</v>
      </c>
      <c r="G2397" s="554">
        <v>3</v>
      </c>
      <c r="H2397">
        <v>4.1730000000000003E-2</v>
      </c>
    </row>
    <row r="2398" spans="2:8">
      <c r="B2398" s="555" t="s">
        <v>2286</v>
      </c>
      <c r="C2398" s="555" t="str">
        <f>VLOOKUP(D2398,기본!$D$13:$E$74,2,0)</f>
        <v>코웨이</v>
      </c>
      <c r="D2398" t="s">
        <v>2010</v>
      </c>
      <c r="E2398" t="s">
        <v>2284</v>
      </c>
      <c r="F2398" t="s">
        <v>2284</v>
      </c>
      <c r="G2398" s="554">
        <v>100</v>
      </c>
      <c r="H2398">
        <v>0.91349999999999998</v>
      </c>
    </row>
    <row r="2399" spans="2:8">
      <c r="B2399" s="555" t="s">
        <v>2286</v>
      </c>
      <c r="C2399" s="555" t="str">
        <f>VLOOKUP(D2399,기본!$D$13:$E$74,2,0)</f>
        <v>코웨이</v>
      </c>
      <c r="D2399" t="s">
        <v>2010</v>
      </c>
      <c r="E2399" t="s">
        <v>2032</v>
      </c>
      <c r="F2399" t="s">
        <v>2032</v>
      </c>
      <c r="G2399" s="554">
        <v>190</v>
      </c>
      <c r="H2399">
        <v>0.42009000000000002</v>
      </c>
    </row>
    <row r="2400" spans="2:8">
      <c r="B2400" s="555" t="s">
        <v>2286</v>
      </c>
      <c r="C2400" s="555" t="str">
        <f>VLOOKUP(D2400,기본!$D$13:$E$74,2,0)</f>
        <v>코웨이</v>
      </c>
      <c r="D2400" t="s">
        <v>2010</v>
      </c>
      <c r="E2400" t="s">
        <v>2033</v>
      </c>
      <c r="F2400" t="s">
        <v>2033</v>
      </c>
      <c r="G2400" s="554">
        <v>6700</v>
      </c>
      <c r="H2400">
        <v>43.066749999999992</v>
      </c>
    </row>
    <row r="2401" spans="2:8">
      <c r="B2401" s="555" t="s">
        <v>2286</v>
      </c>
      <c r="C2401" s="555" t="str">
        <f>VLOOKUP(D2401,기본!$D$13:$E$74,2,0)</f>
        <v>코웨이</v>
      </c>
      <c r="D2401" t="s">
        <v>2010</v>
      </c>
      <c r="E2401" t="s">
        <v>2034</v>
      </c>
      <c r="F2401" t="s">
        <v>2034</v>
      </c>
      <c r="G2401" s="554">
        <v>10339</v>
      </c>
      <c r="H2401">
        <v>161.38799999999998</v>
      </c>
    </row>
    <row r="2402" spans="2:8">
      <c r="B2402" s="555" t="s">
        <v>2286</v>
      </c>
      <c r="C2402" s="555" t="str">
        <f>VLOOKUP(D2402,기본!$D$13:$E$74,2,0)</f>
        <v>코웨이</v>
      </c>
      <c r="D2402" t="s">
        <v>2010</v>
      </c>
      <c r="E2402" t="s">
        <v>2035</v>
      </c>
      <c r="F2402" t="s">
        <v>2035</v>
      </c>
      <c r="G2402" s="554">
        <v>768</v>
      </c>
      <c r="H2402">
        <v>12.88152</v>
      </c>
    </row>
    <row r="2403" spans="2:8">
      <c r="B2403" s="555" t="s">
        <v>2286</v>
      </c>
      <c r="C2403" s="555" t="str">
        <f>VLOOKUP(D2403,기본!$D$13:$E$74,2,0)</f>
        <v>코웨이</v>
      </c>
      <c r="D2403" t="s">
        <v>2010</v>
      </c>
      <c r="E2403" t="s">
        <v>2036</v>
      </c>
      <c r="F2403" t="s">
        <v>2036</v>
      </c>
      <c r="G2403" s="554">
        <v>3124</v>
      </c>
      <c r="H2403">
        <v>47.946559999999998</v>
      </c>
    </row>
    <row r="2404" spans="2:8">
      <c r="B2404" s="555" t="s">
        <v>2286</v>
      </c>
      <c r="C2404" s="555" t="str">
        <f>VLOOKUP(D2404,기본!$D$13:$E$74,2,0)</f>
        <v>코웨이</v>
      </c>
      <c r="D2404" t="s">
        <v>2010</v>
      </c>
      <c r="E2404" t="s">
        <v>2037</v>
      </c>
      <c r="F2404" t="s">
        <v>2037</v>
      </c>
      <c r="G2404" s="554">
        <v>75</v>
      </c>
      <c r="H2404">
        <v>1.1691</v>
      </c>
    </row>
    <row r="2405" spans="2:8">
      <c r="B2405" s="555" t="s">
        <v>2286</v>
      </c>
      <c r="C2405" s="555" t="str">
        <f>VLOOKUP(D2405,기본!$D$13:$E$74,2,0)</f>
        <v>코웨이</v>
      </c>
      <c r="D2405" t="s">
        <v>2010</v>
      </c>
      <c r="E2405" t="s">
        <v>2038</v>
      </c>
      <c r="F2405" t="s">
        <v>2038</v>
      </c>
      <c r="G2405" s="554">
        <v>360</v>
      </c>
      <c r="H2405">
        <v>5.7207600000000003</v>
      </c>
    </row>
    <row r="2406" spans="2:8">
      <c r="B2406" s="555" t="s">
        <v>2286</v>
      </c>
      <c r="C2406" s="555" t="str">
        <f>VLOOKUP(D2406,기본!$D$13:$E$74,2,0)</f>
        <v>코웨이</v>
      </c>
      <c r="D2406" t="s">
        <v>2010</v>
      </c>
      <c r="E2406" t="s">
        <v>2039</v>
      </c>
      <c r="F2406" t="s">
        <v>2039</v>
      </c>
      <c r="G2406" s="554">
        <v>40</v>
      </c>
      <c r="H2406">
        <v>0.66232000000000002</v>
      </c>
    </row>
    <row r="2407" spans="2:8">
      <c r="B2407" s="555" t="s">
        <v>2286</v>
      </c>
      <c r="C2407" s="555" t="str">
        <f>VLOOKUP(D2407,기본!$D$13:$E$74,2,0)</f>
        <v>코웨이</v>
      </c>
      <c r="D2407" t="s">
        <v>2010</v>
      </c>
      <c r="E2407" t="s">
        <v>2041</v>
      </c>
      <c r="F2407" t="s">
        <v>2041</v>
      </c>
      <c r="G2407" s="554">
        <v>2369</v>
      </c>
      <c r="H2407">
        <v>38.797065999999994</v>
      </c>
    </row>
    <row r="2408" spans="2:8">
      <c r="B2408" s="555" t="s">
        <v>2286</v>
      </c>
      <c r="C2408" s="555" t="str">
        <f>VLOOKUP(D2408,기본!$D$13:$E$74,2,0)</f>
        <v>코웨이</v>
      </c>
      <c r="D2408" t="s">
        <v>2010</v>
      </c>
      <c r="E2408" t="s">
        <v>1089</v>
      </c>
      <c r="F2408" t="s">
        <v>1089</v>
      </c>
      <c r="G2408" s="554">
        <v>303</v>
      </c>
      <c r="H2408">
        <v>3.4463489999999997</v>
      </c>
    </row>
    <row r="2409" spans="2:8">
      <c r="B2409" s="555" t="s">
        <v>2286</v>
      </c>
      <c r="C2409" s="555" t="str">
        <f>VLOOKUP(D2409,기본!$D$13:$E$74,2,0)</f>
        <v>코웨이</v>
      </c>
      <c r="D2409" t="s">
        <v>2010</v>
      </c>
      <c r="E2409" t="s">
        <v>2042</v>
      </c>
      <c r="F2409" t="s">
        <v>2042</v>
      </c>
      <c r="G2409" s="554">
        <v>6</v>
      </c>
      <c r="H2409">
        <v>4.4333999999999998E-2</v>
      </c>
    </row>
    <row r="2410" spans="2:8">
      <c r="B2410" s="555" t="s">
        <v>2286</v>
      </c>
      <c r="C2410" s="555" t="str">
        <f>VLOOKUP(D2410,기본!$D$13:$E$74,2,0)</f>
        <v>코웨이</v>
      </c>
      <c r="D2410" t="s">
        <v>2010</v>
      </c>
      <c r="E2410" t="s">
        <v>2250</v>
      </c>
      <c r="F2410" t="s">
        <v>2250</v>
      </c>
      <c r="G2410" s="554">
        <v>324</v>
      </c>
      <c r="H2410">
        <v>2.1380759999999999</v>
      </c>
    </row>
    <row r="2411" spans="2:8">
      <c r="B2411" s="555" t="s">
        <v>2286</v>
      </c>
      <c r="C2411" s="555" t="str">
        <f>VLOOKUP(D2411,기본!$D$13:$E$74,2,0)</f>
        <v>코웨이</v>
      </c>
      <c r="D2411" t="s">
        <v>2010</v>
      </c>
      <c r="E2411" t="s">
        <v>2044</v>
      </c>
      <c r="F2411" t="s">
        <v>2044</v>
      </c>
      <c r="G2411" s="554">
        <v>46</v>
      </c>
      <c r="H2411">
        <v>0.81392399999999998</v>
      </c>
    </row>
    <row r="2412" spans="2:8">
      <c r="B2412" s="555" t="s">
        <v>2286</v>
      </c>
      <c r="C2412" s="555" t="str">
        <f>VLOOKUP(D2412,기본!$D$13:$E$74,2,0)</f>
        <v>코웨이</v>
      </c>
      <c r="D2412" t="s">
        <v>2010</v>
      </c>
      <c r="E2412" t="s">
        <v>2045</v>
      </c>
      <c r="F2412" t="s">
        <v>2045</v>
      </c>
      <c r="G2412" s="554">
        <v>68</v>
      </c>
      <c r="H2412">
        <v>1.151716</v>
      </c>
    </row>
    <row r="2413" spans="2:8">
      <c r="B2413" s="555" t="s">
        <v>2286</v>
      </c>
      <c r="C2413" s="555" t="str">
        <f>VLOOKUP(D2413,기본!$D$13:$E$74,2,0)</f>
        <v>코웨이</v>
      </c>
      <c r="D2413" t="s">
        <v>2010</v>
      </c>
      <c r="E2413" t="s">
        <v>2046</v>
      </c>
      <c r="F2413" t="s">
        <v>2046</v>
      </c>
      <c r="G2413" s="554">
        <v>2090</v>
      </c>
      <c r="H2413">
        <v>32.619911000000002</v>
      </c>
    </row>
    <row r="2414" spans="2:8">
      <c r="B2414" s="555" t="s">
        <v>2286</v>
      </c>
      <c r="C2414" s="555" t="str">
        <f>VLOOKUP(D2414,기본!$D$13:$E$74,2,0)</f>
        <v>코웨이</v>
      </c>
      <c r="D2414" t="s">
        <v>2010</v>
      </c>
      <c r="E2414" t="s">
        <v>2048</v>
      </c>
      <c r="F2414" t="s">
        <v>2048</v>
      </c>
      <c r="G2414" s="554">
        <v>3</v>
      </c>
      <c r="H2414">
        <v>6.6168000000000005E-2</v>
      </c>
    </row>
    <row r="2415" spans="2:8">
      <c r="B2415" s="555" t="s">
        <v>2286</v>
      </c>
      <c r="C2415" s="555" t="str">
        <f>VLOOKUP(D2415,기본!$D$13:$E$74,2,0)</f>
        <v>코웨이</v>
      </c>
      <c r="D2415" t="s">
        <v>2010</v>
      </c>
      <c r="E2415" t="s">
        <v>2153</v>
      </c>
      <c r="F2415" t="s">
        <v>2153</v>
      </c>
      <c r="G2415" s="554">
        <v>6</v>
      </c>
      <c r="H2415">
        <v>0.115842</v>
      </c>
    </row>
    <row r="2416" spans="2:8">
      <c r="B2416" s="555" t="s">
        <v>2286</v>
      </c>
      <c r="C2416" s="555" t="str">
        <f>VLOOKUP(D2416,기본!$D$13:$E$74,2,0)</f>
        <v>코웨이</v>
      </c>
      <c r="D2416" t="s">
        <v>2010</v>
      </c>
      <c r="E2416" t="s">
        <v>2049</v>
      </c>
      <c r="F2416" t="s">
        <v>2049</v>
      </c>
      <c r="G2416" s="554">
        <v>9</v>
      </c>
      <c r="H2416">
        <v>0.216279</v>
      </c>
    </row>
    <row r="2417" spans="2:8">
      <c r="B2417" s="555" t="s">
        <v>2286</v>
      </c>
      <c r="C2417" s="555" t="str">
        <f>VLOOKUP(D2417,기본!$D$13:$E$74,2,0)</f>
        <v>코웨이</v>
      </c>
      <c r="D2417" t="s">
        <v>2010</v>
      </c>
      <c r="E2417" t="s">
        <v>1215</v>
      </c>
      <c r="F2417" t="s">
        <v>1215</v>
      </c>
      <c r="G2417" s="554">
        <v>155</v>
      </c>
      <c r="H2417">
        <v>4.7455699999999998</v>
      </c>
    </row>
    <row r="2418" spans="2:8">
      <c r="B2418" s="555" t="s">
        <v>2286</v>
      </c>
      <c r="C2418" s="555" t="str">
        <f>VLOOKUP(D2418,기본!$D$13:$E$74,2,0)</f>
        <v>코웨이</v>
      </c>
      <c r="D2418" t="s">
        <v>2010</v>
      </c>
      <c r="E2418" t="s">
        <v>1216</v>
      </c>
      <c r="F2418" t="s">
        <v>1216</v>
      </c>
      <c r="G2418" s="554">
        <v>5</v>
      </c>
      <c r="H2418">
        <v>0.13475500000000001</v>
      </c>
    </row>
    <row r="2419" spans="2:8">
      <c r="B2419" s="555" t="s">
        <v>2286</v>
      </c>
      <c r="C2419" s="555" t="str">
        <f>VLOOKUP(D2419,기본!$D$13:$E$74,2,0)</f>
        <v>코웨이</v>
      </c>
      <c r="D2419" t="s">
        <v>2010</v>
      </c>
      <c r="E2419" t="s">
        <v>2050</v>
      </c>
      <c r="F2419" t="s">
        <v>2050</v>
      </c>
      <c r="G2419" s="554">
        <v>235</v>
      </c>
      <c r="H2419">
        <v>5.4720130000000005</v>
      </c>
    </row>
    <row r="2420" spans="2:8">
      <c r="B2420" s="555" t="s">
        <v>2286</v>
      </c>
      <c r="C2420" s="555" t="str">
        <f>VLOOKUP(D2420,기본!$D$13:$E$74,2,0)</f>
        <v>코웨이</v>
      </c>
      <c r="D2420" t="s">
        <v>2010</v>
      </c>
      <c r="E2420" t="s">
        <v>2051</v>
      </c>
      <c r="F2420" t="s">
        <v>2051</v>
      </c>
      <c r="G2420" s="554">
        <v>31</v>
      </c>
      <c r="H2420">
        <v>0.76008900000000001</v>
      </c>
    </row>
    <row r="2421" spans="2:8">
      <c r="B2421" s="555" t="s">
        <v>2286</v>
      </c>
      <c r="C2421" s="555" t="str">
        <f>VLOOKUP(D2421,기본!$D$13:$E$74,2,0)</f>
        <v>코웨이</v>
      </c>
      <c r="D2421" t="s">
        <v>2010</v>
      </c>
      <c r="E2421" t="s">
        <v>2052</v>
      </c>
      <c r="F2421" t="s">
        <v>2052</v>
      </c>
      <c r="G2421" s="554">
        <v>280</v>
      </c>
      <c r="H2421">
        <v>6.4512</v>
      </c>
    </row>
    <row r="2422" spans="2:8">
      <c r="B2422" s="555" t="s">
        <v>2286</v>
      </c>
      <c r="C2422" s="555" t="str">
        <f>VLOOKUP(D2422,기본!$D$13:$E$74,2,0)</f>
        <v>코웨이</v>
      </c>
      <c r="D2422" t="s">
        <v>2010</v>
      </c>
      <c r="E2422" t="s">
        <v>2053</v>
      </c>
      <c r="F2422" t="s">
        <v>2053</v>
      </c>
      <c r="G2422" s="554">
        <v>130</v>
      </c>
      <c r="H2422">
        <v>3.4182199999999998</v>
      </c>
    </row>
    <row r="2423" spans="2:8">
      <c r="B2423" s="555" t="s">
        <v>2286</v>
      </c>
      <c r="C2423" s="555" t="str">
        <f>VLOOKUP(D2423,기본!$D$13:$E$74,2,0)</f>
        <v>코웨이</v>
      </c>
      <c r="D2423" t="s">
        <v>2010</v>
      </c>
      <c r="E2423" t="s">
        <v>1217</v>
      </c>
      <c r="F2423" t="s">
        <v>1217</v>
      </c>
      <c r="G2423" s="554">
        <v>168</v>
      </c>
      <c r="H2423">
        <v>5.1361439999999998</v>
      </c>
    </row>
    <row r="2424" spans="2:8">
      <c r="B2424" s="555" t="s">
        <v>2286</v>
      </c>
      <c r="C2424" s="555" t="str">
        <f>VLOOKUP(D2424,기본!$D$13:$E$74,2,0)</f>
        <v>코웨이</v>
      </c>
      <c r="D2424" t="s">
        <v>2010</v>
      </c>
      <c r="E2424" t="s">
        <v>2054</v>
      </c>
      <c r="F2424" t="s">
        <v>2054</v>
      </c>
      <c r="G2424" s="554">
        <v>27</v>
      </c>
      <c r="H2424">
        <v>0.85263299999999997</v>
      </c>
    </row>
    <row r="2425" spans="2:8">
      <c r="B2425" s="555" t="s">
        <v>2286</v>
      </c>
      <c r="C2425" s="555" t="str">
        <f>VLOOKUP(D2425,기본!$D$13:$E$74,2,0)</f>
        <v>코웨이</v>
      </c>
      <c r="D2425" t="s">
        <v>2010</v>
      </c>
      <c r="E2425" t="s">
        <v>2055</v>
      </c>
      <c r="F2425" t="s">
        <v>2055</v>
      </c>
      <c r="G2425" s="554">
        <v>3</v>
      </c>
      <c r="H2425">
        <v>8.5919999999999996E-2</v>
      </c>
    </row>
    <row r="2426" spans="2:8">
      <c r="B2426" s="555" t="s">
        <v>2286</v>
      </c>
      <c r="C2426" s="555" t="str">
        <f>VLOOKUP(D2426,기본!$D$13:$E$74,2,0)</f>
        <v>코웨이</v>
      </c>
      <c r="D2426" t="s">
        <v>2010</v>
      </c>
      <c r="E2426" t="s">
        <v>2056</v>
      </c>
      <c r="F2426" t="s">
        <v>2056</v>
      </c>
      <c r="G2426" s="554">
        <v>216</v>
      </c>
      <c r="H2426">
        <v>4.1353620000000006</v>
      </c>
    </row>
    <row r="2427" spans="2:8">
      <c r="B2427" s="555" t="s">
        <v>2286</v>
      </c>
      <c r="C2427" s="555" t="str">
        <f>VLOOKUP(D2427,기본!$D$13:$E$74,2,0)</f>
        <v>코웨이</v>
      </c>
      <c r="D2427" t="s">
        <v>2010</v>
      </c>
      <c r="E2427" t="s">
        <v>2154</v>
      </c>
      <c r="F2427" t="s">
        <v>2154</v>
      </c>
      <c r="G2427" s="554">
        <v>165</v>
      </c>
      <c r="H2427">
        <v>3.234</v>
      </c>
    </row>
    <row r="2428" spans="2:8">
      <c r="B2428" s="555" t="s">
        <v>2286</v>
      </c>
      <c r="C2428" s="555" t="str">
        <f>VLOOKUP(D2428,기본!$D$13:$E$74,2,0)</f>
        <v>코웨이</v>
      </c>
      <c r="D2428" t="s">
        <v>2010</v>
      </c>
      <c r="E2428" t="s">
        <v>2057</v>
      </c>
      <c r="F2428" t="s">
        <v>2057</v>
      </c>
      <c r="G2428" s="554">
        <v>60</v>
      </c>
      <c r="H2428">
        <v>1.8294600000000001</v>
      </c>
    </row>
    <row r="2429" spans="2:8">
      <c r="B2429" s="555" t="s">
        <v>2286</v>
      </c>
      <c r="C2429" s="555" t="str">
        <f>VLOOKUP(D2429,기본!$D$13:$E$74,2,0)</f>
        <v>코웨이</v>
      </c>
      <c r="D2429" t="s">
        <v>2010</v>
      </c>
      <c r="E2429" t="s">
        <v>1328</v>
      </c>
      <c r="F2429" t="s">
        <v>1328</v>
      </c>
      <c r="G2429" s="554">
        <v>103</v>
      </c>
      <c r="H2429">
        <v>0.320442</v>
      </c>
    </row>
    <row r="2430" spans="2:8">
      <c r="B2430" s="555" t="s">
        <v>2286</v>
      </c>
      <c r="C2430" s="555" t="str">
        <f>VLOOKUP(D2430,기본!$D$13:$E$74,2,0)</f>
        <v>코웨이</v>
      </c>
      <c r="D2430" t="s">
        <v>2010</v>
      </c>
      <c r="E2430" t="s">
        <v>1327</v>
      </c>
      <c r="F2430" t="s">
        <v>1327</v>
      </c>
      <c r="G2430" s="554">
        <v>157</v>
      </c>
      <c r="H2430">
        <v>1.6568689999999999</v>
      </c>
    </row>
    <row r="2431" spans="2:8">
      <c r="B2431" s="555" t="s">
        <v>2286</v>
      </c>
      <c r="C2431" s="555" t="str">
        <f>VLOOKUP(D2431,기본!$D$13:$E$74,2,0)</f>
        <v>코웨이</v>
      </c>
      <c r="D2431" t="s">
        <v>2010</v>
      </c>
      <c r="E2431" t="s">
        <v>1325</v>
      </c>
      <c r="F2431" t="s">
        <v>1325</v>
      </c>
      <c r="G2431" s="554">
        <v>153</v>
      </c>
      <c r="H2431">
        <v>5.1494450000000001</v>
      </c>
    </row>
    <row r="2432" spans="2:8">
      <c r="B2432" s="555" t="s">
        <v>2286</v>
      </c>
      <c r="C2432" s="555" t="str">
        <f>VLOOKUP(D2432,기본!$D$13:$E$74,2,0)</f>
        <v>코웨이</v>
      </c>
      <c r="D2432" t="s">
        <v>2010</v>
      </c>
      <c r="E2432" t="s">
        <v>1326</v>
      </c>
      <c r="F2432" t="s">
        <v>1326</v>
      </c>
      <c r="G2432" s="554">
        <v>20</v>
      </c>
      <c r="H2432">
        <v>0.67183999999999999</v>
      </c>
    </row>
    <row r="2433" spans="2:8">
      <c r="B2433" s="555" t="s">
        <v>2286</v>
      </c>
      <c r="C2433" s="555" t="str">
        <f>VLOOKUP(D2433,기본!$D$13:$E$74,2,0)</f>
        <v>코웨이</v>
      </c>
      <c r="D2433" t="s">
        <v>2010</v>
      </c>
      <c r="E2433" t="s">
        <v>2199</v>
      </c>
      <c r="F2433" t="s">
        <v>2199</v>
      </c>
      <c r="G2433" s="554">
        <v>510</v>
      </c>
      <c r="H2433">
        <v>2.8922099999999999</v>
      </c>
    </row>
    <row r="2434" spans="2:8">
      <c r="B2434" s="555" t="s">
        <v>2286</v>
      </c>
      <c r="C2434" s="555" t="str">
        <f>VLOOKUP(D2434,기본!$D$13:$E$74,2,0)</f>
        <v>코웨이</v>
      </c>
      <c r="D2434" t="s">
        <v>2010</v>
      </c>
      <c r="E2434" t="s">
        <v>2060</v>
      </c>
      <c r="F2434" t="s">
        <v>2060</v>
      </c>
      <c r="G2434" s="554">
        <v>576</v>
      </c>
      <c r="H2434">
        <v>3.2048640000000002</v>
      </c>
    </row>
    <row r="2435" spans="2:8">
      <c r="B2435" s="555" t="s">
        <v>2286</v>
      </c>
      <c r="C2435" s="555" t="str">
        <f>VLOOKUP(D2435,기본!$D$13:$E$74,2,0)</f>
        <v>코웨이</v>
      </c>
      <c r="D2435" t="s">
        <v>2010</v>
      </c>
      <c r="E2435" t="s">
        <v>2061</v>
      </c>
      <c r="F2435" t="s">
        <v>2061</v>
      </c>
      <c r="G2435" s="554">
        <v>28</v>
      </c>
      <c r="H2435">
        <v>0.17418800000000001</v>
      </c>
    </row>
    <row r="2436" spans="2:8">
      <c r="B2436" s="555" t="s">
        <v>2286</v>
      </c>
      <c r="C2436" s="555" t="str">
        <f>VLOOKUP(D2436,기본!$D$13:$E$74,2,0)</f>
        <v>코웨이</v>
      </c>
      <c r="D2436" t="s">
        <v>2010</v>
      </c>
      <c r="E2436" t="s">
        <v>2063</v>
      </c>
      <c r="F2436" t="s">
        <v>2063</v>
      </c>
      <c r="G2436" s="554">
        <v>50</v>
      </c>
      <c r="H2436">
        <v>0.2903</v>
      </c>
    </row>
    <row r="2437" spans="2:8">
      <c r="B2437" s="555" t="s">
        <v>2286</v>
      </c>
      <c r="C2437" s="555" t="str">
        <f>VLOOKUP(D2437,기본!$D$13:$E$74,2,0)</f>
        <v>코웨이</v>
      </c>
      <c r="D2437" t="s">
        <v>2010</v>
      </c>
      <c r="E2437" t="s">
        <v>2064</v>
      </c>
      <c r="F2437" t="s">
        <v>2064</v>
      </c>
      <c r="G2437" s="554">
        <v>9</v>
      </c>
      <c r="H2437">
        <v>0.33145199999999997</v>
      </c>
    </row>
    <row r="2438" spans="2:8">
      <c r="B2438" s="555" t="s">
        <v>2286</v>
      </c>
      <c r="C2438" s="555" t="str">
        <f>VLOOKUP(D2438,기본!$D$13:$E$74,2,0)</f>
        <v>코웨이</v>
      </c>
      <c r="D2438" t="s">
        <v>2010</v>
      </c>
      <c r="E2438" t="s">
        <v>1274</v>
      </c>
      <c r="F2438" t="s">
        <v>1274</v>
      </c>
      <c r="G2438" s="554">
        <v>190</v>
      </c>
      <c r="H2438">
        <v>1.3911799999999999</v>
      </c>
    </row>
    <row r="2439" spans="2:8">
      <c r="B2439" s="555" t="s">
        <v>2286</v>
      </c>
      <c r="C2439" s="555" t="str">
        <f>VLOOKUP(D2439,기본!$D$13:$E$74,2,0)</f>
        <v>코웨이</v>
      </c>
      <c r="D2439" t="s">
        <v>2010</v>
      </c>
      <c r="E2439" t="s">
        <v>1289</v>
      </c>
      <c r="F2439" t="s">
        <v>1289</v>
      </c>
      <c r="G2439" s="554">
        <v>529</v>
      </c>
      <c r="H2439">
        <v>4.4266720000000008</v>
      </c>
    </row>
    <row r="2440" spans="2:8">
      <c r="B2440" s="555" t="s">
        <v>2286</v>
      </c>
      <c r="C2440" s="555" t="str">
        <f>VLOOKUP(D2440,기본!$D$13:$E$74,2,0)</f>
        <v>코웨이</v>
      </c>
      <c r="D2440" t="s">
        <v>2010</v>
      </c>
      <c r="E2440" t="s">
        <v>1275</v>
      </c>
      <c r="F2440" t="s">
        <v>1275</v>
      </c>
      <c r="G2440" s="554">
        <v>1196</v>
      </c>
      <c r="H2440">
        <v>8.9966120000000007</v>
      </c>
    </row>
    <row r="2441" spans="2:8">
      <c r="B2441" s="555" t="s">
        <v>2286</v>
      </c>
      <c r="C2441" s="555" t="str">
        <f>VLOOKUP(D2441,기본!$D$13:$E$74,2,0)</f>
        <v>코웨이</v>
      </c>
      <c r="D2441" t="s">
        <v>2067</v>
      </c>
      <c r="E2441" t="s">
        <v>1186</v>
      </c>
      <c r="F2441" t="s">
        <v>1186</v>
      </c>
      <c r="G2441" s="554">
        <v>1280</v>
      </c>
      <c r="H2441">
        <v>30.481919999999999</v>
      </c>
    </row>
    <row r="2442" spans="2:8">
      <c r="B2442" s="555" t="s">
        <v>2286</v>
      </c>
      <c r="C2442" s="555" t="str">
        <f>VLOOKUP(D2442,기본!$D$13:$E$74,2,0)</f>
        <v>코웨이</v>
      </c>
      <c r="D2442" t="s">
        <v>2067</v>
      </c>
      <c r="E2442" t="s">
        <v>2015</v>
      </c>
      <c r="F2442" t="s">
        <v>2015</v>
      </c>
      <c r="G2442" s="554">
        <v>670</v>
      </c>
      <c r="H2442">
        <v>7.7907599999999997</v>
      </c>
    </row>
    <row r="2443" spans="2:8">
      <c r="B2443" s="555" t="s">
        <v>2286</v>
      </c>
      <c r="C2443" s="555" t="str">
        <f>VLOOKUP(D2443,기본!$D$13:$E$74,2,0)</f>
        <v>코웨이</v>
      </c>
      <c r="D2443" t="s">
        <v>2067</v>
      </c>
      <c r="E2443" t="s">
        <v>2016</v>
      </c>
      <c r="F2443" t="s">
        <v>2016</v>
      </c>
      <c r="G2443" s="554">
        <v>6394</v>
      </c>
      <c r="H2443">
        <v>48.408973999999994</v>
      </c>
    </row>
    <row r="2444" spans="2:8">
      <c r="B2444" s="555" t="s">
        <v>2286</v>
      </c>
      <c r="C2444" s="555" t="str">
        <f>VLOOKUP(D2444,기본!$D$13:$E$74,2,0)</f>
        <v>코웨이</v>
      </c>
      <c r="D2444" t="s">
        <v>2067</v>
      </c>
      <c r="E2444" t="s">
        <v>2285</v>
      </c>
      <c r="F2444" t="s">
        <v>2285</v>
      </c>
      <c r="G2444" s="554">
        <v>27</v>
      </c>
      <c r="H2444">
        <v>0.20371500000000001</v>
      </c>
    </row>
    <row r="2445" spans="2:8">
      <c r="B2445" s="555" t="s">
        <v>2286</v>
      </c>
      <c r="C2445" s="555" t="str">
        <f>VLOOKUP(D2445,기본!$D$13:$E$74,2,0)</f>
        <v>코웨이</v>
      </c>
      <c r="D2445" t="s">
        <v>2067</v>
      </c>
      <c r="E2445" t="s">
        <v>2156</v>
      </c>
      <c r="F2445" t="s">
        <v>2156</v>
      </c>
      <c r="G2445" s="554">
        <v>240</v>
      </c>
      <c r="H2445">
        <v>4.1592000000000002</v>
      </c>
    </row>
    <row r="2446" spans="2:8">
      <c r="B2446" s="555" t="s">
        <v>2286</v>
      </c>
      <c r="C2446" s="555" t="str">
        <f>VLOOKUP(D2446,기본!$D$13:$E$74,2,0)</f>
        <v>코웨이</v>
      </c>
      <c r="D2446" t="s">
        <v>2067</v>
      </c>
      <c r="E2446" t="s">
        <v>2068</v>
      </c>
      <c r="F2446" t="s">
        <v>2068</v>
      </c>
      <c r="G2446" s="554">
        <v>1198</v>
      </c>
      <c r="H2446">
        <v>20.568386</v>
      </c>
    </row>
    <row r="2447" spans="2:8">
      <c r="B2447" s="555" t="s">
        <v>2286</v>
      </c>
      <c r="C2447" s="555" t="str">
        <f>VLOOKUP(D2447,기본!$D$13:$E$74,2,0)</f>
        <v>코웨이</v>
      </c>
      <c r="D2447" t="s">
        <v>2067</v>
      </c>
      <c r="E2447" t="s">
        <v>2069</v>
      </c>
      <c r="F2447" t="s">
        <v>2069</v>
      </c>
      <c r="G2447" s="554">
        <v>100</v>
      </c>
      <c r="H2447">
        <v>1.7425999999999999</v>
      </c>
    </row>
    <row r="2448" spans="2:8">
      <c r="B2448" s="555" t="s">
        <v>2286</v>
      </c>
      <c r="C2448" s="555" t="str">
        <f>VLOOKUP(D2448,기본!$D$13:$E$74,2,0)</f>
        <v>코웨이</v>
      </c>
      <c r="D2448" t="s">
        <v>2067</v>
      </c>
      <c r="E2448" t="s">
        <v>2020</v>
      </c>
      <c r="F2448" t="s">
        <v>2020</v>
      </c>
      <c r="G2448" s="554">
        <v>676</v>
      </c>
      <c r="H2448">
        <v>8.9806600000000003</v>
      </c>
    </row>
    <row r="2449" spans="2:8">
      <c r="B2449" s="555" t="s">
        <v>2286</v>
      </c>
      <c r="C2449" s="555" t="str">
        <f>VLOOKUP(D2449,기본!$D$13:$E$74,2,0)</f>
        <v>코웨이</v>
      </c>
      <c r="D2449" t="s">
        <v>2067</v>
      </c>
      <c r="E2449" t="s">
        <v>2200</v>
      </c>
      <c r="F2449" t="s">
        <v>2200</v>
      </c>
      <c r="G2449" s="554">
        <v>445</v>
      </c>
      <c r="H2449">
        <v>15.519375</v>
      </c>
    </row>
    <row r="2450" spans="2:8">
      <c r="B2450" s="555" t="s">
        <v>2286</v>
      </c>
      <c r="C2450" s="555" t="str">
        <f>VLOOKUP(D2450,기본!$D$13:$E$74,2,0)</f>
        <v>코웨이</v>
      </c>
      <c r="D2450" t="s">
        <v>2067</v>
      </c>
      <c r="E2450" t="s">
        <v>2201</v>
      </c>
      <c r="F2450" t="s">
        <v>2201</v>
      </c>
      <c r="G2450" s="554">
        <v>445</v>
      </c>
      <c r="H2450">
        <v>4.5140799999999999</v>
      </c>
    </row>
    <row r="2451" spans="2:8">
      <c r="B2451" s="555" t="s">
        <v>2286</v>
      </c>
      <c r="C2451" s="555" t="str">
        <f>VLOOKUP(D2451,기본!$D$13:$E$74,2,0)</f>
        <v>코웨이</v>
      </c>
      <c r="D2451" t="s">
        <v>2067</v>
      </c>
      <c r="E2451" t="s">
        <v>2269</v>
      </c>
      <c r="F2451" t="s">
        <v>2269</v>
      </c>
      <c r="G2451" s="554">
        <v>160</v>
      </c>
      <c r="H2451">
        <v>2.4571200000000002</v>
      </c>
    </row>
    <row r="2452" spans="2:8">
      <c r="B2452" s="555" t="s">
        <v>2286</v>
      </c>
      <c r="C2452" s="555" t="str">
        <f>VLOOKUP(D2452,기본!$D$13:$E$74,2,0)</f>
        <v>코웨이</v>
      </c>
      <c r="D2452" t="s">
        <v>2067</v>
      </c>
      <c r="E2452" t="s">
        <v>1544</v>
      </c>
      <c r="F2452" t="s">
        <v>1544</v>
      </c>
      <c r="G2452" s="554">
        <v>3218</v>
      </c>
      <c r="H2452">
        <v>21.065028000000002</v>
      </c>
    </row>
    <row r="2453" spans="2:8">
      <c r="B2453" s="555" t="s">
        <v>2286</v>
      </c>
      <c r="C2453" s="555" t="str">
        <f>VLOOKUP(D2453,기본!$D$13:$E$74,2,0)</f>
        <v>코웨이</v>
      </c>
      <c r="D2453" t="s">
        <v>2067</v>
      </c>
      <c r="E2453" t="s">
        <v>1545</v>
      </c>
      <c r="F2453" t="s">
        <v>1545</v>
      </c>
      <c r="G2453" s="554">
        <v>906</v>
      </c>
      <c r="H2453">
        <v>5.392512</v>
      </c>
    </row>
    <row r="2454" spans="2:8">
      <c r="B2454" s="555" t="s">
        <v>2286</v>
      </c>
      <c r="C2454" s="555" t="str">
        <f>VLOOKUP(D2454,기본!$D$13:$E$74,2,0)</f>
        <v>코웨이</v>
      </c>
      <c r="D2454" t="s">
        <v>2067</v>
      </c>
      <c r="E2454" t="s">
        <v>912</v>
      </c>
      <c r="F2454" t="s">
        <v>912</v>
      </c>
      <c r="G2454" s="554">
        <v>7160</v>
      </c>
      <c r="H2454">
        <v>46.752079999999999</v>
      </c>
    </row>
    <row r="2455" spans="2:8">
      <c r="B2455" s="555" t="s">
        <v>2286</v>
      </c>
      <c r="C2455" s="555" t="str">
        <f>VLOOKUP(D2455,기본!$D$13:$E$74,2,0)</f>
        <v>코웨이</v>
      </c>
      <c r="D2455" t="s">
        <v>2067</v>
      </c>
      <c r="E2455" t="s">
        <v>913</v>
      </c>
      <c r="F2455" t="s">
        <v>913</v>
      </c>
      <c r="G2455" s="554">
        <v>950</v>
      </c>
      <c r="H2455">
        <v>17.590199999999999</v>
      </c>
    </row>
    <row r="2456" spans="2:8">
      <c r="B2456" s="555" t="s">
        <v>2286</v>
      </c>
      <c r="C2456" s="555" t="str">
        <f>VLOOKUP(D2456,기본!$D$13:$E$74,2,0)</f>
        <v>코웨이</v>
      </c>
      <c r="D2456" t="s">
        <v>2067</v>
      </c>
      <c r="E2456" t="s">
        <v>2070</v>
      </c>
      <c r="F2456" t="s">
        <v>2070</v>
      </c>
      <c r="G2456" s="554">
        <v>5510</v>
      </c>
      <c r="H2456">
        <v>100.70377999999999</v>
      </c>
    </row>
    <row r="2457" spans="2:8">
      <c r="B2457" s="555" t="s">
        <v>2286</v>
      </c>
      <c r="C2457" s="555" t="str">
        <f>VLOOKUP(D2457,기본!$D$13:$E$74,2,0)</f>
        <v>코웨이</v>
      </c>
      <c r="D2457" t="s">
        <v>2067</v>
      </c>
      <c r="E2457" t="s">
        <v>2024</v>
      </c>
      <c r="F2457" t="s">
        <v>2024</v>
      </c>
      <c r="G2457" s="554">
        <v>550</v>
      </c>
      <c r="H2457">
        <v>5.2992499999999998</v>
      </c>
    </row>
    <row r="2458" spans="2:8">
      <c r="B2458" s="555" t="s">
        <v>2286</v>
      </c>
      <c r="C2458" s="555" t="str">
        <f>VLOOKUP(D2458,기본!$D$13:$E$74,2,0)</f>
        <v>코웨이</v>
      </c>
      <c r="D2458" t="s">
        <v>2067</v>
      </c>
      <c r="E2458" t="s">
        <v>2071</v>
      </c>
      <c r="F2458" t="s">
        <v>2071</v>
      </c>
      <c r="G2458" s="554">
        <v>1216</v>
      </c>
      <c r="H2458">
        <v>19.194184</v>
      </c>
    </row>
    <row r="2459" spans="2:8">
      <c r="B2459" s="555" t="s">
        <v>2286</v>
      </c>
      <c r="C2459" s="555" t="str">
        <f>VLOOKUP(D2459,기본!$D$13:$E$74,2,0)</f>
        <v>코웨이</v>
      </c>
      <c r="D2459" t="s">
        <v>2067</v>
      </c>
      <c r="E2459" t="s">
        <v>2072</v>
      </c>
      <c r="F2459" t="s">
        <v>2072</v>
      </c>
      <c r="G2459" s="554">
        <v>202</v>
      </c>
      <c r="H2459">
        <v>2.6649860000000003</v>
      </c>
    </row>
    <row r="2460" spans="2:8">
      <c r="B2460" s="555" t="s">
        <v>2286</v>
      </c>
      <c r="C2460" s="555" t="str">
        <f>VLOOKUP(D2460,기본!$D$13:$E$74,2,0)</f>
        <v>코웨이</v>
      </c>
      <c r="D2460" t="s">
        <v>2067</v>
      </c>
      <c r="E2460" t="s">
        <v>2034</v>
      </c>
      <c r="F2460" t="s">
        <v>2034</v>
      </c>
      <c r="G2460" s="554">
        <v>5250</v>
      </c>
      <c r="H2460">
        <v>81.742499999999993</v>
      </c>
    </row>
    <row r="2461" spans="2:8">
      <c r="B2461" s="555" t="s">
        <v>2286</v>
      </c>
      <c r="C2461" s="555" t="str">
        <f>VLOOKUP(D2461,기본!$D$13:$E$74,2,0)</f>
        <v>코웨이</v>
      </c>
      <c r="D2461" t="s">
        <v>2067</v>
      </c>
      <c r="E2461" t="s">
        <v>2038</v>
      </c>
      <c r="F2461" t="s">
        <v>2038</v>
      </c>
      <c r="G2461" s="554">
        <v>2070</v>
      </c>
      <c r="H2461">
        <v>32.267160000000004</v>
      </c>
    </row>
    <row r="2462" spans="2:8">
      <c r="B2462" s="555" t="s">
        <v>2286</v>
      </c>
      <c r="C2462" s="555" t="str">
        <f>VLOOKUP(D2462,기본!$D$13:$E$74,2,0)</f>
        <v>코웨이</v>
      </c>
      <c r="D2462" t="s">
        <v>2067</v>
      </c>
      <c r="E2462" t="s">
        <v>2073</v>
      </c>
      <c r="F2462" t="s">
        <v>2073</v>
      </c>
      <c r="G2462" s="554">
        <v>11736</v>
      </c>
      <c r="H2462">
        <v>161.84497200000001</v>
      </c>
    </row>
    <row r="2463" spans="2:8">
      <c r="B2463" s="555" t="s">
        <v>2286</v>
      </c>
      <c r="C2463" s="555" t="str">
        <f>VLOOKUP(D2463,기본!$D$13:$E$74,2,0)</f>
        <v>코웨이</v>
      </c>
      <c r="D2463" t="s">
        <v>2067</v>
      </c>
      <c r="E2463" t="s">
        <v>1188</v>
      </c>
      <c r="F2463" t="s">
        <v>1188</v>
      </c>
      <c r="G2463" s="554">
        <v>1280</v>
      </c>
      <c r="H2463">
        <v>2.6355200000000001</v>
      </c>
    </row>
    <row r="2464" spans="2:8">
      <c r="B2464" s="555" t="s">
        <v>2286</v>
      </c>
      <c r="C2464" s="555" t="str">
        <f>VLOOKUP(D2464,기본!$D$13:$E$74,2,0)</f>
        <v>코웨이</v>
      </c>
      <c r="D2464" t="s">
        <v>2067</v>
      </c>
      <c r="E2464" t="s">
        <v>1187</v>
      </c>
      <c r="F2464" t="s">
        <v>1187</v>
      </c>
      <c r="G2464" s="554">
        <v>1283</v>
      </c>
      <c r="H2464">
        <v>15.707383999999999</v>
      </c>
    </row>
    <row r="2465" spans="2:8">
      <c r="B2465" s="555" t="s">
        <v>2286</v>
      </c>
      <c r="C2465" s="555" t="str">
        <f>VLOOKUP(D2465,기본!$D$13:$E$74,2,0)</f>
        <v>코웨이</v>
      </c>
      <c r="D2465" t="s">
        <v>2067</v>
      </c>
      <c r="E2465" t="s">
        <v>2074</v>
      </c>
      <c r="F2465" t="s">
        <v>2074</v>
      </c>
      <c r="G2465" s="554">
        <v>30</v>
      </c>
      <c r="H2465">
        <v>0.65471999999999997</v>
      </c>
    </row>
    <row r="2466" spans="2:8">
      <c r="B2466" s="555" t="s">
        <v>2286</v>
      </c>
      <c r="C2466" s="555" t="str">
        <f>VLOOKUP(D2466,기본!$D$13:$E$74,2,0)</f>
        <v>코웨이</v>
      </c>
      <c r="D2466" t="s">
        <v>2067</v>
      </c>
      <c r="E2466" t="s">
        <v>2075</v>
      </c>
      <c r="F2466" t="s">
        <v>2075</v>
      </c>
      <c r="G2466" s="554">
        <v>360</v>
      </c>
      <c r="H2466">
        <v>7.9186800000000002</v>
      </c>
    </row>
    <row r="2467" spans="2:8">
      <c r="B2467" s="555" t="s">
        <v>2286</v>
      </c>
      <c r="C2467" s="555" t="str">
        <f>VLOOKUP(D2467,기본!$D$13:$E$74,2,0)</f>
        <v>코웨이</v>
      </c>
      <c r="D2467" t="s">
        <v>2067</v>
      </c>
      <c r="E2467" t="s">
        <v>2076</v>
      </c>
      <c r="F2467" t="s">
        <v>2076</v>
      </c>
      <c r="G2467" s="554">
        <v>2938</v>
      </c>
      <c r="H2467">
        <v>54.324045999999989</v>
      </c>
    </row>
    <row r="2468" spans="2:8">
      <c r="B2468" s="555" t="s">
        <v>2286</v>
      </c>
      <c r="C2468" s="555" t="str">
        <f>VLOOKUP(D2468,기본!$D$13:$E$74,2,0)</f>
        <v>코웨이</v>
      </c>
      <c r="D2468" t="s">
        <v>2067</v>
      </c>
      <c r="E2468" t="s">
        <v>2042</v>
      </c>
      <c r="F2468" t="s">
        <v>2042</v>
      </c>
      <c r="G2468" s="554">
        <v>200</v>
      </c>
      <c r="H2468">
        <v>1.2789999999999999</v>
      </c>
    </row>
    <row r="2469" spans="2:8">
      <c r="B2469" s="555" t="s">
        <v>2286</v>
      </c>
      <c r="C2469" s="555" t="str">
        <f>VLOOKUP(D2469,기본!$D$13:$E$74,2,0)</f>
        <v>코웨이</v>
      </c>
      <c r="D2469" t="s">
        <v>2067</v>
      </c>
      <c r="E2469" t="s">
        <v>2058</v>
      </c>
      <c r="F2469" t="s">
        <v>2058</v>
      </c>
      <c r="G2469" s="554">
        <v>10954</v>
      </c>
      <c r="H2469">
        <v>380.569886</v>
      </c>
    </row>
    <row r="2470" spans="2:8">
      <c r="B2470" s="555" t="s">
        <v>2286</v>
      </c>
      <c r="C2470" s="555" t="str">
        <f>VLOOKUP(D2470,기본!$D$13:$E$74,2,0)</f>
        <v>코웨이</v>
      </c>
      <c r="D2470" t="s">
        <v>2067</v>
      </c>
      <c r="E2470" t="s">
        <v>2077</v>
      </c>
      <c r="F2470" t="s">
        <v>2077</v>
      </c>
      <c r="G2470" s="554">
        <v>1099</v>
      </c>
      <c r="H2470">
        <v>37.325563000000002</v>
      </c>
    </row>
    <row r="2471" spans="2:8">
      <c r="B2471" s="555" t="s">
        <v>2286</v>
      </c>
      <c r="C2471" s="555" t="str">
        <f>VLOOKUP(D2471,기본!$D$13:$E$74,2,0)</f>
        <v>코웨이</v>
      </c>
      <c r="D2471" t="s">
        <v>2067</v>
      </c>
      <c r="E2471" t="s">
        <v>2078</v>
      </c>
      <c r="F2471" t="s">
        <v>2078</v>
      </c>
      <c r="G2471" s="554">
        <v>696</v>
      </c>
      <c r="H2471">
        <v>24.004344</v>
      </c>
    </row>
    <row r="2472" spans="2:8">
      <c r="B2472" s="555" t="s">
        <v>2286</v>
      </c>
      <c r="C2472" s="555" t="str">
        <f>VLOOKUP(D2472,기본!$D$13:$E$74,2,0)</f>
        <v>코웨이</v>
      </c>
      <c r="D2472" t="s">
        <v>2067</v>
      </c>
      <c r="E2472" t="s">
        <v>2203</v>
      </c>
      <c r="F2472" t="s">
        <v>2203</v>
      </c>
      <c r="G2472" s="554">
        <v>1248</v>
      </c>
      <c r="H2472">
        <v>45.061536000000004</v>
      </c>
    </row>
    <row r="2473" spans="2:8">
      <c r="B2473" s="555" t="s">
        <v>2286</v>
      </c>
      <c r="C2473" s="555" t="str">
        <f>VLOOKUP(D2473,기본!$D$13:$E$74,2,0)</f>
        <v>코웨이</v>
      </c>
      <c r="D2473" t="s">
        <v>2079</v>
      </c>
      <c r="E2473" t="s">
        <v>1093</v>
      </c>
      <c r="F2473" t="s">
        <v>1093</v>
      </c>
      <c r="G2473" s="554">
        <v>2237</v>
      </c>
      <c r="H2473">
        <v>11.936632000000001</v>
      </c>
    </row>
    <row r="2474" spans="2:8">
      <c r="B2474" s="555" t="s">
        <v>2286</v>
      </c>
      <c r="C2474" s="555" t="str">
        <f>VLOOKUP(D2474,기본!$D$13:$E$74,2,0)</f>
        <v>코웨이</v>
      </c>
      <c r="D2474" t="s">
        <v>2079</v>
      </c>
      <c r="E2474" t="s">
        <v>1094</v>
      </c>
      <c r="F2474" t="s">
        <v>1094</v>
      </c>
      <c r="G2474" s="554">
        <v>2237</v>
      </c>
      <c r="H2474">
        <v>6.9704920000000001</v>
      </c>
    </row>
    <row r="2475" spans="2:8">
      <c r="B2475" s="555" t="s">
        <v>2286</v>
      </c>
      <c r="C2475" s="555" t="str">
        <f>VLOOKUP(D2475,기본!$D$13:$E$74,2,0)</f>
        <v>코웨이</v>
      </c>
      <c r="D2475" t="s">
        <v>2079</v>
      </c>
      <c r="E2475" t="s">
        <v>2017</v>
      </c>
      <c r="F2475" t="s">
        <v>2017</v>
      </c>
      <c r="G2475" s="554">
        <v>305</v>
      </c>
      <c r="H2475">
        <v>3.6252300000000002</v>
      </c>
    </row>
    <row r="2476" spans="2:8">
      <c r="B2476" s="555" t="s">
        <v>2286</v>
      </c>
      <c r="C2476" s="555" t="str">
        <f>VLOOKUP(D2476,기본!$D$13:$E$74,2,0)</f>
        <v>코웨이</v>
      </c>
      <c r="D2476" t="s">
        <v>2079</v>
      </c>
      <c r="E2476" t="s">
        <v>2080</v>
      </c>
      <c r="F2476" t="s">
        <v>2080</v>
      </c>
      <c r="G2476" s="554">
        <v>400</v>
      </c>
      <c r="H2476">
        <v>2.6812</v>
      </c>
    </row>
    <row r="2477" spans="2:8">
      <c r="B2477" s="555" t="s">
        <v>2286</v>
      </c>
      <c r="C2477" s="555" t="str">
        <f>VLOOKUP(D2477,기본!$D$13:$E$74,2,0)</f>
        <v>코웨이</v>
      </c>
      <c r="D2477" t="s">
        <v>2079</v>
      </c>
      <c r="E2477" t="s">
        <v>2081</v>
      </c>
      <c r="F2477" t="s">
        <v>2081</v>
      </c>
      <c r="G2477" s="554">
        <v>650</v>
      </c>
      <c r="H2477">
        <v>5.8409000000000004</v>
      </c>
    </row>
    <row r="2478" spans="2:8">
      <c r="B2478" s="555" t="s">
        <v>2286</v>
      </c>
      <c r="C2478" s="555" t="str">
        <f>VLOOKUP(D2478,기본!$D$13:$E$74,2,0)</f>
        <v>코웨이</v>
      </c>
      <c r="D2478" t="s">
        <v>2079</v>
      </c>
      <c r="E2478" t="s">
        <v>1089</v>
      </c>
      <c r="F2478" t="s">
        <v>1089</v>
      </c>
      <c r="G2478" s="554">
        <v>2564</v>
      </c>
      <c r="H2478">
        <v>28.745004000000002</v>
      </c>
    </row>
    <row r="2479" spans="2:8">
      <c r="B2479" s="555" t="s">
        <v>2286</v>
      </c>
      <c r="C2479" s="555" t="str">
        <f>VLOOKUP(D2479,기본!$D$13:$E$74,2,0)</f>
        <v>코웨이</v>
      </c>
      <c r="D2479" t="s">
        <v>2079</v>
      </c>
      <c r="E2479" t="s">
        <v>1118</v>
      </c>
      <c r="F2479" t="s">
        <v>1118</v>
      </c>
      <c r="G2479" s="554">
        <v>305</v>
      </c>
      <c r="H2479">
        <v>5.5268049999999995</v>
      </c>
    </row>
    <row r="2480" spans="2:8">
      <c r="B2480" s="555" t="s">
        <v>2286</v>
      </c>
      <c r="C2480" s="555" t="str">
        <f>VLOOKUP(D2480,기본!$D$13:$E$74,2,0)</f>
        <v>코웨이</v>
      </c>
      <c r="D2480" t="s">
        <v>2079</v>
      </c>
      <c r="E2480" t="s">
        <v>2157</v>
      </c>
      <c r="F2480" t="s">
        <v>2157</v>
      </c>
      <c r="G2480" s="554">
        <v>1084</v>
      </c>
      <c r="H2480">
        <v>25.343920000000001</v>
      </c>
    </row>
    <row r="2481" spans="2:8">
      <c r="B2481" s="555" t="s">
        <v>2286</v>
      </c>
      <c r="C2481" s="555" t="str">
        <f>VLOOKUP(D2481,기본!$D$13:$E$74,2,0)</f>
        <v>코웨이</v>
      </c>
      <c r="D2481" t="s">
        <v>2079</v>
      </c>
      <c r="E2481" t="s">
        <v>2061</v>
      </c>
      <c r="F2481" t="s">
        <v>2061</v>
      </c>
      <c r="G2481" s="554">
        <v>2237</v>
      </c>
      <c r="H2481">
        <v>12.536148000000001</v>
      </c>
    </row>
    <row r="2482" spans="2:8">
      <c r="B2482" s="555" t="s">
        <v>2286</v>
      </c>
      <c r="C2482" s="555" t="str">
        <f>VLOOKUP(D2482,기본!$D$13:$E$74,2,0)</f>
        <v>코웨이</v>
      </c>
      <c r="D2482" t="s">
        <v>2082</v>
      </c>
      <c r="E2482" t="s">
        <v>2027</v>
      </c>
      <c r="F2482" t="s">
        <v>2027</v>
      </c>
      <c r="G2482" s="554">
        <v>480</v>
      </c>
      <c r="H2482">
        <v>9.0456000000000003</v>
      </c>
    </row>
    <row r="2483" spans="2:8">
      <c r="B2483" s="555" t="s">
        <v>2286</v>
      </c>
      <c r="C2483" s="555" t="str">
        <f>VLOOKUP(D2483,기본!$D$13:$E$74,2,0)</f>
        <v>코웨이</v>
      </c>
      <c r="D2483" t="s">
        <v>2082</v>
      </c>
      <c r="E2483" t="s">
        <v>2028</v>
      </c>
      <c r="F2483" t="s">
        <v>2028</v>
      </c>
      <c r="G2483" s="554">
        <v>240</v>
      </c>
      <c r="H2483">
        <v>4.3989599999999998</v>
      </c>
    </row>
    <row r="2484" spans="2:8">
      <c r="B2484" s="555" t="s">
        <v>2286</v>
      </c>
      <c r="C2484" s="555" t="str">
        <f>VLOOKUP(D2484,기본!$D$13:$E$74,2,0)</f>
        <v>코웨이</v>
      </c>
      <c r="D2484" t="s">
        <v>2082</v>
      </c>
      <c r="E2484" t="s">
        <v>2058</v>
      </c>
      <c r="F2484" t="s">
        <v>2058</v>
      </c>
      <c r="G2484" s="554">
        <v>17712</v>
      </c>
      <c r="H2484">
        <v>613.88020800000004</v>
      </c>
    </row>
    <row r="2485" spans="2:8">
      <c r="B2485" s="555" t="s">
        <v>2286</v>
      </c>
      <c r="C2485" s="555" t="str">
        <f>VLOOKUP(D2485,기본!$D$13:$E$74,2,0)</f>
        <v>코웨이</v>
      </c>
      <c r="D2485" t="s">
        <v>2082</v>
      </c>
      <c r="E2485" t="s">
        <v>2077</v>
      </c>
      <c r="F2485" t="s">
        <v>2077</v>
      </c>
      <c r="G2485" s="554">
        <v>4320</v>
      </c>
      <c r="H2485">
        <v>145.0872</v>
      </c>
    </row>
    <row r="2486" spans="2:8">
      <c r="B2486" s="555" t="s">
        <v>2286</v>
      </c>
      <c r="C2486" s="555" t="str">
        <f>VLOOKUP(D2486,기본!$D$13:$E$74,2,0)</f>
        <v>삼성 생활가전</v>
      </c>
      <c r="D2486" t="s">
        <v>2084</v>
      </c>
      <c r="E2486" t="s">
        <v>2004</v>
      </c>
      <c r="F2486" t="s">
        <v>2004</v>
      </c>
      <c r="G2486" s="554">
        <v>2352</v>
      </c>
      <c r="H2486">
        <v>27.211093559999998</v>
      </c>
    </row>
    <row r="2487" spans="2:8">
      <c r="B2487" s="555" t="s">
        <v>2286</v>
      </c>
      <c r="C2487" s="555" t="str">
        <f>VLOOKUP(D2487,기본!$D$13:$E$74,2,0)</f>
        <v>삼성 생활가전</v>
      </c>
      <c r="D2487" t="s">
        <v>2084</v>
      </c>
      <c r="E2487" t="s">
        <v>2086</v>
      </c>
      <c r="F2487" t="s">
        <v>2086</v>
      </c>
      <c r="G2487" s="554">
        <v>19</v>
      </c>
      <c r="H2487">
        <v>0.19855</v>
      </c>
    </row>
    <row r="2488" spans="2:8">
      <c r="B2488" s="555" t="s">
        <v>2286</v>
      </c>
      <c r="C2488" s="555" t="str">
        <f>VLOOKUP(D2488,기본!$D$13:$E$74,2,0)</f>
        <v>한화비전</v>
      </c>
      <c r="D2488" t="s">
        <v>2089</v>
      </c>
      <c r="E2488" t="s">
        <v>1902</v>
      </c>
      <c r="F2488" t="s">
        <v>1903</v>
      </c>
      <c r="G2488" s="554">
        <v>648</v>
      </c>
      <c r="H2488">
        <v>23.217878880000004</v>
      </c>
    </row>
    <row r="2489" spans="2:8">
      <c r="B2489" s="555" t="s">
        <v>2286</v>
      </c>
      <c r="C2489" s="555" t="str">
        <f>VLOOKUP(D2489,기본!$D$13:$E$74,2,0)</f>
        <v>한화비전</v>
      </c>
      <c r="D2489" t="s">
        <v>2089</v>
      </c>
      <c r="E2489" t="s">
        <v>2090</v>
      </c>
      <c r="F2489" t="s">
        <v>2091</v>
      </c>
      <c r="G2489" s="554">
        <v>1476</v>
      </c>
      <c r="H2489">
        <v>51.590658599999998</v>
      </c>
    </row>
    <row r="2490" spans="2:8">
      <c r="B2490" s="555" t="s">
        <v>2310</v>
      </c>
      <c r="C2490" s="555" t="str">
        <f>VLOOKUP(D2490,기본!$D$13:$E$74,2,0)</f>
        <v>AV JDM</v>
      </c>
      <c r="D2490" t="s">
        <v>1841</v>
      </c>
      <c r="E2490" t="s">
        <v>1842</v>
      </c>
      <c r="F2490" t="s">
        <v>1680</v>
      </c>
      <c r="G2490" s="554">
        <v>24000</v>
      </c>
      <c r="H2490">
        <v>215.56392</v>
      </c>
    </row>
    <row r="2491" spans="2:8">
      <c r="B2491" s="555" t="s">
        <v>2310</v>
      </c>
      <c r="C2491" s="555" t="str">
        <f>VLOOKUP(D2491,기본!$D$13:$E$74,2,0)</f>
        <v>AV JDM</v>
      </c>
      <c r="D2491" t="s">
        <v>1841</v>
      </c>
      <c r="E2491" t="s">
        <v>1654</v>
      </c>
      <c r="F2491" t="s">
        <v>1654</v>
      </c>
      <c r="G2491" s="554">
        <v>10136</v>
      </c>
      <c r="H2491">
        <v>81.555506480000005</v>
      </c>
    </row>
    <row r="2492" spans="2:8">
      <c r="B2492" s="555" t="s">
        <v>2310</v>
      </c>
      <c r="C2492" s="555" t="str">
        <f>VLOOKUP(D2492,기본!$D$13:$E$74,2,0)</f>
        <v>AV JDM</v>
      </c>
      <c r="D2492" t="s">
        <v>1841</v>
      </c>
      <c r="E2492" t="s">
        <v>1656</v>
      </c>
      <c r="F2492" t="s">
        <v>1656</v>
      </c>
      <c r="G2492" s="554">
        <v>22736</v>
      </c>
      <c r="H2492">
        <v>196.19821060000001</v>
      </c>
    </row>
    <row r="2493" spans="2:8">
      <c r="B2493" s="555" t="s">
        <v>2310</v>
      </c>
      <c r="C2493" s="555" t="str">
        <f>VLOOKUP(D2493,기본!$D$13:$E$74,2,0)</f>
        <v>AV JDM</v>
      </c>
      <c r="D2493" t="s">
        <v>1841</v>
      </c>
      <c r="E2493" t="s">
        <v>1657</v>
      </c>
      <c r="F2493" t="s">
        <v>1657</v>
      </c>
      <c r="G2493" s="554">
        <v>5320</v>
      </c>
      <c r="H2493">
        <v>47.169379599999999</v>
      </c>
    </row>
    <row r="2494" spans="2:8">
      <c r="B2494" s="555" t="s">
        <v>2310</v>
      </c>
      <c r="C2494" s="555" t="str">
        <f>VLOOKUP(D2494,기본!$D$13:$E$74,2,0)</f>
        <v>AV JDM</v>
      </c>
      <c r="D2494" t="s">
        <v>1841</v>
      </c>
      <c r="E2494" t="s">
        <v>1658</v>
      </c>
      <c r="F2494" t="s">
        <v>1658</v>
      </c>
      <c r="G2494" s="554">
        <v>14004</v>
      </c>
      <c r="H2494">
        <v>128.88695519999999</v>
      </c>
    </row>
    <row r="2495" spans="2:8">
      <c r="B2495" s="555" t="s">
        <v>2310</v>
      </c>
      <c r="C2495" s="555" t="str">
        <f>VLOOKUP(D2495,기본!$D$13:$E$74,2,0)</f>
        <v>AV JDM</v>
      </c>
      <c r="D2495" t="s">
        <v>1841</v>
      </c>
      <c r="E2495" t="s">
        <v>1655</v>
      </c>
      <c r="F2495" t="s">
        <v>1655</v>
      </c>
      <c r="G2495" s="554">
        <v>5096</v>
      </c>
      <c r="H2495">
        <v>42.333736479999999</v>
      </c>
    </row>
    <row r="2496" spans="2:8">
      <c r="B2496" s="555" t="s">
        <v>2310</v>
      </c>
      <c r="C2496" s="555" t="str">
        <f>VLOOKUP(D2496,기본!$D$13:$E$74,2,0)</f>
        <v>AV JDM</v>
      </c>
      <c r="D2496" t="s">
        <v>1841</v>
      </c>
      <c r="E2496" t="s">
        <v>2206</v>
      </c>
      <c r="F2496" t="s">
        <v>2206</v>
      </c>
      <c r="G2496" s="554">
        <v>112</v>
      </c>
      <c r="H2496">
        <v>1.0020091199999999</v>
      </c>
    </row>
    <row r="2497" spans="2:8">
      <c r="B2497" s="555" t="s">
        <v>2310</v>
      </c>
      <c r="C2497" s="555" t="str">
        <f>VLOOKUP(D2497,기본!$D$13:$E$74,2,0)</f>
        <v>AV JDM</v>
      </c>
      <c r="D2497" t="s">
        <v>1841</v>
      </c>
      <c r="E2497" t="s">
        <v>1889</v>
      </c>
      <c r="F2497" t="s">
        <v>1229</v>
      </c>
      <c r="G2497" s="554">
        <v>60480</v>
      </c>
      <c r="H2497">
        <v>494.34932735999996</v>
      </c>
    </row>
    <row r="2498" spans="2:8">
      <c r="B2498" s="555" t="s">
        <v>2310</v>
      </c>
      <c r="C2498" s="555" t="str">
        <f>VLOOKUP(D2498,기본!$D$13:$E$74,2,0)</f>
        <v>AV JDM</v>
      </c>
      <c r="D2498" t="s">
        <v>1841</v>
      </c>
      <c r="E2498" t="s">
        <v>1845</v>
      </c>
      <c r="F2498" t="s">
        <v>1340</v>
      </c>
      <c r="G2498" s="554">
        <v>11592</v>
      </c>
      <c r="H2498">
        <v>119.24326612799999</v>
      </c>
    </row>
    <row r="2499" spans="2:8">
      <c r="B2499" s="555" t="s">
        <v>2310</v>
      </c>
      <c r="C2499" s="555" t="str">
        <f>VLOOKUP(D2499,기본!$D$13:$E$74,2,0)</f>
        <v>AV JDM</v>
      </c>
      <c r="D2499" t="s">
        <v>1841</v>
      </c>
      <c r="E2499" t="s">
        <v>1846</v>
      </c>
      <c r="F2499" t="s">
        <v>1341</v>
      </c>
      <c r="G2499" s="554">
        <v>42</v>
      </c>
      <c r="H2499">
        <v>0.48441615599999999</v>
      </c>
    </row>
    <row r="2500" spans="2:8">
      <c r="B2500" s="555" t="s">
        <v>2310</v>
      </c>
      <c r="C2500" s="555" t="str">
        <f>VLOOKUP(D2500,기본!$D$13:$E$74,2,0)</f>
        <v>AV JDM</v>
      </c>
      <c r="D2500" t="s">
        <v>1841</v>
      </c>
      <c r="E2500" t="s">
        <v>1847</v>
      </c>
      <c r="F2500" t="s">
        <v>1336</v>
      </c>
      <c r="G2500" s="554">
        <v>10160</v>
      </c>
      <c r="H2500">
        <v>92.344465200000002</v>
      </c>
    </row>
    <row r="2501" spans="2:8">
      <c r="B2501" s="555" t="s">
        <v>2310</v>
      </c>
      <c r="C2501" s="555" t="str">
        <f>VLOOKUP(D2501,기본!$D$13:$E$74,2,0)</f>
        <v>AV JDM</v>
      </c>
      <c r="D2501" t="s">
        <v>1841</v>
      </c>
      <c r="E2501" t="s">
        <v>1016</v>
      </c>
      <c r="F2501" t="s">
        <v>1016</v>
      </c>
      <c r="G2501" s="554">
        <v>1920</v>
      </c>
      <c r="H2501">
        <v>15.869538816</v>
      </c>
    </row>
    <row r="2502" spans="2:8">
      <c r="B2502" s="555" t="s">
        <v>2310</v>
      </c>
      <c r="C2502" s="555" t="str">
        <f>VLOOKUP(D2502,기본!$D$13:$E$74,2,0)</f>
        <v>AV JDM</v>
      </c>
      <c r="D2502" t="s">
        <v>1841</v>
      </c>
      <c r="E2502" t="s">
        <v>1006</v>
      </c>
      <c r="F2502" t="s">
        <v>1006</v>
      </c>
      <c r="G2502" s="554">
        <v>17480</v>
      </c>
      <c r="H2502">
        <v>186.9409272</v>
      </c>
    </row>
    <row r="2503" spans="2:8">
      <c r="B2503" s="555" t="s">
        <v>2310</v>
      </c>
      <c r="C2503" s="555" t="str">
        <f>VLOOKUP(D2503,기본!$D$13:$E$74,2,0)</f>
        <v>삼성 VD</v>
      </c>
      <c r="D2503" t="s">
        <v>1849</v>
      </c>
      <c r="E2503" t="s">
        <v>1165</v>
      </c>
      <c r="F2503" t="s">
        <v>1882</v>
      </c>
      <c r="G2503" s="554">
        <v>19008</v>
      </c>
      <c r="H2503">
        <v>565.25335552800004</v>
      </c>
    </row>
    <row r="2504" spans="2:8">
      <c r="B2504" s="555" t="s">
        <v>2310</v>
      </c>
      <c r="C2504" s="555" t="str">
        <f>VLOOKUP(D2504,기본!$D$13:$E$74,2,0)</f>
        <v>삼성 VD</v>
      </c>
      <c r="D2504" t="s">
        <v>1849</v>
      </c>
      <c r="E2504" t="s">
        <v>1164</v>
      </c>
      <c r="F2504" t="s">
        <v>1850</v>
      </c>
      <c r="G2504" s="554">
        <v>29376</v>
      </c>
      <c r="H2504">
        <v>785.61587448</v>
      </c>
    </row>
    <row r="2505" spans="2:8">
      <c r="B2505" s="555" t="s">
        <v>2310</v>
      </c>
      <c r="C2505" s="555" t="str">
        <f>VLOOKUP(D2505,기본!$D$13:$E$74,2,0)</f>
        <v>삼성 VD</v>
      </c>
      <c r="D2505" t="s">
        <v>1849</v>
      </c>
      <c r="E2505" t="s">
        <v>1851</v>
      </c>
      <c r="F2505" t="s">
        <v>1852</v>
      </c>
      <c r="G2505" s="554">
        <v>512</v>
      </c>
      <c r="H2505">
        <v>3.74869312</v>
      </c>
    </row>
    <row r="2506" spans="2:8">
      <c r="B2506" s="555" t="s">
        <v>2310</v>
      </c>
      <c r="C2506" s="555" t="str">
        <f>VLOOKUP(D2506,기본!$D$13:$E$74,2,0)</f>
        <v>삼성 VD</v>
      </c>
      <c r="D2506" t="s">
        <v>1849</v>
      </c>
      <c r="E2506" t="s">
        <v>1853</v>
      </c>
      <c r="F2506" t="s">
        <v>1854</v>
      </c>
      <c r="G2506" s="554">
        <v>8010</v>
      </c>
      <c r="H2506">
        <v>110.87439363</v>
      </c>
    </row>
    <row r="2507" spans="2:8">
      <c r="B2507" s="555" t="s">
        <v>2310</v>
      </c>
      <c r="C2507" s="555" t="str">
        <f>VLOOKUP(D2507,기본!$D$13:$E$74,2,0)</f>
        <v>삼성 VD</v>
      </c>
      <c r="D2507" t="s">
        <v>1849</v>
      </c>
      <c r="E2507" t="s">
        <v>1855</v>
      </c>
      <c r="F2507" t="s">
        <v>1856</v>
      </c>
      <c r="G2507" s="554">
        <v>9108</v>
      </c>
      <c r="H2507">
        <v>128.82439987199999</v>
      </c>
    </row>
    <row r="2508" spans="2:8">
      <c r="B2508" s="555" t="s">
        <v>2310</v>
      </c>
      <c r="C2508" s="555" t="str">
        <f>VLOOKUP(D2508,기본!$D$13:$E$74,2,0)</f>
        <v>삼성 VD</v>
      </c>
      <c r="D2508" t="s">
        <v>1849</v>
      </c>
      <c r="E2508" t="s">
        <v>1874</v>
      </c>
      <c r="F2508" t="s">
        <v>1875</v>
      </c>
      <c r="G2508" s="554">
        <v>21735</v>
      </c>
      <c r="H2508">
        <v>331.56703998</v>
      </c>
    </row>
    <row r="2509" spans="2:8">
      <c r="B2509" s="555" t="s">
        <v>2310</v>
      </c>
      <c r="C2509" s="555" t="str">
        <f>VLOOKUP(D2509,기본!$D$13:$E$74,2,0)</f>
        <v>삼성 VD</v>
      </c>
      <c r="D2509" t="s">
        <v>1849</v>
      </c>
      <c r="E2509" t="s">
        <v>1859</v>
      </c>
      <c r="F2509" t="s">
        <v>1860</v>
      </c>
      <c r="G2509" s="554">
        <v>3312</v>
      </c>
      <c r="H2509">
        <v>57.990707856</v>
      </c>
    </row>
    <row r="2510" spans="2:8">
      <c r="B2510" s="555" t="s">
        <v>2310</v>
      </c>
      <c r="C2510" s="555" t="str">
        <f>VLOOKUP(D2510,기본!$D$13:$E$74,2,0)</f>
        <v>삼성 VD</v>
      </c>
      <c r="D2510" t="s">
        <v>1849</v>
      </c>
      <c r="E2510" t="s">
        <v>1309</v>
      </c>
      <c r="F2510" t="s">
        <v>1308</v>
      </c>
      <c r="G2510" s="554">
        <v>168</v>
      </c>
      <c r="H2510">
        <v>3.74506608</v>
      </c>
    </row>
    <row r="2511" spans="2:8">
      <c r="B2511" s="555" t="s">
        <v>2310</v>
      </c>
      <c r="C2511" s="555" t="str">
        <f>VLOOKUP(D2511,기본!$D$13:$E$74,2,0)</f>
        <v>삼성 VD</v>
      </c>
      <c r="D2511" t="s">
        <v>1849</v>
      </c>
      <c r="E2511" t="s">
        <v>1313</v>
      </c>
      <c r="F2511" t="s">
        <v>1312</v>
      </c>
      <c r="G2511" s="554">
        <v>768</v>
      </c>
      <c r="H2511">
        <v>17.024404223999998</v>
      </c>
    </row>
    <row r="2512" spans="2:8">
      <c r="B2512" s="555" t="s">
        <v>2310</v>
      </c>
      <c r="C2512" s="555" t="str">
        <f>VLOOKUP(D2512,기본!$D$13:$E$74,2,0)</f>
        <v>삼성 VD</v>
      </c>
      <c r="D2512" t="s">
        <v>1849</v>
      </c>
      <c r="E2512" t="s">
        <v>1865</v>
      </c>
      <c r="F2512" t="s">
        <v>1866</v>
      </c>
      <c r="G2512" s="554">
        <v>13236</v>
      </c>
      <c r="H2512">
        <v>528.50558159999991</v>
      </c>
    </row>
    <row r="2513" spans="2:8">
      <c r="B2513" s="555" t="s">
        <v>2310</v>
      </c>
      <c r="C2513" s="555" t="str">
        <f>VLOOKUP(D2513,기본!$D$13:$E$74,2,0)</f>
        <v>삼성 VD</v>
      </c>
      <c r="D2513" t="s">
        <v>1849</v>
      </c>
      <c r="E2513" t="s">
        <v>1923</v>
      </c>
      <c r="F2513" t="s">
        <v>1924</v>
      </c>
      <c r="G2513" s="554">
        <v>50358</v>
      </c>
      <c r="H2513">
        <v>226.26525437999999</v>
      </c>
    </row>
    <row r="2514" spans="2:8">
      <c r="B2514" s="555" t="s">
        <v>2310</v>
      </c>
      <c r="C2514" s="555" t="str">
        <f>VLOOKUP(D2514,기본!$D$13:$E$74,2,0)</f>
        <v>삼성 VD</v>
      </c>
      <c r="D2514" t="s">
        <v>1849</v>
      </c>
      <c r="E2514" t="s">
        <v>1867</v>
      </c>
      <c r="F2514" t="s">
        <v>1868</v>
      </c>
      <c r="G2514" s="554">
        <v>4032</v>
      </c>
      <c r="H2514">
        <v>33.352893504000001</v>
      </c>
    </row>
    <row r="2515" spans="2:8">
      <c r="B2515" s="555" t="s">
        <v>2310</v>
      </c>
      <c r="C2515" s="555" t="str">
        <f>VLOOKUP(D2515,기본!$D$13:$E$74,2,0)</f>
        <v>삼성 VD</v>
      </c>
      <c r="D2515" t="s">
        <v>1849</v>
      </c>
      <c r="E2515" t="s">
        <v>709</v>
      </c>
      <c r="F2515" t="s">
        <v>1869</v>
      </c>
      <c r="G2515" s="554">
        <v>133936</v>
      </c>
      <c r="H2515">
        <v>461.44199200000003</v>
      </c>
    </row>
    <row r="2516" spans="2:8">
      <c r="B2516" s="555" t="s">
        <v>2310</v>
      </c>
      <c r="C2516" s="555" t="str">
        <f>VLOOKUP(D2516,기본!$D$13:$E$74,2,0)</f>
        <v>삼성 VD</v>
      </c>
      <c r="D2516" t="s">
        <v>1849</v>
      </c>
      <c r="E2516" t="s">
        <v>1156</v>
      </c>
      <c r="F2516" t="s">
        <v>1870</v>
      </c>
      <c r="G2516" s="554">
        <v>6116</v>
      </c>
      <c r="H2516">
        <v>28.255919999999996</v>
      </c>
    </row>
    <row r="2517" spans="2:8">
      <c r="B2517" s="555" t="s">
        <v>2310</v>
      </c>
      <c r="C2517" s="555" t="str">
        <f>VLOOKUP(D2517,기본!$D$13:$E$74,2,0)</f>
        <v>삼성 VD</v>
      </c>
      <c r="D2517" t="s">
        <v>1849</v>
      </c>
      <c r="E2517" t="s">
        <v>2267</v>
      </c>
      <c r="F2517" t="s">
        <v>2267</v>
      </c>
      <c r="G2517" s="554">
        <v>50</v>
      </c>
      <c r="H2517">
        <v>0.28936200000000001</v>
      </c>
    </row>
    <row r="2518" spans="2:8">
      <c r="B2518" s="555" t="s">
        <v>2310</v>
      </c>
      <c r="C2518" s="555" t="str">
        <f>VLOOKUP(D2518,기본!$D$13:$E$74,2,0)</f>
        <v>삼성 VD</v>
      </c>
      <c r="D2518" t="s">
        <v>1871</v>
      </c>
      <c r="E2518" t="s">
        <v>1165</v>
      </c>
      <c r="F2518" t="s">
        <v>1882</v>
      </c>
      <c r="G2518" s="554">
        <v>10086</v>
      </c>
      <c r="H2518">
        <v>295.89552577799998</v>
      </c>
    </row>
    <row r="2519" spans="2:8">
      <c r="B2519" s="555" t="s">
        <v>2310</v>
      </c>
      <c r="C2519" s="555" t="str">
        <f>VLOOKUP(D2519,기본!$D$13:$E$74,2,0)</f>
        <v>삼성 VD</v>
      </c>
      <c r="D2519" t="s">
        <v>1871</v>
      </c>
      <c r="E2519" t="s">
        <v>1164</v>
      </c>
      <c r="F2519" t="s">
        <v>1850</v>
      </c>
      <c r="G2519" s="554">
        <v>20070</v>
      </c>
      <c r="H2519">
        <v>535.98788199000001</v>
      </c>
    </row>
    <row r="2520" spans="2:8">
      <c r="B2520" s="555" t="s">
        <v>2310</v>
      </c>
      <c r="C2520" s="555" t="str">
        <f>VLOOKUP(D2520,기본!$D$13:$E$74,2,0)</f>
        <v>삼성 VD</v>
      </c>
      <c r="D2520" t="s">
        <v>1871</v>
      </c>
      <c r="E2520" t="s">
        <v>1853</v>
      </c>
      <c r="F2520" t="s">
        <v>1854</v>
      </c>
      <c r="G2520" s="554">
        <v>2216</v>
      </c>
      <c r="H2520">
        <v>29.947174144000002</v>
      </c>
    </row>
    <row r="2521" spans="2:8">
      <c r="B2521" s="555" t="s">
        <v>2310</v>
      </c>
      <c r="C2521" s="555" t="str">
        <f>VLOOKUP(D2521,기본!$D$13:$E$74,2,0)</f>
        <v>삼성 VD</v>
      </c>
      <c r="D2521" t="s">
        <v>1871</v>
      </c>
      <c r="E2521" t="s">
        <v>1874</v>
      </c>
      <c r="F2521" t="s">
        <v>1875</v>
      </c>
      <c r="G2521" s="554">
        <v>6415</v>
      </c>
      <c r="H2521">
        <v>95.39598251999999</v>
      </c>
    </row>
    <row r="2522" spans="2:8">
      <c r="B2522" s="555" t="s">
        <v>2310</v>
      </c>
      <c r="C2522" s="555" t="str">
        <f>VLOOKUP(D2522,기본!$D$13:$E$74,2,0)</f>
        <v>삼성 VD</v>
      </c>
      <c r="D2522" t="s">
        <v>1871</v>
      </c>
      <c r="E2522" t="s">
        <v>1876</v>
      </c>
      <c r="F2522" t="s">
        <v>1877</v>
      </c>
      <c r="G2522" s="554">
        <v>10824</v>
      </c>
      <c r="H2522">
        <v>72.058968000000007</v>
      </c>
    </row>
    <row r="2523" spans="2:8">
      <c r="B2523" s="555" t="s">
        <v>2310</v>
      </c>
      <c r="C2523" s="555" t="str">
        <f>VLOOKUP(D2523,기본!$D$13:$E$74,2,0)</f>
        <v>삼성 VD</v>
      </c>
      <c r="D2523" t="s">
        <v>1871</v>
      </c>
      <c r="E2523" t="s">
        <v>1878</v>
      </c>
      <c r="F2523" t="s">
        <v>1879</v>
      </c>
      <c r="G2523" s="554">
        <v>96</v>
      </c>
      <c r="H2523">
        <v>0.65739283200000009</v>
      </c>
    </row>
    <row r="2524" spans="2:8">
      <c r="B2524" s="555" t="s">
        <v>2310</v>
      </c>
      <c r="C2524" s="555" t="str">
        <f>VLOOKUP(D2524,기본!$D$13:$E$74,2,0)</f>
        <v>삼성 VD</v>
      </c>
      <c r="D2524" t="s">
        <v>1880</v>
      </c>
      <c r="E2524" t="s">
        <v>1855</v>
      </c>
      <c r="F2524" t="s">
        <v>1856</v>
      </c>
      <c r="G2524" s="554">
        <v>4340</v>
      </c>
      <c r="H2524">
        <v>60.787711999999999</v>
      </c>
    </row>
    <row r="2525" spans="2:8">
      <c r="B2525" s="555" t="s">
        <v>2310</v>
      </c>
      <c r="C2525" s="555" t="str">
        <f>VLOOKUP(D2525,기본!$D$13:$E$74,2,0)</f>
        <v>삼성 VD</v>
      </c>
      <c r="D2525" t="s">
        <v>1881</v>
      </c>
      <c r="E2525" t="s">
        <v>1165</v>
      </c>
      <c r="F2525" t="s">
        <v>1882</v>
      </c>
      <c r="G2525" s="554">
        <v>186</v>
      </c>
      <c r="H2525">
        <v>5.5859471640000002</v>
      </c>
    </row>
    <row r="2526" spans="2:8">
      <c r="B2526" s="555" t="s">
        <v>2310</v>
      </c>
      <c r="C2526" s="555" t="str">
        <f>VLOOKUP(D2526,기본!$D$13:$E$74,2,0)</f>
        <v>삼성 VD</v>
      </c>
      <c r="D2526" t="s">
        <v>1881</v>
      </c>
      <c r="E2526" t="s">
        <v>1164</v>
      </c>
      <c r="F2526" t="s">
        <v>1850</v>
      </c>
      <c r="G2526" s="554">
        <v>378</v>
      </c>
      <c r="H2526">
        <v>10.29079932</v>
      </c>
    </row>
    <row r="2527" spans="2:8">
      <c r="B2527" s="555" t="s">
        <v>2310</v>
      </c>
      <c r="C2527" s="555" t="str">
        <f>VLOOKUP(D2527,기본!$D$13:$E$74,2,0)</f>
        <v>삼성 VD</v>
      </c>
      <c r="D2527" t="s">
        <v>1881</v>
      </c>
      <c r="E2527" t="s">
        <v>1853</v>
      </c>
      <c r="F2527" t="s">
        <v>1854</v>
      </c>
      <c r="G2527" s="554">
        <v>120</v>
      </c>
      <c r="H2527">
        <v>1.66318152</v>
      </c>
    </row>
    <row r="2528" spans="2:8">
      <c r="B2528" s="555" t="s">
        <v>2310</v>
      </c>
      <c r="C2528" s="555" t="str">
        <f>VLOOKUP(D2528,기본!$D$13:$E$74,2,0)</f>
        <v>삼성 VD</v>
      </c>
      <c r="D2528" t="s">
        <v>1881</v>
      </c>
      <c r="E2528" t="s">
        <v>1855</v>
      </c>
      <c r="F2528" t="s">
        <v>1856</v>
      </c>
      <c r="G2528" s="554">
        <v>92</v>
      </c>
      <c r="H2528">
        <v>1.29724416</v>
      </c>
    </row>
    <row r="2529" spans="2:8">
      <c r="B2529" s="555" t="s">
        <v>2310</v>
      </c>
      <c r="C2529" s="555" t="str">
        <f>VLOOKUP(D2529,기본!$D$13:$E$74,2,0)</f>
        <v>삼성 VD</v>
      </c>
      <c r="D2529" t="s">
        <v>1881</v>
      </c>
      <c r="E2529" t="s">
        <v>1874</v>
      </c>
      <c r="F2529" t="s">
        <v>1875</v>
      </c>
      <c r="G2529" s="554">
        <v>736</v>
      </c>
      <c r="H2529">
        <v>11.302398535999998</v>
      </c>
    </row>
    <row r="2530" spans="2:8">
      <c r="B2530" s="555" t="s">
        <v>2310</v>
      </c>
      <c r="C2530" s="555" t="str">
        <f>VLOOKUP(D2530,기본!$D$13:$E$74,2,0)</f>
        <v>기타</v>
      </c>
      <c r="D2530" t="s">
        <v>1883</v>
      </c>
      <c r="E2530" t="s">
        <v>229</v>
      </c>
      <c r="F2530" t="s">
        <v>229</v>
      </c>
      <c r="G2530" s="554">
        <v>0</v>
      </c>
      <c r="H2530">
        <v>84.447743000000003</v>
      </c>
    </row>
    <row r="2531" spans="2:8">
      <c r="B2531" s="555" t="s">
        <v>2310</v>
      </c>
      <c r="C2531" s="555" t="str">
        <f>VLOOKUP(D2531,기본!$D$13:$E$74,2,0)</f>
        <v>MNT JDM</v>
      </c>
      <c r="D2531" t="s">
        <v>2107</v>
      </c>
      <c r="E2531" t="s">
        <v>709</v>
      </c>
      <c r="F2531" t="s">
        <v>2108</v>
      </c>
      <c r="G2531" s="554">
        <v>120384</v>
      </c>
      <c r="H2531">
        <v>545.79599711999992</v>
      </c>
    </row>
    <row r="2532" spans="2:8">
      <c r="B2532" s="555" t="s">
        <v>2310</v>
      </c>
      <c r="C2532" s="555" t="str">
        <f>VLOOKUP(D2532,기본!$D$13:$E$74,2,0)</f>
        <v>MNT JDM</v>
      </c>
      <c r="D2532" t="s">
        <v>2107</v>
      </c>
      <c r="E2532" t="s">
        <v>710</v>
      </c>
      <c r="F2532" t="s">
        <v>2109</v>
      </c>
      <c r="G2532" s="554">
        <v>33792</v>
      </c>
      <c r="H2532">
        <v>180.97485119999999</v>
      </c>
    </row>
    <row r="2533" spans="2:8">
      <c r="B2533" s="555" t="s">
        <v>2310</v>
      </c>
      <c r="C2533" s="555" t="str">
        <f>VLOOKUP(D2533,기본!$D$13:$E$74,2,0)</f>
        <v>MNT JDM</v>
      </c>
      <c r="D2533" t="s">
        <v>2107</v>
      </c>
      <c r="E2533" t="s">
        <v>1156</v>
      </c>
      <c r="F2533" t="s">
        <v>1870</v>
      </c>
      <c r="G2533" s="554">
        <v>60192</v>
      </c>
      <c r="H2533">
        <v>332.70299462399993</v>
      </c>
    </row>
    <row r="2534" spans="2:8">
      <c r="B2534" s="555" t="s">
        <v>2310</v>
      </c>
      <c r="C2534" s="555" t="str">
        <f>VLOOKUP(D2534,기본!$D$13:$E$74,2,0)</f>
        <v>MNT JDM</v>
      </c>
      <c r="D2534" t="s">
        <v>2107</v>
      </c>
      <c r="E2534" t="s">
        <v>1157</v>
      </c>
      <c r="F2534" t="s">
        <v>1887</v>
      </c>
      <c r="G2534" s="554">
        <v>4224</v>
      </c>
      <c r="H2534">
        <v>27.897585407999998</v>
      </c>
    </row>
    <row r="2535" spans="2:8">
      <c r="B2535" s="555" t="s">
        <v>2310</v>
      </c>
      <c r="C2535" s="555" t="str">
        <f>VLOOKUP(D2535,기본!$D$13:$E$74,2,0)</f>
        <v>MNT JDM</v>
      </c>
      <c r="D2535" t="s">
        <v>1884</v>
      </c>
      <c r="E2535" t="s">
        <v>709</v>
      </c>
      <c r="F2535" t="s">
        <v>2110</v>
      </c>
      <c r="G2535" s="554">
        <v>23232</v>
      </c>
      <c r="H2535">
        <v>107.19078163200003</v>
      </c>
    </row>
    <row r="2536" spans="2:8">
      <c r="B2536" s="555" t="s">
        <v>2310</v>
      </c>
      <c r="C2536" s="555" t="str">
        <f>VLOOKUP(D2536,기본!$D$13:$E$74,2,0)</f>
        <v>MNT JDM</v>
      </c>
      <c r="D2536" t="s">
        <v>1884</v>
      </c>
      <c r="E2536" t="s">
        <v>710</v>
      </c>
      <c r="F2536" t="s">
        <v>2111</v>
      </c>
      <c r="G2536" s="554">
        <v>2112</v>
      </c>
      <c r="H2536">
        <v>11.755464864</v>
      </c>
    </row>
    <row r="2537" spans="2:8">
      <c r="B2537" s="555" t="s">
        <v>2310</v>
      </c>
      <c r="C2537" s="555" t="str">
        <f>VLOOKUP(D2537,기본!$D$13:$E$74,2,0)</f>
        <v>MNT JDM</v>
      </c>
      <c r="D2537" t="s">
        <v>1884</v>
      </c>
      <c r="E2537" t="s">
        <v>1156</v>
      </c>
      <c r="F2537" t="s">
        <v>2112</v>
      </c>
      <c r="G2537" s="554">
        <v>24288</v>
      </c>
      <c r="H2537">
        <v>138.31755907199999</v>
      </c>
    </row>
    <row r="2538" spans="2:8">
      <c r="B2538" s="555" t="s">
        <v>2310</v>
      </c>
      <c r="C2538" s="555" t="str">
        <f>VLOOKUP(D2538,기본!$D$13:$E$74,2,0)</f>
        <v>MNT JDM</v>
      </c>
      <c r="D2538" t="s">
        <v>1884</v>
      </c>
      <c r="E2538" t="s">
        <v>1157</v>
      </c>
      <c r="F2538" t="s">
        <v>2208</v>
      </c>
      <c r="G2538" s="554">
        <v>1056</v>
      </c>
      <c r="H2538">
        <v>7.1542563840000009</v>
      </c>
    </row>
    <row r="2539" spans="2:8">
      <c r="B2539" s="555" t="s">
        <v>2310</v>
      </c>
      <c r="C2539" s="555" t="str">
        <f>VLOOKUP(D2539,기본!$D$13:$E$74,2,0)</f>
        <v>MNT JDM</v>
      </c>
      <c r="D2539" t="s">
        <v>157</v>
      </c>
      <c r="E2539" t="s">
        <v>709</v>
      </c>
      <c r="F2539" t="s">
        <v>1885</v>
      </c>
      <c r="G2539" s="554">
        <v>30624</v>
      </c>
      <c r="H2539">
        <v>135.45966719999998</v>
      </c>
    </row>
    <row r="2540" spans="2:8">
      <c r="B2540" s="555" t="s">
        <v>2310</v>
      </c>
      <c r="C2540" s="555" t="str">
        <f>VLOOKUP(D2540,기본!$D$13:$E$74,2,0)</f>
        <v>MNT JDM</v>
      </c>
      <c r="D2540" t="s">
        <v>157</v>
      </c>
      <c r="E2540" t="s">
        <v>710</v>
      </c>
      <c r="F2540" t="s">
        <v>1886</v>
      </c>
      <c r="G2540" s="554">
        <v>25344</v>
      </c>
      <c r="H2540">
        <v>133.048008192</v>
      </c>
    </row>
    <row r="2541" spans="2:8">
      <c r="B2541" s="555" t="s">
        <v>2310</v>
      </c>
      <c r="C2541" s="555" t="str">
        <f>VLOOKUP(D2541,기본!$D$13:$E$74,2,0)</f>
        <v>AV JDM</v>
      </c>
      <c r="D2541" t="s">
        <v>1888</v>
      </c>
      <c r="E2541" t="s">
        <v>1842</v>
      </c>
      <c r="F2541" t="s">
        <v>1680</v>
      </c>
      <c r="G2541" s="554">
        <v>49600</v>
      </c>
      <c r="H2541">
        <v>446.40974399999999</v>
      </c>
    </row>
    <row r="2542" spans="2:8">
      <c r="B2542" s="555" t="s">
        <v>2310</v>
      </c>
      <c r="C2542" s="555" t="str">
        <f>VLOOKUP(D2542,기본!$D$13:$E$74,2,0)</f>
        <v>AV JDM</v>
      </c>
      <c r="D2542" t="s">
        <v>1888</v>
      </c>
      <c r="E2542" t="s">
        <v>2104</v>
      </c>
      <c r="F2542" t="s">
        <v>2105</v>
      </c>
      <c r="G2542" s="554">
        <v>1480</v>
      </c>
      <c r="H2542">
        <v>14.4058572</v>
      </c>
    </row>
    <row r="2543" spans="2:8">
      <c r="B2543" s="555" t="s">
        <v>2310</v>
      </c>
      <c r="C2543" s="555" t="str">
        <f>VLOOKUP(D2543,기본!$D$13:$E$74,2,0)</f>
        <v>AV JDM</v>
      </c>
      <c r="D2543" t="s">
        <v>1888</v>
      </c>
      <c r="E2543" t="s">
        <v>105</v>
      </c>
      <c r="F2543" t="s">
        <v>104</v>
      </c>
      <c r="G2543" s="554">
        <v>13019</v>
      </c>
      <c r="H2543">
        <v>130.54701657799998</v>
      </c>
    </row>
    <row r="2544" spans="2:8">
      <c r="B2544" s="555" t="s">
        <v>2310</v>
      </c>
      <c r="C2544" s="555" t="str">
        <f>VLOOKUP(D2544,기본!$D$13:$E$74,2,0)</f>
        <v>AV JDM</v>
      </c>
      <c r="D2544" t="s">
        <v>1888</v>
      </c>
      <c r="E2544" t="s">
        <v>690</v>
      </c>
      <c r="F2544" t="s">
        <v>689</v>
      </c>
      <c r="G2544" s="554">
        <v>7120</v>
      </c>
      <c r="H2544">
        <v>72.716626399999996</v>
      </c>
    </row>
    <row r="2545" spans="2:8">
      <c r="B2545" s="555" t="s">
        <v>2310</v>
      </c>
      <c r="C2545" s="555" t="str">
        <f>VLOOKUP(D2545,기본!$D$13:$E$74,2,0)</f>
        <v>AV JDM</v>
      </c>
      <c r="D2545" t="s">
        <v>1888</v>
      </c>
      <c r="E2545" t="s">
        <v>1656</v>
      </c>
      <c r="F2545" t="s">
        <v>1656</v>
      </c>
      <c r="G2545" s="554">
        <v>2296</v>
      </c>
      <c r="H2545">
        <v>19.98600016</v>
      </c>
    </row>
    <row r="2546" spans="2:8">
      <c r="B2546" s="555" t="s">
        <v>2310</v>
      </c>
      <c r="C2546" s="555" t="str">
        <f>VLOOKUP(D2546,기본!$D$13:$E$74,2,0)</f>
        <v>AV JDM</v>
      </c>
      <c r="D2546" t="s">
        <v>1888</v>
      </c>
      <c r="E2546" t="s">
        <v>1889</v>
      </c>
      <c r="F2546" t="s">
        <v>1890</v>
      </c>
      <c r="G2546" s="554">
        <v>43344</v>
      </c>
      <c r="H2546">
        <v>338.02735680000001</v>
      </c>
    </row>
    <row r="2547" spans="2:8">
      <c r="B2547" s="555" t="s">
        <v>2310</v>
      </c>
      <c r="C2547" s="555" t="str">
        <f>VLOOKUP(D2547,기본!$D$13:$E$74,2,0)</f>
        <v>AV JDM</v>
      </c>
      <c r="D2547" t="s">
        <v>1888</v>
      </c>
      <c r="E2547" t="s">
        <v>2106</v>
      </c>
      <c r="F2547" t="s">
        <v>1256</v>
      </c>
      <c r="G2547" s="554">
        <v>8064</v>
      </c>
      <c r="H2547">
        <v>77.983492608000006</v>
      </c>
    </row>
    <row r="2548" spans="2:8">
      <c r="B2548" s="555" t="s">
        <v>2310</v>
      </c>
      <c r="C2548" s="555" t="str">
        <f>VLOOKUP(D2548,기본!$D$13:$E$74,2,0)</f>
        <v>AV JDM</v>
      </c>
      <c r="D2548" t="s">
        <v>1888</v>
      </c>
      <c r="E2548" t="s">
        <v>1891</v>
      </c>
      <c r="F2548" t="s">
        <v>1892</v>
      </c>
      <c r="G2548" s="554">
        <v>144</v>
      </c>
      <c r="H2548">
        <v>6.093443808</v>
      </c>
    </row>
    <row r="2549" spans="2:8">
      <c r="B2549" s="555" t="s">
        <v>2310</v>
      </c>
      <c r="C2549" s="555" t="str">
        <f>VLOOKUP(D2549,기본!$D$13:$E$74,2,0)</f>
        <v>AV JDM</v>
      </c>
      <c r="D2549" t="s">
        <v>1888</v>
      </c>
      <c r="E2549" t="s">
        <v>2209</v>
      </c>
      <c r="F2549" t="s">
        <v>1260</v>
      </c>
      <c r="G2549" s="554">
        <v>1008</v>
      </c>
      <c r="H2549">
        <v>7.2696476160000012</v>
      </c>
    </row>
    <row r="2550" spans="2:8">
      <c r="B2550" s="555" t="s">
        <v>2310</v>
      </c>
      <c r="C2550" s="555" t="str">
        <f>VLOOKUP(D2550,기본!$D$13:$E$74,2,0)</f>
        <v>AV JDM</v>
      </c>
      <c r="D2550" t="s">
        <v>1888</v>
      </c>
      <c r="E2550" t="s">
        <v>1845</v>
      </c>
      <c r="F2550" t="s">
        <v>1340</v>
      </c>
      <c r="G2550" s="554">
        <v>24612</v>
      </c>
      <c r="H2550">
        <v>254.41405823399998</v>
      </c>
    </row>
    <row r="2551" spans="2:8">
      <c r="B2551" s="555" t="s">
        <v>2310</v>
      </c>
      <c r="C2551" s="555" t="str">
        <f>VLOOKUP(D2551,기본!$D$13:$E$74,2,0)</f>
        <v>AV JDM</v>
      </c>
      <c r="D2551" t="s">
        <v>1888</v>
      </c>
      <c r="E2551" t="s">
        <v>1846</v>
      </c>
      <c r="F2551" t="s">
        <v>1341</v>
      </c>
      <c r="G2551" s="554">
        <v>2310</v>
      </c>
      <c r="H2551">
        <v>26.24772171</v>
      </c>
    </row>
    <row r="2552" spans="2:8">
      <c r="B2552" s="555" t="s">
        <v>2310</v>
      </c>
      <c r="C2552" s="555" t="str">
        <f>VLOOKUP(D2552,기본!$D$13:$E$74,2,0)</f>
        <v>AV JDM</v>
      </c>
      <c r="D2552" t="s">
        <v>1888</v>
      </c>
      <c r="E2552" t="s">
        <v>1847</v>
      </c>
      <c r="F2552" t="s">
        <v>1336</v>
      </c>
      <c r="G2552" s="554">
        <v>73080</v>
      </c>
      <c r="H2552">
        <v>658.30907999999999</v>
      </c>
    </row>
    <row r="2553" spans="2:8">
      <c r="B2553" s="555" t="s">
        <v>2310</v>
      </c>
      <c r="C2553" s="555" t="str">
        <f>VLOOKUP(D2553,기본!$D$13:$E$74,2,0)</f>
        <v>AV JDM</v>
      </c>
      <c r="D2553" t="s">
        <v>1888</v>
      </c>
      <c r="E2553" t="s">
        <v>1894</v>
      </c>
      <c r="F2553" t="s">
        <v>1337</v>
      </c>
      <c r="G2553" s="554">
        <v>3440</v>
      </c>
      <c r="H2553">
        <v>34.621322400000004</v>
      </c>
    </row>
    <row r="2554" spans="2:8">
      <c r="B2554" s="555" t="s">
        <v>2310</v>
      </c>
      <c r="C2554" s="555" t="str">
        <f>VLOOKUP(D2554,기본!$D$13:$E$74,2,0)</f>
        <v>AV JDM</v>
      </c>
      <c r="D2554" t="s">
        <v>1888</v>
      </c>
      <c r="E2554" t="s">
        <v>1015</v>
      </c>
      <c r="F2554" t="s">
        <v>1015</v>
      </c>
      <c r="G2554" s="554">
        <v>44096</v>
      </c>
      <c r="H2554">
        <v>306.75137279999996</v>
      </c>
    </row>
    <row r="2555" spans="2:8">
      <c r="B2555" s="555" t="s">
        <v>2310</v>
      </c>
      <c r="C2555" s="555" t="str">
        <f>VLOOKUP(D2555,기본!$D$13:$E$74,2,0)</f>
        <v>AV JDM</v>
      </c>
      <c r="D2555" t="s">
        <v>1888</v>
      </c>
      <c r="E2555" t="s">
        <v>2113</v>
      </c>
      <c r="F2555" t="s">
        <v>2113</v>
      </c>
      <c r="G2555" s="554">
        <v>384</v>
      </c>
      <c r="H2555">
        <v>2.9704842239999998</v>
      </c>
    </row>
    <row r="2556" spans="2:8">
      <c r="B2556" s="555" t="s">
        <v>2310</v>
      </c>
      <c r="C2556" s="555" t="str">
        <f>VLOOKUP(D2556,기본!$D$13:$E$74,2,0)</f>
        <v>AV JDM</v>
      </c>
      <c r="D2556" t="s">
        <v>1888</v>
      </c>
      <c r="E2556" t="s">
        <v>1016</v>
      </c>
      <c r="F2556" t="s">
        <v>1016</v>
      </c>
      <c r="G2556" s="554">
        <v>55232</v>
      </c>
      <c r="H2556">
        <v>454.58882956799999</v>
      </c>
    </row>
    <row r="2557" spans="2:8">
      <c r="B2557" s="555" t="s">
        <v>2310</v>
      </c>
      <c r="C2557" s="555" t="str">
        <f>VLOOKUP(D2557,기본!$D$13:$E$74,2,0)</f>
        <v>AV JDM</v>
      </c>
      <c r="D2557" t="s">
        <v>1888</v>
      </c>
      <c r="E2557" t="s">
        <v>1047</v>
      </c>
      <c r="F2557" t="s">
        <v>1047</v>
      </c>
      <c r="G2557" s="554">
        <v>3592</v>
      </c>
      <c r="H2557">
        <v>32.036747661</v>
      </c>
    </row>
    <row r="2558" spans="2:8">
      <c r="B2558" s="555" t="s">
        <v>2310</v>
      </c>
      <c r="C2558" s="555" t="str">
        <f>VLOOKUP(D2558,기본!$D$13:$E$74,2,0)</f>
        <v>AV JDM</v>
      </c>
      <c r="D2558" t="s">
        <v>1888</v>
      </c>
      <c r="E2558" t="s">
        <v>1895</v>
      </c>
      <c r="F2558" t="s">
        <v>1895</v>
      </c>
      <c r="G2558" s="554">
        <v>8840</v>
      </c>
      <c r="H2558">
        <v>77.417202539999991</v>
      </c>
    </row>
    <row r="2559" spans="2:8">
      <c r="B2559" s="555" t="s">
        <v>2310</v>
      </c>
      <c r="C2559" s="555" t="str">
        <f>VLOOKUP(D2559,기본!$D$13:$E$74,2,0)</f>
        <v>AV JDM</v>
      </c>
      <c r="D2559" t="s">
        <v>1888</v>
      </c>
      <c r="E2559" t="s">
        <v>2160</v>
      </c>
      <c r="F2559" t="s">
        <v>2160</v>
      </c>
      <c r="G2559" s="554">
        <v>8840</v>
      </c>
      <c r="H2559">
        <v>81.908474880000014</v>
      </c>
    </row>
    <row r="2560" spans="2:8">
      <c r="B2560" s="555" t="s">
        <v>2310</v>
      </c>
      <c r="C2560" s="555" t="str">
        <f>VLOOKUP(D2560,기본!$D$13:$E$74,2,0)</f>
        <v>JDM</v>
      </c>
      <c r="D2560" t="s">
        <v>1896</v>
      </c>
      <c r="E2560" t="s">
        <v>2287</v>
      </c>
      <c r="F2560" t="s">
        <v>1897</v>
      </c>
      <c r="G2560" s="554">
        <v>295</v>
      </c>
      <c r="H2560">
        <v>11.6410245</v>
      </c>
    </row>
    <row r="2561" spans="2:8">
      <c r="B2561" s="555" t="s">
        <v>2310</v>
      </c>
      <c r="C2561" s="555" t="str">
        <f>VLOOKUP(D2561,기본!$D$13:$E$74,2,0)</f>
        <v>JDM</v>
      </c>
      <c r="D2561" t="s">
        <v>1896</v>
      </c>
      <c r="E2561" t="s">
        <v>2288</v>
      </c>
      <c r="F2561" t="s">
        <v>1897</v>
      </c>
      <c r="G2561" s="554">
        <v>33</v>
      </c>
      <c r="H2561">
        <v>1.3022162999999998</v>
      </c>
    </row>
    <row r="2562" spans="2:8">
      <c r="B2562" s="555" t="s">
        <v>2310</v>
      </c>
      <c r="C2562" s="555" t="str">
        <f>VLOOKUP(D2562,기본!$D$13:$E$74,2,0)</f>
        <v>JDM</v>
      </c>
      <c r="D2562" t="s">
        <v>1896</v>
      </c>
      <c r="E2562" t="s">
        <v>2289</v>
      </c>
      <c r="F2562" t="s">
        <v>1897</v>
      </c>
      <c r="G2562" s="554">
        <v>5</v>
      </c>
      <c r="H2562">
        <v>0.19730549999999999</v>
      </c>
    </row>
    <row r="2563" spans="2:8">
      <c r="B2563" s="555" t="s">
        <v>2310</v>
      </c>
      <c r="C2563" s="555" t="str">
        <f>VLOOKUP(D2563,기본!$D$13:$E$74,2,0)</f>
        <v>JDM</v>
      </c>
      <c r="D2563" t="s">
        <v>1896</v>
      </c>
      <c r="E2563" t="s">
        <v>2290</v>
      </c>
      <c r="F2563" t="s">
        <v>1897</v>
      </c>
      <c r="G2563" s="554">
        <v>199</v>
      </c>
      <c r="H2563">
        <v>7.8527588999999995</v>
      </c>
    </row>
    <row r="2564" spans="2:8">
      <c r="B2564" s="555" t="s">
        <v>2310</v>
      </c>
      <c r="C2564" s="555" t="str">
        <f>VLOOKUP(D2564,기본!$D$13:$E$74,2,0)</f>
        <v>JDM</v>
      </c>
      <c r="D2564" t="s">
        <v>1896</v>
      </c>
      <c r="E2564" t="s">
        <v>2291</v>
      </c>
      <c r="F2564" t="s">
        <v>1897</v>
      </c>
      <c r="G2564" s="554">
        <v>215</v>
      </c>
      <c r="H2564">
        <v>8.1996067500000009</v>
      </c>
    </row>
    <row r="2565" spans="2:8">
      <c r="B2565" s="555" t="s">
        <v>2310</v>
      </c>
      <c r="C2565" s="555" t="str">
        <f>VLOOKUP(D2565,기본!$D$13:$E$74,2,0)</f>
        <v>JDM</v>
      </c>
      <c r="D2565" t="s">
        <v>1896</v>
      </c>
      <c r="E2565" t="s">
        <v>2292</v>
      </c>
      <c r="F2565" t="s">
        <v>1897</v>
      </c>
      <c r="G2565" s="554">
        <v>104</v>
      </c>
      <c r="H2565">
        <v>4.1039544000000001</v>
      </c>
    </row>
    <row r="2566" spans="2:8">
      <c r="B2566" s="555" t="s">
        <v>2310</v>
      </c>
      <c r="C2566" s="555" t="str">
        <f>VLOOKUP(D2566,기본!$D$13:$E$74,2,0)</f>
        <v>JDM</v>
      </c>
      <c r="D2566" t="s">
        <v>1896</v>
      </c>
      <c r="E2566" t="s">
        <v>2293</v>
      </c>
      <c r="F2566" t="s">
        <v>1897</v>
      </c>
      <c r="G2566" s="554">
        <v>1</v>
      </c>
      <c r="H2566">
        <v>3.9461099999999999E-2</v>
      </c>
    </row>
    <row r="2567" spans="2:8">
      <c r="B2567" s="555" t="s">
        <v>2310</v>
      </c>
      <c r="C2567" s="555" t="str">
        <f>VLOOKUP(D2567,기본!$D$13:$E$74,2,0)</f>
        <v>AV JDM</v>
      </c>
      <c r="D2567" t="s">
        <v>1899</v>
      </c>
      <c r="E2567" t="s">
        <v>436</v>
      </c>
      <c r="F2567" t="s">
        <v>2210</v>
      </c>
      <c r="G2567" s="554">
        <v>14229</v>
      </c>
      <c r="H2567">
        <v>122.29048427399998</v>
      </c>
    </row>
    <row r="2568" spans="2:8">
      <c r="B2568" s="555" t="s">
        <v>2310</v>
      </c>
      <c r="C2568" s="555" t="str">
        <f>VLOOKUP(D2568,기본!$D$13:$E$74,2,0)</f>
        <v>MNT JDM</v>
      </c>
      <c r="D2568" t="s">
        <v>1900</v>
      </c>
      <c r="E2568" t="s">
        <v>709</v>
      </c>
      <c r="F2568" t="s">
        <v>2115</v>
      </c>
      <c r="G2568" s="554">
        <v>53856</v>
      </c>
      <c r="H2568">
        <v>241.63897824000003</v>
      </c>
    </row>
    <row r="2569" spans="2:8">
      <c r="B2569" s="555" t="s">
        <v>2310</v>
      </c>
      <c r="C2569" s="555" t="str">
        <f>VLOOKUP(D2569,기본!$D$13:$E$74,2,0)</f>
        <v>MNT JDM</v>
      </c>
      <c r="D2569" t="s">
        <v>1900</v>
      </c>
      <c r="E2569" t="s">
        <v>1156</v>
      </c>
      <c r="F2569" t="s">
        <v>2116</v>
      </c>
      <c r="G2569" s="554">
        <v>4224</v>
      </c>
      <c r="H2569">
        <v>23.324928</v>
      </c>
    </row>
    <row r="2570" spans="2:8">
      <c r="B2570" s="555" t="s">
        <v>2310</v>
      </c>
      <c r="C2570" s="555" t="str">
        <f>VLOOKUP(D2570,기본!$D$13:$E$74,2,0)</f>
        <v>MNT JDM</v>
      </c>
      <c r="D2570" t="s">
        <v>1900</v>
      </c>
      <c r="E2570" t="s">
        <v>1157</v>
      </c>
      <c r="F2570" t="s">
        <v>2233</v>
      </c>
      <c r="G2570" s="554">
        <v>1056</v>
      </c>
      <c r="H2570">
        <v>6.9185571839999991</v>
      </c>
    </row>
    <row r="2571" spans="2:8">
      <c r="B2571" s="555" t="s">
        <v>2310</v>
      </c>
      <c r="C2571" s="555" t="str">
        <f>VLOOKUP(D2571,기본!$D$13:$E$74,2,0)</f>
        <v>한화비전</v>
      </c>
      <c r="D2571" t="s">
        <v>1901</v>
      </c>
      <c r="E2571" t="s">
        <v>1902</v>
      </c>
      <c r="F2571" t="s">
        <v>1903</v>
      </c>
      <c r="G2571" s="554">
        <v>1296</v>
      </c>
      <c r="H2571">
        <v>46.200792960000008</v>
      </c>
    </row>
    <row r="2572" spans="2:8">
      <c r="B2572" s="555" t="s">
        <v>2310</v>
      </c>
      <c r="C2572" s="555" t="str">
        <f>VLOOKUP(D2572,기본!$D$13:$E$74,2,0)</f>
        <v>한화비전</v>
      </c>
      <c r="D2572" t="s">
        <v>1901</v>
      </c>
      <c r="E2572" t="s">
        <v>2257</v>
      </c>
      <c r="F2572" t="s">
        <v>2258</v>
      </c>
      <c r="G2572" s="554">
        <v>792</v>
      </c>
      <c r="H2572">
        <v>15.261523200000001</v>
      </c>
    </row>
    <row r="2573" spans="2:8">
      <c r="B2573" s="555" t="s">
        <v>2310</v>
      </c>
      <c r="C2573" s="555" t="str">
        <f>VLOOKUP(D2573,기본!$D$13:$E$74,2,0)</f>
        <v>코웨이</v>
      </c>
      <c r="D2573" t="s">
        <v>1905</v>
      </c>
      <c r="E2573" t="s">
        <v>2294</v>
      </c>
      <c r="F2573" t="s">
        <v>2294</v>
      </c>
      <c r="G2573" s="554">
        <v>1150</v>
      </c>
      <c r="H2573">
        <v>7.5010222000000004</v>
      </c>
    </row>
    <row r="2574" spans="2:8">
      <c r="B2574" s="555" t="s">
        <v>2310</v>
      </c>
      <c r="C2574" s="555" t="str">
        <f>VLOOKUP(D2574,기본!$D$13:$E$74,2,0)</f>
        <v>코웨이</v>
      </c>
      <c r="D2574" t="s">
        <v>1905</v>
      </c>
      <c r="E2574" t="s">
        <v>1067</v>
      </c>
      <c r="F2574" t="s">
        <v>1067</v>
      </c>
      <c r="G2574" s="554">
        <v>816</v>
      </c>
      <c r="H2574">
        <v>5.3224644479999998</v>
      </c>
    </row>
    <row r="2575" spans="2:8">
      <c r="B2575" s="555" t="s">
        <v>2310</v>
      </c>
      <c r="C2575" s="555" t="str">
        <f>VLOOKUP(D2575,기본!$D$13:$E$74,2,0)</f>
        <v>코웨이</v>
      </c>
      <c r="D2575" t="s">
        <v>1905</v>
      </c>
      <c r="E2575" t="s">
        <v>2295</v>
      </c>
      <c r="F2575" t="s">
        <v>2295</v>
      </c>
      <c r="G2575" s="554">
        <v>1000</v>
      </c>
      <c r="H2575">
        <v>6.5692760000000003</v>
      </c>
    </row>
    <row r="2576" spans="2:8">
      <c r="B2576" s="555" t="s">
        <v>2310</v>
      </c>
      <c r="C2576" s="555" t="str">
        <f>VLOOKUP(D2576,기본!$D$13:$E$74,2,0)</f>
        <v>코웨이</v>
      </c>
      <c r="D2576" t="s">
        <v>1905</v>
      </c>
      <c r="E2576" t="s">
        <v>1066</v>
      </c>
      <c r="F2576" t="s">
        <v>1066</v>
      </c>
      <c r="G2576" s="554">
        <v>3000</v>
      </c>
      <c r="H2576">
        <v>24.036214999999999</v>
      </c>
    </row>
    <row r="2577" spans="2:8">
      <c r="B2577" s="555" t="s">
        <v>2310</v>
      </c>
      <c r="C2577" s="555" t="str">
        <f>VLOOKUP(D2577,기본!$D$13:$E$74,2,0)</f>
        <v>코웨이</v>
      </c>
      <c r="D2577" t="s">
        <v>1905</v>
      </c>
      <c r="E2577" t="s">
        <v>2296</v>
      </c>
      <c r="F2577" t="s">
        <v>2296</v>
      </c>
      <c r="G2577" s="554">
        <v>1000</v>
      </c>
      <c r="H2577">
        <v>12.579354</v>
      </c>
    </row>
    <row r="2578" spans="2:8">
      <c r="B2578" s="555" t="s">
        <v>2310</v>
      </c>
      <c r="C2578" s="555" t="str">
        <f>VLOOKUP(D2578,기본!$D$13:$E$74,2,0)</f>
        <v>코웨이</v>
      </c>
      <c r="D2578" t="s">
        <v>1905</v>
      </c>
      <c r="E2578" t="s">
        <v>1906</v>
      </c>
      <c r="F2578" t="s">
        <v>1906</v>
      </c>
      <c r="G2578" s="554">
        <v>38880</v>
      </c>
      <c r="H2578">
        <v>257.10263424000004</v>
      </c>
    </row>
    <row r="2579" spans="2:8">
      <c r="B2579" s="555" t="s">
        <v>2310</v>
      </c>
      <c r="C2579" s="555" t="str">
        <f>VLOOKUP(D2579,기본!$D$13:$E$74,2,0)</f>
        <v>코웨이</v>
      </c>
      <c r="D2579" t="s">
        <v>1905</v>
      </c>
      <c r="E2579" t="s">
        <v>1907</v>
      </c>
      <c r="F2579" t="s">
        <v>1907</v>
      </c>
      <c r="G2579" s="554">
        <v>1000</v>
      </c>
      <c r="H2579">
        <v>7.5229470000000003</v>
      </c>
    </row>
    <row r="2580" spans="2:8">
      <c r="B2580" s="555" t="s">
        <v>2310</v>
      </c>
      <c r="C2580" s="555" t="str">
        <f>VLOOKUP(D2580,기본!$D$13:$E$74,2,0)</f>
        <v>코웨이</v>
      </c>
      <c r="D2580" t="s">
        <v>1905</v>
      </c>
      <c r="E2580" t="s">
        <v>1909</v>
      </c>
      <c r="F2580" t="s">
        <v>1909</v>
      </c>
      <c r="G2580" s="554">
        <v>2000</v>
      </c>
      <c r="H2580">
        <v>11.255298</v>
      </c>
    </row>
    <row r="2581" spans="2:8">
      <c r="B2581" s="555" t="s">
        <v>2310</v>
      </c>
      <c r="C2581" s="555" t="str">
        <f>VLOOKUP(D2581,기본!$D$13:$E$74,2,0)</f>
        <v>코웨이</v>
      </c>
      <c r="D2581" t="s">
        <v>1905</v>
      </c>
      <c r="E2581" t="s">
        <v>2165</v>
      </c>
      <c r="F2581" t="s">
        <v>2165</v>
      </c>
      <c r="G2581" s="554">
        <v>2000</v>
      </c>
      <c r="H2581">
        <v>12.71483856</v>
      </c>
    </row>
    <row r="2582" spans="2:8">
      <c r="B2582" s="555" t="s">
        <v>2310</v>
      </c>
      <c r="C2582" s="555" t="str">
        <f>VLOOKUP(D2582,기본!$D$13:$E$74,2,0)</f>
        <v>코웨이</v>
      </c>
      <c r="D2582" t="s">
        <v>1905</v>
      </c>
      <c r="E2582" t="s">
        <v>1910</v>
      </c>
      <c r="F2582" t="s">
        <v>1910</v>
      </c>
      <c r="G2582" s="554">
        <v>1000</v>
      </c>
      <c r="H2582">
        <v>6.0567260000000003</v>
      </c>
    </row>
    <row r="2583" spans="2:8">
      <c r="B2583" s="555" t="s">
        <v>2310</v>
      </c>
      <c r="C2583" s="555" t="str">
        <f>VLOOKUP(D2583,기본!$D$13:$E$74,2,0)</f>
        <v>코웨이</v>
      </c>
      <c r="D2583" t="s">
        <v>1905</v>
      </c>
      <c r="E2583" t="s">
        <v>1116</v>
      </c>
      <c r="F2583" t="s">
        <v>1116</v>
      </c>
      <c r="G2583" s="554">
        <v>1180</v>
      </c>
      <c r="H2583">
        <v>10.03725936</v>
      </c>
    </row>
    <row r="2584" spans="2:8">
      <c r="B2584" s="555" t="s">
        <v>2310</v>
      </c>
      <c r="C2584" s="555" t="str">
        <f>VLOOKUP(D2584,기본!$D$13:$E$74,2,0)</f>
        <v>삼성 VD</v>
      </c>
      <c r="D2584" t="s">
        <v>1912</v>
      </c>
      <c r="E2584" t="s">
        <v>1165</v>
      </c>
      <c r="F2584" t="s">
        <v>1882</v>
      </c>
      <c r="G2584" s="554">
        <v>36</v>
      </c>
      <c r="H2584">
        <v>1.0816495199999998</v>
      </c>
    </row>
    <row r="2585" spans="2:8">
      <c r="B2585" s="555" t="s">
        <v>2310</v>
      </c>
      <c r="C2585" s="555" t="str">
        <f>VLOOKUP(D2585,기본!$D$13:$E$74,2,0)</f>
        <v>삼성 VD</v>
      </c>
      <c r="D2585" t="s">
        <v>1912</v>
      </c>
      <c r="E2585" t="s">
        <v>1164</v>
      </c>
      <c r="F2585" t="s">
        <v>1850</v>
      </c>
      <c r="G2585" s="554">
        <v>516</v>
      </c>
      <c r="H2585">
        <v>13.910879963999999</v>
      </c>
    </row>
    <row r="2586" spans="2:8">
      <c r="B2586" s="555" t="s">
        <v>2310</v>
      </c>
      <c r="C2586" s="555" t="str">
        <f>VLOOKUP(D2586,기본!$D$13:$E$74,2,0)</f>
        <v>삼성 VD</v>
      </c>
      <c r="D2586" t="s">
        <v>1912</v>
      </c>
      <c r="E2586" t="s">
        <v>1853</v>
      </c>
      <c r="F2586" t="s">
        <v>1854</v>
      </c>
      <c r="G2586" s="554">
        <v>420</v>
      </c>
      <c r="H2586">
        <v>5.8211353199999998</v>
      </c>
    </row>
    <row r="2587" spans="2:8">
      <c r="B2587" s="555" t="s">
        <v>2310</v>
      </c>
      <c r="C2587" s="555" t="str">
        <f>VLOOKUP(D2587,기본!$D$13:$E$74,2,0)</f>
        <v>삼성 VD</v>
      </c>
      <c r="D2587" t="s">
        <v>1912</v>
      </c>
      <c r="E2587" t="s">
        <v>1855</v>
      </c>
      <c r="F2587" t="s">
        <v>1856</v>
      </c>
      <c r="G2587" s="554">
        <v>920</v>
      </c>
      <c r="H2587">
        <v>12.676063231999999</v>
      </c>
    </row>
    <row r="2588" spans="2:8">
      <c r="B2588" s="555" t="s">
        <v>2310</v>
      </c>
      <c r="C2588" s="555" t="str">
        <f>VLOOKUP(D2588,기본!$D$13:$E$74,2,0)</f>
        <v>삼성 VD</v>
      </c>
      <c r="D2588" t="s">
        <v>1912</v>
      </c>
      <c r="E2588" t="s">
        <v>1865</v>
      </c>
      <c r="F2588" t="s">
        <v>1866</v>
      </c>
      <c r="G2588" s="554">
        <v>36</v>
      </c>
      <c r="H2588">
        <v>1.3821516</v>
      </c>
    </row>
    <row r="2589" spans="2:8">
      <c r="B2589" s="555" t="s">
        <v>2310</v>
      </c>
      <c r="C2589" s="555" t="str">
        <f>VLOOKUP(D2589,기본!$D$13:$E$74,2,0)</f>
        <v>삼성 VD</v>
      </c>
      <c r="D2589" t="s">
        <v>1912</v>
      </c>
      <c r="E2589" t="s">
        <v>1786</v>
      </c>
      <c r="F2589" t="s">
        <v>1671</v>
      </c>
      <c r="G2589" s="554">
        <v>16776</v>
      </c>
      <c r="H2589">
        <v>181.320087024</v>
      </c>
    </row>
    <row r="2590" spans="2:8">
      <c r="B2590" s="555" t="s">
        <v>2310</v>
      </c>
      <c r="C2590" s="555" t="str">
        <f>VLOOKUP(D2590,기본!$D$13:$E$74,2,0)</f>
        <v>삼성 VD</v>
      </c>
      <c r="D2590" t="s">
        <v>1912</v>
      </c>
      <c r="E2590" t="s">
        <v>1788</v>
      </c>
      <c r="F2590" t="s">
        <v>1913</v>
      </c>
      <c r="G2590" s="554">
        <v>77110</v>
      </c>
      <c r="H2590">
        <v>942.95614447199989</v>
      </c>
    </row>
    <row r="2591" spans="2:8">
      <c r="B2591" s="555" t="s">
        <v>2310</v>
      </c>
      <c r="C2591" s="555" t="str">
        <f>VLOOKUP(D2591,기본!$D$13:$E$74,2,0)</f>
        <v>삼성 VD</v>
      </c>
      <c r="D2591" t="s">
        <v>1912</v>
      </c>
      <c r="E2591" t="s">
        <v>1790</v>
      </c>
      <c r="F2591" t="s">
        <v>1914</v>
      </c>
      <c r="G2591" s="554">
        <v>25740</v>
      </c>
      <c r="H2591">
        <v>339.03841118399998</v>
      </c>
    </row>
    <row r="2592" spans="2:8">
      <c r="B2592" s="555" t="s">
        <v>2310</v>
      </c>
      <c r="C2592" s="555" t="str">
        <f>VLOOKUP(D2592,기본!$D$13:$E$74,2,0)</f>
        <v>삼성 VD</v>
      </c>
      <c r="D2592" t="s">
        <v>1912</v>
      </c>
      <c r="E2592" t="s">
        <v>1792</v>
      </c>
      <c r="F2592" t="s">
        <v>1915</v>
      </c>
      <c r="G2592" s="554">
        <v>12654</v>
      </c>
      <c r="H2592">
        <v>221.55415617599999</v>
      </c>
    </row>
    <row r="2593" spans="2:8">
      <c r="B2593" s="555" t="s">
        <v>2310</v>
      </c>
      <c r="C2593" s="555" t="str">
        <f>VLOOKUP(D2593,기본!$D$13:$E$74,2,0)</f>
        <v>삼성 VD</v>
      </c>
      <c r="D2593" t="s">
        <v>1912</v>
      </c>
      <c r="E2593" t="s">
        <v>1923</v>
      </c>
      <c r="F2593" t="s">
        <v>1924</v>
      </c>
      <c r="G2593" s="554">
        <v>5456</v>
      </c>
      <c r="H2593">
        <v>24.929446079999998</v>
      </c>
    </row>
    <row r="2594" spans="2:8">
      <c r="B2594" s="555" t="s">
        <v>2310</v>
      </c>
      <c r="C2594" s="555" t="str">
        <f>VLOOKUP(D2594,기본!$D$13:$E$74,2,0)</f>
        <v>삼성 VD</v>
      </c>
      <c r="D2594" t="s">
        <v>1912</v>
      </c>
      <c r="E2594" t="s">
        <v>1925</v>
      </c>
      <c r="F2594" t="s">
        <v>1926</v>
      </c>
      <c r="G2594" s="554">
        <v>2184</v>
      </c>
      <c r="H2594">
        <v>17.876392800000001</v>
      </c>
    </row>
    <row r="2595" spans="2:8">
      <c r="B2595" s="555" t="s">
        <v>2310</v>
      </c>
      <c r="C2595" s="555" t="str">
        <f>VLOOKUP(D2595,기본!$D$13:$E$74,2,0)</f>
        <v>삼성 VD</v>
      </c>
      <c r="D2595" t="s">
        <v>1912</v>
      </c>
      <c r="E2595" t="s">
        <v>709</v>
      </c>
      <c r="F2595" t="s">
        <v>1869</v>
      </c>
      <c r="G2595" s="554">
        <v>4092</v>
      </c>
      <c r="H2595">
        <v>13.629176000000001</v>
      </c>
    </row>
    <row r="2596" spans="2:8">
      <c r="B2596" s="555" t="s">
        <v>2310</v>
      </c>
      <c r="C2596" s="555" t="str">
        <f>VLOOKUP(D2596,기본!$D$13:$E$74,2,0)</f>
        <v>삼성 VD</v>
      </c>
      <c r="D2596" t="s">
        <v>1916</v>
      </c>
      <c r="E2596" t="s">
        <v>1165</v>
      </c>
      <c r="F2596" t="s">
        <v>1882</v>
      </c>
      <c r="G2596" s="554">
        <v>168</v>
      </c>
      <c r="H2596">
        <v>4.8551590080000002</v>
      </c>
    </row>
    <row r="2597" spans="2:8">
      <c r="B2597" s="555" t="s">
        <v>2310</v>
      </c>
      <c r="C2597" s="555" t="str">
        <f>VLOOKUP(D2597,기본!$D$13:$E$74,2,0)</f>
        <v>삼성 VD</v>
      </c>
      <c r="D2597" t="s">
        <v>1916</v>
      </c>
      <c r="E2597" t="s">
        <v>1164</v>
      </c>
      <c r="F2597" t="s">
        <v>1850</v>
      </c>
      <c r="G2597" s="554">
        <v>1260</v>
      </c>
      <c r="H2597">
        <v>33.477573239999998</v>
      </c>
    </row>
    <row r="2598" spans="2:8">
      <c r="B2598" s="555" t="s">
        <v>2310</v>
      </c>
      <c r="C2598" s="555" t="str">
        <f>VLOOKUP(D2598,기본!$D$13:$E$74,2,0)</f>
        <v>삼성 VD</v>
      </c>
      <c r="D2598" t="s">
        <v>1916</v>
      </c>
      <c r="E2598" t="s">
        <v>1851</v>
      </c>
      <c r="F2598" t="s">
        <v>1852</v>
      </c>
      <c r="G2598" s="554">
        <v>1136</v>
      </c>
      <c r="H2598">
        <v>8.4956954400000022</v>
      </c>
    </row>
    <row r="2599" spans="2:8">
      <c r="B2599" s="555" t="s">
        <v>2310</v>
      </c>
      <c r="C2599" s="555" t="str">
        <f>VLOOKUP(D2599,기본!$D$13:$E$74,2,0)</f>
        <v>삼성 VD</v>
      </c>
      <c r="D2599" t="s">
        <v>1916</v>
      </c>
      <c r="E2599" t="s">
        <v>1853</v>
      </c>
      <c r="F2599" t="s">
        <v>1854</v>
      </c>
      <c r="G2599" s="554">
        <v>270</v>
      </c>
      <c r="H2599">
        <v>3.70846476</v>
      </c>
    </row>
    <row r="2600" spans="2:8">
      <c r="B2600" s="555" t="s">
        <v>2310</v>
      </c>
      <c r="C2600" s="555" t="str">
        <f>VLOOKUP(D2600,기본!$D$13:$E$74,2,0)</f>
        <v>삼성 VD</v>
      </c>
      <c r="D2600" t="s">
        <v>1916</v>
      </c>
      <c r="E2600" t="s">
        <v>1855</v>
      </c>
      <c r="F2600" t="s">
        <v>1856</v>
      </c>
      <c r="G2600" s="554">
        <v>460</v>
      </c>
      <c r="H2600">
        <v>6.388880384000001</v>
      </c>
    </row>
    <row r="2601" spans="2:8">
      <c r="B2601" s="555" t="s">
        <v>2310</v>
      </c>
      <c r="C2601" s="555" t="str">
        <f>VLOOKUP(D2601,기본!$D$13:$E$74,2,0)</f>
        <v>삼성 VD</v>
      </c>
      <c r="D2601" t="s">
        <v>1916</v>
      </c>
      <c r="E2601" t="s">
        <v>1874</v>
      </c>
      <c r="F2601" t="s">
        <v>1875</v>
      </c>
      <c r="G2601" s="554">
        <v>506</v>
      </c>
      <c r="H2601">
        <v>7.5736025639999998</v>
      </c>
    </row>
    <row r="2602" spans="2:8">
      <c r="B2602" s="555" t="s">
        <v>2310</v>
      </c>
      <c r="C2602" s="555" t="str">
        <f>VLOOKUP(D2602,기본!$D$13:$E$74,2,0)</f>
        <v>삼성 VD</v>
      </c>
      <c r="D2602" t="s">
        <v>1916</v>
      </c>
      <c r="E2602" t="s">
        <v>1786</v>
      </c>
      <c r="F2602" t="s">
        <v>1671</v>
      </c>
      <c r="G2602" s="554">
        <v>1440</v>
      </c>
      <c r="H2602">
        <v>15.651297792000001</v>
      </c>
    </row>
    <row r="2603" spans="2:8">
      <c r="B2603" s="555" t="s">
        <v>2310</v>
      </c>
      <c r="C2603" s="555" t="str">
        <f>VLOOKUP(D2603,기본!$D$13:$E$74,2,0)</f>
        <v>삼성 VD</v>
      </c>
      <c r="D2603" t="s">
        <v>1916</v>
      </c>
      <c r="E2603" t="s">
        <v>1777</v>
      </c>
      <c r="F2603" t="s">
        <v>1672</v>
      </c>
      <c r="G2603" s="554">
        <v>17028</v>
      </c>
      <c r="H2603">
        <v>193.30913808</v>
      </c>
    </row>
    <row r="2604" spans="2:8">
      <c r="B2604" s="555" t="s">
        <v>2310</v>
      </c>
      <c r="C2604" s="555" t="str">
        <f>VLOOKUP(D2604,기본!$D$13:$E$74,2,0)</f>
        <v>삼성 VD</v>
      </c>
      <c r="D2604" t="s">
        <v>1916</v>
      </c>
      <c r="E2604" t="s">
        <v>2260</v>
      </c>
      <c r="F2604" t="s">
        <v>1774</v>
      </c>
      <c r="G2604" s="554">
        <v>3359</v>
      </c>
      <c r="H2604">
        <v>36.175680770999989</v>
      </c>
    </row>
    <row r="2605" spans="2:8">
      <c r="B2605" s="555" t="s">
        <v>2310</v>
      </c>
      <c r="C2605" s="555" t="str">
        <f>VLOOKUP(D2605,기본!$D$13:$E$74,2,0)</f>
        <v>삼성 VD</v>
      </c>
      <c r="D2605" t="s">
        <v>1916</v>
      </c>
      <c r="E2605" t="s">
        <v>1788</v>
      </c>
      <c r="F2605" t="s">
        <v>1913</v>
      </c>
      <c r="G2605" s="554">
        <v>2484</v>
      </c>
      <c r="H2605">
        <v>30.367603151999997</v>
      </c>
    </row>
    <row r="2606" spans="2:8">
      <c r="B2606" s="555" t="s">
        <v>2310</v>
      </c>
      <c r="C2606" s="555" t="str">
        <f>VLOOKUP(D2606,기본!$D$13:$E$74,2,0)</f>
        <v>삼성 VD</v>
      </c>
      <c r="D2606" t="s">
        <v>1916</v>
      </c>
      <c r="E2606" t="s">
        <v>1778</v>
      </c>
      <c r="F2606" t="s">
        <v>1919</v>
      </c>
      <c r="G2606" s="554">
        <v>33444</v>
      </c>
      <c r="H2606">
        <v>425.46209889599999</v>
      </c>
    </row>
    <row r="2607" spans="2:8">
      <c r="B2607" s="555" t="s">
        <v>2310</v>
      </c>
      <c r="C2607" s="555" t="str">
        <f>VLOOKUP(D2607,기본!$D$13:$E$74,2,0)</f>
        <v>삼성 VD</v>
      </c>
      <c r="D2607" t="s">
        <v>1916</v>
      </c>
      <c r="E2607" t="s">
        <v>1790</v>
      </c>
      <c r="F2607" t="s">
        <v>1914</v>
      </c>
      <c r="G2607" s="554">
        <v>759</v>
      </c>
      <c r="H2607">
        <v>10.361986404</v>
      </c>
    </row>
    <row r="2608" spans="2:8">
      <c r="B2608" s="555" t="s">
        <v>2310</v>
      </c>
      <c r="C2608" s="555" t="str">
        <f>VLOOKUP(D2608,기본!$D$13:$E$74,2,0)</f>
        <v>삼성 VD</v>
      </c>
      <c r="D2608" t="s">
        <v>1916</v>
      </c>
      <c r="E2608" t="s">
        <v>1779</v>
      </c>
      <c r="F2608" t="s">
        <v>1920</v>
      </c>
      <c r="G2608" s="554">
        <v>12276</v>
      </c>
      <c r="H2608">
        <v>172.40886075600002</v>
      </c>
    </row>
    <row r="2609" spans="2:8">
      <c r="B2609" s="555" t="s">
        <v>2310</v>
      </c>
      <c r="C2609" s="555" t="str">
        <f>VLOOKUP(D2609,기본!$D$13:$E$74,2,0)</f>
        <v>삼성 VD</v>
      </c>
      <c r="D2609" t="s">
        <v>1916</v>
      </c>
      <c r="E2609" t="s">
        <v>1792</v>
      </c>
      <c r="F2609" t="s">
        <v>1915</v>
      </c>
      <c r="G2609" s="554">
        <v>9072</v>
      </c>
      <c r="H2609">
        <v>159.48665942399998</v>
      </c>
    </row>
    <row r="2610" spans="2:8">
      <c r="B2610" s="555" t="s">
        <v>2310</v>
      </c>
      <c r="C2610" s="555" t="str">
        <f>VLOOKUP(D2610,기본!$D$13:$E$74,2,0)</f>
        <v>삼성 VD</v>
      </c>
      <c r="D2610" t="s">
        <v>1916</v>
      </c>
      <c r="E2610" t="s">
        <v>1921</v>
      </c>
      <c r="F2610" t="s">
        <v>1922</v>
      </c>
      <c r="G2610" s="554">
        <v>1026</v>
      </c>
      <c r="H2610">
        <v>23.865556175999998</v>
      </c>
    </row>
    <row r="2611" spans="2:8">
      <c r="B2611" s="555" t="s">
        <v>2310</v>
      </c>
      <c r="C2611" s="555" t="str">
        <f>VLOOKUP(D2611,기본!$D$13:$E$74,2,0)</f>
        <v>삼성 VD</v>
      </c>
      <c r="D2611" t="s">
        <v>1916</v>
      </c>
      <c r="E2611" t="s">
        <v>1923</v>
      </c>
      <c r="F2611" t="s">
        <v>1924</v>
      </c>
      <c r="G2611" s="554">
        <v>41690</v>
      </c>
      <c r="H2611">
        <v>185.60291441999999</v>
      </c>
    </row>
    <row r="2612" spans="2:8">
      <c r="B2612" s="555" t="s">
        <v>2310</v>
      </c>
      <c r="C2612" s="555" t="str">
        <f>VLOOKUP(D2612,기본!$D$13:$E$74,2,0)</f>
        <v>삼성 VD</v>
      </c>
      <c r="D2612" t="s">
        <v>1916</v>
      </c>
      <c r="E2612" t="s">
        <v>709</v>
      </c>
      <c r="F2612" t="s">
        <v>1869</v>
      </c>
      <c r="G2612" s="554">
        <v>2332</v>
      </c>
      <c r="H2612">
        <v>8.0388329999999986</v>
      </c>
    </row>
    <row r="2613" spans="2:8">
      <c r="B2613" s="555" t="s">
        <v>2310</v>
      </c>
      <c r="C2613" s="555" t="str">
        <f>VLOOKUP(D2613,기본!$D$13:$E$74,2,0)</f>
        <v>삼성 VD</v>
      </c>
      <c r="D2613" t="s">
        <v>1927</v>
      </c>
      <c r="E2613" t="s">
        <v>2119</v>
      </c>
      <c r="F2613" t="s">
        <v>2120</v>
      </c>
      <c r="G2613" s="554">
        <v>13536</v>
      </c>
      <c r="H2613">
        <v>259.07163955199997</v>
      </c>
    </row>
    <row r="2614" spans="2:8">
      <c r="B2614" s="555" t="s">
        <v>2310</v>
      </c>
      <c r="C2614" s="555" t="str">
        <f>VLOOKUP(D2614,기본!$D$13:$E$74,2,0)</f>
        <v>삼성 VD</v>
      </c>
      <c r="D2614" t="s">
        <v>1927</v>
      </c>
      <c r="E2614" t="s">
        <v>2121</v>
      </c>
      <c r="F2614" t="s">
        <v>874</v>
      </c>
      <c r="G2614" s="554">
        <v>480</v>
      </c>
      <c r="H2614">
        <v>9.4099324800000002</v>
      </c>
    </row>
    <row r="2615" spans="2:8">
      <c r="B2615" s="555" t="s">
        <v>2310</v>
      </c>
      <c r="C2615" s="555" t="str">
        <f>VLOOKUP(D2615,기본!$D$13:$E$74,2,0)</f>
        <v>삼성 VD</v>
      </c>
      <c r="D2615" t="s">
        <v>1927</v>
      </c>
      <c r="E2615" t="s">
        <v>1165</v>
      </c>
      <c r="F2615" t="s">
        <v>1882</v>
      </c>
      <c r="G2615" s="554">
        <v>2556</v>
      </c>
      <c r="H2615">
        <v>74.782296144</v>
      </c>
    </row>
    <row r="2616" spans="2:8">
      <c r="B2616" s="555" t="s">
        <v>2310</v>
      </c>
      <c r="C2616" s="555" t="str">
        <f>VLOOKUP(D2616,기본!$D$13:$E$74,2,0)</f>
        <v>삼성 VD</v>
      </c>
      <c r="D2616" t="s">
        <v>1927</v>
      </c>
      <c r="E2616" t="s">
        <v>1164</v>
      </c>
      <c r="F2616" t="s">
        <v>1850</v>
      </c>
      <c r="G2616" s="554">
        <v>6084</v>
      </c>
      <c r="H2616">
        <v>163.39485743999998</v>
      </c>
    </row>
    <row r="2617" spans="2:8">
      <c r="B2617" s="555" t="s">
        <v>2310</v>
      </c>
      <c r="C2617" s="555" t="str">
        <f>VLOOKUP(D2617,기본!$D$13:$E$74,2,0)</f>
        <v>삼성 VD</v>
      </c>
      <c r="D2617" t="s">
        <v>1927</v>
      </c>
      <c r="E2617" t="s">
        <v>1851</v>
      </c>
      <c r="F2617" t="s">
        <v>1852</v>
      </c>
      <c r="G2617" s="554">
        <v>3648</v>
      </c>
      <c r="H2617">
        <v>26.691152639999999</v>
      </c>
    </row>
    <row r="2618" spans="2:8">
      <c r="B2618" s="555" t="s">
        <v>2310</v>
      </c>
      <c r="C2618" s="555" t="str">
        <f>VLOOKUP(D2618,기본!$D$13:$E$74,2,0)</f>
        <v>삼성 VD</v>
      </c>
      <c r="D2618" t="s">
        <v>1927</v>
      </c>
      <c r="E2618" t="s">
        <v>1917</v>
      </c>
      <c r="F2618" t="s">
        <v>1918</v>
      </c>
      <c r="G2618" s="554">
        <v>2880</v>
      </c>
      <c r="H2618">
        <v>25.1752608</v>
      </c>
    </row>
    <row r="2619" spans="2:8">
      <c r="B2619" s="555" t="s">
        <v>2310</v>
      </c>
      <c r="C2619" s="555" t="str">
        <f>VLOOKUP(D2619,기본!$D$13:$E$74,2,0)</f>
        <v>삼성 VD</v>
      </c>
      <c r="D2619" t="s">
        <v>1927</v>
      </c>
      <c r="E2619" t="s">
        <v>1853</v>
      </c>
      <c r="F2619" t="s">
        <v>1854</v>
      </c>
      <c r="G2619" s="554">
        <v>2063</v>
      </c>
      <c r="H2619">
        <v>28.328154855000001</v>
      </c>
    </row>
    <row r="2620" spans="2:8">
      <c r="B2620" s="555" t="s">
        <v>2310</v>
      </c>
      <c r="C2620" s="555" t="str">
        <f>VLOOKUP(D2620,기본!$D$13:$E$74,2,0)</f>
        <v>삼성 VD</v>
      </c>
      <c r="D2620" t="s">
        <v>1927</v>
      </c>
      <c r="E2620" t="s">
        <v>1855</v>
      </c>
      <c r="F2620" t="s">
        <v>1856</v>
      </c>
      <c r="G2620" s="554">
        <v>1278</v>
      </c>
      <c r="H2620">
        <v>18.119872512000001</v>
      </c>
    </row>
    <row r="2621" spans="2:8">
      <c r="B2621" s="555" t="s">
        <v>2310</v>
      </c>
      <c r="C2621" s="555" t="str">
        <f>VLOOKUP(D2621,기본!$D$13:$E$74,2,0)</f>
        <v>삼성 VD</v>
      </c>
      <c r="D2621" t="s">
        <v>1927</v>
      </c>
      <c r="E2621" t="s">
        <v>1874</v>
      </c>
      <c r="F2621" t="s">
        <v>1875</v>
      </c>
      <c r="G2621" s="554">
        <v>5043</v>
      </c>
      <c r="H2621">
        <v>76.258886681999996</v>
      </c>
    </row>
    <row r="2622" spans="2:8">
      <c r="B2622" s="555" t="s">
        <v>2310</v>
      </c>
      <c r="C2622" s="555" t="str">
        <f>VLOOKUP(D2622,기본!$D$13:$E$74,2,0)</f>
        <v>삼성 VD</v>
      </c>
      <c r="D2622" t="s">
        <v>1927</v>
      </c>
      <c r="E2622" t="s">
        <v>1928</v>
      </c>
      <c r="F2622" t="s">
        <v>1929</v>
      </c>
      <c r="G2622" s="554">
        <v>2010</v>
      </c>
      <c r="H2622">
        <v>19.865652840000003</v>
      </c>
    </row>
    <row r="2623" spans="2:8">
      <c r="B2623" s="555" t="s">
        <v>2310</v>
      </c>
      <c r="C2623" s="555" t="str">
        <f>VLOOKUP(D2623,기본!$D$13:$E$74,2,0)</f>
        <v>삼성 VD</v>
      </c>
      <c r="D2623" t="s">
        <v>1927</v>
      </c>
      <c r="E2623" t="s">
        <v>1036</v>
      </c>
      <c r="F2623" t="s">
        <v>1035</v>
      </c>
      <c r="G2623" s="554">
        <v>300</v>
      </c>
      <c r="H2623">
        <v>3.1434021000000003</v>
      </c>
    </row>
    <row r="2624" spans="2:8">
      <c r="B2624" s="555" t="s">
        <v>2310</v>
      </c>
      <c r="C2624" s="555" t="str">
        <f>VLOOKUP(D2624,기본!$D$13:$E$74,2,0)</f>
        <v>삼성 VD</v>
      </c>
      <c r="D2624" t="s">
        <v>1927</v>
      </c>
      <c r="E2624" t="s">
        <v>1002</v>
      </c>
      <c r="F2624" t="s">
        <v>1001</v>
      </c>
      <c r="G2624" s="554">
        <v>176</v>
      </c>
      <c r="H2624">
        <v>1.6333748640000001</v>
      </c>
    </row>
    <row r="2625" spans="2:8">
      <c r="B2625" s="555" t="s">
        <v>2310</v>
      </c>
      <c r="C2625" s="555" t="str">
        <f>VLOOKUP(D2625,기본!$D$13:$E$74,2,0)</f>
        <v>삼성 VD</v>
      </c>
      <c r="D2625" t="s">
        <v>1927</v>
      </c>
      <c r="E2625" t="s">
        <v>1859</v>
      </c>
      <c r="F2625" t="s">
        <v>1860</v>
      </c>
      <c r="G2625" s="554">
        <v>2592</v>
      </c>
      <c r="H2625">
        <v>44.767914048000002</v>
      </c>
    </row>
    <row r="2626" spans="2:8">
      <c r="B2626" s="555" t="s">
        <v>2310</v>
      </c>
      <c r="C2626" s="555" t="str">
        <f>VLOOKUP(D2626,기본!$D$13:$E$74,2,0)</f>
        <v>삼성 VD</v>
      </c>
      <c r="D2626" t="s">
        <v>1927</v>
      </c>
      <c r="E2626" t="s">
        <v>1930</v>
      </c>
      <c r="F2626" t="s">
        <v>1931</v>
      </c>
      <c r="G2626" s="554">
        <v>15236</v>
      </c>
      <c r="H2626">
        <v>99.057627760000003</v>
      </c>
    </row>
    <row r="2627" spans="2:8">
      <c r="B2627" s="555" t="s">
        <v>2310</v>
      </c>
      <c r="C2627" s="555" t="str">
        <f>VLOOKUP(D2627,기본!$D$13:$E$74,2,0)</f>
        <v>삼성 VD</v>
      </c>
      <c r="D2627" t="s">
        <v>1927</v>
      </c>
      <c r="E2627" t="s">
        <v>1309</v>
      </c>
      <c r="F2627" t="s">
        <v>1308</v>
      </c>
      <c r="G2627" s="554">
        <v>864</v>
      </c>
      <c r="H2627">
        <v>19.26033984</v>
      </c>
    </row>
    <row r="2628" spans="2:8">
      <c r="B2628" s="555" t="s">
        <v>2310</v>
      </c>
      <c r="C2628" s="555" t="str">
        <f>VLOOKUP(D2628,기본!$D$13:$E$74,2,0)</f>
        <v>삼성 VD</v>
      </c>
      <c r="D2628" t="s">
        <v>1927</v>
      </c>
      <c r="E2628" t="s">
        <v>1311</v>
      </c>
      <c r="F2628" t="s">
        <v>1310</v>
      </c>
      <c r="G2628" s="554">
        <v>864</v>
      </c>
      <c r="H2628">
        <v>19.880798112000001</v>
      </c>
    </row>
    <row r="2629" spans="2:8">
      <c r="B2629" s="555" t="s">
        <v>2310</v>
      </c>
      <c r="C2629" s="555" t="str">
        <f>VLOOKUP(D2629,기본!$D$13:$E$74,2,0)</f>
        <v>삼성 VD</v>
      </c>
      <c r="D2629" t="s">
        <v>1927</v>
      </c>
      <c r="E2629" t="s">
        <v>1865</v>
      </c>
      <c r="F2629" t="s">
        <v>1866</v>
      </c>
      <c r="G2629" s="554">
        <v>10848</v>
      </c>
      <c r="H2629">
        <v>421.38707519999997</v>
      </c>
    </row>
    <row r="2630" spans="2:8">
      <c r="B2630" s="555" t="s">
        <v>2310</v>
      </c>
      <c r="C2630" s="555" t="str">
        <f>VLOOKUP(D2630,기본!$D$13:$E$74,2,0)</f>
        <v>삼성 VD</v>
      </c>
      <c r="D2630" t="s">
        <v>1927</v>
      </c>
      <c r="E2630" t="s">
        <v>1932</v>
      </c>
      <c r="F2630" t="s">
        <v>1933</v>
      </c>
      <c r="G2630" s="554">
        <v>8100</v>
      </c>
      <c r="H2630">
        <v>130.99094928</v>
      </c>
    </row>
    <row r="2631" spans="2:8">
      <c r="B2631" s="555" t="s">
        <v>2310</v>
      </c>
      <c r="C2631" s="555" t="str">
        <f>VLOOKUP(D2631,기본!$D$13:$E$74,2,0)</f>
        <v>삼성 VD</v>
      </c>
      <c r="D2631" t="s">
        <v>1927</v>
      </c>
      <c r="E2631" t="s">
        <v>2272</v>
      </c>
      <c r="F2631" t="s">
        <v>1785</v>
      </c>
      <c r="G2631" s="554">
        <v>27111</v>
      </c>
      <c r="H2631">
        <v>287.38970286300002</v>
      </c>
    </row>
    <row r="2632" spans="2:8">
      <c r="B2632" s="555" t="s">
        <v>2310</v>
      </c>
      <c r="C2632" s="555" t="str">
        <f>VLOOKUP(D2632,기본!$D$13:$E$74,2,0)</f>
        <v>삼성 VD</v>
      </c>
      <c r="D2632" t="s">
        <v>1927</v>
      </c>
      <c r="E2632" t="s">
        <v>1936</v>
      </c>
      <c r="F2632" t="s">
        <v>1937</v>
      </c>
      <c r="G2632" s="554">
        <v>895</v>
      </c>
      <c r="H2632">
        <v>4.9761366600000008</v>
      </c>
    </row>
    <row r="2633" spans="2:8">
      <c r="B2633" s="555" t="s">
        <v>2310</v>
      </c>
      <c r="C2633" s="555" t="str">
        <f>VLOOKUP(D2633,기본!$D$13:$E$74,2,0)</f>
        <v>삼성 VD</v>
      </c>
      <c r="D2633" t="s">
        <v>1927</v>
      </c>
      <c r="E2633" t="s">
        <v>1923</v>
      </c>
      <c r="F2633" t="s">
        <v>1924</v>
      </c>
      <c r="G2633" s="554">
        <v>4954</v>
      </c>
      <c r="H2633">
        <v>22.447772820000001</v>
      </c>
    </row>
    <row r="2634" spans="2:8">
      <c r="B2634" s="555" t="s">
        <v>2310</v>
      </c>
      <c r="C2634" s="555" t="str">
        <f>VLOOKUP(D2634,기본!$D$13:$E$74,2,0)</f>
        <v>삼성 VD</v>
      </c>
      <c r="D2634" t="s">
        <v>1927</v>
      </c>
      <c r="E2634" t="s">
        <v>1938</v>
      </c>
      <c r="F2634" t="s">
        <v>1939</v>
      </c>
      <c r="G2634" s="554">
        <v>23782</v>
      </c>
      <c r="H2634">
        <v>130.84952595000001</v>
      </c>
    </row>
    <row r="2635" spans="2:8">
      <c r="B2635" s="555" t="s">
        <v>2310</v>
      </c>
      <c r="C2635" s="555" t="str">
        <f>VLOOKUP(D2635,기본!$D$13:$E$74,2,0)</f>
        <v>삼성 VD</v>
      </c>
      <c r="D2635" t="s">
        <v>1927</v>
      </c>
      <c r="E2635" t="s">
        <v>1940</v>
      </c>
      <c r="F2635" t="s">
        <v>1941</v>
      </c>
      <c r="G2635" s="554">
        <v>351</v>
      </c>
      <c r="H2635">
        <v>4.5397357200000004</v>
      </c>
    </row>
    <row r="2636" spans="2:8">
      <c r="B2636" s="555" t="s">
        <v>2310</v>
      </c>
      <c r="C2636" s="555" t="str">
        <f>VLOOKUP(D2636,기본!$D$13:$E$74,2,0)</f>
        <v>삼성 VD</v>
      </c>
      <c r="D2636" t="s">
        <v>1927</v>
      </c>
      <c r="E2636" t="s">
        <v>1925</v>
      </c>
      <c r="F2636" t="s">
        <v>1926</v>
      </c>
      <c r="G2636" s="554">
        <v>2772</v>
      </c>
      <c r="H2636">
        <v>22.548423240000005</v>
      </c>
    </row>
    <row r="2637" spans="2:8">
      <c r="B2637" s="555" t="s">
        <v>2310</v>
      </c>
      <c r="C2637" s="555" t="str">
        <f>VLOOKUP(D2637,기본!$D$13:$E$74,2,0)</f>
        <v>삼성 VD</v>
      </c>
      <c r="D2637" t="s">
        <v>1927</v>
      </c>
      <c r="E2637" t="s">
        <v>709</v>
      </c>
      <c r="F2637" t="s">
        <v>1869</v>
      </c>
      <c r="G2637" s="554">
        <v>13200</v>
      </c>
      <c r="H2637">
        <v>43.951644000000002</v>
      </c>
    </row>
    <row r="2638" spans="2:8">
      <c r="B2638" s="555" t="s">
        <v>2310</v>
      </c>
      <c r="C2638" s="555" t="str">
        <f>VLOOKUP(D2638,기본!$D$13:$E$74,2,0)</f>
        <v>삼성 VD</v>
      </c>
      <c r="D2638" t="s">
        <v>1927</v>
      </c>
      <c r="E2638" t="s">
        <v>710</v>
      </c>
      <c r="F2638" t="s">
        <v>1947</v>
      </c>
      <c r="G2638" s="554">
        <v>308</v>
      </c>
      <c r="H2638">
        <v>1.3954857839999999</v>
      </c>
    </row>
    <row r="2639" spans="2:8">
      <c r="B2639" s="555" t="s">
        <v>2310</v>
      </c>
      <c r="C2639" s="555" t="str">
        <f>VLOOKUP(D2639,기본!$D$13:$E$74,2,0)</f>
        <v>삼성 VD</v>
      </c>
      <c r="D2639" t="s">
        <v>1927</v>
      </c>
      <c r="E2639" t="s">
        <v>1156</v>
      </c>
      <c r="F2639" t="s">
        <v>1870</v>
      </c>
      <c r="G2639" s="554">
        <v>13244</v>
      </c>
      <c r="H2639">
        <v>59.884809600000004</v>
      </c>
    </row>
    <row r="2640" spans="2:8">
      <c r="B2640" s="555" t="s">
        <v>2310</v>
      </c>
      <c r="C2640" s="555" t="str">
        <f>VLOOKUP(D2640,기본!$D$13:$E$74,2,0)</f>
        <v>삼성 VD</v>
      </c>
      <c r="D2640" t="s">
        <v>1927</v>
      </c>
      <c r="E2640" t="s">
        <v>1157</v>
      </c>
      <c r="F2640" t="s">
        <v>1887</v>
      </c>
      <c r="G2640" s="554">
        <v>1305</v>
      </c>
      <c r="H2640">
        <v>6.1775683200000007</v>
      </c>
    </row>
    <row r="2641" spans="2:8">
      <c r="B2641" s="555" t="s">
        <v>2310</v>
      </c>
      <c r="C2641" s="555" t="str">
        <f>VLOOKUP(D2641,기본!$D$13:$E$74,2,0)</f>
        <v>삼성 VD</v>
      </c>
      <c r="D2641" t="s">
        <v>1927</v>
      </c>
      <c r="E2641" t="s">
        <v>2235</v>
      </c>
      <c r="F2641" t="s">
        <v>2236</v>
      </c>
      <c r="G2641" s="554">
        <v>1246</v>
      </c>
      <c r="H2641">
        <v>5.5969202640000004</v>
      </c>
    </row>
    <row r="2642" spans="2:8">
      <c r="B2642" s="555" t="s">
        <v>2310</v>
      </c>
      <c r="C2642" s="555" t="str">
        <f>VLOOKUP(D2642,기본!$D$13:$E$74,2,0)</f>
        <v>삼성 VD</v>
      </c>
      <c r="D2642" t="s">
        <v>1927</v>
      </c>
      <c r="E2642" t="s">
        <v>2267</v>
      </c>
      <c r="F2642" t="s">
        <v>2267</v>
      </c>
      <c r="G2642" s="554">
        <v>85</v>
      </c>
      <c r="H2642">
        <v>0.48951202499999996</v>
      </c>
    </row>
    <row r="2643" spans="2:8">
      <c r="B2643" s="555" t="s">
        <v>2310</v>
      </c>
      <c r="C2643" s="555" t="str">
        <f>VLOOKUP(D2643,기본!$D$13:$E$74,2,0)</f>
        <v>삼성 생활가전</v>
      </c>
      <c r="D2643" t="s">
        <v>1942</v>
      </c>
      <c r="E2643" t="s">
        <v>1943</v>
      </c>
      <c r="F2643" t="s">
        <v>1943</v>
      </c>
      <c r="G2643" s="554">
        <v>35424</v>
      </c>
      <c r="H2643">
        <v>262.48279536000001</v>
      </c>
    </row>
    <row r="2644" spans="2:8">
      <c r="B2644" s="555" t="s">
        <v>2310</v>
      </c>
      <c r="C2644" s="555" t="str">
        <f>VLOOKUP(D2644,기본!$D$13:$E$74,2,0)</f>
        <v>삼성 생활가전</v>
      </c>
      <c r="D2644" t="s">
        <v>1942</v>
      </c>
      <c r="E2644" t="s">
        <v>2273</v>
      </c>
      <c r="F2644" t="s">
        <v>2273</v>
      </c>
      <c r="G2644" s="554">
        <v>2160</v>
      </c>
      <c r="H2644">
        <v>16.4571264</v>
      </c>
    </row>
    <row r="2645" spans="2:8">
      <c r="B2645" s="555" t="s">
        <v>2310</v>
      </c>
      <c r="C2645" s="555" t="str">
        <f>VLOOKUP(D2645,기본!$D$13:$E$74,2,0)</f>
        <v>삼성 생활가전</v>
      </c>
      <c r="D2645" t="s">
        <v>1942</v>
      </c>
      <c r="E2645" t="s">
        <v>1944</v>
      </c>
      <c r="F2645" t="s">
        <v>1944</v>
      </c>
      <c r="G2645" s="554">
        <v>480</v>
      </c>
      <c r="H2645">
        <v>3.60390912</v>
      </c>
    </row>
    <row r="2646" spans="2:8">
      <c r="B2646" s="555" t="s">
        <v>2310</v>
      </c>
      <c r="C2646" s="555" t="str">
        <f>VLOOKUP(D2646,기본!$D$13:$E$74,2,0)</f>
        <v>삼성 생활가전</v>
      </c>
      <c r="D2646" t="s">
        <v>1942</v>
      </c>
      <c r="E2646" t="s">
        <v>2237</v>
      </c>
      <c r="F2646" t="s">
        <v>2237</v>
      </c>
      <c r="G2646" s="554">
        <v>192</v>
      </c>
      <c r="H2646">
        <v>1.4441932800000001</v>
      </c>
    </row>
    <row r="2647" spans="2:8">
      <c r="B2647" s="555" t="s">
        <v>2310</v>
      </c>
      <c r="C2647" s="555" t="str">
        <f>VLOOKUP(D2647,기본!$D$13:$E$74,2,0)</f>
        <v>삼성 생활가전</v>
      </c>
      <c r="D2647" t="s">
        <v>1942</v>
      </c>
      <c r="E2647" t="s">
        <v>2274</v>
      </c>
      <c r="F2647" t="s">
        <v>2274</v>
      </c>
      <c r="G2647" s="554">
        <v>5184</v>
      </c>
      <c r="H2647">
        <v>39.950962560000001</v>
      </c>
    </row>
    <row r="2648" spans="2:8">
      <c r="B2648" s="555" t="s">
        <v>2310</v>
      </c>
      <c r="C2648" s="555" t="str">
        <f>VLOOKUP(D2648,기본!$D$13:$E$74,2,0)</f>
        <v>삼성 생활가전</v>
      </c>
      <c r="D2648" t="s">
        <v>1942</v>
      </c>
      <c r="E2648" t="s">
        <v>1945</v>
      </c>
      <c r="F2648" t="s">
        <v>1945</v>
      </c>
      <c r="G2648" s="554">
        <v>6912</v>
      </c>
      <c r="H2648">
        <v>56.406067199999995</v>
      </c>
    </row>
    <row r="2649" spans="2:8">
      <c r="B2649" s="555" t="s">
        <v>2310</v>
      </c>
      <c r="C2649" s="555" t="str">
        <f>VLOOKUP(D2649,기본!$D$13:$E$74,2,0)</f>
        <v>삼성 생활가전</v>
      </c>
      <c r="D2649" t="s">
        <v>1942</v>
      </c>
      <c r="E2649" t="s">
        <v>1314</v>
      </c>
      <c r="F2649" t="s">
        <v>1314</v>
      </c>
      <c r="G2649" s="554">
        <v>540</v>
      </c>
      <c r="H2649">
        <v>4.5212094</v>
      </c>
    </row>
    <row r="2650" spans="2:8">
      <c r="B2650" s="555" t="s">
        <v>2310</v>
      </c>
      <c r="C2650" s="555" t="str">
        <f>VLOOKUP(D2650,기본!$D$13:$E$74,2,0)</f>
        <v>삼성 생활가전</v>
      </c>
      <c r="D2650" t="s">
        <v>1942</v>
      </c>
      <c r="E2650" t="s">
        <v>2264</v>
      </c>
      <c r="F2650" t="s">
        <v>2264</v>
      </c>
      <c r="G2650" s="554">
        <v>384</v>
      </c>
      <c r="H2650">
        <v>3.1418309999999998</v>
      </c>
    </row>
    <row r="2651" spans="2:8">
      <c r="B2651" s="555" t="s">
        <v>2310</v>
      </c>
      <c r="C2651" s="555" t="str">
        <f>VLOOKUP(D2651,기본!$D$13:$E$74,2,0)</f>
        <v>삼성 생활가전</v>
      </c>
      <c r="D2651" t="s">
        <v>1942</v>
      </c>
      <c r="E2651" t="s">
        <v>1975</v>
      </c>
      <c r="F2651" t="s">
        <v>1975</v>
      </c>
      <c r="G2651" s="554">
        <v>2016</v>
      </c>
      <c r="H2651">
        <v>17.128589183999999</v>
      </c>
    </row>
    <row r="2652" spans="2:8">
      <c r="B2652" s="555" t="s">
        <v>2310</v>
      </c>
      <c r="C2652" s="555" t="str">
        <f>VLOOKUP(D2652,기본!$D$13:$E$74,2,0)</f>
        <v>삼성 VD</v>
      </c>
      <c r="D2652" t="s">
        <v>1946</v>
      </c>
      <c r="E2652" t="s">
        <v>1165</v>
      </c>
      <c r="F2652" t="s">
        <v>1882</v>
      </c>
      <c r="G2652" s="554">
        <v>6</v>
      </c>
      <c r="H2652">
        <v>0.18019184400000002</v>
      </c>
    </row>
    <row r="2653" spans="2:8">
      <c r="B2653" s="555" t="s">
        <v>2310</v>
      </c>
      <c r="C2653" s="555" t="str">
        <f>VLOOKUP(D2653,기본!$D$13:$E$74,2,0)</f>
        <v>삼성 VD</v>
      </c>
      <c r="D2653" t="s">
        <v>1946</v>
      </c>
      <c r="E2653" t="s">
        <v>1778</v>
      </c>
      <c r="F2653" t="s">
        <v>1919</v>
      </c>
      <c r="G2653" s="554">
        <v>2124</v>
      </c>
      <c r="H2653">
        <v>27.437933951999998</v>
      </c>
    </row>
    <row r="2654" spans="2:8">
      <c r="B2654" s="555" t="s">
        <v>2310</v>
      </c>
      <c r="C2654" s="555" t="str">
        <f>VLOOKUP(D2654,기본!$D$13:$E$74,2,0)</f>
        <v>삼성 VD</v>
      </c>
      <c r="D2654" t="s">
        <v>1946</v>
      </c>
      <c r="E2654" t="s">
        <v>1779</v>
      </c>
      <c r="F2654" t="s">
        <v>1920</v>
      </c>
      <c r="G2654" s="554">
        <v>3960</v>
      </c>
      <c r="H2654">
        <v>56.814805080000006</v>
      </c>
    </row>
    <row r="2655" spans="2:8">
      <c r="B2655" s="555" t="s">
        <v>2310</v>
      </c>
      <c r="C2655" s="555" t="str">
        <f>VLOOKUP(D2655,기본!$D$13:$E$74,2,0)</f>
        <v>삼성 VD</v>
      </c>
      <c r="D2655" t="s">
        <v>1946</v>
      </c>
      <c r="E2655" t="s">
        <v>1792</v>
      </c>
      <c r="F2655" t="s">
        <v>1915</v>
      </c>
      <c r="G2655" s="554">
        <v>1728</v>
      </c>
      <c r="H2655">
        <v>30.960099071999998</v>
      </c>
    </row>
    <row r="2656" spans="2:8">
      <c r="B2656" s="555" t="s">
        <v>2310</v>
      </c>
      <c r="C2656" s="555" t="str">
        <f>VLOOKUP(D2656,기본!$D$13:$E$74,2,0)</f>
        <v>삼성 VD</v>
      </c>
      <c r="D2656" t="s">
        <v>1946</v>
      </c>
      <c r="E2656" t="s">
        <v>1921</v>
      </c>
      <c r="F2656" t="s">
        <v>1922</v>
      </c>
      <c r="G2656" s="554">
        <v>234</v>
      </c>
      <c r="H2656">
        <v>5.5111197959999991</v>
      </c>
    </row>
    <row r="2657" spans="2:8">
      <c r="B2657" s="555" t="s">
        <v>2310</v>
      </c>
      <c r="C2657" s="555" t="str">
        <f>VLOOKUP(D2657,기본!$D$13:$E$74,2,0)</f>
        <v>삼성 VD</v>
      </c>
      <c r="D2657" t="s">
        <v>1946</v>
      </c>
      <c r="E2657" t="s">
        <v>710</v>
      </c>
      <c r="F2657" t="s">
        <v>1947</v>
      </c>
      <c r="G2657" s="554">
        <v>1672</v>
      </c>
      <c r="H2657">
        <v>7.6589373959999998</v>
      </c>
    </row>
    <row r="2658" spans="2:8">
      <c r="B2658" s="555" t="s">
        <v>2310</v>
      </c>
      <c r="C2658" s="555" t="str">
        <f>VLOOKUP(D2658,기본!$D$13:$E$74,2,0)</f>
        <v>삼성 생활가전</v>
      </c>
      <c r="D2658" t="s">
        <v>1948</v>
      </c>
      <c r="E2658" t="s">
        <v>1949</v>
      </c>
      <c r="F2658" t="s">
        <v>1949</v>
      </c>
      <c r="G2658" s="554">
        <v>5280</v>
      </c>
      <c r="H2658">
        <v>56.039765759999995</v>
      </c>
    </row>
    <row r="2659" spans="2:8">
      <c r="B2659" s="555" t="s">
        <v>2310</v>
      </c>
      <c r="C2659" s="555" t="str">
        <f>VLOOKUP(D2659,기본!$D$13:$E$74,2,0)</f>
        <v>AV JDM</v>
      </c>
      <c r="D2659" t="s">
        <v>1950</v>
      </c>
      <c r="E2659" t="s">
        <v>436</v>
      </c>
      <c r="F2659" t="s">
        <v>2168</v>
      </c>
      <c r="G2659" s="554">
        <v>20160</v>
      </c>
      <c r="H2659">
        <v>176.13441215999995</v>
      </c>
    </row>
    <row r="2660" spans="2:8">
      <c r="B2660" s="555" t="s">
        <v>2310</v>
      </c>
      <c r="C2660" s="555" t="str">
        <f>VLOOKUP(D2660,기본!$D$13:$E$74,2,0)</f>
        <v>MNT JDM</v>
      </c>
      <c r="D2660" t="s">
        <v>1951</v>
      </c>
      <c r="E2660" t="s">
        <v>709</v>
      </c>
      <c r="F2660" t="s">
        <v>2124</v>
      </c>
      <c r="G2660" s="554">
        <v>35904</v>
      </c>
      <c r="H2660">
        <v>170.54029048320001</v>
      </c>
    </row>
    <row r="2661" spans="2:8">
      <c r="B2661" s="555" t="s">
        <v>2310</v>
      </c>
      <c r="C2661" s="555" t="str">
        <f>VLOOKUP(D2661,기본!$D$13:$E$74,2,0)</f>
        <v>MNT JDM</v>
      </c>
      <c r="D2661" t="s">
        <v>1951</v>
      </c>
      <c r="E2661" t="s">
        <v>710</v>
      </c>
      <c r="F2661" t="s">
        <v>2169</v>
      </c>
      <c r="G2661" s="554">
        <v>9504</v>
      </c>
      <c r="H2661">
        <v>52.884909792000002</v>
      </c>
    </row>
    <row r="2662" spans="2:8">
      <c r="B2662" s="555" t="s">
        <v>2310</v>
      </c>
      <c r="C2662" s="555" t="str">
        <f>VLOOKUP(D2662,기본!$D$13:$E$74,2,0)</f>
        <v>HP</v>
      </c>
      <c r="D2662" t="s">
        <v>1952</v>
      </c>
      <c r="E2662" t="s">
        <v>1296</v>
      </c>
      <c r="F2662" t="s">
        <v>1292</v>
      </c>
      <c r="G2662" s="554">
        <v>768</v>
      </c>
      <c r="H2662">
        <v>21.097987584000002</v>
      </c>
    </row>
    <row r="2663" spans="2:8">
      <c r="B2663" s="555" t="s">
        <v>2310</v>
      </c>
      <c r="C2663" s="555" t="str">
        <f>VLOOKUP(D2663,기본!$D$13:$E$74,2,0)</f>
        <v>HP</v>
      </c>
      <c r="D2663" t="s">
        <v>1952</v>
      </c>
      <c r="E2663" t="s">
        <v>1297</v>
      </c>
      <c r="F2663" t="s">
        <v>1293</v>
      </c>
      <c r="G2663" s="554">
        <v>864</v>
      </c>
      <c r="H2663">
        <v>29.185264511999996</v>
      </c>
    </row>
    <row r="2664" spans="2:8">
      <c r="B2664" s="555" t="s">
        <v>2310</v>
      </c>
      <c r="C2664" s="555" t="str">
        <f>VLOOKUP(D2664,기본!$D$13:$E$74,2,0)</f>
        <v>HP</v>
      </c>
      <c r="D2664" t="s">
        <v>1952</v>
      </c>
      <c r="E2664" t="s">
        <v>1298</v>
      </c>
      <c r="F2664" t="s">
        <v>1294</v>
      </c>
      <c r="G2664" s="554">
        <v>3456</v>
      </c>
      <c r="H2664">
        <v>103.49849856</v>
      </c>
    </row>
    <row r="2665" spans="2:8">
      <c r="B2665" s="555" t="s">
        <v>2310</v>
      </c>
      <c r="C2665" s="555" t="str">
        <f>VLOOKUP(D2665,기본!$D$13:$E$74,2,0)</f>
        <v>HP</v>
      </c>
      <c r="D2665" t="s">
        <v>1952</v>
      </c>
      <c r="E2665" t="s">
        <v>1954</v>
      </c>
      <c r="F2665" t="s">
        <v>1955</v>
      </c>
      <c r="G2665" s="554">
        <v>1520</v>
      </c>
      <c r="H2665">
        <v>19.548053279999998</v>
      </c>
    </row>
    <row r="2666" spans="2:8">
      <c r="B2666" s="555" t="s">
        <v>2310</v>
      </c>
      <c r="C2666" s="555" t="str">
        <f>VLOOKUP(D2666,기본!$D$13:$E$74,2,0)</f>
        <v>HP</v>
      </c>
      <c r="D2666" t="s">
        <v>1952</v>
      </c>
      <c r="E2666" t="s">
        <v>2125</v>
      </c>
      <c r="F2666" t="s">
        <v>192</v>
      </c>
      <c r="G2666" s="554">
        <v>1080</v>
      </c>
      <c r="H2666">
        <v>5.32673928</v>
      </c>
    </row>
    <row r="2667" spans="2:8">
      <c r="B2667" s="555" t="s">
        <v>2310</v>
      </c>
      <c r="C2667" s="555" t="str">
        <f>VLOOKUP(D2667,기본!$D$13:$E$74,2,0)</f>
        <v>HP</v>
      </c>
      <c r="D2667" t="s">
        <v>1952</v>
      </c>
      <c r="E2667" t="s">
        <v>1960</v>
      </c>
      <c r="F2667" t="s">
        <v>671</v>
      </c>
      <c r="G2667" s="554">
        <v>2160</v>
      </c>
      <c r="H2667">
        <v>17.765518319999998</v>
      </c>
    </row>
    <row r="2668" spans="2:8">
      <c r="B2668" s="555" t="s">
        <v>2310</v>
      </c>
      <c r="C2668" s="555" t="str">
        <f>VLOOKUP(D2668,기본!$D$13:$E$74,2,0)</f>
        <v>HP</v>
      </c>
      <c r="D2668" t="s">
        <v>1952</v>
      </c>
      <c r="E2668" t="s">
        <v>1961</v>
      </c>
      <c r="F2668" t="s">
        <v>1962</v>
      </c>
      <c r="G2668" s="554">
        <v>2592</v>
      </c>
      <c r="H2668">
        <v>92.503411487999983</v>
      </c>
    </row>
    <row r="2669" spans="2:8">
      <c r="B2669" s="555" t="s">
        <v>2310</v>
      </c>
      <c r="C2669" s="555" t="str">
        <f>VLOOKUP(D2669,기본!$D$13:$E$74,2,0)</f>
        <v>HP</v>
      </c>
      <c r="D2669" t="s">
        <v>1952</v>
      </c>
      <c r="E2669" t="s">
        <v>2126</v>
      </c>
      <c r="F2669" t="s">
        <v>2127</v>
      </c>
      <c r="G2669" s="554">
        <v>90</v>
      </c>
      <c r="H2669">
        <v>0.81622169999999994</v>
      </c>
    </row>
    <row r="2670" spans="2:8">
      <c r="B2670" s="555" t="s">
        <v>2310</v>
      </c>
      <c r="C2670" s="555" t="str">
        <f>VLOOKUP(D2670,기본!$D$13:$E$74,2,0)</f>
        <v>HP</v>
      </c>
      <c r="D2670" t="s">
        <v>1952</v>
      </c>
      <c r="E2670" t="s">
        <v>1963</v>
      </c>
      <c r="F2670" t="s">
        <v>1964</v>
      </c>
      <c r="G2670" s="554">
        <v>4500</v>
      </c>
      <c r="H2670">
        <v>37.657791899999999</v>
      </c>
    </row>
    <row r="2671" spans="2:8">
      <c r="B2671" s="555" t="s">
        <v>2310</v>
      </c>
      <c r="C2671" s="555" t="str">
        <f>VLOOKUP(D2671,기본!$D$13:$E$74,2,0)</f>
        <v>HP</v>
      </c>
      <c r="D2671" t="s">
        <v>1952</v>
      </c>
      <c r="E2671" t="s">
        <v>2170</v>
      </c>
      <c r="F2671" t="s">
        <v>2171</v>
      </c>
      <c r="G2671" s="554">
        <v>1600</v>
      </c>
      <c r="H2671">
        <v>28.550413359999997</v>
      </c>
    </row>
    <row r="2672" spans="2:8">
      <c r="B2672" s="555" t="s">
        <v>2310</v>
      </c>
      <c r="C2672" s="555" t="str">
        <f>VLOOKUP(D2672,기본!$D$13:$E$74,2,0)</f>
        <v>HP</v>
      </c>
      <c r="D2672" t="s">
        <v>1952</v>
      </c>
      <c r="E2672" t="s">
        <v>1965</v>
      </c>
      <c r="F2672" t="s">
        <v>1966</v>
      </c>
      <c r="G2672" s="554">
        <v>960</v>
      </c>
      <c r="H2672">
        <v>15.3595288</v>
      </c>
    </row>
    <row r="2673" spans="2:8">
      <c r="B2673" s="555" t="s">
        <v>2310</v>
      </c>
      <c r="C2673" s="555" t="str">
        <f>VLOOKUP(D2673,기본!$D$13:$E$74,2,0)</f>
        <v>HP</v>
      </c>
      <c r="D2673" t="s">
        <v>1952</v>
      </c>
      <c r="E2673" t="s">
        <v>2128</v>
      </c>
      <c r="F2673" t="s">
        <v>2129</v>
      </c>
      <c r="G2673" s="554">
        <v>2304</v>
      </c>
      <c r="H2673">
        <v>27.761594688000002</v>
      </c>
    </row>
    <row r="2674" spans="2:8">
      <c r="B2674" s="555" t="s">
        <v>2310</v>
      </c>
      <c r="C2674" s="555" t="str">
        <f>VLOOKUP(D2674,기본!$D$13:$E$74,2,0)</f>
        <v>HP</v>
      </c>
      <c r="D2674" t="s">
        <v>1952</v>
      </c>
      <c r="E2674" t="s">
        <v>2172</v>
      </c>
      <c r="F2674" t="s">
        <v>2173</v>
      </c>
      <c r="G2674" s="554">
        <v>576</v>
      </c>
      <c r="H2674">
        <v>21.453546239999998</v>
      </c>
    </row>
    <row r="2675" spans="2:8">
      <c r="B2675" s="555" t="s">
        <v>2310</v>
      </c>
      <c r="C2675" s="555" t="str">
        <f>VLOOKUP(D2675,기본!$D$13:$E$74,2,0)</f>
        <v>HP</v>
      </c>
      <c r="D2675" t="s">
        <v>1952</v>
      </c>
      <c r="E2675" t="s">
        <v>1969</v>
      </c>
      <c r="F2675" t="s">
        <v>1970</v>
      </c>
      <c r="G2675" s="554">
        <v>900</v>
      </c>
      <c r="H2675">
        <v>11.029796279999998</v>
      </c>
    </row>
    <row r="2676" spans="2:8">
      <c r="B2676" s="555" t="s">
        <v>2310</v>
      </c>
      <c r="C2676" s="555" t="str">
        <f>VLOOKUP(D2676,기본!$D$13:$E$74,2,0)</f>
        <v>HP</v>
      </c>
      <c r="D2676" t="s">
        <v>1952</v>
      </c>
      <c r="E2676" t="s">
        <v>2130</v>
      </c>
      <c r="F2676" t="s">
        <v>2131</v>
      </c>
      <c r="G2676" s="554">
        <v>360</v>
      </c>
      <c r="H2676">
        <v>2.6782488000000004</v>
      </c>
    </row>
    <row r="2677" spans="2:8">
      <c r="B2677" s="555" t="s">
        <v>2310</v>
      </c>
      <c r="C2677" s="555" t="str">
        <f>VLOOKUP(D2677,기본!$D$13:$E$74,2,0)</f>
        <v>HP</v>
      </c>
      <c r="D2677" t="s">
        <v>1952</v>
      </c>
      <c r="E2677" t="s">
        <v>2297</v>
      </c>
      <c r="F2677" t="s">
        <v>2298</v>
      </c>
      <c r="G2677" s="554">
        <v>300</v>
      </c>
      <c r="H2677">
        <v>3.7508813999999999</v>
      </c>
    </row>
    <row r="2678" spans="2:8">
      <c r="B2678" s="555" t="s">
        <v>2310</v>
      </c>
      <c r="C2678" s="555" t="str">
        <f>VLOOKUP(D2678,기본!$D$13:$E$74,2,0)</f>
        <v>AV JDM</v>
      </c>
      <c r="D2678" t="s">
        <v>1971</v>
      </c>
      <c r="E2678" t="s">
        <v>688</v>
      </c>
      <c r="F2678" t="s">
        <v>1521</v>
      </c>
      <c r="G2678" s="554">
        <v>6160</v>
      </c>
      <c r="H2678">
        <v>65.503764479999987</v>
      </c>
    </row>
    <row r="2679" spans="2:8">
      <c r="B2679" s="555" t="s">
        <v>2310</v>
      </c>
      <c r="C2679" s="555" t="str">
        <f>VLOOKUP(D2679,기본!$D$13:$E$74,2,0)</f>
        <v>AV JDM</v>
      </c>
      <c r="D2679" t="s">
        <v>1971</v>
      </c>
      <c r="E2679" t="s">
        <v>1889</v>
      </c>
      <c r="F2679" t="s">
        <v>1520</v>
      </c>
      <c r="G2679" s="554">
        <v>5040</v>
      </c>
      <c r="H2679">
        <v>45.359496</v>
      </c>
    </row>
    <row r="2680" spans="2:8">
      <c r="B2680" s="555" t="s">
        <v>2310</v>
      </c>
      <c r="C2680" s="555" t="str">
        <f>VLOOKUP(D2680,기본!$D$13:$E$74,2,0)</f>
        <v>경동나비엔</v>
      </c>
      <c r="D2680" t="s">
        <v>1972</v>
      </c>
      <c r="E2680" t="s">
        <v>2299</v>
      </c>
      <c r="F2680" t="s">
        <v>2299</v>
      </c>
      <c r="G2680" s="554">
        <v>1080</v>
      </c>
      <c r="H2680">
        <v>32.832000000000001</v>
      </c>
    </row>
    <row r="2681" spans="2:8">
      <c r="B2681" s="555" t="s">
        <v>2310</v>
      </c>
      <c r="C2681" s="555" t="str">
        <f>VLOOKUP(D2681,기본!$D$13:$E$74,2,0)</f>
        <v>경동나비엔</v>
      </c>
      <c r="D2681" t="s">
        <v>1972</v>
      </c>
      <c r="E2681" t="s">
        <v>1973</v>
      </c>
      <c r="F2681" t="s">
        <v>1973</v>
      </c>
      <c r="G2681" s="554">
        <v>7000</v>
      </c>
      <c r="H2681">
        <v>212.8</v>
      </c>
    </row>
    <row r="2682" spans="2:8">
      <c r="B2682" s="555" t="s">
        <v>2310</v>
      </c>
      <c r="C2682" s="555" t="str">
        <f>VLOOKUP(D2682,기본!$D$13:$E$74,2,0)</f>
        <v>경동나비엔</v>
      </c>
      <c r="D2682" t="s">
        <v>1972</v>
      </c>
      <c r="E2682" t="s">
        <v>2242</v>
      </c>
      <c r="F2682" t="s">
        <v>2242</v>
      </c>
      <c r="G2682" s="554">
        <v>30</v>
      </c>
      <c r="H2682">
        <v>0.94499999999999995</v>
      </c>
    </row>
    <row r="2683" spans="2:8">
      <c r="B2683" s="555" t="s">
        <v>2310</v>
      </c>
      <c r="C2683" s="555" t="str">
        <f>VLOOKUP(D2683,기본!$D$13:$E$74,2,0)</f>
        <v>대덕</v>
      </c>
      <c r="D2683" t="s">
        <v>1976</v>
      </c>
      <c r="E2683" t="s">
        <v>2175</v>
      </c>
      <c r="F2683" t="s">
        <v>2175</v>
      </c>
      <c r="G2683" s="554">
        <v>1000</v>
      </c>
      <c r="H2683">
        <v>7.5043860000000002</v>
      </c>
    </row>
    <row r="2684" spans="2:8">
      <c r="B2684" s="555" t="s">
        <v>2310</v>
      </c>
      <c r="C2684" s="555" t="str">
        <f>VLOOKUP(D2684,기본!$D$13:$E$74,2,0)</f>
        <v>대덕</v>
      </c>
      <c r="D2684" t="s">
        <v>1976</v>
      </c>
      <c r="E2684" t="s">
        <v>2247</v>
      </c>
      <c r="F2684" t="s">
        <v>2247</v>
      </c>
      <c r="G2684" s="554">
        <v>427</v>
      </c>
      <c r="H2684">
        <v>5.6219067659999986</v>
      </c>
    </row>
    <row r="2685" spans="2:8">
      <c r="B2685" s="555" t="s">
        <v>2310</v>
      </c>
      <c r="C2685" s="555" t="str">
        <f>VLOOKUP(D2685,기본!$D$13:$E$74,2,0)</f>
        <v>대덕</v>
      </c>
      <c r="D2685" t="s">
        <v>1978</v>
      </c>
      <c r="E2685" t="s">
        <v>2278</v>
      </c>
      <c r="F2685" t="s">
        <v>2278</v>
      </c>
      <c r="G2685" s="554">
        <v>1000</v>
      </c>
      <c r="H2685">
        <v>5.4346709999999998</v>
      </c>
    </row>
    <row r="2686" spans="2:8">
      <c r="B2686" s="555" t="s">
        <v>2310</v>
      </c>
      <c r="C2686" s="555" t="str">
        <f>VLOOKUP(D2686,기본!$D$13:$E$74,2,0)</f>
        <v>대덕</v>
      </c>
      <c r="D2686" t="s">
        <v>1978</v>
      </c>
      <c r="E2686" t="s">
        <v>2175</v>
      </c>
      <c r="F2686" t="s">
        <v>2175</v>
      </c>
      <c r="G2686" s="554">
        <v>2000</v>
      </c>
      <c r="H2686">
        <v>14.976176000000002</v>
      </c>
    </row>
    <row r="2687" spans="2:8">
      <c r="B2687" s="555" t="s">
        <v>2310</v>
      </c>
      <c r="C2687" s="555" t="str">
        <f>VLOOKUP(D2687,기본!$D$13:$E$74,2,0)</f>
        <v>대덕</v>
      </c>
      <c r="D2687" t="s">
        <v>1978</v>
      </c>
      <c r="E2687" t="s">
        <v>1980</v>
      </c>
      <c r="F2687" t="s">
        <v>1980</v>
      </c>
      <c r="G2687" s="554">
        <v>1080</v>
      </c>
      <c r="H2687">
        <v>22.598083079999999</v>
      </c>
    </row>
    <row r="2688" spans="2:8">
      <c r="B2688" s="555" t="s">
        <v>2310</v>
      </c>
      <c r="C2688" s="555" t="str">
        <f>VLOOKUP(D2688,기본!$D$13:$E$74,2,0)</f>
        <v>대덕</v>
      </c>
      <c r="D2688" t="s">
        <v>1978</v>
      </c>
      <c r="E2688" t="s">
        <v>1981</v>
      </c>
      <c r="F2688" t="s">
        <v>1981</v>
      </c>
      <c r="G2688" s="554">
        <v>1500</v>
      </c>
      <c r="H2688">
        <v>32.367671999999999</v>
      </c>
    </row>
    <row r="2689" spans="2:8">
      <c r="B2689" s="555" t="s">
        <v>2310</v>
      </c>
      <c r="C2689" s="555" t="str">
        <f>VLOOKUP(D2689,기본!$D$13:$E$74,2,0)</f>
        <v>대덕</v>
      </c>
      <c r="D2689" t="s">
        <v>1978</v>
      </c>
      <c r="E2689" t="s">
        <v>1982</v>
      </c>
      <c r="F2689" t="s">
        <v>1982</v>
      </c>
      <c r="G2689" s="554">
        <v>1300</v>
      </c>
      <c r="H2689">
        <v>28.364442599999997</v>
      </c>
    </row>
    <row r="2690" spans="2:8">
      <c r="B2690" s="555" t="s">
        <v>2310</v>
      </c>
      <c r="C2690" s="555" t="str">
        <f>VLOOKUP(D2690,기본!$D$13:$E$74,2,0)</f>
        <v>대덕</v>
      </c>
      <c r="D2690" t="s">
        <v>1978</v>
      </c>
      <c r="E2690" t="s">
        <v>2137</v>
      </c>
      <c r="F2690" t="s">
        <v>2137</v>
      </c>
      <c r="G2690" s="554">
        <v>500</v>
      </c>
      <c r="H2690">
        <v>10.942783500000001</v>
      </c>
    </row>
    <row r="2691" spans="2:8">
      <c r="B2691" s="555" t="s">
        <v>2310</v>
      </c>
      <c r="C2691" s="555" t="str">
        <f>VLOOKUP(D2691,기본!$D$13:$E$74,2,0)</f>
        <v>대덕</v>
      </c>
      <c r="D2691" t="s">
        <v>1978</v>
      </c>
      <c r="E2691" t="s">
        <v>979</v>
      </c>
      <c r="F2691" t="s">
        <v>979</v>
      </c>
      <c r="G2691" s="554">
        <v>1000</v>
      </c>
      <c r="H2691">
        <v>1.4554769999999999</v>
      </c>
    </row>
    <row r="2692" spans="2:8">
      <c r="B2692" s="555" t="s">
        <v>2310</v>
      </c>
      <c r="C2692" s="555" t="str">
        <f>VLOOKUP(D2692,기본!$D$13:$E$74,2,0)</f>
        <v>대덕</v>
      </c>
      <c r="D2692" t="s">
        <v>1978</v>
      </c>
      <c r="E2692" t="s">
        <v>1983</v>
      </c>
      <c r="F2692" t="s">
        <v>1983</v>
      </c>
      <c r="G2692" s="554">
        <v>10000</v>
      </c>
      <c r="H2692">
        <v>129.5241</v>
      </c>
    </row>
    <row r="2693" spans="2:8">
      <c r="B2693" s="555" t="s">
        <v>2310</v>
      </c>
      <c r="C2693" s="555" t="str">
        <f>VLOOKUP(D2693,기본!$D$13:$E$74,2,0)</f>
        <v>대덕</v>
      </c>
      <c r="D2693" t="s">
        <v>1978</v>
      </c>
      <c r="E2693" t="s">
        <v>1985</v>
      </c>
      <c r="F2693" t="s">
        <v>1985</v>
      </c>
      <c r="G2693" s="554">
        <v>10000</v>
      </c>
      <c r="H2693">
        <v>129.5241</v>
      </c>
    </row>
    <row r="2694" spans="2:8">
      <c r="B2694" s="555" t="s">
        <v>2310</v>
      </c>
      <c r="C2694" s="555" t="str">
        <f>VLOOKUP(D2694,기본!$D$13:$E$74,2,0)</f>
        <v>대덕</v>
      </c>
      <c r="D2694" t="s">
        <v>1978</v>
      </c>
      <c r="E2694" t="s">
        <v>2219</v>
      </c>
      <c r="F2694" t="s">
        <v>2219</v>
      </c>
      <c r="G2694" s="554">
        <v>2000</v>
      </c>
      <c r="H2694">
        <v>25.850669749999998</v>
      </c>
    </row>
    <row r="2695" spans="2:8">
      <c r="B2695" s="555" t="s">
        <v>2310</v>
      </c>
      <c r="C2695" s="555" t="str">
        <f>VLOOKUP(D2695,기본!$D$13:$E$74,2,0)</f>
        <v>대덕</v>
      </c>
      <c r="D2695" t="s">
        <v>1978</v>
      </c>
      <c r="E2695" t="s">
        <v>1567</v>
      </c>
      <c r="F2695" t="s">
        <v>1567</v>
      </c>
      <c r="G2695" s="554">
        <v>250</v>
      </c>
      <c r="H2695">
        <v>7.6379159999999997</v>
      </c>
    </row>
    <row r="2696" spans="2:8">
      <c r="B2696" s="555" t="s">
        <v>2310</v>
      </c>
      <c r="C2696" s="555" t="str">
        <f>VLOOKUP(D2696,기본!$D$13:$E$74,2,0)</f>
        <v>대덕</v>
      </c>
      <c r="D2696" t="s">
        <v>1978</v>
      </c>
      <c r="E2696" t="s">
        <v>1571</v>
      </c>
      <c r="F2696" t="s">
        <v>1571</v>
      </c>
      <c r="G2696" s="554">
        <v>3000</v>
      </c>
      <c r="H2696">
        <v>35.934828000000003</v>
      </c>
    </row>
    <row r="2697" spans="2:8">
      <c r="B2697" s="555" t="s">
        <v>2310</v>
      </c>
      <c r="C2697" s="555" t="str">
        <f>VLOOKUP(D2697,기본!$D$13:$E$74,2,0)</f>
        <v>대덕</v>
      </c>
      <c r="D2697" t="s">
        <v>1978</v>
      </c>
      <c r="E2697" t="s">
        <v>1572</v>
      </c>
      <c r="F2697" t="s">
        <v>1572</v>
      </c>
      <c r="G2697" s="554">
        <v>2000</v>
      </c>
      <c r="H2697">
        <v>26.274927999999999</v>
      </c>
    </row>
    <row r="2698" spans="2:8">
      <c r="B2698" s="555" t="s">
        <v>2310</v>
      </c>
      <c r="C2698" s="555" t="str">
        <f>VLOOKUP(D2698,기본!$D$13:$E$74,2,0)</f>
        <v>코웨이</v>
      </c>
      <c r="D2698" t="s">
        <v>2140</v>
      </c>
      <c r="E2698" t="s">
        <v>2141</v>
      </c>
      <c r="F2698" t="s">
        <v>2141</v>
      </c>
      <c r="G2698" s="554">
        <v>596</v>
      </c>
      <c r="H2698">
        <v>2.9335119999999999</v>
      </c>
    </row>
    <row r="2699" spans="2:8">
      <c r="B2699" s="555" t="s">
        <v>2310</v>
      </c>
      <c r="C2699" s="555" t="str">
        <f>VLOOKUP(D2699,기본!$D$13:$E$74,2,0)</f>
        <v>삼성 생활가전</v>
      </c>
      <c r="D2699" t="s">
        <v>1986</v>
      </c>
      <c r="E2699" t="s">
        <v>1987</v>
      </c>
      <c r="F2699" t="s">
        <v>1987</v>
      </c>
      <c r="G2699" s="554">
        <v>1440</v>
      </c>
      <c r="H2699">
        <v>20.116800000000001</v>
      </c>
    </row>
    <row r="2700" spans="2:8">
      <c r="B2700" s="555" t="s">
        <v>2310</v>
      </c>
      <c r="C2700" s="555" t="str">
        <f>VLOOKUP(D2700,기본!$D$13:$E$74,2,0)</f>
        <v>머큐리</v>
      </c>
      <c r="D2700" t="s">
        <v>1988</v>
      </c>
      <c r="E2700" t="s">
        <v>1989</v>
      </c>
      <c r="F2700" t="s">
        <v>1989</v>
      </c>
      <c r="G2700" s="554">
        <v>41760</v>
      </c>
      <c r="H2700">
        <v>116.25984</v>
      </c>
    </row>
    <row r="2701" spans="2:8">
      <c r="B2701" s="555" t="s">
        <v>2310</v>
      </c>
      <c r="C2701" s="555" t="str">
        <f>VLOOKUP(D2701,기본!$D$13:$E$74,2,0)</f>
        <v>머큐리</v>
      </c>
      <c r="D2701" t="s">
        <v>1988</v>
      </c>
      <c r="E2701" t="s">
        <v>1433</v>
      </c>
      <c r="F2701" t="s">
        <v>1433</v>
      </c>
      <c r="G2701" s="554">
        <v>17640</v>
      </c>
      <c r="H2701">
        <v>53.484479999999998</v>
      </c>
    </row>
    <row r="2702" spans="2:8">
      <c r="B2702" s="555" t="s">
        <v>2310</v>
      </c>
      <c r="C2702" s="555" t="str">
        <f>VLOOKUP(D2702,기본!$D$13:$E$74,2,0)</f>
        <v>삼성 VD</v>
      </c>
      <c r="D2702" t="s">
        <v>1990</v>
      </c>
      <c r="E2702" t="s">
        <v>2119</v>
      </c>
      <c r="F2702" t="s">
        <v>2120</v>
      </c>
      <c r="G2702" s="554">
        <v>50</v>
      </c>
      <c r="H2702">
        <v>0.96671490000000004</v>
      </c>
    </row>
    <row r="2703" spans="2:8">
      <c r="B2703" s="555" t="s">
        <v>2310</v>
      </c>
      <c r="C2703" s="555" t="str">
        <f>VLOOKUP(D2703,기본!$D$13:$E$74,2,0)</f>
        <v>삼성 VD</v>
      </c>
      <c r="D2703" t="s">
        <v>1990</v>
      </c>
      <c r="E2703" t="s">
        <v>1165</v>
      </c>
      <c r="F2703" t="s">
        <v>1882</v>
      </c>
      <c r="G2703" s="554">
        <v>162</v>
      </c>
      <c r="H2703">
        <v>4.6817604720000006</v>
      </c>
    </row>
    <row r="2704" spans="2:8">
      <c r="B2704" s="555" t="s">
        <v>2310</v>
      </c>
      <c r="C2704" s="555" t="str">
        <f>VLOOKUP(D2704,기본!$D$13:$E$74,2,0)</f>
        <v>삼성 VD</v>
      </c>
      <c r="D2704" t="s">
        <v>1990</v>
      </c>
      <c r="E2704" t="s">
        <v>1164</v>
      </c>
      <c r="F2704" t="s">
        <v>1850</v>
      </c>
      <c r="G2704" s="554">
        <v>900</v>
      </c>
      <c r="H2704">
        <v>23.623452</v>
      </c>
    </row>
    <row r="2705" spans="2:8">
      <c r="B2705" s="555" t="s">
        <v>2310</v>
      </c>
      <c r="C2705" s="555" t="str">
        <f>VLOOKUP(D2705,기본!$D$13:$E$74,2,0)</f>
        <v>삼성 VD</v>
      </c>
      <c r="D2705" t="s">
        <v>1990</v>
      </c>
      <c r="E2705" t="s">
        <v>1853</v>
      </c>
      <c r="F2705" t="s">
        <v>1854</v>
      </c>
      <c r="G2705" s="554">
        <v>230</v>
      </c>
      <c r="H2705">
        <v>3.06758452</v>
      </c>
    </row>
    <row r="2706" spans="2:8">
      <c r="B2706" s="555" t="s">
        <v>2310</v>
      </c>
      <c r="C2706" s="555" t="str">
        <f>VLOOKUP(D2706,기본!$D$13:$E$74,2,0)</f>
        <v>삼성 VD</v>
      </c>
      <c r="D2706" t="s">
        <v>1990</v>
      </c>
      <c r="E2706" t="s">
        <v>1855</v>
      </c>
      <c r="F2706" t="s">
        <v>1856</v>
      </c>
      <c r="G2706" s="554">
        <v>230</v>
      </c>
      <c r="H2706">
        <v>3.1380684800000003</v>
      </c>
    </row>
    <row r="2707" spans="2:8">
      <c r="B2707" s="555" t="s">
        <v>2310</v>
      </c>
      <c r="C2707" s="555" t="str">
        <f>VLOOKUP(D2707,기본!$D$13:$E$74,2,0)</f>
        <v>삼성 VD</v>
      </c>
      <c r="D2707" t="s">
        <v>1990</v>
      </c>
      <c r="E2707" t="s">
        <v>1874</v>
      </c>
      <c r="F2707" t="s">
        <v>1875</v>
      </c>
      <c r="G2707" s="554">
        <v>480</v>
      </c>
      <c r="H2707">
        <v>7.10542272</v>
      </c>
    </row>
    <row r="2708" spans="2:8">
      <c r="B2708" s="555" t="s">
        <v>2310</v>
      </c>
      <c r="C2708" s="555" t="str">
        <f>VLOOKUP(D2708,기본!$D$13:$E$74,2,0)</f>
        <v>삼성 VD</v>
      </c>
      <c r="D2708" t="s">
        <v>1990</v>
      </c>
      <c r="E2708" t="s">
        <v>1786</v>
      </c>
      <c r="F2708" t="s">
        <v>1671</v>
      </c>
      <c r="G2708" s="554">
        <v>150</v>
      </c>
      <c r="H2708">
        <v>1.6445817</v>
      </c>
    </row>
    <row r="2709" spans="2:8">
      <c r="B2709" s="555" t="s">
        <v>2310</v>
      </c>
      <c r="C2709" s="555" t="str">
        <f>VLOOKUP(D2709,기본!$D$13:$E$74,2,0)</f>
        <v>삼성 VD</v>
      </c>
      <c r="D2709" t="s">
        <v>1990</v>
      </c>
      <c r="E2709" t="s">
        <v>1788</v>
      </c>
      <c r="F2709" t="s">
        <v>1913</v>
      </c>
      <c r="G2709" s="554">
        <v>300</v>
      </c>
      <c r="H2709">
        <v>3.6802403999999997</v>
      </c>
    </row>
    <row r="2710" spans="2:8">
      <c r="B2710" s="555" t="s">
        <v>2310</v>
      </c>
      <c r="C2710" s="555" t="str">
        <f>VLOOKUP(D2710,기본!$D$13:$E$74,2,0)</f>
        <v>삼성 VD</v>
      </c>
      <c r="D2710" t="s">
        <v>1990</v>
      </c>
      <c r="E2710" t="s">
        <v>1790</v>
      </c>
      <c r="F2710" t="s">
        <v>1914</v>
      </c>
      <c r="G2710" s="554">
        <v>150</v>
      </c>
      <c r="H2710">
        <v>2.0294837999999999</v>
      </c>
    </row>
    <row r="2711" spans="2:8">
      <c r="B2711" s="555" t="s">
        <v>2310</v>
      </c>
      <c r="C2711" s="555" t="str">
        <f>VLOOKUP(D2711,기본!$D$13:$E$74,2,0)</f>
        <v>삼성 VD</v>
      </c>
      <c r="D2711" t="s">
        <v>1990</v>
      </c>
      <c r="E2711" t="s">
        <v>1792</v>
      </c>
      <c r="F2711" t="s">
        <v>1915</v>
      </c>
      <c r="G2711" s="554">
        <v>140</v>
      </c>
      <c r="H2711">
        <v>2.4858775199999998</v>
      </c>
    </row>
    <row r="2712" spans="2:8">
      <c r="B2712" s="555" t="s">
        <v>2310</v>
      </c>
      <c r="C2712" s="555" t="str">
        <f>VLOOKUP(D2712,기본!$D$13:$E$74,2,0)</f>
        <v>삼성 VD</v>
      </c>
      <c r="D2712" t="s">
        <v>1990</v>
      </c>
      <c r="E2712" t="s">
        <v>1921</v>
      </c>
      <c r="F2712" t="s">
        <v>1922</v>
      </c>
      <c r="G2712" s="554">
        <v>100</v>
      </c>
      <c r="H2712">
        <v>2.3629283999999999</v>
      </c>
    </row>
    <row r="2713" spans="2:8">
      <c r="B2713" s="555" t="s">
        <v>2310</v>
      </c>
      <c r="C2713" s="555" t="str">
        <f>VLOOKUP(D2713,기본!$D$13:$E$74,2,0)</f>
        <v>삼성 VD</v>
      </c>
      <c r="D2713" t="s">
        <v>1990</v>
      </c>
      <c r="E2713" t="s">
        <v>1156</v>
      </c>
      <c r="F2713" t="s">
        <v>1870</v>
      </c>
      <c r="G2713" s="554">
        <v>44</v>
      </c>
      <c r="H2713">
        <v>0.197322048</v>
      </c>
    </row>
    <row r="2714" spans="2:8">
      <c r="B2714" s="555" t="s">
        <v>2310</v>
      </c>
      <c r="C2714" s="555" t="str">
        <f>VLOOKUP(D2714,기본!$D$13:$E$74,2,0)</f>
        <v>삼성 VD</v>
      </c>
      <c r="D2714" t="s">
        <v>1990</v>
      </c>
      <c r="E2714" t="s">
        <v>1897</v>
      </c>
      <c r="F2714" t="s">
        <v>1897</v>
      </c>
      <c r="G2714" s="554">
        <v>70</v>
      </c>
      <c r="H2714">
        <v>2.6651205</v>
      </c>
    </row>
    <row r="2715" spans="2:8">
      <c r="B2715" s="555" t="s">
        <v>2310</v>
      </c>
      <c r="C2715" s="555" t="str">
        <f>VLOOKUP(D2715,기본!$D$13:$E$74,2,0)</f>
        <v>삼성 VD</v>
      </c>
      <c r="D2715" t="s">
        <v>1990</v>
      </c>
      <c r="E2715" t="s">
        <v>1811</v>
      </c>
      <c r="F2715" t="s">
        <v>1811</v>
      </c>
      <c r="G2715" s="554">
        <v>207</v>
      </c>
      <c r="H2715">
        <v>1.5808804440000002</v>
      </c>
    </row>
    <row r="2716" spans="2:8">
      <c r="B2716" s="555" t="s">
        <v>2310</v>
      </c>
      <c r="C2716" s="555" t="str">
        <f>VLOOKUP(D2716,기본!$D$13:$E$74,2,0)</f>
        <v>삼성 VD</v>
      </c>
      <c r="D2716" t="s">
        <v>1990</v>
      </c>
      <c r="E2716" t="s">
        <v>1812</v>
      </c>
      <c r="F2716" t="s">
        <v>1812</v>
      </c>
      <c r="G2716" s="554">
        <v>152</v>
      </c>
      <c r="H2716">
        <v>1.160441568</v>
      </c>
    </row>
    <row r="2717" spans="2:8">
      <c r="B2717" s="555" t="s">
        <v>2310</v>
      </c>
      <c r="C2717" s="555" t="str">
        <f>VLOOKUP(D2717,기본!$D$13:$E$74,2,0)</f>
        <v>삼성 VD</v>
      </c>
      <c r="D2717" t="s">
        <v>1990</v>
      </c>
      <c r="E2717" t="s">
        <v>1813</v>
      </c>
      <c r="F2717" t="s">
        <v>1813</v>
      </c>
      <c r="G2717" s="554">
        <v>43</v>
      </c>
      <c r="H2717">
        <v>0.54756642599999994</v>
      </c>
    </row>
    <row r="2718" spans="2:8">
      <c r="B2718" s="555" t="s">
        <v>2310</v>
      </c>
      <c r="C2718" s="555" t="str">
        <f>VLOOKUP(D2718,기본!$D$13:$E$74,2,0)</f>
        <v>삼성 VD</v>
      </c>
      <c r="D2718" t="s">
        <v>1990</v>
      </c>
      <c r="E2718" t="s">
        <v>1814</v>
      </c>
      <c r="F2718" t="s">
        <v>1814</v>
      </c>
      <c r="G2718" s="554">
        <v>45</v>
      </c>
      <c r="H2718">
        <v>0.57298671000000001</v>
      </c>
    </row>
    <row r="2719" spans="2:8">
      <c r="B2719" s="555" t="s">
        <v>2310</v>
      </c>
      <c r="C2719" s="555" t="str">
        <f>VLOOKUP(D2719,기본!$D$13:$E$74,2,0)</f>
        <v>삼성 VD</v>
      </c>
      <c r="D2719" t="s">
        <v>1990</v>
      </c>
      <c r="E2719" t="s">
        <v>2267</v>
      </c>
      <c r="F2719" t="s">
        <v>2267</v>
      </c>
      <c r="G2719" s="554">
        <v>579</v>
      </c>
      <c r="H2719">
        <v>3.5647603380000001</v>
      </c>
    </row>
    <row r="2720" spans="2:8">
      <c r="B2720" s="555" t="s">
        <v>2310</v>
      </c>
      <c r="C2720" s="555" t="str">
        <f>VLOOKUP(D2720,기본!$D$13:$E$74,2,0)</f>
        <v>삼성 VD</v>
      </c>
      <c r="D2720" t="s">
        <v>1990</v>
      </c>
      <c r="E2720" t="s">
        <v>1815</v>
      </c>
      <c r="F2720" t="s">
        <v>1815</v>
      </c>
      <c r="G2720" s="554">
        <v>20</v>
      </c>
      <c r="H2720">
        <v>0.13752584000000001</v>
      </c>
    </row>
    <row r="2721" spans="2:8">
      <c r="B2721" s="555" t="s">
        <v>2310</v>
      </c>
      <c r="C2721" s="555" t="str">
        <f>VLOOKUP(D2721,기본!$D$13:$E$74,2,0)</f>
        <v>삼성 VD</v>
      </c>
      <c r="D2721" t="s">
        <v>1990</v>
      </c>
      <c r="E2721" t="s">
        <v>1816</v>
      </c>
      <c r="F2721" t="s">
        <v>1816</v>
      </c>
      <c r="G2721" s="554">
        <v>133</v>
      </c>
      <c r="H2721">
        <v>0.99201535600000013</v>
      </c>
    </row>
    <row r="2722" spans="2:8">
      <c r="B2722" s="555" t="s">
        <v>2310</v>
      </c>
      <c r="C2722" s="555" t="str">
        <f>VLOOKUP(D2722,기본!$D$13:$E$74,2,0)</f>
        <v>삼성 VD</v>
      </c>
      <c r="D2722" t="s">
        <v>1990</v>
      </c>
      <c r="E2722" t="s">
        <v>2300</v>
      </c>
      <c r="F2722" t="s">
        <v>2300</v>
      </c>
      <c r="G2722" s="554">
        <v>60</v>
      </c>
      <c r="H2722">
        <v>0.61645823999999982</v>
      </c>
    </row>
    <row r="2723" spans="2:8">
      <c r="B2723" s="555" t="s">
        <v>2310</v>
      </c>
      <c r="C2723" s="555" t="str">
        <f>VLOOKUP(D2723,기본!$D$13:$E$74,2,0)</f>
        <v>삼성 VD</v>
      </c>
      <c r="D2723" t="s">
        <v>1990</v>
      </c>
      <c r="E2723" t="s">
        <v>229</v>
      </c>
      <c r="F2723" t="s">
        <v>229</v>
      </c>
      <c r="G2723" s="554">
        <v>0</v>
      </c>
      <c r="H2723">
        <v>1.173225</v>
      </c>
    </row>
    <row r="2724" spans="2:8">
      <c r="B2724" s="555" t="s">
        <v>2310</v>
      </c>
      <c r="C2724" s="555" t="str">
        <f>VLOOKUP(D2724,기본!$D$13:$E$74,2,0)</f>
        <v>삼성 생활가전</v>
      </c>
      <c r="D2724" t="s">
        <v>1991</v>
      </c>
      <c r="E2724" t="s">
        <v>1224</v>
      </c>
      <c r="F2724" t="s">
        <v>1224</v>
      </c>
      <c r="G2724" s="554">
        <v>2392</v>
      </c>
      <c r="H2724">
        <v>19.642135239999998</v>
      </c>
    </row>
    <row r="2725" spans="2:8">
      <c r="B2725" s="555" t="s">
        <v>2310</v>
      </c>
      <c r="C2725" s="555" t="str">
        <f>VLOOKUP(D2725,기본!$D$13:$E$74,2,0)</f>
        <v>삼성 생활가전</v>
      </c>
      <c r="D2725" t="s">
        <v>1991</v>
      </c>
      <c r="E2725" t="s">
        <v>2265</v>
      </c>
      <c r="F2725" t="s">
        <v>2265</v>
      </c>
      <c r="G2725" s="554">
        <v>1</v>
      </c>
      <c r="H2725">
        <v>8.2699999999999996E-3</v>
      </c>
    </row>
    <row r="2726" spans="2:8">
      <c r="B2726" s="555" t="s">
        <v>2310</v>
      </c>
      <c r="C2726" s="555" t="str">
        <f>VLOOKUP(D2726,기본!$D$13:$E$74,2,0)</f>
        <v>삼성 생활가전</v>
      </c>
      <c r="D2726" t="s">
        <v>1991</v>
      </c>
      <c r="E2726" t="s">
        <v>713</v>
      </c>
      <c r="F2726" t="s">
        <v>713</v>
      </c>
      <c r="G2726" s="554">
        <v>1024</v>
      </c>
      <c r="H2726">
        <v>8.1817600000000006</v>
      </c>
    </row>
    <row r="2727" spans="2:8">
      <c r="B2727" s="555" t="s">
        <v>2310</v>
      </c>
      <c r="C2727" s="555" t="str">
        <f>VLOOKUP(D2727,기본!$D$13:$E$74,2,0)</f>
        <v>삼성 생활가전</v>
      </c>
      <c r="D2727" t="s">
        <v>1991</v>
      </c>
      <c r="E2727" t="s">
        <v>1996</v>
      </c>
      <c r="F2727" t="s">
        <v>1996</v>
      </c>
      <c r="G2727" s="554">
        <v>720</v>
      </c>
      <c r="H2727">
        <v>4.2839999999999998</v>
      </c>
    </row>
    <row r="2728" spans="2:8">
      <c r="B2728" s="555" t="s">
        <v>2310</v>
      </c>
      <c r="C2728" s="555" t="str">
        <f>VLOOKUP(D2728,기본!$D$13:$E$74,2,0)</f>
        <v>삼성 생활가전</v>
      </c>
      <c r="D2728" t="s">
        <v>1991</v>
      </c>
      <c r="E2728" t="s">
        <v>1997</v>
      </c>
      <c r="F2728" t="s">
        <v>1997</v>
      </c>
      <c r="G2728" s="554">
        <v>720</v>
      </c>
      <c r="H2728">
        <v>4.2767999999999997</v>
      </c>
    </row>
    <row r="2729" spans="2:8">
      <c r="B2729" s="555" t="s">
        <v>2310</v>
      </c>
      <c r="C2729" s="555" t="str">
        <f>VLOOKUP(D2729,기본!$D$13:$E$74,2,0)</f>
        <v>삼성 생활가전</v>
      </c>
      <c r="D2729" t="s">
        <v>1991</v>
      </c>
      <c r="E2729" t="s">
        <v>1998</v>
      </c>
      <c r="F2729" t="s">
        <v>1998</v>
      </c>
      <c r="G2729" s="554">
        <v>720</v>
      </c>
      <c r="H2729">
        <v>4.2480000000000002</v>
      </c>
    </row>
    <row r="2730" spans="2:8">
      <c r="B2730" s="555" t="s">
        <v>2310</v>
      </c>
      <c r="C2730" s="555" t="str">
        <f>VLOOKUP(D2730,기본!$D$13:$E$74,2,0)</f>
        <v>삼성 생활가전</v>
      </c>
      <c r="D2730" t="s">
        <v>1991</v>
      </c>
      <c r="E2730" t="s">
        <v>1999</v>
      </c>
      <c r="F2730" t="s">
        <v>1999</v>
      </c>
      <c r="G2730" s="554">
        <v>1440</v>
      </c>
      <c r="H2730">
        <v>8.6097599999999996</v>
      </c>
    </row>
    <row r="2731" spans="2:8">
      <c r="B2731" s="555" t="s">
        <v>2310</v>
      </c>
      <c r="C2731" s="555" t="str">
        <f>VLOOKUP(D2731,기본!$D$13:$E$74,2,0)</f>
        <v>삼성 생활가전</v>
      </c>
      <c r="D2731" t="s">
        <v>1991</v>
      </c>
      <c r="E2731" t="s">
        <v>1508</v>
      </c>
      <c r="F2731" t="s">
        <v>1508</v>
      </c>
      <c r="G2731" s="554">
        <v>11</v>
      </c>
      <c r="H2731">
        <v>0.1045</v>
      </c>
    </row>
    <row r="2732" spans="2:8">
      <c r="B2732" s="555" t="s">
        <v>2310</v>
      </c>
      <c r="C2732" s="555" t="str">
        <f>VLOOKUP(D2732,기본!$D$13:$E$74,2,0)</f>
        <v>삼성 생활가전</v>
      </c>
      <c r="D2732" t="s">
        <v>1991</v>
      </c>
      <c r="E2732" t="s">
        <v>1239</v>
      </c>
      <c r="F2732" t="s">
        <v>1239</v>
      </c>
      <c r="G2732" s="554">
        <v>6</v>
      </c>
      <c r="H2732">
        <v>3.2399999999999998E-2</v>
      </c>
    </row>
    <row r="2733" spans="2:8">
      <c r="B2733" s="555" t="s">
        <v>2310</v>
      </c>
      <c r="C2733" s="555" t="str">
        <f>VLOOKUP(D2733,기본!$D$13:$E$74,2,0)</f>
        <v>삼성 생활가전</v>
      </c>
      <c r="D2733" t="s">
        <v>1991</v>
      </c>
      <c r="E2733" t="s">
        <v>1242</v>
      </c>
      <c r="F2733" t="s">
        <v>1242</v>
      </c>
      <c r="G2733" s="554">
        <v>5061</v>
      </c>
      <c r="H2733">
        <v>25.96293</v>
      </c>
    </row>
    <row r="2734" spans="2:8">
      <c r="B2734" s="555" t="s">
        <v>2310</v>
      </c>
      <c r="C2734" s="555" t="str">
        <f>VLOOKUP(D2734,기본!$D$13:$E$74,2,0)</f>
        <v>삼성 생활가전</v>
      </c>
      <c r="D2734" t="s">
        <v>1991</v>
      </c>
      <c r="E2734" t="s">
        <v>1395</v>
      </c>
      <c r="F2734" t="s">
        <v>1395</v>
      </c>
      <c r="G2734" s="554">
        <v>6315</v>
      </c>
      <c r="H2734">
        <v>34.467269999999999</v>
      </c>
    </row>
    <row r="2735" spans="2:8">
      <c r="B2735" s="555" t="s">
        <v>2310</v>
      </c>
      <c r="C2735" s="555" t="str">
        <f>VLOOKUP(D2735,기본!$D$13:$E$74,2,0)</f>
        <v>삼성 생활가전</v>
      </c>
      <c r="D2735" t="s">
        <v>1991</v>
      </c>
      <c r="E2735" t="s">
        <v>2004</v>
      </c>
      <c r="F2735" t="s">
        <v>2004</v>
      </c>
      <c r="G2735" s="554">
        <v>8297</v>
      </c>
      <c r="H2735">
        <v>80.762997999999996</v>
      </c>
    </row>
    <row r="2736" spans="2:8">
      <c r="B2736" s="555" t="s">
        <v>2310</v>
      </c>
      <c r="C2736" s="555" t="str">
        <f>VLOOKUP(D2736,기본!$D$13:$E$74,2,0)</f>
        <v>삼성 생활가전</v>
      </c>
      <c r="D2736" t="s">
        <v>1991</v>
      </c>
      <c r="E2736" t="s">
        <v>2301</v>
      </c>
      <c r="F2736" t="s">
        <v>2301</v>
      </c>
      <c r="G2736" s="554">
        <v>30</v>
      </c>
      <c r="H2736">
        <v>0.35399999999999998</v>
      </c>
    </row>
    <row r="2737" spans="2:8">
      <c r="B2737" s="555" t="s">
        <v>2310</v>
      </c>
      <c r="C2737" s="555" t="str">
        <f>VLOOKUP(D2737,기본!$D$13:$E$74,2,0)</f>
        <v>삼성 생활가전</v>
      </c>
      <c r="D2737" t="s">
        <v>1991</v>
      </c>
      <c r="E2737" t="s">
        <v>2087</v>
      </c>
      <c r="F2737" t="s">
        <v>2087</v>
      </c>
      <c r="G2737" s="554">
        <v>798</v>
      </c>
      <c r="H2737">
        <v>8.2973654400000001</v>
      </c>
    </row>
    <row r="2738" spans="2:8">
      <c r="B2738" s="555" t="s">
        <v>2310</v>
      </c>
      <c r="C2738" s="555" t="str">
        <f>VLOOKUP(D2738,기본!$D$13:$E$74,2,0)</f>
        <v>삼성 생활가전</v>
      </c>
      <c r="D2738" t="s">
        <v>1991</v>
      </c>
      <c r="E2738" t="s">
        <v>1465</v>
      </c>
      <c r="F2738" t="s">
        <v>1465</v>
      </c>
      <c r="G2738" s="554">
        <v>10263</v>
      </c>
      <c r="H2738">
        <v>136.75638996000001</v>
      </c>
    </row>
    <row r="2739" spans="2:8">
      <c r="B2739" s="555" t="s">
        <v>2310</v>
      </c>
      <c r="C2739" s="555" t="str">
        <f>VLOOKUP(D2739,기본!$D$13:$E$74,2,0)</f>
        <v>삼성 생활가전</v>
      </c>
      <c r="D2739" t="s">
        <v>1991</v>
      </c>
      <c r="E2739" t="s">
        <v>2005</v>
      </c>
      <c r="F2739" t="s">
        <v>2005</v>
      </c>
      <c r="G2739" s="554">
        <v>0</v>
      </c>
      <c r="H2739">
        <v>8.8021390000000004</v>
      </c>
    </row>
    <row r="2740" spans="2:8">
      <c r="B2740" s="555" t="s">
        <v>2310</v>
      </c>
      <c r="C2740" s="555" t="str">
        <f>VLOOKUP(D2740,기본!$D$13:$E$74,2,0)</f>
        <v>삼성 생활가전</v>
      </c>
      <c r="D2740" t="s">
        <v>1991</v>
      </c>
      <c r="E2740" t="s">
        <v>229</v>
      </c>
      <c r="F2740" t="s">
        <v>229</v>
      </c>
      <c r="G2740" s="554">
        <v>0</v>
      </c>
      <c r="H2740">
        <v>0.24</v>
      </c>
    </row>
    <row r="2741" spans="2:8">
      <c r="B2741" s="555" t="s">
        <v>2310</v>
      </c>
      <c r="C2741" s="555" t="str">
        <f>VLOOKUP(D2741,기본!$D$13:$E$74,2,0)</f>
        <v>삼성 생활가전</v>
      </c>
      <c r="D2741" t="s">
        <v>2006</v>
      </c>
      <c r="E2741" t="s">
        <v>1465</v>
      </c>
      <c r="F2741" t="s">
        <v>1465</v>
      </c>
      <c r="G2741" s="554">
        <v>168</v>
      </c>
      <c r="H2741">
        <v>2.1730800000000001</v>
      </c>
    </row>
    <row r="2742" spans="2:8">
      <c r="B2742" s="555" t="s">
        <v>2310</v>
      </c>
      <c r="C2742" s="555" t="str">
        <f>VLOOKUP(D2742,기본!$D$13:$E$74,2,0)</f>
        <v>코웨이</v>
      </c>
      <c r="D2742" t="s">
        <v>2191</v>
      </c>
      <c r="E2742" t="s">
        <v>2192</v>
      </c>
      <c r="F2742" t="s">
        <v>2192</v>
      </c>
      <c r="G2742" s="554">
        <v>600</v>
      </c>
      <c r="H2742">
        <v>7.4160000000000004</v>
      </c>
    </row>
    <row r="2743" spans="2:8">
      <c r="B2743" s="555" t="s">
        <v>2310</v>
      </c>
      <c r="C2743" s="555" t="str">
        <f>VLOOKUP(D2743,기본!$D$13:$E$74,2,0)</f>
        <v>코웨이</v>
      </c>
      <c r="D2743" t="s">
        <v>2282</v>
      </c>
      <c r="E2743" t="s">
        <v>1544</v>
      </c>
      <c r="F2743" t="s">
        <v>1544</v>
      </c>
      <c r="G2743" s="554">
        <v>3648</v>
      </c>
      <c r="H2743">
        <v>23.879808000000001</v>
      </c>
    </row>
    <row r="2744" spans="2:8">
      <c r="B2744" s="555" t="s">
        <v>2310</v>
      </c>
      <c r="C2744" s="555" t="str">
        <f>VLOOKUP(D2744,기본!$D$13:$E$74,2,0)</f>
        <v>코웨이</v>
      </c>
      <c r="D2744" t="s">
        <v>2282</v>
      </c>
      <c r="E2744" t="s">
        <v>1545</v>
      </c>
      <c r="F2744" t="s">
        <v>1545</v>
      </c>
      <c r="G2744" s="554">
        <v>1152</v>
      </c>
      <c r="H2744">
        <v>6.8567039999999997</v>
      </c>
    </row>
    <row r="2745" spans="2:8">
      <c r="B2745" s="555" t="s">
        <v>2310</v>
      </c>
      <c r="C2745" s="555" t="str">
        <f>VLOOKUP(D2745,기본!$D$13:$E$74,2,0)</f>
        <v>코웨이</v>
      </c>
      <c r="D2745" t="s">
        <v>2007</v>
      </c>
      <c r="E2745" t="s">
        <v>1072</v>
      </c>
      <c r="F2745" t="s">
        <v>1072</v>
      </c>
      <c r="G2745" s="554">
        <v>10800</v>
      </c>
      <c r="H2745">
        <v>52.38</v>
      </c>
    </row>
    <row r="2746" spans="2:8">
      <c r="B2746" s="555" t="s">
        <v>2310</v>
      </c>
      <c r="C2746" s="555" t="str">
        <f>VLOOKUP(D2746,기본!$D$13:$E$74,2,0)</f>
        <v>코웨이</v>
      </c>
      <c r="D2746" t="s">
        <v>2008</v>
      </c>
      <c r="E2746" t="s">
        <v>2009</v>
      </c>
      <c r="F2746" t="s">
        <v>2009</v>
      </c>
      <c r="G2746" s="554">
        <v>5936</v>
      </c>
      <c r="H2746">
        <v>16.223088000000001</v>
      </c>
    </row>
    <row r="2747" spans="2:8">
      <c r="B2747" s="555" t="s">
        <v>2310</v>
      </c>
      <c r="C2747" s="555" t="str">
        <f>VLOOKUP(D2747,기본!$D$13:$E$74,2,0)</f>
        <v>코웨이</v>
      </c>
      <c r="D2747" t="s">
        <v>2010</v>
      </c>
      <c r="E2747" t="s">
        <v>2011</v>
      </c>
      <c r="F2747" t="s">
        <v>2011</v>
      </c>
      <c r="G2747" s="554">
        <v>45</v>
      </c>
      <c r="H2747">
        <v>0.22302</v>
      </c>
    </row>
    <row r="2748" spans="2:8">
      <c r="B2748" s="555" t="s">
        <v>2310</v>
      </c>
      <c r="C2748" s="555" t="str">
        <f>VLOOKUP(D2748,기본!$D$13:$E$74,2,0)</f>
        <v>코웨이</v>
      </c>
      <c r="D2748" t="s">
        <v>2010</v>
      </c>
      <c r="E2748" t="s">
        <v>2012</v>
      </c>
      <c r="F2748" t="s">
        <v>2012</v>
      </c>
      <c r="G2748" s="554">
        <v>731</v>
      </c>
      <c r="H2748">
        <v>6.5058999999999996</v>
      </c>
    </row>
    <row r="2749" spans="2:8">
      <c r="B2749" s="555" t="s">
        <v>2310</v>
      </c>
      <c r="C2749" s="555" t="str">
        <f>VLOOKUP(D2749,기본!$D$13:$E$74,2,0)</f>
        <v>코웨이</v>
      </c>
      <c r="D2749" t="s">
        <v>2010</v>
      </c>
      <c r="E2749" t="s">
        <v>2013</v>
      </c>
      <c r="F2749" t="s">
        <v>2013</v>
      </c>
      <c r="G2749" s="554">
        <v>200</v>
      </c>
      <c r="H2749">
        <v>1.7536</v>
      </c>
    </row>
    <row r="2750" spans="2:8">
      <c r="B2750" s="555" t="s">
        <v>2310</v>
      </c>
      <c r="C2750" s="555" t="str">
        <f>VLOOKUP(D2750,기본!$D$13:$E$74,2,0)</f>
        <v>코웨이</v>
      </c>
      <c r="D2750" t="s">
        <v>2010</v>
      </c>
      <c r="E2750" t="s">
        <v>2014</v>
      </c>
      <c r="F2750" t="s">
        <v>2014</v>
      </c>
      <c r="G2750" s="554">
        <v>4500</v>
      </c>
      <c r="H2750">
        <v>39.293999999999997</v>
      </c>
    </row>
    <row r="2751" spans="2:8">
      <c r="B2751" s="555" t="s">
        <v>2310</v>
      </c>
      <c r="C2751" s="555" t="str">
        <f>VLOOKUP(D2751,기본!$D$13:$E$74,2,0)</f>
        <v>코웨이</v>
      </c>
      <c r="D2751" t="s">
        <v>2010</v>
      </c>
      <c r="E2751" t="s">
        <v>1093</v>
      </c>
      <c r="F2751" t="s">
        <v>1093</v>
      </c>
      <c r="G2751" s="554">
        <v>158</v>
      </c>
      <c r="H2751">
        <v>0.86249400000000009</v>
      </c>
    </row>
    <row r="2752" spans="2:8">
      <c r="B2752" s="555" t="s">
        <v>2310</v>
      </c>
      <c r="C2752" s="555" t="str">
        <f>VLOOKUP(D2752,기본!$D$13:$E$74,2,0)</f>
        <v>코웨이</v>
      </c>
      <c r="D2752" t="s">
        <v>2010</v>
      </c>
      <c r="E2752" t="s">
        <v>1094</v>
      </c>
      <c r="F2752" t="s">
        <v>1094</v>
      </c>
      <c r="G2752" s="554">
        <v>502</v>
      </c>
      <c r="H2752">
        <v>1.5870250000000001</v>
      </c>
    </row>
    <row r="2753" spans="2:8">
      <c r="B2753" s="555" t="s">
        <v>2310</v>
      </c>
      <c r="C2753" s="555" t="str">
        <f>VLOOKUP(D2753,기본!$D$13:$E$74,2,0)</f>
        <v>코웨이</v>
      </c>
      <c r="D2753" t="s">
        <v>2010</v>
      </c>
      <c r="E2753" t="s">
        <v>1095</v>
      </c>
      <c r="F2753" t="s">
        <v>1095</v>
      </c>
      <c r="G2753" s="554">
        <v>352</v>
      </c>
      <c r="H2753">
        <v>2.1246719999999999</v>
      </c>
    </row>
    <row r="2754" spans="2:8">
      <c r="B2754" s="555" t="s">
        <v>2310</v>
      </c>
      <c r="C2754" s="555" t="str">
        <f>VLOOKUP(D2754,기본!$D$13:$E$74,2,0)</f>
        <v>코웨이</v>
      </c>
      <c r="D2754" t="s">
        <v>2010</v>
      </c>
      <c r="E2754" t="s">
        <v>2015</v>
      </c>
      <c r="F2754" t="s">
        <v>2015</v>
      </c>
      <c r="G2754" s="554">
        <v>27</v>
      </c>
      <c r="H2754">
        <v>0.34792199999999995</v>
      </c>
    </row>
    <row r="2755" spans="2:8">
      <c r="B2755" s="555" t="s">
        <v>2310</v>
      </c>
      <c r="C2755" s="555" t="str">
        <f>VLOOKUP(D2755,기본!$D$13:$E$74,2,0)</f>
        <v>코웨이</v>
      </c>
      <c r="D2755" t="s">
        <v>2010</v>
      </c>
      <c r="E2755" t="s">
        <v>2197</v>
      </c>
      <c r="F2755" t="s">
        <v>2197</v>
      </c>
      <c r="G2755" s="554">
        <v>146</v>
      </c>
      <c r="H2755">
        <v>1.1053660000000001</v>
      </c>
    </row>
    <row r="2756" spans="2:8">
      <c r="B2756" s="555" t="s">
        <v>2310</v>
      </c>
      <c r="C2756" s="555" t="str">
        <f>VLOOKUP(D2756,기본!$D$13:$E$74,2,0)</f>
        <v>코웨이</v>
      </c>
      <c r="D2756" t="s">
        <v>2010</v>
      </c>
      <c r="E2756" t="s">
        <v>2016</v>
      </c>
      <c r="F2756" t="s">
        <v>2016</v>
      </c>
      <c r="G2756" s="554">
        <v>134</v>
      </c>
      <c r="H2756">
        <v>1.0856680000000001</v>
      </c>
    </row>
    <row r="2757" spans="2:8">
      <c r="B2757" s="555" t="s">
        <v>2310</v>
      </c>
      <c r="C2757" s="555" t="str">
        <f>VLOOKUP(D2757,기본!$D$13:$E$74,2,0)</f>
        <v>코웨이</v>
      </c>
      <c r="D2757" t="s">
        <v>2010</v>
      </c>
      <c r="E2757" t="s">
        <v>2228</v>
      </c>
      <c r="F2757" t="s">
        <v>2228</v>
      </c>
      <c r="G2757" s="554">
        <v>112</v>
      </c>
      <c r="H2757">
        <v>0.982464</v>
      </c>
    </row>
    <row r="2758" spans="2:8">
      <c r="B2758" s="555" t="s">
        <v>2310</v>
      </c>
      <c r="C2758" s="555" t="str">
        <f>VLOOKUP(D2758,기본!$D$13:$E$74,2,0)</f>
        <v>코웨이</v>
      </c>
      <c r="D2758" t="s">
        <v>2010</v>
      </c>
      <c r="E2758" t="s">
        <v>2229</v>
      </c>
      <c r="F2758" t="s">
        <v>2229</v>
      </c>
      <c r="G2758" s="554">
        <v>712</v>
      </c>
      <c r="H2758">
        <v>10.85468</v>
      </c>
    </row>
    <row r="2759" spans="2:8">
      <c r="B2759" s="555" t="s">
        <v>2310</v>
      </c>
      <c r="C2759" s="555" t="str">
        <f>VLOOKUP(D2759,기본!$D$13:$E$74,2,0)</f>
        <v>코웨이</v>
      </c>
      <c r="D2759" t="s">
        <v>2010</v>
      </c>
      <c r="E2759" t="s">
        <v>2149</v>
      </c>
      <c r="F2759" t="s">
        <v>2149</v>
      </c>
      <c r="G2759" s="554">
        <v>10</v>
      </c>
      <c r="H2759">
        <v>9.9699999999999997E-2</v>
      </c>
    </row>
    <row r="2760" spans="2:8">
      <c r="B2760" s="555" t="s">
        <v>2310</v>
      </c>
      <c r="C2760" s="555" t="str">
        <f>VLOOKUP(D2760,기본!$D$13:$E$74,2,0)</f>
        <v>코웨이</v>
      </c>
      <c r="D2760" t="s">
        <v>2010</v>
      </c>
      <c r="E2760" t="s">
        <v>2017</v>
      </c>
      <c r="F2760" t="s">
        <v>2017</v>
      </c>
      <c r="G2760" s="554">
        <v>6</v>
      </c>
      <c r="H2760">
        <v>7.3775999999999994E-2</v>
      </c>
    </row>
    <row r="2761" spans="2:8">
      <c r="B2761" s="555" t="s">
        <v>2310</v>
      </c>
      <c r="C2761" s="555" t="str">
        <f>VLOOKUP(D2761,기본!$D$13:$E$74,2,0)</f>
        <v>코웨이</v>
      </c>
      <c r="D2761" t="s">
        <v>2010</v>
      </c>
      <c r="E2761" t="s">
        <v>2019</v>
      </c>
      <c r="F2761" t="s">
        <v>2019</v>
      </c>
      <c r="G2761" s="554">
        <v>24</v>
      </c>
      <c r="H2761">
        <v>0.39684000000000003</v>
      </c>
    </row>
    <row r="2762" spans="2:8">
      <c r="B2762" s="555" t="s">
        <v>2310</v>
      </c>
      <c r="C2762" s="555" t="str">
        <f>VLOOKUP(D2762,기본!$D$13:$E$74,2,0)</f>
        <v>코웨이</v>
      </c>
      <c r="D2762" t="s">
        <v>2010</v>
      </c>
      <c r="E2762" t="s">
        <v>2020</v>
      </c>
      <c r="F2762" t="s">
        <v>2020</v>
      </c>
      <c r="G2762" s="554">
        <v>1658</v>
      </c>
      <c r="H2762">
        <v>22.103246000000002</v>
      </c>
    </row>
    <row r="2763" spans="2:8">
      <c r="B2763" s="555" t="s">
        <v>2310</v>
      </c>
      <c r="C2763" s="555" t="str">
        <f>VLOOKUP(D2763,기본!$D$13:$E$74,2,0)</f>
        <v>코웨이</v>
      </c>
      <c r="D2763" t="s">
        <v>2010</v>
      </c>
      <c r="E2763" t="s">
        <v>2021</v>
      </c>
      <c r="F2763" t="s">
        <v>2021</v>
      </c>
      <c r="G2763" s="554">
        <v>26423</v>
      </c>
      <c r="H2763">
        <v>340.00111600000008</v>
      </c>
    </row>
    <row r="2764" spans="2:8">
      <c r="B2764" s="555" t="s">
        <v>2310</v>
      </c>
      <c r="C2764" s="555" t="str">
        <f>VLOOKUP(D2764,기본!$D$13:$E$74,2,0)</f>
        <v>코웨이</v>
      </c>
      <c r="D2764" t="s">
        <v>2010</v>
      </c>
      <c r="E2764" t="s">
        <v>1542</v>
      </c>
      <c r="F2764" t="s">
        <v>1542</v>
      </c>
      <c r="G2764" s="554">
        <v>908</v>
      </c>
      <c r="H2764">
        <v>7.0914799999999998</v>
      </c>
    </row>
    <row r="2765" spans="2:8">
      <c r="B2765" s="555" t="s">
        <v>2310</v>
      </c>
      <c r="C2765" s="555" t="str">
        <f>VLOOKUP(D2765,기본!$D$13:$E$74,2,0)</f>
        <v>코웨이</v>
      </c>
      <c r="D2765" t="s">
        <v>2010</v>
      </c>
      <c r="E2765" t="s">
        <v>1543</v>
      </c>
      <c r="F2765" t="s">
        <v>1543</v>
      </c>
      <c r="G2765" s="554">
        <v>142</v>
      </c>
      <c r="H2765">
        <v>1.022116</v>
      </c>
    </row>
    <row r="2766" spans="2:8">
      <c r="B2766" s="555" t="s">
        <v>2310</v>
      </c>
      <c r="C2766" s="555" t="str">
        <f>VLOOKUP(D2766,기본!$D$13:$E$74,2,0)</f>
        <v>코웨이</v>
      </c>
      <c r="D2766" t="s">
        <v>2010</v>
      </c>
      <c r="E2766" t="s">
        <v>2022</v>
      </c>
      <c r="F2766" t="s">
        <v>2022</v>
      </c>
      <c r="G2766" s="554">
        <v>36</v>
      </c>
      <c r="H2766">
        <v>0.28061999999999998</v>
      </c>
    </row>
    <row r="2767" spans="2:8">
      <c r="B2767" s="555" t="s">
        <v>2310</v>
      </c>
      <c r="C2767" s="555" t="str">
        <f>VLOOKUP(D2767,기본!$D$13:$E$74,2,0)</f>
        <v>코웨이</v>
      </c>
      <c r="D2767" t="s">
        <v>2010</v>
      </c>
      <c r="E2767" t="s">
        <v>2302</v>
      </c>
      <c r="F2767" t="s">
        <v>2302</v>
      </c>
      <c r="G2767" s="554">
        <v>30</v>
      </c>
      <c r="H2767">
        <v>0.55964999999999998</v>
      </c>
    </row>
    <row r="2768" spans="2:8">
      <c r="B2768" s="555" t="s">
        <v>2310</v>
      </c>
      <c r="C2768" s="555" t="str">
        <f>VLOOKUP(D2768,기본!$D$13:$E$74,2,0)</f>
        <v>코웨이</v>
      </c>
      <c r="D2768" t="s">
        <v>2010</v>
      </c>
      <c r="E2768" t="s">
        <v>2023</v>
      </c>
      <c r="F2768" t="s">
        <v>2023</v>
      </c>
      <c r="G2768" s="554">
        <v>1876</v>
      </c>
      <c r="H2768">
        <v>13.638598000000002</v>
      </c>
    </row>
    <row r="2769" spans="2:8">
      <c r="B2769" s="555" t="s">
        <v>2310</v>
      </c>
      <c r="C2769" s="555" t="str">
        <f>VLOOKUP(D2769,기본!$D$13:$E$74,2,0)</f>
        <v>코웨이</v>
      </c>
      <c r="D2769" t="s">
        <v>2010</v>
      </c>
      <c r="E2769" t="s">
        <v>2024</v>
      </c>
      <c r="F2769" t="s">
        <v>2024</v>
      </c>
      <c r="G2769" s="554">
        <v>15</v>
      </c>
      <c r="H2769">
        <v>0.15163500000000002</v>
      </c>
    </row>
    <row r="2770" spans="2:8">
      <c r="B2770" s="555" t="s">
        <v>2310</v>
      </c>
      <c r="C2770" s="555" t="str">
        <f>VLOOKUP(D2770,기본!$D$13:$E$74,2,0)</f>
        <v>코웨이</v>
      </c>
      <c r="D2770" t="s">
        <v>2010</v>
      </c>
      <c r="E2770" t="s">
        <v>2025</v>
      </c>
      <c r="F2770" t="s">
        <v>2025</v>
      </c>
      <c r="G2770" s="554">
        <v>1458</v>
      </c>
      <c r="H2770">
        <v>13.070969999999999</v>
      </c>
    </row>
    <row r="2771" spans="2:8">
      <c r="B2771" s="555" t="s">
        <v>2310</v>
      </c>
      <c r="C2771" s="555" t="str">
        <f>VLOOKUP(D2771,기본!$D$13:$E$74,2,0)</f>
        <v>코웨이</v>
      </c>
      <c r="D2771" t="s">
        <v>2010</v>
      </c>
      <c r="E2771" t="s">
        <v>2027</v>
      </c>
      <c r="F2771" t="s">
        <v>2027</v>
      </c>
      <c r="G2771" s="554">
        <v>150</v>
      </c>
      <c r="H2771">
        <v>2.91</v>
      </c>
    </row>
    <row r="2772" spans="2:8">
      <c r="B2772" s="555" t="s">
        <v>2310</v>
      </c>
      <c r="C2772" s="555" t="str">
        <f>VLOOKUP(D2772,기본!$D$13:$E$74,2,0)</f>
        <v>코웨이</v>
      </c>
      <c r="D2772" t="s">
        <v>2010</v>
      </c>
      <c r="E2772" t="s">
        <v>2028</v>
      </c>
      <c r="F2772" t="s">
        <v>2028</v>
      </c>
      <c r="G2772" s="554">
        <v>48</v>
      </c>
      <c r="H2772">
        <v>0.90720000000000001</v>
      </c>
    </row>
    <row r="2773" spans="2:8">
      <c r="B2773" s="555" t="s">
        <v>2310</v>
      </c>
      <c r="C2773" s="555" t="str">
        <f>VLOOKUP(D2773,기본!$D$13:$E$74,2,0)</f>
        <v>코웨이</v>
      </c>
      <c r="D2773" t="s">
        <v>2010</v>
      </c>
      <c r="E2773" t="s">
        <v>2029</v>
      </c>
      <c r="F2773" t="s">
        <v>2029</v>
      </c>
      <c r="G2773" s="554">
        <v>72</v>
      </c>
      <c r="H2773">
        <v>1.482264</v>
      </c>
    </row>
    <row r="2774" spans="2:8">
      <c r="B2774" s="555" t="s">
        <v>2310</v>
      </c>
      <c r="C2774" s="555" t="str">
        <f>VLOOKUP(D2774,기본!$D$13:$E$74,2,0)</f>
        <v>코웨이</v>
      </c>
      <c r="D2774" t="s">
        <v>2010</v>
      </c>
      <c r="E2774" t="s">
        <v>2030</v>
      </c>
      <c r="F2774" t="s">
        <v>2030</v>
      </c>
      <c r="G2774" s="554">
        <v>756</v>
      </c>
      <c r="H2774">
        <v>15.563772</v>
      </c>
    </row>
    <row r="2775" spans="2:8">
      <c r="B2775" s="555" t="s">
        <v>2310</v>
      </c>
      <c r="C2775" s="555" t="str">
        <f>VLOOKUP(D2775,기본!$D$13:$E$74,2,0)</f>
        <v>코웨이</v>
      </c>
      <c r="D2775" t="s">
        <v>2010</v>
      </c>
      <c r="E2775" t="s">
        <v>2032</v>
      </c>
      <c r="F2775" t="s">
        <v>2032</v>
      </c>
      <c r="G2775" s="554">
        <v>373</v>
      </c>
      <c r="H2775">
        <v>0.82673399999999997</v>
      </c>
    </row>
    <row r="2776" spans="2:8">
      <c r="B2776" s="555" t="s">
        <v>2310</v>
      </c>
      <c r="C2776" s="555" t="str">
        <f>VLOOKUP(D2776,기본!$D$13:$E$74,2,0)</f>
        <v>코웨이</v>
      </c>
      <c r="D2776" t="s">
        <v>2010</v>
      </c>
      <c r="E2776" t="s">
        <v>2033</v>
      </c>
      <c r="F2776" t="s">
        <v>2033</v>
      </c>
      <c r="G2776" s="554">
        <v>4478</v>
      </c>
      <c r="H2776">
        <v>28.775483000000005</v>
      </c>
    </row>
    <row r="2777" spans="2:8">
      <c r="B2777" s="555" t="s">
        <v>2310</v>
      </c>
      <c r="C2777" s="555" t="str">
        <f>VLOOKUP(D2777,기본!$D$13:$E$74,2,0)</f>
        <v>코웨이</v>
      </c>
      <c r="D2777" t="s">
        <v>2010</v>
      </c>
      <c r="E2777" t="s">
        <v>2034</v>
      </c>
      <c r="F2777" t="s">
        <v>2034</v>
      </c>
      <c r="G2777" s="554">
        <v>8818</v>
      </c>
      <c r="H2777">
        <v>138.11162000000002</v>
      </c>
    </row>
    <row r="2778" spans="2:8">
      <c r="B2778" s="555" t="s">
        <v>2310</v>
      </c>
      <c r="C2778" s="555" t="str">
        <f>VLOOKUP(D2778,기본!$D$13:$E$74,2,0)</f>
        <v>코웨이</v>
      </c>
      <c r="D2778" t="s">
        <v>2010</v>
      </c>
      <c r="E2778" t="s">
        <v>2303</v>
      </c>
      <c r="F2778" t="s">
        <v>2303</v>
      </c>
      <c r="G2778" s="554">
        <v>100</v>
      </c>
      <c r="H2778">
        <v>0.90959999999999996</v>
      </c>
    </row>
    <row r="2779" spans="2:8">
      <c r="B2779" s="555" t="s">
        <v>2310</v>
      </c>
      <c r="C2779" s="555" t="str">
        <f>VLOOKUP(D2779,기본!$D$13:$E$74,2,0)</f>
        <v>코웨이</v>
      </c>
      <c r="D2779" t="s">
        <v>2010</v>
      </c>
      <c r="E2779" t="s">
        <v>2035</v>
      </c>
      <c r="F2779" t="s">
        <v>2035</v>
      </c>
      <c r="G2779" s="554">
        <v>737</v>
      </c>
      <c r="H2779">
        <v>12.342644999999999</v>
      </c>
    </row>
    <row r="2780" spans="2:8">
      <c r="B2780" s="555" t="s">
        <v>2310</v>
      </c>
      <c r="C2780" s="555" t="str">
        <f>VLOOKUP(D2780,기본!$D$13:$E$74,2,0)</f>
        <v>코웨이</v>
      </c>
      <c r="D2780" t="s">
        <v>2010</v>
      </c>
      <c r="E2780" t="s">
        <v>2248</v>
      </c>
      <c r="F2780" t="s">
        <v>2248</v>
      </c>
      <c r="G2780" s="554">
        <v>20</v>
      </c>
      <c r="H2780">
        <v>0.39007999999999998</v>
      </c>
    </row>
    <row r="2781" spans="2:8">
      <c r="B2781" s="555" t="s">
        <v>2310</v>
      </c>
      <c r="C2781" s="555" t="str">
        <f>VLOOKUP(D2781,기본!$D$13:$E$74,2,0)</f>
        <v>코웨이</v>
      </c>
      <c r="D2781" t="s">
        <v>2010</v>
      </c>
      <c r="E2781" t="s">
        <v>2036</v>
      </c>
      <c r="F2781" t="s">
        <v>2036</v>
      </c>
      <c r="G2781" s="554">
        <v>2196</v>
      </c>
      <c r="H2781">
        <v>33.727499999999999</v>
      </c>
    </row>
    <row r="2782" spans="2:8">
      <c r="B2782" s="555" t="s">
        <v>2310</v>
      </c>
      <c r="C2782" s="555" t="str">
        <f>VLOOKUP(D2782,기본!$D$13:$E$74,2,0)</f>
        <v>코웨이</v>
      </c>
      <c r="D2782" t="s">
        <v>2010</v>
      </c>
      <c r="E2782" t="s">
        <v>2037</v>
      </c>
      <c r="F2782" t="s">
        <v>2037</v>
      </c>
      <c r="G2782" s="554">
        <v>1025</v>
      </c>
      <c r="H2782">
        <v>16.044360000000001</v>
      </c>
    </row>
    <row r="2783" spans="2:8">
      <c r="B2783" s="555" t="s">
        <v>2310</v>
      </c>
      <c r="C2783" s="555" t="str">
        <f>VLOOKUP(D2783,기본!$D$13:$E$74,2,0)</f>
        <v>코웨이</v>
      </c>
      <c r="D2783" t="s">
        <v>2010</v>
      </c>
      <c r="E2783" t="s">
        <v>2038</v>
      </c>
      <c r="F2783" t="s">
        <v>2038</v>
      </c>
      <c r="G2783" s="554">
        <v>700</v>
      </c>
      <c r="H2783">
        <v>11.123699999999999</v>
      </c>
    </row>
    <row r="2784" spans="2:8">
      <c r="B2784" s="555" t="s">
        <v>2310</v>
      </c>
      <c r="C2784" s="555" t="str">
        <f>VLOOKUP(D2784,기본!$D$13:$E$74,2,0)</f>
        <v>코웨이</v>
      </c>
      <c r="D2784" t="s">
        <v>2010</v>
      </c>
      <c r="E2784" t="s">
        <v>2041</v>
      </c>
      <c r="F2784" t="s">
        <v>2041</v>
      </c>
      <c r="G2784" s="554">
        <v>7406</v>
      </c>
      <c r="H2784">
        <v>121.27996399999999</v>
      </c>
    </row>
    <row r="2785" spans="2:8">
      <c r="B2785" s="555" t="s">
        <v>2310</v>
      </c>
      <c r="C2785" s="555" t="str">
        <f>VLOOKUP(D2785,기본!$D$13:$E$74,2,0)</f>
        <v>코웨이</v>
      </c>
      <c r="D2785" t="s">
        <v>2010</v>
      </c>
      <c r="E2785" t="s">
        <v>1089</v>
      </c>
      <c r="F2785" t="s">
        <v>1089</v>
      </c>
      <c r="G2785" s="554">
        <v>479</v>
      </c>
      <c r="H2785">
        <v>5.4152249999999995</v>
      </c>
    </row>
    <row r="2786" spans="2:8">
      <c r="B2786" s="555" t="s">
        <v>2310</v>
      </c>
      <c r="C2786" s="555" t="str">
        <f>VLOOKUP(D2786,기본!$D$13:$E$74,2,0)</f>
        <v>코웨이</v>
      </c>
      <c r="D2786" t="s">
        <v>2010</v>
      </c>
      <c r="E2786" t="s">
        <v>2042</v>
      </c>
      <c r="F2786" t="s">
        <v>2042</v>
      </c>
      <c r="G2786" s="554">
        <v>13</v>
      </c>
      <c r="H2786">
        <v>9.6057000000000003E-2</v>
      </c>
    </row>
    <row r="2787" spans="2:8">
      <c r="B2787" s="555" t="s">
        <v>2310</v>
      </c>
      <c r="C2787" s="555" t="str">
        <f>VLOOKUP(D2787,기본!$D$13:$E$74,2,0)</f>
        <v>코웨이</v>
      </c>
      <c r="D2787" t="s">
        <v>2010</v>
      </c>
      <c r="E2787" t="s">
        <v>2043</v>
      </c>
      <c r="F2787" t="s">
        <v>2043</v>
      </c>
      <c r="G2787" s="554">
        <v>983</v>
      </c>
      <c r="H2787">
        <v>8.2247610000000009</v>
      </c>
    </row>
    <row r="2788" spans="2:8">
      <c r="B2788" s="555" t="s">
        <v>2310</v>
      </c>
      <c r="C2788" s="555" t="str">
        <f>VLOOKUP(D2788,기본!$D$13:$E$74,2,0)</f>
        <v>코웨이</v>
      </c>
      <c r="D2788" t="s">
        <v>2010</v>
      </c>
      <c r="E2788" t="s">
        <v>2044</v>
      </c>
      <c r="F2788" t="s">
        <v>2044</v>
      </c>
      <c r="G2788" s="554">
        <v>242</v>
      </c>
      <c r="H2788">
        <v>3.9575480000000001</v>
      </c>
    </row>
    <row r="2789" spans="2:8">
      <c r="B2789" s="555" t="s">
        <v>2310</v>
      </c>
      <c r="C2789" s="555" t="str">
        <f>VLOOKUP(D2789,기본!$D$13:$E$74,2,0)</f>
        <v>코웨이</v>
      </c>
      <c r="D2789" t="s">
        <v>2010</v>
      </c>
      <c r="E2789" t="s">
        <v>2152</v>
      </c>
      <c r="F2789" t="s">
        <v>2152</v>
      </c>
      <c r="G2789" s="554">
        <v>37</v>
      </c>
      <c r="H2789">
        <v>0.14000799999999999</v>
      </c>
    </row>
    <row r="2790" spans="2:8">
      <c r="B2790" s="555" t="s">
        <v>2310</v>
      </c>
      <c r="C2790" s="555" t="str">
        <f>VLOOKUP(D2790,기본!$D$13:$E$74,2,0)</f>
        <v>코웨이</v>
      </c>
      <c r="D2790" t="s">
        <v>2010</v>
      </c>
      <c r="E2790" t="s">
        <v>2045</v>
      </c>
      <c r="F2790" t="s">
        <v>2045</v>
      </c>
      <c r="G2790" s="554">
        <v>117</v>
      </c>
      <c r="H2790">
        <v>1.9816290000000001</v>
      </c>
    </row>
    <row r="2791" spans="2:8">
      <c r="B2791" s="555" t="s">
        <v>2310</v>
      </c>
      <c r="C2791" s="555" t="str">
        <f>VLOOKUP(D2791,기본!$D$13:$E$74,2,0)</f>
        <v>코웨이</v>
      </c>
      <c r="D2791" t="s">
        <v>2010</v>
      </c>
      <c r="E2791" t="s">
        <v>2046</v>
      </c>
      <c r="F2791" t="s">
        <v>2046</v>
      </c>
      <c r="G2791" s="554">
        <v>1132</v>
      </c>
      <c r="H2791">
        <v>17.831429</v>
      </c>
    </row>
    <row r="2792" spans="2:8">
      <c r="B2792" s="555" t="s">
        <v>2310</v>
      </c>
      <c r="C2792" s="555" t="str">
        <f>VLOOKUP(D2792,기본!$D$13:$E$74,2,0)</f>
        <v>코웨이</v>
      </c>
      <c r="D2792" t="s">
        <v>2010</v>
      </c>
      <c r="E2792" t="s">
        <v>1215</v>
      </c>
      <c r="F2792" t="s">
        <v>1215</v>
      </c>
      <c r="G2792" s="554">
        <v>10</v>
      </c>
      <c r="H2792">
        <v>0.31713999999999998</v>
      </c>
    </row>
    <row r="2793" spans="2:8">
      <c r="B2793" s="555" t="s">
        <v>2310</v>
      </c>
      <c r="C2793" s="555" t="str">
        <f>VLOOKUP(D2793,기본!$D$13:$E$74,2,0)</f>
        <v>코웨이</v>
      </c>
      <c r="D2793" t="s">
        <v>2010</v>
      </c>
      <c r="E2793" t="s">
        <v>1216</v>
      </c>
      <c r="F2793" t="s">
        <v>1216</v>
      </c>
      <c r="G2793" s="554">
        <v>3</v>
      </c>
      <c r="H2793">
        <v>8.0852999999999994E-2</v>
      </c>
    </row>
    <row r="2794" spans="2:8">
      <c r="B2794" s="555" t="s">
        <v>2310</v>
      </c>
      <c r="C2794" s="555" t="str">
        <f>VLOOKUP(D2794,기본!$D$13:$E$74,2,0)</f>
        <v>코웨이</v>
      </c>
      <c r="D2794" t="s">
        <v>2010</v>
      </c>
      <c r="E2794" t="s">
        <v>2050</v>
      </c>
      <c r="F2794" t="s">
        <v>2050</v>
      </c>
      <c r="G2794" s="554">
        <v>72</v>
      </c>
      <c r="H2794">
        <v>1.746648</v>
      </c>
    </row>
    <row r="2795" spans="2:8">
      <c r="B2795" s="555" t="s">
        <v>2310</v>
      </c>
      <c r="C2795" s="555" t="str">
        <f>VLOOKUP(D2795,기본!$D$13:$E$74,2,0)</f>
        <v>코웨이</v>
      </c>
      <c r="D2795" t="s">
        <v>2010</v>
      </c>
      <c r="E2795" t="s">
        <v>2304</v>
      </c>
      <c r="F2795" t="s">
        <v>2304</v>
      </c>
      <c r="G2795" s="554">
        <v>12</v>
      </c>
      <c r="H2795">
        <v>0.29660399999999998</v>
      </c>
    </row>
    <row r="2796" spans="2:8">
      <c r="B2796" s="555" t="s">
        <v>2310</v>
      </c>
      <c r="C2796" s="555" t="str">
        <f>VLOOKUP(D2796,기본!$D$13:$E$74,2,0)</f>
        <v>코웨이</v>
      </c>
      <c r="D2796" t="s">
        <v>2010</v>
      </c>
      <c r="E2796" t="s">
        <v>2051</v>
      </c>
      <c r="F2796" t="s">
        <v>2051</v>
      </c>
      <c r="G2796" s="554">
        <v>227</v>
      </c>
      <c r="H2796">
        <v>5.5012129999999999</v>
      </c>
    </row>
    <row r="2797" spans="2:8">
      <c r="B2797" s="555" t="s">
        <v>2310</v>
      </c>
      <c r="C2797" s="555" t="str">
        <f>VLOOKUP(D2797,기본!$D$13:$E$74,2,0)</f>
        <v>코웨이</v>
      </c>
      <c r="D2797" t="s">
        <v>2010</v>
      </c>
      <c r="E2797" t="s">
        <v>2052</v>
      </c>
      <c r="F2797" t="s">
        <v>2052</v>
      </c>
      <c r="G2797" s="554">
        <v>70</v>
      </c>
      <c r="H2797">
        <v>1.6128</v>
      </c>
    </row>
    <row r="2798" spans="2:8">
      <c r="B2798" s="555" t="s">
        <v>2310</v>
      </c>
      <c r="C2798" s="555" t="str">
        <f>VLOOKUP(D2798,기본!$D$13:$E$74,2,0)</f>
        <v>코웨이</v>
      </c>
      <c r="D2798" t="s">
        <v>2010</v>
      </c>
      <c r="E2798" t="s">
        <v>2305</v>
      </c>
      <c r="F2798" t="s">
        <v>2305</v>
      </c>
      <c r="G2798" s="554">
        <v>180</v>
      </c>
      <c r="H2798">
        <v>4.1471999999999998</v>
      </c>
    </row>
    <row r="2799" spans="2:8">
      <c r="B2799" s="555" t="s">
        <v>2310</v>
      </c>
      <c r="C2799" s="555" t="str">
        <f>VLOOKUP(D2799,기본!$D$13:$E$74,2,0)</f>
        <v>코웨이</v>
      </c>
      <c r="D2799" t="s">
        <v>2010</v>
      </c>
      <c r="E2799" t="s">
        <v>2053</v>
      </c>
      <c r="F2799" t="s">
        <v>2053</v>
      </c>
      <c r="G2799" s="554">
        <v>120</v>
      </c>
      <c r="H2799">
        <v>3.1552799999999999</v>
      </c>
    </row>
    <row r="2800" spans="2:8">
      <c r="B2800" s="555" t="s">
        <v>2310</v>
      </c>
      <c r="C2800" s="555" t="str">
        <f>VLOOKUP(D2800,기본!$D$13:$E$74,2,0)</f>
        <v>코웨이</v>
      </c>
      <c r="D2800" t="s">
        <v>2010</v>
      </c>
      <c r="E2800" t="s">
        <v>1217</v>
      </c>
      <c r="F2800" t="s">
        <v>1217</v>
      </c>
      <c r="G2800" s="554">
        <v>224</v>
      </c>
      <c r="H2800">
        <v>6.8638119999999994</v>
      </c>
    </row>
    <row r="2801" spans="2:8">
      <c r="B2801" s="555" t="s">
        <v>2310</v>
      </c>
      <c r="C2801" s="555" t="str">
        <f>VLOOKUP(D2801,기본!$D$13:$E$74,2,0)</f>
        <v>코웨이</v>
      </c>
      <c r="D2801" t="s">
        <v>2010</v>
      </c>
      <c r="E2801" t="s">
        <v>2054</v>
      </c>
      <c r="F2801" t="s">
        <v>2054</v>
      </c>
      <c r="G2801" s="554">
        <v>49</v>
      </c>
      <c r="H2801">
        <v>1.5473710000000001</v>
      </c>
    </row>
    <row r="2802" spans="2:8">
      <c r="B2802" s="555" t="s">
        <v>2310</v>
      </c>
      <c r="C2802" s="555" t="str">
        <f>VLOOKUP(D2802,기본!$D$13:$E$74,2,0)</f>
        <v>코웨이</v>
      </c>
      <c r="D2802" t="s">
        <v>2010</v>
      </c>
      <c r="E2802" t="s">
        <v>2055</v>
      </c>
      <c r="F2802" t="s">
        <v>2055</v>
      </c>
      <c r="G2802" s="554">
        <v>17</v>
      </c>
      <c r="H2802">
        <v>0.48687999999999998</v>
      </c>
    </row>
    <row r="2803" spans="2:8">
      <c r="B2803" s="555" t="s">
        <v>2310</v>
      </c>
      <c r="C2803" s="555" t="str">
        <f>VLOOKUP(D2803,기본!$D$13:$E$74,2,0)</f>
        <v>코웨이</v>
      </c>
      <c r="D2803" t="s">
        <v>2010</v>
      </c>
      <c r="E2803" t="s">
        <v>2056</v>
      </c>
      <c r="F2803" t="s">
        <v>2056</v>
      </c>
      <c r="G2803" s="554">
        <v>117</v>
      </c>
      <c r="H2803">
        <v>2.2288939999999999</v>
      </c>
    </row>
    <row r="2804" spans="2:8">
      <c r="B2804" s="555" t="s">
        <v>2310</v>
      </c>
      <c r="C2804" s="555" t="str">
        <f>VLOOKUP(D2804,기본!$D$13:$E$74,2,0)</f>
        <v>코웨이</v>
      </c>
      <c r="D2804" t="s">
        <v>2010</v>
      </c>
      <c r="E2804" t="s">
        <v>2154</v>
      </c>
      <c r="F2804" t="s">
        <v>2154</v>
      </c>
      <c r="G2804" s="554">
        <v>38</v>
      </c>
      <c r="H2804">
        <v>0.74480000000000002</v>
      </c>
    </row>
    <row r="2805" spans="2:8">
      <c r="B2805" s="555" t="s">
        <v>2310</v>
      </c>
      <c r="C2805" s="555" t="str">
        <f>VLOOKUP(D2805,기본!$D$13:$E$74,2,0)</f>
        <v>코웨이</v>
      </c>
      <c r="D2805" t="s">
        <v>2010</v>
      </c>
      <c r="E2805" t="s">
        <v>2057</v>
      </c>
      <c r="F2805" t="s">
        <v>2057</v>
      </c>
      <c r="G2805" s="554">
        <v>18</v>
      </c>
      <c r="H2805">
        <v>0.54883799999999994</v>
      </c>
    </row>
    <row r="2806" spans="2:8">
      <c r="B2806" s="555" t="s">
        <v>2310</v>
      </c>
      <c r="C2806" s="555" t="str">
        <f>VLOOKUP(D2806,기본!$D$13:$E$74,2,0)</f>
        <v>코웨이</v>
      </c>
      <c r="D2806" t="s">
        <v>2010</v>
      </c>
      <c r="E2806" t="s">
        <v>1328</v>
      </c>
      <c r="F2806" t="s">
        <v>1328</v>
      </c>
      <c r="G2806" s="554">
        <v>16</v>
      </c>
      <c r="H2806">
        <v>5.9083999999999998E-2</v>
      </c>
    </row>
    <row r="2807" spans="2:8">
      <c r="B2807" s="555" t="s">
        <v>2310</v>
      </c>
      <c r="C2807" s="555" t="str">
        <f>VLOOKUP(D2807,기본!$D$13:$E$74,2,0)</f>
        <v>코웨이</v>
      </c>
      <c r="D2807" t="s">
        <v>2010</v>
      </c>
      <c r="E2807" t="s">
        <v>1327</v>
      </c>
      <c r="F2807" t="s">
        <v>1327</v>
      </c>
      <c r="G2807" s="554">
        <v>48</v>
      </c>
      <c r="H2807">
        <v>0.52881599999999995</v>
      </c>
    </row>
    <row r="2808" spans="2:8">
      <c r="B2808" s="555" t="s">
        <v>2310</v>
      </c>
      <c r="C2808" s="555" t="str">
        <f>VLOOKUP(D2808,기본!$D$13:$E$74,2,0)</f>
        <v>코웨이</v>
      </c>
      <c r="D2808" t="s">
        <v>2010</v>
      </c>
      <c r="E2808" t="s">
        <v>2306</v>
      </c>
      <c r="F2808" t="s">
        <v>2306</v>
      </c>
      <c r="G2808" s="554">
        <v>10</v>
      </c>
      <c r="H2808">
        <v>0.10856</v>
      </c>
    </row>
    <row r="2809" spans="2:8">
      <c r="B2809" s="555" t="s">
        <v>2310</v>
      </c>
      <c r="C2809" s="555" t="str">
        <f>VLOOKUP(D2809,기본!$D$13:$E$74,2,0)</f>
        <v>코웨이</v>
      </c>
      <c r="D2809" t="s">
        <v>2010</v>
      </c>
      <c r="E2809" t="s">
        <v>1325</v>
      </c>
      <c r="F2809" t="s">
        <v>1325</v>
      </c>
      <c r="G2809" s="554">
        <v>51</v>
      </c>
      <c r="H2809">
        <v>1.7475150000000002</v>
      </c>
    </row>
    <row r="2810" spans="2:8">
      <c r="B2810" s="555" t="s">
        <v>2310</v>
      </c>
      <c r="C2810" s="555" t="str">
        <f>VLOOKUP(D2810,기본!$D$13:$E$74,2,0)</f>
        <v>코웨이</v>
      </c>
      <c r="D2810" t="s">
        <v>2010</v>
      </c>
      <c r="E2810" t="s">
        <v>1326</v>
      </c>
      <c r="F2810" t="s">
        <v>1326</v>
      </c>
      <c r="G2810" s="554">
        <v>36</v>
      </c>
      <c r="H2810">
        <v>1.2093119999999999</v>
      </c>
    </row>
    <row r="2811" spans="2:8">
      <c r="B2811" s="555" t="s">
        <v>2310</v>
      </c>
      <c r="C2811" s="555" t="str">
        <f>VLOOKUP(D2811,기본!$D$13:$E$74,2,0)</f>
        <v>코웨이</v>
      </c>
      <c r="D2811" t="s">
        <v>2010</v>
      </c>
      <c r="E2811" t="s">
        <v>2307</v>
      </c>
      <c r="F2811" t="s">
        <v>2307</v>
      </c>
      <c r="G2811" s="554">
        <v>10</v>
      </c>
      <c r="H2811">
        <v>0.34760000000000002</v>
      </c>
    </row>
    <row r="2812" spans="2:8">
      <c r="B2812" s="555" t="s">
        <v>2310</v>
      </c>
      <c r="C2812" s="555" t="str">
        <f>VLOOKUP(D2812,기본!$D$13:$E$74,2,0)</f>
        <v>코웨이</v>
      </c>
      <c r="D2812" t="s">
        <v>2010</v>
      </c>
      <c r="E2812" t="s">
        <v>2078</v>
      </c>
      <c r="F2812" t="s">
        <v>2078</v>
      </c>
      <c r="G2812" s="554">
        <v>48</v>
      </c>
      <c r="H2812">
        <v>1.7867999999999999</v>
      </c>
    </row>
    <row r="2813" spans="2:8">
      <c r="B2813" s="555" t="s">
        <v>2310</v>
      </c>
      <c r="C2813" s="555" t="str">
        <f>VLOOKUP(D2813,기본!$D$13:$E$74,2,0)</f>
        <v>코웨이</v>
      </c>
      <c r="D2813" t="s">
        <v>2010</v>
      </c>
      <c r="E2813" t="s">
        <v>2199</v>
      </c>
      <c r="F2813" t="s">
        <v>2199</v>
      </c>
      <c r="G2813" s="554">
        <v>85</v>
      </c>
      <c r="H2813">
        <v>0.48203499999999999</v>
      </c>
    </row>
    <row r="2814" spans="2:8">
      <c r="B2814" s="555" t="s">
        <v>2310</v>
      </c>
      <c r="C2814" s="555" t="str">
        <f>VLOOKUP(D2814,기본!$D$13:$E$74,2,0)</f>
        <v>코웨이</v>
      </c>
      <c r="D2814" t="s">
        <v>2010</v>
      </c>
      <c r="E2814" t="s">
        <v>1071</v>
      </c>
      <c r="F2814" t="s">
        <v>1071</v>
      </c>
      <c r="G2814" s="554">
        <v>125</v>
      </c>
      <c r="H2814">
        <v>0.2225</v>
      </c>
    </row>
    <row r="2815" spans="2:8">
      <c r="B2815" s="555" t="s">
        <v>2310</v>
      </c>
      <c r="C2815" s="555" t="str">
        <f>VLOOKUP(D2815,기본!$D$13:$E$74,2,0)</f>
        <v>코웨이</v>
      </c>
      <c r="D2815" t="s">
        <v>2010</v>
      </c>
      <c r="E2815" t="s">
        <v>2155</v>
      </c>
      <c r="F2815" t="s">
        <v>2155</v>
      </c>
      <c r="G2815" s="554">
        <v>330</v>
      </c>
      <c r="H2815">
        <v>1.881</v>
      </c>
    </row>
    <row r="2816" spans="2:8">
      <c r="B2816" s="555" t="s">
        <v>2310</v>
      </c>
      <c r="C2816" s="555" t="str">
        <f>VLOOKUP(D2816,기본!$D$13:$E$74,2,0)</f>
        <v>코웨이</v>
      </c>
      <c r="D2816" t="s">
        <v>2010</v>
      </c>
      <c r="E2816" t="s">
        <v>1069</v>
      </c>
      <c r="F2816" t="s">
        <v>1069</v>
      </c>
      <c r="G2816" s="554">
        <v>120</v>
      </c>
      <c r="H2816">
        <v>0.66768000000000005</v>
      </c>
    </row>
    <row r="2817" spans="2:8">
      <c r="B2817" s="555" t="s">
        <v>2310</v>
      </c>
      <c r="C2817" s="555" t="str">
        <f>VLOOKUP(D2817,기본!$D$13:$E$74,2,0)</f>
        <v>코웨이</v>
      </c>
      <c r="D2817" t="s">
        <v>2010</v>
      </c>
      <c r="E2817" t="s">
        <v>2061</v>
      </c>
      <c r="F2817" t="s">
        <v>2061</v>
      </c>
      <c r="G2817" s="554">
        <v>58</v>
      </c>
      <c r="H2817">
        <v>0.32996799999999998</v>
      </c>
    </row>
    <row r="2818" spans="2:8">
      <c r="B2818" s="555" t="s">
        <v>2310</v>
      </c>
      <c r="C2818" s="555" t="str">
        <f>VLOOKUP(D2818,기본!$D$13:$E$74,2,0)</f>
        <v>코웨이</v>
      </c>
      <c r="D2818" t="s">
        <v>2010</v>
      </c>
      <c r="E2818" t="s">
        <v>2063</v>
      </c>
      <c r="F2818" t="s">
        <v>2063</v>
      </c>
      <c r="G2818" s="554">
        <v>64</v>
      </c>
      <c r="H2818">
        <v>0.37158400000000003</v>
      </c>
    </row>
    <row r="2819" spans="2:8">
      <c r="B2819" s="555" t="s">
        <v>2310</v>
      </c>
      <c r="C2819" s="555" t="str">
        <f>VLOOKUP(D2819,기본!$D$13:$E$74,2,0)</f>
        <v>코웨이</v>
      </c>
      <c r="D2819" t="s">
        <v>2010</v>
      </c>
      <c r="E2819" t="s">
        <v>2064</v>
      </c>
      <c r="F2819" t="s">
        <v>2064</v>
      </c>
      <c r="G2819" s="554">
        <v>118</v>
      </c>
      <c r="H2819">
        <v>4.595504</v>
      </c>
    </row>
    <row r="2820" spans="2:8">
      <c r="B2820" s="555" t="s">
        <v>2310</v>
      </c>
      <c r="C2820" s="555" t="str">
        <f>VLOOKUP(D2820,기본!$D$13:$E$74,2,0)</f>
        <v>코웨이</v>
      </c>
      <c r="D2820" t="s">
        <v>2010</v>
      </c>
      <c r="E2820" t="s">
        <v>1274</v>
      </c>
      <c r="F2820" t="s">
        <v>1274</v>
      </c>
      <c r="G2820" s="554">
        <v>797</v>
      </c>
      <c r="H2820">
        <v>5.8370679999999995</v>
      </c>
    </row>
    <row r="2821" spans="2:8">
      <c r="B2821" s="555" t="s">
        <v>2310</v>
      </c>
      <c r="C2821" s="555" t="str">
        <f>VLOOKUP(D2821,기본!$D$13:$E$74,2,0)</f>
        <v>코웨이</v>
      </c>
      <c r="D2821" t="s">
        <v>2010</v>
      </c>
      <c r="E2821" t="s">
        <v>1289</v>
      </c>
      <c r="F2821" t="s">
        <v>1289</v>
      </c>
      <c r="G2821" s="554">
        <v>325</v>
      </c>
      <c r="H2821">
        <v>2.7195999999999998</v>
      </c>
    </row>
    <row r="2822" spans="2:8">
      <c r="B2822" s="555" t="s">
        <v>2310</v>
      </c>
      <c r="C2822" s="555" t="str">
        <f>VLOOKUP(D2822,기본!$D$13:$E$74,2,0)</f>
        <v>코웨이</v>
      </c>
      <c r="D2822" t="s">
        <v>2010</v>
      </c>
      <c r="E2822" t="s">
        <v>1275</v>
      </c>
      <c r="F2822" t="s">
        <v>1275</v>
      </c>
      <c r="G2822" s="554">
        <v>2142</v>
      </c>
      <c r="H2822">
        <v>15.392440000000001</v>
      </c>
    </row>
    <row r="2823" spans="2:8">
      <c r="B2823" s="555" t="s">
        <v>2310</v>
      </c>
      <c r="C2823" s="555" t="str">
        <f>VLOOKUP(D2823,기본!$D$13:$E$74,2,0)</f>
        <v>코웨이</v>
      </c>
      <c r="D2823" t="s">
        <v>2010</v>
      </c>
      <c r="E2823" t="s">
        <v>2066</v>
      </c>
      <c r="F2823" t="s">
        <v>2066</v>
      </c>
      <c r="G2823" s="554">
        <v>92</v>
      </c>
      <c r="H2823">
        <v>0.73337600000000003</v>
      </c>
    </row>
    <row r="2824" spans="2:8">
      <c r="B2824" s="555" t="s">
        <v>2310</v>
      </c>
      <c r="C2824" s="555" t="str">
        <f>VLOOKUP(D2824,기본!$D$13:$E$74,2,0)</f>
        <v>코웨이</v>
      </c>
      <c r="D2824" t="s">
        <v>2010</v>
      </c>
      <c r="E2824" t="s">
        <v>229</v>
      </c>
      <c r="F2824" t="s">
        <v>229</v>
      </c>
      <c r="G2824" s="554">
        <v>0</v>
      </c>
      <c r="H2824">
        <v>28.221769999999999</v>
      </c>
    </row>
    <row r="2825" spans="2:8">
      <c r="B2825" s="555" t="s">
        <v>2310</v>
      </c>
      <c r="C2825" s="555" t="str">
        <f>VLOOKUP(D2825,기본!$D$13:$E$74,2,0)</f>
        <v>코웨이</v>
      </c>
      <c r="D2825" t="s">
        <v>2067</v>
      </c>
      <c r="E2825" t="s">
        <v>1186</v>
      </c>
      <c r="F2825" t="s">
        <v>1186</v>
      </c>
      <c r="G2825" s="554">
        <v>3</v>
      </c>
      <c r="H2825">
        <v>7.3625999999999997E-2</v>
      </c>
    </row>
    <row r="2826" spans="2:8">
      <c r="B2826" s="555" t="s">
        <v>2310</v>
      </c>
      <c r="C2826" s="555" t="str">
        <f>VLOOKUP(D2826,기본!$D$13:$E$74,2,0)</f>
        <v>코웨이</v>
      </c>
      <c r="D2826" t="s">
        <v>2067</v>
      </c>
      <c r="E2826" t="s">
        <v>2015</v>
      </c>
      <c r="F2826" t="s">
        <v>2015</v>
      </c>
      <c r="G2826" s="554">
        <v>1040</v>
      </c>
      <c r="H2826">
        <v>12.093119999999999</v>
      </c>
    </row>
    <row r="2827" spans="2:8">
      <c r="B2827" s="555" t="s">
        <v>2310</v>
      </c>
      <c r="C2827" s="555" t="str">
        <f>VLOOKUP(D2827,기본!$D$13:$E$74,2,0)</f>
        <v>코웨이</v>
      </c>
      <c r="D2827" t="s">
        <v>2067</v>
      </c>
      <c r="E2827" t="s">
        <v>2016</v>
      </c>
      <c r="F2827" t="s">
        <v>2016</v>
      </c>
      <c r="G2827" s="554">
        <v>7024</v>
      </c>
      <c r="H2827">
        <v>53.178704000000003</v>
      </c>
    </row>
    <row r="2828" spans="2:8">
      <c r="B2828" s="555" t="s">
        <v>2310</v>
      </c>
      <c r="C2828" s="555" t="str">
        <f>VLOOKUP(D2828,기본!$D$13:$E$74,2,0)</f>
        <v>코웨이</v>
      </c>
      <c r="D2828" t="s">
        <v>2067</v>
      </c>
      <c r="E2828" t="s">
        <v>2156</v>
      </c>
      <c r="F2828" t="s">
        <v>2156</v>
      </c>
      <c r="G2828" s="554">
        <v>645</v>
      </c>
      <c r="H2828">
        <v>11.16456</v>
      </c>
    </row>
    <row r="2829" spans="2:8">
      <c r="B2829" s="555" t="s">
        <v>2310</v>
      </c>
      <c r="C2829" s="555" t="str">
        <f>VLOOKUP(D2829,기본!$D$13:$E$74,2,0)</f>
        <v>코웨이</v>
      </c>
      <c r="D2829" t="s">
        <v>2067</v>
      </c>
      <c r="E2829" t="s">
        <v>2068</v>
      </c>
      <c r="F2829" t="s">
        <v>2068</v>
      </c>
      <c r="G2829" s="554">
        <v>954</v>
      </c>
      <c r="H2829">
        <v>16.381589999999999</v>
      </c>
    </row>
    <row r="2830" spans="2:8">
      <c r="B2830" s="555" t="s">
        <v>2310</v>
      </c>
      <c r="C2830" s="555" t="str">
        <f>VLOOKUP(D2830,기본!$D$13:$E$74,2,0)</f>
        <v>코웨이</v>
      </c>
      <c r="D2830" t="s">
        <v>2067</v>
      </c>
      <c r="E2830" t="s">
        <v>2069</v>
      </c>
      <c r="F2830" t="s">
        <v>2069</v>
      </c>
      <c r="G2830" s="554">
        <v>130</v>
      </c>
      <c r="H2830">
        <v>2.2744399999999998</v>
      </c>
    </row>
    <row r="2831" spans="2:8">
      <c r="B2831" s="555" t="s">
        <v>2310</v>
      </c>
      <c r="C2831" s="555" t="str">
        <f>VLOOKUP(D2831,기본!$D$13:$E$74,2,0)</f>
        <v>코웨이</v>
      </c>
      <c r="D2831" t="s">
        <v>2067</v>
      </c>
      <c r="E2831" t="s">
        <v>2020</v>
      </c>
      <c r="F2831" t="s">
        <v>2020</v>
      </c>
      <c r="G2831" s="554">
        <v>800</v>
      </c>
      <c r="H2831">
        <v>10.628</v>
      </c>
    </row>
    <row r="2832" spans="2:8">
      <c r="B2832" s="555" t="s">
        <v>2310</v>
      </c>
      <c r="C2832" s="555" t="str">
        <f>VLOOKUP(D2832,기본!$D$13:$E$74,2,0)</f>
        <v>코웨이</v>
      </c>
      <c r="D2832" t="s">
        <v>2067</v>
      </c>
      <c r="E2832" t="s">
        <v>2308</v>
      </c>
      <c r="F2832" t="s">
        <v>2308</v>
      </c>
      <c r="G2832" s="554">
        <v>2</v>
      </c>
      <c r="H2832">
        <v>7.0652000000000006E-2</v>
      </c>
    </row>
    <row r="2833" spans="2:8">
      <c r="B2833" s="555" t="s">
        <v>2310</v>
      </c>
      <c r="C2833" s="555" t="str">
        <f>VLOOKUP(D2833,기본!$D$13:$E$74,2,0)</f>
        <v>코웨이</v>
      </c>
      <c r="D2833" t="s">
        <v>2067</v>
      </c>
      <c r="E2833" t="s">
        <v>2309</v>
      </c>
      <c r="F2833" t="s">
        <v>2309</v>
      </c>
      <c r="G2833" s="554">
        <v>2</v>
      </c>
      <c r="H2833">
        <v>1.9976000000000001E-2</v>
      </c>
    </row>
    <row r="2834" spans="2:8">
      <c r="B2834" s="555" t="s">
        <v>2310</v>
      </c>
      <c r="C2834" s="555" t="str">
        <f>VLOOKUP(D2834,기본!$D$13:$E$74,2,0)</f>
        <v>코웨이</v>
      </c>
      <c r="D2834" t="s">
        <v>2067</v>
      </c>
      <c r="E2834" t="s">
        <v>2269</v>
      </c>
      <c r="F2834" t="s">
        <v>2269</v>
      </c>
      <c r="G2834" s="554">
        <v>45</v>
      </c>
      <c r="H2834">
        <v>0.6947000000000001</v>
      </c>
    </row>
    <row r="2835" spans="2:8">
      <c r="B2835" s="555" t="s">
        <v>2310</v>
      </c>
      <c r="C2835" s="555" t="str">
        <f>VLOOKUP(D2835,기본!$D$13:$E$74,2,0)</f>
        <v>코웨이</v>
      </c>
      <c r="D2835" t="s">
        <v>2067</v>
      </c>
      <c r="E2835" t="s">
        <v>1544</v>
      </c>
      <c r="F2835" t="s">
        <v>1544</v>
      </c>
      <c r="G2835" s="554">
        <v>700</v>
      </c>
      <c r="H2835">
        <v>4.5822000000000003</v>
      </c>
    </row>
    <row r="2836" spans="2:8">
      <c r="B2836" s="555" t="s">
        <v>2310</v>
      </c>
      <c r="C2836" s="555" t="str">
        <f>VLOOKUP(D2836,기본!$D$13:$E$74,2,0)</f>
        <v>코웨이</v>
      </c>
      <c r="D2836" t="s">
        <v>2067</v>
      </c>
      <c r="E2836" t="s">
        <v>912</v>
      </c>
      <c r="F2836" t="s">
        <v>912</v>
      </c>
      <c r="G2836" s="554">
        <v>6620</v>
      </c>
      <c r="H2836">
        <v>43.775539999999992</v>
      </c>
    </row>
    <row r="2837" spans="2:8">
      <c r="B2837" s="555" t="s">
        <v>2310</v>
      </c>
      <c r="C2837" s="555" t="str">
        <f>VLOOKUP(D2837,기본!$D$13:$E$74,2,0)</f>
        <v>코웨이</v>
      </c>
      <c r="D2837" t="s">
        <v>2067</v>
      </c>
      <c r="E2837" t="s">
        <v>913</v>
      </c>
      <c r="F2837" t="s">
        <v>913</v>
      </c>
      <c r="G2837" s="554">
        <v>1300</v>
      </c>
      <c r="H2837">
        <v>24.070799999999998</v>
      </c>
    </row>
    <row r="2838" spans="2:8">
      <c r="B2838" s="555" t="s">
        <v>2310</v>
      </c>
      <c r="C2838" s="555" t="str">
        <f>VLOOKUP(D2838,기본!$D$13:$E$74,2,0)</f>
        <v>코웨이</v>
      </c>
      <c r="D2838" t="s">
        <v>2067</v>
      </c>
      <c r="E2838" t="s">
        <v>2070</v>
      </c>
      <c r="F2838" t="s">
        <v>2070</v>
      </c>
      <c r="G2838" s="554">
        <v>5015</v>
      </c>
      <c r="H2838">
        <v>91.710799999999978</v>
      </c>
    </row>
    <row r="2839" spans="2:8">
      <c r="B2839" s="555" t="s">
        <v>2310</v>
      </c>
      <c r="C2839" s="555" t="str">
        <f>VLOOKUP(D2839,기본!$D$13:$E$74,2,0)</f>
        <v>코웨이</v>
      </c>
      <c r="D2839" t="s">
        <v>2067</v>
      </c>
      <c r="E2839" t="s">
        <v>2024</v>
      </c>
      <c r="F2839" t="s">
        <v>2024</v>
      </c>
      <c r="G2839" s="554">
        <v>950</v>
      </c>
      <c r="H2839">
        <v>9.1532499999999999</v>
      </c>
    </row>
    <row r="2840" spans="2:8">
      <c r="B2840" s="555" t="s">
        <v>2310</v>
      </c>
      <c r="C2840" s="555" t="str">
        <f>VLOOKUP(D2840,기본!$D$13:$E$74,2,0)</f>
        <v>코웨이</v>
      </c>
      <c r="D2840" t="s">
        <v>2067</v>
      </c>
      <c r="E2840" t="s">
        <v>2071</v>
      </c>
      <c r="F2840" t="s">
        <v>2071</v>
      </c>
      <c r="G2840" s="554">
        <v>1460</v>
      </c>
      <c r="H2840">
        <v>23.090240000000001</v>
      </c>
    </row>
    <row r="2841" spans="2:8">
      <c r="B2841" s="555" t="s">
        <v>2310</v>
      </c>
      <c r="C2841" s="555" t="str">
        <f>VLOOKUP(D2841,기본!$D$13:$E$74,2,0)</f>
        <v>코웨이</v>
      </c>
      <c r="D2841" t="s">
        <v>2067</v>
      </c>
      <c r="E2841" t="s">
        <v>2072</v>
      </c>
      <c r="F2841" t="s">
        <v>2072</v>
      </c>
      <c r="G2841" s="554">
        <v>375</v>
      </c>
      <c r="H2841">
        <v>4.9470079999999994</v>
      </c>
    </row>
    <row r="2842" spans="2:8">
      <c r="B2842" s="555" t="s">
        <v>2310</v>
      </c>
      <c r="C2842" s="555" t="str">
        <f>VLOOKUP(D2842,기본!$D$13:$E$74,2,0)</f>
        <v>코웨이</v>
      </c>
      <c r="D2842" t="s">
        <v>2067</v>
      </c>
      <c r="E2842" t="s">
        <v>2034</v>
      </c>
      <c r="F2842" t="s">
        <v>2034</v>
      </c>
      <c r="G2842" s="554">
        <v>14306</v>
      </c>
      <c r="H2842">
        <v>222.74442000000002</v>
      </c>
    </row>
    <row r="2843" spans="2:8">
      <c r="B2843" s="555" t="s">
        <v>2310</v>
      </c>
      <c r="C2843" s="555" t="str">
        <f>VLOOKUP(D2843,기본!$D$13:$E$74,2,0)</f>
        <v>코웨이</v>
      </c>
      <c r="D2843" t="s">
        <v>2067</v>
      </c>
      <c r="E2843" t="s">
        <v>2038</v>
      </c>
      <c r="F2843" t="s">
        <v>2038</v>
      </c>
      <c r="G2843" s="554">
        <v>1768</v>
      </c>
      <c r="H2843">
        <v>27.559583999999997</v>
      </c>
    </row>
    <row r="2844" spans="2:8">
      <c r="B2844" s="555" t="s">
        <v>2310</v>
      </c>
      <c r="C2844" s="555" t="str">
        <f>VLOOKUP(D2844,기본!$D$13:$E$74,2,0)</f>
        <v>코웨이</v>
      </c>
      <c r="D2844" t="s">
        <v>2067</v>
      </c>
      <c r="E2844" t="s">
        <v>2073</v>
      </c>
      <c r="F2844" t="s">
        <v>2073</v>
      </c>
      <c r="G2844" s="554">
        <v>12878</v>
      </c>
      <c r="H2844">
        <v>177.684786</v>
      </c>
    </row>
    <row r="2845" spans="2:8">
      <c r="B2845" s="555" t="s">
        <v>2310</v>
      </c>
      <c r="C2845" s="555" t="str">
        <f>VLOOKUP(D2845,기본!$D$13:$E$74,2,0)</f>
        <v>코웨이</v>
      </c>
      <c r="D2845" t="s">
        <v>2067</v>
      </c>
      <c r="E2845" t="s">
        <v>1187</v>
      </c>
      <c r="F2845" t="s">
        <v>1187</v>
      </c>
      <c r="G2845" s="554">
        <v>3</v>
      </c>
      <c r="H2845">
        <v>3.8904000000000001E-2</v>
      </c>
    </row>
    <row r="2846" spans="2:8">
      <c r="B2846" s="555" t="s">
        <v>2310</v>
      </c>
      <c r="C2846" s="555" t="str">
        <f>VLOOKUP(D2846,기본!$D$13:$E$74,2,0)</f>
        <v>코웨이</v>
      </c>
      <c r="D2846" t="s">
        <v>2067</v>
      </c>
      <c r="E2846" t="s">
        <v>2074</v>
      </c>
      <c r="F2846" t="s">
        <v>2074</v>
      </c>
      <c r="G2846" s="554">
        <v>192</v>
      </c>
      <c r="H2846">
        <v>4.1902080000000002</v>
      </c>
    </row>
    <row r="2847" spans="2:8">
      <c r="B2847" s="555" t="s">
        <v>2310</v>
      </c>
      <c r="C2847" s="555" t="str">
        <f>VLOOKUP(D2847,기본!$D$13:$E$74,2,0)</f>
        <v>코웨이</v>
      </c>
      <c r="D2847" t="s">
        <v>2067</v>
      </c>
      <c r="E2847" t="s">
        <v>2075</v>
      </c>
      <c r="F2847" t="s">
        <v>2075</v>
      </c>
      <c r="G2847" s="554">
        <v>405</v>
      </c>
      <c r="H2847">
        <v>8.9358149999999998</v>
      </c>
    </row>
    <row r="2848" spans="2:8">
      <c r="B2848" s="555" t="s">
        <v>2310</v>
      </c>
      <c r="C2848" s="555" t="str">
        <f>VLOOKUP(D2848,기본!$D$13:$E$74,2,0)</f>
        <v>코웨이</v>
      </c>
      <c r="D2848" t="s">
        <v>2067</v>
      </c>
      <c r="E2848" t="s">
        <v>2076</v>
      </c>
      <c r="F2848" t="s">
        <v>2076</v>
      </c>
      <c r="G2848" s="554">
        <v>2738</v>
      </c>
      <c r="H2848">
        <v>50.562645999999994</v>
      </c>
    </row>
    <row r="2849" spans="2:8">
      <c r="B2849" s="555" t="s">
        <v>2310</v>
      </c>
      <c r="C2849" s="555" t="str">
        <f>VLOOKUP(D2849,기본!$D$13:$E$74,2,0)</f>
        <v>코웨이</v>
      </c>
      <c r="D2849" t="s">
        <v>2067</v>
      </c>
      <c r="E2849" t="s">
        <v>2042</v>
      </c>
      <c r="F2849" t="s">
        <v>2042</v>
      </c>
      <c r="G2849" s="554">
        <v>100</v>
      </c>
      <c r="H2849">
        <v>0.63949999999999996</v>
      </c>
    </row>
    <row r="2850" spans="2:8">
      <c r="B2850" s="555" t="s">
        <v>2310</v>
      </c>
      <c r="C2850" s="555" t="str">
        <f>VLOOKUP(D2850,기본!$D$13:$E$74,2,0)</f>
        <v>코웨이</v>
      </c>
      <c r="D2850" t="s">
        <v>2067</v>
      </c>
      <c r="E2850" t="s">
        <v>2058</v>
      </c>
      <c r="F2850" t="s">
        <v>2058</v>
      </c>
      <c r="G2850" s="554">
        <v>5072</v>
      </c>
      <c r="H2850">
        <v>178.28644800000001</v>
      </c>
    </row>
    <row r="2851" spans="2:8">
      <c r="B2851" s="555" t="s">
        <v>2310</v>
      </c>
      <c r="C2851" s="555" t="str">
        <f>VLOOKUP(D2851,기본!$D$13:$E$74,2,0)</f>
        <v>코웨이</v>
      </c>
      <c r="D2851" t="s">
        <v>2067</v>
      </c>
      <c r="E2851" t="s">
        <v>2077</v>
      </c>
      <c r="F2851" t="s">
        <v>2077</v>
      </c>
      <c r="G2851" s="554">
        <v>621</v>
      </c>
      <c r="H2851">
        <v>21.233384999999998</v>
      </c>
    </row>
    <row r="2852" spans="2:8">
      <c r="B2852" s="555" t="s">
        <v>2310</v>
      </c>
      <c r="C2852" s="555" t="str">
        <f>VLOOKUP(D2852,기본!$D$13:$E$74,2,0)</f>
        <v>코웨이</v>
      </c>
      <c r="D2852" t="s">
        <v>2067</v>
      </c>
      <c r="E2852" t="s">
        <v>2078</v>
      </c>
      <c r="F2852" t="s">
        <v>2078</v>
      </c>
      <c r="G2852" s="554">
        <v>728</v>
      </c>
      <c r="H2852">
        <v>25.107991999999999</v>
      </c>
    </row>
    <row r="2853" spans="2:8">
      <c r="B2853" s="555" t="s">
        <v>2310</v>
      </c>
      <c r="C2853" s="555" t="str">
        <f>VLOOKUP(D2853,기본!$D$13:$E$74,2,0)</f>
        <v>코웨이</v>
      </c>
      <c r="D2853" t="s">
        <v>2067</v>
      </c>
      <c r="E2853" t="s">
        <v>2203</v>
      </c>
      <c r="F2853" t="s">
        <v>2203</v>
      </c>
      <c r="G2853" s="554">
        <v>2289</v>
      </c>
      <c r="H2853">
        <v>82.648922999999996</v>
      </c>
    </row>
    <row r="2854" spans="2:8">
      <c r="B2854" s="555" t="s">
        <v>2310</v>
      </c>
      <c r="C2854" s="555" t="str">
        <f>VLOOKUP(D2854,기본!$D$13:$E$74,2,0)</f>
        <v>코웨이</v>
      </c>
      <c r="D2854" t="s">
        <v>2079</v>
      </c>
      <c r="E2854" t="s">
        <v>1093</v>
      </c>
      <c r="F2854" t="s">
        <v>1093</v>
      </c>
      <c r="G2854" s="554">
        <v>2427</v>
      </c>
      <c r="H2854">
        <v>12.950472000000001</v>
      </c>
    </row>
    <row r="2855" spans="2:8">
      <c r="B2855" s="555" t="s">
        <v>2310</v>
      </c>
      <c r="C2855" s="555" t="str">
        <f>VLOOKUP(D2855,기본!$D$13:$E$74,2,0)</f>
        <v>코웨이</v>
      </c>
      <c r="D2855" t="s">
        <v>2079</v>
      </c>
      <c r="E2855" t="s">
        <v>1094</v>
      </c>
      <c r="F2855" t="s">
        <v>1094</v>
      </c>
      <c r="G2855" s="554">
        <v>2426</v>
      </c>
      <c r="H2855">
        <v>7.5594160000000006</v>
      </c>
    </row>
    <row r="2856" spans="2:8">
      <c r="B2856" s="555" t="s">
        <v>2310</v>
      </c>
      <c r="C2856" s="555" t="str">
        <f>VLOOKUP(D2856,기본!$D$13:$E$74,2,0)</f>
        <v>코웨이</v>
      </c>
      <c r="D2856" t="s">
        <v>2079</v>
      </c>
      <c r="E2856" t="s">
        <v>2017</v>
      </c>
      <c r="F2856" t="s">
        <v>2017</v>
      </c>
      <c r="G2856" s="554">
        <v>700</v>
      </c>
      <c r="H2856">
        <v>8.3201999999999998</v>
      </c>
    </row>
    <row r="2857" spans="2:8">
      <c r="B2857" s="555" t="s">
        <v>2310</v>
      </c>
      <c r="C2857" s="555" t="str">
        <f>VLOOKUP(D2857,기본!$D$13:$E$74,2,0)</f>
        <v>코웨이</v>
      </c>
      <c r="D2857" t="s">
        <v>2079</v>
      </c>
      <c r="E2857" t="s">
        <v>2080</v>
      </c>
      <c r="F2857" t="s">
        <v>2080</v>
      </c>
      <c r="G2857" s="554">
        <v>150</v>
      </c>
      <c r="H2857">
        <v>1.00545</v>
      </c>
    </row>
    <row r="2858" spans="2:8">
      <c r="B2858" s="555" t="s">
        <v>2310</v>
      </c>
      <c r="C2858" s="555" t="str">
        <f>VLOOKUP(D2858,기본!$D$13:$E$74,2,0)</f>
        <v>코웨이</v>
      </c>
      <c r="D2858" t="s">
        <v>2079</v>
      </c>
      <c r="E2858" t="s">
        <v>2081</v>
      </c>
      <c r="F2858" t="s">
        <v>2081</v>
      </c>
      <c r="G2858" s="554">
        <v>400</v>
      </c>
      <c r="H2858">
        <v>3.5943999999999998</v>
      </c>
    </row>
    <row r="2859" spans="2:8">
      <c r="B2859" s="555" t="s">
        <v>2310</v>
      </c>
      <c r="C2859" s="555" t="str">
        <f>VLOOKUP(D2859,기본!$D$13:$E$74,2,0)</f>
        <v>코웨이</v>
      </c>
      <c r="D2859" t="s">
        <v>2079</v>
      </c>
      <c r="E2859" t="s">
        <v>1089</v>
      </c>
      <c r="F2859" t="s">
        <v>1089</v>
      </c>
      <c r="G2859" s="554">
        <v>4660</v>
      </c>
      <c r="H2859">
        <v>52.243260000000006</v>
      </c>
    </row>
    <row r="2860" spans="2:8">
      <c r="B2860" s="555" t="s">
        <v>2310</v>
      </c>
      <c r="C2860" s="555" t="str">
        <f>VLOOKUP(D2860,기본!$D$13:$E$74,2,0)</f>
        <v>코웨이</v>
      </c>
      <c r="D2860" t="s">
        <v>2079</v>
      </c>
      <c r="E2860" t="s">
        <v>1118</v>
      </c>
      <c r="F2860" t="s">
        <v>1118</v>
      </c>
      <c r="G2860" s="554">
        <v>605</v>
      </c>
      <c r="H2860">
        <v>10.959804999999999</v>
      </c>
    </row>
    <row r="2861" spans="2:8">
      <c r="B2861" s="555" t="s">
        <v>2310</v>
      </c>
      <c r="C2861" s="555" t="str">
        <f>VLOOKUP(D2861,기본!$D$13:$E$74,2,0)</f>
        <v>코웨이</v>
      </c>
      <c r="D2861" t="s">
        <v>2079</v>
      </c>
      <c r="E2861" t="s">
        <v>2061</v>
      </c>
      <c r="F2861" t="s">
        <v>2061</v>
      </c>
      <c r="G2861" s="554">
        <v>2426</v>
      </c>
      <c r="H2861">
        <v>13.595303999999999</v>
      </c>
    </row>
    <row r="2862" spans="2:8">
      <c r="B2862" s="555" t="s">
        <v>2310</v>
      </c>
      <c r="C2862" s="555" t="str">
        <f>VLOOKUP(D2862,기본!$D$13:$E$74,2,0)</f>
        <v>코웨이</v>
      </c>
      <c r="D2862" t="s">
        <v>2082</v>
      </c>
      <c r="E2862" t="s">
        <v>2027</v>
      </c>
      <c r="F2862" t="s">
        <v>2027</v>
      </c>
      <c r="G2862" s="554">
        <v>480</v>
      </c>
      <c r="H2862">
        <v>9.0456000000000003</v>
      </c>
    </row>
    <row r="2863" spans="2:8">
      <c r="B2863" s="555" t="s">
        <v>2310</v>
      </c>
      <c r="C2863" s="555" t="str">
        <f>VLOOKUP(D2863,기본!$D$13:$E$74,2,0)</f>
        <v>코웨이</v>
      </c>
      <c r="D2863" t="s">
        <v>2082</v>
      </c>
      <c r="E2863" t="s">
        <v>2028</v>
      </c>
      <c r="F2863" t="s">
        <v>2028</v>
      </c>
      <c r="G2863" s="554">
        <v>300</v>
      </c>
      <c r="H2863">
        <v>5.4987000000000004</v>
      </c>
    </row>
    <row r="2864" spans="2:8">
      <c r="B2864" s="555" t="s">
        <v>2310</v>
      </c>
      <c r="C2864" s="555" t="str">
        <f>VLOOKUP(D2864,기본!$D$13:$E$74,2,0)</f>
        <v>코웨이</v>
      </c>
      <c r="D2864" t="s">
        <v>2082</v>
      </c>
      <c r="E2864" t="s">
        <v>2083</v>
      </c>
      <c r="F2864" t="s">
        <v>2083</v>
      </c>
      <c r="G2864" s="554">
        <v>1200</v>
      </c>
      <c r="H2864">
        <v>20.58</v>
      </c>
    </row>
    <row r="2865" spans="2:8">
      <c r="B2865" s="555" t="s">
        <v>2310</v>
      </c>
      <c r="C2865" s="555" t="str">
        <f>VLOOKUP(D2865,기본!$D$13:$E$74,2,0)</f>
        <v>코웨이</v>
      </c>
      <c r="D2865" t="s">
        <v>2082</v>
      </c>
      <c r="E2865" t="s">
        <v>2058</v>
      </c>
      <c r="F2865" t="s">
        <v>2058</v>
      </c>
      <c r="G2865" s="554">
        <v>12096</v>
      </c>
      <c r="H2865">
        <v>419.23526400000009</v>
      </c>
    </row>
    <row r="2866" spans="2:8">
      <c r="B2866" s="555" t="s">
        <v>2310</v>
      </c>
      <c r="C2866" s="555" t="str">
        <f>VLOOKUP(D2866,기본!$D$13:$E$74,2,0)</f>
        <v>코웨이</v>
      </c>
      <c r="D2866" t="s">
        <v>2082</v>
      </c>
      <c r="E2866" t="s">
        <v>2077</v>
      </c>
      <c r="F2866" t="s">
        <v>2077</v>
      </c>
      <c r="G2866" s="554">
        <v>4752</v>
      </c>
      <c r="H2866">
        <v>159.59592000000001</v>
      </c>
    </row>
    <row r="2867" spans="2:8">
      <c r="B2867" s="555" t="s">
        <v>2310</v>
      </c>
      <c r="C2867" s="555" t="str">
        <f>VLOOKUP(D2867,기본!$D$13:$E$74,2,0)</f>
        <v>삼성 생활가전</v>
      </c>
      <c r="D2867" t="s">
        <v>2084</v>
      </c>
      <c r="E2867" t="s">
        <v>914</v>
      </c>
      <c r="F2867" t="s">
        <v>914</v>
      </c>
      <c r="G2867" s="554">
        <v>4</v>
      </c>
      <c r="H2867">
        <v>3.4695999999999998E-2</v>
      </c>
    </row>
    <row r="2868" spans="2:8">
      <c r="B2868" s="555" t="s">
        <v>2310</v>
      </c>
      <c r="C2868" s="555" t="str">
        <f>VLOOKUP(D2868,기본!$D$13:$E$74,2,0)</f>
        <v>삼성 생활가전</v>
      </c>
      <c r="D2868" t="s">
        <v>2084</v>
      </c>
      <c r="E2868" t="s">
        <v>2086</v>
      </c>
      <c r="F2868" t="s">
        <v>2086</v>
      </c>
      <c r="G2868" s="554">
        <v>6</v>
      </c>
      <c r="H2868">
        <v>6.2700000000000006E-2</v>
      </c>
    </row>
    <row r="2869" spans="2:8">
      <c r="B2869" s="555" t="s">
        <v>2310</v>
      </c>
      <c r="C2869" s="555" t="str">
        <f>VLOOKUP(D2869,기본!$D$13:$E$74,2,0)</f>
        <v>코웨이</v>
      </c>
      <c r="D2869" t="s">
        <v>2205</v>
      </c>
      <c r="E2869" t="s">
        <v>1073</v>
      </c>
      <c r="F2869" t="s">
        <v>1073</v>
      </c>
      <c r="G2869" s="554">
        <v>3240</v>
      </c>
      <c r="H2869">
        <v>15.714</v>
      </c>
    </row>
    <row r="2870" spans="2:8">
      <c r="B2870" s="555" t="s">
        <v>2310</v>
      </c>
      <c r="C2870" s="555" t="str">
        <f>VLOOKUP(D2870,기본!$D$13:$E$74,2,0)</f>
        <v>코웨이</v>
      </c>
      <c r="D2870" t="s">
        <v>2205</v>
      </c>
      <c r="E2870" t="s">
        <v>1075</v>
      </c>
      <c r="F2870" t="s">
        <v>1075</v>
      </c>
      <c r="G2870" s="554">
        <v>3456</v>
      </c>
      <c r="H2870">
        <v>4.3338239999999999</v>
      </c>
    </row>
    <row r="2871" spans="2:8">
      <c r="B2871" s="555" t="s">
        <v>2310</v>
      </c>
      <c r="C2871" s="555" t="str">
        <f>VLOOKUP(D2871,기본!$D$13:$E$74,2,0)</f>
        <v>한화비전</v>
      </c>
      <c r="D2871" t="s">
        <v>2089</v>
      </c>
      <c r="E2871" t="s">
        <v>2163</v>
      </c>
      <c r="F2871" t="s">
        <v>2164</v>
      </c>
      <c r="G2871" s="554">
        <v>414</v>
      </c>
      <c r="H2871">
        <v>9.7009018200000003</v>
      </c>
    </row>
    <row r="2872" spans="2:8">
      <c r="B2872" s="555" t="s">
        <v>2310</v>
      </c>
      <c r="C2872" s="555" t="str">
        <f>VLOOKUP(D2872,기본!$D$13:$E$74,2,0)</f>
        <v>한화비전</v>
      </c>
      <c r="D2872" t="s">
        <v>2089</v>
      </c>
      <c r="E2872" t="s">
        <v>1902</v>
      </c>
      <c r="F2872" t="s">
        <v>1903</v>
      </c>
      <c r="G2872" s="554">
        <v>648</v>
      </c>
      <c r="H2872">
        <v>22.99801896</v>
      </c>
    </row>
    <row r="2873" spans="2:8">
      <c r="B2873" s="555" t="s">
        <v>2327</v>
      </c>
      <c r="C2873" s="555" t="str">
        <f>VLOOKUP(D2873,기본!$D$13:$E$74,2,0)</f>
        <v>AV JDM</v>
      </c>
      <c r="D2873" t="s">
        <v>1841</v>
      </c>
      <c r="E2873" t="s">
        <v>1842</v>
      </c>
      <c r="F2873" t="s">
        <v>1680</v>
      </c>
      <c r="G2873" s="554">
        <v>23480</v>
      </c>
      <c r="H2873">
        <v>206.7061128</v>
      </c>
    </row>
    <row r="2874" spans="2:8">
      <c r="B2874" s="555" t="s">
        <v>2327</v>
      </c>
      <c r="C2874" s="555" t="str">
        <f>VLOOKUP(D2874,기본!$D$13:$E$74,2,0)</f>
        <v>AV JDM</v>
      </c>
      <c r="D2874" t="s">
        <v>1841</v>
      </c>
      <c r="E2874" t="s">
        <v>2104</v>
      </c>
      <c r="F2874" t="s">
        <v>2105</v>
      </c>
      <c r="G2874" s="554">
        <v>200</v>
      </c>
      <c r="H2874">
        <v>1.8888359999999997</v>
      </c>
    </row>
    <row r="2875" spans="2:8">
      <c r="B2875" s="555" t="s">
        <v>2327</v>
      </c>
      <c r="C2875" s="555" t="str">
        <f>VLOOKUP(D2875,기본!$D$13:$E$74,2,0)</f>
        <v>AV JDM</v>
      </c>
      <c r="D2875" t="s">
        <v>1841</v>
      </c>
      <c r="E2875" t="s">
        <v>1654</v>
      </c>
      <c r="F2875" t="s">
        <v>1654</v>
      </c>
      <c r="G2875" s="554">
        <v>12824</v>
      </c>
      <c r="H2875">
        <v>101.20750024</v>
      </c>
    </row>
    <row r="2876" spans="2:8">
      <c r="B2876" s="555" t="s">
        <v>2327</v>
      </c>
      <c r="C2876" s="555" t="str">
        <f>VLOOKUP(D2876,기본!$D$13:$E$74,2,0)</f>
        <v>AV JDM</v>
      </c>
      <c r="D2876" t="s">
        <v>1841</v>
      </c>
      <c r="E2876" t="s">
        <v>1656</v>
      </c>
      <c r="F2876" t="s">
        <v>1656</v>
      </c>
      <c r="G2876" s="554">
        <v>6888</v>
      </c>
      <c r="H2876">
        <v>58.395387400000004</v>
      </c>
    </row>
    <row r="2877" spans="2:8">
      <c r="B2877" s="555" t="s">
        <v>2327</v>
      </c>
      <c r="C2877" s="555" t="str">
        <f>VLOOKUP(D2877,기본!$D$13:$E$74,2,0)</f>
        <v>AV JDM</v>
      </c>
      <c r="D2877" t="s">
        <v>1841</v>
      </c>
      <c r="E2877" t="s">
        <v>1657</v>
      </c>
      <c r="F2877" t="s">
        <v>1657</v>
      </c>
      <c r="G2877" s="554">
        <v>952</v>
      </c>
      <c r="H2877">
        <v>8.2833710400000005</v>
      </c>
    </row>
    <row r="2878" spans="2:8">
      <c r="B2878" s="555" t="s">
        <v>2327</v>
      </c>
      <c r="C2878" s="555" t="str">
        <f>VLOOKUP(D2878,기본!$D$13:$E$74,2,0)</f>
        <v>AV JDM</v>
      </c>
      <c r="D2878" t="s">
        <v>1841</v>
      </c>
      <c r="E2878" t="s">
        <v>1658</v>
      </c>
      <c r="F2878" t="s">
        <v>1658</v>
      </c>
      <c r="G2878" s="554">
        <v>7848</v>
      </c>
      <c r="H2878">
        <v>71.090287200000006</v>
      </c>
    </row>
    <row r="2879" spans="2:8">
      <c r="B2879" s="555" t="s">
        <v>2327</v>
      </c>
      <c r="C2879" s="555" t="str">
        <f>VLOOKUP(D2879,기본!$D$13:$E$74,2,0)</f>
        <v>AV JDM</v>
      </c>
      <c r="D2879" t="s">
        <v>1841</v>
      </c>
      <c r="E2879" t="s">
        <v>1655</v>
      </c>
      <c r="F2879" t="s">
        <v>1655</v>
      </c>
      <c r="G2879" s="554">
        <v>1680</v>
      </c>
      <c r="H2879">
        <v>13.61726912</v>
      </c>
    </row>
    <row r="2880" spans="2:8">
      <c r="B2880" s="555" t="s">
        <v>2327</v>
      </c>
      <c r="C2880" s="555" t="str">
        <f>VLOOKUP(D2880,기본!$D$13:$E$74,2,0)</f>
        <v>AV JDM</v>
      </c>
      <c r="D2880" t="s">
        <v>1841</v>
      </c>
      <c r="E2880" t="s">
        <v>2159</v>
      </c>
      <c r="F2880" t="s">
        <v>2159</v>
      </c>
      <c r="G2880" s="554">
        <v>468</v>
      </c>
      <c r="H2880">
        <v>4.4825695200000002</v>
      </c>
    </row>
    <row r="2881" spans="2:8">
      <c r="B2881" s="555" t="s">
        <v>2327</v>
      </c>
      <c r="C2881" s="555" t="str">
        <f>VLOOKUP(D2881,기본!$D$13:$E$74,2,0)</f>
        <v>AV JDM</v>
      </c>
      <c r="D2881" t="s">
        <v>1841</v>
      </c>
      <c r="E2881" t="s">
        <v>1889</v>
      </c>
      <c r="F2881" t="s">
        <v>1229</v>
      </c>
      <c r="G2881" s="554">
        <v>60480</v>
      </c>
      <c r="H2881">
        <v>478.59420671999999</v>
      </c>
    </row>
    <row r="2882" spans="2:8">
      <c r="B2882" s="555" t="s">
        <v>2327</v>
      </c>
      <c r="C2882" s="555" t="str">
        <f>VLOOKUP(D2882,기본!$D$13:$E$74,2,0)</f>
        <v>AV JDM</v>
      </c>
      <c r="D2882" t="s">
        <v>1841</v>
      </c>
      <c r="E2882" t="s">
        <v>1845</v>
      </c>
      <c r="F2882" t="s">
        <v>1340</v>
      </c>
      <c r="G2882" s="554">
        <v>6048</v>
      </c>
      <c r="H2882">
        <v>61.241257728000008</v>
      </c>
    </row>
    <row r="2883" spans="2:8">
      <c r="B2883" s="555" t="s">
        <v>2327</v>
      </c>
      <c r="C2883" s="555" t="str">
        <f>VLOOKUP(D2883,기본!$D$13:$E$74,2,0)</f>
        <v>AV JDM</v>
      </c>
      <c r="D2883" t="s">
        <v>1841</v>
      </c>
      <c r="E2883" t="s">
        <v>1847</v>
      </c>
      <c r="F2883" t="s">
        <v>1336</v>
      </c>
      <c r="G2883" s="554">
        <v>12480</v>
      </c>
      <c r="H2883">
        <v>111.479022</v>
      </c>
    </row>
    <row r="2884" spans="2:8">
      <c r="B2884" s="555" t="s">
        <v>2327</v>
      </c>
      <c r="C2884" s="555" t="str">
        <f>VLOOKUP(D2884,기본!$D$13:$E$74,2,0)</f>
        <v>AV JDM</v>
      </c>
      <c r="D2884" t="s">
        <v>1841</v>
      </c>
      <c r="E2884" t="s">
        <v>1016</v>
      </c>
      <c r="F2884" t="s">
        <v>1016</v>
      </c>
      <c r="G2884" s="554">
        <v>7744</v>
      </c>
      <c r="H2884">
        <v>64.350268927999991</v>
      </c>
    </row>
    <row r="2885" spans="2:8">
      <c r="B2885" s="555" t="s">
        <v>2327</v>
      </c>
      <c r="C2885" s="555" t="str">
        <f>VLOOKUP(D2885,기본!$D$13:$E$74,2,0)</f>
        <v>AV JDM</v>
      </c>
      <c r="D2885" t="s">
        <v>1841</v>
      </c>
      <c r="E2885" t="s">
        <v>1006</v>
      </c>
      <c r="F2885" t="s">
        <v>1006</v>
      </c>
      <c r="G2885" s="554">
        <v>8480</v>
      </c>
      <c r="H2885">
        <v>89.3429328</v>
      </c>
    </row>
    <row r="2886" spans="2:8">
      <c r="B2886" s="555" t="s">
        <v>2327</v>
      </c>
      <c r="C2886" s="555" t="str">
        <f>VLOOKUP(D2886,기본!$D$13:$E$74,2,0)</f>
        <v>삼성 VD</v>
      </c>
      <c r="D2886" t="s">
        <v>1849</v>
      </c>
      <c r="E2886" t="s">
        <v>1165</v>
      </c>
      <c r="F2886" t="s">
        <v>1882</v>
      </c>
      <c r="G2886" s="554">
        <v>7962</v>
      </c>
      <c r="H2886">
        <v>230.05416511800001</v>
      </c>
    </row>
    <row r="2887" spans="2:8">
      <c r="B2887" s="555" t="s">
        <v>2327</v>
      </c>
      <c r="C2887" s="555" t="str">
        <f>VLOOKUP(D2887,기본!$D$13:$E$74,2,0)</f>
        <v>삼성 VD</v>
      </c>
      <c r="D2887" t="s">
        <v>1849</v>
      </c>
      <c r="E2887" t="s">
        <v>1164</v>
      </c>
      <c r="F2887" t="s">
        <v>1850</v>
      </c>
      <c r="G2887" s="554">
        <v>18576</v>
      </c>
      <c r="H2887">
        <v>488.64929616000001</v>
      </c>
    </row>
    <row r="2888" spans="2:8">
      <c r="B2888" s="555" t="s">
        <v>2327</v>
      </c>
      <c r="C2888" s="555" t="str">
        <f>VLOOKUP(D2888,기본!$D$13:$E$74,2,0)</f>
        <v>삼성 VD</v>
      </c>
      <c r="D2888" t="s">
        <v>1849</v>
      </c>
      <c r="E2888" t="s">
        <v>1851</v>
      </c>
      <c r="F2888" t="s">
        <v>1852</v>
      </c>
      <c r="G2888" s="554">
        <v>1152</v>
      </c>
      <c r="H2888">
        <v>8.3744525600000017</v>
      </c>
    </row>
    <row r="2889" spans="2:8">
      <c r="B2889" s="555" t="s">
        <v>2327</v>
      </c>
      <c r="C2889" s="555" t="str">
        <f>VLOOKUP(D2889,기본!$D$13:$E$74,2,0)</f>
        <v>삼성 VD</v>
      </c>
      <c r="D2889" t="s">
        <v>1849</v>
      </c>
      <c r="E2889" t="s">
        <v>1853</v>
      </c>
      <c r="F2889" t="s">
        <v>1854</v>
      </c>
      <c r="G2889" s="554">
        <v>3060</v>
      </c>
      <c r="H2889">
        <v>40.902841979999998</v>
      </c>
    </row>
    <row r="2890" spans="2:8">
      <c r="B2890" s="555" t="s">
        <v>2327</v>
      </c>
      <c r="C2890" s="555" t="str">
        <f>VLOOKUP(D2890,기본!$D$13:$E$74,2,0)</f>
        <v>삼성 VD</v>
      </c>
      <c r="D2890" t="s">
        <v>1849</v>
      </c>
      <c r="E2890" t="s">
        <v>1855</v>
      </c>
      <c r="F2890" t="s">
        <v>1856</v>
      </c>
      <c r="G2890" s="554">
        <v>1587</v>
      </c>
      <c r="H2890">
        <v>21.707266047999997</v>
      </c>
    </row>
    <row r="2891" spans="2:8">
      <c r="B2891" s="555" t="s">
        <v>2327</v>
      </c>
      <c r="C2891" s="555" t="str">
        <f>VLOOKUP(D2891,기본!$D$13:$E$74,2,0)</f>
        <v>삼성 VD</v>
      </c>
      <c r="D2891" t="s">
        <v>1849</v>
      </c>
      <c r="E2891" t="s">
        <v>1874</v>
      </c>
      <c r="F2891" t="s">
        <v>1875</v>
      </c>
      <c r="G2891" s="554">
        <v>14720</v>
      </c>
      <c r="H2891">
        <v>218.44700089299997</v>
      </c>
    </row>
    <row r="2892" spans="2:8">
      <c r="B2892" s="555" t="s">
        <v>2327</v>
      </c>
      <c r="C2892" s="555" t="str">
        <f>VLOOKUP(D2892,기본!$D$13:$E$74,2,0)</f>
        <v>삼성 VD</v>
      </c>
      <c r="D2892" t="s">
        <v>1849</v>
      </c>
      <c r="E2892" t="s">
        <v>1859</v>
      </c>
      <c r="F2892" t="s">
        <v>1860</v>
      </c>
      <c r="G2892" s="554">
        <v>2520</v>
      </c>
      <c r="H2892">
        <v>43.441581960000001</v>
      </c>
    </row>
    <row r="2893" spans="2:8">
      <c r="B2893" s="555" t="s">
        <v>2327</v>
      </c>
      <c r="C2893" s="555" t="str">
        <f>VLOOKUP(D2893,기본!$D$13:$E$74,2,0)</f>
        <v>삼성 VD</v>
      </c>
      <c r="D2893" t="s">
        <v>1849</v>
      </c>
      <c r="E2893" t="s">
        <v>1313</v>
      </c>
      <c r="F2893" t="s">
        <v>1312</v>
      </c>
      <c r="G2893" s="554">
        <v>72</v>
      </c>
      <c r="H2893">
        <v>1.5406625520000001</v>
      </c>
    </row>
    <row r="2894" spans="2:8">
      <c r="B2894" s="555" t="s">
        <v>2327</v>
      </c>
      <c r="C2894" s="555" t="str">
        <f>VLOOKUP(D2894,기본!$D$13:$E$74,2,0)</f>
        <v>삼성 VD</v>
      </c>
      <c r="D2894" t="s">
        <v>1849</v>
      </c>
      <c r="E2894" t="s">
        <v>1865</v>
      </c>
      <c r="F2894" t="s">
        <v>1866</v>
      </c>
      <c r="G2894" s="554">
        <v>2988</v>
      </c>
      <c r="H2894">
        <v>115.77166559999998</v>
      </c>
    </row>
    <row r="2895" spans="2:8">
      <c r="B2895" s="555" t="s">
        <v>2327</v>
      </c>
      <c r="C2895" s="555" t="str">
        <f>VLOOKUP(D2895,기본!$D$13:$E$74,2,0)</f>
        <v>삼성 VD</v>
      </c>
      <c r="D2895" t="s">
        <v>1849</v>
      </c>
      <c r="E2895" t="s">
        <v>1923</v>
      </c>
      <c r="F2895" t="s">
        <v>1924</v>
      </c>
      <c r="G2895" s="554">
        <v>68684</v>
      </c>
      <c r="H2895">
        <v>302.33925875999995</v>
      </c>
    </row>
    <row r="2896" spans="2:8">
      <c r="B2896" s="555" t="s">
        <v>2327</v>
      </c>
      <c r="C2896" s="555" t="str">
        <f>VLOOKUP(D2896,기본!$D$13:$E$74,2,0)</f>
        <v>삼성 VD</v>
      </c>
      <c r="D2896" t="s">
        <v>1849</v>
      </c>
      <c r="E2896" t="s">
        <v>1867</v>
      </c>
      <c r="F2896" t="s">
        <v>1868</v>
      </c>
      <c r="G2896" s="554">
        <v>11088</v>
      </c>
      <c r="H2896">
        <v>90.120092831999997</v>
      </c>
    </row>
    <row r="2897" spans="2:8">
      <c r="B2897" s="555" t="s">
        <v>2327</v>
      </c>
      <c r="C2897" s="555" t="str">
        <f>VLOOKUP(D2897,기본!$D$13:$E$74,2,0)</f>
        <v>삼성 VD</v>
      </c>
      <c r="D2897" t="s">
        <v>1849</v>
      </c>
      <c r="E2897" t="s">
        <v>709</v>
      </c>
      <c r="F2897" t="s">
        <v>1869</v>
      </c>
      <c r="G2897" s="554">
        <v>127776</v>
      </c>
      <c r="H2897">
        <v>426.00835200000006</v>
      </c>
    </row>
    <row r="2898" spans="2:8">
      <c r="B2898" s="555" t="s">
        <v>2327</v>
      </c>
      <c r="C2898" s="555" t="str">
        <f>VLOOKUP(D2898,기본!$D$13:$E$74,2,0)</f>
        <v>삼성 VD</v>
      </c>
      <c r="D2898" t="s">
        <v>1849</v>
      </c>
      <c r="E2898" t="s">
        <v>2235</v>
      </c>
      <c r="F2898" t="s">
        <v>2236</v>
      </c>
      <c r="G2898" s="554">
        <v>15268</v>
      </c>
      <c r="H2898">
        <v>68.560460847999991</v>
      </c>
    </row>
    <row r="2899" spans="2:8">
      <c r="B2899" s="555" t="s">
        <v>2327</v>
      </c>
      <c r="C2899" s="555" t="str">
        <f>VLOOKUP(D2899,기본!$D$13:$E$74,2,0)</f>
        <v>삼성 VD</v>
      </c>
      <c r="D2899" t="s">
        <v>1849</v>
      </c>
      <c r="E2899" t="s">
        <v>2267</v>
      </c>
      <c r="F2899" t="s">
        <v>2267</v>
      </c>
      <c r="G2899" s="554">
        <v>132</v>
      </c>
      <c r="H2899">
        <v>0.76684409999999981</v>
      </c>
    </row>
    <row r="2900" spans="2:8">
      <c r="B2900" s="555" t="s">
        <v>2327</v>
      </c>
      <c r="C2900" s="555" t="str">
        <f>VLOOKUP(D2900,기본!$D$13:$E$74,2,0)</f>
        <v>삼성 VD</v>
      </c>
      <c r="D2900" t="s">
        <v>1871</v>
      </c>
      <c r="E2900" t="s">
        <v>1165</v>
      </c>
      <c r="F2900" t="s">
        <v>1882</v>
      </c>
      <c r="G2900" s="554">
        <v>1512</v>
      </c>
      <c r="H2900">
        <v>43.607883815999998</v>
      </c>
    </row>
    <row r="2901" spans="2:8">
      <c r="B2901" s="555" t="s">
        <v>2327</v>
      </c>
      <c r="C2901" s="555" t="str">
        <f>VLOOKUP(D2901,기본!$D$13:$E$74,2,0)</f>
        <v>삼성 VD</v>
      </c>
      <c r="D2901" t="s">
        <v>1871</v>
      </c>
      <c r="E2901" t="s">
        <v>1164</v>
      </c>
      <c r="F2901" t="s">
        <v>1850</v>
      </c>
      <c r="G2901" s="554">
        <v>8640</v>
      </c>
      <c r="H2901">
        <v>227.2787424</v>
      </c>
    </row>
    <row r="2902" spans="2:8">
      <c r="B2902" s="555" t="s">
        <v>2327</v>
      </c>
      <c r="C2902" s="555" t="str">
        <f>VLOOKUP(D2902,기본!$D$13:$E$74,2,0)</f>
        <v>삼성 VD</v>
      </c>
      <c r="D2902" t="s">
        <v>1871</v>
      </c>
      <c r="E2902" t="s">
        <v>1853</v>
      </c>
      <c r="F2902" t="s">
        <v>1854</v>
      </c>
      <c r="G2902" s="554">
        <v>500</v>
      </c>
      <c r="H2902">
        <v>6.6831765000000001</v>
      </c>
    </row>
    <row r="2903" spans="2:8">
      <c r="B2903" s="555" t="s">
        <v>2327</v>
      </c>
      <c r="C2903" s="555" t="str">
        <f>VLOOKUP(D2903,기본!$D$13:$E$74,2,0)</f>
        <v>삼성 VD</v>
      </c>
      <c r="D2903" t="s">
        <v>1871</v>
      </c>
      <c r="E2903" t="s">
        <v>1874</v>
      </c>
      <c r="F2903" t="s">
        <v>1875</v>
      </c>
      <c r="G2903" s="554">
        <v>1212</v>
      </c>
      <c r="H2903">
        <v>17.807733492999997</v>
      </c>
    </row>
    <row r="2904" spans="2:8">
      <c r="B2904" s="555" t="s">
        <v>2327</v>
      </c>
      <c r="C2904" s="555" t="str">
        <f>VLOOKUP(D2904,기본!$D$13:$E$74,2,0)</f>
        <v>삼성 VD</v>
      </c>
      <c r="D2904" t="s">
        <v>1871</v>
      </c>
      <c r="E2904" t="s">
        <v>1876</v>
      </c>
      <c r="F2904" t="s">
        <v>1877</v>
      </c>
      <c r="G2904" s="554">
        <v>5952</v>
      </c>
      <c r="H2904">
        <v>39.619835999999999</v>
      </c>
    </row>
    <row r="2905" spans="2:8">
      <c r="B2905" s="555" t="s">
        <v>2327</v>
      </c>
      <c r="C2905" s="555" t="str">
        <f>VLOOKUP(D2905,기본!$D$13:$E$74,2,0)</f>
        <v>삼성 VD</v>
      </c>
      <c r="D2905" t="s">
        <v>1871</v>
      </c>
      <c r="E2905" t="s">
        <v>1878</v>
      </c>
      <c r="F2905" t="s">
        <v>1879</v>
      </c>
      <c r="G2905" s="554">
        <v>528</v>
      </c>
      <c r="H2905">
        <v>3.5311807200000001</v>
      </c>
    </row>
    <row r="2906" spans="2:8">
      <c r="B2906" s="555" t="s">
        <v>2327</v>
      </c>
      <c r="C2906" s="555" t="str">
        <f>VLOOKUP(D2906,기본!$D$13:$E$74,2,0)</f>
        <v>삼성 VD</v>
      </c>
      <c r="D2906" t="s">
        <v>1880</v>
      </c>
      <c r="E2906" t="s">
        <v>1855</v>
      </c>
      <c r="F2906" t="s">
        <v>1856</v>
      </c>
      <c r="G2906" s="554">
        <v>2934</v>
      </c>
      <c r="H2906">
        <v>40.123756544000003</v>
      </c>
    </row>
    <row r="2907" spans="2:8">
      <c r="B2907" s="555" t="s">
        <v>2327</v>
      </c>
      <c r="C2907" s="555" t="str">
        <f>VLOOKUP(D2907,기본!$D$13:$E$74,2,0)</f>
        <v>삼성 VD</v>
      </c>
      <c r="D2907" t="s">
        <v>1881</v>
      </c>
      <c r="E2907" t="s">
        <v>1165</v>
      </c>
      <c r="F2907" t="s">
        <v>1882</v>
      </c>
      <c r="G2907" s="554">
        <v>1146</v>
      </c>
      <c r="H2907">
        <v>33.130624752000003</v>
      </c>
    </row>
    <row r="2908" spans="2:8">
      <c r="B2908" s="555" t="s">
        <v>2327</v>
      </c>
      <c r="C2908" s="555" t="str">
        <f>VLOOKUP(D2908,기본!$D$13:$E$74,2,0)</f>
        <v>삼성 VD</v>
      </c>
      <c r="D2908" t="s">
        <v>1881</v>
      </c>
      <c r="E2908" t="s">
        <v>1164</v>
      </c>
      <c r="F2908" t="s">
        <v>1850</v>
      </c>
      <c r="G2908" s="554">
        <v>1008</v>
      </c>
      <c r="H2908">
        <v>26.449708560000001</v>
      </c>
    </row>
    <row r="2909" spans="2:8">
      <c r="B2909" s="555" t="s">
        <v>2327</v>
      </c>
      <c r="C2909" s="555" t="str">
        <f>VLOOKUP(D2909,기본!$D$13:$E$74,2,0)</f>
        <v>삼성 VD</v>
      </c>
      <c r="D2909" t="s">
        <v>1881</v>
      </c>
      <c r="E2909" t="s">
        <v>1853</v>
      </c>
      <c r="F2909" t="s">
        <v>1854</v>
      </c>
      <c r="G2909" s="554">
        <v>120</v>
      </c>
      <c r="H2909">
        <v>1.5995479500000003</v>
      </c>
    </row>
    <row r="2910" spans="2:8">
      <c r="B2910" s="555" t="s">
        <v>2327</v>
      </c>
      <c r="C2910" s="555" t="str">
        <f>VLOOKUP(D2910,기본!$D$13:$E$74,2,0)</f>
        <v>삼성 VD</v>
      </c>
      <c r="D2910" t="s">
        <v>1881</v>
      </c>
      <c r="E2910" t="s">
        <v>1855</v>
      </c>
      <c r="F2910" t="s">
        <v>1856</v>
      </c>
      <c r="G2910" s="554">
        <v>92</v>
      </c>
      <c r="H2910">
        <v>1.253343232</v>
      </c>
    </row>
    <row r="2911" spans="2:8">
      <c r="B2911" s="555" t="s">
        <v>2327</v>
      </c>
      <c r="C2911" s="555" t="str">
        <f>VLOOKUP(D2911,기본!$D$13:$E$74,2,0)</f>
        <v>삼성 VD</v>
      </c>
      <c r="D2911" t="s">
        <v>1881</v>
      </c>
      <c r="E2911" t="s">
        <v>1874</v>
      </c>
      <c r="F2911" t="s">
        <v>1875</v>
      </c>
      <c r="G2911" s="554">
        <v>621</v>
      </c>
      <c r="H2911">
        <v>9.2071291950000003</v>
      </c>
    </row>
    <row r="2912" spans="2:8">
      <c r="B2912" s="555" t="s">
        <v>2327</v>
      </c>
      <c r="C2912" s="555" t="str">
        <f>VLOOKUP(D2912,기본!$D$13:$E$74,2,0)</f>
        <v>기타</v>
      </c>
      <c r="D2912" t="s">
        <v>1883</v>
      </c>
      <c r="E2912" t="s">
        <v>229</v>
      </c>
      <c r="F2912" t="s">
        <v>229</v>
      </c>
      <c r="G2912" s="554">
        <v>0</v>
      </c>
      <c r="H2912">
        <v>1.0291E-2</v>
      </c>
    </row>
    <row r="2913" spans="2:8">
      <c r="B2913" s="555" t="s">
        <v>2327</v>
      </c>
      <c r="C2913" s="555" t="str">
        <f>VLOOKUP(D2913,기본!$D$13:$E$74,2,0)</f>
        <v>MNT JDM</v>
      </c>
      <c r="D2913" t="s">
        <v>2107</v>
      </c>
      <c r="E2913" t="s">
        <v>709</v>
      </c>
      <c r="F2913" t="s">
        <v>2108</v>
      </c>
      <c r="G2913" s="554">
        <v>46464</v>
      </c>
      <c r="H2913">
        <v>204.77277215999999</v>
      </c>
    </row>
    <row r="2914" spans="2:8">
      <c r="B2914" s="555" t="s">
        <v>2327</v>
      </c>
      <c r="C2914" s="555" t="str">
        <f>VLOOKUP(D2914,기본!$D$13:$E$74,2,0)</f>
        <v>MNT JDM</v>
      </c>
      <c r="D2914" t="s">
        <v>2107</v>
      </c>
      <c r="E2914" t="s">
        <v>710</v>
      </c>
      <c r="F2914" t="s">
        <v>2109</v>
      </c>
      <c r="G2914" s="554">
        <v>12672</v>
      </c>
      <c r="H2914">
        <v>66.001890239999994</v>
      </c>
    </row>
    <row r="2915" spans="2:8">
      <c r="B2915" s="555" t="s">
        <v>2327</v>
      </c>
      <c r="C2915" s="555" t="str">
        <f>VLOOKUP(D2915,기본!$D$13:$E$74,2,0)</f>
        <v>MNT JDM</v>
      </c>
      <c r="D2915" t="s">
        <v>2107</v>
      </c>
      <c r="E2915" t="s">
        <v>1156</v>
      </c>
      <c r="F2915" t="s">
        <v>1793</v>
      </c>
      <c r="G2915" s="554">
        <v>19008</v>
      </c>
      <c r="H2915">
        <v>103.07842406399998</v>
      </c>
    </row>
    <row r="2916" spans="2:8">
      <c r="B2916" s="555" t="s">
        <v>2327</v>
      </c>
      <c r="C2916" s="555" t="str">
        <f>VLOOKUP(D2916,기본!$D$13:$E$74,2,0)</f>
        <v>MNT JDM</v>
      </c>
      <c r="D2916" t="s">
        <v>2107</v>
      </c>
      <c r="E2916" t="s">
        <v>1157</v>
      </c>
      <c r="F2916" t="s">
        <v>1794</v>
      </c>
      <c r="G2916" s="554">
        <v>6336</v>
      </c>
      <c r="H2916">
        <v>40.366472255999994</v>
      </c>
    </row>
    <row r="2917" spans="2:8">
      <c r="B2917" s="555" t="s">
        <v>2327</v>
      </c>
      <c r="C2917" s="555" t="str">
        <f>VLOOKUP(D2917,기본!$D$13:$E$74,2,0)</f>
        <v>MNT JDM</v>
      </c>
      <c r="D2917" t="s">
        <v>1884</v>
      </c>
      <c r="E2917" t="s">
        <v>709</v>
      </c>
      <c r="F2917" t="s">
        <v>2110</v>
      </c>
      <c r="G2917" s="554">
        <v>62304</v>
      </c>
      <c r="H2917">
        <v>280.21681564800002</v>
      </c>
    </row>
    <row r="2918" spans="2:8">
      <c r="B2918" s="555" t="s">
        <v>2327</v>
      </c>
      <c r="C2918" s="555" t="str">
        <f>VLOOKUP(D2918,기본!$D$13:$E$74,2,0)</f>
        <v>MNT JDM</v>
      </c>
      <c r="D2918" t="s">
        <v>1884</v>
      </c>
      <c r="E2918" t="s">
        <v>710</v>
      </c>
      <c r="F2918" t="s">
        <v>2111</v>
      </c>
      <c r="G2918" s="554">
        <v>6044</v>
      </c>
      <c r="H2918">
        <v>32.563283376000001</v>
      </c>
    </row>
    <row r="2919" spans="2:8">
      <c r="B2919" s="555" t="s">
        <v>2327</v>
      </c>
      <c r="C2919" s="555" t="str">
        <f>VLOOKUP(D2919,기본!$D$13:$E$74,2,0)</f>
        <v>MNT JDM</v>
      </c>
      <c r="D2919" t="s">
        <v>1884</v>
      </c>
      <c r="E2919" t="s">
        <v>1156</v>
      </c>
      <c r="F2919" t="s">
        <v>2112</v>
      </c>
      <c r="G2919" s="554">
        <v>54912</v>
      </c>
      <c r="H2919">
        <v>302.45084284799998</v>
      </c>
    </row>
    <row r="2920" spans="2:8">
      <c r="B2920" s="555" t="s">
        <v>2327</v>
      </c>
      <c r="C2920" s="555" t="str">
        <f>VLOOKUP(D2920,기본!$D$13:$E$74,2,0)</f>
        <v>MNT JDM</v>
      </c>
      <c r="D2920" t="s">
        <v>1884</v>
      </c>
      <c r="E2920" t="s">
        <v>1157</v>
      </c>
      <c r="F2920" t="s">
        <v>2208</v>
      </c>
      <c r="G2920" s="554">
        <v>2112</v>
      </c>
      <c r="H2920">
        <v>13.97434368</v>
      </c>
    </row>
    <row r="2921" spans="2:8">
      <c r="B2921" s="555" t="s">
        <v>2327</v>
      </c>
      <c r="C2921" s="555" t="str">
        <f>VLOOKUP(D2921,기본!$D$13:$E$74,2,0)</f>
        <v>MNT JDM</v>
      </c>
      <c r="D2921" t="s">
        <v>157</v>
      </c>
      <c r="E2921" t="s">
        <v>709</v>
      </c>
      <c r="F2921" t="s">
        <v>1885</v>
      </c>
      <c r="G2921" s="554">
        <v>8448</v>
      </c>
      <c r="H2921">
        <v>36.661996799999997</v>
      </c>
    </row>
    <row r="2922" spans="2:8">
      <c r="B2922" s="555" t="s">
        <v>2327</v>
      </c>
      <c r="C2922" s="555" t="str">
        <f>VLOOKUP(D2922,기본!$D$13:$E$74,2,0)</f>
        <v>MNT JDM</v>
      </c>
      <c r="D2922" t="s">
        <v>157</v>
      </c>
      <c r="E2922" t="s">
        <v>710</v>
      </c>
      <c r="F2922" t="s">
        <v>1886</v>
      </c>
      <c r="G2922" s="554">
        <v>19008</v>
      </c>
      <c r="H2922">
        <v>98.910214656000008</v>
      </c>
    </row>
    <row r="2923" spans="2:8">
      <c r="B2923" s="555" t="s">
        <v>2327</v>
      </c>
      <c r="C2923" s="555" t="str">
        <f>VLOOKUP(D2923,기본!$D$13:$E$74,2,0)</f>
        <v>MNT JDM</v>
      </c>
      <c r="D2923" t="s">
        <v>157</v>
      </c>
      <c r="E2923" t="s">
        <v>1156</v>
      </c>
      <c r="F2923" t="s">
        <v>1795</v>
      </c>
      <c r="G2923" s="554">
        <v>14212</v>
      </c>
      <c r="H2923">
        <v>76.117254399999993</v>
      </c>
    </row>
    <row r="2924" spans="2:8">
      <c r="B2924" s="555" t="s">
        <v>2327</v>
      </c>
      <c r="C2924" s="555" t="str">
        <f>VLOOKUP(D2924,기본!$D$13:$E$74,2,0)</f>
        <v>AV JDM</v>
      </c>
      <c r="D2924" t="s">
        <v>1888</v>
      </c>
      <c r="E2924" t="s">
        <v>1842</v>
      </c>
      <c r="F2924" t="s">
        <v>1680</v>
      </c>
      <c r="G2924" s="554">
        <v>24000</v>
      </c>
      <c r="H2924">
        <v>211.46994000000001</v>
      </c>
    </row>
    <row r="2925" spans="2:8">
      <c r="B2925" s="555" t="s">
        <v>2327</v>
      </c>
      <c r="C2925" s="555" t="str">
        <f>VLOOKUP(D2925,기본!$D$13:$E$74,2,0)</f>
        <v>AV JDM</v>
      </c>
      <c r="D2925" t="s">
        <v>1888</v>
      </c>
      <c r="E2925" t="s">
        <v>105</v>
      </c>
      <c r="F2925" t="s">
        <v>104</v>
      </c>
      <c r="G2925" s="554">
        <v>5800</v>
      </c>
      <c r="H2925">
        <v>57.106592399999997</v>
      </c>
    </row>
    <row r="2926" spans="2:8">
      <c r="B2926" s="555" t="s">
        <v>2327</v>
      </c>
      <c r="C2926" s="555" t="str">
        <f>VLOOKUP(D2926,기본!$D$13:$E$74,2,0)</f>
        <v>AV JDM</v>
      </c>
      <c r="D2926" t="s">
        <v>1888</v>
      </c>
      <c r="E2926" t="s">
        <v>690</v>
      </c>
      <c r="F2926" t="s">
        <v>689</v>
      </c>
      <c r="G2926" s="554">
        <v>1480</v>
      </c>
      <c r="H2926">
        <v>14.884099039999999</v>
      </c>
    </row>
    <row r="2927" spans="2:8">
      <c r="B2927" s="555" t="s">
        <v>2327</v>
      </c>
      <c r="C2927" s="555" t="str">
        <f>VLOOKUP(D2927,기본!$D$13:$E$74,2,0)</f>
        <v>AV JDM</v>
      </c>
      <c r="D2927" t="s">
        <v>1888</v>
      </c>
      <c r="E2927" t="s">
        <v>1656</v>
      </c>
      <c r="F2927" t="s">
        <v>1656</v>
      </c>
      <c r="G2927" s="554">
        <v>2464</v>
      </c>
      <c r="H2927">
        <v>20.872866559999999</v>
      </c>
    </row>
    <row r="2928" spans="2:8">
      <c r="B2928" s="555" t="s">
        <v>2327</v>
      </c>
      <c r="C2928" s="555" t="str">
        <f>VLOOKUP(D2928,기본!$D$13:$E$74,2,0)</f>
        <v>AV JDM</v>
      </c>
      <c r="D2928" t="s">
        <v>1888</v>
      </c>
      <c r="E2928" t="s">
        <v>1889</v>
      </c>
      <c r="F2928" t="s">
        <v>1890</v>
      </c>
      <c r="G2928" s="554">
        <v>33894</v>
      </c>
      <c r="H2928">
        <v>258.82440796799995</v>
      </c>
    </row>
    <row r="2929" spans="2:8">
      <c r="B2929" s="555" t="s">
        <v>2327</v>
      </c>
      <c r="C2929" s="555" t="str">
        <f>VLOOKUP(D2929,기본!$D$13:$E$74,2,0)</f>
        <v>AV JDM</v>
      </c>
      <c r="D2929" t="s">
        <v>1888</v>
      </c>
      <c r="E2929" t="s">
        <v>1889</v>
      </c>
      <c r="F2929" t="s">
        <v>2311</v>
      </c>
      <c r="G2929" s="554">
        <v>2394</v>
      </c>
      <c r="H2929">
        <v>18.286090200000004</v>
      </c>
    </row>
    <row r="2930" spans="2:8">
      <c r="B2930" s="555" t="s">
        <v>2327</v>
      </c>
      <c r="C2930" s="555" t="str">
        <f>VLOOKUP(D2930,기본!$D$13:$E$74,2,0)</f>
        <v>AV JDM</v>
      </c>
      <c r="D2930" t="s">
        <v>1888</v>
      </c>
      <c r="E2930" t="s">
        <v>2106</v>
      </c>
      <c r="F2930" t="s">
        <v>1256</v>
      </c>
      <c r="G2930" s="554">
        <v>5628</v>
      </c>
      <c r="H2930">
        <v>53.064605664000005</v>
      </c>
    </row>
    <row r="2931" spans="2:8">
      <c r="B2931" s="555" t="s">
        <v>2327</v>
      </c>
      <c r="C2931" s="555" t="str">
        <f>VLOOKUP(D2931,기본!$D$13:$E$74,2,0)</f>
        <v>AV JDM</v>
      </c>
      <c r="D2931" t="s">
        <v>1888</v>
      </c>
      <c r="E2931" t="s">
        <v>1891</v>
      </c>
      <c r="F2931" t="s">
        <v>1892</v>
      </c>
      <c r="G2931" s="554">
        <v>249</v>
      </c>
      <c r="H2931">
        <v>10.278085896</v>
      </c>
    </row>
    <row r="2932" spans="2:8">
      <c r="B2932" s="555" t="s">
        <v>2327</v>
      </c>
      <c r="C2932" s="555" t="str">
        <f>VLOOKUP(D2932,기본!$D$13:$E$74,2,0)</f>
        <v>AV JDM</v>
      </c>
      <c r="D2932" t="s">
        <v>1888</v>
      </c>
      <c r="E2932" t="s">
        <v>2209</v>
      </c>
      <c r="F2932" t="s">
        <v>1260</v>
      </c>
      <c r="G2932" s="554">
        <v>2016</v>
      </c>
      <c r="H2932">
        <v>14.174189568000003</v>
      </c>
    </row>
    <row r="2933" spans="2:8">
      <c r="B2933" s="555" t="s">
        <v>2327</v>
      </c>
      <c r="C2933" s="555" t="str">
        <f>VLOOKUP(D2933,기본!$D$13:$E$74,2,0)</f>
        <v>AV JDM</v>
      </c>
      <c r="D2933" t="s">
        <v>1888</v>
      </c>
      <c r="E2933" t="s">
        <v>1845</v>
      </c>
      <c r="F2933" t="s">
        <v>1340</v>
      </c>
      <c r="G2933" s="554">
        <v>14364</v>
      </c>
      <c r="H2933">
        <v>143.832786048</v>
      </c>
    </row>
    <row r="2934" spans="2:8">
      <c r="B2934" s="555" t="s">
        <v>2327</v>
      </c>
      <c r="C2934" s="555" t="str">
        <f>VLOOKUP(D2934,기본!$D$13:$E$74,2,0)</f>
        <v>AV JDM</v>
      </c>
      <c r="D2934" t="s">
        <v>1888</v>
      </c>
      <c r="E2934" t="s">
        <v>1847</v>
      </c>
      <c r="F2934" t="s">
        <v>1336</v>
      </c>
      <c r="G2934" s="554">
        <v>42000</v>
      </c>
      <c r="H2934">
        <v>368.00689</v>
      </c>
    </row>
    <row r="2935" spans="2:8">
      <c r="B2935" s="555" t="s">
        <v>2327</v>
      </c>
      <c r="C2935" s="555" t="str">
        <f>VLOOKUP(D2935,기본!$D$13:$E$74,2,0)</f>
        <v>AV JDM</v>
      </c>
      <c r="D2935" t="s">
        <v>1888</v>
      </c>
      <c r="E2935" t="s">
        <v>1894</v>
      </c>
      <c r="F2935" t="s">
        <v>1337</v>
      </c>
      <c r="G2935" s="554">
        <v>640</v>
      </c>
      <c r="H2935">
        <v>6.2616414000000002</v>
      </c>
    </row>
    <row r="2936" spans="2:8">
      <c r="B2936" s="555" t="s">
        <v>2327</v>
      </c>
      <c r="C2936" s="555" t="str">
        <f>VLOOKUP(D2936,기본!$D$13:$E$74,2,0)</f>
        <v>AV JDM</v>
      </c>
      <c r="D2936" t="s">
        <v>1888</v>
      </c>
      <c r="E2936" t="s">
        <v>1015</v>
      </c>
      <c r="F2936" t="s">
        <v>1015</v>
      </c>
      <c r="G2936" s="554">
        <v>25920</v>
      </c>
      <c r="H2936">
        <v>173.84900159999998</v>
      </c>
    </row>
    <row r="2937" spans="2:8">
      <c r="B2937" s="555" t="s">
        <v>2327</v>
      </c>
      <c r="C2937" s="555" t="str">
        <f>VLOOKUP(D2937,기본!$D$13:$E$74,2,0)</f>
        <v>AV JDM</v>
      </c>
      <c r="D2937" t="s">
        <v>1888</v>
      </c>
      <c r="E2937" t="s">
        <v>1016</v>
      </c>
      <c r="F2937" t="s">
        <v>1016</v>
      </c>
      <c r="G2937" s="554">
        <v>26752</v>
      </c>
      <c r="H2937">
        <v>212.61784332799999</v>
      </c>
    </row>
    <row r="2938" spans="2:8">
      <c r="B2938" s="555" t="s">
        <v>2327</v>
      </c>
      <c r="C2938" s="555" t="str">
        <f>VLOOKUP(D2938,기본!$D$13:$E$74,2,0)</f>
        <v>AV JDM</v>
      </c>
      <c r="D2938" t="s">
        <v>1888</v>
      </c>
      <c r="E2938" t="s">
        <v>1047</v>
      </c>
      <c r="F2938" t="s">
        <v>1047</v>
      </c>
      <c r="G2938" s="554">
        <v>64</v>
      </c>
      <c r="H2938">
        <v>0.55999526399999999</v>
      </c>
    </row>
    <row r="2939" spans="2:8">
      <c r="B2939" s="555" t="s">
        <v>2327</v>
      </c>
      <c r="C2939" s="555" t="str">
        <f>VLOOKUP(D2939,기본!$D$13:$E$74,2,0)</f>
        <v>JDM</v>
      </c>
      <c r="D2939" t="s">
        <v>1896</v>
      </c>
      <c r="E2939" t="s">
        <v>2288</v>
      </c>
      <c r="F2939" t="s">
        <v>1897</v>
      </c>
      <c r="G2939" s="554">
        <v>150</v>
      </c>
      <c r="H2939">
        <v>5.6853224999999998</v>
      </c>
    </row>
    <row r="2940" spans="2:8">
      <c r="B2940" s="555" t="s">
        <v>2327</v>
      </c>
      <c r="C2940" s="555" t="str">
        <f>VLOOKUP(D2940,기본!$D$13:$E$74,2,0)</f>
        <v>AV JDM</v>
      </c>
      <c r="D2940" t="s">
        <v>1899</v>
      </c>
      <c r="E2940" t="s">
        <v>436</v>
      </c>
      <c r="F2940" t="s">
        <v>2210</v>
      </c>
      <c r="G2940" s="554">
        <v>7056</v>
      </c>
      <c r="H2940">
        <v>59.607874367999997</v>
      </c>
    </row>
    <row r="2941" spans="2:8">
      <c r="B2941" s="555" t="s">
        <v>2327</v>
      </c>
      <c r="C2941" s="555" t="str">
        <f>VLOOKUP(D2941,기본!$D$13:$E$74,2,0)</f>
        <v>MNT JDM</v>
      </c>
      <c r="D2941" t="s">
        <v>1900</v>
      </c>
      <c r="E2941" t="s">
        <v>709</v>
      </c>
      <c r="F2941" t="s">
        <v>2115</v>
      </c>
      <c r="G2941" s="554">
        <v>84480</v>
      </c>
      <c r="H2941">
        <v>370.13647967999998</v>
      </c>
    </row>
    <row r="2942" spans="2:8">
      <c r="B2942" s="555" t="s">
        <v>2327</v>
      </c>
      <c r="C2942" s="555" t="str">
        <f>VLOOKUP(D2942,기본!$D$13:$E$74,2,0)</f>
        <v>MNT JDM</v>
      </c>
      <c r="D2942" t="s">
        <v>1900</v>
      </c>
      <c r="E2942" t="s">
        <v>1156</v>
      </c>
      <c r="F2942" t="s">
        <v>2116</v>
      </c>
      <c r="G2942" s="554">
        <v>4224</v>
      </c>
      <c r="H2942">
        <v>22.713292800000001</v>
      </c>
    </row>
    <row r="2943" spans="2:8">
      <c r="B2943" s="555" t="s">
        <v>2327</v>
      </c>
      <c r="C2943" s="555" t="str">
        <f>VLOOKUP(D2943,기본!$D$13:$E$74,2,0)</f>
        <v>MNT JDM</v>
      </c>
      <c r="D2943" t="s">
        <v>1900</v>
      </c>
      <c r="E2943" t="s">
        <v>1157</v>
      </c>
      <c r="F2943" t="s">
        <v>2233</v>
      </c>
      <c r="G2943" s="554">
        <v>2112</v>
      </c>
      <c r="H2943">
        <v>13.514409215999999</v>
      </c>
    </row>
    <row r="2944" spans="2:8">
      <c r="B2944" s="555" t="s">
        <v>2327</v>
      </c>
      <c r="C2944" s="555" t="str">
        <f>VLOOKUP(D2944,기본!$D$13:$E$74,2,0)</f>
        <v>HP</v>
      </c>
      <c r="D2944" t="s">
        <v>2312</v>
      </c>
      <c r="E2944" t="s">
        <v>1296</v>
      </c>
      <c r="F2944" t="s">
        <v>1292</v>
      </c>
      <c r="G2944" s="554">
        <v>5</v>
      </c>
      <c r="H2944">
        <v>0.17445112000000002</v>
      </c>
    </row>
    <row r="2945" spans="2:8">
      <c r="B2945" s="555" t="s">
        <v>2327</v>
      </c>
      <c r="C2945" s="555" t="str">
        <f>VLOOKUP(D2945,기본!$D$13:$E$74,2,0)</f>
        <v>한화비전</v>
      </c>
      <c r="D2945" t="s">
        <v>1901</v>
      </c>
      <c r="E2945" t="s">
        <v>2117</v>
      </c>
      <c r="F2945" t="s">
        <v>2118</v>
      </c>
      <c r="G2945" s="554">
        <v>1178</v>
      </c>
      <c r="H2945">
        <v>4.1731686640000003</v>
      </c>
    </row>
    <row r="2946" spans="2:8">
      <c r="B2946" s="555" t="s">
        <v>2327</v>
      </c>
      <c r="C2946" s="555" t="str">
        <f>VLOOKUP(D2946,기본!$D$13:$E$74,2,0)</f>
        <v>한화비전</v>
      </c>
      <c r="D2946" t="s">
        <v>1901</v>
      </c>
      <c r="E2946" t="s">
        <v>1902</v>
      </c>
      <c r="F2946" t="s">
        <v>1903</v>
      </c>
      <c r="G2946" s="554">
        <v>954</v>
      </c>
      <c r="H2946">
        <v>32.90691348</v>
      </c>
    </row>
    <row r="2947" spans="2:8">
      <c r="B2947" s="555" t="s">
        <v>2327</v>
      </c>
      <c r="C2947" s="555" t="str">
        <f>VLOOKUP(D2947,기본!$D$13:$E$74,2,0)</f>
        <v>한화비전</v>
      </c>
      <c r="D2947" t="s">
        <v>1901</v>
      </c>
      <c r="E2947" t="s">
        <v>2257</v>
      </c>
      <c r="F2947" t="s">
        <v>2258</v>
      </c>
      <c r="G2947" s="554">
        <v>506</v>
      </c>
      <c r="H2947">
        <v>9.4344711999999991</v>
      </c>
    </row>
    <row r="2948" spans="2:8">
      <c r="B2948" s="555" t="s">
        <v>2327</v>
      </c>
      <c r="C2948" s="555" t="str">
        <f>VLOOKUP(D2948,기본!$D$13:$E$74,2,0)</f>
        <v>삼성 VD</v>
      </c>
      <c r="D2948" t="s">
        <v>2313</v>
      </c>
      <c r="E2948" t="s">
        <v>2314</v>
      </c>
      <c r="F2948" t="s">
        <v>1834</v>
      </c>
      <c r="G2948" s="554">
        <v>3039</v>
      </c>
      <c r="H2948">
        <v>10.144941749999999</v>
      </c>
    </row>
    <row r="2949" spans="2:8">
      <c r="B2949" s="555" t="s">
        <v>2327</v>
      </c>
      <c r="C2949" s="555" t="str">
        <f>VLOOKUP(D2949,기본!$D$13:$E$74,2,0)</f>
        <v>삼성 VD</v>
      </c>
      <c r="D2949" t="s">
        <v>2313</v>
      </c>
      <c r="E2949" t="s">
        <v>2315</v>
      </c>
      <c r="F2949" t="s">
        <v>1835</v>
      </c>
      <c r="G2949" s="554">
        <v>41</v>
      </c>
      <c r="H2949">
        <v>0.18395092799999999</v>
      </c>
    </row>
    <row r="2950" spans="2:8">
      <c r="B2950" s="555" t="s">
        <v>2327</v>
      </c>
      <c r="C2950" s="555" t="str">
        <f>VLOOKUP(D2950,기본!$D$13:$E$74,2,0)</f>
        <v>코웨이</v>
      </c>
      <c r="D2950" t="s">
        <v>1905</v>
      </c>
      <c r="E2950" t="s">
        <v>2294</v>
      </c>
      <c r="F2950" t="s">
        <v>2294</v>
      </c>
      <c r="G2950" s="554">
        <v>1000</v>
      </c>
      <c r="H2950">
        <v>6.3355600000000001</v>
      </c>
    </row>
    <row r="2951" spans="2:8">
      <c r="B2951" s="555" t="s">
        <v>2327</v>
      </c>
      <c r="C2951" s="555" t="str">
        <f>VLOOKUP(D2951,기본!$D$13:$E$74,2,0)</f>
        <v>코웨이</v>
      </c>
      <c r="D2951" t="s">
        <v>1905</v>
      </c>
      <c r="E2951" t="s">
        <v>1067</v>
      </c>
      <c r="F2951" t="s">
        <v>1067</v>
      </c>
      <c r="G2951" s="554">
        <v>1281</v>
      </c>
      <c r="H2951">
        <v>8.1829255199999995</v>
      </c>
    </row>
    <row r="2952" spans="2:8">
      <c r="B2952" s="555" t="s">
        <v>2327</v>
      </c>
      <c r="C2952" s="555" t="str">
        <f>VLOOKUP(D2952,기본!$D$13:$E$74,2,0)</f>
        <v>코웨이</v>
      </c>
      <c r="D2952" t="s">
        <v>1905</v>
      </c>
      <c r="E2952" t="s">
        <v>1066</v>
      </c>
      <c r="F2952" t="s">
        <v>1066</v>
      </c>
      <c r="G2952" s="554">
        <v>3000</v>
      </c>
      <c r="H2952">
        <v>23.622689999999999</v>
      </c>
    </row>
    <row r="2953" spans="2:8">
      <c r="B2953" s="555" t="s">
        <v>2327</v>
      </c>
      <c r="C2953" s="555" t="str">
        <f>VLOOKUP(D2953,기본!$D$13:$E$74,2,0)</f>
        <v>코웨이</v>
      </c>
      <c r="D2953" t="s">
        <v>1905</v>
      </c>
      <c r="E2953" t="s">
        <v>2296</v>
      </c>
      <c r="F2953" t="s">
        <v>2296</v>
      </c>
      <c r="G2953" s="554">
        <v>1000</v>
      </c>
      <c r="H2953">
        <v>12.218579999999999</v>
      </c>
    </row>
    <row r="2954" spans="2:8">
      <c r="B2954" s="555" t="s">
        <v>2327</v>
      </c>
      <c r="C2954" s="555" t="str">
        <f>VLOOKUP(D2954,기본!$D$13:$E$74,2,0)</f>
        <v>코웨이</v>
      </c>
      <c r="D2954" t="s">
        <v>1905</v>
      </c>
      <c r="E2954" t="s">
        <v>1906</v>
      </c>
      <c r="F2954" t="s">
        <v>1906</v>
      </c>
      <c r="G2954" s="554">
        <v>25920</v>
      </c>
      <c r="H2954">
        <v>167.3565696</v>
      </c>
    </row>
    <row r="2955" spans="2:8">
      <c r="B2955" s="555" t="s">
        <v>2327</v>
      </c>
      <c r="C2955" s="555" t="str">
        <f>VLOOKUP(D2955,기본!$D$13:$E$74,2,0)</f>
        <v>코웨이</v>
      </c>
      <c r="D2955" t="s">
        <v>1905</v>
      </c>
      <c r="E2955" t="s">
        <v>1909</v>
      </c>
      <c r="F2955" t="s">
        <v>1909</v>
      </c>
      <c r="G2955" s="554">
        <v>2000</v>
      </c>
      <c r="H2955">
        <v>10.99999</v>
      </c>
    </row>
    <row r="2956" spans="2:8">
      <c r="B2956" s="555" t="s">
        <v>2327</v>
      </c>
      <c r="C2956" s="555" t="str">
        <f>VLOOKUP(D2956,기본!$D$13:$E$74,2,0)</f>
        <v>코웨이</v>
      </c>
      <c r="D2956" t="s">
        <v>1905</v>
      </c>
      <c r="E2956" t="s">
        <v>1910</v>
      </c>
      <c r="F2956" t="s">
        <v>1910</v>
      </c>
      <c r="G2956" s="554">
        <v>1000</v>
      </c>
      <c r="H2956">
        <v>5.8326320000000003</v>
      </c>
    </row>
    <row r="2957" spans="2:8">
      <c r="B2957" s="555" t="s">
        <v>2327</v>
      </c>
      <c r="C2957" s="555" t="str">
        <f>VLOOKUP(D2957,기본!$D$13:$E$74,2,0)</f>
        <v>코웨이</v>
      </c>
      <c r="D2957" t="s">
        <v>1905</v>
      </c>
      <c r="E2957" t="s">
        <v>1332</v>
      </c>
      <c r="F2957" t="s">
        <v>1332</v>
      </c>
      <c r="G2957" s="554">
        <v>805</v>
      </c>
      <c r="H2957">
        <v>6.2225856000000004</v>
      </c>
    </row>
    <row r="2958" spans="2:8">
      <c r="B2958" s="555" t="s">
        <v>2327</v>
      </c>
      <c r="C2958" s="555" t="str">
        <f>VLOOKUP(D2958,기본!$D$13:$E$74,2,0)</f>
        <v>삼성 VD</v>
      </c>
      <c r="D2958" t="s">
        <v>1912</v>
      </c>
      <c r="E2958" t="s">
        <v>1165</v>
      </c>
      <c r="F2958" t="s">
        <v>1882</v>
      </c>
      <c r="G2958" s="554">
        <v>450</v>
      </c>
      <c r="H2958">
        <v>13.009301946000001</v>
      </c>
    </row>
    <row r="2959" spans="2:8">
      <c r="B2959" s="555" t="s">
        <v>2327</v>
      </c>
      <c r="C2959" s="555" t="str">
        <f>VLOOKUP(D2959,기본!$D$13:$E$74,2,0)</f>
        <v>삼성 VD</v>
      </c>
      <c r="D2959" t="s">
        <v>1912</v>
      </c>
      <c r="E2959" t="s">
        <v>1164</v>
      </c>
      <c r="F2959" t="s">
        <v>1850</v>
      </c>
      <c r="G2959" s="554">
        <v>2466</v>
      </c>
      <c r="H2959">
        <v>64.703826539999994</v>
      </c>
    </row>
    <row r="2960" spans="2:8">
      <c r="B2960" s="555" t="s">
        <v>2327</v>
      </c>
      <c r="C2960" s="555" t="str">
        <f>VLOOKUP(D2960,기본!$D$13:$E$74,2,0)</f>
        <v>삼성 VD</v>
      </c>
      <c r="D2960" t="s">
        <v>1912</v>
      </c>
      <c r="E2960" t="s">
        <v>1853</v>
      </c>
      <c r="F2960" t="s">
        <v>1854</v>
      </c>
      <c r="G2960" s="554">
        <v>360</v>
      </c>
      <c r="H2960">
        <v>4.7924276400000005</v>
      </c>
    </row>
    <row r="2961" spans="2:8">
      <c r="B2961" s="555" t="s">
        <v>2327</v>
      </c>
      <c r="C2961" s="555" t="str">
        <f>VLOOKUP(D2961,기본!$D$13:$E$74,2,0)</f>
        <v>삼성 VD</v>
      </c>
      <c r="D2961" t="s">
        <v>1912</v>
      </c>
      <c r="E2961" t="s">
        <v>1855</v>
      </c>
      <c r="F2961" t="s">
        <v>1856</v>
      </c>
      <c r="G2961" s="554">
        <v>621</v>
      </c>
      <c r="H2961">
        <v>8.4505282560000001</v>
      </c>
    </row>
    <row r="2962" spans="2:8">
      <c r="B2962" s="555" t="s">
        <v>2327</v>
      </c>
      <c r="C2962" s="555" t="str">
        <f>VLOOKUP(D2962,기본!$D$13:$E$74,2,0)</f>
        <v>삼성 VD</v>
      </c>
      <c r="D2962" t="s">
        <v>1912</v>
      </c>
      <c r="E2962" t="s">
        <v>1874</v>
      </c>
      <c r="F2962" t="s">
        <v>1875</v>
      </c>
      <c r="G2962" s="554">
        <v>575</v>
      </c>
      <c r="H2962">
        <v>8.4930506100000009</v>
      </c>
    </row>
    <row r="2963" spans="2:8">
      <c r="B2963" s="555" t="s">
        <v>2327</v>
      </c>
      <c r="C2963" s="555" t="str">
        <f>VLOOKUP(D2963,기본!$D$13:$E$74,2,0)</f>
        <v>삼성 VD</v>
      </c>
      <c r="D2963" t="s">
        <v>1912</v>
      </c>
      <c r="E2963" t="s">
        <v>1865</v>
      </c>
      <c r="F2963" t="s">
        <v>1866</v>
      </c>
      <c r="G2963" s="554">
        <v>504</v>
      </c>
      <c r="H2963">
        <v>19.4325984</v>
      </c>
    </row>
    <row r="2964" spans="2:8">
      <c r="B2964" s="555" t="s">
        <v>2327</v>
      </c>
      <c r="C2964" s="555" t="str">
        <f>VLOOKUP(D2964,기본!$D$13:$E$74,2,0)</f>
        <v>삼성 VD</v>
      </c>
      <c r="D2964" t="s">
        <v>1912</v>
      </c>
      <c r="E2964" t="s">
        <v>1786</v>
      </c>
      <c r="F2964" t="s">
        <v>1671</v>
      </c>
      <c r="G2964" s="554">
        <v>29556</v>
      </c>
      <c r="H2964">
        <v>311.24136103199999</v>
      </c>
    </row>
    <row r="2965" spans="2:8">
      <c r="B2965" s="555" t="s">
        <v>2327</v>
      </c>
      <c r="C2965" s="555" t="str">
        <f>VLOOKUP(D2965,기본!$D$13:$E$74,2,0)</f>
        <v>삼성 VD</v>
      </c>
      <c r="D2965" t="s">
        <v>1912</v>
      </c>
      <c r="E2965" t="s">
        <v>1788</v>
      </c>
      <c r="F2965" t="s">
        <v>1913</v>
      </c>
      <c r="G2965" s="554">
        <v>78624</v>
      </c>
      <c r="H2965">
        <v>880.08925420799983</v>
      </c>
    </row>
    <row r="2966" spans="2:8">
      <c r="B2966" s="555" t="s">
        <v>2327</v>
      </c>
      <c r="C2966" s="555" t="str">
        <f>VLOOKUP(D2966,기본!$D$13:$E$74,2,0)</f>
        <v>삼성 VD</v>
      </c>
      <c r="D2966" t="s">
        <v>1912</v>
      </c>
      <c r="E2966" t="s">
        <v>1790</v>
      </c>
      <c r="F2966" t="s">
        <v>1914</v>
      </c>
      <c r="G2966" s="554">
        <v>33627</v>
      </c>
      <c r="H2966">
        <v>424.31946602099998</v>
      </c>
    </row>
    <row r="2967" spans="2:8">
      <c r="B2967" s="555" t="s">
        <v>2327</v>
      </c>
      <c r="C2967" s="555" t="str">
        <f>VLOOKUP(D2967,기본!$D$13:$E$74,2,0)</f>
        <v>삼성 VD</v>
      </c>
      <c r="D2967" t="s">
        <v>1912</v>
      </c>
      <c r="E2967" t="s">
        <v>1792</v>
      </c>
      <c r="F2967" t="s">
        <v>1915</v>
      </c>
      <c r="G2967" s="554">
        <v>20196</v>
      </c>
      <c r="H2967">
        <v>337.60712422799998</v>
      </c>
    </row>
    <row r="2968" spans="2:8">
      <c r="B2968" s="555" t="s">
        <v>2327</v>
      </c>
      <c r="C2968" s="555" t="str">
        <f>VLOOKUP(D2968,기본!$D$13:$E$74,2,0)</f>
        <v>삼성 VD</v>
      </c>
      <c r="D2968" t="s">
        <v>1912</v>
      </c>
      <c r="E2968" t="s">
        <v>1923</v>
      </c>
      <c r="F2968" t="s">
        <v>1924</v>
      </c>
      <c r="G2968" s="554">
        <v>1320</v>
      </c>
      <c r="H2968">
        <v>5.8165667999999995</v>
      </c>
    </row>
    <row r="2969" spans="2:8">
      <c r="B2969" s="555" t="s">
        <v>2327</v>
      </c>
      <c r="C2969" s="555" t="str">
        <f>VLOOKUP(D2969,기본!$D$13:$E$74,2,0)</f>
        <v>삼성 VD</v>
      </c>
      <c r="D2969" t="s">
        <v>1912</v>
      </c>
      <c r="E2969" t="s">
        <v>1925</v>
      </c>
      <c r="F2969" t="s">
        <v>1926</v>
      </c>
      <c r="G2969" s="554">
        <v>1302</v>
      </c>
      <c r="H2969">
        <v>10.503502506</v>
      </c>
    </row>
    <row r="2970" spans="2:8">
      <c r="B2970" s="555" t="s">
        <v>2327</v>
      </c>
      <c r="C2970" s="555" t="str">
        <f>VLOOKUP(D2970,기본!$D$13:$E$74,2,0)</f>
        <v>삼성 VD</v>
      </c>
      <c r="D2970" t="s">
        <v>1916</v>
      </c>
      <c r="E2970" t="s">
        <v>1165</v>
      </c>
      <c r="F2970" t="s">
        <v>1882</v>
      </c>
      <c r="G2970" s="554">
        <v>216</v>
      </c>
      <c r="H2970">
        <v>6.2559339119999997</v>
      </c>
    </row>
    <row r="2971" spans="2:8">
      <c r="B2971" s="555" t="s">
        <v>2327</v>
      </c>
      <c r="C2971" s="555" t="str">
        <f>VLOOKUP(D2971,기본!$D$13:$E$74,2,0)</f>
        <v>삼성 VD</v>
      </c>
      <c r="D2971" t="s">
        <v>1916</v>
      </c>
      <c r="E2971" t="s">
        <v>1164</v>
      </c>
      <c r="F2971" t="s">
        <v>1850</v>
      </c>
      <c r="G2971" s="554">
        <v>402</v>
      </c>
      <c r="H2971">
        <v>10.574774819999998</v>
      </c>
    </row>
    <row r="2972" spans="2:8">
      <c r="B2972" s="555" t="s">
        <v>2327</v>
      </c>
      <c r="C2972" s="555" t="str">
        <f>VLOOKUP(D2972,기본!$D$13:$E$74,2,0)</f>
        <v>삼성 VD</v>
      </c>
      <c r="D2972" t="s">
        <v>1916</v>
      </c>
      <c r="E2972" t="s">
        <v>1851</v>
      </c>
      <c r="F2972" t="s">
        <v>1852</v>
      </c>
      <c r="G2972" s="554">
        <v>1488</v>
      </c>
      <c r="H2972">
        <v>10.809067840000001</v>
      </c>
    </row>
    <row r="2973" spans="2:8">
      <c r="B2973" s="555" t="s">
        <v>2327</v>
      </c>
      <c r="C2973" s="555" t="str">
        <f>VLOOKUP(D2973,기본!$D$13:$E$74,2,0)</f>
        <v>삼성 VD</v>
      </c>
      <c r="D2973" t="s">
        <v>1916</v>
      </c>
      <c r="E2973" t="s">
        <v>1853</v>
      </c>
      <c r="F2973" t="s">
        <v>1854</v>
      </c>
      <c r="G2973" s="554">
        <v>90</v>
      </c>
      <c r="H2973">
        <v>1.20297177</v>
      </c>
    </row>
    <row r="2974" spans="2:8">
      <c r="B2974" s="555" t="s">
        <v>2327</v>
      </c>
      <c r="C2974" s="555" t="str">
        <f>VLOOKUP(D2974,기본!$D$13:$E$74,2,0)</f>
        <v>삼성 VD</v>
      </c>
      <c r="D2974" t="s">
        <v>1916</v>
      </c>
      <c r="E2974" t="s">
        <v>1855</v>
      </c>
      <c r="F2974" t="s">
        <v>1856</v>
      </c>
      <c r="G2974" s="554">
        <v>46</v>
      </c>
      <c r="H2974">
        <v>0.62897971200000002</v>
      </c>
    </row>
    <row r="2975" spans="2:8">
      <c r="B2975" s="555" t="s">
        <v>2327</v>
      </c>
      <c r="C2975" s="555" t="str">
        <f>VLOOKUP(D2975,기본!$D$13:$E$74,2,0)</f>
        <v>삼성 VD</v>
      </c>
      <c r="D2975" t="s">
        <v>1916</v>
      </c>
      <c r="E2975" t="s">
        <v>1874</v>
      </c>
      <c r="F2975" t="s">
        <v>1875</v>
      </c>
      <c r="G2975" s="554">
        <v>138</v>
      </c>
      <c r="H2975">
        <v>2.0463608989999997</v>
      </c>
    </row>
    <row r="2976" spans="2:8">
      <c r="B2976" s="555" t="s">
        <v>2327</v>
      </c>
      <c r="C2976" s="555" t="str">
        <f>VLOOKUP(D2976,기본!$D$13:$E$74,2,0)</f>
        <v>삼성 VD</v>
      </c>
      <c r="D2976" t="s">
        <v>1916</v>
      </c>
      <c r="E2976" t="s">
        <v>1786</v>
      </c>
      <c r="F2976" t="s">
        <v>1671</v>
      </c>
      <c r="G2976" s="554">
        <v>8064</v>
      </c>
      <c r="H2976">
        <v>85.81184927999999</v>
      </c>
    </row>
    <row r="2977" spans="2:8">
      <c r="B2977" s="555" t="s">
        <v>2327</v>
      </c>
      <c r="C2977" s="555" t="str">
        <f>VLOOKUP(D2977,기본!$D$13:$E$74,2,0)</f>
        <v>삼성 VD</v>
      </c>
      <c r="D2977" t="s">
        <v>1916</v>
      </c>
      <c r="E2977" t="s">
        <v>1777</v>
      </c>
      <c r="F2977" t="s">
        <v>1672</v>
      </c>
      <c r="G2977" s="554">
        <v>8649</v>
      </c>
      <c r="H2977">
        <v>95.901876899999991</v>
      </c>
    </row>
    <row r="2978" spans="2:8">
      <c r="B2978" s="555" t="s">
        <v>2327</v>
      </c>
      <c r="C2978" s="555" t="str">
        <f>VLOOKUP(D2978,기본!$D$13:$E$74,2,0)</f>
        <v>삼성 VD</v>
      </c>
      <c r="D2978" t="s">
        <v>1916</v>
      </c>
      <c r="E2978" t="s">
        <v>2260</v>
      </c>
      <c r="F2978" t="s">
        <v>1774</v>
      </c>
      <c r="G2978" s="554">
        <v>94</v>
      </c>
      <c r="H2978">
        <v>0.98774278799999993</v>
      </c>
    </row>
    <row r="2979" spans="2:8">
      <c r="B2979" s="555" t="s">
        <v>2327</v>
      </c>
      <c r="C2979" s="555" t="str">
        <f>VLOOKUP(D2979,기본!$D$13:$E$74,2,0)</f>
        <v>삼성 VD</v>
      </c>
      <c r="D2979" t="s">
        <v>1916</v>
      </c>
      <c r="E2979" t="s">
        <v>1788</v>
      </c>
      <c r="F2979" t="s">
        <v>1913</v>
      </c>
      <c r="G2979" s="554">
        <v>5688</v>
      </c>
      <c r="H2979">
        <v>67.744001591999989</v>
      </c>
    </row>
    <row r="2980" spans="2:8">
      <c r="B2980" s="555" t="s">
        <v>2327</v>
      </c>
      <c r="C2980" s="555" t="str">
        <f>VLOOKUP(D2980,기본!$D$13:$E$74,2,0)</f>
        <v>삼성 VD</v>
      </c>
      <c r="D2980" t="s">
        <v>1916</v>
      </c>
      <c r="E2980" t="s">
        <v>1778</v>
      </c>
      <c r="F2980" t="s">
        <v>1919</v>
      </c>
      <c r="G2980" s="554">
        <v>49284</v>
      </c>
      <c r="H2980">
        <v>619.1188017479999</v>
      </c>
    </row>
    <row r="2981" spans="2:8">
      <c r="B2981" s="555" t="s">
        <v>2327</v>
      </c>
      <c r="C2981" s="555" t="str">
        <f>VLOOKUP(D2981,기본!$D$13:$E$74,2,0)</f>
        <v>삼성 VD</v>
      </c>
      <c r="D2981" t="s">
        <v>1916</v>
      </c>
      <c r="E2981" t="s">
        <v>1790</v>
      </c>
      <c r="F2981" t="s">
        <v>1914</v>
      </c>
      <c r="G2981" s="554">
        <v>2871</v>
      </c>
      <c r="H2981">
        <v>37.682916480000003</v>
      </c>
    </row>
    <row r="2982" spans="2:8">
      <c r="B2982" s="555" t="s">
        <v>2327</v>
      </c>
      <c r="C2982" s="555" t="str">
        <f>VLOOKUP(D2982,기본!$D$13:$E$74,2,0)</f>
        <v>삼성 VD</v>
      </c>
      <c r="D2982" t="s">
        <v>1916</v>
      </c>
      <c r="E2982" t="s">
        <v>1779</v>
      </c>
      <c r="F2982" t="s">
        <v>1920</v>
      </c>
      <c r="G2982" s="554">
        <v>28512</v>
      </c>
      <c r="H2982">
        <v>400.02546698399999</v>
      </c>
    </row>
    <row r="2983" spans="2:8">
      <c r="B2983" s="555" t="s">
        <v>2327</v>
      </c>
      <c r="C2983" s="555" t="str">
        <f>VLOOKUP(D2983,기본!$D$13:$E$74,2,0)</f>
        <v>삼성 VD</v>
      </c>
      <c r="D2983" t="s">
        <v>1916</v>
      </c>
      <c r="E2983" t="s">
        <v>1792</v>
      </c>
      <c r="F2983" t="s">
        <v>1915</v>
      </c>
      <c r="G2983" s="554">
        <v>6262</v>
      </c>
      <c r="H2983">
        <v>107.95696405799998</v>
      </c>
    </row>
    <row r="2984" spans="2:8">
      <c r="B2984" s="555" t="s">
        <v>2327</v>
      </c>
      <c r="C2984" s="555" t="str">
        <f>VLOOKUP(D2984,기본!$D$13:$E$74,2,0)</f>
        <v>삼성 VD</v>
      </c>
      <c r="D2984" t="s">
        <v>1916</v>
      </c>
      <c r="E2984" t="s">
        <v>1921</v>
      </c>
      <c r="F2984" t="s">
        <v>1922</v>
      </c>
      <c r="G2984" s="554">
        <v>486</v>
      </c>
      <c r="H2984">
        <v>11.175018875999999</v>
      </c>
    </row>
    <row r="2985" spans="2:8">
      <c r="B2985" s="555" t="s">
        <v>2327</v>
      </c>
      <c r="C2985" s="555" t="str">
        <f>VLOOKUP(D2985,기본!$D$13:$E$74,2,0)</f>
        <v>삼성 VD</v>
      </c>
      <c r="D2985" t="s">
        <v>1916</v>
      </c>
      <c r="E2985" t="s">
        <v>1923</v>
      </c>
      <c r="F2985" t="s">
        <v>1924</v>
      </c>
      <c r="G2985" s="554">
        <v>14124</v>
      </c>
      <c r="H2985">
        <v>62.237264759999988</v>
      </c>
    </row>
    <row r="2986" spans="2:8">
      <c r="B2986" s="555" t="s">
        <v>2327</v>
      </c>
      <c r="C2986" s="555" t="str">
        <f>VLOOKUP(D2986,기본!$D$13:$E$74,2,0)</f>
        <v>삼성 VD</v>
      </c>
      <c r="D2986" t="s">
        <v>1927</v>
      </c>
      <c r="E2986" t="s">
        <v>2119</v>
      </c>
      <c r="F2986" t="s">
        <v>2120</v>
      </c>
      <c r="G2986" s="554">
        <v>9936</v>
      </c>
      <c r="H2986">
        <v>186.39721267199997</v>
      </c>
    </row>
    <row r="2987" spans="2:8">
      <c r="B2987" s="555" t="s">
        <v>2327</v>
      </c>
      <c r="C2987" s="555" t="str">
        <f>VLOOKUP(D2987,기본!$D$13:$E$74,2,0)</f>
        <v>삼성 VD</v>
      </c>
      <c r="D2987" t="s">
        <v>1927</v>
      </c>
      <c r="E2987" t="s">
        <v>1165</v>
      </c>
      <c r="F2987" t="s">
        <v>1882</v>
      </c>
      <c r="G2987" s="554">
        <v>1656</v>
      </c>
      <c r="H2987">
        <v>47.963721671999991</v>
      </c>
    </row>
    <row r="2988" spans="2:8">
      <c r="B2988" s="555" t="s">
        <v>2327</v>
      </c>
      <c r="C2988" s="555" t="str">
        <f>VLOOKUP(D2988,기본!$D$13:$E$74,2,0)</f>
        <v>삼성 VD</v>
      </c>
      <c r="D2988" t="s">
        <v>1927</v>
      </c>
      <c r="E2988" t="s">
        <v>1164</v>
      </c>
      <c r="F2988" t="s">
        <v>1850</v>
      </c>
      <c r="G2988" s="554">
        <v>864</v>
      </c>
      <c r="H2988">
        <v>22.727874239999998</v>
      </c>
    </row>
    <row r="2989" spans="2:8">
      <c r="B2989" s="555" t="s">
        <v>2327</v>
      </c>
      <c r="C2989" s="555" t="str">
        <f>VLOOKUP(D2989,기본!$D$13:$E$74,2,0)</f>
        <v>삼성 VD</v>
      </c>
      <c r="D2989" t="s">
        <v>1927</v>
      </c>
      <c r="E2989" t="s">
        <v>1851</v>
      </c>
      <c r="F2989" t="s">
        <v>1852</v>
      </c>
      <c r="G2989" s="554">
        <v>4992</v>
      </c>
      <c r="H2989">
        <v>36.248342399999999</v>
      </c>
    </row>
    <row r="2990" spans="2:8">
      <c r="B2990" s="555" t="s">
        <v>2327</v>
      </c>
      <c r="C2990" s="555" t="str">
        <f>VLOOKUP(D2990,기본!$D$13:$E$74,2,0)</f>
        <v>삼성 VD</v>
      </c>
      <c r="D2990" t="s">
        <v>1927</v>
      </c>
      <c r="E2990" t="s">
        <v>1855</v>
      </c>
      <c r="F2990" t="s">
        <v>1856</v>
      </c>
      <c r="G2990" s="554">
        <v>94</v>
      </c>
      <c r="H2990">
        <v>1.2853063680000001</v>
      </c>
    </row>
    <row r="2991" spans="2:8">
      <c r="B2991" s="555" t="s">
        <v>2327</v>
      </c>
      <c r="C2991" s="555" t="str">
        <f>VLOOKUP(D2991,기본!$D$13:$E$74,2,0)</f>
        <v>삼성 VD</v>
      </c>
      <c r="D2991" t="s">
        <v>1927</v>
      </c>
      <c r="E2991" t="s">
        <v>1928</v>
      </c>
      <c r="F2991" t="s">
        <v>1929</v>
      </c>
      <c r="G2991" s="554">
        <v>3600</v>
      </c>
      <c r="H2991">
        <v>35.074511999999999</v>
      </c>
    </row>
    <row r="2992" spans="2:8">
      <c r="B2992" s="555" t="s">
        <v>2327</v>
      </c>
      <c r="C2992" s="555" t="str">
        <f>VLOOKUP(D2992,기본!$D$13:$E$74,2,0)</f>
        <v>삼성 VD</v>
      </c>
      <c r="D2992" t="s">
        <v>1927</v>
      </c>
      <c r="E2992" t="s">
        <v>1036</v>
      </c>
      <c r="F2992" t="s">
        <v>1035</v>
      </c>
      <c r="G2992" s="554">
        <v>260</v>
      </c>
      <c r="H2992">
        <v>2.7367416999999996</v>
      </c>
    </row>
    <row r="2993" spans="2:8">
      <c r="B2993" s="555" t="s">
        <v>2327</v>
      </c>
      <c r="C2993" s="555" t="str">
        <f>VLOOKUP(D2993,기본!$D$13:$E$74,2,0)</f>
        <v>삼성 VD</v>
      </c>
      <c r="D2993" t="s">
        <v>1927</v>
      </c>
      <c r="E2993" t="s">
        <v>1859</v>
      </c>
      <c r="F2993" t="s">
        <v>1860</v>
      </c>
      <c r="G2993" s="554">
        <v>4320</v>
      </c>
      <c r="H2993">
        <v>74.153387519999995</v>
      </c>
    </row>
    <row r="2994" spans="2:8">
      <c r="B2994" s="555" t="s">
        <v>2327</v>
      </c>
      <c r="C2994" s="555" t="str">
        <f>VLOOKUP(D2994,기본!$D$13:$E$74,2,0)</f>
        <v>삼성 VD</v>
      </c>
      <c r="D2994" t="s">
        <v>1927</v>
      </c>
      <c r="E2994" t="s">
        <v>1930</v>
      </c>
      <c r="F2994" t="s">
        <v>1931</v>
      </c>
      <c r="G2994" s="554">
        <v>2292</v>
      </c>
      <c r="H2994">
        <v>14.622565775999998</v>
      </c>
    </row>
    <row r="2995" spans="2:8">
      <c r="B2995" s="555" t="s">
        <v>2327</v>
      </c>
      <c r="C2995" s="555" t="str">
        <f>VLOOKUP(D2995,기본!$D$13:$E$74,2,0)</f>
        <v>삼성 VD</v>
      </c>
      <c r="D2995" t="s">
        <v>1927</v>
      </c>
      <c r="E2995" t="s">
        <v>1309</v>
      </c>
      <c r="F2995" t="s">
        <v>1308</v>
      </c>
      <c r="G2995" s="554">
        <v>1728</v>
      </c>
      <c r="H2995">
        <v>36.742764289999997</v>
      </c>
    </row>
    <row r="2996" spans="2:8">
      <c r="B2996" s="555" t="s">
        <v>2327</v>
      </c>
      <c r="C2996" s="555" t="str">
        <f>VLOOKUP(D2996,기본!$D$13:$E$74,2,0)</f>
        <v>삼성 VD</v>
      </c>
      <c r="D2996" t="s">
        <v>1927</v>
      </c>
      <c r="E2996" t="s">
        <v>1313</v>
      </c>
      <c r="F2996" t="s">
        <v>1312</v>
      </c>
      <c r="G2996" s="554">
        <v>4464</v>
      </c>
      <c r="H2996">
        <v>95.658242255999994</v>
      </c>
    </row>
    <row r="2997" spans="2:8">
      <c r="B2997" s="555" t="s">
        <v>2327</v>
      </c>
      <c r="C2997" s="555" t="str">
        <f>VLOOKUP(D2997,기본!$D$13:$E$74,2,0)</f>
        <v>삼성 VD</v>
      </c>
      <c r="D2997" t="s">
        <v>1927</v>
      </c>
      <c r="E2997" t="s">
        <v>1865</v>
      </c>
      <c r="F2997" t="s">
        <v>1866</v>
      </c>
      <c r="G2997" s="554">
        <v>13284</v>
      </c>
      <c r="H2997">
        <v>511.43430239999998</v>
      </c>
    </row>
    <row r="2998" spans="2:8">
      <c r="B2998" s="555" t="s">
        <v>2327</v>
      </c>
      <c r="C2998" s="555" t="str">
        <f>VLOOKUP(D2998,기본!$D$13:$E$74,2,0)</f>
        <v>삼성 VD</v>
      </c>
      <c r="D2998" t="s">
        <v>1927</v>
      </c>
      <c r="E2998" t="s">
        <v>1932</v>
      </c>
      <c r="F2998" t="s">
        <v>1933</v>
      </c>
      <c r="G2998" s="554">
        <v>3888</v>
      </c>
      <c r="H2998">
        <v>61.966008503999994</v>
      </c>
    </row>
    <row r="2999" spans="2:8">
      <c r="B2999" s="555" t="s">
        <v>2327</v>
      </c>
      <c r="C2999" s="555" t="str">
        <f>VLOOKUP(D2999,기본!$D$13:$E$74,2,0)</f>
        <v>삼성 VD</v>
      </c>
      <c r="D2999" t="s">
        <v>1927</v>
      </c>
      <c r="E2999" t="s">
        <v>2272</v>
      </c>
      <c r="F2999" t="s">
        <v>1785</v>
      </c>
      <c r="G2999" s="554">
        <v>3203</v>
      </c>
      <c r="H2999">
        <v>34.099231413999995</v>
      </c>
    </row>
    <row r="3000" spans="2:8">
      <c r="B3000" s="555" t="s">
        <v>2327</v>
      </c>
      <c r="C3000" s="555" t="str">
        <f>VLOOKUP(D3000,기본!$D$13:$E$74,2,0)</f>
        <v>삼성 VD</v>
      </c>
      <c r="D3000" t="s">
        <v>1927</v>
      </c>
      <c r="E3000" t="s">
        <v>1936</v>
      </c>
      <c r="F3000" t="s">
        <v>1937</v>
      </c>
      <c r="G3000" s="554">
        <v>1252</v>
      </c>
      <c r="H3000">
        <v>6.786373352</v>
      </c>
    </row>
    <row r="3001" spans="2:8">
      <c r="B3001" s="555" t="s">
        <v>2327</v>
      </c>
      <c r="C3001" s="555" t="str">
        <f>VLOOKUP(D3001,기본!$D$13:$E$74,2,0)</f>
        <v>삼성 VD</v>
      </c>
      <c r="D3001" t="s">
        <v>1927</v>
      </c>
      <c r="E3001" t="s">
        <v>1923</v>
      </c>
      <c r="F3001" t="s">
        <v>1924</v>
      </c>
      <c r="G3001" s="554">
        <v>2640</v>
      </c>
      <c r="H3001">
        <v>11.52615024</v>
      </c>
    </row>
    <row r="3002" spans="2:8">
      <c r="B3002" s="555" t="s">
        <v>2327</v>
      </c>
      <c r="C3002" s="555" t="str">
        <f>VLOOKUP(D3002,기본!$D$13:$E$74,2,0)</f>
        <v>삼성 VD</v>
      </c>
      <c r="D3002" t="s">
        <v>1927</v>
      </c>
      <c r="E3002" t="s">
        <v>1938</v>
      </c>
      <c r="F3002" t="s">
        <v>1939</v>
      </c>
      <c r="G3002" s="554">
        <v>10868</v>
      </c>
      <c r="H3002">
        <v>58.512248651999997</v>
      </c>
    </row>
    <row r="3003" spans="2:8">
      <c r="B3003" s="555" t="s">
        <v>2327</v>
      </c>
      <c r="C3003" s="555" t="str">
        <f>VLOOKUP(D3003,기본!$D$13:$E$74,2,0)</f>
        <v>삼성 VD</v>
      </c>
      <c r="D3003" t="s">
        <v>1927</v>
      </c>
      <c r="E3003" t="s">
        <v>1925</v>
      </c>
      <c r="F3003" t="s">
        <v>1926</v>
      </c>
      <c r="G3003" s="554">
        <v>2268</v>
      </c>
      <c r="H3003">
        <v>18.332429472000001</v>
      </c>
    </row>
    <row r="3004" spans="2:8">
      <c r="B3004" s="555" t="s">
        <v>2327</v>
      </c>
      <c r="C3004" s="555" t="str">
        <f>VLOOKUP(D3004,기본!$D$13:$E$74,2,0)</f>
        <v>삼성 VD</v>
      </c>
      <c r="D3004" t="s">
        <v>1927</v>
      </c>
      <c r="E3004" t="s">
        <v>709</v>
      </c>
      <c r="F3004" t="s">
        <v>1869</v>
      </c>
      <c r="G3004" s="554">
        <v>67936</v>
      </c>
      <c r="H3004">
        <v>225.957446</v>
      </c>
    </row>
    <row r="3005" spans="2:8">
      <c r="B3005" s="555" t="s">
        <v>2327</v>
      </c>
      <c r="C3005" s="555" t="str">
        <f>VLOOKUP(D3005,기본!$D$13:$E$74,2,0)</f>
        <v>삼성 VD</v>
      </c>
      <c r="D3005" t="s">
        <v>1927</v>
      </c>
      <c r="E3005" t="s">
        <v>710</v>
      </c>
      <c r="F3005" t="s">
        <v>1947</v>
      </c>
      <c r="G3005" s="554">
        <v>9548</v>
      </c>
      <c r="H3005">
        <v>42.183005435999995</v>
      </c>
    </row>
    <row r="3006" spans="2:8">
      <c r="B3006" s="555" t="s">
        <v>2327</v>
      </c>
      <c r="C3006" s="555" t="str">
        <f>VLOOKUP(D3006,기본!$D$13:$E$74,2,0)</f>
        <v>삼성 VD</v>
      </c>
      <c r="D3006" t="s">
        <v>1927</v>
      </c>
      <c r="E3006" t="s">
        <v>1156</v>
      </c>
      <c r="F3006" t="s">
        <v>1870</v>
      </c>
      <c r="G3006" s="554">
        <v>572</v>
      </c>
      <c r="H3006">
        <v>2.5663397759999995</v>
      </c>
    </row>
    <row r="3007" spans="2:8">
      <c r="B3007" s="555" t="s">
        <v>2327</v>
      </c>
      <c r="C3007" s="555" t="str">
        <f>VLOOKUP(D3007,기본!$D$13:$E$74,2,0)</f>
        <v>삼성 VD</v>
      </c>
      <c r="D3007" t="s">
        <v>1927</v>
      </c>
      <c r="E3007" t="s">
        <v>1157</v>
      </c>
      <c r="F3007" t="s">
        <v>1887</v>
      </c>
      <c r="G3007" s="554">
        <v>1036</v>
      </c>
      <c r="H3007">
        <v>4.8602505599999999</v>
      </c>
    </row>
    <row r="3008" spans="2:8">
      <c r="B3008" s="555" t="s">
        <v>2327</v>
      </c>
      <c r="C3008" s="555" t="str">
        <f>VLOOKUP(D3008,기본!$D$13:$E$74,2,0)</f>
        <v>삼성 VD</v>
      </c>
      <c r="D3008" t="s">
        <v>1927</v>
      </c>
      <c r="E3008" t="s">
        <v>2235</v>
      </c>
      <c r="F3008" t="s">
        <v>2236</v>
      </c>
      <c r="G3008" s="554">
        <v>14168</v>
      </c>
      <c r="H3008">
        <v>63.467576656000006</v>
      </c>
    </row>
    <row r="3009" spans="2:8">
      <c r="B3009" s="555" t="s">
        <v>2327</v>
      </c>
      <c r="C3009" s="555" t="str">
        <f>VLOOKUP(D3009,기본!$D$13:$E$74,2,0)</f>
        <v>삼성 VD</v>
      </c>
      <c r="D3009" t="s">
        <v>1927</v>
      </c>
      <c r="E3009" t="s">
        <v>2267</v>
      </c>
      <c r="F3009" t="s">
        <v>2267</v>
      </c>
      <c r="G3009" s="554">
        <v>8020</v>
      </c>
      <c r="H3009">
        <v>40.377529079999995</v>
      </c>
    </row>
    <row r="3010" spans="2:8">
      <c r="B3010" s="555" t="s">
        <v>2327</v>
      </c>
      <c r="C3010" s="555" t="str">
        <f>VLOOKUP(D3010,기본!$D$13:$E$74,2,0)</f>
        <v>삼성 생활가전</v>
      </c>
      <c r="D3010" t="s">
        <v>1942</v>
      </c>
      <c r="E3010" t="s">
        <v>1943</v>
      </c>
      <c r="F3010" t="s">
        <v>1943</v>
      </c>
      <c r="G3010" s="554">
        <v>49344</v>
      </c>
      <c r="H3010">
        <v>358.78141776000007</v>
      </c>
    </row>
    <row r="3011" spans="2:8">
      <c r="B3011" s="555" t="s">
        <v>2327</v>
      </c>
      <c r="C3011" s="555" t="str">
        <f>VLOOKUP(D3011,기본!$D$13:$E$74,2,0)</f>
        <v>삼성 생활가전</v>
      </c>
      <c r="D3011" t="s">
        <v>1942</v>
      </c>
      <c r="E3011" t="s">
        <v>2273</v>
      </c>
      <c r="F3011" t="s">
        <v>2273</v>
      </c>
      <c r="G3011" s="554">
        <v>2980</v>
      </c>
      <c r="H3011">
        <v>22.052086950000003</v>
      </c>
    </row>
    <row r="3012" spans="2:8">
      <c r="B3012" s="555" t="s">
        <v>2327</v>
      </c>
      <c r="C3012" s="555" t="str">
        <f>VLOOKUP(D3012,기본!$D$13:$E$74,2,0)</f>
        <v>삼성 생활가전</v>
      </c>
      <c r="D3012" t="s">
        <v>1942</v>
      </c>
      <c r="E3012" t="s">
        <v>1944</v>
      </c>
      <c r="F3012" t="s">
        <v>1944</v>
      </c>
      <c r="G3012" s="554">
        <v>1056</v>
      </c>
      <c r="H3012">
        <v>7.90099968</v>
      </c>
    </row>
    <row r="3013" spans="2:8">
      <c r="B3013" s="555" t="s">
        <v>2327</v>
      </c>
      <c r="C3013" s="555" t="str">
        <f>VLOOKUP(D3013,기본!$D$13:$E$74,2,0)</f>
        <v>삼성 생활가전</v>
      </c>
      <c r="D3013" t="s">
        <v>1942</v>
      </c>
      <c r="E3013" t="s">
        <v>2237</v>
      </c>
      <c r="F3013" t="s">
        <v>2237</v>
      </c>
      <c r="G3013" s="554">
        <v>288</v>
      </c>
      <c r="H3013">
        <v>2.0991623040000005</v>
      </c>
    </row>
    <row r="3014" spans="2:8">
      <c r="B3014" s="555" t="s">
        <v>2327</v>
      </c>
      <c r="C3014" s="555" t="str">
        <f>VLOOKUP(D3014,기본!$D$13:$E$74,2,0)</f>
        <v>삼성 생활가전</v>
      </c>
      <c r="D3014" t="s">
        <v>1942</v>
      </c>
      <c r="E3014" t="s">
        <v>2274</v>
      </c>
      <c r="F3014" t="s">
        <v>2274</v>
      </c>
      <c r="G3014" s="554">
        <v>3456</v>
      </c>
      <c r="H3014">
        <v>26.256078720000005</v>
      </c>
    </row>
    <row r="3015" spans="2:8">
      <c r="B3015" s="555" t="s">
        <v>2327</v>
      </c>
      <c r="C3015" s="555" t="str">
        <f>VLOOKUP(D3015,기본!$D$13:$E$74,2,0)</f>
        <v>삼성 생활가전</v>
      </c>
      <c r="D3015" t="s">
        <v>1942</v>
      </c>
      <c r="E3015" t="s">
        <v>1945</v>
      </c>
      <c r="F3015" t="s">
        <v>1945</v>
      </c>
      <c r="G3015" s="554">
        <v>20736</v>
      </c>
      <c r="H3015">
        <v>164.55873023999999</v>
      </c>
    </row>
    <row r="3016" spans="2:8">
      <c r="B3016" s="555" t="s">
        <v>2327</v>
      </c>
      <c r="C3016" s="555" t="str">
        <f>VLOOKUP(D3016,기본!$D$13:$E$74,2,0)</f>
        <v>삼성 생활가전</v>
      </c>
      <c r="D3016" t="s">
        <v>1942</v>
      </c>
      <c r="E3016" t="s">
        <v>1314</v>
      </c>
      <c r="F3016" t="s">
        <v>1314</v>
      </c>
      <c r="G3016" s="554">
        <v>450</v>
      </c>
      <c r="H3016">
        <v>3.6053099999999998</v>
      </c>
    </row>
    <row r="3017" spans="2:8">
      <c r="B3017" s="555" t="s">
        <v>2327</v>
      </c>
      <c r="C3017" s="555" t="str">
        <f>VLOOKUP(D3017,기본!$D$13:$E$74,2,0)</f>
        <v>삼성 생활가전</v>
      </c>
      <c r="D3017" t="s">
        <v>1942</v>
      </c>
      <c r="E3017" t="s">
        <v>2264</v>
      </c>
      <c r="F3017" t="s">
        <v>2264</v>
      </c>
      <c r="G3017" s="554">
        <v>462</v>
      </c>
      <c r="H3017">
        <v>3.6975348000000001</v>
      </c>
    </row>
    <row r="3018" spans="2:8">
      <c r="B3018" s="555" t="s">
        <v>2327</v>
      </c>
      <c r="C3018" s="555" t="str">
        <f>VLOOKUP(D3018,기본!$D$13:$E$74,2,0)</f>
        <v>삼성 생활가전</v>
      </c>
      <c r="D3018" t="s">
        <v>1942</v>
      </c>
      <c r="E3018" t="s">
        <v>1975</v>
      </c>
      <c r="F3018" t="s">
        <v>1975</v>
      </c>
      <c r="G3018" s="554">
        <v>3840</v>
      </c>
      <c r="H3018">
        <v>32.532651648000005</v>
      </c>
    </row>
    <row r="3019" spans="2:8">
      <c r="B3019" s="555" t="s">
        <v>2327</v>
      </c>
      <c r="C3019" s="555" t="str">
        <f>VLOOKUP(D3019,기본!$D$13:$E$74,2,0)</f>
        <v>삼성 생활가전</v>
      </c>
      <c r="D3019" t="s">
        <v>1942</v>
      </c>
      <c r="E3019" t="s">
        <v>2265</v>
      </c>
      <c r="F3019" t="s">
        <v>2265</v>
      </c>
      <c r="G3019" s="554">
        <v>2880</v>
      </c>
      <c r="H3019">
        <v>23.8368672</v>
      </c>
    </row>
    <row r="3020" spans="2:8">
      <c r="B3020" s="555" t="s">
        <v>2327</v>
      </c>
      <c r="C3020" s="555" t="str">
        <f>VLOOKUP(D3020,기본!$D$13:$E$74,2,0)</f>
        <v>삼성 VD</v>
      </c>
      <c r="D3020" t="s">
        <v>1946</v>
      </c>
      <c r="E3020" t="s">
        <v>1165</v>
      </c>
      <c r="F3020" t="s">
        <v>1882</v>
      </c>
      <c r="G3020" s="554">
        <v>24</v>
      </c>
      <c r="H3020">
        <v>0.69229274400000018</v>
      </c>
    </row>
    <row r="3021" spans="2:8">
      <c r="B3021" s="555" t="s">
        <v>2327</v>
      </c>
      <c r="C3021" s="555" t="str">
        <f>VLOOKUP(D3021,기본!$D$13:$E$74,2,0)</f>
        <v>삼성 VD</v>
      </c>
      <c r="D3021" t="s">
        <v>1946</v>
      </c>
      <c r="E3021" t="s">
        <v>1164</v>
      </c>
      <c r="F3021" t="s">
        <v>1850</v>
      </c>
      <c r="G3021" s="554">
        <v>48</v>
      </c>
      <c r="H3021">
        <v>1.2620214000000001</v>
      </c>
    </row>
    <row r="3022" spans="2:8">
      <c r="B3022" s="555" t="s">
        <v>2327</v>
      </c>
      <c r="C3022" s="555" t="str">
        <f>VLOOKUP(D3022,기본!$D$13:$E$74,2,0)</f>
        <v>삼성 VD</v>
      </c>
      <c r="D3022" t="s">
        <v>1946</v>
      </c>
      <c r="E3022" t="s">
        <v>1778</v>
      </c>
      <c r="F3022" t="s">
        <v>1919</v>
      </c>
      <c r="G3022" s="554">
        <v>15192</v>
      </c>
      <c r="H3022">
        <v>191.00613614400001</v>
      </c>
    </row>
    <row r="3023" spans="2:8">
      <c r="B3023" s="555" t="s">
        <v>2327</v>
      </c>
      <c r="C3023" s="555" t="str">
        <f>VLOOKUP(D3023,기본!$D$13:$E$74,2,0)</f>
        <v>삼성 VD</v>
      </c>
      <c r="D3023" t="s">
        <v>1946</v>
      </c>
      <c r="E3023" t="s">
        <v>1779</v>
      </c>
      <c r="F3023" t="s">
        <v>1920</v>
      </c>
      <c r="G3023" s="554">
        <v>2310</v>
      </c>
      <c r="H3023">
        <v>32.371775997000007</v>
      </c>
    </row>
    <row r="3024" spans="2:8">
      <c r="B3024" s="555" t="s">
        <v>2327</v>
      </c>
      <c r="C3024" s="555" t="str">
        <f>VLOOKUP(D3024,기본!$D$13:$E$74,2,0)</f>
        <v>삼성 VD</v>
      </c>
      <c r="D3024" t="s">
        <v>1946</v>
      </c>
      <c r="E3024" t="s">
        <v>1792</v>
      </c>
      <c r="F3024" t="s">
        <v>1915</v>
      </c>
      <c r="G3024" s="554">
        <v>774</v>
      </c>
      <c r="H3024">
        <v>12.948593039999999</v>
      </c>
    </row>
    <row r="3025" spans="2:8">
      <c r="B3025" s="555" t="s">
        <v>2327</v>
      </c>
      <c r="C3025" s="555" t="str">
        <f>VLOOKUP(D3025,기본!$D$13:$E$74,2,0)</f>
        <v>삼성 VD</v>
      </c>
      <c r="D3025" t="s">
        <v>1946</v>
      </c>
      <c r="E3025" t="s">
        <v>1921</v>
      </c>
      <c r="F3025" t="s">
        <v>1922</v>
      </c>
      <c r="G3025" s="554">
        <v>252</v>
      </c>
      <c r="H3025">
        <v>5.5693396800000006</v>
      </c>
    </row>
    <row r="3026" spans="2:8">
      <c r="B3026" s="555" t="s">
        <v>2327</v>
      </c>
      <c r="C3026" s="555" t="str">
        <f>VLOOKUP(D3026,기본!$D$13:$E$74,2,0)</f>
        <v>삼성 VD</v>
      </c>
      <c r="D3026" t="s">
        <v>1946</v>
      </c>
      <c r="E3026" t="s">
        <v>710</v>
      </c>
      <c r="F3026" t="s">
        <v>1947</v>
      </c>
      <c r="G3026" s="554">
        <v>2244</v>
      </c>
      <c r="H3026">
        <v>10.013132843999999</v>
      </c>
    </row>
    <row r="3027" spans="2:8">
      <c r="B3027" s="555" t="s">
        <v>2327</v>
      </c>
      <c r="C3027" s="555" t="str">
        <f>VLOOKUP(D3027,기본!$D$13:$E$74,2,0)</f>
        <v>AV JDM</v>
      </c>
      <c r="D3027" t="s">
        <v>1950</v>
      </c>
      <c r="E3027" t="s">
        <v>691</v>
      </c>
      <c r="F3027" t="s">
        <v>2266</v>
      </c>
      <c r="G3027" s="554">
        <v>1974</v>
      </c>
      <c r="H3027">
        <v>19.742757678</v>
      </c>
    </row>
    <row r="3028" spans="2:8">
      <c r="B3028" s="555" t="s">
        <v>2327</v>
      </c>
      <c r="C3028" s="555" t="str">
        <f>VLOOKUP(D3028,기본!$D$13:$E$74,2,0)</f>
        <v>MNT JDM</v>
      </c>
      <c r="D3028" t="s">
        <v>1951</v>
      </c>
      <c r="E3028" t="s">
        <v>709</v>
      </c>
      <c r="F3028" t="s">
        <v>2124</v>
      </c>
      <c r="G3028" s="554">
        <v>38016</v>
      </c>
      <c r="H3028">
        <v>171.632439264</v>
      </c>
    </row>
    <row r="3029" spans="2:8">
      <c r="B3029" s="555" t="s">
        <v>2327</v>
      </c>
      <c r="C3029" s="555" t="str">
        <f>VLOOKUP(D3029,기본!$D$13:$E$74,2,0)</f>
        <v>MNT JDM</v>
      </c>
      <c r="D3029" t="s">
        <v>1951</v>
      </c>
      <c r="E3029" t="s">
        <v>710</v>
      </c>
      <c r="F3029" t="s">
        <v>2169</v>
      </c>
      <c r="G3029" s="554">
        <v>8448</v>
      </c>
      <c r="H3029">
        <v>45.460876032000009</v>
      </c>
    </row>
    <row r="3030" spans="2:8">
      <c r="B3030" s="555" t="s">
        <v>2327</v>
      </c>
      <c r="C3030" s="555" t="str">
        <f>VLOOKUP(D3030,기본!$D$13:$E$74,2,0)</f>
        <v>MNT JDM</v>
      </c>
      <c r="D3030" t="s">
        <v>1951</v>
      </c>
      <c r="E3030" t="s">
        <v>1156</v>
      </c>
      <c r="F3030" t="s">
        <v>2238</v>
      </c>
      <c r="G3030" s="554">
        <v>22176</v>
      </c>
      <c r="H3030">
        <v>123.23087039999999</v>
      </c>
    </row>
    <row r="3031" spans="2:8">
      <c r="B3031" s="555" t="s">
        <v>2327</v>
      </c>
      <c r="C3031" s="555" t="str">
        <f>VLOOKUP(D3031,기본!$D$13:$E$74,2,0)</f>
        <v>MNT JDM</v>
      </c>
      <c r="D3031" t="s">
        <v>1951</v>
      </c>
      <c r="E3031" t="s">
        <v>1157</v>
      </c>
      <c r="F3031" t="s">
        <v>2239</v>
      </c>
      <c r="G3031" s="554">
        <v>2112</v>
      </c>
      <c r="H3031">
        <v>14.701908672</v>
      </c>
    </row>
    <row r="3032" spans="2:8">
      <c r="B3032" s="555" t="s">
        <v>2327</v>
      </c>
      <c r="C3032" s="555" t="str">
        <f>VLOOKUP(D3032,기본!$D$13:$E$74,2,0)</f>
        <v>HP</v>
      </c>
      <c r="D3032" t="s">
        <v>1952</v>
      </c>
      <c r="E3032" t="s">
        <v>1296</v>
      </c>
      <c r="F3032" t="s">
        <v>1292</v>
      </c>
      <c r="G3032" s="554">
        <v>3008</v>
      </c>
      <c r="H3032">
        <v>80.162500863999995</v>
      </c>
    </row>
    <row r="3033" spans="2:8">
      <c r="B3033" s="555" t="s">
        <v>2327</v>
      </c>
      <c r="C3033" s="555" t="str">
        <f>VLOOKUP(D3033,기본!$D$13:$E$74,2,0)</f>
        <v>HP</v>
      </c>
      <c r="D3033" t="s">
        <v>1952</v>
      </c>
      <c r="E3033" t="s">
        <v>1297</v>
      </c>
      <c r="F3033" t="s">
        <v>1293</v>
      </c>
      <c r="G3033" s="554">
        <v>1536</v>
      </c>
      <c r="H3033">
        <v>49.981683455999999</v>
      </c>
    </row>
    <row r="3034" spans="2:8">
      <c r="B3034" s="555" t="s">
        <v>2327</v>
      </c>
      <c r="C3034" s="555" t="str">
        <f>VLOOKUP(D3034,기본!$D$13:$E$74,2,0)</f>
        <v>HP</v>
      </c>
      <c r="D3034" t="s">
        <v>1952</v>
      </c>
      <c r="E3034" t="s">
        <v>1298</v>
      </c>
      <c r="F3034" t="s">
        <v>1294</v>
      </c>
      <c r="G3034" s="554">
        <v>3456</v>
      </c>
      <c r="H3034">
        <v>99.979708415999994</v>
      </c>
    </row>
    <row r="3035" spans="2:8">
      <c r="B3035" s="555" t="s">
        <v>2327</v>
      </c>
      <c r="C3035" s="555" t="str">
        <f>VLOOKUP(D3035,기본!$D$13:$E$74,2,0)</f>
        <v>HP</v>
      </c>
      <c r="D3035" t="s">
        <v>1952</v>
      </c>
      <c r="E3035" t="s">
        <v>2240</v>
      </c>
      <c r="F3035" t="s">
        <v>2241</v>
      </c>
      <c r="G3035" s="554">
        <v>420</v>
      </c>
      <c r="H3035">
        <v>3.3152828400000001</v>
      </c>
    </row>
    <row r="3036" spans="2:8">
      <c r="B3036" s="555" t="s">
        <v>2327</v>
      </c>
      <c r="C3036" s="555" t="str">
        <f>VLOOKUP(D3036,기본!$D$13:$E$74,2,0)</f>
        <v>HP</v>
      </c>
      <c r="D3036" t="s">
        <v>1952</v>
      </c>
      <c r="E3036" t="s">
        <v>1954</v>
      </c>
      <c r="F3036" t="s">
        <v>1955</v>
      </c>
      <c r="G3036" s="554">
        <v>960</v>
      </c>
      <c r="H3036">
        <v>11.846493120000002</v>
      </c>
    </row>
    <row r="3037" spans="2:8">
      <c r="B3037" s="555" t="s">
        <v>2327</v>
      </c>
      <c r="C3037" s="555" t="str">
        <f>VLOOKUP(D3037,기본!$D$13:$E$74,2,0)</f>
        <v>HP</v>
      </c>
      <c r="D3037" t="s">
        <v>1952</v>
      </c>
      <c r="E3037" t="s">
        <v>2125</v>
      </c>
      <c r="F3037" t="s">
        <v>192</v>
      </c>
      <c r="G3037" s="554">
        <v>1080</v>
      </c>
      <c r="H3037">
        <v>5.16280392</v>
      </c>
    </row>
    <row r="3038" spans="2:8">
      <c r="B3038" s="555" t="s">
        <v>2327</v>
      </c>
      <c r="C3038" s="555" t="str">
        <f>VLOOKUP(D3038,기본!$D$13:$E$74,2,0)</f>
        <v>HP</v>
      </c>
      <c r="D3038" t="s">
        <v>1952</v>
      </c>
      <c r="E3038" t="s">
        <v>1960</v>
      </c>
      <c r="F3038" t="s">
        <v>671</v>
      </c>
      <c r="G3038" s="554">
        <v>1260</v>
      </c>
      <c r="H3038">
        <v>9.9434449800000007</v>
      </c>
    </row>
    <row r="3039" spans="2:8">
      <c r="B3039" s="555" t="s">
        <v>2327</v>
      </c>
      <c r="C3039" s="555" t="str">
        <f>VLOOKUP(D3039,기본!$D$13:$E$74,2,0)</f>
        <v>HP</v>
      </c>
      <c r="D3039" t="s">
        <v>1952</v>
      </c>
      <c r="E3039" t="s">
        <v>1961</v>
      </c>
      <c r="F3039" t="s">
        <v>1962</v>
      </c>
      <c r="G3039" s="554">
        <v>2160</v>
      </c>
      <c r="H3039">
        <v>73.528657920000001</v>
      </c>
    </row>
    <row r="3040" spans="2:8">
      <c r="B3040" s="555" t="s">
        <v>2327</v>
      </c>
      <c r="C3040" s="555" t="str">
        <f>VLOOKUP(D3040,기본!$D$13:$E$74,2,0)</f>
        <v>HP</v>
      </c>
      <c r="D3040" t="s">
        <v>1952</v>
      </c>
      <c r="E3040" t="s">
        <v>2126</v>
      </c>
      <c r="F3040" t="s">
        <v>2127</v>
      </c>
      <c r="G3040" s="554">
        <v>150</v>
      </c>
      <c r="H3040">
        <v>1.3119322499999999</v>
      </c>
    </row>
    <row r="3041" spans="2:8">
      <c r="B3041" s="555" t="s">
        <v>2327</v>
      </c>
      <c r="C3041" s="555" t="str">
        <f>VLOOKUP(D3041,기본!$D$13:$E$74,2,0)</f>
        <v>HP</v>
      </c>
      <c r="D3041" t="s">
        <v>1952</v>
      </c>
      <c r="E3041" t="s">
        <v>1963</v>
      </c>
      <c r="F3041" t="s">
        <v>1964</v>
      </c>
      <c r="G3041" s="554">
        <v>2700</v>
      </c>
      <c r="H3041">
        <v>21.8121255</v>
      </c>
    </row>
    <row r="3042" spans="2:8">
      <c r="B3042" s="555" t="s">
        <v>2327</v>
      </c>
      <c r="C3042" s="555" t="str">
        <f>VLOOKUP(D3042,기본!$D$13:$E$74,2,0)</f>
        <v>HP</v>
      </c>
      <c r="D3042" t="s">
        <v>1952</v>
      </c>
      <c r="E3042" t="s">
        <v>2170</v>
      </c>
      <c r="F3042" t="s">
        <v>2171</v>
      </c>
      <c r="G3042" s="554">
        <v>1520</v>
      </c>
      <c r="H3042">
        <v>26.265033519999999</v>
      </c>
    </row>
    <row r="3043" spans="2:8">
      <c r="B3043" s="555" t="s">
        <v>2327</v>
      </c>
      <c r="C3043" s="555" t="str">
        <f>VLOOKUP(D3043,기본!$D$13:$E$74,2,0)</f>
        <v>HP</v>
      </c>
      <c r="D3043" t="s">
        <v>1952</v>
      </c>
      <c r="E3043" t="s">
        <v>1965</v>
      </c>
      <c r="F3043" t="s">
        <v>1966</v>
      </c>
      <c r="G3043" s="554">
        <v>240</v>
      </c>
      <c r="H3043">
        <v>3.6908659199999998</v>
      </c>
    </row>
    <row r="3044" spans="2:8">
      <c r="B3044" s="555" t="s">
        <v>2327</v>
      </c>
      <c r="C3044" s="555" t="str">
        <f>VLOOKUP(D3044,기본!$D$13:$E$74,2,0)</f>
        <v>HP</v>
      </c>
      <c r="D3044" t="s">
        <v>1952</v>
      </c>
      <c r="E3044" t="s">
        <v>2128</v>
      </c>
      <c r="F3044" t="s">
        <v>2129</v>
      </c>
      <c r="G3044" s="554">
        <v>2736</v>
      </c>
      <c r="H3044">
        <v>31.921042463999999</v>
      </c>
    </row>
    <row r="3045" spans="2:8">
      <c r="B3045" s="555" t="s">
        <v>2327</v>
      </c>
      <c r="C3045" s="555" t="str">
        <f>VLOOKUP(D3045,기본!$D$13:$E$74,2,0)</f>
        <v>HP</v>
      </c>
      <c r="D3045" t="s">
        <v>1952</v>
      </c>
      <c r="E3045" t="s">
        <v>2172</v>
      </c>
      <c r="F3045" t="s">
        <v>2173</v>
      </c>
      <c r="G3045" s="554">
        <v>2304</v>
      </c>
      <c r="H3045">
        <v>81.660081599999998</v>
      </c>
    </row>
    <row r="3046" spans="2:8">
      <c r="B3046" s="555" t="s">
        <v>2327</v>
      </c>
      <c r="C3046" s="555" t="str">
        <f>VLOOKUP(D3046,기본!$D$13:$E$74,2,0)</f>
        <v>HP</v>
      </c>
      <c r="D3046" t="s">
        <v>1952</v>
      </c>
      <c r="E3046" t="s">
        <v>1969</v>
      </c>
      <c r="F3046" t="s">
        <v>1970</v>
      </c>
      <c r="G3046" s="554">
        <v>720</v>
      </c>
      <c r="H3046">
        <v>8.5181457599999995</v>
      </c>
    </row>
    <row r="3047" spans="2:8">
      <c r="B3047" s="555" t="s">
        <v>2327</v>
      </c>
      <c r="C3047" s="555" t="str">
        <f>VLOOKUP(D3047,기본!$D$13:$E$74,2,0)</f>
        <v>HP</v>
      </c>
      <c r="D3047" t="s">
        <v>1952</v>
      </c>
      <c r="E3047" t="s">
        <v>2130</v>
      </c>
      <c r="F3047" t="s">
        <v>2131</v>
      </c>
      <c r="G3047" s="554">
        <v>960</v>
      </c>
      <c r="H3047">
        <v>6.9277680000000004</v>
      </c>
    </row>
    <row r="3048" spans="2:8">
      <c r="B3048" s="555" t="s">
        <v>2327</v>
      </c>
      <c r="C3048" s="555" t="str">
        <f>VLOOKUP(D3048,기본!$D$13:$E$74,2,0)</f>
        <v>HP</v>
      </c>
      <c r="D3048" t="s">
        <v>1952</v>
      </c>
      <c r="E3048" t="s">
        <v>2255</v>
      </c>
      <c r="F3048" t="s">
        <v>2255</v>
      </c>
      <c r="G3048" s="554">
        <v>0</v>
      </c>
      <c r="H3048">
        <v>-0.30250500000000002</v>
      </c>
    </row>
    <row r="3049" spans="2:8">
      <c r="B3049" s="555" t="s">
        <v>2327</v>
      </c>
      <c r="C3049" s="555" t="str">
        <f>VLOOKUP(D3049,기본!$D$13:$E$74,2,0)</f>
        <v>경동나비엔</v>
      </c>
      <c r="D3049" t="s">
        <v>1972</v>
      </c>
      <c r="E3049" t="s">
        <v>2299</v>
      </c>
      <c r="F3049" t="s">
        <v>2299</v>
      </c>
      <c r="G3049" s="554">
        <v>1800</v>
      </c>
      <c r="H3049">
        <v>54.72</v>
      </c>
    </row>
    <row r="3050" spans="2:8">
      <c r="B3050" s="555" t="s">
        <v>2327</v>
      </c>
      <c r="C3050" s="555" t="str">
        <f>VLOOKUP(D3050,기본!$D$13:$E$74,2,0)</f>
        <v>경동나비엔</v>
      </c>
      <c r="D3050" t="s">
        <v>1972</v>
      </c>
      <c r="E3050" t="s">
        <v>1973</v>
      </c>
      <c r="F3050" t="s">
        <v>1973</v>
      </c>
      <c r="G3050" s="554">
        <v>8000</v>
      </c>
      <c r="H3050">
        <v>243.2</v>
      </c>
    </row>
    <row r="3051" spans="2:8">
      <c r="B3051" s="555" t="s">
        <v>2327</v>
      </c>
      <c r="C3051" s="555" t="str">
        <f>VLOOKUP(D3051,기본!$D$13:$E$74,2,0)</f>
        <v>대덕</v>
      </c>
      <c r="D3051" t="s">
        <v>1976</v>
      </c>
      <c r="E3051" t="s">
        <v>2175</v>
      </c>
      <c r="F3051" t="s">
        <v>2175</v>
      </c>
      <c r="G3051" s="554">
        <v>1000</v>
      </c>
      <c r="H3051">
        <v>7.4729140000000003</v>
      </c>
    </row>
    <row r="3052" spans="2:8">
      <c r="B3052" s="555" t="s">
        <v>2327</v>
      </c>
      <c r="C3052" s="555" t="str">
        <f>VLOOKUP(D3052,기본!$D$13:$E$74,2,0)</f>
        <v>대덕</v>
      </c>
      <c r="D3052" t="s">
        <v>1976</v>
      </c>
      <c r="E3052" t="s">
        <v>1979</v>
      </c>
      <c r="F3052" t="s">
        <v>1979</v>
      </c>
      <c r="G3052" s="554">
        <v>3000</v>
      </c>
      <c r="H3052">
        <v>26.048822999999999</v>
      </c>
    </row>
    <row r="3053" spans="2:8">
      <c r="B3053" s="555" t="s">
        <v>2327</v>
      </c>
      <c r="C3053" s="555" t="str">
        <f>VLOOKUP(D3053,기본!$D$13:$E$74,2,0)</f>
        <v>대덕</v>
      </c>
      <c r="D3053" t="s">
        <v>1976</v>
      </c>
      <c r="E3053" t="s">
        <v>1571</v>
      </c>
      <c r="F3053" t="s">
        <v>1571</v>
      </c>
      <c r="G3053" s="554">
        <v>1000</v>
      </c>
      <c r="H3053">
        <v>11.954003</v>
      </c>
    </row>
    <row r="3054" spans="2:8">
      <c r="B3054" s="555" t="s">
        <v>2327</v>
      </c>
      <c r="C3054" s="555" t="str">
        <f>VLOOKUP(D3054,기본!$D$13:$E$74,2,0)</f>
        <v>대덕</v>
      </c>
      <c r="D3054" t="s">
        <v>1976</v>
      </c>
      <c r="E3054" t="s">
        <v>1572</v>
      </c>
      <c r="F3054" t="s">
        <v>1572</v>
      </c>
      <c r="G3054" s="554">
        <v>2900</v>
      </c>
      <c r="H3054">
        <v>38.021441800000005</v>
      </c>
    </row>
    <row r="3055" spans="2:8">
      <c r="B3055" s="555" t="s">
        <v>2327</v>
      </c>
      <c r="C3055" s="555" t="str">
        <f>VLOOKUP(D3055,기본!$D$13:$E$74,2,0)</f>
        <v>대덕</v>
      </c>
      <c r="D3055" t="s">
        <v>1978</v>
      </c>
      <c r="E3055" t="s">
        <v>2316</v>
      </c>
      <c r="F3055" t="s">
        <v>2316</v>
      </c>
      <c r="G3055" s="554">
        <v>3000</v>
      </c>
      <c r="H3055">
        <v>16.112316</v>
      </c>
    </row>
    <row r="3056" spans="2:8">
      <c r="B3056" s="555" t="s">
        <v>2327</v>
      </c>
      <c r="C3056" s="555" t="str">
        <f>VLOOKUP(D3056,기본!$D$13:$E$74,2,0)</f>
        <v>대덕</v>
      </c>
      <c r="D3056" t="s">
        <v>1978</v>
      </c>
      <c r="E3056" t="s">
        <v>2278</v>
      </c>
      <c r="F3056" t="s">
        <v>2278</v>
      </c>
      <c r="G3056" s="554">
        <v>2000</v>
      </c>
      <c r="H3056">
        <v>10.741543999999999</v>
      </c>
    </row>
    <row r="3057" spans="2:8">
      <c r="B3057" s="555" t="s">
        <v>2327</v>
      </c>
      <c r="C3057" s="555" t="str">
        <f>VLOOKUP(D3057,기본!$D$13:$E$74,2,0)</f>
        <v>대덕</v>
      </c>
      <c r="D3057" t="s">
        <v>1978</v>
      </c>
      <c r="E3057" t="s">
        <v>2317</v>
      </c>
      <c r="F3057" t="s">
        <v>2317</v>
      </c>
      <c r="G3057" s="554">
        <v>10</v>
      </c>
      <c r="H3057">
        <v>7.50551E-2</v>
      </c>
    </row>
    <row r="3058" spans="2:8">
      <c r="B3058" s="555" t="s">
        <v>2327</v>
      </c>
      <c r="C3058" s="555" t="str">
        <f>VLOOKUP(D3058,기본!$D$13:$E$74,2,0)</f>
        <v>대덕</v>
      </c>
      <c r="D3058" t="s">
        <v>1978</v>
      </c>
      <c r="E3058" t="s">
        <v>1979</v>
      </c>
      <c r="F3058" t="s">
        <v>1979</v>
      </c>
      <c r="G3058" s="554">
        <v>1000</v>
      </c>
      <c r="H3058">
        <v>8.7475880000000004</v>
      </c>
    </row>
    <row r="3059" spans="2:8">
      <c r="B3059" s="555" t="s">
        <v>2327</v>
      </c>
      <c r="C3059" s="555" t="str">
        <f>VLOOKUP(D3059,기본!$D$13:$E$74,2,0)</f>
        <v>대덕</v>
      </c>
      <c r="D3059" t="s">
        <v>1978</v>
      </c>
      <c r="E3059" t="s">
        <v>1980</v>
      </c>
      <c r="F3059" t="s">
        <v>1980</v>
      </c>
      <c r="G3059" s="554">
        <v>1080</v>
      </c>
      <c r="H3059">
        <v>22.332382559999996</v>
      </c>
    </row>
    <row r="3060" spans="2:8">
      <c r="B3060" s="555" t="s">
        <v>2327</v>
      </c>
      <c r="C3060" s="555" t="str">
        <f>VLOOKUP(D3060,기본!$D$13:$E$74,2,0)</f>
        <v>대덕</v>
      </c>
      <c r="D3060" t="s">
        <v>1978</v>
      </c>
      <c r="E3060" t="s">
        <v>1981</v>
      </c>
      <c r="F3060" t="s">
        <v>1981</v>
      </c>
      <c r="G3060" s="554">
        <v>2820</v>
      </c>
      <c r="H3060">
        <v>60.69172416</v>
      </c>
    </row>
    <row r="3061" spans="2:8">
      <c r="B3061" s="555" t="s">
        <v>2327</v>
      </c>
      <c r="C3061" s="555" t="str">
        <f>VLOOKUP(D3061,기본!$D$13:$E$74,2,0)</f>
        <v>대덕</v>
      </c>
      <c r="D3061" t="s">
        <v>1978</v>
      </c>
      <c r="E3061" t="s">
        <v>1982</v>
      </c>
      <c r="F3061" t="s">
        <v>1982</v>
      </c>
      <c r="G3061" s="554">
        <v>3020</v>
      </c>
      <c r="H3061">
        <v>65.700015792000002</v>
      </c>
    </row>
    <row r="3062" spans="2:8">
      <c r="B3062" s="555" t="s">
        <v>2327</v>
      </c>
      <c r="C3062" s="555" t="str">
        <f>VLOOKUP(D3062,기본!$D$13:$E$74,2,0)</f>
        <v>대덕</v>
      </c>
      <c r="D3062" t="s">
        <v>1978</v>
      </c>
      <c r="E3062" t="s">
        <v>2137</v>
      </c>
      <c r="F3062" t="s">
        <v>2137</v>
      </c>
      <c r="G3062" s="554">
        <v>3820</v>
      </c>
      <c r="H3062">
        <v>82.61989208</v>
      </c>
    </row>
    <row r="3063" spans="2:8">
      <c r="B3063" s="555" t="s">
        <v>2327</v>
      </c>
      <c r="C3063" s="555" t="str">
        <f>VLOOKUP(D3063,기본!$D$13:$E$74,2,0)</f>
        <v>대덕</v>
      </c>
      <c r="D3063" t="s">
        <v>1978</v>
      </c>
      <c r="E3063" t="s">
        <v>978</v>
      </c>
      <c r="F3063" t="s">
        <v>978</v>
      </c>
      <c r="G3063" s="554">
        <v>2500</v>
      </c>
      <c r="H3063">
        <v>3.3649800000000001</v>
      </c>
    </row>
    <row r="3064" spans="2:8">
      <c r="B3064" s="555" t="s">
        <v>2327</v>
      </c>
      <c r="C3064" s="555" t="str">
        <f>VLOOKUP(D3064,기본!$D$13:$E$74,2,0)</f>
        <v>대덕</v>
      </c>
      <c r="D3064" t="s">
        <v>1978</v>
      </c>
      <c r="E3064" t="s">
        <v>2318</v>
      </c>
      <c r="F3064" t="s">
        <v>2318</v>
      </c>
      <c r="G3064" s="554">
        <v>1000</v>
      </c>
      <c r="H3064">
        <v>1.438364</v>
      </c>
    </row>
    <row r="3065" spans="2:8">
      <c r="B3065" s="555" t="s">
        <v>2327</v>
      </c>
      <c r="C3065" s="555" t="str">
        <f>VLOOKUP(D3065,기본!$D$13:$E$74,2,0)</f>
        <v>대덕</v>
      </c>
      <c r="D3065" t="s">
        <v>1978</v>
      </c>
      <c r="E3065" t="s">
        <v>979</v>
      </c>
      <c r="F3065" t="s">
        <v>979</v>
      </c>
      <c r="G3065" s="554">
        <v>1000</v>
      </c>
      <c r="H3065">
        <v>1.438364</v>
      </c>
    </row>
    <row r="3066" spans="2:8">
      <c r="B3066" s="555" t="s">
        <v>2327</v>
      </c>
      <c r="C3066" s="555" t="str">
        <f>VLOOKUP(D3066,기본!$D$13:$E$74,2,0)</f>
        <v>대덕</v>
      </c>
      <c r="D3066" t="s">
        <v>1978</v>
      </c>
      <c r="E3066" t="s">
        <v>1984</v>
      </c>
      <c r="F3066" t="s">
        <v>1984</v>
      </c>
      <c r="G3066" s="554">
        <v>5000</v>
      </c>
      <c r="H3066">
        <v>74.210223999999997</v>
      </c>
    </row>
    <row r="3067" spans="2:8">
      <c r="B3067" s="555" t="s">
        <v>2327</v>
      </c>
      <c r="C3067" s="555" t="str">
        <f>VLOOKUP(D3067,기본!$D$13:$E$74,2,0)</f>
        <v>대덕</v>
      </c>
      <c r="D3067" t="s">
        <v>1978</v>
      </c>
      <c r="E3067" t="s">
        <v>2219</v>
      </c>
      <c r="F3067" t="s">
        <v>2219</v>
      </c>
      <c r="G3067" s="554">
        <v>3000</v>
      </c>
      <c r="H3067">
        <v>38.962959999999988</v>
      </c>
    </row>
    <row r="3068" spans="2:8">
      <c r="B3068" s="555" t="s">
        <v>2327</v>
      </c>
      <c r="C3068" s="555" t="str">
        <f>VLOOKUP(D3068,기본!$D$13:$E$74,2,0)</f>
        <v>대덕</v>
      </c>
      <c r="D3068" t="s">
        <v>1978</v>
      </c>
      <c r="E3068" t="s">
        <v>2319</v>
      </c>
      <c r="F3068" t="s">
        <v>2319</v>
      </c>
      <c r="G3068" s="554">
        <v>2000</v>
      </c>
      <c r="H3068">
        <v>21.166384000000001</v>
      </c>
    </row>
    <row r="3069" spans="2:8">
      <c r="B3069" s="555" t="s">
        <v>2327</v>
      </c>
      <c r="C3069" s="555" t="str">
        <f>VLOOKUP(D3069,기본!$D$13:$E$74,2,0)</f>
        <v>대덕</v>
      </c>
      <c r="D3069" t="s">
        <v>1978</v>
      </c>
      <c r="E3069" t="s">
        <v>1571</v>
      </c>
      <c r="F3069" t="s">
        <v>1571</v>
      </c>
      <c r="G3069" s="554">
        <v>3000</v>
      </c>
      <c r="H3069">
        <v>36.129012000000003</v>
      </c>
    </row>
    <row r="3070" spans="2:8">
      <c r="B3070" s="555" t="s">
        <v>2327</v>
      </c>
      <c r="C3070" s="555" t="str">
        <f>VLOOKUP(D3070,기본!$D$13:$E$74,2,0)</f>
        <v>대덕</v>
      </c>
      <c r="D3070" t="s">
        <v>1978</v>
      </c>
      <c r="E3070" t="s">
        <v>1572</v>
      </c>
      <c r="F3070" t="s">
        <v>1572</v>
      </c>
      <c r="G3070" s="554">
        <v>2100</v>
      </c>
      <c r="H3070">
        <v>27.737757599999998</v>
      </c>
    </row>
    <row r="3071" spans="2:8">
      <c r="B3071" s="555" t="s">
        <v>2327</v>
      </c>
      <c r="C3071" s="555" t="str">
        <f>VLOOKUP(D3071,기본!$D$13:$E$74,2,0)</f>
        <v>코웨이</v>
      </c>
      <c r="D3071" t="s">
        <v>2140</v>
      </c>
      <c r="E3071" t="s">
        <v>2141</v>
      </c>
      <c r="F3071" t="s">
        <v>2141</v>
      </c>
      <c r="G3071" s="554">
        <v>1448</v>
      </c>
      <c r="H3071">
        <v>7.1270559999999996</v>
      </c>
    </row>
    <row r="3072" spans="2:8">
      <c r="B3072" s="555" t="s">
        <v>2327</v>
      </c>
      <c r="C3072" s="555" t="str">
        <f>VLOOKUP(D3072,기본!$D$13:$E$74,2,0)</f>
        <v>삼성 생활가전</v>
      </c>
      <c r="D3072" t="s">
        <v>1986</v>
      </c>
      <c r="E3072" t="s">
        <v>2003</v>
      </c>
      <c r="F3072" t="s">
        <v>2003</v>
      </c>
      <c r="G3072" s="554">
        <v>5340</v>
      </c>
      <c r="H3072">
        <v>31.933199999999999</v>
      </c>
    </row>
    <row r="3073" spans="2:8">
      <c r="B3073" s="555" t="s">
        <v>2327</v>
      </c>
      <c r="C3073" s="555" t="str">
        <f>VLOOKUP(D3073,기본!$D$13:$E$74,2,0)</f>
        <v>머큐리</v>
      </c>
      <c r="D3073" t="s">
        <v>1988</v>
      </c>
      <c r="E3073" t="s">
        <v>2225</v>
      </c>
      <c r="F3073" t="s">
        <v>2225</v>
      </c>
      <c r="G3073" s="554">
        <v>1080</v>
      </c>
      <c r="H3073">
        <v>4.0856399999999997</v>
      </c>
    </row>
    <row r="3074" spans="2:8">
      <c r="B3074" s="555" t="s">
        <v>2327</v>
      </c>
      <c r="C3074" s="555" t="str">
        <f>VLOOKUP(D3074,기본!$D$13:$E$74,2,0)</f>
        <v>머큐리</v>
      </c>
      <c r="D3074" t="s">
        <v>1988</v>
      </c>
      <c r="E3074" t="s">
        <v>1989</v>
      </c>
      <c r="F3074" t="s">
        <v>1989</v>
      </c>
      <c r="G3074" s="554">
        <v>38880</v>
      </c>
      <c r="H3074">
        <v>108.10932</v>
      </c>
    </row>
    <row r="3075" spans="2:8">
      <c r="B3075" s="555" t="s">
        <v>2327</v>
      </c>
      <c r="C3075" s="555" t="str">
        <f>VLOOKUP(D3075,기본!$D$13:$E$74,2,0)</f>
        <v>머큐리</v>
      </c>
      <c r="D3075" t="s">
        <v>1988</v>
      </c>
      <c r="E3075" t="s">
        <v>1433</v>
      </c>
      <c r="F3075" t="s">
        <v>1433</v>
      </c>
      <c r="G3075" s="554">
        <v>7200</v>
      </c>
      <c r="H3075">
        <v>21.830400000000001</v>
      </c>
    </row>
    <row r="3076" spans="2:8">
      <c r="B3076" s="555" t="s">
        <v>2327</v>
      </c>
      <c r="C3076" s="555" t="str">
        <f>VLOOKUP(D3076,기본!$D$13:$E$74,2,0)</f>
        <v>머큐리</v>
      </c>
      <c r="D3076" t="s">
        <v>1988</v>
      </c>
      <c r="E3076" t="s">
        <v>2226</v>
      </c>
      <c r="F3076" t="s">
        <v>2226</v>
      </c>
      <c r="G3076" s="554">
        <v>8000</v>
      </c>
      <c r="H3076">
        <v>42.287999999999997</v>
      </c>
    </row>
    <row r="3077" spans="2:8">
      <c r="B3077" s="555" t="s">
        <v>2327</v>
      </c>
      <c r="C3077" s="555" t="str">
        <f>VLOOKUP(D3077,기본!$D$13:$E$74,2,0)</f>
        <v>머큐리</v>
      </c>
      <c r="D3077" t="s">
        <v>1988</v>
      </c>
      <c r="E3077" t="s">
        <v>2142</v>
      </c>
      <c r="F3077" t="s">
        <v>2142</v>
      </c>
      <c r="G3077" s="554">
        <v>3840</v>
      </c>
      <c r="H3077">
        <v>10.252800000000001</v>
      </c>
    </row>
    <row r="3078" spans="2:8">
      <c r="B3078" s="555" t="s">
        <v>2327</v>
      </c>
      <c r="C3078" s="555" t="str">
        <f>VLOOKUP(D3078,기본!$D$13:$E$74,2,0)</f>
        <v>삼성 생활가전</v>
      </c>
      <c r="D3078" t="s">
        <v>2188</v>
      </c>
      <c r="E3078" t="s">
        <v>2189</v>
      </c>
      <c r="F3078" t="s">
        <v>2189</v>
      </c>
      <c r="G3078" s="554">
        <v>2880</v>
      </c>
      <c r="H3078">
        <v>21.571200000000001</v>
      </c>
    </row>
    <row r="3079" spans="2:8">
      <c r="B3079" s="555" t="s">
        <v>2327</v>
      </c>
      <c r="C3079" s="555" t="str">
        <f>VLOOKUP(D3079,기본!$D$13:$E$74,2,0)</f>
        <v>삼성 생활가전</v>
      </c>
      <c r="D3079" t="s">
        <v>2143</v>
      </c>
      <c r="E3079" t="s">
        <v>2144</v>
      </c>
      <c r="F3079" t="s">
        <v>2144</v>
      </c>
      <c r="G3079" s="554">
        <v>360</v>
      </c>
      <c r="H3079">
        <v>2.5524</v>
      </c>
    </row>
    <row r="3080" spans="2:8">
      <c r="B3080" s="555" t="s">
        <v>2327</v>
      </c>
      <c r="C3080" s="555" t="str">
        <f>VLOOKUP(D3080,기본!$D$13:$E$74,2,0)</f>
        <v>삼성 생활가전</v>
      </c>
      <c r="D3080" t="s">
        <v>2143</v>
      </c>
      <c r="E3080" t="s">
        <v>2145</v>
      </c>
      <c r="F3080" t="s">
        <v>2145</v>
      </c>
      <c r="G3080" s="554">
        <v>200</v>
      </c>
      <c r="H3080">
        <v>1.4279999999999999</v>
      </c>
    </row>
    <row r="3081" spans="2:8">
      <c r="B3081" s="555" t="s">
        <v>2327</v>
      </c>
      <c r="C3081" s="555" t="str">
        <f>VLOOKUP(D3081,기본!$D$13:$E$74,2,0)</f>
        <v>삼성 VD</v>
      </c>
      <c r="D3081" t="s">
        <v>1990</v>
      </c>
      <c r="E3081" t="s">
        <v>2119</v>
      </c>
      <c r="F3081" t="s">
        <v>2120</v>
      </c>
      <c r="G3081" s="554">
        <v>390</v>
      </c>
      <c r="H3081">
        <v>7.3744242</v>
      </c>
    </row>
    <row r="3082" spans="2:8">
      <c r="B3082" s="555" t="s">
        <v>2327</v>
      </c>
      <c r="C3082" s="555" t="str">
        <f>VLOOKUP(D3082,기본!$D$13:$E$74,2,0)</f>
        <v>삼성 VD</v>
      </c>
      <c r="D3082" t="s">
        <v>1990</v>
      </c>
      <c r="E3082" t="s">
        <v>1788</v>
      </c>
      <c r="F3082" t="s">
        <v>1913</v>
      </c>
      <c r="G3082" s="554">
        <v>30</v>
      </c>
      <c r="H3082">
        <v>0.35887883999999998</v>
      </c>
    </row>
    <row r="3083" spans="2:8">
      <c r="B3083" s="555" t="s">
        <v>2327</v>
      </c>
      <c r="C3083" s="555" t="str">
        <f>VLOOKUP(D3083,기본!$D$13:$E$74,2,0)</f>
        <v>삼성 VD</v>
      </c>
      <c r="D3083" t="s">
        <v>1990</v>
      </c>
      <c r="E3083" t="s">
        <v>1778</v>
      </c>
      <c r="F3083" t="s">
        <v>1919</v>
      </c>
      <c r="G3083" s="554">
        <v>40</v>
      </c>
      <c r="H3083">
        <v>0.50422543999999991</v>
      </c>
    </row>
    <row r="3084" spans="2:8">
      <c r="B3084" s="555" t="s">
        <v>2327</v>
      </c>
      <c r="C3084" s="555" t="str">
        <f>VLOOKUP(D3084,기본!$D$13:$E$74,2,0)</f>
        <v>삼성 VD</v>
      </c>
      <c r="D3084" t="s">
        <v>1990</v>
      </c>
      <c r="E3084" t="s">
        <v>1779</v>
      </c>
      <c r="F3084" t="s">
        <v>1920</v>
      </c>
      <c r="G3084" s="554">
        <v>30</v>
      </c>
      <c r="H3084">
        <v>0.42157211999999994</v>
      </c>
    </row>
    <row r="3085" spans="2:8">
      <c r="B3085" s="555" t="s">
        <v>2327</v>
      </c>
      <c r="C3085" s="555" t="str">
        <f>VLOOKUP(D3085,기본!$D$13:$E$74,2,0)</f>
        <v>삼성 VD</v>
      </c>
      <c r="D3085" t="s">
        <v>1990</v>
      </c>
      <c r="E3085" t="s">
        <v>1811</v>
      </c>
      <c r="F3085" t="s">
        <v>1811</v>
      </c>
      <c r="G3085" s="554">
        <v>4</v>
      </c>
      <c r="H3085">
        <v>3.0428112E-2</v>
      </c>
    </row>
    <row r="3086" spans="2:8">
      <c r="B3086" s="555" t="s">
        <v>2327</v>
      </c>
      <c r="C3086" s="555" t="str">
        <f>VLOOKUP(D3086,기본!$D$13:$E$74,2,0)</f>
        <v>삼성 VD</v>
      </c>
      <c r="D3086" t="s">
        <v>1990</v>
      </c>
      <c r="E3086" t="s">
        <v>1812</v>
      </c>
      <c r="F3086" t="s">
        <v>1812</v>
      </c>
      <c r="G3086" s="554">
        <v>25</v>
      </c>
      <c r="H3086">
        <v>0.19154850000000001</v>
      </c>
    </row>
    <row r="3087" spans="2:8">
      <c r="B3087" s="555" t="s">
        <v>2327</v>
      </c>
      <c r="C3087" s="555" t="str">
        <f>VLOOKUP(D3087,기본!$D$13:$E$74,2,0)</f>
        <v>삼성 VD</v>
      </c>
      <c r="D3087" t="s">
        <v>1990</v>
      </c>
      <c r="E3087" t="s">
        <v>1814</v>
      </c>
      <c r="F3087" t="s">
        <v>1814</v>
      </c>
      <c r="G3087" s="554">
        <v>25</v>
      </c>
      <c r="H3087">
        <v>0.31947074999999991</v>
      </c>
    </row>
    <row r="3088" spans="2:8">
      <c r="B3088" s="555" t="s">
        <v>2327</v>
      </c>
      <c r="C3088" s="555" t="str">
        <f>VLOOKUP(D3088,기본!$D$13:$E$74,2,0)</f>
        <v>삼성 VD</v>
      </c>
      <c r="D3088" t="s">
        <v>1990</v>
      </c>
      <c r="E3088" t="s">
        <v>1656</v>
      </c>
      <c r="F3088" t="s">
        <v>1656</v>
      </c>
      <c r="G3088" s="554">
        <v>56</v>
      </c>
      <c r="H3088">
        <v>0.47636175999999991</v>
      </c>
    </row>
    <row r="3089" spans="2:8">
      <c r="B3089" s="555" t="s">
        <v>2327</v>
      </c>
      <c r="C3089" s="555" t="str">
        <f>VLOOKUP(D3089,기본!$D$13:$E$74,2,0)</f>
        <v>삼성 VD</v>
      </c>
      <c r="D3089" t="s">
        <v>1990</v>
      </c>
      <c r="E3089" t="s">
        <v>2291</v>
      </c>
      <c r="F3089" t="s">
        <v>1897</v>
      </c>
      <c r="G3089" s="554">
        <v>2</v>
      </c>
      <c r="H3089">
        <v>7.5217199999999998E-2</v>
      </c>
    </row>
    <row r="3090" spans="2:8">
      <c r="B3090" s="555" t="s">
        <v>2327</v>
      </c>
      <c r="C3090" s="555" t="str">
        <f>VLOOKUP(D3090,기본!$D$13:$E$74,2,0)</f>
        <v>삼성 VD</v>
      </c>
      <c r="D3090" t="s">
        <v>1990</v>
      </c>
      <c r="E3090" t="s">
        <v>2267</v>
      </c>
      <c r="F3090" t="s">
        <v>2267</v>
      </c>
      <c r="G3090" s="554">
        <v>819</v>
      </c>
      <c r="H3090">
        <v>4.9608234959999997</v>
      </c>
    </row>
    <row r="3091" spans="2:8">
      <c r="B3091" s="555" t="s">
        <v>2327</v>
      </c>
      <c r="C3091" s="555" t="str">
        <f>VLOOKUP(D3091,기본!$D$13:$E$74,2,0)</f>
        <v>삼성 VD</v>
      </c>
      <c r="D3091" t="s">
        <v>1990</v>
      </c>
      <c r="E3091" t="s">
        <v>1816</v>
      </c>
      <c r="F3091" t="s">
        <v>1816</v>
      </c>
      <c r="G3091" s="554">
        <v>60</v>
      </c>
      <c r="H3091">
        <v>0.44042760000000003</v>
      </c>
    </row>
    <row r="3092" spans="2:8">
      <c r="B3092" s="555" t="s">
        <v>2327</v>
      </c>
      <c r="C3092" s="555" t="str">
        <f>VLOOKUP(D3092,기본!$D$13:$E$74,2,0)</f>
        <v>삼성 VD</v>
      </c>
      <c r="D3092" t="s">
        <v>1990</v>
      </c>
      <c r="E3092" t="s">
        <v>2280</v>
      </c>
      <c r="F3092" t="s">
        <v>2280</v>
      </c>
      <c r="G3092" s="554">
        <v>104</v>
      </c>
      <c r="H3092">
        <v>1.0704595199999998</v>
      </c>
    </row>
    <row r="3093" spans="2:8">
      <c r="B3093" s="555" t="s">
        <v>2327</v>
      </c>
      <c r="C3093" s="555" t="str">
        <f>VLOOKUP(D3093,기본!$D$13:$E$74,2,0)</f>
        <v>삼성 VD</v>
      </c>
      <c r="D3093" t="s">
        <v>1990</v>
      </c>
      <c r="E3093" t="s">
        <v>2281</v>
      </c>
      <c r="F3093" t="s">
        <v>2281</v>
      </c>
      <c r="G3093" s="554">
        <v>102</v>
      </c>
      <c r="H3093">
        <v>1.3729118399999996</v>
      </c>
    </row>
    <row r="3094" spans="2:8">
      <c r="B3094" s="555" t="s">
        <v>2327</v>
      </c>
      <c r="C3094" s="555" t="str">
        <f>VLOOKUP(D3094,기본!$D$13:$E$74,2,0)</f>
        <v>삼성 VD</v>
      </c>
      <c r="D3094" t="s">
        <v>1990</v>
      </c>
      <c r="E3094" t="s">
        <v>229</v>
      </c>
      <c r="F3094" t="s">
        <v>229</v>
      </c>
      <c r="G3094" s="554">
        <v>0</v>
      </c>
      <c r="H3094">
        <v>1.1852910000000001</v>
      </c>
    </row>
    <row r="3095" spans="2:8">
      <c r="B3095" s="555" t="s">
        <v>2327</v>
      </c>
      <c r="C3095" s="555" t="str">
        <f>VLOOKUP(D3095,기본!$D$13:$E$74,2,0)</f>
        <v>삼성 생활가전</v>
      </c>
      <c r="D3095" t="s">
        <v>1991</v>
      </c>
      <c r="E3095" t="s">
        <v>1993</v>
      </c>
      <c r="F3095" t="s">
        <v>1993</v>
      </c>
      <c r="G3095" s="554">
        <v>2304</v>
      </c>
      <c r="H3095">
        <v>17.128454399999999</v>
      </c>
    </row>
    <row r="3096" spans="2:8">
      <c r="B3096" s="555" t="s">
        <v>2327</v>
      </c>
      <c r="C3096" s="555" t="str">
        <f>VLOOKUP(D3096,기본!$D$13:$E$74,2,0)</f>
        <v>삼성 생활가전</v>
      </c>
      <c r="D3096" t="s">
        <v>1991</v>
      </c>
      <c r="E3096" t="s">
        <v>1224</v>
      </c>
      <c r="F3096" t="s">
        <v>1224</v>
      </c>
      <c r="G3096" s="554">
        <v>672</v>
      </c>
      <c r="H3096">
        <v>5.3558567999999998</v>
      </c>
    </row>
    <row r="3097" spans="2:8">
      <c r="B3097" s="555" t="s">
        <v>2327</v>
      </c>
      <c r="C3097" s="555" t="str">
        <f>VLOOKUP(D3097,기본!$D$13:$E$74,2,0)</f>
        <v>삼성 생활가전</v>
      </c>
      <c r="D3097" t="s">
        <v>1991</v>
      </c>
      <c r="E3097" t="s">
        <v>713</v>
      </c>
      <c r="F3097" t="s">
        <v>713</v>
      </c>
      <c r="G3097" s="554">
        <v>1680</v>
      </c>
      <c r="H3097">
        <v>13.423200000000001</v>
      </c>
    </row>
    <row r="3098" spans="2:8">
      <c r="B3098" s="555" t="s">
        <v>2327</v>
      </c>
      <c r="C3098" s="555" t="str">
        <f>VLOOKUP(D3098,기본!$D$13:$E$74,2,0)</f>
        <v>삼성 생활가전</v>
      </c>
      <c r="D3098" t="s">
        <v>1991</v>
      </c>
      <c r="E3098" t="s">
        <v>1996</v>
      </c>
      <c r="F3098" t="s">
        <v>1996</v>
      </c>
      <c r="G3098" s="554">
        <v>1440</v>
      </c>
      <c r="H3098">
        <v>8.5679999999999996</v>
      </c>
    </row>
    <row r="3099" spans="2:8">
      <c r="B3099" s="555" t="s">
        <v>2327</v>
      </c>
      <c r="C3099" s="555" t="str">
        <f>VLOOKUP(D3099,기본!$D$13:$E$74,2,0)</f>
        <v>삼성 생활가전</v>
      </c>
      <c r="D3099" t="s">
        <v>1991</v>
      </c>
      <c r="E3099" t="s">
        <v>1997</v>
      </c>
      <c r="F3099" t="s">
        <v>1997</v>
      </c>
      <c r="G3099" s="554">
        <v>1440</v>
      </c>
      <c r="H3099">
        <v>8.5535999999999994</v>
      </c>
    </row>
    <row r="3100" spans="2:8">
      <c r="B3100" s="555" t="s">
        <v>2327</v>
      </c>
      <c r="C3100" s="555" t="str">
        <f>VLOOKUP(D3100,기본!$D$13:$E$74,2,0)</f>
        <v>삼성 생활가전</v>
      </c>
      <c r="D3100" t="s">
        <v>1991</v>
      </c>
      <c r="E3100" t="s">
        <v>1999</v>
      </c>
      <c r="F3100" t="s">
        <v>1999</v>
      </c>
      <c r="G3100" s="554">
        <v>2880</v>
      </c>
      <c r="H3100">
        <v>17.219519999999999</v>
      </c>
    </row>
    <row r="3101" spans="2:8">
      <c r="B3101" s="555" t="s">
        <v>2327</v>
      </c>
      <c r="C3101" s="555" t="str">
        <f>VLOOKUP(D3101,기본!$D$13:$E$74,2,0)</f>
        <v>삼성 생활가전</v>
      </c>
      <c r="D3101" t="s">
        <v>1991</v>
      </c>
      <c r="E3101" t="s">
        <v>2001</v>
      </c>
      <c r="F3101" t="s">
        <v>2001</v>
      </c>
      <c r="G3101" s="554">
        <v>2158</v>
      </c>
      <c r="H3101">
        <v>11.804259999999999</v>
      </c>
    </row>
    <row r="3102" spans="2:8">
      <c r="B3102" s="555" t="s">
        <v>2327</v>
      </c>
      <c r="C3102" s="555" t="str">
        <f>VLOOKUP(D3102,기본!$D$13:$E$74,2,0)</f>
        <v>삼성 생활가전</v>
      </c>
      <c r="D3102" t="s">
        <v>1991</v>
      </c>
      <c r="E3102" t="s">
        <v>2085</v>
      </c>
      <c r="F3102" t="s">
        <v>2085</v>
      </c>
      <c r="G3102" s="554">
        <v>2000</v>
      </c>
      <c r="H3102">
        <v>11.084235</v>
      </c>
    </row>
    <row r="3103" spans="2:8">
      <c r="B3103" s="555" t="s">
        <v>2327</v>
      </c>
      <c r="C3103" s="555" t="str">
        <f>VLOOKUP(D3103,기본!$D$13:$E$74,2,0)</f>
        <v>삼성 생활가전</v>
      </c>
      <c r="D3103" t="s">
        <v>1991</v>
      </c>
      <c r="E3103" t="s">
        <v>1508</v>
      </c>
      <c r="F3103" t="s">
        <v>1508</v>
      </c>
      <c r="G3103" s="554">
        <v>1</v>
      </c>
      <c r="H3103">
        <v>9.4999999999999998E-3</v>
      </c>
    </row>
    <row r="3104" spans="2:8">
      <c r="B3104" s="555" t="s">
        <v>2327</v>
      </c>
      <c r="C3104" s="555" t="str">
        <f>VLOOKUP(D3104,기본!$D$13:$E$74,2,0)</f>
        <v>삼성 생활가전</v>
      </c>
      <c r="D3104" t="s">
        <v>1991</v>
      </c>
      <c r="E3104" t="s">
        <v>1242</v>
      </c>
      <c r="F3104" t="s">
        <v>1242</v>
      </c>
      <c r="G3104" s="554">
        <v>6341</v>
      </c>
      <c r="H3104">
        <v>32.529330000000002</v>
      </c>
    </row>
    <row r="3105" spans="2:8">
      <c r="B3105" s="555" t="s">
        <v>2327</v>
      </c>
      <c r="C3105" s="555" t="str">
        <f>VLOOKUP(D3105,기본!$D$13:$E$74,2,0)</f>
        <v>삼성 생활가전</v>
      </c>
      <c r="D3105" t="s">
        <v>1991</v>
      </c>
      <c r="E3105" t="s">
        <v>1395</v>
      </c>
      <c r="F3105" t="s">
        <v>1395</v>
      </c>
      <c r="G3105" s="554">
        <v>4024</v>
      </c>
      <c r="H3105">
        <v>21.962992</v>
      </c>
    </row>
    <row r="3106" spans="2:8">
      <c r="B3106" s="555" t="s">
        <v>2327</v>
      </c>
      <c r="C3106" s="555" t="str">
        <f>VLOOKUP(D3106,기본!$D$13:$E$74,2,0)</f>
        <v>삼성 생활가전</v>
      </c>
      <c r="D3106" t="s">
        <v>1991</v>
      </c>
      <c r="E3106" t="s">
        <v>2301</v>
      </c>
      <c r="F3106" t="s">
        <v>2301</v>
      </c>
      <c r="G3106" s="554">
        <v>10042</v>
      </c>
      <c r="H3106">
        <v>116.940718</v>
      </c>
    </row>
    <row r="3107" spans="2:8">
      <c r="B3107" s="555" t="s">
        <v>2327</v>
      </c>
      <c r="C3107" s="555" t="str">
        <f>VLOOKUP(D3107,기본!$D$13:$E$74,2,0)</f>
        <v>삼성 생활가전</v>
      </c>
      <c r="D3107" t="s">
        <v>1991</v>
      </c>
      <c r="E3107" t="s">
        <v>2087</v>
      </c>
      <c r="F3107" t="s">
        <v>2087</v>
      </c>
      <c r="G3107" s="554">
        <v>546</v>
      </c>
      <c r="H3107">
        <v>5.4397870800000003</v>
      </c>
    </row>
    <row r="3108" spans="2:8">
      <c r="B3108" s="555" t="s">
        <v>2327</v>
      </c>
      <c r="C3108" s="555" t="str">
        <f>VLOOKUP(D3108,기본!$D$13:$E$74,2,0)</f>
        <v>삼성 생활가전</v>
      </c>
      <c r="D3108" t="s">
        <v>1991</v>
      </c>
      <c r="E3108" t="s">
        <v>2227</v>
      </c>
      <c r="F3108" t="s">
        <v>2227</v>
      </c>
      <c r="G3108" s="554">
        <v>210</v>
      </c>
      <c r="H3108">
        <v>1.0971324</v>
      </c>
    </row>
    <row r="3109" spans="2:8">
      <c r="B3109" s="555" t="s">
        <v>2327</v>
      </c>
      <c r="C3109" s="555" t="str">
        <f>VLOOKUP(D3109,기본!$D$13:$E$74,2,0)</f>
        <v>삼성 생활가전</v>
      </c>
      <c r="D3109" t="s">
        <v>1991</v>
      </c>
      <c r="E3109" t="s">
        <v>1465</v>
      </c>
      <c r="F3109" t="s">
        <v>1465</v>
      </c>
      <c r="G3109" s="554">
        <v>5683</v>
      </c>
      <c r="H3109">
        <v>75.006021320000002</v>
      </c>
    </row>
    <row r="3110" spans="2:8">
      <c r="B3110" s="555" t="s">
        <v>2327</v>
      </c>
      <c r="C3110" s="555" t="str">
        <f>VLOOKUP(D3110,기본!$D$13:$E$74,2,0)</f>
        <v>삼성 생활가전</v>
      </c>
      <c r="D3110" t="s">
        <v>1991</v>
      </c>
      <c r="E3110" t="s">
        <v>2005</v>
      </c>
      <c r="F3110" t="s">
        <v>2005</v>
      </c>
      <c r="G3110" s="554">
        <v>0</v>
      </c>
      <c r="H3110">
        <v>5.2531869999999996</v>
      </c>
    </row>
    <row r="3111" spans="2:8">
      <c r="B3111" s="555" t="s">
        <v>2327</v>
      </c>
      <c r="C3111" s="555" t="str">
        <f>VLOOKUP(D3111,기본!$D$13:$E$74,2,0)</f>
        <v>삼성 생활가전</v>
      </c>
      <c r="D3111" t="s">
        <v>1991</v>
      </c>
      <c r="E3111" t="s">
        <v>229</v>
      </c>
      <c r="F3111" t="s">
        <v>229</v>
      </c>
      <c r="G3111" s="554">
        <v>0</v>
      </c>
      <c r="H3111">
        <v>2.6552799999999999</v>
      </c>
    </row>
    <row r="3112" spans="2:8">
      <c r="B3112" s="555" t="s">
        <v>2327</v>
      </c>
      <c r="C3112" s="555" t="str">
        <f>VLOOKUP(D3112,기본!$D$13:$E$74,2,0)</f>
        <v>삼성 생활가전</v>
      </c>
      <c r="D3112" t="s">
        <v>2006</v>
      </c>
      <c r="E3112" t="s">
        <v>1465</v>
      </c>
      <c r="F3112" t="s">
        <v>1465</v>
      </c>
      <c r="G3112" s="554">
        <v>364</v>
      </c>
      <c r="H3112">
        <v>4.7083399999999997</v>
      </c>
    </row>
    <row r="3113" spans="2:8">
      <c r="B3113" s="555" t="s">
        <v>2327</v>
      </c>
      <c r="C3113" s="555" t="str">
        <f>VLOOKUP(D3113,기본!$D$13:$E$74,2,0)</f>
        <v>HP</v>
      </c>
      <c r="D3113" t="s">
        <v>2148</v>
      </c>
      <c r="E3113" t="s">
        <v>229</v>
      </c>
      <c r="F3113" t="s">
        <v>229</v>
      </c>
      <c r="G3113" s="554">
        <v>0</v>
      </c>
      <c r="H3113">
        <v>2.000035</v>
      </c>
    </row>
    <row r="3114" spans="2:8">
      <c r="B3114" s="555" t="s">
        <v>2327</v>
      </c>
      <c r="C3114" s="555" t="str">
        <f>VLOOKUP(D3114,기본!$D$13:$E$74,2,0)</f>
        <v>베터리</v>
      </c>
      <c r="D3114" t="s">
        <v>2320</v>
      </c>
      <c r="E3114" t="s">
        <v>2321</v>
      </c>
      <c r="F3114" t="s">
        <v>2321</v>
      </c>
      <c r="G3114" s="554">
        <v>1000</v>
      </c>
      <c r="H3114">
        <v>5.718</v>
      </c>
    </row>
    <row r="3115" spans="2:8">
      <c r="B3115" s="555" t="s">
        <v>2327</v>
      </c>
      <c r="C3115" s="555" t="str">
        <f>VLOOKUP(D3115,기본!$D$13:$E$74,2,0)</f>
        <v>베터리</v>
      </c>
      <c r="D3115" t="s">
        <v>2320</v>
      </c>
      <c r="E3115" t="s">
        <v>1828</v>
      </c>
      <c r="F3115" t="s">
        <v>1828</v>
      </c>
      <c r="G3115" s="554">
        <v>1000</v>
      </c>
      <c r="H3115">
        <v>2.883</v>
      </c>
    </row>
    <row r="3116" spans="2:8">
      <c r="B3116" s="555" t="s">
        <v>2327</v>
      </c>
      <c r="C3116" s="555" t="str">
        <f>VLOOKUP(D3116,기본!$D$13:$E$74,2,0)</f>
        <v>베터리</v>
      </c>
      <c r="D3116" t="s">
        <v>2322</v>
      </c>
      <c r="E3116" t="s">
        <v>1829</v>
      </c>
      <c r="F3116" t="s">
        <v>1829</v>
      </c>
      <c r="G3116" s="554">
        <v>22500</v>
      </c>
      <c r="H3116">
        <v>138.9375</v>
      </c>
    </row>
    <row r="3117" spans="2:8">
      <c r="B3117" s="555" t="s">
        <v>2327</v>
      </c>
      <c r="C3117" s="555" t="str">
        <f>VLOOKUP(D3117,기본!$D$13:$E$74,2,0)</f>
        <v>베터리</v>
      </c>
      <c r="D3117" t="s">
        <v>2322</v>
      </c>
      <c r="E3117" t="s">
        <v>1828</v>
      </c>
      <c r="F3117" t="s">
        <v>1828</v>
      </c>
      <c r="G3117" s="554">
        <v>50000</v>
      </c>
      <c r="H3117">
        <v>84.4</v>
      </c>
    </row>
    <row r="3118" spans="2:8">
      <c r="B3118" s="555" t="s">
        <v>2327</v>
      </c>
      <c r="C3118" s="555" t="str">
        <f>VLOOKUP(D3118,기본!$D$13:$E$74,2,0)</f>
        <v>코웨이</v>
      </c>
      <c r="D3118" t="s">
        <v>2282</v>
      </c>
      <c r="E3118" t="s">
        <v>1544</v>
      </c>
      <c r="F3118" t="s">
        <v>1544</v>
      </c>
      <c r="G3118" s="554">
        <v>5888</v>
      </c>
      <c r="H3118">
        <v>38.542847999999999</v>
      </c>
    </row>
    <row r="3119" spans="2:8">
      <c r="B3119" s="555" t="s">
        <v>2327</v>
      </c>
      <c r="C3119" s="555" t="str">
        <f>VLOOKUP(D3119,기본!$D$13:$E$74,2,0)</f>
        <v>코웨이</v>
      </c>
      <c r="D3119" t="s">
        <v>2282</v>
      </c>
      <c r="E3119" t="s">
        <v>1545</v>
      </c>
      <c r="F3119" t="s">
        <v>1545</v>
      </c>
      <c r="G3119" s="554">
        <v>2000</v>
      </c>
      <c r="H3119">
        <v>11.904</v>
      </c>
    </row>
    <row r="3120" spans="2:8">
      <c r="B3120" s="555" t="s">
        <v>2327</v>
      </c>
      <c r="C3120" s="555" t="str">
        <f>VLOOKUP(D3120,기본!$D$13:$E$74,2,0)</f>
        <v>코웨이</v>
      </c>
      <c r="D3120" t="s">
        <v>2007</v>
      </c>
      <c r="E3120" t="s">
        <v>1072</v>
      </c>
      <c r="F3120" t="s">
        <v>1072</v>
      </c>
      <c r="G3120" s="554">
        <v>15840</v>
      </c>
      <c r="H3120">
        <v>76.823999999999998</v>
      </c>
    </row>
    <row r="3121" spans="2:8">
      <c r="B3121" s="555" t="s">
        <v>2327</v>
      </c>
      <c r="C3121" s="555" t="str">
        <f>VLOOKUP(D3121,기본!$D$13:$E$74,2,0)</f>
        <v>코웨이</v>
      </c>
      <c r="D3121" t="s">
        <v>2007</v>
      </c>
      <c r="E3121" t="s">
        <v>1075</v>
      </c>
      <c r="F3121" t="s">
        <v>1075</v>
      </c>
      <c r="G3121" s="554">
        <v>18692</v>
      </c>
      <c r="H3121">
        <v>26.075339999999997</v>
      </c>
    </row>
    <row r="3122" spans="2:8">
      <c r="B3122" s="555" t="s">
        <v>2327</v>
      </c>
      <c r="C3122" s="555" t="str">
        <f>VLOOKUP(D3122,기본!$D$13:$E$74,2,0)</f>
        <v>코웨이</v>
      </c>
      <c r="D3122" t="s">
        <v>2194</v>
      </c>
      <c r="E3122" t="s">
        <v>2196</v>
      </c>
      <c r="F3122" t="s">
        <v>2196</v>
      </c>
      <c r="G3122" s="554">
        <v>8960</v>
      </c>
      <c r="H3122">
        <v>673.47316736000005</v>
      </c>
    </row>
    <row r="3123" spans="2:8">
      <c r="B3123" s="555" t="s">
        <v>2327</v>
      </c>
      <c r="C3123" s="555" t="str">
        <f>VLOOKUP(D3123,기본!$D$13:$E$74,2,0)</f>
        <v>코웨이</v>
      </c>
      <c r="D3123" t="s">
        <v>2010</v>
      </c>
      <c r="E3123" t="s">
        <v>2011</v>
      </c>
      <c r="F3123" t="s">
        <v>2011</v>
      </c>
      <c r="G3123" s="554">
        <v>41</v>
      </c>
      <c r="H3123">
        <v>0.25142900000000001</v>
      </c>
    </row>
    <row r="3124" spans="2:8">
      <c r="B3124" s="555" t="s">
        <v>2327</v>
      </c>
      <c r="C3124" s="555" t="str">
        <f>VLOOKUP(D3124,기본!$D$13:$E$74,2,0)</f>
        <v>코웨이</v>
      </c>
      <c r="D3124" t="s">
        <v>2010</v>
      </c>
      <c r="E3124" t="s">
        <v>2013</v>
      </c>
      <c r="F3124" t="s">
        <v>2013</v>
      </c>
      <c r="G3124" s="554">
        <v>17</v>
      </c>
      <c r="H3124">
        <v>0.14905599999999999</v>
      </c>
    </row>
    <row r="3125" spans="2:8">
      <c r="B3125" s="555" t="s">
        <v>2327</v>
      </c>
      <c r="C3125" s="555" t="str">
        <f>VLOOKUP(D3125,기본!$D$13:$E$74,2,0)</f>
        <v>코웨이</v>
      </c>
      <c r="D3125" t="s">
        <v>2010</v>
      </c>
      <c r="E3125" t="s">
        <v>2014</v>
      </c>
      <c r="F3125" t="s">
        <v>2014</v>
      </c>
      <c r="G3125" s="554">
        <v>1083</v>
      </c>
      <c r="H3125">
        <v>9.4567560000000004</v>
      </c>
    </row>
    <row r="3126" spans="2:8">
      <c r="B3126" s="555" t="s">
        <v>2327</v>
      </c>
      <c r="C3126" s="555" t="str">
        <f>VLOOKUP(D3126,기본!$D$13:$E$74,2,0)</f>
        <v>코웨이</v>
      </c>
      <c r="D3126" t="s">
        <v>2010</v>
      </c>
      <c r="E3126" t="s">
        <v>1093</v>
      </c>
      <c r="F3126" t="s">
        <v>1093</v>
      </c>
      <c r="G3126" s="554">
        <v>252</v>
      </c>
      <c r="H3126">
        <v>1.35907</v>
      </c>
    </row>
    <row r="3127" spans="2:8">
      <c r="B3127" s="555" t="s">
        <v>2327</v>
      </c>
      <c r="C3127" s="555" t="str">
        <f>VLOOKUP(D3127,기본!$D$13:$E$74,2,0)</f>
        <v>코웨이</v>
      </c>
      <c r="D3127" t="s">
        <v>2010</v>
      </c>
      <c r="E3127" t="s">
        <v>1094</v>
      </c>
      <c r="F3127" t="s">
        <v>1094</v>
      </c>
      <c r="G3127" s="554">
        <v>550</v>
      </c>
      <c r="H3127">
        <v>1.730647</v>
      </c>
    </row>
    <row r="3128" spans="2:8">
      <c r="B3128" s="555" t="s">
        <v>2327</v>
      </c>
      <c r="C3128" s="555" t="str">
        <f>VLOOKUP(D3128,기본!$D$13:$E$74,2,0)</f>
        <v>코웨이</v>
      </c>
      <c r="D3128" t="s">
        <v>2010</v>
      </c>
      <c r="E3128" t="s">
        <v>1095</v>
      </c>
      <c r="F3128" t="s">
        <v>1095</v>
      </c>
      <c r="G3128" s="554">
        <v>304</v>
      </c>
      <c r="H3128">
        <v>1.8349439999999999</v>
      </c>
    </row>
    <row r="3129" spans="2:8">
      <c r="B3129" s="555" t="s">
        <v>2327</v>
      </c>
      <c r="C3129" s="555" t="str">
        <f>VLOOKUP(D3129,기본!$D$13:$E$74,2,0)</f>
        <v>코웨이</v>
      </c>
      <c r="D3129" t="s">
        <v>2010</v>
      </c>
      <c r="E3129" t="s">
        <v>2015</v>
      </c>
      <c r="F3129" t="s">
        <v>2015</v>
      </c>
      <c r="G3129" s="554">
        <v>21</v>
      </c>
      <c r="H3129">
        <v>0.27060600000000001</v>
      </c>
    </row>
    <row r="3130" spans="2:8">
      <c r="B3130" s="555" t="s">
        <v>2327</v>
      </c>
      <c r="C3130" s="555" t="str">
        <f>VLOOKUP(D3130,기본!$D$13:$E$74,2,0)</f>
        <v>코웨이</v>
      </c>
      <c r="D3130" t="s">
        <v>2010</v>
      </c>
      <c r="E3130" t="s">
        <v>2197</v>
      </c>
      <c r="F3130" t="s">
        <v>2197</v>
      </c>
      <c r="G3130" s="554">
        <v>179</v>
      </c>
      <c r="H3130">
        <v>1.362449</v>
      </c>
    </row>
    <row r="3131" spans="2:8">
      <c r="B3131" s="555" t="s">
        <v>2327</v>
      </c>
      <c r="C3131" s="555" t="str">
        <f>VLOOKUP(D3131,기본!$D$13:$E$74,2,0)</f>
        <v>코웨이</v>
      </c>
      <c r="D3131" t="s">
        <v>2010</v>
      </c>
      <c r="E3131" t="s">
        <v>2016</v>
      </c>
      <c r="F3131" t="s">
        <v>2016</v>
      </c>
      <c r="G3131" s="554">
        <v>58</v>
      </c>
      <c r="H3131">
        <v>0.469916</v>
      </c>
    </row>
    <row r="3132" spans="2:8">
      <c r="B3132" s="555" t="s">
        <v>2327</v>
      </c>
      <c r="C3132" s="555" t="str">
        <f>VLOOKUP(D3132,기본!$D$13:$E$74,2,0)</f>
        <v>코웨이</v>
      </c>
      <c r="D3132" t="s">
        <v>2010</v>
      </c>
      <c r="E3132" t="s">
        <v>2228</v>
      </c>
      <c r="F3132" t="s">
        <v>2228</v>
      </c>
      <c r="G3132" s="554">
        <v>100</v>
      </c>
      <c r="H3132">
        <v>0.86519999999999997</v>
      </c>
    </row>
    <row r="3133" spans="2:8">
      <c r="B3133" s="555" t="s">
        <v>2327</v>
      </c>
      <c r="C3133" s="555" t="str">
        <f>VLOOKUP(D3133,기본!$D$13:$E$74,2,0)</f>
        <v>코웨이</v>
      </c>
      <c r="D3133" t="s">
        <v>2010</v>
      </c>
      <c r="E3133" t="s">
        <v>2229</v>
      </c>
      <c r="F3133" t="s">
        <v>2229</v>
      </c>
      <c r="G3133" s="554">
        <v>400</v>
      </c>
      <c r="H3133">
        <v>6.1395999999999997</v>
      </c>
    </row>
    <row r="3134" spans="2:8">
      <c r="B3134" s="555" t="s">
        <v>2327</v>
      </c>
      <c r="C3134" s="555" t="str">
        <f>VLOOKUP(D3134,기본!$D$13:$E$74,2,0)</f>
        <v>코웨이</v>
      </c>
      <c r="D3134" t="s">
        <v>2010</v>
      </c>
      <c r="E3134" t="s">
        <v>2017</v>
      </c>
      <c r="F3134" t="s">
        <v>2017</v>
      </c>
      <c r="G3134" s="554">
        <v>3</v>
      </c>
      <c r="H3134">
        <v>3.6887999999999997E-2</v>
      </c>
    </row>
    <row r="3135" spans="2:8">
      <c r="B3135" s="555" t="s">
        <v>2327</v>
      </c>
      <c r="C3135" s="555" t="str">
        <f>VLOOKUP(D3135,기본!$D$13:$E$74,2,0)</f>
        <v>코웨이</v>
      </c>
      <c r="D3135" t="s">
        <v>2010</v>
      </c>
      <c r="E3135" t="s">
        <v>2019</v>
      </c>
      <c r="F3135" t="s">
        <v>2019</v>
      </c>
      <c r="G3135" s="554">
        <v>823</v>
      </c>
      <c r="H3135">
        <v>13.609556</v>
      </c>
    </row>
    <row r="3136" spans="2:8">
      <c r="B3136" s="555" t="s">
        <v>2327</v>
      </c>
      <c r="C3136" s="555" t="str">
        <f>VLOOKUP(D3136,기본!$D$13:$E$74,2,0)</f>
        <v>코웨이</v>
      </c>
      <c r="D3136" t="s">
        <v>2010</v>
      </c>
      <c r="E3136" t="s">
        <v>2020</v>
      </c>
      <c r="F3136" t="s">
        <v>2020</v>
      </c>
      <c r="G3136" s="554">
        <v>61</v>
      </c>
      <c r="H3136">
        <v>0.938245</v>
      </c>
    </row>
    <row r="3137" spans="2:8">
      <c r="B3137" s="555" t="s">
        <v>2327</v>
      </c>
      <c r="C3137" s="555" t="str">
        <f>VLOOKUP(D3137,기본!$D$13:$E$74,2,0)</f>
        <v>코웨이</v>
      </c>
      <c r="D3137" t="s">
        <v>2010</v>
      </c>
      <c r="E3137" t="s">
        <v>2021</v>
      </c>
      <c r="F3137" t="s">
        <v>2021</v>
      </c>
      <c r="G3137" s="554">
        <v>20173</v>
      </c>
      <c r="H3137">
        <v>260.54911999999996</v>
      </c>
    </row>
    <row r="3138" spans="2:8">
      <c r="B3138" s="555" t="s">
        <v>2327</v>
      </c>
      <c r="C3138" s="555" t="str">
        <f>VLOOKUP(D3138,기본!$D$13:$E$74,2,0)</f>
        <v>코웨이</v>
      </c>
      <c r="D3138" t="s">
        <v>2010</v>
      </c>
      <c r="E3138" t="s">
        <v>1542</v>
      </c>
      <c r="F3138" t="s">
        <v>1542</v>
      </c>
      <c r="G3138" s="554">
        <v>2079</v>
      </c>
      <c r="H3138">
        <v>16.236989999999999</v>
      </c>
    </row>
    <row r="3139" spans="2:8">
      <c r="B3139" s="555" t="s">
        <v>2327</v>
      </c>
      <c r="C3139" s="555" t="str">
        <f>VLOOKUP(D3139,기본!$D$13:$E$74,2,0)</f>
        <v>코웨이</v>
      </c>
      <c r="D3139" t="s">
        <v>2010</v>
      </c>
      <c r="E3139" t="s">
        <v>1543</v>
      </c>
      <c r="F3139" t="s">
        <v>1543</v>
      </c>
      <c r="G3139" s="554">
        <v>128</v>
      </c>
      <c r="H3139">
        <v>0.92134399999999994</v>
      </c>
    </row>
    <row r="3140" spans="2:8">
      <c r="B3140" s="555" t="s">
        <v>2327</v>
      </c>
      <c r="C3140" s="555" t="str">
        <f>VLOOKUP(D3140,기본!$D$13:$E$74,2,0)</f>
        <v>코웨이</v>
      </c>
      <c r="D3140" t="s">
        <v>2010</v>
      </c>
      <c r="E3140" t="s">
        <v>1544</v>
      </c>
      <c r="F3140" t="s">
        <v>1544</v>
      </c>
      <c r="G3140" s="554">
        <v>30</v>
      </c>
      <c r="H3140">
        <v>0.19638</v>
      </c>
    </row>
    <row r="3141" spans="2:8">
      <c r="B3141" s="555" t="s">
        <v>2327</v>
      </c>
      <c r="C3141" s="555" t="str">
        <f>VLOOKUP(D3141,기본!$D$13:$E$74,2,0)</f>
        <v>코웨이</v>
      </c>
      <c r="D3141" t="s">
        <v>2010</v>
      </c>
      <c r="E3141" t="s">
        <v>2022</v>
      </c>
      <c r="F3141" t="s">
        <v>2022</v>
      </c>
      <c r="G3141" s="554">
        <v>41</v>
      </c>
      <c r="H3141">
        <v>0.31959500000000002</v>
      </c>
    </row>
    <row r="3142" spans="2:8">
      <c r="B3142" s="555" t="s">
        <v>2327</v>
      </c>
      <c r="C3142" s="555" t="str">
        <f>VLOOKUP(D3142,기본!$D$13:$E$74,2,0)</f>
        <v>코웨이</v>
      </c>
      <c r="D3142" t="s">
        <v>2010</v>
      </c>
      <c r="E3142" t="s">
        <v>2023</v>
      </c>
      <c r="F3142" t="s">
        <v>2023</v>
      </c>
      <c r="G3142" s="554">
        <v>946</v>
      </c>
      <c r="H3142">
        <v>7.0086589999999998</v>
      </c>
    </row>
    <row r="3143" spans="2:8">
      <c r="B3143" s="555" t="s">
        <v>2327</v>
      </c>
      <c r="C3143" s="555" t="str">
        <f>VLOOKUP(D3143,기본!$D$13:$E$74,2,0)</f>
        <v>코웨이</v>
      </c>
      <c r="D3143" t="s">
        <v>2010</v>
      </c>
      <c r="E3143" t="s">
        <v>2024</v>
      </c>
      <c r="F3143" t="s">
        <v>2024</v>
      </c>
      <c r="G3143" s="554">
        <v>20</v>
      </c>
      <c r="H3143">
        <v>0.20218000000000003</v>
      </c>
    </row>
    <row r="3144" spans="2:8">
      <c r="B3144" s="555" t="s">
        <v>2327</v>
      </c>
      <c r="C3144" s="555" t="str">
        <f>VLOOKUP(D3144,기본!$D$13:$E$74,2,0)</f>
        <v>코웨이</v>
      </c>
      <c r="D3144" t="s">
        <v>2010</v>
      </c>
      <c r="E3144" t="s">
        <v>2025</v>
      </c>
      <c r="F3144" t="s">
        <v>2025</v>
      </c>
      <c r="G3144" s="554">
        <v>542</v>
      </c>
      <c r="H3144">
        <v>4.8590299999999997</v>
      </c>
    </row>
    <row r="3145" spans="2:8">
      <c r="B3145" s="555" t="s">
        <v>2327</v>
      </c>
      <c r="C3145" s="555" t="str">
        <f>VLOOKUP(D3145,기본!$D$13:$E$74,2,0)</f>
        <v>코웨이</v>
      </c>
      <c r="D3145" t="s">
        <v>2010</v>
      </c>
      <c r="E3145" t="s">
        <v>2026</v>
      </c>
      <c r="F3145" t="s">
        <v>2026</v>
      </c>
      <c r="G3145" s="554">
        <v>136</v>
      </c>
      <c r="H3145">
        <v>2.29759</v>
      </c>
    </row>
    <row r="3146" spans="2:8">
      <c r="B3146" s="555" t="s">
        <v>2327</v>
      </c>
      <c r="C3146" s="555" t="str">
        <f>VLOOKUP(D3146,기본!$D$13:$E$74,2,0)</f>
        <v>코웨이</v>
      </c>
      <c r="D3146" t="s">
        <v>2010</v>
      </c>
      <c r="E3146" t="s">
        <v>2027</v>
      </c>
      <c r="F3146" t="s">
        <v>2027</v>
      </c>
      <c r="G3146" s="554">
        <v>115</v>
      </c>
      <c r="H3146">
        <v>2.2309999999999999</v>
      </c>
    </row>
    <row r="3147" spans="2:8">
      <c r="B3147" s="555" t="s">
        <v>2327</v>
      </c>
      <c r="C3147" s="555" t="str">
        <f>VLOOKUP(D3147,기본!$D$13:$E$74,2,0)</f>
        <v>코웨이</v>
      </c>
      <c r="D3147" t="s">
        <v>2010</v>
      </c>
      <c r="E3147" t="s">
        <v>2028</v>
      </c>
      <c r="F3147" t="s">
        <v>2028</v>
      </c>
      <c r="G3147" s="554">
        <v>67</v>
      </c>
      <c r="H3147">
        <v>1.2662999999999998</v>
      </c>
    </row>
    <row r="3148" spans="2:8">
      <c r="B3148" s="555" t="s">
        <v>2327</v>
      </c>
      <c r="C3148" s="555" t="str">
        <f>VLOOKUP(D3148,기본!$D$13:$E$74,2,0)</f>
        <v>코웨이</v>
      </c>
      <c r="D3148" t="s">
        <v>2010</v>
      </c>
      <c r="E3148" t="s">
        <v>2029</v>
      </c>
      <c r="F3148" t="s">
        <v>2029</v>
      </c>
      <c r="G3148" s="554">
        <v>50</v>
      </c>
      <c r="H3148">
        <v>0.89975000000000005</v>
      </c>
    </row>
    <row r="3149" spans="2:8">
      <c r="B3149" s="555" t="s">
        <v>2327</v>
      </c>
      <c r="C3149" s="555" t="str">
        <f>VLOOKUP(D3149,기본!$D$13:$E$74,2,0)</f>
        <v>코웨이</v>
      </c>
      <c r="D3149" t="s">
        <v>2010</v>
      </c>
      <c r="E3149" t="s">
        <v>2030</v>
      </c>
      <c r="F3149" t="s">
        <v>2030</v>
      </c>
      <c r="G3149" s="554">
        <v>10</v>
      </c>
      <c r="H3149">
        <v>0.17995</v>
      </c>
    </row>
    <row r="3150" spans="2:8">
      <c r="B3150" s="555" t="s">
        <v>2327</v>
      </c>
      <c r="C3150" s="555" t="str">
        <f>VLOOKUP(D3150,기본!$D$13:$E$74,2,0)</f>
        <v>코웨이</v>
      </c>
      <c r="D3150" t="s">
        <v>2010</v>
      </c>
      <c r="E3150" t="s">
        <v>2031</v>
      </c>
      <c r="F3150" t="s">
        <v>2031</v>
      </c>
      <c r="G3150" s="554">
        <v>13</v>
      </c>
      <c r="H3150">
        <v>0.18082999999999999</v>
      </c>
    </row>
    <row r="3151" spans="2:8">
      <c r="B3151" s="555" t="s">
        <v>2327</v>
      </c>
      <c r="C3151" s="555" t="str">
        <f>VLOOKUP(D3151,기본!$D$13:$E$74,2,0)</f>
        <v>코웨이</v>
      </c>
      <c r="D3151" t="s">
        <v>2010</v>
      </c>
      <c r="E3151" t="s">
        <v>2032</v>
      </c>
      <c r="F3151" t="s">
        <v>2032</v>
      </c>
      <c r="G3151" s="554">
        <v>93</v>
      </c>
      <c r="H3151">
        <v>0.20765400000000001</v>
      </c>
    </row>
    <row r="3152" spans="2:8">
      <c r="B3152" s="555" t="s">
        <v>2327</v>
      </c>
      <c r="C3152" s="555" t="str">
        <f>VLOOKUP(D3152,기본!$D$13:$E$74,2,0)</f>
        <v>코웨이</v>
      </c>
      <c r="D3152" t="s">
        <v>2010</v>
      </c>
      <c r="E3152" t="s">
        <v>2033</v>
      </c>
      <c r="F3152" t="s">
        <v>2033</v>
      </c>
      <c r="G3152" s="554">
        <v>4413</v>
      </c>
      <c r="H3152">
        <v>28.376548</v>
      </c>
    </row>
    <row r="3153" spans="2:8">
      <c r="B3153" s="555" t="s">
        <v>2327</v>
      </c>
      <c r="C3153" s="555" t="str">
        <f>VLOOKUP(D3153,기본!$D$13:$E$74,2,0)</f>
        <v>코웨이</v>
      </c>
      <c r="D3153" t="s">
        <v>2010</v>
      </c>
      <c r="E3153" t="s">
        <v>2034</v>
      </c>
      <c r="F3153" t="s">
        <v>2034</v>
      </c>
      <c r="G3153" s="554">
        <v>8993</v>
      </c>
      <c r="H3153">
        <v>140.63981000000001</v>
      </c>
    </row>
    <row r="3154" spans="2:8">
      <c r="B3154" s="555" t="s">
        <v>2327</v>
      </c>
      <c r="C3154" s="555" t="str">
        <f>VLOOKUP(D3154,기본!$D$13:$E$74,2,0)</f>
        <v>코웨이</v>
      </c>
      <c r="D3154" t="s">
        <v>2010</v>
      </c>
      <c r="E3154" t="s">
        <v>2035</v>
      </c>
      <c r="F3154" t="s">
        <v>2035</v>
      </c>
      <c r="G3154" s="554">
        <v>315</v>
      </c>
      <c r="H3154">
        <v>5.2814309999999995</v>
      </c>
    </row>
    <row r="3155" spans="2:8">
      <c r="B3155" s="555" t="s">
        <v>2327</v>
      </c>
      <c r="C3155" s="555" t="str">
        <f>VLOOKUP(D3155,기본!$D$13:$E$74,2,0)</f>
        <v>코웨이</v>
      </c>
      <c r="D3155" t="s">
        <v>2010</v>
      </c>
      <c r="E3155" t="s">
        <v>2036</v>
      </c>
      <c r="F3155" t="s">
        <v>2036</v>
      </c>
      <c r="G3155" s="554">
        <v>2125</v>
      </c>
      <c r="H3155">
        <v>32.635835</v>
      </c>
    </row>
    <row r="3156" spans="2:8">
      <c r="B3156" s="555" t="s">
        <v>2327</v>
      </c>
      <c r="C3156" s="555" t="str">
        <f>VLOOKUP(D3156,기본!$D$13:$E$74,2,0)</f>
        <v>코웨이</v>
      </c>
      <c r="D3156" t="s">
        <v>2010</v>
      </c>
      <c r="E3156" t="s">
        <v>2037</v>
      </c>
      <c r="F3156" t="s">
        <v>2037</v>
      </c>
      <c r="G3156" s="554">
        <v>520</v>
      </c>
      <c r="H3156">
        <v>8.1057600000000001</v>
      </c>
    </row>
    <row r="3157" spans="2:8">
      <c r="B3157" s="555" t="s">
        <v>2327</v>
      </c>
      <c r="C3157" s="555" t="str">
        <f>VLOOKUP(D3157,기본!$D$13:$E$74,2,0)</f>
        <v>코웨이</v>
      </c>
      <c r="D3157" t="s">
        <v>2010</v>
      </c>
      <c r="E3157" t="s">
        <v>2038</v>
      </c>
      <c r="F3157" t="s">
        <v>2038</v>
      </c>
      <c r="G3157" s="554">
        <v>800</v>
      </c>
      <c r="H3157">
        <v>12.7128</v>
      </c>
    </row>
    <row r="3158" spans="2:8">
      <c r="B3158" s="555" t="s">
        <v>2327</v>
      </c>
      <c r="C3158" s="555" t="str">
        <f>VLOOKUP(D3158,기본!$D$13:$E$74,2,0)</f>
        <v>코웨이</v>
      </c>
      <c r="D3158" t="s">
        <v>2010</v>
      </c>
      <c r="E3158" t="s">
        <v>2039</v>
      </c>
      <c r="F3158" t="s">
        <v>2039</v>
      </c>
      <c r="G3158" s="554">
        <v>20</v>
      </c>
      <c r="H3158">
        <v>0.33116000000000001</v>
      </c>
    </row>
    <row r="3159" spans="2:8">
      <c r="B3159" s="555" t="s">
        <v>2327</v>
      </c>
      <c r="C3159" s="555" t="str">
        <f>VLOOKUP(D3159,기본!$D$13:$E$74,2,0)</f>
        <v>코웨이</v>
      </c>
      <c r="D3159" t="s">
        <v>2010</v>
      </c>
      <c r="E3159" t="s">
        <v>2041</v>
      </c>
      <c r="F3159" t="s">
        <v>2041</v>
      </c>
      <c r="G3159" s="554">
        <v>2656</v>
      </c>
      <c r="H3159">
        <v>43.489343999999996</v>
      </c>
    </row>
    <row r="3160" spans="2:8">
      <c r="B3160" s="555" t="s">
        <v>2327</v>
      </c>
      <c r="C3160" s="555" t="str">
        <f>VLOOKUP(D3160,기본!$D$13:$E$74,2,0)</f>
        <v>코웨이</v>
      </c>
      <c r="D3160" t="s">
        <v>2010</v>
      </c>
      <c r="E3160" t="s">
        <v>1089</v>
      </c>
      <c r="F3160" t="s">
        <v>1089</v>
      </c>
      <c r="G3160" s="554">
        <v>600</v>
      </c>
      <c r="H3160">
        <v>6.7545360000000008</v>
      </c>
    </row>
    <row r="3161" spans="2:8">
      <c r="B3161" s="555" t="s">
        <v>2327</v>
      </c>
      <c r="C3161" s="555" t="str">
        <f>VLOOKUP(D3161,기본!$D$13:$E$74,2,0)</f>
        <v>코웨이</v>
      </c>
      <c r="D3161" t="s">
        <v>2010</v>
      </c>
      <c r="E3161" t="s">
        <v>1118</v>
      </c>
      <c r="F3161" t="s">
        <v>1118</v>
      </c>
      <c r="G3161" s="554">
        <v>200</v>
      </c>
      <c r="H3161">
        <v>3.9422000000000001</v>
      </c>
    </row>
    <row r="3162" spans="2:8">
      <c r="B3162" s="555" t="s">
        <v>2327</v>
      </c>
      <c r="C3162" s="555" t="str">
        <f>VLOOKUP(D3162,기본!$D$13:$E$74,2,0)</f>
        <v>코웨이</v>
      </c>
      <c r="D3162" t="s">
        <v>2010</v>
      </c>
      <c r="E3162" t="s">
        <v>2075</v>
      </c>
      <c r="F3162" t="s">
        <v>2075</v>
      </c>
      <c r="G3162" s="554">
        <v>107</v>
      </c>
      <c r="H3162">
        <v>2.7737503000000001</v>
      </c>
    </row>
    <row r="3163" spans="2:8">
      <c r="B3163" s="555" t="s">
        <v>2327</v>
      </c>
      <c r="C3163" s="555" t="str">
        <f>VLOOKUP(D3163,기본!$D$13:$E$74,2,0)</f>
        <v>코웨이</v>
      </c>
      <c r="D3163" t="s">
        <v>2010</v>
      </c>
      <c r="E3163" t="s">
        <v>2076</v>
      </c>
      <c r="F3163" t="s">
        <v>2076</v>
      </c>
      <c r="G3163" s="554">
        <v>107</v>
      </c>
      <c r="H3163">
        <v>2.7737503000000001</v>
      </c>
    </row>
    <row r="3164" spans="2:8">
      <c r="B3164" s="555" t="s">
        <v>2327</v>
      </c>
      <c r="C3164" s="555" t="str">
        <f>VLOOKUP(D3164,기본!$D$13:$E$74,2,0)</f>
        <v>코웨이</v>
      </c>
      <c r="D3164" t="s">
        <v>2010</v>
      </c>
      <c r="E3164" t="s">
        <v>2042</v>
      </c>
      <c r="F3164" t="s">
        <v>2042</v>
      </c>
      <c r="G3164" s="554">
        <v>10</v>
      </c>
      <c r="H3164">
        <v>7.3889999999999997E-2</v>
      </c>
    </row>
    <row r="3165" spans="2:8">
      <c r="B3165" s="555" t="s">
        <v>2327</v>
      </c>
      <c r="C3165" s="555" t="str">
        <f>VLOOKUP(D3165,기본!$D$13:$E$74,2,0)</f>
        <v>코웨이</v>
      </c>
      <c r="D3165" t="s">
        <v>2010</v>
      </c>
      <c r="E3165" t="s">
        <v>2043</v>
      </c>
      <c r="F3165" t="s">
        <v>2043</v>
      </c>
      <c r="G3165" s="554">
        <v>548</v>
      </c>
      <c r="H3165">
        <v>4.5851160000000002</v>
      </c>
    </row>
    <row r="3166" spans="2:8">
      <c r="B3166" s="555" t="s">
        <v>2327</v>
      </c>
      <c r="C3166" s="555" t="str">
        <f>VLOOKUP(D3166,기본!$D$13:$E$74,2,0)</f>
        <v>코웨이</v>
      </c>
      <c r="D3166" t="s">
        <v>2010</v>
      </c>
      <c r="E3166" t="s">
        <v>2044</v>
      </c>
      <c r="F3166" t="s">
        <v>2044</v>
      </c>
      <c r="G3166" s="554">
        <v>30</v>
      </c>
      <c r="H3166">
        <v>0.52919799999999995</v>
      </c>
    </row>
    <row r="3167" spans="2:8">
      <c r="B3167" s="555" t="s">
        <v>2327</v>
      </c>
      <c r="C3167" s="555" t="str">
        <f>VLOOKUP(D3167,기본!$D$13:$E$74,2,0)</f>
        <v>코웨이</v>
      </c>
      <c r="D3167" t="s">
        <v>2010</v>
      </c>
      <c r="E3167" t="s">
        <v>2152</v>
      </c>
      <c r="F3167" t="s">
        <v>2152</v>
      </c>
      <c r="G3167" s="554">
        <v>52</v>
      </c>
      <c r="H3167">
        <v>0.196768</v>
      </c>
    </row>
    <row r="3168" spans="2:8">
      <c r="B3168" s="555" t="s">
        <v>2327</v>
      </c>
      <c r="C3168" s="555" t="str">
        <f>VLOOKUP(D3168,기본!$D$13:$E$74,2,0)</f>
        <v>코웨이</v>
      </c>
      <c r="D3168" t="s">
        <v>2010</v>
      </c>
      <c r="E3168" t="s">
        <v>2045</v>
      </c>
      <c r="F3168" t="s">
        <v>2045</v>
      </c>
      <c r="G3168" s="554">
        <v>124</v>
      </c>
      <c r="H3168">
        <v>2.1001879999999997</v>
      </c>
    </row>
    <row r="3169" spans="2:8">
      <c r="B3169" s="555" t="s">
        <v>2327</v>
      </c>
      <c r="C3169" s="555" t="str">
        <f>VLOOKUP(D3169,기본!$D$13:$E$74,2,0)</f>
        <v>코웨이</v>
      </c>
      <c r="D3169" t="s">
        <v>2010</v>
      </c>
      <c r="E3169" t="s">
        <v>2046</v>
      </c>
      <c r="F3169" t="s">
        <v>2046</v>
      </c>
      <c r="G3169" s="554">
        <v>2225</v>
      </c>
      <c r="H3169">
        <v>34.740669999999994</v>
      </c>
    </row>
    <row r="3170" spans="2:8">
      <c r="B3170" s="555" t="s">
        <v>2327</v>
      </c>
      <c r="C3170" s="555" t="str">
        <f>VLOOKUP(D3170,기본!$D$13:$E$74,2,0)</f>
        <v>코웨이</v>
      </c>
      <c r="D3170" t="s">
        <v>2010</v>
      </c>
      <c r="E3170" t="s">
        <v>2323</v>
      </c>
      <c r="F3170" t="s">
        <v>2323</v>
      </c>
      <c r="G3170" s="554">
        <v>3</v>
      </c>
      <c r="H3170">
        <v>2.7990000000000001E-2</v>
      </c>
    </row>
    <row r="3171" spans="2:8">
      <c r="B3171" s="555" t="s">
        <v>2327</v>
      </c>
      <c r="C3171" s="555" t="str">
        <f>VLOOKUP(D3171,기본!$D$13:$E$74,2,0)</f>
        <v>코웨이</v>
      </c>
      <c r="D3171" t="s">
        <v>2010</v>
      </c>
      <c r="E3171" t="s">
        <v>2048</v>
      </c>
      <c r="F3171" t="s">
        <v>2048</v>
      </c>
      <c r="G3171" s="554">
        <v>6</v>
      </c>
      <c r="H3171">
        <v>0.13233600000000001</v>
      </c>
    </row>
    <row r="3172" spans="2:8">
      <c r="B3172" s="555" t="s">
        <v>2327</v>
      </c>
      <c r="C3172" s="555" t="str">
        <f>VLOOKUP(D3172,기본!$D$13:$E$74,2,0)</f>
        <v>코웨이</v>
      </c>
      <c r="D3172" t="s">
        <v>2010</v>
      </c>
      <c r="E3172" t="s">
        <v>2049</v>
      </c>
      <c r="F3172" t="s">
        <v>2049</v>
      </c>
      <c r="G3172" s="554">
        <v>4</v>
      </c>
      <c r="H3172">
        <v>9.6124000000000001E-2</v>
      </c>
    </row>
    <row r="3173" spans="2:8">
      <c r="B3173" s="555" t="s">
        <v>2327</v>
      </c>
      <c r="C3173" s="555" t="str">
        <f>VLOOKUP(D3173,기본!$D$13:$E$74,2,0)</f>
        <v>코웨이</v>
      </c>
      <c r="D3173" t="s">
        <v>2010</v>
      </c>
      <c r="E3173" t="s">
        <v>1215</v>
      </c>
      <c r="F3173" t="s">
        <v>1215</v>
      </c>
      <c r="G3173" s="554">
        <v>28</v>
      </c>
      <c r="H3173">
        <v>0.887992</v>
      </c>
    </row>
    <row r="3174" spans="2:8">
      <c r="B3174" s="555" t="s">
        <v>2327</v>
      </c>
      <c r="C3174" s="555" t="str">
        <f>VLOOKUP(D3174,기본!$D$13:$E$74,2,0)</f>
        <v>코웨이</v>
      </c>
      <c r="D3174" t="s">
        <v>2010</v>
      </c>
      <c r="E3174" t="s">
        <v>2050</v>
      </c>
      <c r="F3174" t="s">
        <v>2050</v>
      </c>
      <c r="G3174" s="554">
        <v>100</v>
      </c>
      <c r="H3174">
        <v>2.4811719999999999</v>
      </c>
    </row>
    <row r="3175" spans="2:8">
      <c r="B3175" s="555" t="s">
        <v>2327</v>
      </c>
      <c r="C3175" s="555" t="str">
        <f>VLOOKUP(D3175,기본!$D$13:$E$74,2,0)</f>
        <v>코웨이</v>
      </c>
      <c r="D3175" t="s">
        <v>2010</v>
      </c>
      <c r="E3175" t="s">
        <v>2051</v>
      </c>
      <c r="F3175" t="s">
        <v>2051</v>
      </c>
      <c r="G3175" s="554">
        <v>491</v>
      </c>
      <c r="H3175">
        <v>11.894124999999999</v>
      </c>
    </row>
    <row r="3176" spans="2:8">
      <c r="B3176" s="555" t="s">
        <v>2327</v>
      </c>
      <c r="C3176" s="555" t="str">
        <f>VLOOKUP(D3176,기본!$D$13:$E$74,2,0)</f>
        <v>코웨이</v>
      </c>
      <c r="D3176" t="s">
        <v>2010</v>
      </c>
      <c r="E3176" t="s">
        <v>2052</v>
      </c>
      <c r="F3176" t="s">
        <v>2052</v>
      </c>
      <c r="G3176" s="554">
        <v>650</v>
      </c>
      <c r="H3176">
        <v>14.976000000000001</v>
      </c>
    </row>
    <row r="3177" spans="2:8">
      <c r="B3177" s="555" t="s">
        <v>2327</v>
      </c>
      <c r="C3177" s="555" t="str">
        <f>VLOOKUP(D3177,기본!$D$13:$E$74,2,0)</f>
        <v>코웨이</v>
      </c>
      <c r="D3177" t="s">
        <v>2010</v>
      </c>
      <c r="E3177" t="s">
        <v>2053</v>
      </c>
      <c r="F3177" t="s">
        <v>2053</v>
      </c>
      <c r="G3177" s="554">
        <v>200</v>
      </c>
      <c r="H3177">
        <v>5.2587999999999999</v>
      </c>
    </row>
    <row r="3178" spans="2:8">
      <c r="B3178" s="555" t="s">
        <v>2327</v>
      </c>
      <c r="C3178" s="555" t="str">
        <f>VLOOKUP(D3178,기본!$D$13:$E$74,2,0)</f>
        <v>코웨이</v>
      </c>
      <c r="D3178" t="s">
        <v>2010</v>
      </c>
      <c r="E3178" t="s">
        <v>1217</v>
      </c>
      <c r="F3178" t="s">
        <v>1217</v>
      </c>
      <c r="G3178" s="554">
        <v>80</v>
      </c>
      <c r="H3178">
        <v>2.53504</v>
      </c>
    </row>
    <row r="3179" spans="2:8">
      <c r="B3179" s="555" t="s">
        <v>2327</v>
      </c>
      <c r="C3179" s="555" t="str">
        <f>VLOOKUP(D3179,기본!$D$13:$E$74,2,0)</f>
        <v>코웨이</v>
      </c>
      <c r="D3179" t="s">
        <v>2010</v>
      </c>
      <c r="E3179" t="s">
        <v>2054</v>
      </c>
      <c r="F3179" t="s">
        <v>2054</v>
      </c>
      <c r="G3179" s="554">
        <v>52</v>
      </c>
      <c r="H3179">
        <v>1.6421079999999999</v>
      </c>
    </row>
    <row r="3180" spans="2:8">
      <c r="B3180" s="555" t="s">
        <v>2327</v>
      </c>
      <c r="C3180" s="555" t="str">
        <f>VLOOKUP(D3180,기본!$D$13:$E$74,2,0)</f>
        <v>코웨이</v>
      </c>
      <c r="D3180" t="s">
        <v>2010</v>
      </c>
      <c r="E3180" t="s">
        <v>2055</v>
      </c>
      <c r="F3180" t="s">
        <v>2055</v>
      </c>
      <c r="G3180" s="554">
        <v>12</v>
      </c>
      <c r="H3180">
        <v>0.34300799999999998</v>
      </c>
    </row>
    <row r="3181" spans="2:8">
      <c r="B3181" s="555" t="s">
        <v>2327</v>
      </c>
      <c r="C3181" s="555" t="str">
        <f>VLOOKUP(D3181,기본!$D$13:$E$74,2,0)</f>
        <v>코웨이</v>
      </c>
      <c r="D3181" t="s">
        <v>2010</v>
      </c>
      <c r="E3181" t="s">
        <v>2056</v>
      </c>
      <c r="F3181" t="s">
        <v>2056</v>
      </c>
      <c r="G3181" s="554">
        <v>225</v>
      </c>
      <c r="H3181">
        <v>4.2959500000000004</v>
      </c>
    </row>
    <row r="3182" spans="2:8">
      <c r="B3182" s="555" t="s">
        <v>2327</v>
      </c>
      <c r="C3182" s="555" t="str">
        <f>VLOOKUP(D3182,기본!$D$13:$E$74,2,0)</f>
        <v>코웨이</v>
      </c>
      <c r="D3182" t="s">
        <v>2010</v>
      </c>
      <c r="E3182" t="s">
        <v>2154</v>
      </c>
      <c r="F3182" t="s">
        <v>2154</v>
      </c>
      <c r="G3182" s="554">
        <v>64</v>
      </c>
      <c r="H3182">
        <v>1.2544</v>
      </c>
    </row>
    <row r="3183" spans="2:8">
      <c r="B3183" s="555" t="s">
        <v>2327</v>
      </c>
      <c r="C3183" s="555" t="str">
        <f>VLOOKUP(D3183,기본!$D$13:$E$74,2,0)</f>
        <v>코웨이</v>
      </c>
      <c r="D3183" t="s">
        <v>2010</v>
      </c>
      <c r="E3183" t="s">
        <v>2057</v>
      </c>
      <c r="F3183" t="s">
        <v>2057</v>
      </c>
      <c r="G3183" s="554">
        <v>110</v>
      </c>
      <c r="H3183">
        <v>3.31236</v>
      </c>
    </row>
    <row r="3184" spans="2:8">
      <c r="B3184" s="555" t="s">
        <v>2327</v>
      </c>
      <c r="C3184" s="555" t="str">
        <f>VLOOKUP(D3184,기본!$D$13:$E$74,2,0)</f>
        <v>코웨이</v>
      </c>
      <c r="D3184" t="s">
        <v>2010</v>
      </c>
      <c r="E3184" t="s">
        <v>1327</v>
      </c>
      <c r="F3184" t="s">
        <v>1327</v>
      </c>
      <c r="G3184" s="554">
        <v>24</v>
      </c>
      <c r="H3184">
        <v>0.26440799999999998</v>
      </c>
    </row>
    <row r="3185" spans="2:8">
      <c r="B3185" s="555" t="s">
        <v>2327</v>
      </c>
      <c r="C3185" s="555" t="str">
        <f>VLOOKUP(D3185,기본!$D$13:$E$74,2,0)</f>
        <v>코웨이</v>
      </c>
      <c r="D3185" t="s">
        <v>2010</v>
      </c>
      <c r="E3185" t="s">
        <v>1325</v>
      </c>
      <c r="F3185" t="s">
        <v>1325</v>
      </c>
      <c r="G3185" s="554">
        <v>66</v>
      </c>
      <c r="H3185">
        <v>2.2614900000000002</v>
      </c>
    </row>
    <row r="3186" spans="2:8">
      <c r="B3186" s="555" t="s">
        <v>2327</v>
      </c>
      <c r="C3186" s="555" t="str">
        <f>VLOOKUP(D3186,기본!$D$13:$E$74,2,0)</f>
        <v>코웨이</v>
      </c>
      <c r="D3186" t="s">
        <v>2010</v>
      </c>
      <c r="E3186" t="s">
        <v>1326</v>
      </c>
      <c r="F3186" t="s">
        <v>1326</v>
      </c>
      <c r="G3186" s="554">
        <v>13</v>
      </c>
      <c r="H3186">
        <v>0.43669599999999997</v>
      </c>
    </row>
    <row r="3187" spans="2:8">
      <c r="B3187" s="555" t="s">
        <v>2327</v>
      </c>
      <c r="C3187" s="555" t="str">
        <f>VLOOKUP(D3187,기본!$D$13:$E$74,2,0)</f>
        <v>코웨이</v>
      </c>
      <c r="D3187" t="s">
        <v>2010</v>
      </c>
      <c r="E3187" t="s">
        <v>2078</v>
      </c>
      <c r="F3187" t="s">
        <v>2078</v>
      </c>
      <c r="G3187" s="554">
        <v>48</v>
      </c>
      <c r="H3187">
        <v>1.7867999999999999</v>
      </c>
    </row>
    <row r="3188" spans="2:8">
      <c r="B3188" s="555" t="s">
        <v>2327</v>
      </c>
      <c r="C3188" s="555" t="str">
        <f>VLOOKUP(D3188,기본!$D$13:$E$74,2,0)</f>
        <v>코웨이</v>
      </c>
      <c r="D3188" t="s">
        <v>2010</v>
      </c>
      <c r="E3188" t="s">
        <v>2199</v>
      </c>
      <c r="F3188" t="s">
        <v>2199</v>
      </c>
      <c r="G3188" s="554">
        <v>228</v>
      </c>
      <c r="H3188">
        <v>1.292988</v>
      </c>
    </row>
    <row r="3189" spans="2:8">
      <c r="B3189" s="555" t="s">
        <v>2327</v>
      </c>
      <c r="C3189" s="555" t="str">
        <f>VLOOKUP(D3189,기본!$D$13:$E$74,2,0)</f>
        <v>코웨이</v>
      </c>
      <c r="D3189" t="s">
        <v>2010</v>
      </c>
      <c r="E3189" t="s">
        <v>2155</v>
      </c>
      <c r="F3189" t="s">
        <v>2155</v>
      </c>
      <c r="G3189" s="554">
        <v>144</v>
      </c>
      <c r="H3189">
        <v>0.82079999999999997</v>
      </c>
    </row>
    <row r="3190" spans="2:8">
      <c r="B3190" s="555" t="s">
        <v>2327</v>
      </c>
      <c r="C3190" s="555" t="str">
        <f>VLOOKUP(D3190,기본!$D$13:$E$74,2,0)</f>
        <v>코웨이</v>
      </c>
      <c r="D3190" t="s">
        <v>2010</v>
      </c>
      <c r="E3190" t="s">
        <v>2061</v>
      </c>
      <c r="F3190" t="s">
        <v>2061</v>
      </c>
      <c r="G3190" s="554">
        <v>18</v>
      </c>
      <c r="H3190">
        <v>0.11136099999999999</v>
      </c>
    </row>
    <row r="3191" spans="2:8">
      <c r="B3191" s="555" t="s">
        <v>2327</v>
      </c>
      <c r="C3191" s="555" t="str">
        <f>VLOOKUP(D3191,기본!$D$13:$E$74,2,0)</f>
        <v>코웨이</v>
      </c>
      <c r="D3191" t="s">
        <v>2010</v>
      </c>
      <c r="E3191" t="s">
        <v>2063</v>
      </c>
      <c r="F3191" t="s">
        <v>2063</v>
      </c>
      <c r="G3191" s="554">
        <v>160</v>
      </c>
      <c r="H3191">
        <v>0.92896000000000001</v>
      </c>
    </row>
    <row r="3192" spans="2:8">
      <c r="B3192" s="555" t="s">
        <v>2327</v>
      </c>
      <c r="C3192" s="555" t="str">
        <f>VLOOKUP(D3192,기본!$D$13:$E$74,2,0)</f>
        <v>코웨이</v>
      </c>
      <c r="D3192" t="s">
        <v>2010</v>
      </c>
      <c r="E3192" t="s">
        <v>2064</v>
      </c>
      <c r="F3192" t="s">
        <v>2064</v>
      </c>
      <c r="G3192" s="554">
        <v>17</v>
      </c>
      <c r="H3192">
        <v>0.62607599999999997</v>
      </c>
    </row>
    <row r="3193" spans="2:8">
      <c r="B3193" s="555" t="s">
        <v>2327</v>
      </c>
      <c r="C3193" s="555" t="str">
        <f>VLOOKUP(D3193,기본!$D$13:$E$74,2,0)</f>
        <v>코웨이</v>
      </c>
      <c r="D3193" t="s">
        <v>2010</v>
      </c>
      <c r="E3193" t="s">
        <v>1274</v>
      </c>
      <c r="F3193" t="s">
        <v>1274</v>
      </c>
      <c r="G3193" s="554">
        <v>293</v>
      </c>
      <c r="H3193">
        <v>2.1477360000000001</v>
      </c>
    </row>
    <row r="3194" spans="2:8">
      <c r="B3194" s="555" t="s">
        <v>2327</v>
      </c>
      <c r="C3194" s="555" t="str">
        <f>VLOOKUP(D3194,기본!$D$13:$E$74,2,0)</f>
        <v>코웨이</v>
      </c>
      <c r="D3194" t="s">
        <v>2010</v>
      </c>
      <c r="E3194" t="s">
        <v>1289</v>
      </c>
      <c r="F3194" t="s">
        <v>1289</v>
      </c>
      <c r="G3194" s="554">
        <v>408</v>
      </c>
      <c r="H3194">
        <v>3.4141439999999998</v>
      </c>
    </row>
    <row r="3195" spans="2:8">
      <c r="B3195" s="555" t="s">
        <v>2327</v>
      </c>
      <c r="C3195" s="555" t="str">
        <f>VLOOKUP(D3195,기본!$D$13:$E$74,2,0)</f>
        <v>코웨이</v>
      </c>
      <c r="D3195" t="s">
        <v>2010</v>
      </c>
      <c r="E3195" t="s">
        <v>1275</v>
      </c>
      <c r="F3195" t="s">
        <v>1275</v>
      </c>
      <c r="G3195" s="554">
        <v>2584</v>
      </c>
      <c r="H3195">
        <v>18.571131999999999</v>
      </c>
    </row>
    <row r="3196" spans="2:8">
      <c r="B3196" s="555" t="s">
        <v>2327</v>
      </c>
      <c r="C3196" s="555" t="str">
        <f>VLOOKUP(D3196,기본!$D$13:$E$74,2,0)</f>
        <v>코웨이</v>
      </c>
      <c r="D3196" t="s">
        <v>2010</v>
      </c>
      <c r="E3196" t="s">
        <v>229</v>
      </c>
      <c r="F3196" t="s">
        <v>229</v>
      </c>
      <c r="G3196" s="554">
        <v>0</v>
      </c>
      <c r="H3196">
        <v>1.5189999999999999</v>
      </c>
    </row>
    <row r="3197" spans="2:8">
      <c r="B3197" s="555" t="s">
        <v>2327</v>
      </c>
      <c r="C3197" s="555" t="str">
        <f>VLOOKUP(D3197,기본!$D$13:$E$74,2,0)</f>
        <v>코웨이</v>
      </c>
      <c r="D3197" t="s">
        <v>2067</v>
      </c>
      <c r="E3197" t="s">
        <v>2015</v>
      </c>
      <c r="F3197" t="s">
        <v>2015</v>
      </c>
      <c r="G3197" s="554">
        <v>904</v>
      </c>
      <c r="H3197">
        <v>10.511712000000001</v>
      </c>
    </row>
    <row r="3198" spans="2:8">
      <c r="B3198" s="555" t="s">
        <v>2327</v>
      </c>
      <c r="C3198" s="555" t="str">
        <f>VLOOKUP(D3198,기본!$D$13:$E$74,2,0)</f>
        <v>코웨이</v>
      </c>
      <c r="D3198" t="s">
        <v>2067</v>
      </c>
      <c r="E3198" t="s">
        <v>2016</v>
      </c>
      <c r="F3198" t="s">
        <v>2016</v>
      </c>
      <c r="G3198" s="554">
        <v>1412</v>
      </c>
      <c r="H3198">
        <v>10.690251999999999</v>
      </c>
    </row>
    <row r="3199" spans="2:8">
      <c r="B3199" s="555" t="s">
        <v>2327</v>
      </c>
      <c r="C3199" s="555" t="str">
        <f>VLOOKUP(D3199,기본!$D$13:$E$74,2,0)</f>
        <v>코웨이</v>
      </c>
      <c r="D3199" t="s">
        <v>2067</v>
      </c>
      <c r="E3199" t="s">
        <v>2285</v>
      </c>
      <c r="F3199" t="s">
        <v>2285</v>
      </c>
      <c r="G3199" s="554">
        <v>27</v>
      </c>
      <c r="H3199">
        <v>0.20371500000000001</v>
      </c>
    </row>
    <row r="3200" spans="2:8">
      <c r="B3200" s="555" t="s">
        <v>2327</v>
      </c>
      <c r="C3200" s="555" t="str">
        <f>VLOOKUP(D3200,기본!$D$13:$E$74,2,0)</f>
        <v>코웨이</v>
      </c>
      <c r="D3200" t="s">
        <v>2067</v>
      </c>
      <c r="E3200" t="s">
        <v>2156</v>
      </c>
      <c r="F3200" t="s">
        <v>2156</v>
      </c>
      <c r="G3200" s="554">
        <v>180</v>
      </c>
      <c r="H3200">
        <v>3.1194000000000002</v>
      </c>
    </row>
    <row r="3201" spans="2:8">
      <c r="B3201" s="555" t="s">
        <v>2327</v>
      </c>
      <c r="C3201" s="555" t="str">
        <f>VLOOKUP(D3201,기본!$D$13:$E$74,2,0)</f>
        <v>코웨이</v>
      </c>
      <c r="D3201" t="s">
        <v>2067</v>
      </c>
      <c r="E3201" t="s">
        <v>2068</v>
      </c>
      <c r="F3201" t="s">
        <v>2068</v>
      </c>
      <c r="G3201" s="554">
        <v>1024</v>
      </c>
      <c r="H3201">
        <v>17.576767999999998</v>
      </c>
    </row>
    <row r="3202" spans="2:8">
      <c r="B3202" s="555" t="s">
        <v>2327</v>
      </c>
      <c r="C3202" s="555" t="str">
        <f>VLOOKUP(D3202,기본!$D$13:$E$74,2,0)</f>
        <v>코웨이</v>
      </c>
      <c r="D3202" t="s">
        <v>2067</v>
      </c>
      <c r="E3202" t="s">
        <v>2069</v>
      </c>
      <c r="F3202" t="s">
        <v>2069</v>
      </c>
      <c r="G3202" s="554">
        <v>400</v>
      </c>
      <c r="H3202">
        <v>6.9703999999999997</v>
      </c>
    </row>
    <row r="3203" spans="2:8">
      <c r="B3203" s="555" t="s">
        <v>2327</v>
      </c>
      <c r="C3203" s="555" t="str">
        <f>VLOOKUP(D3203,기본!$D$13:$E$74,2,0)</f>
        <v>코웨이</v>
      </c>
      <c r="D3203" t="s">
        <v>2067</v>
      </c>
      <c r="E3203" t="s">
        <v>2020</v>
      </c>
      <c r="F3203" t="s">
        <v>2020</v>
      </c>
      <c r="G3203" s="554">
        <v>558</v>
      </c>
      <c r="H3203">
        <v>7.41303</v>
      </c>
    </row>
    <row r="3204" spans="2:8">
      <c r="B3204" s="555" t="s">
        <v>2327</v>
      </c>
      <c r="C3204" s="555" t="str">
        <f>VLOOKUP(D3204,기본!$D$13:$E$74,2,0)</f>
        <v>코웨이</v>
      </c>
      <c r="D3204" t="s">
        <v>2067</v>
      </c>
      <c r="E3204" t="s">
        <v>1544</v>
      </c>
      <c r="F3204" t="s">
        <v>1544</v>
      </c>
      <c r="G3204" s="554">
        <v>969</v>
      </c>
      <c r="H3204">
        <v>6.3516839999999997</v>
      </c>
    </row>
    <row r="3205" spans="2:8">
      <c r="B3205" s="555" t="s">
        <v>2327</v>
      </c>
      <c r="C3205" s="555" t="str">
        <f>VLOOKUP(D3205,기본!$D$13:$E$74,2,0)</f>
        <v>코웨이</v>
      </c>
      <c r="D3205" t="s">
        <v>2067</v>
      </c>
      <c r="E3205" t="s">
        <v>2270</v>
      </c>
      <c r="F3205" t="s">
        <v>2270</v>
      </c>
      <c r="G3205" s="554">
        <v>220</v>
      </c>
      <c r="H3205">
        <v>1.8279799999999999</v>
      </c>
    </row>
    <row r="3206" spans="2:8">
      <c r="B3206" s="555" t="s">
        <v>2327</v>
      </c>
      <c r="C3206" s="555" t="str">
        <f>VLOOKUP(D3206,기본!$D$13:$E$74,2,0)</f>
        <v>코웨이</v>
      </c>
      <c r="D3206" t="s">
        <v>2067</v>
      </c>
      <c r="E3206" t="s">
        <v>912</v>
      </c>
      <c r="F3206" t="s">
        <v>912</v>
      </c>
      <c r="G3206" s="554">
        <v>10254</v>
      </c>
      <c r="H3206">
        <v>67.446697999999998</v>
      </c>
    </row>
    <row r="3207" spans="2:8">
      <c r="B3207" s="555" t="s">
        <v>2327</v>
      </c>
      <c r="C3207" s="555" t="str">
        <f>VLOOKUP(D3207,기본!$D$13:$E$74,2,0)</f>
        <v>코웨이</v>
      </c>
      <c r="D3207" t="s">
        <v>2067</v>
      </c>
      <c r="E3207" t="s">
        <v>913</v>
      </c>
      <c r="F3207" t="s">
        <v>913</v>
      </c>
      <c r="G3207" s="554">
        <v>800</v>
      </c>
      <c r="H3207">
        <v>14.812799999999999</v>
      </c>
    </row>
    <row r="3208" spans="2:8">
      <c r="B3208" s="555" t="s">
        <v>2327</v>
      </c>
      <c r="C3208" s="555" t="str">
        <f>VLOOKUP(D3208,기본!$D$13:$E$74,2,0)</f>
        <v>코웨이</v>
      </c>
      <c r="D3208" t="s">
        <v>2067</v>
      </c>
      <c r="E3208" t="s">
        <v>2070</v>
      </c>
      <c r="F3208" t="s">
        <v>2070</v>
      </c>
      <c r="G3208" s="554">
        <v>4934</v>
      </c>
      <c r="H3208">
        <v>90.409616</v>
      </c>
    </row>
    <row r="3209" spans="2:8">
      <c r="B3209" s="555" t="s">
        <v>2327</v>
      </c>
      <c r="C3209" s="555" t="str">
        <f>VLOOKUP(D3209,기본!$D$13:$E$74,2,0)</f>
        <v>코웨이</v>
      </c>
      <c r="D3209" t="s">
        <v>2067</v>
      </c>
      <c r="E3209" t="s">
        <v>2024</v>
      </c>
      <c r="F3209" t="s">
        <v>2024</v>
      </c>
      <c r="G3209" s="554">
        <v>848</v>
      </c>
      <c r="H3209">
        <v>8.1704799999999995</v>
      </c>
    </row>
    <row r="3210" spans="2:8">
      <c r="B3210" s="555" t="s">
        <v>2327</v>
      </c>
      <c r="C3210" s="555" t="str">
        <f>VLOOKUP(D3210,기본!$D$13:$E$74,2,0)</f>
        <v>코웨이</v>
      </c>
      <c r="D3210" t="s">
        <v>2067</v>
      </c>
      <c r="E3210" t="s">
        <v>2202</v>
      </c>
      <c r="F3210" t="s">
        <v>2202</v>
      </c>
      <c r="G3210" s="554">
        <v>1</v>
      </c>
      <c r="H3210">
        <v>1.5657000000000001E-2</v>
      </c>
    </row>
    <row r="3211" spans="2:8">
      <c r="B3211" s="555" t="s">
        <v>2327</v>
      </c>
      <c r="C3211" s="555" t="str">
        <f>VLOOKUP(D3211,기본!$D$13:$E$74,2,0)</f>
        <v>코웨이</v>
      </c>
      <c r="D3211" t="s">
        <v>2067</v>
      </c>
      <c r="E3211" t="s">
        <v>2071</v>
      </c>
      <c r="F3211" t="s">
        <v>2071</v>
      </c>
      <c r="G3211" s="554">
        <v>1292</v>
      </c>
      <c r="H3211">
        <v>20.377208000000003</v>
      </c>
    </row>
    <row r="3212" spans="2:8">
      <c r="B3212" s="555" t="s">
        <v>2327</v>
      </c>
      <c r="C3212" s="555" t="str">
        <f>VLOOKUP(D3212,기본!$D$13:$E$74,2,0)</f>
        <v>코웨이</v>
      </c>
      <c r="D3212" t="s">
        <v>2067</v>
      </c>
      <c r="E3212" t="s">
        <v>2072</v>
      </c>
      <c r="F3212" t="s">
        <v>2072</v>
      </c>
      <c r="G3212" s="554">
        <v>504</v>
      </c>
      <c r="H3212">
        <v>6.6492719999999998</v>
      </c>
    </row>
    <row r="3213" spans="2:8">
      <c r="B3213" s="555" t="s">
        <v>2327</v>
      </c>
      <c r="C3213" s="555" t="str">
        <f>VLOOKUP(D3213,기본!$D$13:$E$74,2,0)</f>
        <v>코웨이</v>
      </c>
      <c r="D3213" t="s">
        <v>2067</v>
      </c>
      <c r="E3213" t="s">
        <v>2034</v>
      </c>
      <c r="F3213" t="s">
        <v>2034</v>
      </c>
      <c r="G3213" s="554">
        <v>8922</v>
      </c>
      <c r="H3213">
        <v>138.91553999999999</v>
      </c>
    </row>
    <row r="3214" spans="2:8">
      <c r="B3214" s="555" t="s">
        <v>2327</v>
      </c>
      <c r="C3214" s="555" t="str">
        <f>VLOOKUP(D3214,기본!$D$13:$E$74,2,0)</f>
        <v>코웨이</v>
      </c>
      <c r="D3214" t="s">
        <v>2067</v>
      </c>
      <c r="E3214" t="s">
        <v>2038</v>
      </c>
      <c r="F3214" t="s">
        <v>2038</v>
      </c>
      <c r="G3214" s="554">
        <v>1986</v>
      </c>
      <c r="H3214">
        <v>30.957767999999998</v>
      </c>
    </row>
    <row r="3215" spans="2:8">
      <c r="B3215" s="555" t="s">
        <v>2327</v>
      </c>
      <c r="C3215" s="555" t="str">
        <f>VLOOKUP(D3215,기본!$D$13:$E$74,2,0)</f>
        <v>코웨이</v>
      </c>
      <c r="D3215" t="s">
        <v>2067</v>
      </c>
      <c r="E3215" t="s">
        <v>2073</v>
      </c>
      <c r="F3215" t="s">
        <v>2073</v>
      </c>
      <c r="G3215" s="554">
        <v>13281</v>
      </c>
      <c r="H3215">
        <v>183.17644200000004</v>
      </c>
    </row>
    <row r="3216" spans="2:8">
      <c r="B3216" s="555" t="s">
        <v>2327</v>
      </c>
      <c r="C3216" s="555" t="str">
        <f>VLOOKUP(D3216,기본!$D$13:$E$74,2,0)</f>
        <v>코웨이</v>
      </c>
      <c r="D3216" t="s">
        <v>2067</v>
      </c>
      <c r="E3216" t="s">
        <v>2074</v>
      </c>
      <c r="F3216" t="s">
        <v>2074</v>
      </c>
      <c r="G3216" s="554">
        <v>300</v>
      </c>
      <c r="H3216">
        <v>6.5472000000000001</v>
      </c>
    </row>
    <row r="3217" spans="2:8">
      <c r="B3217" s="555" t="s">
        <v>2327</v>
      </c>
      <c r="C3217" s="555" t="str">
        <f>VLOOKUP(D3217,기본!$D$13:$E$74,2,0)</f>
        <v>코웨이</v>
      </c>
      <c r="D3217" t="s">
        <v>2067</v>
      </c>
      <c r="E3217" t="s">
        <v>2075</v>
      </c>
      <c r="F3217" t="s">
        <v>2075</v>
      </c>
      <c r="G3217" s="554">
        <v>520</v>
      </c>
      <c r="H3217">
        <v>11.46236</v>
      </c>
    </row>
    <row r="3218" spans="2:8">
      <c r="B3218" s="555" t="s">
        <v>2327</v>
      </c>
      <c r="C3218" s="555" t="str">
        <f>VLOOKUP(D3218,기본!$D$13:$E$74,2,0)</f>
        <v>코웨이</v>
      </c>
      <c r="D3218" t="s">
        <v>2067</v>
      </c>
      <c r="E3218" t="s">
        <v>2076</v>
      </c>
      <c r="F3218" t="s">
        <v>2076</v>
      </c>
      <c r="G3218" s="554">
        <v>3902</v>
      </c>
      <c r="H3218">
        <v>72.126233999999982</v>
      </c>
    </row>
    <row r="3219" spans="2:8">
      <c r="B3219" s="555" t="s">
        <v>2327</v>
      </c>
      <c r="C3219" s="555" t="str">
        <f>VLOOKUP(D3219,기본!$D$13:$E$74,2,0)</f>
        <v>코웨이</v>
      </c>
      <c r="D3219" t="s">
        <v>2067</v>
      </c>
      <c r="E3219" t="s">
        <v>2058</v>
      </c>
      <c r="F3219" t="s">
        <v>2058</v>
      </c>
      <c r="G3219" s="554">
        <v>4511</v>
      </c>
      <c r="H3219">
        <v>157.26194900000002</v>
      </c>
    </row>
    <row r="3220" spans="2:8">
      <c r="B3220" s="555" t="s">
        <v>2327</v>
      </c>
      <c r="C3220" s="555" t="str">
        <f>VLOOKUP(D3220,기본!$D$13:$E$74,2,0)</f>
        <v>코웨이</v>
      </c>
      <c r="D3220" t="s">
        <v>2067</v>
      </c>
      <c r="E3220" t="s">
        <v>2077</v>
      </c>
      <c r="F3220" t="s">
        <v>2077</v>
      </c>
      <c r="G3220" s="554">
        <v>500</v>
      </c>
      <c r="H3220">
        <v>17.211500000000001</v>
      </c>
    </row>
    <row r="3221" spans="2:8">
      <c r="B3221" s="555" t="s">
        <v>2327</v>
      </c>
      <c r="C3221" s="555" t="str">
        <f>VLOOKUP(D3221,기본!$D$13:$E$74,2,0)</f>
        <v>코웨이</v>
      </c>
      <c r="D3221" t="s">
        <v>2067</v>
      </c>
      <c r="E3221" t="s">
        <v>2078</v>
      </c>
      <c r="F3221" t="s">
        <v>2078</v>
      </c>
      <c r="G3221" s="554">
        <v>3168</v>
      </c>
      <c r="H3221">
        <v>109.26115200000001</v>
      </c>
    </row>
    <row r="3222" spans="2:8">
      <c r="B3222" s="555" t="s">
        <v>2327</v>
      </c>
      <c r="C3222" s="555" t="str">
        <f>VLOOKUP(D3222,기본!$D$13:$E$74,2,0)</f>
        <v>코웨이</v>
      </c>
      <c r="D3222" t="s">
        <v>2067</v>
      </c>
      <c r="E3222" t="s">
        <v>2324</v>
      </c>
      <c r="F3222" t="s">
        <v>2324</v>
      </c>
      <c r="G3222" s="554">
        <v>30</v>
      </c>
      <c r="H3222">
        <v>1.04217</v>
      </c>
    </row>
    <row r="3223" spans="2:8">
      <c r="B3223" s="555" t="s">
        <v>2327</v>
      </c>
      <c r="C3223" s="555" t="str">
        <f>VLOOKUP(D3223,기본!$D$13:$E$74,2,0)</f>
        <v>코웨이</v>
      </c>
      <c r="D3223" t="s">
        <v>2067</v>
      </c>
      <c r="E3223" t="s">
        <v>2203</v>
      </c>
      <c r="F3223" t="s">
        <v>2203</v>
      </c>
      <c r="G3223" s="554">
        <v>2046</v>
      </c>
      <c r="H3223">
        <v>73.874921999999998</v>
      </c>
    </row>
    <row r="3224" spans="2:8">
      <c r="B3224" s="555" t="s">
        <v>2327</v>
      </c>
      <c r="C3224" s="555" t="str">
        <f>VLOOKUP(D3224,기본!$D$13:$E$74,2,0)</f>
        <v>코웨이</v>
      </c>
      <c r="D3224" t="s">
        <v>2067</v>
      </c>
      <c r="E3224" t="s">
        <v>2231</v>
      </c>
      <c r="F3224" t="s">
        <v>2231</v>
      </c>
      <c r="G3224" s="554">
        <v>4</v>
      </c>
      <c r="H3224">
        <v>0.145396</v>
      </c>
    </row>
    <row r="3225" spans="2:8">
      <c r="B3225" s="555" t="s">
        <v>2327</v>
      </c>
      <c r="C3225" s="555" t="str">
        <f>VLOOKUP(D3225,기본!$D$13:$E$74,2,0)</f>
        <v>코웨이</v>
      </c>
      <c r="D3225" t="s">
        <v>2067</v>
      </c>
      <c r="E3225" t="s">
        <v>2059</v>
      </c>
      <c r="F3225" t="s">
        <v>2059</v>
      </c>
      <c r="G3225" s="554">
        <v>250</v>
      </c>
      <c r="H3225">
        <v>9.3267500000000005</v>
      </c>
    </row>
    <row r="3226" spans="2:8">
      <c r="B3226" s="555" t="s">
        <v>2327</v>
      </c>
      <c r="C3226" s="555" t="str">
        <f>VLOOKUP(D3226,기본!$D$13:$E$74,2,0)</f>
        <v>코웨이</v>
      </c>
      <c r="D3226" t="s">
        <v>2079</v>
      </c>
      <c r="E3226" t="s">
        <v>1093</v>
      </c>
      <c r="F3226" t="s">
        <v>1093</v>
      </c>
      <c r="G3226" s="554">
        <v>1419</v>
      </c>
      <c r="H3226">
        <v>7.571784000000001</v>
      </c>
    </row>
    <row r="3227" spans="2:8">
      <c r="B3227" s="555" t="s">
        <v>2327</v>
      </c>
      <c r="C3227" s="555" t="str">
        <f>VLOOKUP(D3227,기본!$D$13:$E$74,2,0)</f>
        <v>코웨이</v>
      </c>
      <c r="D3227" t="s">
        <v>2079</v>
      </c>
      <c r="E3227" t="s">
        <v>1094</v>
      </c>
      <c r="F3227" t="s">
        <v>1094</v>
      </c>
      <c r="G3227" s="554">
        <v>1419</v>
      </c>
      <c r="H3227">
        <v>4.4216040000000003</v>
      </c>
    </row>
    <row r="3228" spans="2:8">
      <c r="B3228" s="555" t="s">
        <v>2327</v>
      </c>
      <c r="C3228" s="555" t="str">
        <f>VLOOKUP(D3228,기본!$D$13:$E$74,2,0)</f>
        <v>코웨이</v>
      </c>
      <c r="D3228" t="s">
        <v>2079</v>
      </c>
      <c r="E3228" t="s">
        <v>2017</v>
      </c>
      <c r="F3228" t="s">
        <v>2017</v>
      </c>
      <c r="G3228" s="554">
        <v>300</v>
      </c>
      <c r="H3228">
        <v>3.5657999999999999</v>
      </c>
    </row>
    <row r="3229" spans="2:8">
      <c r="B3229" s="555" t="s">
        <v>2327</v>
      </c>
      <c r="C3229" s="555" t="str">
        <f>VLOOKUP(D3229,기본!$D$13:$E$74,2,0)</f>
        <v>코웨이</v>
      </c>
      <c r="D3229" t="s">
        <v>2079</v>
      </c>
      <c r="E3229" t="s">
        <v>2080</v>
      </c>
      <c r="F3229" t="s">
        <v>2080</v>
      </c>
      <c r="G3229" s="554">
        <v>150</v>
      </c>
      <c r="H3229">
        <v>1.00545</v>
      </c>
    </row>
    <row r="3230" spans="2:8">
      <c r="B3230" s="555" t="s">
        <v>2327</v>
      </c>
      <c r="C3230" s="555" t="str">
        <f>VLOOKUP(D3230,기본!$D$13:$E$74,2,0)</f>
        <v>코웨이</v>
      </c>
      <c r="D3230" t="s">
        <v>2079</v>
      </c>
      <c r="E3230" t="s">
        <v>2081</v>
      </c>
      <c r="F3230" t="s">
        <v>2081</v>
      </c>
      <c r="G3230" s="554">
        <v>1670</v>
      </c>
      <c r="H3230">
        <v>15.006619999999998</v>
      </c>
    </row>
    <row r="3231" spans="2:8">
      <c r="B3231" s="555" t="s">
        <v>2327</v>
      </c>
      <c r="C3231" s="555" t="str">
        <f>VLOOKUP(D3231,기본!$D$13:$E$74,2,0)</f>
        <v>코웨이</v>
      </c>
      <c r="D3231" t="s">
        <v>2079</v>
      </c>
      <c r="E3231" t="s">
        <v>1089</v>
      </c>
      <c r="F3231" t="s">
        <v>1089</v>
      </c>
      <c r="G3231" s="554">
        <v>2719</v>
      </c>
      <c r="H3231">
        <v>30.482709</v>
      </c>
    </row>
    <row r="3232" spans="2:8">
      <c r="B3232" s="555" t="s">
        <v>2327</v>
      </c>
      <c r="C3232" s="555" t="str">
        <f>VLOOKUP(D3232,기본!$D$13:$E$74,2,0)</f>
        <v>코웨이</v>
      </c>
      <c r="D3232" t="s">
        <v>2079</v>
      </c>
      <c r="E3232" t="s">
        <v>1118</v>
      </c>
      <c r="F3232" t="s">
        <v>1118</v>
      </c>
      <c r="G3232" s="554">
        <v>305</v>
      </c>
      <c r="H3232">
        <v>5.533315</v>
      </c>
    </row>
    <row r="3233" spans="2:8">
      <c r="B3233" s="555" t="s">
        <v>2327</v>
      </c>
      <c r="C3233" s="555" t="str">
        <f>VLOOKUP(D3233,기본!$D$13:$E$74,2,0)</f>
        <v>코웨이</v>
      </c>
      <c r="D3233" t="s">
        <v>2079</v>
      </c>
      <c r="E3233" t="s">
        <v>2061</v>
      </c>
      <c r="F3233" t="s">
        <v>2061</v>
      </c>
      <c r="G3233" s="554">
        <v>1419</v>
      </c>
      <c r="H3233">
        <v>7.9520760000000008</v>
      </c>
    </row>
    <row r="3234" spans="2:8">
      <c r="B3234" s="555" t="s">
        <v>2327</v>
      </c>
      <c r="C3234" s="555" t="str">
        <f>VLOOKUP(D3234,기본!$D$13:$E$74,2,0)</f>
        <v>코웨이</v>
      </c>
      <c r="D3234" t="s">
        <v>2082</v>
      </c>
      <c r="E3234" t="s">
        <v>2027</v>
      </c>
      <c r="F3234" t="s">
        <v>2027</v>
      </c>
      <c r="G3234" s="554">
        <v>480</v>
      </c>
      <c r="H3234">
        <v>9.0456000000000003</v>
      </c>
    </row>
    <row r="3235" spans="2:8">
      <c r="B3235" s="555" t="s">
        <v>2327</v>
      </c>
      <c r="C3235" s="555" t="str">
        <f>VLOOKUP(D3235,기본!$D$13:$E$74,2,0)</f>
        <v>코웨이</v>
      </c>
      <c r="D3235" t="s">
        <v>2082</v>
      </c>
      <c r="E3235" t="s">
        <v>2028</v>
      </c>
      <c r="F3235" t="s">
        <v>2028</v>
      </c>
      <c r="G3235" s="554">
        <v>240</v>
      </c>
      <c r="H3235">
        <v>4.3989599999999998</v>
      </c>
    </row>
    <row r="3236" spans="2:8">
      <c r="B3236" s="555" t="s">
        <v>2327</v>
      </c>
      <c r="C3236" s="555" t="str">
        <f>VLOOKUP(D3236,기본!$D$13:$E$74,2,0)</f>
        <v>코웨이</v>
      </c>
      <c r="D3236" t="s">
        <v>2082</v>
      </c>
      <c r="E3236" t="s">
        <v>2058</v>
      </c>
      <c r="F3236" t="s">
        <v>2058</v>
      </c>
      <c r="G3236" s="554">
        <v>11232</v>
      </c>
      <c r="H3236">
        <v>389.28988800000008</v>
      </c>
    </row>
    <row r="3237" spans="2:8">
      <c r="B3237" s="555" t="s">
        <v>2327</v>
      </c>
      <c r="C3237" s="555" t="str">
        <f>VLOOKUP(D3237,기본!$D$13:$E$74,2,0)</f>
        <v>코웨이</v>
      </c>
      <c r="D3237" t="s">
        <v>2082</v>
      </c>
      <c r="E3237" t="s">
        <v>2077</v>
      </c>
      <c r="F3237" t="s">
        <v>2077</v>
      </c>
      <c r="G3237" s="554">
        <v>3888</v>
      </c>
      <c r="H3237">
        <v>130.57847999999998</v>
      </c>
    </row>
    <row r="3238" spans="2:8">
      <c r="B3238" s="555" t="s">
        <v>2327</v>
      </c>
      <c r="C3238" s="555" t="str">
        <f>VLOOKUP(D3238,기본!$D$13:$E$74,2,0)</f>
        <v>삼성 생활가전</v>
      </c>
      <c r="D3238" t="s">
        <v>2084</v>
      </c>
      <c r="E3238" t="s">
        <v>2086</v>
      </c>
      <c r="F3238" t="s">
        <v>2086</v>
      </c>
      <c r="G3238" s="554">
        <v>10</v>
      </c>
      <c r="H3238">
        <v>0.1045</v>
      </c>
    </row>
    <row r="3239" spans="2:8">
      <c r="B3239" s="555" t="s">
        <v>2327</v>
      </c>
      <c r="C3239" s="555" t="str">
        <f>VLOOKUP(D3239,기본!$D$13:$E$74,2,0)</f>
        <v>코웨이</v>
      </c>
      <c r="D3239" t="s">
        <v>2205</v>
      </c>
      <c r="E3239" t="s">
        <v>1074</v>
      </c>
      <c r="F3239" t="s">
        <v>1074</v>
      </c>
      <c r="G3239" s="554">
        <v>3240</v>
      </c>
      <c r="H3239">
        <v>15.714</v>
      </c>
    </row>
    <row r="3240" spans="2:8">
      <c r="B3240" s="555" t="s">
        <v>2327</v>
      </c>
      <c r="C3240" s="555" t="str">
        <f>VLOOKUP(D3240,기본!$D$13:$E$74,2,0)</f>
        <v>코웨이</v>
      </c>
      <c r="D3240" t="s">
        <v>2205</v>
      </c>
      <c r="E3240" t="s">
        <v>1075</v>
      </c>
      <c r="F3240" t="s">
        <v>1075</v>
      </c>
      <c r="G3240" s="554">
        <v>3456</v>
      </c>
      <c r="H3240">
        <v>4.3338239999999999</v>
      </c>
    </row>
    <row r="3241" spans="2:8">
      <c r="B3241" s="555" t="s">
        <v>2327</v>
      </c>
      <c r="C3241" s="555" t="str">
        <f>VLOOKUP(D3241,기본!$D$13:$E$74,2,0)</f>
        <v>한화비전</v>
      </c>
      <c r="D3241" t="s">
        <v>2089</v>
      </c>
      <c r="E3241" t="s">
        <v>2325</v>
      </c>
      <c r="F3241" t="s">
        <v>2326</v>
      </c>
      <c r="G3241" s="554">
        <v>360</v>
      </c>
      <c r="H3241">
        <v>13.9386528</v>
      </c>
    </row>
    <row r="3242" spans="2:8">
      <c r="B3242" s="555" t="s">
        <v>2327</v>
      </c>
      <c r="C3242" s="555" t="str">
        <f>VLOOKUP(D3242,기본!$D$13:$E$74,2,0)</f>
        <v>한화비전</v>
      </c>
      <c r="D3242" t="s">
        <v>2089</v>
      </c>
      <c r="E3242" t="s">
        <v>1902</v>
      </c>
      <c r="F3242" t="s">
        <v>1903</v>
      </c>
      <c r="G3242" s="554">
        <v>342</v>
      </c>
      <c r="H3242">
        <v>11.865908879999999</v>
      </c>
    </row>
    <row r="3243" spans="2:8">
      <c r="B3243" s="555" t="s">
        <v>2327</v>
      </c>
      <c r="C3243" s="555" t="str">
        <f>VLOOKUP(D3243,기본!$D$13:$E$74,2,0)</f>
        <v>한화비전</v>
      </c>
      <c r="D3243" t="s">
        <v>2089</v>
      </c>
      <c r="E3243" t="s">
        <v>2257</v>
      </c>
      <c r="F3243" t="s">
        <v>2258</v>
      </c>
      <c r="G3243" s="554">
        <v>44</v>
      </c>
      <c r="H3243">
        <v>0.81829439999999998</v>
      </c>
    </row>
    <row r="3244" spans="2:8">
      <c r="B3244" s="555" t="s">
        <v>2327</v>
      </c>
      <c r="C3244" s="555" t="str">
        <f>VLOOKUP(D3244,기본!$D$13:$E$74,2,0)</f>
        <v>한화비전</v>
      </c>
      <c r="D3244" t="s">
        <v>2089</v>
      </c>
      <c r="E3244" t="s">
        <v>2090</v>
      </c>
      <c r="F3244" t="s">
        <v>2091</v>
      </c>
      <c r="G3244" s="554">
        <v>1728</v>
      </c>
      <c r="H3244">
        <v>58.449427199999995</v>
      </c>
    </row>
    <row r="3245" spans="2:8">
      <c r="B3245" s="555" t="s">
        <v>2352</v>
      </c>
      <c r="C3245" s="555" t="str">
        <f>VLOOKUP(D3245,기본!$D$13:$E$74,2,0)</f>
        <v>AV JDM</v>
      </c>
      <c r="D3245" t="s">
        <v>1841</v>
      </c>
      <c r="E3245" t="s">
        <v>1842</v>
      </c>
      <c r="F3245" t="s">
        <v>1680</v>
      </c>
      <c r="G3245" s="554">
        <v>8440</v>
      </c>
      <c r="H3245">
        <v>74.529602400000002</v>
      </c>
    </row>
    <row r="3246" spans="2:8">
      <c r="B3246" s="555" t="s">
        <v>2352</v>
      </c>
      <c r="C3246" s="555" t="str">
        <f>VLOOKUP(D3246,기본!$D$13:$E$74,2,0)</f>
        <v>AV JDM</v>
      </c>
      <c r="D3246" t="s">
        <v>1841</v>
      </c>
      <c r="E3246" t="s">
        <v>2104</v>
      </c>
      <c r="F3246" t="s">
        <v>2105</v>
      </c>
      <c r="G3246" s="554">
        <v>400</v>
      </c>
      <c r="H3246">
        <v>3.8966759999999998</v>
      </c>
    </row>
    <row r="3247" spans="2:8">
      <c r="B3247" s="555" t="s">
        <v>2352</v>
      </c>
      <c r="C3247" s="555" t="str">
        <f>VLOOKUP(D3247,기본!$D$13:$E$74,2,0)</f>
        <v>AV JDM</v>
      </c>
      <c r="D3247" t="s">
        <v>1841</v>
      </c>
      <c r="E3247" t="s">
        <v>1654</v>
      </c>
      <c r="F3247" t="s">
        <v>1654</v>
      </c>
      <c r="G3247" s="554">
        <v>7896</v>
      </c>
      <c r="H3247">
        <v>63.393914080000002</v>
      </c>
    </row>
    <row r="3248" spans="2:8">
      <c r="B3248" s="555" t="s">
        <v>2352</v>
      </c>
      <c r="C3248" s="555" t="str">
        <f>VLOOKUP(D3248,기본!$D$13:$E$74,2,0)</f>
        <v>AV JDM</v>
      </c>
      <c r="D3248" t="s">
        <v>1841</v>
      </c>
      <c r="E3248" t="s">
        <v>1656</v>
      </c>
      <c r="F3248" t="s">
        <v>1656</v>
      </c>
      <c r="G3248" s="554">
        <v>7000</v>
      </c>
      <c r="H3248">
        <v>60.619878760000006</v>
      </c>
    </row>
    <row r="3249" spans="2:8">
      <c r="B3249" s="555" t="s">
        <v>2352</v>
      </c>
      <c r="C3249" s="555" t="str">
        <f>VLOOKUP(D3249,기본!$D$13:$E$74,2,0)</f>
        <v>AV JDM</v>
      </c>
      <c r="D3249" t="s">
        <v>1841</v>
      </c>
      <c r="E3249" t="s">
        <v>1657</v>
      </c>
      <c r="F3249" t="s">
        <v>1657</v>
      </c>
      <c r="G3249" s="554">
        <v>2856</v>
      </c>
      <c r="H3249">
        <v>25.8247374</v>
      </c>
    </row>
    <row r="3250" spans="2:8">
      <c r="B3250" s="555" t="s">
        <v>2352</v>
      </c>
      <c r="C3250" s="555" t="str">
        <f>VLOOKUP(D3250,기본!$D$13:$E$74,2,0)</f>
        <v>AV JDM</v>
      </c>
      <c r="D3250" t="s">
        <v>1841</v>
      </c>
      <c r="E3250" t="s">
        <v>1658</v>
      </c>
      <c r="F3250" t="s">
        <v>1658</v>
      </c>
      <c r="G3250" s="554">
        <v>5292</v>
      </c>
      <c r="H3250">
        <v>49.374079199999997</v>
      </c>
    </row>
    <row r="3251" spans="2:8">
      <c r="B3251" s="555" t="s">
        <v>2352</v>
      </c>
      <c r="C3251" s="555" t="str">
        <f>VLOOKUP(D3251,기본!$D$13:$E$74,2,0)</f>
        <v>AV JDM</v>
      </c>
      <c r="D3251" t="s">
        <v>1841</v>
      </c>
      <c r="E3251" t="s">
        <v>1655</v>
      </c>
      <c r="F3251" t="s">
        <v>1655</v>
      </c>
      <c r="G3251" s="554">
        <v>1848</v>
      </c>
      <c r="H3251">
        <v>15.335517119999999</v>
      </c>
    </row>
    <row r="3252" spans="2:8">
      <c r="B3252" s="555" t="s">
        <v>2352</v>
      </c>
      <c r="C3252" s="555" t="str">
        <f>VLOOKUP(D3252,기본!$D$13:$E$74,2,0)</f>
        <v>AV JDM</v>
      </c>
      <c r="D3252" t="s">
        <v>1841</v>
      </c>
      <c r="E3252" t="s">
        <v>2206</v>
      </c>
      <c r="F3252" t="s">
        <v>2206</v>
      </c>
      <c r="G3252" s="554">
        <v>840</v>
      </c>
      <c r="H3252">
        <v>7.665898799999999</v>
      </c>
    </row>
    <row r="3253" spans="2:8">
      <c r="B3253" s="555" t="s">
        <v>2352</v>
      </c>
      <c r="C3253" s="555" t="str">
        <f>VLOOKUP(D3253,기본!$D$13:$E$74,2,0)</f>
        <v>AV JDM</v>
      </c>
      <c r="D3253" t="s">
        <v>1841</v>
      </c>
      <c r="E3253" t="s">
        <v>1889</v>
      </c>
      <c r="F3253" t="s">
        <v>1229</v>
      </c>
      <c r="G3253" s="554">
        <v>12096</v>
      </c>
      <c r="H3253">
        <v>96.628267007999995</v>
      </c>
    </row>
    <row r="3254" spans="2:8">
      <c r="B3254" s="555" t="s">
        <v>2352</v>
      </c>
      <c r="C3254" s="555" t="str">
        <f>VLOOKUP(D3254,기본!$D$13:$E$74,2,0)</f>
        <v>AV JDM</v>
      </c>
      <c r="D3254" t="s">
        <v>1841</v>
      </c>
      <c r="E3254" t="s">
        <v>1845</v>
      </c>
      <c r="F3254" t="s">
        <v>1340</v>
      </c>
      <c r="G3254" s="554">
        <v>17010</v>
      </c>
      <c r="H3254">
        <v>174.12751137600003</v>
      </c>
    </row>
    <row r="3255" spans="2:8">
      <c r="B3255" s="555" t="s">
        <v>2352</v>
      </c>
      <c r="C3255" s="555" t="str">
        <f>VLOOKUP(D3255,기본!$D$13:$E$74,2,0)</f>
        <v>AV JDM</v>
      </c>
      <c r="D3255" t="s">
        <v>1841</v>
      </c>
      <c r="E3255" t="s">
        <v>1847</v>
      </c>
      <c r="F3255" t="s">
        <v>1336</v>
      </c>
      <c r="G3255" s="554">
        <v>6040</v>
      </c>
      <c r="H3255">
        <v>54.689366399999997</v>
      </c>
    </row>
    <row r="3256" spans="2:8">
      <c r="B3256" s="555" t="s">
        <v>2352</v>
      </c>
      <c r="C3256" s="555" t="str">
        <f>VLOOKUP(D3256,기본!$D$13:$E$74,2,0)</f>
        <v>AV JDM</v>
      </c>
      <c r="D3256" t="s">
        <v>1841</v>
      </c>
      <c r="E3256" t="s">
        <v>1016</v>
      </c>
      <c r="F3256" t="s">
        <v>1016</v>
      </c>
      <c r="G3256" s="554">
        <v>4160</v>
      </c>
      <c r="H3256">
        <v>35.778674047999999</v>
      </c>
    </row>
    <row r="3257" spans="2:8">
      <c r="B3257" s="555" t="s">
        <v>2352</v>
      </c>
      <c r="C3257" s="555" t="str">
        <f>VLOOKUP(D3257,기본!$D$13:$E$74,2,0)</f>
        <v>삼성 VD</v>
      </c>
      <c r="D3257" t="s">
        <v>1849</v>
      </c>
      <c r="E3257" t="s">
        <v>1165</v>
      </c>
      <c r="F3257" t="s">
        <v>1882</v>
      </c>
      <c r="G3257" s="554">
        <v>3384</v>
      </c>
      <c r="H3257">
        <v>101.64600316800002</v>
      </c>
    </row>
    <row r="3258" spans="2:8">
      <c r="B3258" s="555" t="s">
        <v>2352</v>
      </c>
      <c r="C3258" s="555" t="str">
        <f>VLOOKUP(D3258,기본!$D$13:$E$74,2,0)</f>
        <v>삼성 VD</v>
      </c>
      <c r="D3258" t="s">
        <v>1849</v>
      </c>
      <c r="E3258" t="s">
        <v>1164</v>
      </c>
      <c r="F3258" t="s">
        <v>1850</v>
      </c>
      <c r="G3258" s="554">
        <v>10800</v>
      </c>
      <c r="H3258">
        <v>280.75809600000002</v>
      </c>
    </row>
    <row r="3259" spans="2:8">
      <c r="B3259" s="555" t="s">
        <v>2352</v>
      </c>
      <c r="C3259" s="555" t="str">
        <f>VLOOKUP(D3259,기본!$D$13:$E$74,2,0)</f>
        <v>삼성 VD</v>
      </c>
      <c r="D3259" t="s">
        <v>1849</v>
      </c>
      <c r="E3259" t="s">
        <v>1851</v>
      </c>
      <c r="F3259" t="s">
        <v>1852</v>
      </c>
      <c r="G3259" s="554">
        <v>832</v>
      </c>
      <c r="H3259">
        <v>6.2867188800000005</v>
      </c>
    </row>
    <row r="3260" spans="2:8">
      <c r="B3260" s="555" t="s">
        <v>2352</v>
      </c>
      <c r="C3260" s="555" t="str">
        <f>VLOOKUP(D3260,기본!$D$13:$E$74,2,0)</f>
        <v>삼성 VD</v>
      </c>
      <c r="D3260" t="s">
        <v>1849</v>
      </c>
      <c r="E3260" t="s">
        <v>1853</v>
      </c>
      <c r="F3260" t="s">
        <v>1854</v>
      </c>
      <c r="G3260" s="554">
        <v>2100</v>
      </c>
      <c r="H3260">
        <v>28.167419279999997</v>
      </c>
    </row>
    <row r="3261" spans="2:8">
      <c r="B3261" s="555" t="s">
        <v>2352</v>
      </c>
      <c r="C3261" s="555" t="str">
        <f>VLOOKUP(D3261,기본!$D$13:$E$74,2,0)</f>
        <v>삼성 VD</v>
      </c>
      <c r="D3261" t="s">
        <v>1849</v>
      </c>
      <c r="E3261" t="s">
        <v>1855</v>
      </c>
      <c r="F3261" t="s">
        <v>1856</v>
      </c>
      <c r="G3261" s="554">
        <v>2484</v>
      </c>
      <c r="H3261">
        <v>33.565556735999991</v>
      </c>
    </row>
    <row r="3262" spans="2:8">
      <c r="B3262" s="555" t="s">
        <v>2352</v>
      </c>
      <c r="C3262" s="555" t="str">
        <f>VLOOKUP(D3262,기본!$D$13:$E$74,2,0)</f>
        <v>삼성 VD</v>
      </c>
      <c r="D3262" t="s">
        <v>1849</v>
      </c>
      <c r="E3262" t="s">
        <v>1874</v>
      </c>
      <c r="F3262" t="s">
        <v>1875</v>
      </c>
      <c r="G3262" s="554">
        <v>3726</v>
      </c>
      <c r="H3262">
        <v>55.818177624</v>
      </c>
    </row>
    <row r="3263" spans="2:8">
      <c r="B3263" s="555" t="s">
        <v>2352</v>
      </c>
      <c r="C3263" s="555" t="str">
        <f>VLOOKUP(D3263,기본!$D$13:$E$74,2,0)</f>
        <v>삼성 VD</v>
      </c>
      <c r="D3263" t="s">
        <v>1849</v>
      </c>
      <c r="E3263" t="s">
        <v>1859</v>
      </c>
      <c r="F3263" t="s">
        <v>1860</v>
      </c>
      <c r="G3263" s="554">
        <v>576</v>
      </c>
      <c r="H3263">
        <v>10.294619904000001</v>
      </c>
    </row>
    <row r="3264" spans="2:8">
      <c r="B3264" s="555" t="s">
        <v>2352</v>
      </c>
      <c r="C3264" s="555" t="str">
        <f>VLOOKUP(D3264,기본!$D$13:$E$74,2,0)</f>
        <v>삼성 VD</v>
      </c>
      <c r="D3264" t="s">
        <v>1849</v>
      </c>
      <c r="E3264" t="s">
        <v>1313</v>
      </c>
      <c r="F3264" t="s">
        <v>1312</v>
      </c>
      <c r="G3264" s="554">
        <v>96</v>
      </c>
      <c r="H3264">
        <v>2.1424156799999996</v>
      </c>
    </row>
    <row r="3265" spans="2:8">
      <c r="B3265" s="555" t="s">
        <v>2352</v>
      </c>
      <c r="C3265" s="555" t="str">
        <f>VLOOKUP(D3265,기본!$D$13:$E$74,2,0)</f>
        <v>삼성 VD</v>
      </c>
      <c r="D3265" t="s">
        <v>1849</v>
      </c>
      <c r="E3265" t="s">
        <v>2337</v>
      </c>
      <c r="F3265" t="s">
        <v>2267</v>
      </c>
      <c r="G3265" s="554">
        <v>1386</v>
      </c>
      <c r="H3265">
        <v>7.2529823520000001</v>
      </c>
    </row>
    <row r="3266" spans="2:8">
      <c r="B3266" s="555" t="s">
        <v>2352</v>
      </c>
      <c r="C3266" s="555" t="str">
        <f>VLOOKUP(D3266,기본!$D$13:$E$74,2,0)</f>
        <v>삼성 VD</v>
      </c>
      <c r="D3266" t="s">
        <v>1849</v>
      </c>
      <c r="E3266" t="s">
        <v>1923</v>
      </c>
      <c r="F3266" t="s">
        <v>1924</v>
      </c>
      <c r="G3266" s="554">
        <v>34628</v>
      </c>
      <c r="H3266">
        <v>157.83594288</v>
      </c>
    </row>
    <row r="3267" spans="2:8">
      <c r="B3267" s="555" t="s">
        <v>2352</v>
      </c>
      <c r="C3267" s="555" t="str">
        <f>VLOOKUP(D3267,기본!$D$13:$E$74,2,0)</f>
        <v>삼성 VD</v>
      </c>
      <c r="D3267" t="s">
        <v>1849</v>
      </c>
      <c r="E3267" t="s">
        <v>1867</v>
      </c>
      <c r="F3267" t="s">
        <v>1868</v>
      </c>
      <c r="G3267" s="554">
        <v>2016</v>
      </c>
      <c r="H3267">
        <v>17.028809280000001</v>
      </c>
    </row>
    <row r="3268" spans="2:8">
      <c r="B3268" s="555" t="s">
        <v>2352</v>
      </c>
      <c r="C3268" s="555" t="str">
        <f>VLOOKUP(D3268,기본!$D$13:$E$74,2,0)</f>
        <v>삼성 VD</v>
      </c>
      <c r="D3268" t="s">
        <v>1849</v>
      </c>
      <c r="E3268" t="s">
        <v>709</v>
      </c>
      <c r="F3268" t="s">
        <v>1869</v>
      </c>
      <c r="G3268" s="554">
        <v>54912</v>
      </c>
      <c r="H3268">
        <v>189.25341600000002</v>
      </c>
    </row>
    <row r="3269" spans="2:8">
      <c r="B3269" s="555" t="s">
        <v>2352</v>
      </c>
      <c r="C3269" s="555" t="str">
        <f>VLOOKUP(D3269,기본!$D$13:$E$74,2,0)</f>
        <v>삼성 VD</v>
      </c>
      <c r="D3269" t="s">
        <v>1849</v>
      </c>
      <c r="E3269" t="s">
        <v>2235</v>
      </c>
      <c r="F3269" t="s">
        <v>2236</v>
      </c>
      <c r="G3269" s="554">
        <v>5148</v>
      </c>
      <c r="H3269">
        <v>24.044224776</v>
      </c>
    </row>
    <row r="3270" spans="2:8">
      <c r="B3270" s="555" t="s">
        <v>2352</v>
      </c>
      <c r="C3270" s="555" t="str">
        <f>VLOOKUP(D3270,기본!$D$13:$E$74,2,0)</f>
        <v>삼성 VD</v>
      </c>
      <c r="D3270" t="s">
        <v>1871</v>
      </c>
      <c r="E3270" t="s">
        <v>1165</v>
      </c>
      <c r="F3270" t="s">
        <v>1882</v>
      </c>
      <c r="G3270" s="554">
        <v>7776</v>
      </c>
      <c r="H3270">
        <v>225.24313658399998</v>
      </c>
    </row>
    <row r="3271" spans="2:8">
      <c r="B3271" s="555" t="s">
        <v>2352</v>
      </c>
      <c r="C3271" s="555" t="str">
        <f>VLOOKUP(D3271,기본!$D$13:$E$74,2,0)</f>
        <v>삼성 VD</v>
      </c>
      <c r="D3271" t="s">
        <v>1871</v>
      </c>
      <c r="E3271" t="s">
        <v>1164</v>
      </c>
      <c r="F3271" t="s">
        <v>1850</v>
      </c>
      <c r="G3271" s="554">
        <v>16596</v>
      </c>
      <c r="H3271">
        <v>437.33108771999997</v>
      </c>
    </row>
    <row r="3272" spans="2:8">
      <c r="B3272" s="555" t="s">
        <v>2352</v>
      </c>
      <c r="C3272" s="555" t="str">
        <f>VLOOKUP(D3272,기본!$D$13:$E$74,2,0)</f>
        <v>삼성 VD</v>
      </c>
      <c r="D3272" t="s">
        <v>1871</v>
      </c>
      <c r="E3272" t="s">
        <v>1853</v>
      </c>
      <c r="F3272" t="s">
        <v>1854</v>
      </c>
      <c r="G3272" s="554">
        <v>4712</v>
      </c>
      <c r="H3272">
        <v>63.907283439999986</v>
      </c>
    </row>
    <row r="3273" spans="2:8">
      <c r="B3273" s="555" t="s">
        <v>2352</v>
      </c>
      <c r="C3273" s="555" t="str">
        <f>VLOOKUP(D3273,기본!$D$13:$E$74,2,0)</f>
        <v>삼성 VD</v>
      </c>
      <c r="D3273" t="s">
        <v>1871</v>
      </c>
      <c r="E3273" t="s">
        <v>1874</v>
      </c>
      <c r="F3273" t="s">
        <v>1875</v>
      </c>
      <c r="G3273" s="554">
        <v>7847</v>
      </c>
      <c r="H3273">
        <v>119.207406956</v>
      </c>
    </row>
    <row r="3274" spans="2:8">
      <c r="B3274" s="555" t="s">
        <v>2352</v>
      </c>
      <c r="C3274" s="555" t="str">
        <f>VLOOKUP(D3274,기본!$D$13:$E$74,2,0)</f>
        <v>삼성 VD</v>
      </c>
      <c r="D3274" t="s">
        <v>1871</v>
      </c>
      <c r="E3274" t="s">
        <v>1876</v>
      </c>
      <c r="F3274" t="s">
        <v>1877</v>
      </c>
      <c r="G3274" s="554">
        <v>11280</v>
      </c>
      <c r="H3274">
        <v>77.744724000000005</v>
      </c>
    </row>
    <row r="3275" spans="2:8">
      <c r="B3275" s="555" t="s">
        <v>2352</v>
      </c>
      <c r="C3275" s="555" t="str">
        <f>VLOOKUP(D3275,기본!$D$13:$E$74,2,0)</f>
        <v>삼성 VD</v>
      </c>
      <c r="D3275" t="s">
        <v>1871</v>
      </c>
      <c r="E3275" t="s">
        <v>1878</v>
      </c>
      <c r="F3275" t="s">
        <v>1879</v>
      </c>
      <c r="G3275" s="554">
        <v>264</v>
      </c>
      <c r="H3275">
        <v>1.8355958880000001</v>
      </c>
    </row>
    <row r="3276" spans="2:8">
      <c r="B3276" s="555" t="s">
        <v>2352</v>
      </c>
      <c r="C3276" s="555" t="str">
        <f>VLOOKUP(D3276,기본!$D$13:$E$74,2,0)</f>
        <v>삼성 VD</v>
      </c>
      <c r="D3276" t="s">
        <v>1880</v>
      </c>
      <c r="E3276" t="s">
        <v>1855</v>
      </c>
      <c r="F3276" t="s">
        <v>1856</v>
      </c>
      <c r="G3276" s="554">
        <v>4798</v>
      </c>
      <c r="H3276">
        <v>65.889251328</v>
      </c>
    </row>
    <row r="3277" spans="2:8">
      <c r="B3277" s="555" t="s">
        <v>2352</v>
      </c>
      <c r="C3277" s="555" t="str">
        <f>VLOOKUP(D3277,기본!$D$13:$E$74,2,0)</f>
        <v>삼성 VD</v>
      </c>
      <c r="D3277" t="s">
        <v>1881</v>
      </c>
      <c r="E3277" t="s">
        <v>1164</v>
      </c>
      <c r="F3277" t="s">
        <v>1850</v>
      </c>
      <c r="G3277" s="554">
        <v>516</v>
      </c>
      <c r="H3277">
        <v>13.937505719999997</v>
      </c>
    </row>
    <row r="3278" spans="2:8">
      <c r="B3278" s="555" t="s">
        <v>2352</v>
      </c>
      <c r="C3278" s="555" t="str">
        <f>VLOOKUP(D3278,기본!$D$13:$E$74,2,0)</f>
        <v>삼성 VD</v>
      </c>
      <c r="D3278" t="s">
        <v>1881</v>
      </c>
      <c r="E3278" t="s">
        <v>1853</v>
      </c>
      <c r="F3278" t="s">
        <v>1854</v>
      </c>
      <c r="G3278" s="554">
        <v>180</v>
      </c>
      <c r="H3278">
        <v>2.4366642299999999</v>
      </c>
    </row>
    <row r="3279" spans="2:8">
      <c r="B3279" s="555" t="s">
        <v>2352</v>
      </c>
      <c r="C3279" s="555" t="str">
        <f>VLOOKUP(D3279,기본!$D$13:$E$74,2,0)</f>
        <v>삼성 VD</v>
      </c>
      <c r="D3279" t="s">
        <v>1881</v>
      </c>
      <c r="E3279" t="s">
        <v>1874</v>
      </c>
      <c r="F3279" t="s">
        <v>1875</v>
      </c>
      <c r="G3279" s="554">
        <v>368</v>
      </c>
      <c r="H3279">
        <v>5.5137241279999989</v>
      </c>
    </row>
    <row r="3280" spans="2:8">
      <c r="B3280" s="555" t="s">
        <v>2352</v>
      </c>
      <c r="C3280" s="555" t="str">
        <f>VLOOKUP(D3280,기본!$D$13:$E$74,2,0)</f>
        <v>기타</v>
      </c>
      <c r="D3280" t="s">
        <v>1883</v>
      </c>
      <c r="E3280" t="s">
        <v>229</v>
      </c>
      <c r="F3280" t="s">
        <v>229</v>
      </c>
      <c r="G3280" s="554">
        <v>0</v>
      </c>
      <c r="H3280">
        <v>0.63478600000000007</v>
      </c>
    </row>
    <row r="3281" spans="2:8">
      <c r="B3281" s="555" t="s">
        <v>2352</v>
      </c>
      <c r="C3281" s="555" t="str">
        <f>VLOOKUP(D3281,기본!$D$13:$E$74,2,0)</f>
        <v>MNT JDM</v>
      </c>
      <c r="D3281" t="s">
        <v>2107</v>
      </c>
      <c r="E3281" t="s">
        <v>709</v>
      </c>
      <c r="F3281" t="s">
        <v>2108</v>
      </c>
      <c r="G3281" s="554">
        <v>6028</v>
      </c>
      <c r="H3281">
        <v>26.952212759999998</v>
      </c>
    </row>
    <row r="3282" spans="2:8">
      <c r="B3282" s="555" t="s">
        <v>2352</v>
      </c>
      <c r="C3282" s="555" t="str">
        <f>VLOOKUP(D3282,기본!$D$13:$E$74,2,0)</f>
        <v>MNT JDM</v>
      </c>
      <c r="D3282" t="s">
        <v>2107</v>
      </c>
      <c r="E3282" t="s">
        <v>710</v>
      </c>
      <c r="F3282" t="s">
        <v>2109</v>
      </c>
      <c r="G3282" s="554">
        <v>836</v>
      </c>
      <c r="H3282">
        <v>4.4175159600000002</v>
      </c>
    </row>
    <row r="3283" spans="2:8">
      <c r="B3283" s="555" t="s">
        <v>2352</v>
      </c>
      <c r="C3283" s="555" t="str">
        <f>VLOOKUP(D3283,기본!$D$13:$E$74,2,0)</f>
        <v>MNT JDM</v>
      </c>
      <c r="D3283" t="s">
        <v>2107</v>
      </c>
      <c r="E3283" t="s">
        <v>1156</v>
      </c>
      <c r="F3283" t="s">
        <v>1793</v>
      </c>
      <c r="G3283" s="554">
        <v>6204</v>
      </c>
      <c r="H3283">
        <v>34.127546376000005</v>
      </c>
    </row>
    <row r="3284" spans="2:8">
      <c r="B3284" s="555" t="s">
        <v>2352</v>
      </c>
      <c r="C3284" s="555" t="str">
        <f>VLOOKUP(D3284,기본!$D$13:$E$74,2,0)</f>
        <v>MNT JDM</v>
      </c>
      <c r="D3284" t="s">
        <v>1884</v>
      </c>
      <c r="E3284" t="s">
        <v>709</v>
      </c>
      <c r="F3284" t="s">
        <v>2110</v>
      </c>
      <c r="G3284" s="554">
        <v>25344</v>
      </c>
      <c r="H3284">
        <v>115.57583769600002</v>
      </c>
    </row>
    <row r="3285" spans="2:8">
      <c r="B3285" s="555" t="s">
        <v>2352</v>
      </c>
      <c r="C3285" s="555" t="str">
        <f>VLOOKUP(D3285,기본!$D$13:$E$74,2,0)</f>
        <v>MNT JDM</v>
      </c>
      <c r="D3285" t="s">
        <v>1884</v>
      </c>
      <c r="E3285" t="s">
        <v>710</v>
      </c>
      <c r="F3285" t="s">
        <v>2111</v>
      </c>
      <c r="G3285" s="554">
        <v>2112</v>
      </c>
      <c r="H3285">
        <v>11.533743936</v>
      </c>
    </row>
    <row r="3286" spans="2:8">
      <c r="B3286" s="555" t="s">
        <v>2352</v>
      </c>
      <c r="C3286" s="555" t="str">
        <f>VLOOKUP(D3286,기본!$D$13:$E$74,2,0)</f>
        <v>MNT JDM</v>
      </c>
      <c r="D3286" t="s">
        <v>1884</v>
      </c>
      <c r="E3286" t="s">
        <v>1156</v>
      </c>
      <c r="F3286" t="s">
        <v>2112</v>
      </c>
      <c r="G3286" s="554">
        <v>16896</v>
      </c>
      <c r="H3286">
        <v>93.959416319999988</v>
      </c>
    </row>
    <row r="3287" spans="2:8">
      <c r="B3287" s="555" t="s">
        <v>2352</v>
      </c>
      <c r="C3287" s="555" t="str">
        <f>VLOOKUP(D3287,기본!$D$13:$E$74,2,0)</f>
        <v>MNT JDM</v>
      </c>
      <c r="D3287" t="s">
        <v>1884</v>
      </c>
      <c r="E3287" t="s">
        <v>1157</v>
      </c>
      <c r="F3287" t="s">
        <v>2208</v>
      </c>
      <c r="G3287" s="554">
        <v>3168</v>
      </c>
      <c r="H3287">
        <v>21.157931519999998</v>
      </c>
    </row>
    <row r="3288" spans="2:8">
      <c r="B3288" s="555" t="s">
        <v>2352</v>
      </c>
      <c r="C3288" s="555" t="str">
        <f>VLOOKUP(D3288,기본!$D$13:$E$74,2,0)</f>
        <v>MNT JDM</v>
      </c>
      <c r="D3288" t="s">
        <v>157</v>
      </c>
      <c r="E3288" t="s">
        <v>709</v>
      </c>
      <c r="F3288" t="s">
        <v>1885</v>
      </c>
      <c r="G3288" s="554">
        <v>6336</v>
      </c>
      <c r="H3288">
        <v>27.900100800000001</v>
      </c>
    </row>
    <row r="3289" spans="2:8">
      <c r="B3289" s="555" t="s">
        <v>2352</v>
      </c>
      <c r="C3289" s="555" t="str">
        <f>VLOOKUP(D3289,기본!$D$13:$E$74,2,0)</f>
        <v>MNT JDM</v>
      </c>
      <c r="D3289" t="s">
        <v>157</v>
      </c>
      <c r="E3289" t="s">
        <v>710</v>
      </c>
      <c r="F3289" t="s">
        <v>1886</v>
      </c>
      <c r="G3289" s="554">
        <v>13948</v>
      </c>
      <c r="H3289">
        <v>72.613534575999992</v>
      </c>
    </row>
    <row r="3290" spans="2:8">
      <c r="B3290" s="555" t="s">
        <v>2352</v>
      </c>
      <c r="C3290" s="555" t="str">
        <f>VLOOKUP(D3290,기본!$D$13:$E$74,2,0)</f>
        <v>MNT JDM</v>
      </c>
      <c r="D3290" t="s">
        <v>157</v>
      </c>
      <c r="E3290" t="s">
        <v>1156</v>
      </c>
      <c r="F3290" t="s">
        <v>1795</v>
      </c>
      <c r="G3290" s="554">
        <v>1056</v>
      </c>
      <c r="H3290">
        <v>5.7230976000000009</v>
      </c>
    </row>
    <row r="3291" spans="2:8">
      <c r="B3291" s="555" t="s">
        <v>2352</v>
      </c>
      <c r="C3291" s="555" t="str">
        <f>VLOOKUP(D3291,기본!$D$13:$E$74,2,0)</f>
        <v>AV JDM</v>
      </c>
      <c r="D3291" t="s">
        <v>1888</v>
      </c>
      <c r="E3291" t="s">
        <v>1842</v>
      </c>
      <c r="F3291" t="s">
        <v>1680</v>
      </c>
      <c r="G3291" s="554">
        <v>28960</v>
      </c>
      <c r="H3291">
        <v>258.12644880000005</v>
      </c>
    </row>
    <row r="3292" spans="2:8">
      <c r="B3292" s="555" t="s">
        <v>2352</v>
      </c>
      <c r="C3292" s="555" t="str">
        <f>VLOOKUP(D3292,기본!$D$13:$E$74,2,0)</f>
        <v>AV JDM</v>
      </c>
      <c r="D3292" t="s">
        <v>1888</v>
      </c>
      <c r="E3292" t="s">
        <v>2104</v>
      </c>
      <c r="F3292" t="s">
        <v>2105</v>
      </c>
      <c r="G3292" s="554">
        <v>560</v>
      </c>
      <c r="H3292">
        <v>5.2452281999999997</v>
      </c>
    </row>
    <row r="3293" spans="2:8">
      <c r="B3293" s="555" t="s">
        <v>2352</v>
      </c>
      <c r="C3293" s="555" t="str">
        <f>VLOOKUP(D3293,기본!$D$13:$E$74,2,0)</f>
        <v>AV JDM</v>
      </c>
      <c r="D3293" t="s">
        <v>1888</v>
      </c>
      <c r="E3293" t="s">
        <v>105</v>
      </c>
      <c r="F3293" t="s">
        <v>104</v>
      </c>
      <c r="G3293" s="554">
        <v>10400</v>
      </c>
      <c r="H3293">
        <v>102.8455494</v>
      </c>
    </row>
    <row r="3294" spans="2:8">
      <c r="B3294" s="555" t="s">
        <v>2352</v>
      </c>
      <c r="C3294" s="555" t="str">
        <f>VLOOKUP(D3294,기본!$D$13:$E$74,2,0)</f>
        <v>AV JDM</v>
      </c>
      <c r="D3294" t="s">
        <v>1888</v>
      </c>
      <c r="E3294" t="s">
        <v>690</v>
      </c>
      <c r="F3294" t="s">
        <v>689</v>
      </c>
      <c r="G3294" s="554">
        <v>2160</v>
      </c>
      <c r="H3294">
        <v>21.81832236</v>
      </c>
    </row>
    <row r="3295" spans="2:8">
      <c r="B3295" s="555" t="s">
        <v>2352</v>
      </c>
      <c r="C3295" s="555" t="str">
        <f>VLOOKUP(D3295,기본!$D$13:$E$74,2,0)</f>
        <v>AV JDM</v>
      </c>
      <c r="D3295" t="s">
        <v>1888</v>
      </c>
      <c r="E3295" t="s">
        <v>1656</v>
      </c>
      <c r="F3295" t="s">
        <v>1656</v>
      </c>
      <c r="G3295" s="554">
        <v>2464</v>
      </c>
      <c r="H3295">
        <v>21.165027519999999</v>
      </c>
    </row>
    <row r="3296" spans="2:8">
      <c r="B3296" s="555" t="s">
        <v>2352</v>
      </c>
      <c r="C3296" s="555" t="str">
        <f>VLOOKUP(D3296,기본!$D$13:$E$74,2,0)</f>
        <v>AV JDM</v>
      </c>
      <c r="D3296" t="s">
        <v>1888</v>
      </c>
      <c r="E3296" t="s">
        <v>1658</v>
      </c>
      <c r="F3296" t="s">
        <v>1658</v>
      </c>
      <c r="G3296" s="554">
        <v>432</v>
      </c>
      <c r="H3296">
        <v>4.0277433599999997</v>
      </c>
    </row>
    <row r="3297" spans="2:8">
      <c r="B3297" s="555" t="s">
        <v>2352</v>
      </c>
      <c r="C3297" s="555" t="str">
        <f>VLOOKUP(D3297,기본!$D$13:$E$74,2,0)</f>
        <v>AV JDM</v>
      </c>
      <c r="D3297" t="s">
        <v>1888</v>
      </c>
      <c r="E3297" t="s">
        <v>1889</v>
      </c>
      <c r="F3297" t="s">
        <v>1890</v>
      </c>
      <c r="G3297" s="554">
        <v>20160</v>
      </c>
      <c r="H3297">
        <v>158.10867071999999</v>
      </c>
    </row>
    <row r="3298" spans="2:8">
      <c r="B3298" s="555" t="s">
        <v>2352</v>
      </c>
      <c r="C3298" s="555" t="str">
        <f>VLOOKUP(D3298,기본!$D$13:$E$74,2,0)</f>
        <v>AV JDM</v>
      </c>
      <c r="D3298" t="s">
        <v>1888</v>
      </c>
      <c r="E3298" t="s">
        <v>2106</v>
      </c>
      <c r="F3298" t="s">
        <v>1256</v>
      </c>
      <c r="G3298" s="554">
        <v>3024</v>
      </c>
      <c r="H3298">
        <v>29.355141312000001</v>
      </c>
    </row>
    <row r="3299" spans="2:8">
      <c r="B3299" s="555" t="s">
        <v>2352</v>
      </c>
      <c r="C3299" s="555" t="str">
        <f>VLOOKUP(D3299,기본!$D$13:$E$74,2,0)</f>
        <v>AV JDM</v>
      </c>
      <c r="D3299" t="s">
        <v>1888</v>
      </c>
      <c r="E3299" t="s">
        <v>1891</v>
      </c>
      <c r="F3299" t="s">
        <v>1892</v>
      </c>
      <c r="G3299" s="554">
        <v>288</v>
      </c>
      <c r="H3299">
        <v>12.233283263999999</v>
      </c>
    </row>
    <row r="3300" spans="2:8">
      <c r="B3300" s="555" t="s">
        <v>2352</v>
      </c>
      <c r="C3300" s="555" t="str">
        <f>VLOOKUP(D3300,기본!$D$13:$E$74,2,0)</f>
        <v>AV JDM</v>
      </c>
      <c r="D3300" t="s">
        <v>1888</v>
      </c>
      <c r="E3300" t="s">
        <v>2209</v>
      </c>
      <c r="F3300" t="s">
        <v>1260</v>
      </c>
      <c r="G3300" s="554">
        <v>1008</v>
      </c>
      <c r="H3300">
        <v>7.3681090560000015</v>
      </c>
    </row>
    <row r="3301" spans="2:8">
      <c r="B3301" s="555" t="s">
        <v>2352</v>
      </c>
      <c r="C3301" s="555" t="str">
        <f>VLOOKUP(D3301,기본!$D$13:$E$74,2,0)</f>
        <v>AV JDM</v>
      </c>
      <c r="D3301" t="s">
        <v>1888</v>
      </c>
      <c r="E3301" t="s">
        <v>1845</v>
      </c>
      <c r="F3301" t="s">
        <v>1340</v>
      </c>
      <c r="G3301" s="554">
        <v>16212</v>
      </c>
      <c r="H3301">
        <v>163.32353767799998</v>
      </c>
    </row>
    <row r="3302" spans="2:8">
      <c r="B3302" s="555" t="s">
        <v>2352</v>
      </c>
      <c r="C3302" s="555" t="str">
        <f>VLOOKUP(D3302,기본!$D$13:$E$74,2,0)</f>
        <v>AV JDM</v>
      </c>
      <c r="D3302" t="s">
        <v>1888</v>
      </c>
      <c r="E3302" t="s">
        <v>1846</v>
      </c>
      <c r="F3302" t="s">
        <v>1341</v>
      </c>
      <c r="G3302" s="554">
        <v>210</v>
      </c>
      <c r="H3302">
        <v>2.3138690820000001</v>
      </c>
    </row>
    <row r="3303" spans="2:8">
      <c r="B3303" s="555" t="s">
        <v>2352</v>
      </c>
      <c r="C3303" s="555" t="str">
        <f>VLOOKUP(D3303,기본!$D$13:$E$74,2,0)</f>
        <v>AV JDM</v>
      </c>
      <c r="D3303" t="s">
        <v>1888</v>
      </c>
      <c r="E3303" t="s">
        <v>1847</v>
      </c>
      <c r="F3303" t="s">
        <v>1336</v>
      </c>
      <c r="G3303" s="554">
        <v>43000</v>
      </c>
      <c r="H3303">
        <v>380.99188500000002</v>
      </c>
    </row>
    <row r="3304" spans="2:8">
      <c r="B3304" s="555" t="s">
        <v>2352</v>
      </c>
      <c r="C3304" s="555" t="str">
        <f>VLOOKUP(D3304,기본!$D$13:$E$74,2,0)</f>
        <v>AV JDM</v>
      </c>
      <c r="D3304" t="s">
        <v>1888</v>
      </c>
      <c r="E3304" t="s">
        <v>1894</v>
      </c>
      <c r="F3304" t="s">
        <v>1337</v>
      </c>
      <c r="G3304" s="554">
        <v>200</v>
      </c>
      <c r="H3304">
        <v>1.9734455999999998</v>
      </c>
    </row>
    <row r="3305" spans="2:8">
      <c r="B3305" s="555" t="s">
        <v>2352</v>
      </c>
      <c r="C3305" s="555" t="str">
        <f>VLOOKUP(D3305,기본!$D$13:$E$74,2,0)</f>
        <v>AV JDM</v>
      </c>
      <c r="D3305" t="s">
        <v>1888</v>
      </c>
      <c r="E3305" t="s">
        <v>1015</v>
      </c>
      <c r="F3305" t="s">
        <v>1015</v>
      </c>
      <c r="G3305" s="554">
        <v>27264</v>
      </c>
      <c r="H3305">
        <v>183.953472</v>
      </c>
    </row>
    <row r="3306" spans="2:8">
      <c r="B3306" s="555" t="s">
        <v>2352</v>
      </c>
      <c r="C3306" s="555" t="str">
        <f>VLOOKUP(D3306,기본!$D$13:$E$74,2,0)</f>
        <v>AV JDM</v>
      </c>
      <c r="D3306" t="s">
        <v>1888</v>
      </c>
      <c r="E3306" t="s">
        <v>2338</v>
      </c>
      <c r="F3306" t="s">
        <v>2338</v>
      </c>
      <c r="G3306" s="554">
        <v>190</v>
      </c>
      <c r="H3306">
        <v>0.9650898</v>
      </c>
    </row>
    <row r="3307" spans="2:8">
      <c r="B3307" s="555" t="s">
        <v>2352</v>
      </c>
      <c r="C3307" s="555" t="str">
        <f>VLOOKUP(D3307,기본!$D$13:$E$74,2,0)</f>
        <v>AV JDM</v>
      </c>
      <c r="D3307" t="s">
        <v>1888</v>
      </c>
      <c r="E3307" t="s">
        <v>1016</v>
      </c>
      <c r="F3307" t="s">
        <v>1016</v>
      </c>
      <c r="G3307" s="554">
        <v>34048</v>
      </c>
      <c r="H3307">
        <v>272.27755347200002</v>
      </c>
    </row>
    <row r="3308" spans="2:8">
      <c r="B3308" s="555" t="s">
        <v>2352</v>
      </c>
      <c r="C3308" s="555" t="str">
        <f>VLOOKUP(D3308,기본!$D$13:$E$74,2,0)</f>
        <v>AV JDM</v>
      </c>
      <c r="D3308" t="s">
        <v>1888</v>
      </c>
      <c r="E3308" t="s">
        <v>1047</v>
      </c>
      <c r="F3308" t="s">
        <v>1047</v>
      </c>
      <c r="G3308" s="554">
        <v>532</v>
      </c>
      <c r="H3308">
        <v>4.6563876359999998</v>
      </c>
    </row>
    <row r="3309" spans="2:8">
      <c r="B3309" s="555" t="s">
        <v>2352</v>
      </c>
      <c r="C3309" s="555" t="str">
        <f>VLOOKUP(D3309,기본!$D$13:$E$74,2,0)</f>
        <v>AV JDM</v>
      </c>
      <c r="D3309" t="s">
        <v>1888</v>
      </c>
      <c r="E3309" t="s">
        <v>2339</v>
      </c>
      <c r="F3309" t="s">
        <v>2339</v>
      </c>
      <c r="G3309" s="554">
        <v>190</v>
      </c>
      <c r="H3309">
        <v>1.0031854500000001</v>
      </c>
    </row>
    <row r="3310" spans="2:8">
      <c r="B3310" s="555" t="s">
        <v>2352</v>
      </c>
      <c r="C3310" s="555" t="str">
        <f>VLOOKUP(D3310,기본!$D$13:$E$74,2,0)</f>
        <v>AV JDM</v>
      </c>
      <c r="D3310" t="s">
        <v>1899</v>
      </c>
      <c r="E3310" t="s">
        <v>436</v>
      </c>
      <c r="F3310" t="s">
        <v>2210</v>
      </c>
      <c r="G3310" s="554">
        <v>12096</v>
      </c>
      <c r="H3310">
        <v>100.71947289599998</v>
      </c>
    </row>
    <row r="3311" spans="2:8">
      <c r="B3311" s="555" t="s">
        <v>2352</v>
      </c>
      <c r="C3311" s="555" t="str">
        <f>VLOOKUP(D3311,기본!$D$13:$E$74,2,0)</f>
        <v>MNT JDM</v>
      </c>
      <c r="D3311" t="s">
        <v>1900</v>
      </c>
      <c r="E3311" t="s">
        <v>709</v>
      </c>
      <c r="F3311" t="s">
        <v>2115</v>
      </c>
      <c r="G3311" s="554">
        <v>40128</v>
      </c>
      <c r="H3311">
        <v>176.53730688000002</v>
      </c>
    </row>
    <row r="3312" spans="2:8">
      <c r="B3312" s="555" t="s">
        <v>2352</v>
      </c>
      <c r="C3312" s="555" t="str">
        <f>VLOOKUP(D3312,기본!$D$13:$E$74,2,0)</f>
        <v>MNT JDM</v>
      </c>
      <c r="D3312" t="s">
        <v>1900</v>
      </c>
      <c r="E3312" t="s">
        <v>1156</v>
      </c>
      <c r="F3312" t="s">
        <v>2116</v>
      </c>
      <c r="G3312" s="554">
        <v>6336</v>
      </c>
      <c r="H3312">
        <v>34.133299199999996</v>
      </c>
    </row>
    <row r="3313" spans="2:8">
      <c r="B3313" s="555" t="s">
        <v>2352</v>
      </c>
      <c r="C3313" s="555" t="str">
        <f>VLOOKUP(D3313,기본!$D$13:$E$74,2,0)</f>
        <v>MNT JDM</v>
      </c>
      <c r="D3313" t="s">
        <v>1900</v>
      </c>
      <c r="E3313" t="s">
        <v>1157</v>
      </c>
      <c r="F3313" t="s">
        <v>2233</v>
      </c>
      <c r="G3313" s="554">
        <v>4224</v>
      </c>
      <c r="H3313">
        <v>27.352528895999999</v>
      </c>
    </row>
    <row r="3314" spans="2:8">
      <c r="B3314" s="555" t="s">
        <v>2352</v>
      </c>
      <c r="C3314" s="555" t="str">
        <f>VLOOKUP(D3314,기본!$D$13:$E$74,2,0)</f>
        <v>한화비전</v>
      </c>
      <c r="D3314" t="s">
        <v>1901</v>
      </c>
      <c r="E3314" t="s">
        <v>2117</v>
      </c>
      <c r="F3314" t="s">
        <v>2118</v>
      </c>
      <c r="G3314" s="554">
        <v>1120</v>
      </c>
      <c r="H3314">
        <v>4.1172544000000002</v>
      </c>
    </row>
    <row r="3315" spans="2:8">
      <c r="B3315" s="555" t="s">
        <v>2352</v>
      </c>
      <c r="C3315" s="555" t="str">
        <f>VLOOKUP(D3315,기본!$D$13:$E$74,2,0)</f>
        <v>한화비전</v>
      </c>
      <c r="D3315" t="s">
        <v>1901</v>
      </c>
      <c r="E3315" t="s">
        <v>1902</v>
      </c>
      <c r="F3315" t="s">
        <v>1903</v>
      </c>
      <c r="G3315" s="554">
        <v>990</v>
      </c>
      <c r="H3315">
        <v>35.435862</v>
      </c>
    </row>
    <row r="3316" spans="2:8">
      <c r="B3316" s="555" t="s">
        <v>2352</v>
      </c>
      <c r="C3316" s="555" t="str">
        <f>VLOOKUP(D3316,기본!$D$13:$E$74,2,0)</f>
        <v>한화비전</v>
      </c>
      <c r="D3316" t="s">
        <v>1901</v>
      </c>
      <c r="E3316" t="s">
        <v>2257</v>
      </c>
      <c r="F3316" t="s">
        <v>2258</v>
      </c>
      <c r="G3316" s="554">
        <v>1584</v>
      </c>
      <c r="H3316">
        <v>30.641379999999998</v>
      </c>
    </row>
    <row r="3317" spans="2:8">
      <c r="B3317" s="555" t="s">
        <v>2352</v>
      </c>
      <c r="C3317" s="555" t="str">
        <f>VLOOKUP(D3317,기본!$D$13:$E$74,2,0)</f>
        <v>MNT JDM</v>
      </c>
      <c r="D3317" t="s">
        <v>2259</v>
      </c>
      <c r="E3317" t="s">
        <v>709</v>
      </c>
      <c r="F3317" t="s">
        <v>1869</v>
      </c>
      <c r="G3317" s="554">
        <v>20064</v>
      </c>
      <c r="H3317">
        <v>89.225651328000012</v>
      </c>
    </row>
    <row r="3318" spans="2:8">
      <c r="B3318" s="555" t="s">
        <v>2352</v>
      </c>
      <c r="C3318" s="555" t="str">
        <f>VLOOKUP(D3318,기본!$D$13:$E$74,2,0)</f>
        <v>MNT JDM</v>
      </c>
      <c r="D3318" t="s">
        <v>2259</v>
      </c>
      <c r="E3318" t="s">
        <v>710</v>
      </c>
      <c r="F3318" t="s">
        <v>1947</v>
      </c>
      <c r="G3318" s="554">
        <v>4224</v>
      </c>
      <c r="H3318">
        <v>22.463181312</v>
      </c>
    </row>
    <row r="3319" spans="2:8">
      <c r="B3319" s="555" t="s">
        <v>2352</v>
      </c>
      <c r="C3319" s="555" t="str">
        <f>VLOOKUP(D3319,기본!$D$13:$E$74,2,0)</f>
        <v>삼성 VD</v>
      </c>
      <c r="D3319" t="s">
        <v>2313</v>
      </c>
      <c r="E3319" t="s">
        <v>2314</v>
      </c>
      <c r="F3319" t="s">
        <v>1834</v>
      </c>
      <c r="G3319" s="554">
        <v>88603</v>
      </c>
      <c r="H3319">
        <v>299.00745474999997</v>
      </c>
    </row>
    <row r="3320" spans="2:8">
      <c r="B3320" s="555" t="s">
        <v>2352</v>
      </c>
      <c r="C3320" s="555" t="str">
        <f>VLOOKUP(D3320,기본!$D$13:$E$74,2,0)</f>
        <v>코웨이</v>
      </c>
      <c r="D3320" t="s">
        <v>1905</v>
      </c>
      <c r="E3320" t="s">
        <v>1906</v>
      </c>
      <c r="F3320" t="s">
        <v>1906</v>
      </c>
      <c r="G3320" s="554">
        <v>21600</v>
      </c>
      <c r="H3320">
        <v>137.38619519999997</v>
      </c>
    </row>
    <row r="3321" spans="2:8">
      <c r="B3321" s="555" t="s">
        <v>2352</v>
      </c>
      <c r="C3321" s="555" t="str">
        <f>VLOOKUP(D3321,기본!$D$13:$E$74,2,0)</f>
        <v>코웨이</v>
      </c>
      <c r="D3321" t="s">
        <v>1905</v>
      </c>
      <c r="E3321" t="s">
        <v>1910</v>
      </c>
      <c r="F3321" t="s">
        <v>1910</v>
      </c>
      <c r="G3321" s="554">
        <v>745</v>
      </c>
      <c r="H3321">
        <v>4.3453108399999998</v>
      </c>
    </row>
    <row r="3322" spans="2:8">
      <c r="B3322" s="555" t="s">
        <v>2352</v>
      </c>
      <c r="C3322" s="555" t="str">
        <f>VLOOKUP(D3322,기본!$D$13:$E$74,2,0)</f>
        <v>코웨이</v>
      </c>
      <c r="D3322" t="s">
        <v>1905</v>
      </c>
      <c r="E3322" t="s">
        <v>2340</v>
      </c>
      <c r="F3322" t="s">
        <v>2340</v>
      </c>
      <c r="G3322" s="554">
        <v>51</v>
      </c>
      <c r="H3322">
        <v>0.52670882400000008</v>
      </c>
    </row>
    <row r="3323" spans="2:8">
      <c r="B3323" s="555" t="s">
        <v>2352</v>
      </c>
      <c r="C3323" s="555" t="str">
        <f>VLOOKUP(D3323,기본!$D$13:$E$74,2,0)</f>
        <v>코웨이</v>
      </c>
      <c r="D3323" t="s">
        <v>1905</v>
      </c>
      <c r="E3323" t="s">
        <v>1116</v>
      </c>
      <c r="F3323" t="s">
        <v>1116</v>
      </c>
      <c r="G3323" s="554">
        <v>125</v>
      </c>
      <c r="H3323">
        <v>1.0694490000000001</v>
      </c>
    </row>
    <row r="3324" spans="2:8">
      <c r="B3324" s="555" t="s">
        <v>2352</v>
      </c>
      <c r="C3324" s="555" t="str">
        <f>VLOOKUP(D3324,기본!$D$13:$E$74,2,0)</f>
        <v>코웨이</v>
      </c>
      <c r="D3324" t="s">
        <v>1905</v>
      </c>
      <c r="E3324" t="s">
        <v>2341</v>
      </c>
      <c r="F3324" t="s">
        <v>2341</v>
      </c>
      <c r="G3324" s="554">
        <v>60</v>
      </c>
      <c r="H3324">
        <v>0.53742408000000008</v>
      </c>
    </row>
    <row r="3325" spans="2:8">
      <c r="B3325" s="555" t="s">
        <v>2352</v>
      </c>
      <c r="C3325" s="555" t="str">
        <f>VLOOKUP(D3325,기본!$D$13:$E$74,2,0)</f>
        <v>삼성 VD</v>
      </c>
      <c r="D3325" t="s">
        <v>1912</v>
      </c>
      <c r="E3325" t="s">
        <v>1164</v>
      </c>
      <c r="F3325" t="s">
        <v>1850</v>
      </c>
      <c r="G3325" s="554">
        <v>522</v>
      </c>
      <c r="H3325">
        <v>14.211658799999999</v>
      </c>
    </row>
    <row r="3326" spans="2:8">
      <c r="B3326" s="555" t="s">
        <v>2352</v>
      </c>
      <c r="C3326" s="555" t="str">
        <f>VLOOKUP(D3326,기본!$D$13:$E$74,2,0)</f>
        <v>삼성 VD</v>
      </c>
      <c r="D3326" t="s">
        <v>1912</v>
      </c>
      <c r="E3326" t="s">
        <v>1853</v>
      </c>
      <c r="F3326" t="s">
        <v>1854</v>
      </c>
      <c r="G3326" s="554">
        <v>450</v>
      </c>
      <c r="H3326">
        <v>6.2252190000000001</v>
      </c>
    </row>
    <row r="3327" spans="2:8">
      <c r="B3327" s="555" t="s">
        <v>2352</v>
      </c>
      <c r="C3327" s="555" t="str">
        <f>VLOOKUP(D3327,기본!$D$13:$E$74,2,0)</f>
        <v>삼성 VD</v>
      </c>
      <c r="D3327" t="s">
        <v>1912</v>
      </c>
      <c r="E3327" t="s">
        <v>1855</v>
      </c>
      <c r="F3327" t="s">
        <v>1856</v>
      </c>
      <c r="G3327" s="554">
        <v>23</v>
      </c>
      <c r="H3327">
        <v>0.32548864</v>
      </c>
    </row>
    <row r="3328" spans="2:8">
      <c r="B3328" s="555" t="s">
        <v>2352</v>
      </c>
      <c r="C3328" s="555" t="str">
        <f>VLOOKUP(D3328,기본!$D$13:$E$74,2,0)</f>
        <v>삼성 VD</v>
      </c>
      <c r="D3328" t="s">
        <v>1912</v>
      </c>
      <c r="E3328" t="s">
        <v>1874</v>
      </c>
      <c r="F3328" t="s">
        <v>1875</v>
      </c>
      <c r="G3328" s="554">
        <v>1081</v>
      </c>
      <c r="H3328">
        <v>16.657745169999998</v>
      </c>
    </row>
    <row r="3329" spans="2:8">
      <c r="B3329" s="555" t="s">
        <v>2352</v>
      </c>
      <c r="C3329" s="555" t="str">
        <f>VLOOKUP(D3329,기본!$D$13:$E$74,2,0)</f>
        <v>삼성 VD</v>
      </c>
      <c r="D3329" t="s">
        <v>1912</v>
      </c>
      <c r="E3329" t="s">
        <v>1788</v>
      </c>
      <c r="F3329" t="s">
        <v>1913</v>
      </c>
      <c r="G3329" s="554">
        <v>76160</v>
      </c>
      <c r="H3329">
        <v>876.4762364799999</v>
      </c>
    </row>
    <row r="3330" spans="2:8">
      <c r="B3330" s="555" t="s">
        <v>2352</v>
      </c>
      <c r="C3330" s="555" t="str">
        <f>VLOOKUP(D3330,기본!$D$13:$E$74,2,0)</f>
        <v>삼성 VD</v>
      </c>
      <c r="D3330" t="s">
        <v>1912</v>
      </c>
      <c r="E3330" t="s">
        <v>1790</v>
      </c>
      <c r="F3330" t="s">
        <v>1914</v>
      </c>
      <c r="G3330" s="554">
        <v>7056</v>
      </c>
      <c r="H3330">
        <v>91.078001279999981</v>
      </c>
    </row>
    <row r="3331" spans="2:8">
      <c r="B3331" s="555" t="s">
        <v>2352</v>
      </c>
      <c r="C3331" s="555" t="str">
        <f>VLOOKUP(D3331,기본!$D$13:$E$74,2,0)</f>
        <v>삼성 VD</v>
      </c>
      <c r="D3331" t="s">
        <v>1912</v>
      </c>
      <c r="E3331" t="s">
        <v>1792</v>
      </c>
      <c r="F3331" t="s">
        <v>1915</v>
      </c>
      <c r="G3331" s="554">
        <v>6480</v>
      </c>
      <c r="H3331">
        <v>109.8721584</v>
      </c>
    </row>
    <row r="3332" spans="2:8">
      <c r="B3332" s="555" t="s">
        <v>2352</v>
      </c>
      <c r="C3332" s="555" t="str">
        <f>VLOOKUP(D3332,기본!$D$13:$E$74,2,0)</f>
        <v>삼성 VD</v>
      </c>
      <c r="D3332" t="s">
        <v>1916</v>
      </c>
      <c r="E3332" t="s">
        <v>1851</v>
      </c>
      <c r="F3332" t="s">
        <v>1852</v>
      </c>
      <c r="G3332" s="554">
        <v>1168</v>
      </c>
      <c r="H3332">
        <v>8.5117140799999991</v>
      </c>
    </row>
    <row r="3333" spans="2:8">
      <c r="B3333" s="555" t="s">
        <v>2352</v>
      </c>
      <c r="C3333" s="555" t="str">
        <f>VLOOKUP(D3333,기본!$D$13:$E$74,2,0)</f>
        <v>삼성 VD</v>
      </c>
      <c r="D3333" t="s">
        <v>1916</v>
      </c>
      <c r="E3333" t="s">
        <v>2260</v>
      </c>
      <c r="F3333" t="s">
        <v>1774</v>
      </c>
      <c r="G3333" s="554">
        <v>2010</v>
      </c>
      <c r="H3333">
        <v>21.838604759999999</v>
      </c>
    </row>
    <row r="3334" spans="2:8">
      <c r="B3334" s="555" t="s">
        <v>2352</v>
      </c>
      <c r="C3334" s="555" t="str">
        <f>VLOOKUP(D3334,기본!$D$13:$E$74,2,0)</f>
        <v>삼성 VD</v>
      </c>
      <c r="D3334" t="s">
        <v>1916</v>
      </c>
      <c r="E3334" t="s">
        <v>1788</v>
      </c>
      <c r="F3334" t="s">
        <v>1913</v>
      </c>
      <c r="G3334" s="554">
        <v>4392</v>
      </c>
      <c r="H3334">
        <v>51.296978016000004</v>
      </c>
    </row>
    <row r="3335" spans="2:8">
      <c r="B3335" s="555" t="s">
        <v>2352</v>
      </c>
      <c r="C3335" s="555" t="str">
        <f>VLOOKUP(D3335,기본!$D$13:$E$74,2,0)</f>
        <v>삼성 VD</v>
      </c>
      <c r="D3335" t="s">
        <v>1916</v>
      </c>
      <c r="E3335" t="s">
        <v>1778</v>
      </c>
      <c r="F3335" t="s">
        <v>1919</v>
      </c>
      <c r="G3335" s="554">
        <v>18000</v>
      </c>
      <c r="H3335">
        <v>230.24952576000001</v>
      </c>
    </row>
    <row r="3336" spans="2:8">
      <c r="B3336" s="555" t="s">
        <v>2352</v>
      </c>
      <c r="C3336" s="555" t="str">
        <f>VLOOKUP(D3336,기본!$D$13:$E$74,2,0)</f>
        <v>삼성 VD</v>
      </c>
      <c r="D3336" t="s">
        <v>1916</v>
      </c>
      <c r="E3336" t="s">
        <v>1790</v>
      </c>
      <c r="F3336" t="s">
        <v>1914</v>
      </c>
      <c r="G3336" s="554">
        <v>1584</v>
      </c>
      <c r="H3336">
        <v>20.446081919999997</v>
      </c>
    </row>
    <row r="3337" spans="2:8">
      <c r="B3337" s="555" t="s">
        <v>2352</v>
      </c>
      <c r="C3337" s="555" t="str">
        <f>VLOOKUP(D3337,기본!$D$13:$E$74,2,0)</f>
        <v>삼성 VD</v>
      </c>
      <c r="D3337" t="s">
        <v>1916</v>
      </c>
      <c r="E3337" t="s">
        <v>1779</v>
      </c>
      <c r="F3337" t="s">
        <v>1920</v>
      </c>
      <c r="G3337" s="554">
        <v>28413</v>
      </c>
      <c r="H3337">
        <v>407.35344137400006</v>
      </c>
    </row>
    <row r="3338" spans="2:8">
      <c r="B3338" s="555" t="s">
        <v>2352</v>
      </c>
      <c r="C3338" s="555" t="str">
        <f>VLOOKUP(D3338,기본!$D$13:$E$74,2,0)</f>
        <v>삼성 VD</v>
      </c>
      <c r="D3338" t="s">
        <v>1916</v>
      </c>
      <c r="E3338" t="s">
        <v>1792</v>
      </c>
      <c r="F3338" t="s">
        <v>1915</v>
      </c>
      <c r="G3338" s="554">
        <v>10746</v>
      </c>
      <c r="H3338">
        <v>179.83786968000001</v>
      </c>
    </row>
    <row r="3339" spans="2:8">
      <c r="B3339" s="555" t="s">
        <v>2352</v>
      </c>
      <c r="C3339" s="555" t="str">
        <f>VLOOKUP(D3339,기본!$D$13:$E$74,2,0)</f>
        <v>삼성 VD</v>
      </c>
      <c r="D3339" t="s">
        <v>1916</v>
      </c>
      <c r="E3339" t="s">
        <v>1921</v>
      </c>
      <c r="F3339" t="s">
        <v>1922</v>
      </c>
      <c r="G3339" s="554">
        <v>2124</v>
      </c>
      <c r="H3339">
        <v>47.194071551999997</v>
      </c>
    </row>
    <row r="3340" spans="2:8">
      <c r="B3340" s="555" t="s">
        <v>2352</v>
      </c>
      <c r="C3340" s="555" t="str">
        <f>VLOOKUP(D3340,기본!$D$13:$E$74,2,0)</f>
        <v>삼성 VD</v>
      </c>
      <c r="D3340" t="s">
        <v>1916</v>
      </c>
      <c r="E3340" t="s">
        <v>1923</v>
      </c>
      <c r="F3340" t="s">
        <v>1924</v>
      </c>
      <c r="G3340" s="554">
        <v>8162</v>
      </c>
      <c r="H3340">
        <v>37.099732560000007</v>
      </c>
    </row>
    <row r="3341" spans="2:8">
      <c r="B3341" s="555" t="s">
        <v>2352</v>
      </c>
      <c r="C3341" s="555" t="str">
        <f>VLOOKUP(D3341,기본!$D$13:$E$74,2,0)</f>
        <v>삼성 VD</v>
      </c>
      <c r="D3341" t="s">
        <v>1927</v>
      </c>
      <c r="E3341" t="s">
        <v>2119</v>
      </c>
      <c r="F3341" t="s">
        <v>2120</v>
      </c>
      <c r="G3341" s="554">
        <v>13968</v>
      </c>
      <c r="H3341">
        <v>270.67898880000001</v>
      </c>
    </row>
    <row r="3342" spans="2:8">
      <c r="B3342" s="555" t="s">
        <v>2352</v>
      </c>
      <c r="C3342" s="555" t="str">
        <f>VLOOKUP(D3342,기본!$D$13:$E$74,2,0)</f>
        <v>삼성 VD</v>
      </c>
      <c r="D3342" t="s">
        <v>1927</v>
      </c>
      <c r="E3342" t="s">
        <v>2121</v>
      </c>
      <c r="F3342" t="s">
        <v>874</v>
      </c>
      <c r="G3342" s="554">
        <v>288</v>
      </c>
      <c r="H3342">
        <v>5.6318932799999981</v>
      </c>
    </row>
    <row r="3343" spans="2:8">
      <c r="B3343" s="555" t="s">
        <v>2352</v>
      </c>
      <c r="C3343" s="555" t="str">
        <f>VLOOKUP(D3343,기본!$D$13:$E$74,2,0)</f>
        <v>삼성 VD</v>
      </c>
      <c r="D3343" t="s">
        <v>1927</v>
      </c>
      <c r="E3343" t="s">
        <v>1165</v>
      </c>
      <c r="F3343" t="s">
        <v>1882</v>
      </c>
      <c r="G3343" s="554">
        <v>3060</v>
      </c>
      <c r="H3343">
        <v>91.636649460000001</v>
      </c>
    </row>
    <row r="3344" spans="2:8">
      <c r="B3344" s="555" t="s">
        <v>2352</v>
      </c>
      <c r="C3344" s="555" t="str">
        <f>VLOOKUP(D3344,기본!$D$13:$E$74,2,0)</f>
        <v>삼성 VD</v>
      </c>
      <c r="D3344" t="s">
        <v>1927</v>
      </c>
      <c r="E3344" t="s">
        <v>1851</v>
      </c>
      <c r="F3344" t="s">
        <v>1852</v>
      </c>
      <c r="G3344" s="554">
        <v>4032</v>
      </c>
      <c r="H3344">
        <v>30.419004960000002</v>
      </c>
    </row>
    <row r="3345" spans="2:8">
      <c r="B3345" s="555" t="s">
        <v>2352</v>
      </c>
      <c r="C3345" s="555" t="str">
        <f>VLOOKUP(D3345,기본!$D$13:$E$74,2,0)</f>
        <v>삼성 VD</v>
      </c>
      <c r="D3345" t="s">
        <v>1927</v>
      </c>
      <c r="E3345" t="s">
        <v>1874</v>
      </c>
      <c r="F3345" t="s">
        <v>1875</v>
      </c>
      <c r="G3345" s="554">
        <v>1656</v>
      </c>
      <c r="H3345">
        <v>25.287453223999997</v>
      </c>
    </row>
    <row r="3346" spans="2:8">
      <c r="B3346" s="555" t="s">
        <v>2352</v>
      </c>
      <c r="C3346" s="555" t="str">
        <f>VLOOKUP(D3346,기본!$D$13:$E$74,2,0)</f>
        <v>삼성 VD</v>
      </c>
      <c r="D3346" t="s">
        <v>1927</v>
      </c>
      <c r="E3346" t="s">
        <v>1928</v>
      </c>
      <c r="F3346" t="s">
        <v>1929</v>
      </c>
      <c r="G3346" s="554">
        <v>900</v>
      </c>
      <c r="H3346">
        <v>9.1221400799999994</v>
      </c>
    </row>
    <row r="3347" spans="2:8">
      <c r="B3347" s="555" t="s">
        <v>2352</v>
      </c>
      <c r="C3347" s="555" t="str">
        <f>VLOOKUP(D3347,기본!$D$13:$E$74,2,0)</f>
        <v>삼성 VD</v>
      </c>
      <c r="D3347" t="s">
        <v>1927</v>
      </c>
      <c r="E3347" t="s">
        <v>1036</v>
      </c>
      <c r="F3347" t="s">
        <v>1035</v>
      </c>
      <c r="G3347" s="554">
        <v>415</v>
      </c>
      <c r="H3347">
        <v>4.5400391500000001</v>
      </c>
    </row>
    <row r="3348" spans="2:8">
      <c r="B3348" s="555" t="s">
        <v>2352</v>
      </c>
      <c r="C3348" s="555" t="str">
        <f>VLOOKUP(D3348,기본!$D$13:$E$74,2,0)</f>
        <v>삼성 VD</v>
      </c>
      <c r="D3348" t="s">
        <v>1927</v>
      </c>
      <c r="E3348" t="s">
        <v>1859</v>
      </c>
      <c r="F3348" t="s">
        <v>1860</v>
      </c>
      <c r="G3348" s="554">
        <v>6456</v>
      </c>
      <c r="H3348">
        <v>114.57926577599999</v>
      </c>
    </row>
    <row r="3349" spans="2:8">
      <c r="B3349" s="555" t="s">
        <v>2352</v>
      </c>
      <c r="C3349" s="555" t="str">
        <f>VLOOKUP(D3349,기본!$D$13:$E$74,2,0)</f>
        <v>삼성 VD</v>
      </c>
      <c r="D3349" t="s">
        <v>1927</v>
      </c>
      <c r="E3349" t="s">
        <v>1309</v>
      </c>
      <c r="F3349" t="s">
        <v>1308</v>
      </c>
      <c r="G3349" s="554">
        <v>1440</v>
      </c>
      <c r="H3349">
        <v>31.135308479999999</v>
      </c>
    </row>
    <row r="3350" spans="2:8">
      <c r="B3350" s="555" t="s">
        <v>2352</v>
      </c>
      <c r="C3350" s="555" t="str">
        <f>VLOOKUP(D3350,기본!$D$13:$E$74,2,0)</f>
        <v>삼성 VD</v>
      </c>
      <c r="D3350" t="s">
        <v>1927</v>
      </c>
      <c r="E3350" t="s">
        <v>1311</v>
      </c>
      <c r="F3350" t="s">
        <v>1310</v>
      </c>
      <c r="G3350" s="554">
        <v>432</v>
      </c>
      <c r="H3350">
        <v>10.358913311999999</v>
      </c>
    </row>
    <row r="3351" spans="2:8">
      <c r="B3351" s="555" t="s">
        <v>2352</v>
      </c>
      <c r="C3351" s="555" t="str">
        <f>VLOOKUP(D3351,기본!$D$13:$E$74,2,0)</f>
        <v>삼성 VD</v>
      </c>
      <c r="D3351" t="s">
        <v>1927</v>
      </c>
      <c r="E3351" t="s">
        <v>1313</v>
      </c>
      <c r="F3351" t="s">
        <v>1312</v>
      </c>
      <c r="G3351" s="554">
        <v>1704</v>
      </c>
      <c r="H3351">
        <v>37.991733744000001</v>
      </c>
    </row>
    <row r="3352" spans="2:8">
      <c r="B3352" s="555" t="s">
        <v>2352</v>
      </c>
      <c r="C3352" s="555" t="str">
        <f>VLOOKUP(D3352,기본!$D$13:$E$74,2,0)</f>
        <v>삼성 VD</v>
      </c>
      <c r="D3352" t="s">
        <v>1927</v>
      </c>
      <c r="E3352" t="s">
        <v>1865</v>
      </c>
      <c r="F3352" t="s">
        <v>1866</v>
      </c>
      <c r="G3352" s="554">
        <v>4992</v>
      </c>
      <c r="H3352">
        <v>197.04038400000002</v>
      </c>
    </row>
    <row r="3353" spans="2:8">
      <c r="B3353" s="555" t="s">
        <v>2352</v>
      </c>
      <c r="C3353" s="555" t="str">
        <f>VLOOKUP(D3353,기본!$D$13:$E$74,2,0)</f>
        <v>삼성 VD</v>
      </c>
      <c r="D3353" t="s">
        <v>1927</v>
      </c>
      <c r="E3353" t="s">
        <v>1932</v>
      </c>
      <c r="F3353" t="s">
        <v>1933</v>
      </c>
      <c r="G3353" s="554">
        <v>7344</v>
      </c>
      <c r="H3353">
        <v>120.922157016</v>
      </c>
    </row>
    <row r="3354" spans="2:8">
      <c r="B3354" s="555" t="s">
        <v>2352</v>
      </c>
      <c r="C3354" s="555" t="str">
        <f>VLOOKUP(D3354,기본!$D$13:$E$74,2,0)</f>
        <v>삼성 VD</v>
      </c>
      <c r="D3354" t="s">
        <v>1927</v>
      </c>
      <c r="E3354" t="s">
        <v>1786</v>
      </c>
      <c r="F3354" t="s">
        <v>1671</v>
      </c>
      <c r="G3354" s="554">
        <v>1010</v>
      </c>
      <c r="H3354">
        <v>11.002920036000001</v>
      </c>
    </row>
    <row r="3355" spans="2:8">
      <c r="B3355" s="555" t="s">
        <v>2352</v>
      </c>
      <c r="C3355" s="555" t="str">
        <f>VLOOKUP(D3355,기본!$D$13:$E$74,2,0)</f>
        <v>삼성 VD</v>
      </c>
      <c r="D3355" t="s">
        <v>1927</v>
      </c>
      <c r="E3355" t="s">
        <v>2272</v>
      </c>
      <c r="F3355" t="s">
        <v>1785</v>
      </c>
      <c r="G3355" s="554">
        <v>7859</v>
      </c>
      <c r="H3355">
        <v>86.301825302999987</v>
      </c>
    </row>
    <row r="3356" spans="2:8">
      <c r="B3356" s="555" t="s">
        <v>2352</v>
      </c>
      <c r="C3356" s="555" t="str">
        <f>VLOOKUP(D3356,기본!$D$13:$E$74,2,0)</f>
        <v>삼성 VD</v>
      </c>
      <c r="D3356" t="s">
        <v>1927</v>
      </c>
      <c r="E3356" t="s">
        <v>2337</v>
      </c>
      <c r="F3356" t="s">
        <v>2267</v>
      </c>
      <c r="G3356" s="554">
        <v>26895</v>
      </c>
      <c r="H3356">
        <v>137.80042768799998</v>
      </c>
    </row>
    <row r="3357" spans="2:8">
      <c r="B3357" s="555" t="s">
        <v>2352</v>
      </c>
      <c r="C3357" s="555" t="str">
        <f>VLOOKUP(D3357,기본!$D$13:$E$74,2,0)</f>
        <v>삼성 VD</v>
      </c>
      <c r="D3357" t="s">
        <v>1927</v>
      </c>
      <c r="E3357" t="s">
        <v>2342</v>
      </c>
      <c r="F3357" t="s">
        <v>1815</v>
      </c>
      <c r="G3357" s="554">
        <v>2180</v>
      </c>
      <c r="H3357">
        <v>12.896742528000001</v>
      </c>
    </row>
    <row r="3358" spans="2:8">
      <c r="B3358" s="555" t="s">
        <v>2352</v>
      </c>
      <c r="C3358" s="555" t="str">
        <f>VLOOKUP(D3358,기본!$D$13:$E$74,2,0)</f>
        <v>삼성 VD</v>
      </c>
      <c r="D3358" t="s">
        <v>1927</v>
      </c>
      <c r="E3358" t="s">
        <v>2343</v>
      </c>
      <c r="F3358" t="s">
        <v>1816</v>
      </c>
      <c r="G3358" s="554">
        <v>175</v>
      </c>
      <c r="H3358">
        <v>1.2049000440000002</v>
      </c>
    </row>
    <row r="3359" spans="2:8">
      <c r="B3359" s="555" t="s">
        <v>2352</v>
      </c>
      <c r="C3359" s="555" t="str">
        <f>VLOOKUP(D3359,기본!$D$13:$E$74,2,0)</f>
        <v>삼성 VD</v>
      </c>
      <c r="D3359" t="s">
        <v>1927</v>
      </c>
      <c r="E3359" t="s">
        <v>1936</v>
      </c>
      <c r="F3359" t="s">
        <v>1937</v>
      </c>
      <c r="G3359" s="554">
        <v>1052</v>
      </c>
      <c r="H3359">
        <v>5.8847088080000001</v>
      </c>
    </row>
    <row r="3360" spans="2:8">
      <c r="B3360" s="555" t="s">
        <v>2352</v>
      </c>
      <c r="C3360" s="555" t="str">
        <f>VLOOKUP(D3360,기본!$D$13:$E$74,2,0)</f>
        <v>삼성 VD</v>
      </c>
      <c r="D3360" t="s">
        <v>1927</v>
      </c>
      <c r="E3360" t="s">
        <v>1923</v>
      </c>
      <c r="F3360" t="s">
        <v>1924</v>
      </c>
      <c r="G3360" s="554">
        <v>836</v>
      </c>
      <c r="H3360">
        <v>3.7769424000000003</v>
      </c>
    </row>
    <row r="3361" spans="2:8">
      <c r="B3361" s="555" t="s">
        <v>2352</v>
      </c>
      <c r="C3361" s="555" t="str">
        <f>VLOOKUP(D3361,기본!$D$13:$E$74,2,0)</f>
        <v>삼성 VD</v>
      </c>
      <c r="D3361" t="s">
        <v>1927</v>
      </c>
      <c r="E3361" t="s">
        <v>1938</v>
      </c>
      <c r="F3361" t="s">
        <v>1939</v>
      </c>
      <c r="G3361" s="554">
        <v>14740</v>
      </c>
      <c r="H3361">
        <v>80.803651213999999</v>
      </c>
    </row>
    <row r="3362" spans="2:8">
      <c r="B3362" s="555" t="s">
        <v>2352</v>
      </c>
      <c r="C3362" s="555" t="str">
        <f>VLOOKUP(D3362,기본!$D$13:$E$74,2,0)</f>
        <v>삼성 VD</v>
      </c>
      <c r="D3362" t="s">
        <v>1927</v>
      </c>
      <c r="E3362" t="s">
        <v>1925</v>
      </c>
      <c r="F3362" t="s">
        <v>1926</v>
      </c>
      <c r="G3362" s="554">
        <v>1764</v>
      </c>
      <c r="H3362">
        <v>14.813645615999999</v>
      </c>
    </row>
    <row r="3363" spans="2:8">
      <c r="B3363" s="555" t="s">
        <v>2352</v>
      </c>
      <c r="C3363" s="555" t="str">
        <f>VLOOKUP(D3363,기본!$D$13:$E$74,2,0)</f>
        <v>삼성 VD</v>
      </c>
      <c r="D3363" t="s">
        <v>1927</v>
      </c>
      <c r="E3363" t="s">
        <v>709</v>
      </c>
      <c r="F3363" t="s">
        <v>1869</v>
      </c>
      <c r="G3363" s="554">
        <v>73392</v>
      </c>
      <c r="H3363">
        <v>250.55692200000001</v>
      </c>
    </row>
    <row r="3364" spans="2:8">
      <c r="B3364" s="555" t="s">
        <v>2352</v>
      </c>
      <c r="C3364" s="555" t="str">
        <f>VLOOKUP(D3364,기본!$D$13:$E$74,2,0)</f>
        <v>삼성 VD</v>
      </c>
      <c r="D3364" t="s">
        <v>1927</v>
      </c>
      <c r="E3364" t="s">
        <v>710</v>
      </c>
      <c r="F3364" t="s">
        <v>1947</v>
      </c>
      <c r="G3364" s="554">
        <v>34848</v>
      </c>
      <c r="H3364">
        <v>160.66032285599999</v>
      </c>
    </row>
    <row r="3365" spans="2:8">
      <c r="B3365" s="555" t="s">
        <v>2352</v>
      </c>
      <c r="C3365" s="555" t="str">
        <f>VLOOKUP(D3365,기본!$D$13:$E$74,2,0)</f>
        <v>삼성 VD</v>
      </c>
      <c r="D3365" t="s">
        <v>1927</v>
      </c>
      <c r="E3365" t="s">
        <v>1157</v>
      </c>
      <c r="F3365" t="s">
        <v>1887</v>
      </c>
      <c r="G3365" s="554">
        <v>660</v>
      </c>
      <c r="H3365">
        <v>3.2132179199999995</v>
      </c>
    </row>
    <row r="3366" spans="2:8">
      <c r="B3366" s="555" t="s">
        <v>2352</v>
      </c>
      <c r="C3366" s="555" t="str">
        <f>VLOOKUP(D3366,기본!$D$13:$E$74,2,0)</f>
        <v>삼성 VD</v>
      </c>
      <c r="D3366" t="s">
        <v>1927</v>
      </c>
      <c r="E3366" t="s">
        <v>2235</v>
      </c>
      <c r="F3366" t="s">
        <v>2236</v>
      </c>
      <c r="G3366" s="554">
        <v>5808</v>
      </c>
      <c r="H3366">
        <v>27.081503328</v>
      </c>
    </row>
    <row r="3367" spans="2:8">
      <c r="B3367" s="555" t="s">
        <v>2352</v>
      </c>
      <c r="C3367" s="555" t="str">
        <f>VLOOKUP(D3367,기본!$D$13:$E$74,2,0)</f>
        <v>삼성 생활가전</v>
      </c>
      <c r="D3367" t="s">
        <v>1942</v>
      </c>
      <c r="E3367" t="s">
        <v>1943</v>
      </c>
      <c r="F3367" t="s">
        <v>1943</v>
      </c>
      <c r="G3367" s="554">
        <v>48384</v>
      </c>
      <c r="H3367">
        <v>356.49006335999997</v>
      </c>
    </row>
    <row r="3368" spans="2:8">
      <c r="B3368" s="555" t="s">
        <v>2352</v>
      </c>
      <c r="C3368" s="555" t="str">
        <f>VLOOKUP(D3368,기본!$D$13:$E$74,2,0)</f>
        <v>삼성 생활가전</v>
      </c>
      <c r="D3368" t="s">
        <v>1942</v>
      </c>
      <c r="E3368" t="s">
        <v>2273</v>
      </c>
      <c r="F3368" t="s">
        <v>2273</v>
      </c>
      <c r="G3368" s="554">
        <v>5580</v>
      </c>
      <c r="H3368">
        <v>41.836521599999998</v>
      </c>
    </row>
    <row r="3369" spans="2:8">
      <c r="B3369" s="555" t="s">
        <v>2352</v>
      </c>
      <c r="C3369" s="555" t="str">
        <f>VLOOKUP(D3369,기본!$D$13:$E$74,2,0)</f>
        <v>삼성 생활가전</v>
      </c>
      <c r="D3369" t="s">
        <v>1942</v>
      </c>
      <c r="E3369" t="s">
        <v>1944</v>
      </c>
      <c r="F3369" t="s">
        <v>1944</v>
      </c>
      <c r="G3369" s="554">
        <v>2016</v>
      </c>
      <c r="H3369">
        <v>15.155919359999999</v>
      </c>
    </row>
    <row r="3370" spans="2:8">
      <c r="B3370" s="555" t="s">
        <v>2352</v>
      </c>
      <c r="C3370" s="555" t="str">
        <f>VLOOKUP(D3370,기본!$D$13:$E$74,2,0)</f>
        <v>삼성 생활가전</v>
      </c>
      <c r="D3370" t="s">
        <v>1942</v>
      </c>
      <c r="E3370" t="s">
        <v>2237</v>
      </c>
      <c r="F3370" t="s">
        <v>2237</v>
      </c>
      <c r="G3370" s="554">
        <v>384</v>
      </c>
      <c r="H3370">
        <v>2.8209254400000008</v>
      </c>
    </row>
    <row r="3371" spans="2:8">
      <c r="B3371" s="555" t="s">
        <v>2352</v>
      </c>
      <c r="C3371" s="555" t="str">
        <f>VLOOKUP(D3371,기본!$D$13:$E$74,2,0)</f>
        <v>삼성 생활가전</v>
      </c>
      <c r="D3371" t="s">
        <v>1942</v>
      </c>
      <c r="E3371" t="s">
        <v>2274</v>
      </c>
      <c r="F3371" t="s">
        <v>2274</v>
      </c>
      <c r="G3371" s="554">
        <v>3456</v>
      </c>
      <c r="H3371">
        <v>27.224294400000002</v>
      </c>
    </row>
    <row r="3372" spans="2:8">
      <c r="B3372" s="555" t="s">
        <v>2352</v>
      </c>
      <c r="C3372" s="555" t="str">
        <f>VLOOKUP(D3372,기본!$D$13:$E$74,2,0)</f>
        <v>삼성 생활가전</v>
      </c>
      <c r="D3372" t="s">
        <v>1942</v>
      </c>
      <c r="E3372" t="s">
        <v>2344</v>
      </c>
      <c r="F3372" t="s">
        <v>2344</v>
      </c>
      <c r="G3372" s="554">
        <v>1056</v>
      </c>
      <c r="H3372">
        <v>8.2913107199999985</v>
      </c>
    </row>
    <row r="3373" spans="2:8">
      <c r="B3373" s="555" t="s">
        <v>2352</v>
      </c>
      <c r="C3373" s="555" t="str">
        <f>VLOOKUP(D3373,기본!$D$13:$E$74,2,0)</f>
        <v>삼성 생활가전</v>
      </c>
      <c r="D3373" t="s">
        <v>1942</v>
      </c>
      <c r="E3373" t="s">
        <v>1945</v>
      </c>
      <c r="F3373" t="s">
        <v>1945</v>
      </c>
      <c r="G3373" s="554">
        <v>27648</v>
      </c>
      <c r="H3373">
        <v>224.39926216000001</v>
      </c>
    </row>
    <row r="3374" spans="2:8">
      <c r="B3374" s="555" t="s">
        <v>2352</v>
      </c>
      <c r="C3374" s="555" t="str">
        <f>VLOOKUP(D3374,기본!$D$13:$E$74,2,0)</f>
        <v>삼성 생활가전</v>
      </c>
      <c r="D3374" t="s">
        <v>1942</v>
      </c>
      <c r="E3374" t="s">
        <v>2264</v>
      </c>
      <c r="F3374" t="s">
        <v>2264</v>
      </c>
      <c r="G3374" s="554">
        <v>714</v>
      </c>
      <c r="H3374">
        <v>5.8216463999999997</v>
      </c>
    </row>
    <row r="3375" spans="2:8">
      <c r="B3375" s="555" t="s">
        <v>2352</v>
      </c>
      <c r="C3375" s="555" t="str">
        <f>VLOOKUP(D3375,기본!$D$13:$E$74,2,0)</f>
        <v>삼성 생활가전</v>
      </c>
      <c r="D3375" t="s">
        <v>1942</v>
      </c>
      <c r="E3375" t="s">
        <v>1975</v>
      </c>
      <c r="F3375" t="s">
        <v>1975</v>
      </c>
      <c r="G3375" s="554">
        <v>5664</v>
      </c>
      <c r="H3375">
        <v>48.945664512000008</v>
      </c>
    </row>
    <row r="3376" spans="2:8">
      <c r="B3376" s="555" t="s">
        <v>2352</v>
      </c>
      <c r="C3376" s="555" t="str">
        <f>VLOOKUP(D3376,기본!$D$13:$E$74,2,0)</f>
        <v>삼성 생활가전</v>
      </c>
      <c r="D3376" t="s">
        <v>1942</v>
      </c>
      <c r="E3376" t="s">
        <v>2213</v>
      </c>
      <c r="F3376" t="s">
        <v>2213</v>
      </c>
      <c r="G3376" s="554">
        <v>192</v>
      </c>
      <c r="H3376">
        <v>1.559686272</v>
      </c>
    </row>
    <row r="3377" spans="2:8">
      <c r="B3377" s="555" t="s">
        <v>2352</v>
      </c>
      <c r="C3377" s="555" t="str">
        <f>VLOOKUP(D3377,기본!$D$13:$E$74,2,0)</f>
        <v>삼성 생활가전</v>
      </c>
      <c r="D3377" t="s">
        <v>1942</v>
      </c>
      <c r="E3377" t="s">
        <v>2265</v>
      </c>
      <c r="F3377" t="s">
        <v>2265</v>
      </c>
      <c r="G3377" s="554">
        <v>648</v>
      </c>
      <c r="H3377">
        <v>5.5231286399999995</v>
      </c>
    </row>
    <row r="3378" spans="2:8">
      <c r="B3378" s="555" t="s">
        <v>2352</v>
      </c>
      <c r="C3378" s="555" t="str">
        <f>VLOOKUP(D3378,기본!$D$13:$E$74,2,0)</f>
        <v>삼성 VD</v>
      </c>
      <c r="D3378" t="s">
        <v>1946</v>
      </c>
      <c r="E3378" t="s">
        <v>1165</v>
      </c>
      <c r="F3378" t="s">
        <v>1882</v>
      </c>
      <c r="G3378" s="554">
        <v>60</v>
      </c>
      <c r="H3378">
        <v>1.7738082000000002</v>
      </c>
    </row>
    <row r="3379" spans="2:8">
      <c r="B3379" s="555" t="s">
        <v>2352</v>
      </c>
      <c r="C3379" s="555" t="str">
        <f>VLOOKUP(D3379,기본!$D$13:$E$74,2,0)</f>
        <v>삼성 VD</v>
      </c>
      <c r="D3379" t="s">
        <v>1946</v>
      </c>
      <c r="E3379" t="s">
        <v>1164</v>
      </c>
      <c r="F3379" t="s">
        <v>1850</v>
      </c>
      <c r="G3379" s="554">
        <v>72</v>
      </c>
      <c r="H3379">
        <v>1.9294495199999999</v>
      </c>
    </row>
    <row r="3380" spans="2:8">
      <c r="B3380" s="555" t="s">
        <v>2352</v>
      </c>
      <c r="C3380" s="555" t="str">
        <f>VLOOKUP(D3380,기본!$D$13:$E$74,2,0)</f>
        <v>삼성 VD</v>
      </c>
      <c r="D3380" t="s">
        <v>1946</v>
      </c>
      <c r="E3380" t="s">
        <v>1778</v>
      </c>
      <c r="F3380" t="s">
        <v>1919</v>
      </c>
      <c r="G3380" s="554">
        <v>1800</v>
      </c>
      <c r="H3380">
        <v>23.040031680000002</v>
      </c>
    </row>
    <row r="3381" spans="2:8">
      <c r="B3381" s="555" t="s">
        <v>2352</v>
      </c>
      <c r="C3381" s="555" t="str">
        <f>VLOOKUP(D3381,기본!$D$13:$E$74,2,0)</f>
        <v>삼성 VD</v>
      </c>
      <c r="D3381" t="s">
        <v>1946</v>
      </c>
      <c r="E3381" t="s">
        <v>1779</v>
      </c>
      <c r="F3381" t="s">
        <v>1920</v>
      </c>
      <c r="G3381" s="554">
        <v>2623</v>
      </c>
      <c r="H3381">
        <v>37.424183752000005</v>
      </c>
    </row>
    <row r="3382" spans="2:8">
      <c r="B3382" s="555" t="s">
        <v>2352</v>
      </c>
      <c r="C3382" s="555" t="str">
        <f>VLOOKUP(D3382,기본!$D$13:$E$74,2,0)</f>
        <v>삼성 VD</v>
      </c>
      <c r="D3382" t="s">
        <v>1946</v>
      </c>
      <c r="E3382" t="s">
        <v>1792</v>
      </c>
      <c r="F3382" t="s">
        <v>1915</v>
      </c>
      <c r="G3382" s="554">
        <v>2592</v>
      </c>
      <c r="H3382">
        <v>42.509433924</v>
      </c>
    </row>
    <row r="3383" spans="2:8">
      <c r="B3383" s="555" t="s">
        <v>2352</v>
      </c>
      <c r="C3383" s="555" t="str">
        <f>VLOOKUP(D3383,기본!$D$13:$E$74,2,0)</f>
        <v>삼성 VD</v>
      </c>
      <c r="D3383" t="s">
        <v>1946</v>
      </c>
      <c r="E3383" t="s">
        <v>1921</v>
      </c>
      <c r="F3383" t="s">
        <v>1922</v>
      </c>
      <c r="G3383" s="554">
        <v>205</v>
      </c>
      <c r="H3383">
        <v>4.5871521599999996</v>
      </c>
    </row>
    <row r="3384" spans="2:8">
      <c r="B3384" s="555" t="s">
        <v>2352</v>
      </c>
      <c r="C3384" s="555" t="str">
        <f>VLOOKUP(D3384,기본!$D$13:$E$74,2,0)</f>
        <v>삼성 생활가전</v>
      </c>
      <c r="D3384" t="s">
        <v>1948</v>
      </c>
      <c r="E3384" t="s">
        <v>1949</v>
      </c>
      <c r="F3384" t="s">
        <v>1949</v>
      </c>
      <c r="G3384" s="554">
        <v>40</v>
      </c>
      <c r="H3384">
        <v>0.43734240000000002</v>
      </c>
    </row>
    <row r="3385" spans="2:8">
      <c r="B3385" s="555" t="s">
        <v>2352</v>
      </c>
      <c r="C3385" s="555" t="str">
        <f>VLOOKUP(D3385,기본!$D$13:$E$74,2,0)</f>
        <v>AV JDM</v>
      </c>
      <c r="D3385" t="s">
        <v>1950</v>
      </c>
      <c r="E3385" t="s">
        <v>436</v>
      </c>
      <c r="F3385" t="s">
        <v>2168</v>
      </c>
      <c r="G3385" s="554">
        <v>15120</v>
      </c>
      <c r="H3385">
        <v>125.89934111999999</v>
      </c>
    </row>
    <row r="3386" spans="2:8">
      <c r="B3386" s="555" t="s">
        <v>2352</v>
      </c>
      <c r="C3386" s="555" t="str">
        <f>VLOOKUP(D3386,기본!$D$13:$E$74,2,0)</f>
        <v>MNT JDM</v>
      </c>
      <c r="D3386" t="s">
        <v>1951</v>
      </c>
      <c r="E3386" t="s">
        <v>709</v>
      </c>
      <c r="F3386" t="s">
        <v>2124</v>
      </c>
      <c r="G3386" s="554">
        <v>19008</v>
      </c>
      <c r="H3386">
        <v>89.980017599999996</v>
      </c>
    </row>
    <row r="3387" spans="2:8">
      <c r="B3387" s="555" t="s">
        <v>2352</v>
      </c>
      <c r="C3387" s="555" t="str">
        <f>VLOOKUP(D3387,기본!$D$13:$E$74,2,0)</f>
        <v>MNT JDM</v>
      </c>
      <c r="D3387" t="s">
        <v>1951</v>
      </c>
      <c r="E3387" t="s">
        <v>710</v>
      </c>
      <c r="F3387" t="s">
        <v>2169</v>
      </c>
      <c r="G3387" s="554">
        <v>2112</v>
      </c>
      <c r="H3387">
        <v>13.945995571199997</v>
      </c>
    </row>
    <row r="3388" spans="2:8">
      <c r="B3388" s="555" t="s">
        <v>2352</v>
      </c>
      <c r="C3388" s="555" t="str">
        <f>VLOOKUP(D3388,기본!$D$13:$E$74,2,0)</f>
        <v>MNT JDM</v>
      </c>
      <c r="D3388" t="s">
        <v>1951</v>
      </c>
      <c r="E3388" t="s">
        <v>1156</v>
      </c>
      <c r="F3388" t="s">
        <v>2238</v>
      </c>
      <c r="G3388" s="554">
        <v>28512</v>
      </c>
      <c r="H3388">
        <v>163.37990592</v>
      </c>
    </row>
    <row r="3389" spans="2:8">
      <c r="B3389" s="555" t="s">
        <v>2352</v>
      </c>
      <c r="C3389" s="555" t="str">
        <f>VLOOKUP(D3389,기본!$D$13:$E$74,2,0)</f>
        <v>MNT JDM</v>
      </c>
      <c r="D3389" t="s">
        <v>1951</v>
      </c>
      <c r="E3389" t="s">
        <v>1157</v>
      </c>
      <c r="F3389" t="s">
        <v>2239</v>
      </c>
      <c r="G3389" s="554">
        <v>5280</v>
      </c>
      <c r="H3389">
        <v>42.531522000000002</v>
      </c>
    </row>
    <row r="3390" spans="2:8">
      <c r="B3390" s="555" t="s">
        <v>2352</v>
      </c>
      <c r="C3390" s="555" t="str">
        <f>VLOOKUP(D3390,기본!$D$13:$E$74,2,0)</f>
        <v>HP</v>
      </c>
      <c r="D3390" t="s">
        <v>1952</v>
      </c>
      <c r="E3390" t="s">
        <v>1296</v>
      </c>
      <c r="F3390" t="s">
        <v>1292</v>
      </c>
      <c r="G3390" s="554">
        <v>2432</v>
      </c>
      <c r="H3390">
        <v>64.459096832</v>
      </c>
    </row>
    <row r="3391" spans="2:8">
      <c r="B3391" s="555" t="s">
        <v>2352</v>
      </c>
      <c r="C3391" s="555" t="str">
        <f>VLOOKUP(D3391,기본!$D$13:$E$74,2,0)</f>
        <v>HP</v>
      </c>
      <c r="D3391" t="s">
        <v>1952</v>
      </c>
      <c r="E3391" t="s">
        <v>1297</v>
      </c>
      <c r="F3391" t="s">
        <v>1293</v>
      </c>
      <c r="G3391" s="554">
        <v>1536</v>
      </c>
      <c r="H3391">
        <v>49.883584895999988</v>
      </c>
    </row>
    <row r="3392" spans="2:8">
      <c r="B3392" s="555" t="s">
        <v>2352</v>
      </c>
      <c r="C3392" s="555" t="str">
        <f>VLOOKUP(D3392,기본!$D$13:$E$74,2,0)</f>
        <v>HP</v>
      </c>
      <c r="D3392" t="s">
        <v>1952</v>
      </c>
      <c r="E3392" t="s">
        <v>1298</v>
      </c>
      <c r="F3392" t="s">
        <v>1294</v>
      </c>
      <c r="G3392" s="554">
        <v>2880</v>
      </c>
      <c r="H3392">
        <v>83.253823487999995</v>
      </c>
    </row>
    <row r="3393" spans="2:8">
      <c r="B3393" s="555" t="s">
        <v>2352</v>
      </c>
      <c r="C3393" s="555" t="str">
        <f>VLOOKUP(D3393,기본!$D$13:$E$74,2,0)</f>
        <v>HP</v>
      </c>
      <c r="D3393" t="s">
        <v>1952</v>
      </c>
      <c r="E3393" t="s">
        <v>2240</v>
      </c>
      <c r="F3393" t="s">
        <v>2241</v>
      </c>
      <c r="G3393" s="554">
        <v>300</v>
      </c>
      <c r="H3393">
        <v>2.4476265000000001</v>
      </c>
    </row>
    <row r="3394" spans="2:8">
      <c r="B3394" s="555" t="s">
        <v>2352</v>
      </c>
      <c r="C3394" s="555" t="str">
        <f>VLOOKUP(D3394,기본!$D$13:$E$74,2,0)</f>
        <v>HP</v>
      </c>
      <c r="D3394" t="s">
        <v>1952</v>
      </c>
      <c r="E3394" t="s">
        <v>1954</v>
      </c>
      <c r="F3394" t="s">
        <v>1955</v>
      </c>
      <c r="G3394" s="554">
        <v>3360</v>
      </c>
      <c r="H3394">
        <v>41.283950399999995</v>
      </c>
    </row>
    <row r="3395" spans="2:8">
      <c r="B3395" s="555" t="s">
        <v>2352</v>
      </c>
      <c r="C3395" s="555" t="str">
        <f>VLOOKUP(D3395,기본!$D$13:$E$74,2,0)</f>
        <v>HP</v>
      </c>
      <c r="D3395" t="s">
        <v>1952</v>
      </c>
      <c r="E3395" t="s">
        <v>2125</v>
      </c>
      <c r="F3395" t="s">
        <v>192</v>
      </c>
      <c r="G3395" s="554">
        <v>1080</v>
      </c>
      <c r="H3395">
        <v>5.1021014399999993</v>
      </c>
    </row>
    <row r="3396" spans="2:8">
      <c r="B3396" s="555" t="s">
        <v>2352</v>
      </c>
      <c r="C3396" s="555" t="str">
        <f>VLOOKUP(D3396,기본!$D$13:$E$74,2,0)</f>
        <v>HP</v>
      </c>
      <c r="D3396" t="s">
        <v>1952</v>
      </c>
      <c r="E3396" t="s">
        <v>1960</v>
      </c>
      <c r="F3396" t="s">
        <v>671</v>
      </c>
      <c r="G3396" s="554">
        <v>720</v>
      </c>
      <c r="H3396">
        <v>5.67994734</v>
      </c>
    </row>
    <row r="3397" spans="2:8">
      <c r="B3397" s="555" t="s">
        <v>2352</v>
      </c>
      <c r="C3397" s="555" t="str">
        <f>VLOOKUP(D3397,기본!$D$13:$E$74,2,0)</f>
        <v>HP</v>
      </c>
      <c r="D3397" t="s">
        <v>1952</v>
      </c>
      <c r="E3397" t="s">
        <v>1961</v>
      </c>
      <c r="F3397" t="s">
        <v>1962</v>
      </c>
      <c r="G3397" s="554">
        <v>1584</v>
      </c>
      <c r="H3397">
        <v>54.621603359999995</v>
      </c>
    </row>
    <row r="3398" spans="2:8">
      <c r="B3398" s="555" t="s">
        <v>2352</v>
      </c>
      <c r="C3398" s="555" t="str">
        <f>VLOOKUP(D3398,기본!$D$13:$E$74,2,0)</f>
        <v>HP</v>
      </c>
      <c r="D3398" t="s">
        <v>1952</v>
      </c>
      <c r="E3398" t="s">
        <v>2126</v>
      </c>
      <c r="F3398" t="s">
        <v>2127</v>
      </c>
      <c r="G3398" s="554">
        <v>30</v>
      </c>
      <c r="H3398">
        <v>0.27126824999999999</v>
      </c>
    </row>
    <row r="3399" spans="2:8">
      <c r="B3399" s="555" t="s">
        <v>2352</v>
      </c>
      <c r="C3399" s="555" t="str">
        <f>VLOOKUP(D3399,기본!$D$13:$E$74,2,0)</f>
        <v>HP</v>
      </c>
      <c r="D3399" t="s">
        <v>1952</v>
      </c>
      <c r="E3399" t="s">
        <v>1963</v>
      </c>
      <c r="F3399" t="s">
        <v>1964</v>
      </c>
      <c r="G3399" s="554">
        <v>1950</v>
      </c>
      <c r="H3399">
        <v>15.567980999999998</v>
      </c>
    </row>
    <row r="3400" spans="2:8">
      <c r="B3400" s="555" t="s">
        <v>2352</v>
      </c>
      <c r="C3400" s="555" t="str">
        <f>VLOOKUP(D3400,기본!$D$13:$E$74,2,0)</f>
        <v>HP</v>
      </c>
      <c r="D3400" t="s">
        <v>1952</v>
      </c>
      <c r="E3400" t="s">
        <v>2170</v>
      </c>
      <c r="F3400" t="s">
        <v>2171</v>
      </c>
      <c r="G3400" s="554">
        <v>560</v>
      </c>
      <c r="H3400">
        <v>9.9804628000000015</v>
      </c>
    </row>
    <row r="3401" spans="2:8">
      <c r="B3401" s="555" t="s">
        <v>2352</v>
      </c>
      <c r="C3401" s="555" t="str">
        <f>VLOOKUP(D3401,기본!$D$13:$E$74,2,0)</f>
        <v>HP</v>
      </c>
      <c r="D3401" t="s">
        <v>1952</v>
      </c>
      <c r="E3401" t="s">
        <v>1965</v>
      </c>
      <c r="F3401" t="s">
        <v>1966</v>
      </c>
      <c r="G3401" s="554">
        <v>560</v>
      </c>
      <c r="H3401">
        <v>8.6563792000000017</v>
      </c>
    </row>
    <row r="3402" spans="2:8">
      <c r="B3402" s="555" t="s">
        <v>2352</v>
      </c>
      <c r="C3402" s="555" t="str">
        <f>VLOOKUP(D3402,기본!$D$13:$E$74,2,0)</f>
        <v>HP</v>
      </c>
      <c r="D3402" t="s">
        <v>1952</v>
      </c>
      <c r="E3402" t="s">
        <v>2128</v>
      </c>
      <c r="F3402" t="s">
        <v>2129</v>
      </c>
      <c r="G3402" s="554">
        <v>1104</v>
      </c>
      <c r="H3402">
        <v>12.92235552</v>
      </c>
    </row>
    <row r="3403" spans="2:8">
      <c r="B3403" s="555" t="s">
        <v>2352</v>
      </c>
      <c r="C3403" s="555" t="str">
        <f>VLOOKUP(D3403,기본!$D$13:$E$74,2,0)</f>
        <v>HP</v>
      </c>
      <c r="D3403" t="s">
        <v>1952</v>
      </c>
      <c r="E3403" t="s">
        <v>2172</v>
      </c>
      <c r="F3403" t="s">
        <v>2173</v>
      </c>
      <c r="G3403" s="554">
        <v>1728</v>
      </c>
      <c r="H3403">
        <v>61.8214896</v>
      </c>
    </row>
    <row r="3404" spans="2:8">
      <c r="B3404" s="555" t="s">
        <v>2352</v>
      </c>
      <c r="C3404" s="555" t="str">
        <f>VLOOKUP(D3404,기본!$D$13:$E$74,2,0)</f>
        <v>HP</v>
      </c>
      <c r="D3404" t="s">
        <v>1952</v>
      </c>
      <c r="E3404" t="s">
        <v>1969</v>
      </c>
      <c r="F3404" t="s">
        <v>1970</v>
      </c>
      <c r="G3404" s="554">
        <v>480</v>
      </c>
      <c r="H3404">
        <v>5.7414926399999988</v>
      </c>
    </row>
    <row r="3405" spans="2:8">
      <c r="B3405" s="555" t="s">
        <v>2352</v>
      </c>
      <c r="C3405" s="555" t="str">
        <f>VLOOKUP(D3405,기본!$D$13:$E$74,2,0)</f>
        <v>코웨이</v>
      </c>
      <c r="D3405" t="s">
        <v>2132</v>
      </c>
      <c r="E3405" t="s">
        <v>855</v>
      </c>
      <c r="F3405" t="s">
        <v>855</v>
      </c>
      <c r="G3405" s="554">
        <v>1000</v>
      </c>
      <c r="H3405">
        <v>2.9822959999999998</v>
      </c>
    </row>
    <row r="3406" spans="2:8">
      <c r="B3406" s="555" t="s">
        <v>2352</v>
      </c>
      <c r="C3406" s="555" t="str">
        <f>VLOOKUP(D3406,기본!$D$13:$E$74,2,0)</f>
        <v>코웨이</v>
      </c>
      <c r="D3406" t="s">
        <v>2132</v>
      </c>
      <c r="E3406" t="s">
        <v>854</v>
      </c>
      <c r="F3406" t="s">
        <v>854</v>
      </c>
      <c r="G3406" s="554">
        <v>1000</v>
      </c>
      <c r="H3406">
        <v>6.1493359999999999</v>
      </c>
    </row>
    <row r="3407" spans="2:8">
      <c r="B3407" s="555" t="s">
        <v>2352</v>
      </c>
      <c r="C3407" s="555" t="str">
        <f>VLOOKUP(D3407,기본!$D$13:$E$74,2,0)</f>
        <v>코웨이</v>
      </c>
      <c r="D3407" t="s">
        <v>2132</v>
      </c>
      <c r="E3407" t="s">
        <v>853</v>
      </c>
      <c r="F3407" t="s">
        <v>853</v>
      </c>
      <c r="G3407" s="554">
        <v>1000</v>
      </c>
      <c r="H3407">
        <v>6.2812960000000002</v>
      </c>
    </row>
    <row r="3408" spans="2:8">
      <c r="B3408" s="555" t="s">
        <v>2352</v>
      </c>
      <c r="C3408" s="555" t="str">
        <f>VLOOKUP(D3408,기본!$D$13:$E$74,2,0)</f>
        <v>코웨이</v>
      </c>
      <c r="D3408" t="s">
        <v>2132</v>
      </c>
      <c r="E3408" t="s">
        <v>2345</v>
      </c>
      <c r="F3408" t="s">
        <v>2345</v>
      </c>
      <c r="G3408" s="554">
        <v>1000</v>
      </c>
      <c r="H3408">
        <v>5.4763400000000004</v>
      </c>
    </row>
    <row r="3409" spans="2:8">
      <c r="B3409" s="555" t="s">
        <v>2352</v>
      </c>
      <c r="C3409" s="555" t="str">
        <f>VLOOKUP(D3409,기본!$D$13:$E$74,2,0)</f>
        <v>경동나비엔</v>
      </c>
      <c r="D3409" t="s">
        <v>1972</v>
      </c>
      <c r="E3409" t="s">
        <v>2299</v>
      </c>
      <c r="F3409" t="s">
        <v>2299</v>
      </c>
      <c r="G3409" s="554">
        <v>8100</v>
      </c>
      <c r="H3409">
        <v>246.24</v>
      </c>
    </row>
    <row r="3410" spans="2:8">
      <c r="B3410" s="555" t="s">
        <v>2352</v>
      </c>
      <c r="C3410" s="555" t="str">
        <f>VLOOKUP(D3410,기본!$D$13:$E$74,2,0)</f>
        <v>경동나비엔</v>
      </c>
      <c r="D3410" t="s">
        <v>1972</v>
      </c>
      <c r="E3410" t="s">
        <v>1973</v>
      </c>
      <c r="F3410" t="s">
        <v>1973</v>
      </c>
      <c r="G3410" s="554">
        <v>11603</v>
      </c>
      <c r="H3410">
        <v>352.7312</v>
      </c>
    </row>
    <row r="3411" spans="2:8">
      <c r="B3411" s="555" t="s">
        <v>2352</v>
      </c>
      <c r="C3411" s="555" t="str">
        <f>VLOOKUP(D3411,기본!$D$13:$E$74,2,0)</f>
        <v>대덕</v>
      </c>
      <c r="D3411" t="s">
        <v>1976</v>
      </c>
      <c r="E3411" t="s">
        <v>2317</v>
      </c>
      <c r="F3411" t="s">
        <v>2317</v>
      </c>
      <c r="G3411" s="554">
        <v>80</v>
      </c>
      <c r="H3411">
        <v>0.6219316800000001</v>
      </c>
    </row>
    <row r="3412" spans="2:8">
      <c r="B3412" s="555" t="s">
        <v>2352</v>
      </c>
      <c r="C3412" s="555" t="str">
        <f>VLOOKUP(D3412,기본!$D$13:$E$74,2,0)</f>
        <v>대덕</v>
      </c>
      <c r="D3412" t="s">
        <v>1976</v>
      </c>
      <c r="E3412" t="s">
        <v>2244</v>
      </c>
      <c r="F3412" t="s">
        <v>2244</v>
      </c>
      <c r="G3412" s="554">
        <v>56</v>
      </c>
      <c r="H3412">
        <v>0.56084515199999996</v>
      </c>
    </row>
    <row r="3413" spans="2:8">
      <c r="B3413" s="555" t="s">
        <v>2352</v>
      </c>
      <c r="C3413" s="555" t="str">
        <f>VLOOKUP(D3413,기본!$D$13:$E$74,2,0)</f>
        <v>대덕</v>
      </c>
      <c r="D3413" t="s">
        <v>1976</v>
      </c>
      <c r="E3413" t="s">
        <v>2219</v>
      </c>
      <c r="F3413" t="s">
        <v>2219</v>
      </c>
      <c r="G3413" s="554">
        <v>2000</v>
      </c>
      <c r="H3413">
        <v>26.836020000000001</v>
      </c>
    </row>
    <row r="3414" spans="2:8">
      <c r="B3414" s="555" t="s">
        <v>2352</v>
      </c>
      <c r="C3414" s="555" t="str">
        <f>VLOOKUP(D3414,기본!$D$13:$E$74,2,0)</f>
        <v>대덕</v>
      </c>
      <c r="D3414" t="s">
        <v>1978</v>
      </c>
      <c r="E3414" t="s">
        <v>2346</v>
      </c>
      <c r="F3414" t="s">
        <v>2346</v>
      </c>
      <c r="G3414" s="554">
        <v>1600</v>
      </c>
      <c r="H3414">
        <v>8.986104000000001</v>
      </c>
    </row>
    <row r="3415" spans="2:8">
      <c r="B3415" s="555" t="s">
        <v>2352</v>
      </c>
      <c r="C3415" s="555" t="str">
        <f>VLOOKUP(D3415,기본!$D$13:$E$74,2,0)</f>
        <v>대덕</v>
      </c>
      <c r="D3415" t="s">
        <v>1978</v>
      </c>
      <c r="E3415" t="s">
        <v>2347</v>
      </c>
      <c r="F3415" t="s">
        <v>2347</v>
      </c>
      <c r="G3415" s="554">
        <v>2200</v>
      </c>
      <c r="H3415">
        <v>12.235640999999999</v>
      </c>
    </row>
    <row r="3416" spans="2:8">
      <c r="B3416" s="555" t="s">
        <v>2352</v>
      </c>
      <c r="C3416" s="555" t="str">
        <f>VLOOKUP(D3416,기본!$D$13:$E$74,2,0)</f>
        <v>대덕</v>
      </c>
      <c r="D3416" t="s">
        <v>1978</v>
      </c>
      <c r="E3416" t="s">
        <v>2316</v>
      </c>
      <c r="F3416" t="s">
        <v>2316</v>
      </c>
      <c r="G3416" s="554">
        <v>2500</v>
      </c>
      <c r="H3416">
        <v>13.730145</v>
      </c>
    </row>
    <row r="3417" spans="2:8">
      <c r="B3417" s="555" t="s">
        <v>2352</v>
      </c>
      <c r="C3417" s="555" t="str">
        <f>VLOOKUP(D3417,기본!$D$13:$E$74,2,0)</f>
        <v>대덕</v>
      </c>
      <c r="D3417" t="s">
        <v>1978</v>
      </c>
      <c r="E3417" t="s">
        <v>2278</v>
      </c>
      <c r="F3417" t="s">
        <v>2278</v>
      </c>
      <c r="G3417" s="554">
        <v>2000</v>
      </c>
      <c r="H3417">
        <v>10.984116000000002</v>
      </c>
    </row>
    <row r="3418" spans="2:8">
      <c r="B3418" s="555" t="s">
        <v>2352</v>
      </c>
      <c r="C3418" s="555" t="str">
        <f>VLOOKUP(D3418,기본!$D$13:$E$74,2,0)</f>
        <v>대덕</v>
      </c>
      <c r="D3418" t="s">
        <v>1978</v>
      </c>
      <c r="E3418" t="s">
        <v>2317</v>
      </c>
      <c r="F3418" t="s">
        <v>2317</v>
      </c>
      <c r="G3418" s="554">
        <v>10</v>
      </c>
      <c r="H3418">
        <v>7.583628000000002E-2</v>
      </c>
    </row>
    <row r="3419" spans="2:8">
      <c r="B3419" s="555" t="s">
        <v>2352</v>
      </c>
      <c r="C3419" s="555" t="str">
        <f>VLOOKUP(D3419,기본!$D$13:$E$74,2,0)</f>
        <v>대덕</v>
      </c>
      <c r="D3419" t="s">
        <v>1978</v>
      </c>
      <c r="E3419" t="s">
        <v>2176</v>
      </c>
      <c r="F3419" t="s">
        <v>2176</v>
      </c>
      <c r="G3419" s="554">
        <v>140</v>
      </c>
      <c r="H3419">
        <v>1.0541512800000001</v>
      </c>
    </row>
    <row r="3420" spans="2:8">
      <c r="B3420" s="555" t="s">
        <v>2352</v>
      </c>
      <c r="C3420" s="555" t="str">
        <f>VLOOKUP(D3420,기본!$D$13:$E$74,2,0)</f>
        <v>대덕</v>
      </c>
      <c r="D3420" t="s">
        <v>1978</v>
      </c>
      <c r="E3420" t="s">
        <v>2135</v>
      </c>
      <c r="F3420" t="s">
        <v>2135</v>
      </c>
      <c r="G3420" s="554">
        <v>1000</v>
      </c>
      <c r="H3420">
        <v>16.244170790000002</v>
      </c>
    </row>
    <row r="3421" spans="2:8">
      <c r="B3421" s="555" t="s">
        <v>2352</v>
      </c>
      <c r="C3421" s="555" t="str">
        <f>VLOOKUP(D3421,기본!$D$13:$E$74,2,0)</f>
        <v>대덕</v>
      </c>
      <c r="D3421" t="s">
        <v>1978</v>
      </c>
      <c r="E3421" t="s">
        <v>2136</v>
      </c>
      <c r="F3421" t="s">
        <v>2136</v>
      </c>
      <c r="G3421" s="554">
        <v>2000</v>
      </c>
      <c r="H3421">
        <v>42.328344816000005</v>
      </c>
    </row>
    <row r="3422" spans="2:8">
      <c r="B3422" s="555" t="s">
        <v>2352</v>
      </c>
      <c r="C3422" s="555" t="str">
        <f>VLOOKUP(D3422,기본!$D$13:$E$74,2,0)</f>
        <v>대덕</v>
      </c>
      <c r="D3422" t="s">
        <v>1978</v>
      </c>
      <c r="E3422" t="s">
        <v>1980</v>
      </c>
      <c r="F3422" t="s">
        <v>1980</v>
      </c>
      <c r="G3422" s="554">
        <v>2000</v>
      </c>
      <c r="H3422">
        <v>43.067402927999993</v>
      </c>
    </row>
    <row r="3423" spans="2:8">
      <c r="B3423" s="555" t="s">
        <v>2352</v>
      </c>
      <c r="C3423" s="555" t="str">
        <f>VLOOKUP(D3423,기본!$D$13:$E$74,2,0)</f>
        <v>대덕</v>
      </c>
      <c r="D3423" t="s">
        <v>1978</v>
      </c>
      <c r="E3423" t="s">
        <v>2221</v>
      </c>
      <c r="F3423" t="s">
        <v>2221</v>
      </c>
      <c r="G3423" s="554">
        <v>1500</v>
      </c>
      <c r="H3423">
        <v>32.160577500000002</v>
      </c>
    </row>
    <row r="3424" spans="2:8">
      <c r="B3424" s="555" t="s">
        <v>2352</v>
      </c>
      <c r="C3424" s="555" t="str">
        <f>VLOOKUP(D3424,기본!$D$13:$E$74,2,0)</f>
        <v>대덕</v>
      </c>
      <c r="D3424" t="s">
        <v>1978</v>
      </c>
      <c r="E3424" t="s">
        <v>1981</v>
      </c>
      <c r="F3424" t="s">
        <v>1981</v>
      </c>
      <c r="G3424" s="554">
        <v>5500</v>
      </c>
      <c r="H3424">
        <v>121.45452</v>
      </c>
    </row>
    <row r="3425" spans="2:8">
      <c r="B3425" s="555" t="s">
        <v>2352</v>
      </c>
      <c r="C3425" s="555" t="str">
        <f>VLOOKUP(D3425,기본!$D$13:$E$74,2,0)</f>
        <v>대덕</v>
      </c>
      <c r="D3425" t="s">
        <v>1978</v>
      </c>
      <c r="E3425" t="s">
        <v>1982</v>
      </c>
      <c r="F3425" t="s">
        <v>1982</v>
      </c>
      <c r="G3425" s="554">
        <v>5500</v>
      </c>
      <c r="H3425">
        <v>123.350653464</v>
      </c>
    </row>
    <row r="3426" spans="2:8">
      <c r="B3426" s="555" t="s">
        <v>2352</v>
      </c>
      <c r="C3426" s="555" t="str">
        <f>VLOOKUP(D3426,기본!$D$13:$E$74,2,0)</f>
        <v>대덕</v>
      </c>
      <c r="D3426" t="s">
        <v>1978</v>
      </c>
      <c r="E3426" t="s">
        <v>2223</v>
      </c>
      <c r="F3426" t="s">
        <v>2223</v>
      </c>
      <c r="G3426" s="554">
        <v>185</v>
      </c>
      <c r="H3426">
        <v>4.1731134499999998</v>
      </c>
    </row>
    <row r="3427" spans="2:8">
      <c r="B3427" s="555" t="s">
        <v>2352</v>
      </c>
      <c r="C3427" s="555" t="str">
        <f>VLOOKUP(D3427,기본!$D$13:$E$74,2,0)</f>
        <v>대덕</v>
      </c>
      <c r="D3427" t="s">
        <v>1978</v>
      </c>
      <c r="E3427" t="s">
        <v>2137</v>
      </c>
      <c r="F3427" t="s">
        <v>2137</v>
      </c>
      <c r="G3427" s="554">
        <v>1500</v>
      </c>
      <c r="H3427">
        <v>33.650472899999997</v>
      </c>
    </row>
    <row r="3428" spans="2:8">
      <c r="B3428" s="555" t="s">
        <v>2352</v>
      </c>
      <c r="C3428" s="555" t="str">
        <f>VLOOKUP(D3428,기본!$D$13:$E$74,2,0)</f>
        <v>대덕</v>
      </c>
      <c r="D3428" t="s">
        <v>1978</v>
      </c>
      <c r="E3428" t="s">
        <v>2348</v>
      </c>
      <c r="F3428" t="s">
        <v>2348</v>
      </c>
      <c r="G3428" s="554">
        <v>500</v>
      </c>
      <c r="H3428">
        <v>0.66958499999999999</v>
      </c>
    </row>
    <row r="3429" spans="2:8">
      <c r="B3429" s="555" t="s">
        <v>2352</v>
      </c>
      <c r="C3429" s="555" t="str">
        <f>VLOOKUP(D3429,기본!$D$13:$E$74,2,0)</f>
        <v>대덕</v>
      </c>
      <c r="D3429" t="s">
        <v>1978</v>
      </c>
      <c r="E3429" t="s">
        <v>977</v>
      </c>
      <c r="F3429" t="s">
        <v>977</v>
      </c>
      <c r="G3429" s="554">
        <v>1500</v>
      </c>
      <c r="H3429">
        <v>2.0087549999999998</v>
      </c>
    </row>
    <row r="3430" spans="2:8">
      <c r="B3430" s="555" t="s">
        <v>2352</v>
      </c>
      <c r="C3430" s="555" t="str">
        <f>VLOOKUP(D3430,기본!$D$13:$E$74,2,0)</f>
        <v>대덕</v>
      </c>
      <c r="D3430" t="s">
        <v>1978</v>
      </c>
      <c r="E3430" t="s">
        <v>2349</v>
      </c>
      <c r="F3430" t="s">
        <v>2349</v>
      </c>
      <c r="G3430" s="554">
        <v>1000</v>
      </c>
      <c r="H3430">
        <v>1.3851089999999999</v>
      </c>
    </row>
    <row r="3431" spans="2:8">
      <c r="B3431" s="555" t="s">
        <v>2352</v>
      </c>
      <c r="C3431" s="555" t="str">
        <f>VLOOKUP(D3431,기본!$D$13:$E$74,2,0)</f>
        <v>대덕</v>
      </c>
      <c r="D3431" t="s">
        <v>1978</v>
      </c>
      <c r="E3431" t="s">
        <v>978</v>
      </c>
      <c r="F3431" t="s">
        <v>978</v>
      </c>
      <c r="G3431" s="554">
        <v>1500</v>
      </c>
      <c r="H3431">
        <v>2.0645820000000001</v>
      </c>
    </row>
    <row r="3432" spans="2:8">
      <c r="B3432" s="555" t="s">
        <v>2352</v>
      </c>
      <c r="C3432" s="555" t="str">
        <f>VLOOKUP(D3432,기본!$D$13:$E$74,2,0)</f>
        <v>대덕</v>
      </c>
      <c r="D3432" t="s">
        <v>1978</v>
      </c>
      <c r="E3432" t="s">
        <v>2318</v>
      </c>
      <c r="F3432" t="s">
        <v>2318</v>
      </c>
      <c r="G3432" s="554">
        <v>1000</v>
      </c>
      <c r="H3432">
        <v>1.4708460000000001</v>
      </c>
    </row>
    <row r="3433" spans="2:8">
      <c r="B3433" s="555" t="s">
        <v>2352</v>
      </c>
      <c r="C3433" s="555" t="str">
        <f>VLOOKUP(D3433,기본!$D$13:$E$74,2,0)</f>
        <v>대덕</v>
      </c>
      <c r="D3433" t="s">
        <v>1978</v>
      </c>
      <c r="E3433" t="s">
        <v>979</v>
      </c>
      <c r="F3433" t="s">
        <v>979</v>
      </c>
      <c r="G3433" s="554">
        <v>1000</v>
      </c>
      <c r="H3433">
        <v>1.4708460000000001</v>
      </c>
    </row>
    <row r="3434" spans="2:8">
      <c r="B3434" s="555" t="s">
        <v>2352</v>
      </c>
      <c r="C3434" s="555" t="str">
        <f>VLOOKUP(D3434,기본!$D$13:$E$74,2,0)</f>
        <v>대덕</v>
      </c>
      <c r="D3434" t="s">
        <v>1978</v>
      </c>
      <c r="E3434" t="s">
        <v>2350</v>
      </c>
      <c r="F3434" t="s">
        <v>2350</v>
      </c>
      <c r="G3434" s="554">
        <v>500</v>
      </c>
      <c r="H3434">
        <v>0.77207250000000005</v>
      </c>
    </row>
    <row r="3435" spans="2:8">
      <c r="B3435" s="555" t="s">
        <v>2352</v>
      </c>
      <c r="C3435" s="555" t="str">
        <f>VLOOKUP(D3435,기본!$D$13:$E$74,2,0)</f>
        <v>대덕</v>
      </c>
      <c r="D3435" t="s">
        <v>1978</v>
      </c>
      <c r="E3435" t="s">
        <v>980</v>
      </c>
      <c r="F3435" t="s">
        <v>980</v>
      </c>
      <c r="G3435" s="554">
        <v>500</v>
      </c>
      <c r="H3435">
        <v>0.77207250000000005</v>
      </c>
    </row>
    <row r="3436" spans="2:8">
      <c r="B3436" s="555" t="s">
        <v>2352</v>
      </c>
      <c r="C3436" s="555" t="str">
        <f>VLOOKUP(D3436,기본!$D$13:$E$74,2,0)</f>
        <v>대덕</v>
      </c>
      <c r="D3436" t="s">
        <v>1978</v>
      </c>
      <c r="E3436" t="s">
        <v>2244</v>
      </c>
      <c r="F3436" t="s">
        <v>2244</v>
      </c>
      <c r="G3436" s="554">
        <v>444</v>
      </c>
      <c r="H3436">
        <v>4.4403499200000001</v>
      </c>
    </row>
    <row r="3437" spans="2:8">
      <c r="B3437" s="555" t="s">
        <v>2352</v>
      </c>
      <c r="C3437" s="555" t="str">
        <f>VLOOKUP(D3437,기본!$D$13:$E$74,2,0)</f>
        <v>대덕</v>
      </c>
      <c r="D3437" t="s">
        <v>1978</v>
      </c>
      <c r="E3437" t="s">
        <v>1977</v>
      </c>
      <c r="F3437" t="s">
        <v>1977</v>
      </c>
      <c r="G3437" s="554">
        <v>2000</v>
      </c>
      <c r="H3437">
        <v>23.548396260000001</v>
      </c>
    </row>
    <row r="3438" spans="2:8">
      <c r="B3438" s="555" t="s">
        <v>2352</v>
      </c>
      <c r="C3438" s="555" t="str">
        <f>VLOOKUP(D3438,기본!$D$13:$E$74,2,0)</f>
        <v>대덕</v>
      </c>
      <c r="D3438" t="s">
        <v>1978</v>
      </c>
      <c r="E3438" t="s">
        <v>1565</v>
      </c>
      <c r="F3438" t="s">
        <v>1565</v>
      </c>
      <c r="G3438" s="554">
        <v>100</v>
      </c>
      <c r="H3438">
        <v>2.9657719999999999</v>
      </c>
    </row>
    <row r="3439" spans="2:8">
      <c r="B3439" s="555" t="s">
        <v>2352</v>
      </c>
      <c r="C3439" s="555" t="str">
        <f>VLOOKUP(D3439,기본!$D$13:$E$74,2,0)</f>
        <v>대덕</v>
      </c>
      <c r="D3439" t="s">
        <v>1978</v>
      </c>
      <c r="E3439" t="s">
        <v>1566</v>
      </c>
      <c r="F3439" t="s">
        <v>1566</v>
      </c>
      <c r="G3439" s="554">
        <v>200</v>
      </c>
      <c r="H3439">
        <v>5.9315439999999997</v>
      </c>
    </row>
    <row r="3440" spans="2:8">
      <c r="B3440" s="555" t="s">
        <v>2352</v>
      </c>
      <c r="C3440" s="555" t="str">
        <f>VLOOKUP(D3440,기본!$D$13:$E$74,2,0)</f>
        <v>대덕</v>
      </c>
      <c r="D3440" t="s">
        <v>1978</v>
      </c>
      <c r="E3440" t="s">
        <v>1567</v>
      </c>
      <c r="F3440" t="s">
        <v>1567</v>
      </c>
      <c r="G3440" s="554">
        <v>200</v>
      </c>
      <c r="H3440">
        <v>6.3240319999999999</v>
      </c>
    </row>
    <row r="3441" spans="2:8">
      <c r="B3441" s="555" t="s">
        <v>2352</v>
      </c>
      <c r="C3441" s="555" t="str">
        <f>VLOOKUP(D3441,기본!$D$13:$E$74,2,0)</f>
        <v>대덕</v>
      </c>
      <c r="D3441" t="s">
        <v>1978</v>
      </c>
      <c r="E3441" t="s">
        <v>1568</v>
      </c>
      <c r="F3441" t="s">
        <v>1568</v>
      </c>
      <c r="G3441" s="554">
        <v>100</v>
      </c>
      <c r="H3441">
        <v>3.1620159999999999</v>
      </c>
    </row>
    <row r="3442" spans="2:8">
      <c r="B3442" s="555" t="s">
        <v>2352</v>
      </c>
      <c r="C3442" s="555" t="str">
        <f>VLOOKUP(D3442,기본!$D$13:$E$74,2,0)</f>
        <v>대덕</v>
      </c>
      <c r="D3442" t="s">
        <v>1978</v>
      </c>
      <c r="E3442" t="s">
        <v>2319</v>
      </c>
      <c r="F3442" t="s">
        <v>2319</v>
      </c>
      <c r="G3442" s="554">
        <v>1000</v>
      </c>
      <c r="H3442">
        <v>11.083640000000001</v>
      </c>
    </row>
    <row r="3443" spans="2:8">
      <c r="B3443" s="555" t="s">
        <v>2352</v>
      </c>
      <c r="C3443" s="555" t="str">
        <f>VLOOKUP(D3443,기본!$D$13:$E$74,2,0)</f>
        <v>대덕</v>
      </c>
      <c r="D3443" t="s">
        <v>1978</v>
      </c>
      <c r="E3443" t="s">
        <v>1569</v>
      </c>
      <c r="F3443" t="s">
        <v>1569</v>
      </c>
      <c r="G3443" s="554">
        <v>2500</v>
      </c>
      <c r="H3443">
        <v>30.386379800000004</v>
      </c>
    </row>
    <row r="3444" spans="2:8">
      <c r="B3444" s="555" t="s">
        <v>2352</v>
      </c>
      <c r="C3444" s="555" t="str">
        <f>VLOOKUP(D3444,기본!$D$13:$E$74,2,0)</f>
        <v>대덕</v>
      </c>
      <c r="D3444" t="s">
        <v>1978</v>
      </c>
      <c r="E3444" t="s">
        <v>1571</v>
      </c>
      <c r="F3444" t="s">
        <v>1571</v>
      </c>
      <c r="G3444" s="554">
        <v>1000</v>
      </c>
      <c r="H3444">
        <v>12.407099000000001</v>
      </c>
    </row>
    <row r="3445" spans="2:8">
      <c r="B3445" s="555" t="s">
        <v>2352</v>
      </c>
      <c r="C3445" s="555" t="str">
        <f>VLOOKUP(D3445,기본!$D$13:$E$74,2,0)</f>
        <v>대덕</v>
      </c>
      <c r="D3445" t="s">
        <v>1978</v>
      </c>
      <c r="E3445" t="s">
        <v>2247</v>
      </c>
      <c r="F3445" t="s">
        <v>2247</v>
      </c>
      <c r="G3445" s="554">
        <v>3000</v>
      </c>
      <c r="H3445">
        <v>40.879559999999998</v>
      </c>
    </row>
    <row r="3446" spans="2:8">
      <c r="B3446" s="555" t="s">
        <v>2352</v>
      </c>
      <c r="C3446" s="555" t="str">
        <f>VLOOKUP(D3446,기본!$D$13:$E$74,2,0)</f>
        <v>삼성 생활가전</v>
      </c>
      <c r="D3446" t="s">
        <v>1986</v>
      </c>
      <c r="E3446" t="s">
        <v>1987</v>
      </c>
      <c r="F3446" t="s">
        <v>1987</v>
      </c>
      <c r="G3446" s="554">
        <v>20</v>
      </c>
      <c r="H3446">
        <v>0.27939999999999998</v>
      </c>
    </row>
    <row r="3447" spans="2:8">
      <c r="B3447" s="555" t="s">
        <v>2352</v>
      </c>
      <c r="C3447" s="555" t="str">
        <f>VLOOKUP(D3447,기본!$D$13:$E$74,2,0)</f>
        <v>삼성 생활가전</v>
      </c>
      <c r="D3447" t="s">
        <v>1986</v>
      </c>
      <c r="E3447" t="s">
        <v>1346</v>
      </c>
      <c r="F3447" t="s">
        <v>1346</v>
      </c>
      <c r="G3447" s="554">
        <v>960</v>
      </c>
      <c r="H3447">
        <v>13.151999999999999</v>
      </c>
    </row>
    <row r="3448" spans="2:8">
      <c r="B3448" s="555" t="s">
        <v>2352</v>
      </c>
      <c r="C3448" s="555" t="str">
        <f>VLOOKUP(D3448,기본!$D$13:$E$74,2,0)</f>
        <v>삼성 생활가전</v>
      </c>
      <c r="D3448" t="s">
        <v>1986</v>
      </c>
      <c r="E3448" t="s">
        <v>2003</v>
      </c>
      <c r="F3448" t="s">
        <v>2003</v>
      </c>
      <c r="G3448" s="554">
        <v>2000</v>
      </c>
      <c r="H3448">
        <v>11.96</v>
      </c>
    </row>
    <row r="3449" spans="2:8">
      <c r="B3449" s="555" t="s">
        <v>2352</v>
      </c>
      <c r="C3449" s="555" t="str">
        <f>VLOOKUP(D3449,기본!$D$13:$E$74,2,0)</f>
        <v>머큐리</v>
      </c>
      <c r="D3449" t="s">
        <v>1988</v>
      </c>
      <c r="E3449" t="s">
        <v>1989</v>
      </c>
      <c r="F3449" t="s">
        <v>1989</v>
      </c>
      <c r="G3449" s="554">
        <v>28080</v>
      </c>
      <c r="H3449">
        <v>77.753519999999995</v>
      </c>
    </row>
    <row r="3450" spans="2:8">
      <c r="B3450" s="555" t="s">
        <v>2352</v>
      </c>
      <c r="C3450" s="555" t="str">
        <f>VLOOKUP(D3450,기본!$D$13:$E$74,2,0)</f>
        <v>머큐리</v>
      </c>
      <c r="D3450" t="s">
        <v>1988</v>
      </c>
      <c r="E3450" t="s">
        <v>1433</v>
      </c>
      <c r="F3450" t="s">
        <v>1433</v>
      </c>
      <c r="G3450" s="554">
        <v>29880</v>
      </c>
      <c r="H3450">
        <v>89.689099999999996</v>
      </c>
    </row>
    <row r="3451" spans="2:8">
      <c r="B3451" s="555" t="s">
        <v>2352</v>
      </c>
      <c r="C3451" s="555" t="str">
        <f>VLOOKUP(D3451,기본!$D$13:$E$74,2,0)</f>
        <v>머큐리</v>
      </c>
      <c r="D3451" t="s">
        <v>1988</v>
      </c>
      <c r="E3451" t="s">
        <v>2226</v>
      </c>
      <c r="F3451" t="s">
        <v>2226</v>
      </c>
      <c r="G3451" s="554">
        <v>5600</v>
      </c>
      <c r="H3451">
        <v>28.8948</v>
      </c>
    </row>
    <row r="3452" spans="2:8">
      <c r="B3452" s="555" t="s">
        <v>2352</v>
      </c>
      <c r="C3452" s="555" t="str">
        <f>VLOOKUP(D3452,기본!$D$13:$E$74,2,0)</f>
        <v>머큐리</v>
      </c>
      <c r="D3452" t="s">
        <v>1988</v>
      </c>
      <c r="E3452" t="s">
        <v>2142</v>
      </c>
      <c r="F3452" t="s">
        <v>2142</v>
      </c>
      <c r="G3452" s="554">
        <v>4608</v>
      </c>
      <c r="H3452">
        <v>12.30336</v>
      </c>
    </row>
    <row r="3453" spans="2:8">
      <c r="B3453" s="555" t="s">
        <v>2352</v>
      </c>
      <c r="C3453" s="555" t="str">
        <f>VLOOKUP(D3453,기본!$D$13:$E$74,2,0)</f>
        <v>삼성 생활가전</v>
      </c>
      <c r="D3453" t="s">
        <v>2143</v>
      </c>
      <c r="E3453" t="s">
        <v>2144</v>
      </c>
      <c r="F3453" t="s">
        <v>2144</v>
      </c>
      <c r="G3453" s="554">
        <v>720</v>
      </c>
      <c r="H3453">
        <v>5.1048</v>
      </c>
    </row>
    <row r="3454" spans="2:8">
      <c r="B3454" s="555" t="s">
        <v>2352</v>
      </c>
      <c r="C3454" s="555" t="str">
        <f>VLOOKUP(D3454,기본!$D$13:$E$74,2,0)</f>
        <v>삼성 생활가전</v>
      </c>
      <c r="D3454" t="s">
        <v>2143</v>
      </c>
      <c r="E3454" t="s">
        <v>2145</v>
      </c>
      <c r="F3454" t="s">
        <v>2145</v>
      </c>
      <c r="G3454" s="554">
        <v>400</v>
      </c>
      <c r="H3454">
        <v>2.8559999999999999</v>
      </c>
    </row>
    <row r="3455" spans="2:8">
      <c r="B3455" s="555" t="s">
        <v>2352</v>
      </c>
      <c r="C3455" s="555" t="str">
        <f>VLOOKUP(D3455,기본!$D$13:$E$74,2,0)</f>
        <v>삼성 VD</v>
      </c>
      <c r="D3455" t="s">
        <v>1990</v>
      </c>
      <c r="E3455" t="s">
        <v>2119</v>
      </c>
      <c r="F3455" t="s">
        <v>2120</v>
      </c>
      <c r="G3455" s="554">
        <v>200</v>
      </c>
      <c r="H3455">
        <v>3.8336072000000003</v>
      </c>
    </row>
    <row r="3456" spans="2:8">
      <c r="B3456" s="555" t="s">
        <v>2352</v>
      </c>
      <c r="C3456" s="555" t="str">
        <f>VLOOKUP(D3456,기본!$D$13:$E$74,2,0)</f>
        <v>삼성 VD</v>
      </c>
      <c r="D3456" t="s">
        <v>1990</v>
      </c>
      <c r="E3456" t="s">
        <v>709</v>
      </c>
      <c r="F3456" t="s">
        <v>1869</v>
      </c>
      <c r="G3456" s="554">
        <v>220</v>
      </c>
      <c r="H3456">
        <v>0.74822</v>
      </c>
    </row>
    <row r="3457" spans="2:8">
      <c r="B3457" s="555" t="s">
        <v>2352</v>
      </c>
      <c r="C3457" s="555" t="str">
        <f>VLOOKUP(D3457,기본!$D$13:$E$74,2,0)</f>
        <v>삼성 VD</v>
      </c>
      <c r="D3457" t="s">
        <v>1990</v>
      </c>
      <c r="E3457" t="s">
        <v>1811</v>
      </c>
      <c r="F3457" t="s">
        <v>1811</v>
      </c>
      <c r="G3457" s="554">
        <v>204</v>
      </c>
      <c r="H3457">
        <v>1.5999091679999999</v>
      </c>
    </row>
    <row r="3458" spans="2:8">
      <c r="B3458" s="555" t="s">
        <v>2352</v>
      </c>
      <c r="C3458" s="555" t="str">
        <f>VLOOKUP(D3458,기본!$D$13:$E$74,2,0)</f>
        <v>삼성 VD</v>
      </c>
      <c r="D3458" t="s">
        <v>1990</v>
      </c>
      <c r="E3458" t="s">
        <v>1813</v>
      </c>
      <c r="F3458" t="s">
        <v>1813</v>
      </c>
      <c r="G3458" s="554">
        <v>499</v>
      </c>
      <c r="H3458">
        <v>6.5270667059999985</v>
      </c>
    </row>
    <row r="3459" spans="2:8">
      <c r="B3459" s="555" t="s">
        <v>2352</v>
      </c>
      <c r="C3459" s="555" t="str">
        <f>VLOOKUP(D3459,기본!$D$13:$E$74,2,0)</f>
        <v>삼성 VD</v>
      </c>
      <c r="D3459" t="s">
        <v>1990</v>
      </c>
      <c r="E3459" t="s">
        <v>2287</v>
      </c>
      <c r="F3459" t="s">
        <v>1897</v>
      </c>
      <c r="G3459" s="554">
        <v>10</v>
      </c>
      <c r="H3459">
        <v>0.39384150000000001</v>
      </c>
    </row>
    <row r="3460" spans="2:8">
      <c r="B3460" s="555" t="s">
        <v>2352</v>
      </c>
      <c r="C3460" s="555" t="str">
        <f>VLOOKUP(D3460,기본!$D$13:$E$74,2,0)</f>
        <v>삼성 VD</v>
      </c>
      <c r="D3460" t="s">
        <v>1990</v>
      </c>
      <c r="E3460" t="s">
        <v>2291</v>
      </c>
      <c r="F3460" t="s">
        <v>1897</v>
      </c>
      <c r="G3460" s="554">
        <v>455</v>
      </c>
      <c r="H3460">
        <v>17.89978125</v>
      </c>
    </row>
    <row r="3461" spans="2:8">
      <c r="B3461" s="555" t="s">
        <v>2352</v>
      </c>
      <c r="C3461" s="555" t="str">
        <f>VLOOKUP(D3461,기본!$D$13:$E$74,2,0)</f>
        <v>삼성 VD</v>
      </c>
      <c r="D3461" t="s">
        <v>1990</v>
      </c>
      <c r="E3461" t="s">
        <v>2267</v>
      </c>
      <c r="F3461" t="s">
        <v>2267</v>
      </c>
      <c r="G3461" s="554">
        <v>604</v>
      </c>
      <c r="H3461">
        <v>3.579625456</v>
      </c>
    </row>
    <row r="3462" spans="2:8">
      <c r="B3462" s="555" t="s">
        <v>2352</v>
      </c>
      <c r="C3462" s="555" t="str">
        <f>VLOOKUP(D3462,기본!$D$13:$E$74,2,0)</f>
        <v>삼성 VD</v>
      </c>
      <c r="D3462" t="s">
        <v>1990</v>
      </c>
      <c r="E3462" t="s">
        <v>1816</v>
      </c>
      <c r="F3462" t="s">
        <v>1816</v>
      </c>
      <c r="G3462" s="554">
        <v>30</v>
      </c>
      <c r="H3462">
        <v>0.22540884</v>
      </c>
    </row>
    <row r="3463" spans="2:8">
      <c r="B3463" s="555" t="s">
        <v>2352</v>
      </c>
      <c r="C3463" s="555" t="str">
        <f>VLOOKUP(D3463,기본!$D$13:$E$74,2,0)</f>
        <v>삼성 VD</v>
      </c>
      <c r="D3463" t="s">
        <v>1990</v>
      </c>
      <c r="E3463" t="s">
        <v>2280</v>
      </c>
      <c r="F3463" t="s">
        <v>2280</v>
      </c>
      <c r="G3463" s="554">
        <v>25</v>
      </c>
      <c r="H3463">
        <v>0.2673645</v>
      </c>
    </row>
    <row r="3464" spans="2:8">
      <c r="B3464" s="555" t="s">
        <v>2352</v>
      </c>
      <c r="C3464" s="555" t="str">
        <f>VLOOKUP(D3464,기본!$D$13:$E$74,2,0)</f>
        <v>삼성 VD</v>
      </c>
      <c r="D3464" t="s">
        <v>1990</v>
      </c>
      <c r="E3464" t="s">
        <v>2281</v>
      </c>
      <c r="F3464" t="s">
        <v>2281</v>
      </c>
      <c r="G3464" s="554">
        <v>20</v>
      </c>
      <c r="H3464">
        <v>0.27970439999999996</v>
      </c>
    </row>
    <row r="3465" spans="2:8">
      <c r="B3465" s="555" t="s">
        <v>2352</v>
      </c>
      <c r="C3465" s="555" t="str">
        <f>VLOOKUP(D3465,기본!$D$13:$E$74,2,0)</f>
        <v>삼성 VD</v>
      </c>
      <c r="D3465" t="s">
        <v>1990</v>
      </c>
      <c r="E3465" t="s">
        <v>229</v>
      </c>
      <c r="F3465" t="s">
        <v>229</v>
      </c>
      <c r="G3465" s="554">
        <v>0</v>
      </c>
      <c r="H3465">
        <v>0.78426899999999999</v>
      </c>
    </row>
    <row r="3466" spans="2:8">
      <c r="B3466" s="555" t="s">
        <v>2352</v>
      </c>
      <c r="C3466" s="555" t="str">
        <f>VLOOKUP(D3466,기본!$D$13:$E$74,2,0)</f>
        <v>삼성 생활가전</v>
      </c>
      <c r="D3466" t="s">
        <v>1991</v>
      </c>
      <c r="E3466" t="s">
        <v>1993</v>
      </c>
      <c r="F3466" t="s">
        <v>1993</v>
      </c>
      <c r="G3466" s="554">
        <v>2304</v>
      </c>
      <c r="H3466">
        <v>16.613521919999997</v>
      </c>
    </row>
    <row r="3467" spans="2:8">
      <c r="B3467" s="555" t="s">
        <v>2352</v>
      </c>
      <c r="C3467" s="555" t="str">
        <f>VLOOKUP(D3467,기본!$D$13:$E$74,2,0)</f>
        <v>삼성 생활가전</v>
      </c>
      <c r="D3467" t="s">
        <v>1991</v>
      </c>
      <c r="E3467" t="s">
        <v>713</v>
      </c>
      <c r="F3467" t="s">
        <v>713</v>
      </c>
      <c r="G3467" s="554">
        <v>7</v>
      </c>
      <c r="H3467">
        <v>5.5930000000000001E-2</v>
      </c>
    </row>
    <row r="3468" spans="2:8">
      <c r="B3468" s="555" t="s">
        <v>2352</v>
      </c>
      <c r="C3468" s="555" t="str">
        <f>VLOOKUP(D3468,기본!$D$13:$E$74,2,0)</f>
        <v>삼성 생활가전</v>
      </c>
      <c r="D3468" t="s">
        <v>1991</v>
      </c>
      <c r="E3468" t="s">
        <v>1996</v>
      </c>
      <c r="F3468" t="s">
        <v>1996</v>
      </c>
      <c r="G3468" s="554">
        <v>2160</v>
      </c>
      <c r="H3468">
        <v>12.852</v>
      </c>
    </row>
    <row r="3469" spans="2:8">
      <c r="B3469" s="555" t="s">
        <v>2352</v>
      </c>
      <c r="C3469" s="555" t="str">
        <f>VLOOKUP(D3469,기본!$D$13:$E$74,2,0)</f>
        <v>삼성 생활가전</v>
      </c>
      <c r="D3469" t="s">
        <v>1991</v>
      </c>
      <c r="E3469" t="s">
        <v>1997</v>
      </c>
      <c r="F3469" t="s">
        <v>1997</v>
      </c>
      <c r="G3469" s="554">
        <v>2160</v>
      </c>
      <c r="H3469">
        <v>12.830399999999999</v>
      </c>
    </row>
    <row r="3470" spans="2:8">
      <c r="B3470" s="555" t="s">
        <v>2352</v>
      </c>
      <c r="C3470" s="555" t="str">
        <f>VLOOKUP(D3470,기본!$D$13:$E$74,2,0)</f>
        <v>삼성 생활가전</v>
      </c>
      <c r="D3470" t="s">
        <v>1991</v>
      </c>
      <c r="E3470" t="s">
        <v>1998</v>
      </c>
      <c r="F3470" t="s">
        <v>1998</v>
      </c>
      <c r="G3470" s="554">
        <v>960</v>
      </c>
      <c r="H3470">
        <v>5.6639999999999997</v>
      </c>
    </row>
    <row r="3471" spans="2:8">
      <c r="B3471" s="555" t="s">
        <v>2352</v>
      </c>
      <c r="C3471" s="555" t="str">
        <f>VLOOKUP(D3471,기본!$D$13:$E$74,2,0)</f>
        <v>삼성 생활가전</v>
      </c>
      <c r="D3471" t="s">
        <v>1991</v>
      </c>
      <c r="E3471" t="s">
        <v>1999</v>
      </c>
      <c r="F3471" t="s">
        <v>1999</v>
      </c>
      <c r="G3471" s="554">
        <v>5760</v>
      </c>
      <c r="H3471">
        <v>34.439039999999999</v>
      </c>
    </row>
    <row r="3472" spans="2:8">
      <c r="B3472" s="555" t="s">
        <v>2352</v>
      </c>
      <c r="C3472" s="555" t="str">
        <f>VLOOKUP(D3472,기본!$D$13:$E$74,2,0)</f>
        <v>삼성 생활가전</v>
      </c>
      <c r="D3472" t="s">
        <v>1991</v>
      </c>
      <c r="E3472" t="s">
        <v>2001</v>
      </c>
      <c r="F3472" t="s">
        <v>2001</v>
      </c>
      <c r="G3472" s="554">
        <v>2850</v>
      </c>
      <c r="H3472">
        <v>15.589499999999999</v>
      </c>
    </row>
    <row r="3473" spans="2:8">
      <c r="B3473" s="555" t="s">
        <v>2352</v>
      </c>
      <c r="C3473" s="555" t="str">
        <f>VLOOKUP(D3473,기본!$D$13:$E$74,2,0)</f>
        <v>삼성 생활가전</v>
      </c>
      <c r="D3473" t="s">
        <v>1991</v>
      </c>
      <c r="E3473" t="s">
        <v>1508</v>
      </c>
      <c r="F3473" t="s">
        <v>1508</v>
      </c>
      <c r="G3473" s="554">
        <v>5</v>
      </c>
      <c r="H3473">
        <v>4.7500000000000001E-2</v>
      </c>
    </row>
    <row r="3474" spans="2:8">
      <c r="B3474" s="555" t="s">
        <v>2352</v>
      </c>
      <c r="C3474" s="555" t="str">
        <f>VLOOKUP(D3474,기본!$D$13:$E$74,2,0)</f>
        <v>삼성 생활가전</v>
      </c>
      <c r="D3474" t="s">
        <v>1991</v>
      </c>
      <c r="E3474" t="s">
        <v>1242</v>
      </c>
      <c r="F3474" t="s">
        <v>1242</v>
      </c>
      <c r="G3474" s="554">
        <v>7968</v>
      </c>
      <c r="H3474">
        <v>40.875839999999997</v>
      </c>
    </row>
    <row r="3475" spans="2:8">
      <c r="B3475" s="555" t="s">
        <v>2352</v>
      </c>
      <c r="C3475" s="555" t="str">
        <f>VLOOKUP(D3475,기본!$D$13:$E$74,2,0)</f>
        <v>삼성 생활가전</v>
      </c>
      <c r="D3475" t="s">
        <v>1991</v>
      </c>
      <c r="E3475" t="s">
        <v>1395</v>
      </c>
      <c r="F3475" t="s">
        <v>1395</v>
      </c>
      <c r="G3475" s="554">
        <v>5241</v>
      </c>
      <c r="H3475">
        <v>28.605378000000002</v>
      </c>
    </row>
    <row r="3476" spans="2:8">
      <c r="B3476" s="555" t="s">
        <v>2352</v>
      </c>
      <c r="C3476" s="555" t="str">
        <f>VLOOKUP(D3476,기본!$D$13:$E$74,2,0)</f>
        <v>삼성 생활가전</v>
      </c>
      <c r="D3476" t="s">
        <v>1991</v>
      </c>
      <c r="E3476" t="s">
        <v>2301</v>
      </c>
      <c r="F3476" t="s">
        <v>2301</v>
      </c>
      <c r="G3476" s="554">
        <v>7546</v>
      </c>
      <c r="H3476">
        <v>89.0428</v>
      </c>
    </row>
    <row r="3477" spans="2:8">
      <c r="B3477" s="555" t="s">
        <v>2352</v>
      </c>
      <c r="C3477" s="555" t="str">
        <f>VLOOKUP(D3477,기본!$D$13:$E$74,2,0)</f>
        <v>삼성 생활가전</v>
      </c>
      <c r="D3477" t="s">
        <v>1991</v>
      </c>
      <c r="E3477" t="s">
        <v>2227</v>
      </c>
      <c r="F3477" t="s">
        <v>2227</v>
      </c>
      <c r="G3477" s="554">
        <v>560</v>
      </c>
      <c r="H3477">
        <v>2.9797403999999998</v>
      </c>
    </row>
    <row r="3478" spans="2:8">
      <c r="B3478" s="555" t="s">
        <v>2352</v>
      </c>
      <c r="C3478" s="555" t="str">
        <f>VLOOKUP(D3478,기본!$D$13:$E$74,2,0)</f>
        <v>삼성 생활가전</v>
      </c>
      <c r="D3478" t="s">
        <v>1991</v>
      </c>
      <c r="E3478" t="s">
        <v>1465</v>
      </c>
      <c r="F3478" t="s">
        <v>1465</v>
      </c>
      <c r="G3478" s="554">
        <v>2194</v>
      </c>
      <c r="H3478">
        <v>28.379390000000001</v>
      </c>
    </row>
    <row r="3479" spans="2:8">
      <c r="B3479" s="555" t="s">
        <v>2352</v>
      </c>
      <c r="C3479" s="555" t="str">
        <f>VLOOKUP(D3479,기본!$D$13:$E$74,2,0)</f>
        <v>삼성 생활가전</v>
      </c>
      <c r="D3479" t="s">
        <v>1991</v>
      </c>
      <c r="E3479" t="s">
        <v>2005</v>
      </c>
      <c r="F3479" t="s">
        <v>2005</v>
      </c>
      <c r="G3479" s="554">
        <v>0</v>
      </c>
      <c r="H3479">
        <v>4.7332470000000004</v>
      </c>
    </row>
    <row r="3480" spans="2:8">
      <c r="B3480" s="555" t="s">
        <v>2352</v>
      </c>
      <c r="C3480" s="555" t="str">
        <f>VLOOKUP(D3480,기본!$D$13:$E$74,2,0)</f>
        <v>삼성 생활가전</v>
      </c>
      <c r="D3480" t="s">
        <v>1991</v>
      </c>
      <c r="E3480" t="s">
        <v>229</v>
      </c>
      <c r="F3480" t="s">
        <v>229</v>
      </c>
      <c r="G3480" s="554">
        <v>0</v>
      </c>
      <c r="H3480">
        <v>2.6900000000000004</v>
      </c>
    </row>
    <row r="3481" spans="2:8">
      <c r="B3481" s="555" t="s">
        <v>2352</v>
      </c>
      <c r="C3481" s="555" t="str">
        <f>VLOOKUP(D3481,기본!$D$13:$E$74,2,0)</f>
        <v>삼성 생활가전</v>
      </c>
      <c r="D3481" t="s">
        <v>2006</v>
      </c>
      <c r="E3481" t="s">
        <v>1465</v>
      </c>
      <c r="F3481" t="s">
        <v>1465</v>
      </c>
      <c r="G3481" s="554">
        <v>252</v>
      </c>
      <c r="H3481">
        <v>3.25962</v>
      </c>
    </row>
    <row r="3482" spans="2:8">
      <c r="B3482" s="555" t="s">
        <v>2352</v>
      </c>
      <c r="C3482" s="555" t="str">
        <f>VLOOKUP(D3482,기본!$D$13:$E$74,2,0)</f>
        <v>베터리</v>
      </c>
      <c r="D3482" t="s">
        <v>2322</v>
      </c>
      <c r="E3482" t="s">
        <v>1829</v>
      </c>
      <c r="F3482" t="s">
        <v>1829</v>
      </c>
      <c r="G3482" s="554">
        <v>49427</v>
      </c>
      <c r="H3482">
        <v>300.86214899999999</v>
      </c>
    </row>
    <row r="3483" spans="2:8">
      <c r="B3483" s="555" t="s">
        <v>2352</v>
      </c>
      <c r="C3483" s="555" t="str">
        <f>VLOOKUP(D3483,기본!$D$13:$E$74,2,0)</f>
        <v>베터리</v>
      </c>
      <c r="D3483" t="s">
        <v>2322</v>
      </c>
      <c r="E3483" t="s">
        <v>1828</v>
      </c>
      <c r="F3483" t="s">
        <v>1828</v>
      </c>
      <c r="G3483" s="554">
        <v>100000</v>
      </c>
      <c r="H3483">
        <v>162.80000000000001</v>
      </c>
    </row>
    <row r="3484" spans="2:8">
      <c r="B3484" s="555" t="s">
        <v>2352</v>
      </c>
      <c r="C3484" s="555" t="str">
        <f>VLOOKUP(D3484,기본!$D$13:$E$74,2,0)</f>
        <v>코웨이</v>
      </c>
      <c r="D3484" t="s">
        <v>2282</v>
      </c>
      <c r="E3484" t="s">
        <v>1544</v>
      </c>
      <c r="F3484" t="s">
        <v>1544</v>
      </c>
      <c r="G3484" s="554">
        <v>4180</v>
      </c>
      <c r="H3484">
        <v>27.362279999999998</v>
      </c>
    </row>
    <row r="3485" spans="2:8">
      <c r="B3485" s="555" t="s">
        <v>2352</v>
      </c>
      <c r="C3485" s="555" t="str">
        <f>VLOOKUP(D3485,기본!$D$13:$E$74,2,0)</f>
        <v>코웨이</v>
      </c>
      <c r="D3485" t="s">
        <v>2282</v>
      </c>
      <c r="E3485" t="s">
        <v>1545</v>
      </c>
      <c r="F3485" t="s">
        <v>1545</v>
      </c>
      <c r="G3485" s="554">
        <v>868</v>
      </c>
      <c r="H3485">
        <v>5.1663360000000003</v>
      </c>
    </row>
    <row r="3486" spans="2:8">
      <c r="B3486" s="555" t="s">
        <v>2352</v>
      </c>
      <c r="C3486" s="555" t="str">
        <f>VLOOKUP(D3486,기본!$D$13:$E$74,2,0)</f>
        <v>코웨이</v>
      </c>
      <c r="D3486" t="s">
        <v>2007</v>
      </c>
      <c r="E3486" t="s">
        <v>1072</v>
      </c>
      <c r="F3486" t="s">
        <v>1072</v>
      </c>
      <c r="G3486" s="554">
        <v>3984</v>
      </c>
      <c r="H3486">
        <v>19.322399999999998</v>
      </c>
    </row>
    <row r="3487" spans="2:8">
      <c r="B3487" s="555" t="s">
        <v>2352</v>
      </c>
      <c r="C3487" s="555" t="str">
        <f>VLOOKUP(D3487,기본!$D$13:$E$74,2,0)</f>
        <v>코웨이</v>
      </c>
      <c r="D3487" t="s">
        <v>2007</v>
      </c>
      <c r="E3487" t="s">
        <v>1075</v>
      </c>
      <c r="F3487" t="s">
        <v>1075</v>
      </c>
      <c r="G3487" s="554">
        <v>3456</v>
      </c>
      <c r="H3487">
        <v>4.8211199999999996</v>
      </c>
    </row>
    <row r="3488" spans="2:8">
      <c r="B3488" s="555" t="s">
        <v>2352</v>
      </c>
      <c r="C3488" s="555" t="str">
        <f>VLOOKUP(D3488,기본!$D$13:$E$74,2,0)</f>
        <v>코웨이</v>
      </c>
      <c r="D3488" t="s">
        <v>2008</v>
      </c>
      <c r="E3488" t="s">
        <v>2009</v>
      </c>
      <c r="F3488" t="s">
        <v>2009</v>
      </c>
      <c r="G3488" s="554">
        <v>4680</v>
      </c>
      <c r="H3488">
        <v>12.79044</v>
      </c>
    </row>
    <row r="3489" spans="2:8">
      <c r="B3489" s="555" t="s">
        <v>2352</v>
      </c>
      <c r="C3489" s="555" t="str">
        <f>VLOOKUP(D3489,기본!$D$13:$E$74,2,0)</f>
        <v>코웨이</v>
      </c>
      <c r="D3489" t="s">
        <v>2194</v>
      </c>
      <c r="E3489" t="s">
        <v>2196</v>
      </c>
      <c r="F3489" t="s">
        <v>2196</v>
      </c>
      <c r="G3489" s="554">
        <v>4480</v>
      </c>
      <c r="H3489">
        <v>358.13526335999995</v>
      </c>
    </row>
    <row r="3490" spans="2:8">
      <c r="B3490" s="555" t="s">
        <v>2352</v>
      </c>
      <c r="C3490" s="555" t="str">
        <f>VLOOKUP(D3490,기본!$D$13:$E$74,2,0)</f>
        <v>코웨이</v>
      </c>
      <c r="D3490" t="s">
        <v>2010</v>
      </c>
      <c r="E3490" t="s">
        <v>2011</v>
      </c>
      <c r="F3490" t="s">
        <v>2011</v>
      </c>
      <c r="G3490" s="554">
        <v>40</v>
      </c>
      <c r="H3490">
        <v>0.19824</v>
      </c>
    </row>
    <row r="3491" spans="2:8">
      <c r="B3491" s="555" t="s">
        <v>2352</v>
      </c>
      <c r="C3491" s="555" t="str">
        <f>VLOOKUP(D3491,기본!$D$13:$E$74,2,0)</f>
        <v>코웨이</v>
      </c>
      <c r="D3491" t="s">
        <v>2010</v>
      </c>
      <c r="E3491" t="s">
        <v>2012</v>
      </c>
      <c r="F3491" t="s">
        <v>2012</v>
      </c>
      <c r="G3491" s="554">
        <v>3</v>
      </c>
      <c r="H3491">
        <v>2.6700000000000002E-2</v>
      </c>
    </row>
    <row r="3492" spans="2:8">
      <c r="B3492" s="555" t="s">
        <v>2352</v>
      </c>
      <c r="C3492" s="555" t="str">
        <f>VLOOKUP(D3492,기본!$D$13:$E$74,2,0)</f>
        <v>코웨이</v>
      </c>
      <c r="D3492" t="s">
        <v>2010</v>
      </c>
      <c r="E3492" t="s">
        <v>2013</v>
      </c>
      <c r="F3492" t="s">
        <v>2013</v>
      </c>
      <c r="G3492" s="554">
        <v>73</v>
      </c>
      <c r="H3492">
        <v>0.64006399999999997</v>
      </c>
    </row>
    <row r="3493" spans="2:8">
      <c r="B3493" s="555" t="s">
        <v>2352</v>
      </c>
      <c r="C3493" s="555" t="str">
        <f>VLOOKUP(D3493,기본!$D$13:$E$74,2,0)</f>
        <v>코웨이</v>
      </c>
      <c r="D3493" t="s">
        <v>2010</v>
      </c>
      <c r="E3493" t="s">
        <v>2014</v>
      </c>
      <c r="F3493" t="s">
        <v>2014</v>
      </c>
      <c r="G3493" s="554">
        <v>6620</v>
      </c>
      <c r="H3493">
        <v>57.805840000000003</v>
      </c>
    </row>
    <row r="3494" spans="2:8">
      <c r="B3494" s="555" t="s">
        <v>2352</v>
      </c>
      <c r="C3494" s="555" t="str">
        <f>VLOOKUP(D3494,기본!$D$13:$E$74,2,0)</f>
        <v>코웨이</v>
      </c>
      <c r="D3494" t="s">
        <v>2010</v>
      </c>
      <c r="E3494" t="s">
        <v>1093</v>
      </c>
      <c r="F3494" t="s">
        <v>1093</v>
      </c>
      <c r="G3494" s="554">
        <v>163</v>
      </c>
      <c r="H3494">
        <v>0.87790599999999996</v>
      </c>
    </row>
    <row r="3495" spans="2:8">
      <c r="B3495" s="555" t="s">
        <v>2352</v>
      </c>
      <c r="C3495" s="555" t="str">
        <f>VLOOKUP(D3495,기본!$D$13:$E$74,2,0)</f>
        <v>코웨이</v>
      </c>
      <c r="D3495" t="s">
        <v>2010</v>
      </c>
      <c r="E3495" t="s">
        <v>1094</v>
      </c>
      <c r="F3495" t="s">
        <v>1094</v>
      </c>
      <c r="G3495" s="554">
        <v>268</v>
      </c>
      <c r="H3495">
        <v>0.93815199999999987</v>
      </c>
    </row>
    <row r="3496" spans="2:8">
      <c r="B3496" s="555" t="s">
        <v>2352</v>
      </c>
      <c r="C3496" s="555" t="str">
        <f>VLOOKUP(D3496,기본!$D$13:$E$74,2,0)</f>
        <v>코웨이</v>
      </c>
      <c r="D3496" t="s">
        <v>2010</v>
      </c>
      <c r="E3496" t="s">
        <v>1095</v>
      </c>
      <c r="F3496" t="s">
        <v>1095</v>
      </c>
      <c r="G3496" s="554">
        <v>69</v>
      </c>
      <c r="H3496">
        <v>0.41886899999999999</v>
      </c>
    </row>
    <row r="3497" spans="2:8">
      <c r="B3497" s="555" t="s">
        <v>2352</v>
      </c>
      <c r="C3497" s="555" t="str">
        <f>VLOOKUP(D3497,기본!$D$13:$E$74,2,0)</f>
        <v>코웨이</v>
      </c>
      <c r="D3497" t="s">
        <v>2010</v>
      </c>
      <c r="E3497" t="s">
        <v>2015</v>
      </c>
      <c r="F3497" t="s">
        <v>2015</v>
      </c>
      <c r="G3497" s="554">
        <v>21</v>
      </c>
      <c r="H3497">
        <v>0.27060600000000001</v>
      </c>
    </row>
    <row r="3498" spans="2:8">
      <c r="B3498" s="555" t="s">
        <v>2352</v>
      </c>
      <c r="C3498" s="555" t="str">
        <f>VLOOKUP(D3498,기본!$D$13:$E$74,2,0)</f>
        <v>코웨이</v>
      </c>
      <c r="D3498" t="s">
        <v>2010</v>
      </c>
      <c r="E3498" t="s">
        <v>2016</v>
      </c>
      <c r="F3498" t="s">
        <v>2016</v>
      </c>
      <c r="G3498" s="554">
        <v>35</v>
      </c>
      <c r="H3498">
        <v>0.28356999999999999</v>
      </c>
    </row>
    <row r="3499" spans="2:8">
      <c r="B3499" s="555" t="s">
        <v>2352</v>
      </c>
      <c r="C3499" s="555" t="str">
        <f>VLOOKUP(D3499,기본!$D$13:$E$74,2,0)</f>
        <v>코웨이</v>
      </c>
      <c r="D3499" t="s">
        <v>2010</v>
      </c>
      <c r="E3499" t="s">
        <v>2229</v>
      </c>
      <c r="F3499" t="s">
        <v>2229</v>
      </c>
      <c r="G3499" s="554">
        <v>250</v>
      </c>
      <c r="H3499">
        <v>3.83725</v>
      </c>
    </row>
    <row r="3500" spans="2:8">
      <c r="B3500" s="555" t="s">
        <v>2352</v>
      </c>
      <c r="C3500" s="555" t="str">
        <f>VLOOKUP(D3500,기본!$D$13:$E$74,2,0)</f>
        <v>코웨이</v>
      </c>
      <c r="D3500" t="s">
        <v>2010</v>
      </c>
      <c r="E3500" t="s">
        <v>2017</v>
      </c>
      <c r="F3500" t="s">
        <v>2017</v>
      </c>
      <c r="G3500" s="554">
        <v>7</v>
      </c>
      <c r="H3500">
        <v>8.6071999999999996E-2</v>
      </c>
    </row>
    <row r="3501" spans="2:8">
      <c r="B3501" s="555" t="s">
        <v>2352</v>
      </c>
      <c r="C3501" s="555" t="str">
        <f>VLOOKUP(D3501,기본!$D$13:$E$74,2,0)</f>
        <v>코웨이</v>
      </c>
      <c r="D3501" t="s">
        <v>2010</v>
      </c>
      <c r="E3501" t="s">
        <v>2019</v>
      </c>
      <c r="F3501" t="s">
        <v>2019</v>
      </c>
      <c r="G3501" s="554">
        <v>400</v>
      </c>
      <c r="H3501">
        <v>6.6139999999999999</v>
      </c>
    </row>
    <row r="3502" spans="2:8">
      <c r="B3502" s="555" t="s">
        <v>2352</v>
      </c>
      <c r="C3502" s="555" t="str">
        <f>VLOOKUP(D3502,기본!$D$13:$E$74,2,0)</f>
        <v>코웨이</v>
      </c>
      <c r="D3502" t="s">
        <v>2010</v>
      </c>
      <c r="E3502" t="s">
        <v>2020</v>
      </c>
      <c r="F3502" t="s">
        <v>2020</v>
      </c>
      <c r="G3502" s="554">
        <v>12</v>
      </c>
      <c r="H3502">
        <v>0.18499199999999999</v>
      </c>
    </row>
    <row r="3503" spans="2:8">
      <c r="B3503" s="555" t="s">
        <v>2352</v>
      </c>
      <c r="C3503" s="555" t="str">
        <f>VLOOKUP(D3503,기본!$D$13:$E$74,2,0)</f>
        <v>코웨이</v>
      </c>
      <c r="D3503" t="s">
        <v>2010</v>
      </c>
      <c r="E3503" t="s">
        <v>2021</v>
      </c>
      <c r="F3503" t="s">
        <v>2021</v>
      </c>
      <c r="G3503" s="554">
        <v>26017</v>
      </c>
      <c r="H3503">
        <v>336.14710399999996</v>
      </c>
    </row>
    <row r="3504" spans="2:8">
      <c r="B3504" s="555" t="s">
        <v>2352</v>
      </c>
      <c r="C3504" s="555" t="str">
        <f>VLOOKUP(D3504,기본!$D$13:$E$74,2,0)</f>
        <v>코웨이</v>
      </c>
      <c r="D3504" t="s">
        <v>2010</v>
      </c>
      <c r="E3504" t="s">
        <v>1542</v>
      </c>
      <c r="F3504" t="s">
        <v>1542</v>
      </c>
      <c r="G3504" s="554">
        <v>2</v>
      </c>
      <c r="H3504">
        <v>1.562E-2</v>
      </c>
    </row>
    <row r="3505" spans="2:8">
      <c r="B3505" s="555" t="s">
        <v>2352</v>
      </c>
      <c r="C3505" s="555" t="str">
        <f>VLOOKUP(D3505,기본!$D$13:$E$74,2,0)</f>
        <v>코웨이</v>
      </c>
      <c r="D3505" t="s">
        <v>2010</v>
      </c>
      <c r="E3505" t="s">
        <v>2023</v>
      </c>
      <c r="F3505" t="s">
        <v>2023</v>
      </c>
      <c r="G3505" s="554">
        <v>2408</v>
      </c>
      <c r="H3505">
        <v>17.464024000000002</v>
      </c>
    </row>
    <row r="3506" spans="2:8">
      <c r="B3506" s="555" t="s">
        <v>2352</v>
      </c>
      <c r="C3506" s="555" t="str">
        <f>VLOOKUP(D3506,기본!$D$13:$E$74,2,0)</f>
        <v>코웨이</v>
      </c>
      <c r="D3506" t="s">
        <v>2010</v>
      </c>
      <c r="E3506" t="s">
        <v>2024</v>
      </c>
      <c r="F3506" t="s">
        <v>2024</v>
      </c>
      <c r="G3506" s="554">
        <v>14</v>
      </c>
      <c r="H3506">
        <v>0.14152600000000001</v>
      </c>
    </row>
    <row r="3507" spans="2:8">
      <c r="B3507" s="555" t="s">
        <v>2352</v>
      </c>
      <c r="C3507" s="555" t="str">
        <f>VLOOKUP(D3507,기본!$D$13:$E$74,2,0)</f>
        <v>코웨이</v>
      </c>
      <c r="D3507" t="s">
        <v>2010</v>
      </c>
      <c r="E3507" t="s">
        <v>2025</v>
      </c>
      <c r="F3507" t="s">
        <v>2025</v>
      </c>
      <c r="G3507" s="554">
        <v>1294</v>
      </c>
      <c r="H3507">
        <v>11.600709999999999</v>
      </c>
    </row>
    <row r="3508" spans="2:8">
      <c r="B3508" s="555" t="s">
        <v>2352</v>
      </c>
      <c r="C3508" s="555" t="str">
        <f>VLOOKUP(D3508,기본!$D$13:$E$74,2,0)</f>
        <v>코웨이</v>
      </c>
      <c r="D3508" t="s">
        <v>2010</v>
      </c>
      <c r="E3508" t="s">
        <v>2081</v>
      </c>
      <c r="F3508" t="s">
        <v>2081</v>
      </c>
      <c r="G3508" s="554">
        <v>200</v>
      </c>
      <c r="H3508">
        <v>1.9139999999999999</v>
      </c>
    </row>
    <row r="3509" spans="2:8">
      <c r="B3509" s="555" t="s">
        <v>2352</v>
      </c>
      <c r="C3509" s="555" t="str">
        <f>VLOOKUP(D3509,기본!$D$13:$E$74,2,0)</f>
        <v>코웨이</v>
      </c>
      <c r="D3509" t="s">
        <v>2010</v>
      </c>
      <c r="E3509" t="s">
        <v>2026</v>
      </c>
      <c r="F3509" t="s">
        <v>2026</v>
      </c>
      <c r="G3509" s="554">
        <v>118</v>
      </c>
      <c r="H3509">
        <v>1.9908699999999999</v>
      </c>
    </row>
    <row r="3510" spans="2:8">
      <c r="B3510" s="555" t="s">
        <v>2352</v>
      </c>
      <c r="C3510" s="555" t="str">
        <f>VLOOKUP(D3510,기본!$D$13:$E$74,2,0)</f>
        <v>코웨이</v>
      </c>
      <c r="D3510" t="s">
        <v>2010</v>
      </c>
      <c r="E3510" t="s">
        <v>2027</v>
      </c>
      <c r="F3510" t="s">
        <v>2027</v>
      </c>
      <c r="G3510" s="554">
        <v>15</v>
      </c>
      <c r="H3510">
        <v>0.29099999999999998</v>
      </c>
    </row>
    <row r="3511" spans="2:8">
      <c r="B3511" s="555" t="s">
        <v>2352</v>
      </c>
      <c r="C3511" s="555" t="str">
        <f>VLOOKUP(D3511,기본!$D$13:$E$74,2,0)</f>
        <v>코웨이</v>
      </c>
      <c r="D3511" t="s">
        <v>2010</v>
      </c>
      <c r="E3511" t="s">
        <v>2028</v>
      </c>
      <c r="F3511" t="s">
        <v>2028</v>
      </c>
      <c r="G3511" s="554">
        <v>50</v>
      </c>
      <c r="H3511">
        <v>0.94499999999999995</v>
      </c>
    </row>
    <row r="3512" spans="2:8">
      <c r="B3512" s="555" t="s">
        <v>2352</v>
      </c>
      <c r="C3512" s="555" t="str">
        <f>VLOOKUP(D3512,기본!$D$13:$E$74,2,0)</f>
        <v>코웨이</v>
      </c>
      <c r="D3512" t="s">
        <v>2010</v>
      </c>
      <c r="E3512" t="s">
        <v>2029</v>
      </c>
      <c r="F3512" t="s">
        <v>2029</v>
      </c>
      <c r="G3512" s="554">
        <v>515</v>
      </c>
      <c r="H3512">
        <v>10.537504999999999</v>
      </c>
    </row>
    <row r="3513" spans="2:8">
      <c r="B3513" s="555" t="s">
        <v>2352</v>
      </c>
      <c r="C3513" s="555" t="str">
        <f>VLOOKUP(D3513,기본!$D$13:$E$74,2,0)</f>
        <v>코웨이</v>
      </c>
      <c r="D3513" t="s">
        <v>2010</v>
      </c>
      <c r="E3513" t="s">
        <v>2030</v>
      </c>
      <c r="F3513" t="s">
        <v>2030</v>
      </c>
      <c r="G3513" s="554">
        <v>180</v>
      </c>
      <c r="H3513">
        <v>3.70566</v>
      </c>
    </row>
    <row r="3514" spans="2:8">
      <c r="B3514" s="555" t="s">
        <v>2352</v>
      </c>
      <c r="C3514" s="555" t="str">
        <f>VLOOKUP(D3514,기본!$D$13:$E$74,2,0)</f>
        <v>코웨이</v>
      </c>
      <c r="D3514" t="s">
        <v>2010</v>
      </c>
      <c r="E3514" t="s">
        <v>2031</v>
      </c>
      <c r="F3514" t="s">
        <v>2031</v>
      </c>
      <c r="G3514" s="554">
        <v>3</v>
      </c>
      <c r="H3514">
        <v>4.1730000000000003E-2</v>
      </c>
    </row>
    <row r="3515" spans="2:8">
      <c r="B3515" s="555" t="s">
        <v>2352</v>
      </c>
      <c r="C3515" s="555" t="str">
        <f>VLOOKUP(D3515,기본!$D$13:$E$74,2,0)</f>
        <v>코웨이</v>
      </c>
      <c r="D3515" t="s">
        <v>2010</v>
      </c>
      <c r="E3515" t="s">
        <v>2032</v>
      </c>
      <c r="F3515" t="s">
        <v>2032</v>
      </c>
      <c r="G3515" s="554">
        <v>603</v>
      </c>
      <c r="H3515">
        <v>1.335264</v>
      </c>
    </row>
    <row r="3516" spans="2:8">
      <c r="B3516" s="555" t="s">
        <v>2352</v>
      </c>
      <c r="C3516" s="555" t="str">
        <f>VLOOKUP(D3516,기본!$D$13:$E$74,2,0)</f>
        <v>코웨이</v>
      </c>
      <c r="D3516" t="s">
        <v>2010</v>
      </c>
      <c r="E3516" t="s">
        <v>2033</v>
      </c>
      <c r="F3516" t="s">
        <v>2033</v>
      </c>
      <c r="G3516" s="554">
        <v>3416</v>
      </c>
      <c r="H3516">
        <v>21.973791000000002</v>
      </c>
    </row>
    <row r="3517" spans="2:8">
      <c r="B3517" s="555" t="s">
        <v>2352</v>
      </c>
      <c r="C3517" s="555" t="str">
        <f>VLOOKUP(D3517,기본!$D$13:$E$74,2,0)</f>
        <v>코웨이</v>
      </c>
      <c r="D3517" t="s">
        <v>2010</v>
      </c>
      <c r="E3517" t="s">
        <v>2034</v>
      </c>
      <c r="F3517" t="s">
        <v>2034</v>
      </c>
      <c r="G3517" s="554">
        <v>10958</v>
      </c>
      <c r="H3517">
        <v>171.19846000000001</v>
      </c>
    </row>
    <row r="3518" spans="2:8">
      <c r="B3518" s="555" t="s">
        <v>2352</v>
      </c>
      <c r="C3518" s="555" t="str">
        <f>VLOOKUP(D3518,기본!$D$13:$E$74,2,0)</f>
        <v>코웨이</v>
      </c>
      <c r="D3518" t="s">
        <v>2010</v>
      </c>
      <c r="E3518" t="s">
        <v>2303</v>
      </c>
      <c r="F3518" t="s">
        <v>2303</v>
      </c>
      <c r="G3518" s="554">
        <v>230</v>
      </c>
      <c r="H3518">
        <v>2.0833399999999997</v>
      </c>
    </row>
    <row r="3519" spans="2:8">
      <c r="B3519" s="555" t="s">
        <v>2352</v>
      </c>
      <c r="C3519" s="555" t="str">
        <f>VLOOKUP(D3519,기본!$D$13:$E$74,2,0)</f>
        <v>코웨이</v>
      </c>
      <c r="D3519" t="s">
        <v>2010</v>
      </c>
      <c r="E3519" t="s">
        <v>2035</v>
      </c>
      <c r="F3519" t="s">
        <v>2035</v>
      </c>
      <c r="G3519" s="554">
        <v>276</v>
      </c>
      <c r="H3519">
        <v>4.634868</v>
      </c>
    </row>
    <row r="3520" spans="2:8">
      <c r="B3520" s="555" t="s">
        <v>2352</v>
      </c>
      <c r="C3520" s="555" t="str">
        <f>VLOOKUP(D3520,기본!$D$13:$E$74,2,0)</f>
        <v>코웨이</v>
      </c>
      <c r="D3520" t="s">
        <v>2010</v>
      </c>
      <c r="E3520" t="s">
        <v>2036</v>
      </c>
      <c r="F3520" t="s">
        <v>2036</v>
      </c>
      <c r="G3520" s="554">
        <v>1486</v>
      </c>
      <c r="H3520">
        <v>22.708849999999998</v>
      </c>
    </row>
    <row r="3521" spans="2:8">
      <c r="B3521" s="555" t="s">
        <v>2352</v>
      </c>
      <c r="C3521" s="555" t="str">
        <f>VLOOKUP(D3521,기본!$D$13:$E$74,2,0)</f>
        <v>코웨이</v>
      </c>
      <c r="D3521" t="s">
        <v>2010</v>
      </c>
      <c r="E3521" t="s">
        <v>2038</v>
      </c>
      <c r="F3521" t="s">
        <v>2038</v>
      </c>
      <c r="G3521" s="554">
        <v>350</v>
      </c>
      <c r="H3521">
        <v>5.5618499999999997</v>
      </c>
    </row>
    <row r="3522" spans="2:8">
      <c r="B3522" s="555" t="s">
        <v>2352</v>
      </c>
      <c r="C3522" s="555" t="str">
        <f>VLOOKUP(D3522,기본!$D$13:$E$74,2,0)</f>
        <v>코웨이</v>
      </c>
      <c r="D3522" t="s">
        <v>2010</v>
      </c>
      <c r="E3522" t="s">
        <v>2039</v>
      </c>
      <c r="F3522" t="s">
        <v>2039</v>
      </c>
      <c r="G3522" s="554">
        <v>15</v>
      </c>
      <c r="H3522">
        <v>0.24837000000000001</v>
      </c>
    </row>
    <row r="3523" spans="2:8">
      <c r="B3523" s="555" t="s">
        <v>2352</v>
      </c>
      <c r="C3523" s="555" t="str">
        <f>VLOOKUP(D3523,기본!$D$13:$E$74,2,0)</f>
        <v>코웨이</v>
      </c>
      <c r="D3523" t="s">
        <v>2010</v>
      </c>
      <c r="E3523" t="s">
        <v>2041</v>
      </c>
      <c r="F3523" t="s">
        <v>2041</v>
      </c>
      <c r="G3523" s="554">
        <v>2349</v>
      </c>
      <c r="H3523">
        <v>38.462526000000004</v>
      </c>
    </row>
    <row r="3524" spans="2:8">
      <c r="B3524" s="555" t="s">
        <v>2352</v>
      </c>
      <c r="C3524" s="555" t="str">
        <f>VLOOKUP(D3524,기본!$D$13:$E$74,2,0)</f>
        <v>코웨이</v>
      </c>
      <c r="D3524" t="s">
        <v>2010</v>
      </c>
      <c r="E3524" t="s">
        <v>1089</v>
      </c>
      <c r="F3524" t="s">
        <v>1089</v>
      </c>
      <c r="G3524" s="554">
        <v>287</v>
      </c>
      <c r="H3524">
        <v>3.255897</v>
      </c>
    </row>
    <row r="3525" spans="2:8">
      <c r="B3525" s="555" t="s">
        <v>2352</v>
      </c>
      <c r="C3525" s="555" t="str">
        <f>VLOOKUP(D3525,기본!$D$13:$E$74,2,0)</f>
        <v>코웨이</v>
      </c>
      <c r="D3525" t="s">
        <v>2010</v>
      </c>
      <c r="E3525" t="s">
        <v>1118</v>
      </c>
      <c r="F3525" t="s">
        <v>1118</v>
      </c>
      <c r="G3525" s="554">
        <v>45</v>
      </c>
      <c r="H3525">
        <v>0.73916999999999999</v>
      </c>
    </row>
    <row r="3526" spans="2:8">
      <c r="B3526" s="555" t="s">
        <v>2352</v>
      </c>
      <c r="C3526" s="555" t="str">
        <f>VLOOKUP(D3526,기본!$D$13:$E$74,2,0)</f>
        <v>코웨이</v>
      </c>
      <c r="D3526" t="s">
        <v>2010</v>
      </c>
      <c r="E3526" t="s">
        <v>2043</v>
      </c>
      <c r="F3526" t="s">
        <v>2043</v>
      </c>
      <c r="G3526" s="554">
        <v>6</v>
      </c>
      <c r="H3526">
        <v>5.0201999999999997E-2</v>
      </c>
    </row>
    <row r="3527" spans="2:8">
      <c r="B3527" s="555" t="s">
        <v>2352</v>
      </c>
      <c r="C3527" s="555" t="str">
        <f>VLOOKUP(D3527,기본!$D$13:$E$74,2,0)</f>
        <v>코웨이</v>
      </c>
      <c r="D3527" t="s">
        <v>2010</v>
      </c>
      <c r="E3527" t="s">
        <v>2044</v>
      </c>
      <c r="F3527" t="s">
        <v>2044</v>
      </c>
      <c r="G3527" s="554">
        <v>45</v>
      </c>
      <c r="H3527">
        <v>0.79622999999999999</v>
      </c>
    </row>
    <row r="3528" spans="2:8">
      <c r="B3528" s="555" t="s">
        <v>2352</v>
      </c>
      <c r="C3528" s="555" t="str">
        <f>VLOOKUP(D3528,기본!$D$13:$E$74,2,0)</f>
        <v>코웨이</v>
      </c>
      <c r="D3528" t="s">
        <v>2010</v>
      </c>
      <c r="E3528" t="s">
        <v>2152</v>
      </c>
      <c r="F3528" t="s">
        <v>2152</v>
      </c>
      <c r="G3528" s="554">
        <v>4</v>
      </c>
      <c r="H3528">
        <v>1.5136E-2</v>
      </c>
    </row>
    <row r="3529" spans="2:8">
      <c r="B3529" s="555" t="s">
        <v>2352</v>
      </c>
      <c r="C3529" s="555" t="str">
        <f>VLOOKUP(D3529,기본!$D$13:$E$74,2,0)</f>
        <v>코웨이</v>
      </c>
      <c r="D3529" t="s">
        <v>2010</v>
      </c>
      <c r="E3529" t="s">
        <v>2045</v>
      </c>
      <c r="F3529" t="s">
        <v>2045</v>
      </c>
      <c r="G3529" s="554">
        <v>36</v>
      </c>
      <c r="H3529">
        <v>0.60973200000000005</v>
      </c>
    </row>
    <row r="3530" spans="2:8">
      <c r="B3530" s="555" t="s">
        <v>2352</v>
      </c>
      <c r="C3530" s="555" t="str">
        <f>VLOOKUP(D3530,기본!$D$13:$E$74,2,0)</f>
        <v>코웨이</v>
      </c>
      <c r="D3530" t="s">
        <v>2010</v>
      </c>
      <c r="E3530" t="s">
        <v>2046</v>
      </c>
      <c r="F3530" t="s">
        <v>2046</v>
      </c>
      <c r="G3530" s="554">
        <v>1572</v>
      </c>
      <c r="H3530">
        <v>24.544118999999998</v>
      </c>
    </row>
    <row r="3531" spans="2:8">
      <c r="B3531" s="555" t="s">
        <v>2352</v>
      </c>
      <c r="C3531" s="555" t="str">
        <f>VLOOKUP(D3531,기본!$D$13:$E$74,2,0)</f>
        <v>코웨이</v>
      </c>
      <c r="D3531" t="s">
        <v>2010</v>
      </c>
      <c r="E3531" t="s">
        <v>2323</v>
      </c>
      <c r="F3531" t="s">
        <v>2323</v>
      </c>
      <c r="G3531" s="554">
        <v>3</v>
      </c>
      <c r="H3531">
        <v>2.7990000000000001E-2</v>
      </c>
    </row>
    <row r="3532" spans="2:8">
      <c r="B3532" s="555" t="s">
        <v>2352</v>
      </c>
      <c r="C3532" s="555" t="str">
        <f>VLOOKUP(D3532,기본!$D$13:$E$74,2,0)</f>
        <v>코웨이</v>
      </c>
      <c r="D3532" t="s">
        <v>2010</v>
      </c>
      <c r="E3532" t="s">
        <v>1215</v>
      </c>
      <c r="F3532" t="s">
        <v>1215</v>
      </c>
      <c r="G3532" s="554">
        <v>386</v>
      </c>
      <c r="H3532">
        <v>11.827693999999999</v>
      </c>
    </row>
    <row r="3533" spans="2:8">
      <c r="B3533" s="555" t="s">
        <v>2352</v>
      </c>
      <c r="C3533" s="555" t="str">
        <f>VLOOKUP(D3533,기본!$D$13:$E$74,2,0)</f>
        <v>코웨이</v>
      </c>
      <c r="D3533" t="s">
        <v>2010</v>
      </c>
      <c r="E3533" t="s">
        <v>1216</v>
      </c>
      <c r="F3533" t="s">
        <v>1216</v>
      </c>
      <c r="G3533" s="554">
        <v>892</v>
      </c>
      <c r="H3533">
        <v>23.028763999999999</v>
      </c>
    </row>
    <row r="3534" spans="2:8">
      <c r="B3534" s="555" t="s">
        <v>2352</v>
      </c>
      <c r="C3534" s="555" t="str">
        <f>VLOOKUP(D3534,기본!$D$13:$E$74,2,0)</f>
        <v>코웨이</v>
      </c>
      <c r="D3534" t="s">
        <v>2010</v>
      </c>
      <c r="E3534" t="s">
        <v>2351</v>
      </c>
      <c r="F3534" t="s">
        <v>2351</v>
      </c>
      <c r="G3534" s="554">
        <v>35</v>
      </c>
      <c r="H3534">
        <v>1.1864300000000001</v>
      </c>
    </row>
    <row r="3535" spans="2:8">
      <c r="B3535" s="555" t="s">
        <v>2352</v>
      </c>
      <c r="C3535" s="555" t="str">
        <f>VLOOKUP(D3535,기본!$D$13:$E$74,2,0)</f>
        <v>코웨이</v>
      </c>
      <c r="D3535" t="s">
        <v>2010</v>
      </c>
      <c r="E3535" t="s">
        <v>2050</v>
      </c>
      <c r="F3535" t="s">
        <v>2050</v>
      </c>
      <c r="G3535" s="554">
        <v>54</v>
      </c>
      <c r="H3535">
        <v>1.3099859999999999</v>
      </c>
    </row>
    <row r="3536" spans="2:8">
      <c r="B3536" s="555" t="s">
        <v>2352</v>
      </c>
      <c r="C3536" s="555" t="str">
        <f>VLOOKUP(D3536,기본!$D$13:$E$74,2,0)</f>
        <v>코웨이</v>
      </c>
      <c r="D3536" t="s">
        <v>2010</v>
      </c>
      <c r="E3536" t="s">
        <v>2051</v>
      </c>
      <c r="F3536" t="s">
        <v>2051</v>
      </c>
      <c r="G3536" s="554">
        <v>1424</v>
      </c>
      <c r="H3536">
        <v>34.455103999999999</v>
      </c>
    </row>
    <row r="3537" spans="2:11">
      <c r="B3537" s="555" t="s">
        <v>2352</v>
      </c>
      <c r="C3537" s="555" t="str">
        <f>VLOOKUP(D3537,기본!$D$13:$E$74,2,0)</f>
        <v>코웨이</v>
      </c>
      <c r="D3537" t="s">
        <v>2010</v>
      </c>
      <c r="E3537" t="s">
        <v>2052</v>
      </c>
      <c r="F3537" t="s">
        <v>2052</v>
      </c>
      <c r="G3537" s="554">
        <v>410</v>
      </c>
      <c r="H3537">
        <v>9.4463999999999988</v>
      </c>
    </row>
    <row r="3538" spans="2:11">
      <c r="B3538" s="555" t="s">
        <v>2352</v>
      </c>
      <c r="C3538" s="555" t="str">
        <f>VLOOKUP(D3538,기본!$D$13:$E$74,2,0)</f>
        <v>코웨이</v>
      </c>
      <c r="D3538" t="s">
        <v>2010</v>
      </c>
      <c r="E3538" t="s">
        <v>1217</v>
      </c>
      <c r="F3538" t="s">
        <v>1217</v>
      </c>
      <c r="G3538" s="554">
        <v>55</v>
      </c>
      <c r="H3538">
        <v>1.7428399999999999</v>
      </c>
    </row>
    <row r="3539" spans="2:11">
      <c r="B3539" s="555" t="s">
        <v>2352</v>
      </c>
      <c r="C3539" s="555" t="str">
        <f>VLOOKUP(D3539,기본!$D$13:$E$74,2,0)</f>
        <v>코웨이</v>
      </c>
      <c r="D3539" t="s">
        <v>2010</v>
      </c>
      <c r="E3539" t="s">
        <v>2054</v>
      </c>
      <c r="F3539" t="s">
        <v>2054</v>
      </c>
      <c r="G3539" s="554">
        <v>18</v>
      </c>
      <c r="H3539">
        <v>0.56842199999999998</v>
      </c>
    </row>
    <row r="3540" spans="2:11">
      <c r="B3540" s="555" t="s">
        <v>2352</v>
      </c>
      <c r="C3540" s="555" t="str">
        <f>VLOOKUP(D3540,기본!$D$13:$E$74,2,0)</f>
        <v>코웨이</v>
      </c>
      <c r="D3540" t="s">
        <v>2010</v>
      </c>
      <c r="E3540" t="s">
        <v>2055</v>
      </c>
      <c r="F3540" t="s">
        <v>2055</v>
      </c>
      <c r="G3540" s="554">
        <v>26</v>
      </c>
      <c r="H3540">
        <v>0.72043400000000002</v>
      </c>
    </row>
    <row r="3541" spans="2:11">
      <c r="B3541" s="555" t="s">
        <v>2352</v>
      </c>
      <c r="C3541" s="555" t="str">
        <f>VLOOKUP(D3541,기본!$D$13:$E$74,2,0)</f>
        <v>코웨이</v>
      </c>
      <c r="D3541" t="s">
        <v>2010</v>
      </c>
      <c r="E3541" t="s">
        <v>2056</v>
      </c>
      <c r="F3541" t="s">
        <v>2056</v>
      </c>
      <c r="G3541" s="554">
        <v>1205</v>
      </c>
      <c r="H3541">
        <v>23.168309999999998</v>
      </c>
    </row>
    <row r="3542" spans="2:11">
      <c r="B3542" s="555" t="s">
        <v>2352</v>
      </c>
      <c r="C3542" s="555" t="str">
        <f>VLOOKUP(D3542,기본!$D$13:$E$74,2,0)</f>
        <v>코웨이</v>
      </c>
      <c r="D3542" t="s">
        <v>2010</v>
      </c>
      <c r="E3542" t="s">
        <v>2154</v>
      </c>
      <c r="F3542" t="s">
        <v>2154</v>
      </c>
      <c r="G3542" s="554">
        <v>29</v>
      </c>
      <c r="H3542">
        <v>0.56840000000000002</v>
      </c>
    </row>
    <row r="3543" spans="2:11">
      <c r="B3543" s="555" t="s">
        <v>2352</v>
      </c>
      <c r="C3543" s="555" t="str">
        <f>VLOOKUP(D3543,기본!$D$13:$E$74,2,0)</f>
        <v>코웨이</v>
      </c>
      <c r="D3543" t="s">
        <v>2010</v>
      </c>
      <c r="E3543" t="s">
        <v>2057</v>
      </c>
      <c r="F3543" t="s">
        <v>2057</v>
      </c>
      <c r="G3543" s="554">
        <v>441</v>
      </c>
      <c r="H3543">
        <v>13.079178000000001</v>
      </c>
    </row>
    <row r="3544" spans="2:11">
      <c r="B3544" s="555" t="s">
        <v>2352</v>
      </c>
      <c r="C3544" s="555" t="str">
        <f>VLOOKUP(D3544,기본!$D$13:$E$74,2,0)</f>
        <v>코웨이</v>
      </c>
      <c r="D3544" t="s">
        <v>2010</v>
      </c>
      <c r="E3544" t="s">
        <v>1328</v>
      </c>
      <c r="F3544" t="s">
        <v>1328</v>
      </c>
      <c r="G3544" s="554">
        <v>150</v>
      </c>
      <c r="H3544">
        <v>0.46394999999999997</v>
      </c>
    </row>
    <row r="3545" spans="2:11">
      <c r="B3545" s="555" t="s">
        <v>2352</v>
      </c>
      <c r="C3545" s="555" t="str">
        <f>VLOOKUP(D3545,기본!$D$13:$E$74,2,0)</f>
        <v>코웨이</v>
      </c>
      <c r="D3545" t="s">
        <v>2010</v>
      </c>
      <c r="E3545" t="s">
        <v>1327</v>
      </c>
      <c r="F3545" t="s">
        <v>1327</v>
      </c>
      <c r="G3545" s="554">
        <v>190</v>
      </c>
      <c r="H3545">
        <v>1.98403</v>
      </c>
    </row>
    <row r="3546" spans="2:11">
      <c r="B3546" s="555" t="s">
        <v>2352</v>
      </c>
      <c r="C3546" s="555" t="str">
        <f>VLOOKUP(D3546,기본!$D$13:$E$74,2,0)</f>
        <v>코웨이</v>
      </c>
      <c r="D3546" t="s">
        <v>2010</v>
      </c>
      <c r="E3546" t="s">
        <v>1325</v>
      </c>
      <c r="F3546" t="s">
        <v>1325</v>
      </c>
      <c r="G3546" s="554">
        <v>154</v>
      </c>
      <c r="H3546">
        <v>5.1362290000000002</v>
      </c>
    </row>
    <row r="3547" spans="2:11">
      <c r="B3547" s="555" t="s">
        <v>2352</v>
      </c>
      <c r="C3547" s="555" t="str">
        <f>VLOOKUP(D3547,기본!$D$13:$E$74,2,0)</f>
        <v>코웨이</v>
      </c>
      <c r="D3547" t="s">
        <v>2010</v>
      </c>
      <c r="E3547" t="s">
        <v>1326</v>
      </c>
      <c r="F3547" t="s">
        <v>1326</v>
      </c>
      <c r="G3547" s="554">
        <v>6</v>
      </c>
      <c r="H3547">
        <v>0.20155200000000001</v>
      </c>
      <c r="K3547" s="556"/>
    </row>
    <row r="3548" spans="2:11">
      <c r="B3548" s="555" t="s">
        <v>2352</v>
      </c>
      <c r="C3548" s="555" t="str">
        <f>VLOOKUP(D3548,기본!$D$13:$E$74,2,0)</f>
        <v>코웨이</v>
      </c>
      <c r="D3548" t="s">
        <v>2010</v>
      </c>
      <c r="E3548" t="s">
        <v>2058</v>
      </c>
      <c r="F3548" t="s">
        <v>2058</v>
      </c>
      <c r="G3548" s="554">
        <v>4146</v>
      </c>
      <c r="H3548">
        <v>143.696214</v>
      </c>
      <c r="K3548" s="556"/>
    </row>
    <row r="3549" spans="2:11">
      <c r="B3549" s="555" t="s">
        <v>2352</v>
      </c>
      <c r="C3549" s="555" t="str">
        <f>VLOOKUP(D3549,기본!$D$13:$E$74,2,0)</f>
        <v>코웨이</v>
      </c>
      <c r="D3549" t="s">
        <v>2010</v>
      </c>
      <c r="E3549" t="s">
        <v>2077</v>
      </c>
      <c r="F3549" t="s">
        <v>2077</v>
      </c>
      <c r="G3549" s="554">
        <v>400</v>
      </c>
      <c r="H3549">
        <v>13.433999999999999</v>
      </c>
      <c r="K3549" s="556"/>
    </row>
    <row r="3550" spans="2:11">
      <c r="B3550" s="555" t="s">
        <v>2352</v>
      </c>
      <c r="C3550" s="555" t="str">
        <f>VLOOKUP(D3550,기본!$D$13:$E$74,2,0)</f>
        <v>코웨이</v>
      </c>
      <c r="D3550" t="s">
        <v>2010</v>
      </c>
      <c r="E3550" t="s">
        <v>2078</v>
      </c>
      <c r="F3550" t="s">
        <v>2078</v>
      </c>
      <c r="G3550" s="554">
        <v>64</v>
      </c>
      <c r="H3550">
        <v>2.3824000000000001</v>
      </c>
      <c r="K3550" s="556"/>
    </row>
    <row r="3551" spans="2:11">
      <c r="B3551" s="555" t="s">
        <v>2352</v>
      </c>
      <c r="C3551" s="555" t="str">
        <f>VLOOKUP(D3551,기본!$D$13:$E$74,2,0)</f>
        <v>코웨이</v>
      </c>
      <c r="D3551" t="s">
        <v>2010</v>
      </c>
      <c r="E3551" t="s">
        <v>1071</v>
      </c>
      <c r="F3551" t="s">
        <v>1071</v>
      </c>
      <c r="G3551" s="554">
        <v>36</v>
      </c>
      <c r="H3551">
        <v>6.4079999999999998E-2</v>
      </c>
      <c r="K3551" s="556"/>
    </row>
    <row r="3552" spans="2:11">
      <c r="B3552" s="555" t="s">
        <v>2352</v>
      </c>
      <c r="C3552" s="555" t="str">
        <f>VLOOKUP(D3552,기본!$D$13:$E$74,2,0)</f>
        <v>코웨이</v>
      </c>
      <c r="D3552" t="s">
        <v>2010</v>
      </c>
      <c r="E3552" t="s">
        <v>2155</v>
      </c>
      <c r="F3552" t="s">
        <v>2155</v>
      </c>
      <c r="G3552" s="554">
        <v>100</v>
      </c>
      <c r="H3552">
        <v>0.56999999999999995</v>
      </c>
      <c r="K3552" s="556"/>
    </row>
    <row r="3553" spans="2:11">
      <c r="B3553" s="555" t="s">
        <v>2352</v>
      </c>
      <c r="C3553" s="555" t="str">
        <f>VLOOKUP(D3553,기본!$D$13:$E$74,2,0)</f>
        <v>코웨이</v>
      </c>
      <c r="D3553" t="s">
        <v>2010</v>
      </c>
      <c r="E3553" t="s">
        <v>2063</v>
      </c>
      <c r="F3553" t="s">
        <v>2063</v>
      </c>
      <c r="G3553" s="554">
        <v>64</v>
      </c>
      <c r="H3553">
        <v>0.37158400000000003</v>
      </c>
      <c r="K3553" s="556"/>
    </row>
    <row r="3554" spans="2:11">
      <c r="B3554" s="555" t="s">
        <v>2352</v>
      </c>
      <c r="C3554" s="555" t="str">
        <f>VLOOKUP(D3554,기본!$D$13:$E$74,2,0)</f>
        <v>코웨이</v>
      </c>
      <c r="D3554" t="s">
        <v>2010</v>
      </c>
      <c r="E3554" t="s">
        <v>2064</v>
      </c>
      <c r="F3554" t="s">
        <v>2064</v>
      </c>
      <c r="G3554" s="554">
        <v>10</v>
      </c>
      <c r="H3554">
        <v>0.36828</v>
      </c>
      <c r="K3554" s="556"/>
    </row>
    <row r="3555" spans="2:11">
      <c r="B3555" s="555" t="s">
        <v>2352</v>
      </c>
      <c r="C3555" s="555" t="str">
        <f>VLOOKUP(D3555,기본!$D$13:$E$74,2,0)</f>
        <v>코웨이</v>
      </c>
      <c r="D3555" t="s">
        <v>2010</v>
      </c>
      <c r="E3555" t="s">
        <v>1274</v>
      </c>
      <c r="F3555" t="s">
        <v>1274</v>
      </c>
      <c r="G3555" s="554">
        <v>1041</v>
      </c>
      <c r="H3555">
        <v>7.6245919999999998</v>
      </c>
      <c r="K3555" s="556"/>
    </row>
    <row r="3556" spans="2:11">
      <c r="B3556" s="555" t="s">
        <v>2352</v>
      </c>
      <c r="C3556" s="555" t="str">
        <f>VLOOKUP(D3556,기본!$D$13:$E$74,2,0)</f>
        <v>코웨이</v>
      </c>
      <c r="D3556" t="s">
        <v>2010</v>
      </c>
      <c r="E3556" t="s">
        <v>1289</v>
      </c>
      <c r="F3556" t="s">
        <v>1289</v>
      </c>
      <c r="G3556" s="554">
        <v>602</v>
      </c>
      <c r="H3556">
        <v>5.0375359999999993</v>
      </c>
      <c r="K3556" s="556"/>
    </row>
    <row r="3557" spans="2:11">
      <c r="B3557" s="555" t="s">
        <v>2352</v>
      </c>
      <c r="C3557" s="555" t="str">
        <f>VLOOKUP(D3557,기본!$D$13:$E$74,2,0)</f>
        <v>코웨이</v>
      </c>
      <c r="D3557" t="s">
        <v>2010</v>
      </c>
      <c r="E3557" t="s">
        <v>1275</v>
      </c>
      <c r="F3557" t="s">
        <v>1275</v>
      </c>
      <c r="G3557" s="554">
        <v>3972</v>
      </c>
      <c r="H3557">
        <v>30.087406000000001</v>
      </c>
      <c r="K3557" s="556"/>
    </row>
    <row r="3558" spans="2:11">
      <c r="B3558" s="555" t="s">
        <v>2352</v>
      </c>
      <c r="C3558" s="555" t="str">
        <f>VLOOKUP(D3558,기본!$D$13:$E$74,2,0)</f>
        <v>코웨이</v>
      </c>
      <c r="D3558" t="s">
        <v>2010</v>
      </c>
      <c r="E3558" t="s">
        <v>2066</v>
      </c>
      <c r="F3558" t="s">
        <v>2066</v>
      </c>
      <c r="G3558" s="554">
        <v>294</v>
      </c>
      <c r="H3558">
        <v>2.3375940000000002</v>
      </c>
      <c r="K3558" s="556"/>
    </row>
    <row r="3559" spans="2:11">
      <c r="B3559" s="555" t="s">
        <v>2352</v>
      </c>
      <c r="C3559" s="555" t="str">
        <f>VLOOKUP(D3559,기본!$D$13:$E$74,2,0)</f>
        <v>코웨이</v>
      </c>
      <c r="D3559" t="s">
        <v>2010</v>
      </c>
      <c r="E3559" t="s">
        <v>229</v>
      </c>
      <c r="F3559" t="s">
        <v>229</v>
      </c>
      <c r="G3559" s="554">
        <v>0</v>
      </c>
      <c r="H3559">
        <v>2.1974800000000001</v>
      </c>
      <c r="K3559" s="556"/>
    </row>
    <row r="3560" spans="2:11">
      <c r="B3560" s="555" t="s">
        <v>2352</v>
      </c>
      <c r="C3560" s="555" t="str">
        <f>VLOOKUP(D3560,기본!$D$13:$E$74,2,0)</f>
        <v>코웨이</v>
      </c>
      <c r="D3560" t="s">
        <v>2067</v>
      </c>
      <c r="E3560" t="s">
        <v>2015</v>
      </c>
      <c r="F3560" t="s">
        <v>2015</v>
      </c>
      <c r="G3560" s="554">
        <v>1050</v>
      </c>
      <c r="H3560">
        <v>12.209399999999999</v>
      </c>
      <c r="K3560" s="556"/>
    </row>
    <row r="3561" spans="2:11">
      <c r="B3561" s="555" t="s">
        <v>2352</v>
      </c>
      <c r="C3561" s="555" t="str">
        <f>VLOOKUP(D3561,기본!$D$13:$E$74,2,0)</f>
        <v>코웨이</v>
      </c>
      <c r="D3561" t="s">
        <v>2067</v>
      </c>
      <c r="E3561" t="s">
        <v>2016</v>
      </c>
      <c r="F3561" t="s">
        <v>2016</v>
      </c>
      <c r="G3561" s="554">
        <v>6420</v>
      </c>
      <c r="H3561">
        <v>48.605819999999994</v>
      </c>
      <c r="K3561" s="556"/>
    </row>
    <row r="3562" spans="2:11">
      <c r="B3562" s="555" t="s">
        <v>2352</v>
      </c>
      <c r="C3562" s="555" t="str">
        <f>VLOOKUP(D3562,기본!$D$13:$E$74,2,0)</f>
        <v>코웨이</v>
      </c>
      <c r="D3562" t="s">
        <v>2067</v>
      </c>
      <c r="E3562" t="s">
        <v>2228</v>
      </c>
      <c r="F3562" t="s">
        <v>2228</v>
      </c>
      <c r="G3562" s="554">
        <v>1</v>
      </c>
      <c r="H3562">
        <v>8.7720000000000003E-3</v>
      </c>
      <c r="K3562" s="556"/>
    </row>
    <row r="3563" spans="2:11">
      <c r="B3563" s="555" t="s">
        <v>2352</v>
      </c>
      <c r="C3563" s="555" t="str">
        <f>VLOOKUP(D3563,기본!$D$13:$E$74,2,0)</f>
        <v>코웨이</v>
      </c>
      <c r="D3563" t="s">
        <v>2067</v>
      </c>
      <c r="E3563" t="s">
        <v>2156</v>
      </c>
      <c r="F3563" t="s">
        <v>2156</v>
      </c>
      <c r="G3563" s="554">
        <v>420</v>
      </c>
      <c r="H3563">
        <v>7.2785999999999991</v>
      </c>
      <c r="K3563" s="556"/>
    </row>
    <row r="3564" spans="2:11">
      <c r="B3564" s="555" t="s">
        <v>2352</v>
      </c>
      <c r="C3564" s="555" t="str">
        <f>VLOOKUP(D3564,기본!$D$13:$E$74,2,0)</f>
        <v>코웨이</v>
      </c>
      <c r="D3564" t="s">
        <v>2067</v>
      </c>
      <c r="E3564" t="s">
        <v>2068</v>
      </c>
      <c r="F3564" t="s">
        <v>2068</v>
      </c>
      <c r="G3564" s="554">
        <v>750</v>
      </c>
      <c r="H3564">
        <v>12.869250000000001</v>
      </c>
      <c r="K3564" s="556"/>
    </row>
    <row r="3565" spans="2:11">
      <c r="B3565" s="555" t="s">
        <v>2352</v>
      </c>
      <c r="C3565" s="555" t="str">
        <f>VLOOKUP(D3565,기본!$D$13:$E$74,2,0)</f>
        <v>코웨이</v>
      </c>
      <c r="D3565" t="s">
        <v>2067</v>
      </c>
      <c r="E3565" t="s">
        <v>2069</v>
      </c>
      <c r="F3565" t="s">
        <v>2069</v>
      </c>
      <c r="G3565" s="554">
        <v>300</v>
      </c>
      <c r="H3565">
        <v>5.2278000000000002</v>
      </c>
      <c r="K3565" s="556"/>
    </row>
    <row r="3566" spans="2:11">
      <c r="B3566" s="555" t="s">
        <v>2352</v>
      </c>
      <c r="C3566" s="555" t="str">
        <f>VLOOKUP(D3566,기본!$D$13:$E$74,2,0)</f>
        <v>코웨이</v>
      </c>
      <c r="D3566" t="s">
        <v>2067</v>
      </c>
      <c r="E3566" t="s">
        <v>2020</v>
      </c>
      <c r="F3566" t="s">
        <v>2020</v>
      </c>
      <c r="G3566" s="554">
        <v>734</v>
      </c>
      <c r="H3566">
        <v>9.7511899999999994</v>
      </c>
      <c r="K3566" s="556"/>
    </row>
    <row r="3567" spans="2:11">
      <c r="B3567" s="555" t="s">
        <v>2352</v>
      </c>
      <c r="C3567" s="555" t="str">
        <f>VLOOKUP(D3567,기본!$D$13:$E$74,2,0)</f>
        <v>코웨이</v>
      </c>
      <c r="D3567" t="s">
        <v>2067</v>
      </c>
      <c r="E3567" t="s">
        <v>2200</v>
      </c>
      <c r="F3567" t="s">
        <v>2200</v>
      </c>
      <c r="G3567" s="554">
        <v>1090</v>
      </c>
      <c r="H3567">
        <v>38.013750000000002</v>
      </c>
      <c r="K3567" s="556"/>
    </row>
    <row r="3568" spans="2:11">
      <c r="B3568" s="555" t="s">
        <v>2352</v>
      </c>
      <c r="C3568" s="555" t="str">
        <f>VLOOKUP(D3568,기본!$D$13:$E$74,2,0)</f>
        <v>코웨이</v>
      </c>
      <c r="D3568" t="s">
        <v>2067</v>
      </c>
      <c r="E3568" t="s">
        <v>2201</v>
      </c>
      <c r="F3568" t="s">
        <v>2201</v>
      </c>
      <c r="G3568" s="554">
        <v>1090</v>
      </c>
      <c r="H3568">
        <v>11.05696</v>
      </c>
      <c r="K3568" s="556"/>
    </row>
    <row r="3569" spans="2:11">
      <c r="B3569" s="555" t="s">
        <v>2352</v>
      </c>
      <c r="C3569" s="555" t="str">
        <f>VLOOKUP(D3569,기본!$D$13:$E$74,2,0)</f>
        <v>코웨이</v>
      </c>
      <c r="D3569" t="s">
        <v>2067</v>
      </c>
      <c r="E3569" t="s">
        <v>2269</v>
      </c>
      <c r="F3569" t="s">
        <v>2269</v>
      </c>
      <c r="G3569" s="554">
        <v>100</v>
      </c>
      <c r="H3569">
        <v>1.5357000000000001</v>
      </c>
      <c r="K3569" s="556"/>
    </row>
    <row r="3570" spans="2:11">
      <c r="B3570" s="555" t="s">
        <v>2352</v>
      </c>
      <c r="C3570" s="555" t="str">
        <f>VLOOKUP(D3570,기본!$D$13:$E$74,2,0)</f>
        <v>코웨이</v>
      </c>
      <c r="D3570" t="s">
        <v>2067</v>
      </c>
      <c r="E3570" t="s">
        <v>2270</v>
      </c>
      <c r="F3570" t="s">
        <v>2270</v>
      </c>
      <c r="G3570" s="554">
        <v>19003</v>
      </c>
      <c r="H3570">
        <v>158.12432699999999</v>
      </c>
      <c r="K3570" s="556"/>
    </row>
    <row r="3571" spans="2:11">
      <c r="B3571" s="555" t="s">
        <v>2352</v>
      </c>
      <c r="C3571" s="555" t="str">
        <f>VLOOKUP(D3571,기본!$D$13:$E$74,2,0)</f>
        <v>코웨이</v>
      </c>
      <c r="D3571" t="s">
        <v>2067</v>
      </c>
      <c r="E3571" t="s">
        <v>912</v>
      </c>
      <c r="F3571" t="s">
        <v>912</v>
      </c>
      <c r="G3571" s="554">
        <v>9838</v>
      </c>
      <c r="H3571">
        <v>62.485505999999987</v>
      </c>
      <c r="K3571" s="556"/>
    </row>
    <row r="3572" spans="2:11">
      <c r="B3572" s="555" t="s">
        <v>2352</v>
      </c>
      <c r="C3572" s="555" t="str">
        <f>VLOOKUP(D3572,기본!$D$13:$E$74,2,0)</f>
        <v>코웨이</v>
      </c>
      <c r="D3572" t="s">
        <v>2067</v>
      </c>
      <c r="E3572" t="s">
        <v>913</v>
      </c>
      <c r="F3572" t="s">
        <v>913</v>
      </c>
      <c r="G3572" s="554">
        <v>1450</v>
      </c>
      <c r="H3572">
        <v>26.848199999999999</v>
      </c>
      <c r="K3572" s="556"/>
    </row>
    <row r="3573" spans="2:11">
      <c r="B3573" s="555" t="s">
        <v>2352</v>
      </c>
      <c r="C3573" s="555" t="str">
        <f>VLOOKUP(D3573,기본!$D$13:$E$74,2,0)</f>
        <v>코웨이</v>
      </c>
      <c r="D3573" t="s">
        <v>2067</v>
      </c>
      <c r="E3573" t="s">
        <v>2070</v>
      </c>
      <c r="F3573" t="s">
        <v>2070</v>
      </c>
      <c r="G3573" s="554">
        <v>9418</v>
      </c>
      <c r="H3573">
        <v>172.10453199999998</v>
      </c>
      <c r="K3573" s="556"/>
    </row>
    <row r="3574" spans="2:11">
      <c r="B3574" s="555" t="s">
        <v>2352</v>
      </c>
      <c r="C3574" s="555" t="str">
        <f>VLOOKUP(D3574,기본!$D$13:$E$74,2,0)</f>
        <v>코웨이</v>
      </c>
      <c r="D3574" t="s">
        <v>2067</v>
      </c>
      <c r="E3574" t="s">
        <v>2024</v>
      </c>
      <c r="F3574" t="s">
        <v>2024</v>
      </c>
      <c r="G3574" s="554">
        <v>852</v>
      </c>
      <c r="H3574">
        <v>8.2090199999999989</v>
      </c>
      <c r="K3574" s="556"/>
    </row>
    <row r="3575" spans="2:11">
      <c r="B3575" s="555" t="s">
        <v>2352</v>
      </c>
      <c r="C3575" s="555" t="str">
        <f>VLOOKUP(D3575,기본!$D$13:$E$74,2,0)</f>
        <v>코웨이</v>
      </c>
      <c r="D3575" t="s">
        <v>2067</v>
      </c>
      <c r="E3575" t="s">
        <v>2071</v>
      </c>
      <c r="F3575" t="s">
        <v>2071</v>
      </c>
      <c r="G3575" s="554">
        <v>1400</v>
      </c>
      <c r="H3575">
        <v>21.988400000000006</v>
      </c>
      <c r="K3575" s="556"/>
    </row>
    <row r="3576" spans="2:11">
      <c r="B3576" s="555" t="s">
        <v>2352</v>
      </c>
      <c r="C3576" s="555" t="str">
        <f>VLOOKUP(D3576,기본!$D$13:$E$74,2,0)</f>
        <v>코웨이</v>
      </c>
      <c r="D3576" t="s">
        <v>2067</v>
      </c>
      <c r="E3576" t="s">
        <v>2072</v>
      </c>
      <c r="F3576" t="s">
        <v>2072</v>
      </c>
      <c r="G3576" s="554">
        <v>840</v>
      </c>
      <c r="H3576">
        <v>11.08212</v>
      </c>
      <c r="K3576" s="556"/>
    </row>
    <row r="3577" spans="2:11">
      <c r="B3577" s="555" t="s">
        <v>2352</v>
      </c>
      <c r="C3577" s="555" t="str">
        <f>VLOOKUP(D3577,기본!$D$13:$E$74,2,0)</f>
        <v>코웨이</v>
      </c>
      <c r="D3577" t="s">
        <v>2067</v>
      </c>
      <c r="E3577" t="s">
        <v>2034</v>
      </c>
      <c r="F3577" t="s">
        <v>2034</v>
      </c>
      <c r="G3577" s="554">
        <v>1574</v>
      </c>
      <c r="H3577">
        <v>24.507180000000002</v>
      </c>
      <c r="K3577" s="556"/>
    </row>
    <row r="3578" spans="2:11">
      <c r="B3578" s="555" t="s">
        <v>2352</v>
      </c>
      <c r="C3578" s="555" t="str">
        <f>VLOOKUP(D3578,기본!$D$13:$E$74,2,0)</f>
        <v>코웨이</v>
      </c>
      <c r="D3578" t="s">
        <v>2067</v>
      </c>
      <c r="E3578" t="s">
        <v>2038</v>
      </c>
      <c r="F3578" t="s">
        <v>2038</v>
      </c>
      <c r="G3578" s="554">
        <v>264</v>
      </c>
      <c r="H3578">
        <v>4.1152319999999998</v>
      </c>
      <c r="K3578" s="556"/>
    </row>
    <row r="3579" spans="2:11">
      <c r="B3579" s="555" t="s">
        <v>2352</v>
      </c>
      <c r="C3579" s="555" t="str">
        <f>VLOOKUP(D3579,기본!$D$13:$E$74,2,0)</f>
        <v>코웨이</v>
      </c>
      <c r="D3579" t="s">
        <v>2067</v>
      </c>
      <c r="E3579" t="s">
        <v>2073</v>
      </c>
      <c r="F3579" t="s">
        <v>2073</v>
      </c>
      <c r="G3579" s="554">
        <v>15090</v>
      </c>
      <c r="H3579">
        <v>208.06620000000004</v>
      </c>
      <c r="K3579" s="556"/>
    </row>
    <row r="3580" spans="2:11">
      <c r="B3580" s="555" t="s">
        <v>2352</v>
      </c>
      <c r="C3580" s="555" t="str">
        <f>VLOOKUP(D3580,기본!$D$13:$E$74,2,0)</f>
        <v>코웨이</v>
      </c>
      <c r="D3580" t="s">
        <v>2067</v>
      </c>
      <c r="E3580" t="s">
        <v>1187</v>
      </c>
      <c r="F3580" t="s">
        <v>1187</v>
      </c>
      <c r="G3580" s="554">
        <v>3</v>
      </c>
      <c r="H3580">
        <v>3.8904000000000001E-2</v>
      </c>
      <c r="K3580" s="556"/>
    </row>
    <row r="3581" spans="2:11">
      <c r="B3581" s="555" t="s">
        <v>2352</v>
      </c>
      <c r="C3581" s="555" t="str">
        <f>VLOOKUP(D3581,기본!$D$13:$E$74,2,0)</f>
        <v>코웨이</v>
      </c>
      <c r="D3581" t="s">
        <v>2067</v>
      </c>
      <c r="E3581" t="s">
        <v>2074</v>
      </c>
      <c r="F3581" t="s">
        <v>2074</v>
      </c>
      <c r="G3581" s="554">
        <v>350</v>
      </c>
      <c r="H3581">
        <v>7.6383999999999999</v>
      </c>
      <c r="K3581" s="556"/>
    </row>
    <row r="3582" spans="2:11">
      <c r="B3582" s="555" t="s">
        <v>2352</v>
      </c>
      <c r="C3582" s="555" t="str">
        <f>VLOOKUP(D3582,기본!$D$13:$E$74,2,0)</f>
        <v>코웨이</v>
      </c>
      <c r="D3582" t="s">
        <v>2067</v>
      </c>
      <c r="E3582" t="s">
        <v>2075</v>
      </c>
      <c r="F3582" t="s">
        <v>2075</v>
      </c>
      <c r="G3582" s="554">
        <v>459</v>
      </c>
      <c r="H3582">
        <v>10.077024999999999</v>
      </c>
      <c r="K3582" s="556"/>
    </row>
    <row r="3583" spans="2:11">
      <c r="B3583" s="555" t="s">
        <v>2352</v>
      </c>
      <c r="C3583" s="555" t="str">
        <f>VLOOKUP(D3583,기본!$D$13:$E$74,2,0)</f>
        <v>코웨이</v>
      </c>
      <c r="D3583" t="s">
        <v>2067</v>
      </c>
      <c r="E3583" t="s">
        <v>2076</v>
      </c>
      <c r="F3583" t="s">
        <v>2076</v>
      </c>
      <c r="G3583" s="554">
        <v>4918</v>
      </c>
      <c r="H3583">
        <v>90.85130599999998</v>
      </c>
      <c r="K3583" s="556"/>
    </row>
    <row r="3584" spans="2:11">
      <c r="B3584" s="555" t="s">
        <v>2352</v>
      </c>
      <c r="C3584" s="555" t="str">
        <f>VLOOKUP(D3584,기본!$D$13:$E$74,2,0)</f>
        <v>코웨이</v>
      </c>
      <c r="D3584" t="s">
        <v>2067</v>
      </c>
      <c r="E3584" t="s">
        <v>2042</v>
      </c>
      <c r="F3584" t="s">
        <v>2042</v>
      </c>
      <c r="G3584" s="554">
        <v>268</v>
      </c>
      <c r="H3584">
        <v>1.7138599999999999</v>
      </c>
      <c r="K3584" s="556"/>
    </row>
    <row r="3585" spans="2:11">
      <c r="B3585" s="555" t="s">
        <v>2352</v>
      </c>
      <c r="C3585" s="555" t="str">
        <f>VLOOKUP(D3585,기본!$D$13:$E$74,2,0)</f>
        <v>코웨이</v>
      </c>
      <c r="D3585" t="s">
        <v>2067</v>
      </c>
      <c r="E3585" t="s">
        <v>2058</v>
      </c>
      <c r="F3585" t="s">
        <v>2058</v>
      </c>
      <c r="G3585" s="554">
        <v>350</v>
      </c>
      <c r="H3585">
        <v>12.29705</v>
      </c>
      <c r="K3585" s="556"/>
    </row>
    <row r="3586" spans="2:11">
      <c r="B3586" s="555" t="s">
        <v>2352</v>
      </c>
      <c r="C3586" s="555" t="str">
        <f>VLOOKUP(D3586,기본!$D$13:$E$74,2,0)</f>
        <v>코웨이</v>
      </c>
      <c r="D3586" t="s">
        <v>2067</v>
      </c>
      <c r="E3586" t="s">
        <v>2078</v>
      </c>
      <c r="F3586" t="s">
        <v>2078</v>
      </c>
      <c r="G3586" s="554">
        <v>422</v>
      </c>
      <c r="H3586">
        <v>14.554358000000001</v>
      </c>
      <c r="K3586" s="556"/>
    </row>
    <row r="3587" spans="2:11">
      <c r="B3587" s="555" t="s">
        <v>2352</v>
      </c>
      <c r="C3587" s="555" t="str">
        <f>VLOOKUP(D3587,기본!$D$13:$E$74,2,0)</f>
        <v>코웨이</v>
      </c>
      <c r="D3587" t="s">
        <v>2067</v>
      </c>
      <c r="E3587" t="s">
        <v>2203</v>
      </c>
      <c r="F3587" t="s">
        <v>2203</v>
      </c>
      <c r="G3587" s="554">
        <v>6266</v>
      </c>
      <c r="H3587">
        <v>226.24646200000001</v>
      </c>
      <c r="K3587" s="556"/>
    </row>
    <row r="3588" spans="2:11">
      <c r="B3588" s="555" t="s">
        <v>2352</v>
      </c>
      <c r="C3588" s="555" t="str">
        <f>VLOOKUP(D3588,기본!$D$13:$E$74,2,0)</f>
        <v>코웨이</v>
      </c>
      <c r="D3588" t="s">
        <v>2079</v>
      </c>
      <c r="E3588" t="s">
        <v>1093</v>
      </c>
      <c r="F3588" t="s">
        <v>1093</v>
      </c>
      <c r="G3588" s="554">
        <v>723</v>
      </c>
      <c r="H3588">
        <v>3.8579280000000002</v>
      </c>
      <c r="K3588" s="556"/>
    </row>
    <row r="3589" spans="2:11">
      <c r="B3589" s="555" t="s">
        <v>2352</v>
      </c>
      <c r="C3589" s="555" t="str">
        <f>VLOOKUP(D3589,기본!$D$13:$E$74,2,0)</f>
        <v>코웨이</v>
      </c>
      <c r="D3589" t="s">
        <v>2079</v>
      </c>
      <c r="E3589" t="s">
        <v>1094</v>
      </c>
      <c r="F3589" t="s">
        <v>1094</v>
      </c>
      <c r="G3589" s="554">
        <v>963</v>
      </c>
      <c r="H3589">
        <v>3.0007080000000004</v>
      </c>
      <c r="K3589" s="556"/>
    </row>
    <row r="3590" spans="2:11">
      <c r="B3590" s="555" t="s">
        <v>2352</v>
      </c>
      <c r="C3590" s="555" t="str">
        <f>VLOOKUP(D3590,기본!$D$13:$E$74,2,0)</f>
        <v>코웨이</v>
      </c>
      <c r="D3590" t="s">
        <v>2079</v>
      </c>
      <c r="E3590" t="s">
        <v>2017</v>
      </c>
      <c r="F3590" t="s">
        <v>2017</v>
      </c>
      <c r="G3590" s="554">
        <v>146</v>
      </c>
      <c r="H3590">
        <v>1.7353559999999999</v>
      </c>
      <c r="K3590" s="556"/>
    </row>
    <row r="3591" spans="2:11">
      <c r="B3591" s="555" t="s">
        <v>2352</v>
      </c>
      <c r="C3591" s="555" t="str">
        <f>VLOOKUP(D3591,기본!$D$13:$E$74,2,0)</f>
        <v>코웨이</v>
      </c>
      <c r="D3591" t="s">
        <v>2079</v>
      </c>
      <c r="E3591" t="s">
        <v>2080</v>
      </c>
      <c r="F3591" t="s">
        <v>2080</v>
      </c>
      <c r="G3591" s="554">
        <v>250</v>
      </c>
      <c r="H3591">
        <v>1.6757500000000001</v>
      </c>
      <c r="K3591" s="556"/>
    </row>
    <row r="3592" spans="2:11">
      <c r="B3592" s="555" t="s">
        <v>2352</v>
      </c>
      <c r="C3592" s="555" t="str">
        <f>VLOOKUP(D3592,기본!$D$13:$E$74,2,0)</f>
        <v>코웨이</v>
      </c>
      <c r="D3592" t="s">
        <v>2079</v>
      </c>
      <c r="E3592" t="s">
        <v>2081</v>
      </c>
      <c r="F3592" t="s">
        <v>2081</v>
      </c>
      <c r="G3592" s="554">
        <v>150</v>
      </c>
      <c r="H3592">
        <v>1.3479000000000001</v>
      </c>
      <c r="K3592" s="556"/>
    </row>
    <row r="3593" spans="2:11">
      <c r="B3593" s="555" t="s">
        <v>2352</v>
      </c>
      <c r="C3593" s="555" t="str">
        <f>VLOOKUP(D3593,기본!$D$13:$E$74,2,0)</f>
        <v>코웨이</v>
      </c>
      <c r="D3593" t="s">
        <v>2079</v>
      </c>
      <c r="E3593" t="s">
        <v>1089</v>
      </c>
      <c r="F3593" t="s">
        <v>1089</v>
      </c>
      <c r="G3593" s="554">
        <v>4687</v>
      </c>
      <c r="H3593">
        <v>52.545957000000001</v>
      </c>
      <c r="K3593" s="556"/>
    </row>
    <row r="3594" spans="2:11">
      <c r="B3594" s="555" t="s">
        <v>2352</v>
      </c>
      <c r="C3594" s="555" t="str">
        <f>VLOOKUP(D3594,기본!$D$13:$E$74,2,0)</f>
        <v>코웨이</v>
      </c>
      <c r="D3594" t="s">
        <v>2079</v>
      </c>
      <c r="E3594" t="s">
        <v>1118</v>
      </c>
      <c r="F3594" t="s">
        <v>1118</v>
      </c>
      <c r="G3594" s="554">
        <v>5</v>
      </c>
      <c r="H3594">
        <v>9.3804999999999999E-2</v>
      </c>
      <c r="K3594" s="556"/>
    </row>
    <row r="3595" spans="2:11">
      <c r="B3595" s="555" t="s">
        <v>2352</v>
      </c>
      <c r="C3595" s="555" t="str">
        <f>VLOOKUP(D3595,기본!$D$13:$E$74,2,0)</f>
        <v>코웨이</v>
      </c>
      <c r="D3595" t="s">
        <v>2079</v>
      </c>
      <c r="E3595" t="s">
        <v>2061</v>
      </c>
      <c r="F3595" t="s">
        <v>2061</v>
      </c>
      <c r="G3595" s="554">
        <v>706</v>
      </c>
      <c r="H3595">
        <v>3.9564240000000002</v>
      </c>
      <c r="K3595" s="556"/>
    </row>
    <row r="3596" spans="2:11">
      <c r="B3596" s="555" t="s">
        <v>2352</v>
      </c>
      <c r="C3596" s="555" t="str">
        <f>VLOOKUP(D3596,기본!$D$13:$E$74,2,0)</f>
        <v>코웨이</v>
      </c>
      <c r="D3596" t="s">
        <v>2082</v>
      </c>
      <c r="E3596" t="s">
        <v>2027</v>
      </c>
      <c r="F3596" t="s">
        <v>2027</v>
      </c>
      <c r="G3596" s="554">
        <v>720</v>
      </c>
      <c r="H3596">
        <v>13.5684</v>
      </c>
    </row>
    <row r="3597" spans="2:11">
      <c r="B3597" s="555" t="s">
        <v>2352</v>
      </c>
      <c r="C3597" s="555" t="str">
        <f>VLOOKUP(D3597,기본!$D$13:$E$74,2,0)</f>
        <v>코웨이</v>
      </c>
      <c r="D3597" t="s">
        <v>2082</v>
      </c>
      <c r="E3597" t="s">
        <v>2028</v>
      </c>
      <c r="F3597" t="s">
        <v>2028</v>
      </c>
      <c r="G3597" s="554">
        <v>480</v>
      </c>
      <c r="H3597">
        <v>8.7979199999999995</v>
      </c>
    </row>
    <row r="3598" spans="2:11">
      <c r="B3598" s="555" t="s">
        <v>2352</v>
      </c>
      <c r="C3598" s="555" t="str">
        <f>VLOOKUP(D3598,기본!$D$13:$E$74,2,0)</f>
        <v>코웨이</v>
      </c>
      <c r="D3598" t="s">
        <v>2082</v>
      </c>
      <c r="E3598" t="s">
        <v>2058</v>
      </c>
      <c r="F3598" t="s">
        <v>2058</v>
      </c>
      <c r="G3598" s="554">
        <v>13824</v>
      </c>
      <c r="H3598">
        <v>479.12601600000011</v>
      </c>
    </row>
    <row r="3599" spans="2:11">
      <c r="B3599" s="555" t="s">
        <v>2352</v>
      </c>
      <c r="C3599" s="555" t="str">
        <f>VLOOKUP(D3599,기본!$D$13:$E$74,2,0)</f>
        <v>코웨이</v>
      </c>
      <c r="D3599" t="s">
        <v>2082</v>
      </c>
      <c r="E3599" t="s">
        <v>2077</v>
      </c>
      <c r="F3599" t="s">
        <v>2077</v>
      </c>
      <c r="G3599" s="554">
        <v>5184</v>
      </c>
      <c r="H3599">
        <v>174.10463999999999</v>
      </c>
    </row>
    <row r="3600" spans="2:11">
      <c r="B3600" s="555" t="s">
        <v>2352</v>
      </c>
      <c r="C3600" s="555" t="str">
        <f>VLOOKUP(D3600,기본!$D$13:$E$74,2,0)</f>
        <v>삼성 생활가전</v>
      </c>
      <c r="D3600" t="s">
        <v>2084</v>
      </c>
      <c r="E3600" t="s">
        <v>2086</v>
      </c>
      <c r="F3600" t="s">
        <v>2086</v>
      </c>
      <c r="G3600" s="554">
        <v>23</v>
      </c>
      <c r="H3600">
        <v>0.24035000000000001</v>
      </c>
    </row>
    <row r="3601" spans="2:8">
      <c r="B3601" s="555" t="s">
        <v>2352</v>
      </c>
      <c r="C3601" s="555" t="str">
        <f>VLOOKUP(D3601,기본!$D$13:$E$74,2,0)</f>
        <v>코웨이</v>
      </c>
      <c r="D3601" t="s">
        <v>2205</v>
      </c>
      <c r="E3601" t="s">
        <v>1073</v>
      </c>
      <c r="F3601" t="s">
        <v>1073</v>
      </c>
      <c r="G3601" s="554">
        <v>3240</v>
      </c>
      <c r="H3601">
        <v>15.714</v>
      </c>
    </row>
    <row r="3602" spans="2:8">
      <c r="B3602" s="555" t="s">
        <v>2352</v>
      </c>
      <c r="C3602" s="555" t="str">
        <f>VLOOKUP(D3602,기본!$D$13:$E$74,2,0)</f>
        <v>코웨이</v>
      </c>
      <c r="D3602" t="s">
        <v>2205</v>
      </c>
      <c r="E3602" t="s">
        <v>1075</v>
      </c>
      <c r="F3602" t="s">
        <v>1075</v>
      </c>
      <c r="G3602" s="554">
        <v>3168</v>
      </c>
      <c r="H3602">
        <v>3.9726720000000002</v>
      </c>
    </row>
    <row r="3603" spans="2:8">
      <c r="B3603" s="555" t="s">
        <v>2352</v>
      </c>
      <c r="C3603" s="555" t="str">
        <f>VLOOKUP(D3603,기본!$D$13:$E$74,2,0)</f>
        <v>한화비전</v>
      </c>
      <c r="D3603" t="s">
        <v>2089</v>
      </c>
      <c r="E3603" t="s">
        <v>2090</v>
      </c>
      <c r="F3603" t="s">
        <v>2091</v>
      </c>
      <c r="G3603" s="554">
        <v>648</v>
      </c>
      <c r="H3603">
        <v>22.358673</v>
      </c>
    </row>
    <row r="3604" spans="2:8">
      <c r="B3604" s="555" t="s">
        <v>2365</v>
      </c>
      <c r="C3604" s="555" t="str">
        <f>VLOOKUP(D3604,기본!$D$13:$E$74,2,0)</f>
        <v>AV JDM</v>
      </c>
      <c r="D3604" t="s">
        <v>1841</v>
      </c>
      <c r="E3604" t="s">
        <v>2104</v>
      </c>
      <c r="F3604" t="s">
        <v>2105</v>
      </c>
      <c r="G3604" s="554">
        <v>2</v>
      </c>
      <c r="H3604">
        <v>1.9755509999999997E-2</v>
      </c>
    </row>
    <row r="3605" spans="2:8">
      <c r="B3605" s="555" t="s">
        <v>2365</v>
      </c>
      <c r="C3605" s="555" t="str">
        <f>VLOOKUP(D3605,기본!$D$13:$E$74,2,0)</f>
        <v>AV JDM</v>
      </c>
      <c r="D3605" t="s">
        <v>1841</v>
      </c>
      <c r="E3605" t="s">
        <v>1654</v>
      </c>
      <c r="F3605" t="s">
        <v>1654</v>
      </c>
      <c r="G3605" s="554">
        <v>6608</v>
      </c>
      <c r="H3605">
        <v>54.059783680000002</v>
      </c>
    </row>
    <row r="3606" spans="2:8">
      <c r="B3606" s="555" t="s">
        <v>2365</v>
      </c>
      <c r="C3606" s="555" t="str">
        <f>VLOOKUP(D3606,기본!$D$13:$E$74,2,0)</f>
        <v>AV JDM</v>
      </c>
      <c r="D3606" t="s">
        <v>1841</v>
      </c>
      <c r="E3606" t="s">
        <v>1656</v>
      </c>
      <c r="F3606" t="s">
        <v>1656</v>
      </c>
      <c r="G3606" s="554">
        <v>672</v>
      </c>
      <c r="H3606">
        <v>5.9425027199999993</v>
      </c>
    </row>
    <row r="3607" spans="2:8">
      <c r="B3607" s="555" t="s">
        <v>2365</v>
      </c>
      <c r="C3607" s="555" t="str">
        <f>VLOOKUP(D3607,기본!$D$13:$E$74,2,0)</f>
        <v>AV JDM</v>
      </c>
      <c r="D3607" t="s">
        <v>1841</v>
      </c>
      <c r="E3607" t="s">
        <v>1889</v>
      </c>
      <c r="F3607" t="s">
        <v>1229</v>
      </c>
      <c r="G3607" s="554">
        <v>20160</v>
      </c>
      <c r="H3607">
        <v>165.09298175999999</v>
      </c>
    </row>
    <row r="3608" spans="2:8">
      <c r="B3608" s="555" t="s">
        <v>2365</v>
      </c>
      <c r="C3608" s="555" t="str">
        <f>VLOOKUP(D3608,기본!$D$13:$E$74,2,0)</f>
        <v>AV JDM</v>
      </c>
      <c r="D3608" t="s">
        <v>1841</v>
      </c>
      <c r="E3608" t="s">
        <v>1845</v>
      </c>
      <c r="F3608" t="s">
        <v>1340</v>
      </c>
      <c r="G3608" s="554">
        <v>4998</v>
      </c>
      <c r="H3608">
        <v>52.603514208</v>
      </c>
    </row>
    <row r="3609" spans="2:8">
      <c r="B3609" s="555" t="s">
        <v>2365</v>
      </c>
      <c r="C3609" s="555" t="str">
        <f>VLOOKUP(D3609,기본!$D$13:$E$74,2,0)</f>
        <v>AV JDM</v>
      </c>
      <c r="D3609" t="s">
        <v>1841</v>
      </c>
      <c r="E3609" t="s">
        <v>1016</v>
      </c>
      <c r="F3609" t="s">
        <v>1016</v>
      </c>
      <c r="G3609" s="554">
        <v>3328</v>
      </c>
      <c r="H3609">
        <v>28.986075775999996</v>
      </c>
    </row>
    <row r="3610" spans="2:8">
      <c r="B3610" s="555" t="s">
        <v>2365</v>
      </c>
      <c r="C3610" s="555" t="str">
        <f>VLOOKUP(D3610,기본!$D$13:$E$74,2,0)</f>
        <v>AV JDM</v>
      </c>
      <c r="D3610" t="s">
        <v>1841</v>
      </c>
      <c r="E3610" t="s">
        <v>2280</v>
      </c>
      <c r="F3610" t="s">
        <v>2280</v>
      </c>
      <c r="G3610" s="554">
        <v>200</v>
      </c>
      <c r="H3610">
        <v>1.7826900000000001</v>
      </c>
    </row>
    <row r="3611" spans="2:8">
      <c r="B3611" s="555" t="s">
        <v>2365</v>
      </c>
      <c r="C3611" s="555" t="str">
        <f>VLOOKUP(D3611,기본!$D$13:$E$74,2,0)</f>
        <v>삼성 VD</v>
      </c>
      <c r="D3611" t="s">
        <v>1849</v>
      </c>
      <c r="E3611" t="s">
        <v>1165</v>
      </c>
      <c r="F3611" t="s">
        <v>1882</v>
      </c>
      <c r="G3611" s="554">
        <v>6048</v>
      </c>
      <c r="H3611">
        <v>182.92270175999997</v>
      </c>
    </row>
    <row r="3612" spans="2:8">
      <c r="B3612" s="555" t="s">
        <v>2365</v>
      </c>
      <c r="C3612" s="555" t="str">
        <f>VLOOKUP(D3612,기본!$D$13:$E$74,2,0)</f>
        <v>삼성 VD</v>
      </c>
      <c r="D3612" t="s">
        <v>1849</v>
      </c>
      <c r="E3612" t="s">
        <v>1164</v>
      </c>
      <c r="F3612" t="s">
        <v>1850</v>
      </c>
      <c r="G3612" s="554">
        <v>3024</v>
      </c>
      <c r="H3612">
        <v>82.699811999999994</v>
      </c>
    </row>
    <row r="3613" spans="2:8">
      <c r="B3613" s="555" t="s">
        <v>2365</v>
      </c>
      <c r="C3613" s="555" t="str">
        <f>VLOOKUP(D3613,기본!$D$13:$E$74,2,0)</f>
        <v>삼성 VD</v>
      </c>
      <c r="D3613" t="s">
        <v>1849</v>
      </c>
      <c r="E3613" t="s">
        <v>1851</v>
      </c>
      <c r="F3613" t="s">
        <v>1852</v>
      </c>
      <c r="G3613" s="554">
        <v>480</v>
      </c>
      <c r="H3613">
        <v>3.6581867520000002</v>
      </c>
    </row>
    <row r="3614" spans="2:8">
      <c r="B3614" s="555" t="s">
        <v>2365</v>
      </c>
      <c r="C3614" s="555" t="str">
        <f>VLOOKUP(D3614,기본!$D$13:$E$74,2,0)</f>
        <v>삼성 VD</v>
      </c>
      <c r="D3614" t="s">
        <v>1849</v>
      </c>
      <c r="E3614" t="s">
        <v>1855</v>
      </c>
      <c r="F3614" t="s">
        <v>1856</v>
      </c>
      <c r="G3614" s="554">
        <v>851</v>
      </c>
      <c r="H3614">
        <v>12.255707136</v>
      </c>
    </row>
    <row r="3615" spans="2:8">
      <c r="B3615" s="555" t="s">
        <v>2365</v>
      </c>
      <c r="C3615" s="555" t="str">
        <f>VLOOKUP(D3615,기본!$D$13:$E$74,2,0)</f>
        <v>삼성 VD</v>
      </c>
      <c r="D3615" t="s">
        <v>1849</v>
      </c>
      <c r="E3615" t="s">
        <v>1874</v>
      </c>
      <c r="F3615" t="s">
        <v>1875</v>
      </c>
      <c r="G3615" s="554">
        <v>2967</v>
      </c>
      <c r="H3615">
        <v>46.359683567999994</v>
      </c>
    </row>
    <row r="3616" spans="2:8">
      <c r="B3616" s="555" t="s">
        <v>2365</v>
      </c>
      <c r="C3616" s="555" t="str">
        <f>VLOOKUP(D3616,기본!$D$13:$E$74,2,0)</f>
        <v>삼성 VD</v>
      </c>
      <c r="D3616" t="s">
        <v>1849</v>
      </c>
      <c r="E3616" t="s">
        <v>1859</v>
      </c>
      <c r="F3616" t="s">
        <v>1860</v>
      </c>
      <c r="G3616" s="554">
        <v>2472</v>
      </c>
      <c r="H3616">
        <v>44.679237839999999</v>
      </c>
    </row>
    <row r="3617" spans="2:8">
      <c r="B3617" s="555" t="s">
        <v>2365</v>
      </c>
      <c r="C3617" s="555" t="str">
        <f>VLOOKUP(D3617,기본!$D$13:$E$74,2,0)</f>
        <v>삼성 VD</v>
      </c>
      <c r="D3617" t="s">
        <v>1849</v>
      </c>
      <c r="E3617" t="s">
        <v>2337</v>
      </c>
      <c r="F3617" t="s">
        <v>2267</v>
      </c>
      <c r="G3617" s="554">
        <v>1980</v>
      </c>
      <c r="H3617">
        <v>10.52606016</v>
      </c>
    </row>
    <row r="3618" spans="2:8">
      <c r="B3618" s="555" t="s">
        <v>2365</v>
      </c>
      <c r="C3618" s="555" t="str">
        <f>VLOOKUP(D3618,기본!$D$13:$E$74,2,0)</f>
        <v>삼성 VD</v>
      </c>
      <c r="D3618" t="s">
        <v>1849</v>
      </c>
      <c r="E3618" t="s">
        <v>1923</v>
      </c>
      <c r="F3618" t="s">
        <v>1924</v>
      </c>
      <c r="G3618" s="554">
        <v>11088</v>
      </c>
      <c r="H3618">
        <v>50.688419759999995</v>
      </c>
    </row>
    <row r="3619" spans="2:8">
      <c r="B3619" s="555" t="s">
        <v>2365</v>
      </c>
      <c r="C3619" s="555" t="str">
        <f>VLOOKUP(D3619,기본!$D$13:$E$74,2,0)</f>
        <v>삼성 VD</v>
      </c>
      <c r="D3619" t="s">
        <v>1849</v>
      </c>
      <c r="E3619" t="s">
        <v>1867</v>
      </c>
      <c r="F3619" t="s">
        <v>1868</v>
      </c>
      <c r="G3619" s="554">
        <v>4074</v>
      </c>
      <c r="H3619">
        <v>34.687400076000003</v>
      </c>
    </row>
    <row r="3620" spans="2:8">
      <c r="B3620" s="555" t="s">
        <v>2365</v>
      </c>
      <c r="C3620" s="555" t="str">
        <f>VLOOKUP(D3620,기본!$D$13:$E$74,2,0)</f>
        <v>삼성 VD</v>
      </c>
      <c r="D3620" t="s">
        <v>1849</v>
      </c>
      <c r="E3620" t="s">
        <v>709</v>
      </c>
      <c r="F3620" t="s">
        <v>1869</v>
      </c>
      <c r="G3620" s="554">
        <v>70752</v>
      </c>
      <c r="H3620">
        <v>247.46937600000001</v>
      </c>
    </row>
    <row r="3621" spans="2:8">
      <c r="B3621" s="555" t="s">
        <v>2365</v>
      </c>
      <c r="C3621" s="555" t="str">
        <f>VLOOKUP(D3621,기본!$D$13:$E$74,2,0)</f>
        <v>삼성 VD</v>
      </c>
      <c r="D3621" t="s">
        <v>1849</v>
      </c>
      <c r="E3621" t="s">
        <v>2235</v>
      </c>
      <c r="F3621" t="s">
        <v>2236</v>
      </c>
      <c r="G3621" s="554">
        <v>6336</v>
      </c>
      <c r="H3621">
        <v>29.759955888000004</v>
      </c>
    </row>
    <row r="3622" spans="2:8">
      <c r="B3622" s="555" t="s">
        <v>2365</v>
      </c>
      <c r="C3622" s="555" t="str">
        <f>VLOOKUP(D3622,기본!$D$13:$E$74,2,0)</f>
        <v>삼성 VD</v>
      </c>
      <c r="D3622" t="s">
        <v>1871</v>
      </c>
      <c r="E3622" t="s">
        <v>1165</v>
      </c>
      <c r="F3622" t="s">
        <v>1882</v>
      </c>
      <c r="G3622" s="554">
        <v>6480</v>
      </c>
      <c r="H3622">
        <v>196.69062880800001</v>
      </c>
    </row>
    <row r="3623" spans="2:8">
      <c r="B3623" s="555" t="s">
        <v>2365</v>
      </c>
      <c r="C3623" s="555" t="str">
        <f>VLOOKUP(D3623,기본!$D$13:$E$74,2,0)</f>
        <v>삼성 VD</v>
      </c>
      <c r="D3623" t="s">
        <v>1871</v>
      </c>
      <c r="E3623" t="s">
        <v>1164</v>
      </c>
      <c r="F3623" t="s">
        <v>1850</v>
      </c>
      <c r="G3623" s="554">
        <v>7344</v>
      </c>
      <c r="H3623">
        <v>200.43608975999999</v>
      </c>
    </row>
    <row r="3624" spans="2:8">
      <c r="B3624" s="555" t="s">
        <v>2365</v>
      </c>
      <c r="C3624" s="555" t="str">
        <f>VLOOKUP(D3624,기본!$D$13:$E$74,2,0)</f>
        <v>삼성 VD</v>
      </c>
      <c r="D3624" t="s">
        <v>1871</v>
      </c>
      <c r="E3624" t="s">
        <v>1853</v>
      </c>
      <c r="F3624" t="s">
        <v>1854</v>
      </c>
      <c r="G3624" s="554">
        <v>3300</v>
      </c>
      <c r="H3624">
        <v>45.79166592</v>
      </c>
    </row>
    <row r="3625" spans="2:8">
      <c r="B3625" s="555" t="s">
        <v>2365</v>
      </c>
      <c r="C3625" s="555" t="str">
        <f>VLOOKUP(D3625,기본!$D$13:$E$74,2,0)</f>
        <v>삼성 VD</v>
      </c>
      <c r="D3625" t="s">
        <v>1871</v>
      </c>
      <c r="E3625" t="s">
        <v>1874</v>
      </c>
      <c r="F3625" t="s">
        <v>1875</v>
      </c>
      <c r="G3625" s="554">
        <v>4025</v>
      </c>
      <c r="H3625">
        <v>62.440901951999997</v>
      </c>
    </row>
    <row r="3626" spans="2:8">
      <c r="B3626" s="555" t="s">
        <v>2365</v>
      </c>
      <c r="C3626" s="555" t="str">
        <f>VLOOKUP(D3626,기본!$D$13:$E$74,2,0)</f>
        <v>삼성 VD</v>
      </c>
      <c r="D3626" t="s">
        <v>1871</v>
      </c>
      <c r="E3626" t="s">
        <v>1876</v>
      </c>
      <c r="F3626" t="s">
        <v>1877</v>
      </c>
      <c r="G3626" s="554">
        <v>3912</v>
      </c>
      <c r="H3626">
        <v>27.371448000000001</v>
      </c>
    </row>
    <row r="3627" spans="2:8">
      <c r="B3627" s="555" t="s">
        <v>2365</v>
      </c>
      <c r="C3627" s="555" t="str">
        <f>VLOOKUP(D3627,기본!$D$13:$E$74,2,0)</f>
        <v>삼성 VD</v>
      </c>
      <c r="D3627" t="s">
        <v>1880</v>
      </c>
      <c r="E3627" t="s">
        <v>1855</v>
      </c>
      <c r="F3627" t="s">
        <v>1856</v>
      </c>
      <c r="G3627" s="554">
        <v>3496</v>
      </c>
      <c r="H3627">
        <v>49.924964351999996</v>
      </c>
    </row>
    <row r="3628" spans="2:8">
      <c r="B3628" s="555" t="s">
        <v>2365</v>
      </c>
      <c r="C3628" s="555" t="str">
        <f>VLOOKUP(D3628,기본!$D$13:$E$74,2,0)</f>
        <v>삼성 VD</v>
      </c>
      <c r="D3628" t="s">
        <v>1881</v>
      </c>
      <c r="E3628" t="s">
        <v>1165</v>
      </c>
      <c r="F3628" t="s">
        <v>1882</v>
      </c>
      <c r="G3628" s="554">
        <v>12</v>
      </c>
      <c r="H3628">
        <v>0.360045324</v>
      </c>
    </row>
    <row r="3629" spans="2:8">
      <c r="B3629" s="555" t="s">
        <v>2365</v>
      </c>
      <c r="C3629" s="555" t="str">
        <f>VLOOKUP(D3629,기본!$D$13:$E$74,2,0)</f>
        <v>삼성 VD</v>
      </c>
      <c r="D3629" t="s">
        <v>1881</v>
      </c>
      <c r="E3629" t="s">
        <v>1164</v>
      </c>
      <c r="F3629" t="s">
        <v>1850</v>
      </c>
      <c r="G3629" s="554">
        <v>54</v>
      </c>
      <c r="H3629">
        <v>1.4715545399999999</v>
      </c>
    </row>
    <row r="3630" spans="2:8">
      <c r="B3630" s="555" t="s">
        <v>2365</v>
      </c>
      <c r="C3630" s="555" t="str">
        <f>VLOOKUP(D3630,기본!$D$13:$E$74,2,0)</f>
        <v>삼성 VD</v>
      </c>
      <c r="D3630" t="s">
        <v>1881</v>
      </c>
      <c r="E3630" t="s">
        <v>1874</v>
      </c>
      <c r="F3630" t="s">
        <v>1875</v>
      </c>
      <c r="G3630" s="554">
        <v>161</v>
      </c>
      <c r="H3630">
        <v>2.4743225429999995</v>
      </c>
    </row>
    <row r="3631" spans="2:8">
      <c r="B3631" s="555" t="s">
        <v>2365</v>
      </c>
      <c r="C3631" s="555" t="str">
        <f>VLOOKUP(D3631,기본!$D$13:$E$74,2,0)</f>
        <v>기타</v>
      </c>
      <c r="D3631" t="s">
        <v>1883</v>
      </c>
      <c r="E3631" t="s">
        <v>229</v>
      </c>
      <c r="F3631" t="s">
        <v>229</v>
      </c>
      <c r="G3631" s="554">
        <v>0</v>
      </c>
      <c r="H3631">
        <v>1.1477360000000001</v>
      </c>
    </row>
    <row r="3632" spans="2:8">
      <c r="B3632" s="555" t="s">
        <v>2365</v>
      </c>
      <c r="C3632" s="555" t="str">
        <f>VLOOKUP(D3632,기본!$D$13:$E$74,2,0)</f>
        <v>MNT JDM</v>
      </c>
      <c r="D3632" t="s">
        <v>2107</v>
      </c>
      <c r="E3632" t="s">
        <v>709</v>
      </c>
      <c r="F3632" t="s">
        <v>2108</v>
      </c>
      <c r="G3632" s="554">
        <v>18348</v>
      </c>
      <c r="H3632">
        <v>83.928053879999993</v>
      </c>
    </row>
    <row r="3633" spans="2:8">
      <c r="B3633" s="555" t="s">
        <v>2365</v>
      </c>
      <c r="C3633" s="555" t="str">
        <f>VLOOKUP(D3633,기본!$D$13:$E$74,2,0)</f>
        <v>MNT JDM</v>
      </c>
      <c r="D3633" t="s">
        <v>2107</v>
      </c>
      <c r="E3633" t="s">
        <v>710</v>
      </c>
      <c r="F3633" t="s">
        <v>2109</v>
      </c>
      <c r="G3633" s="554">
        <v>1276</v>
      </c>
      <c r="H3633">
        <v>6.8838541199999987</v>
      </c>
    </row>
    <row r="3634" spans="2:8">
      <c r="B3634" s="555" t="s">
        <v>2365</v>
      </c>
      <c r="C3634" s="555" t="str">
        <f>VLOOKUP(D3634,기본!$D$13:$E$74,2,0)</f>
        <v>MNT JDM</v>
      </c>
      <c r="D3634" t="s">
        <v>2107</v>
      </c>
      <c r="E3634" t="s">
        <v>1156</v>
      </c>
      <c r="F3634" t="s">
        <v>1793</v>
      </c>
      <c r="G3634" s="554">
        <v>16016</v>
      </c>
      <c r="H3634">
        <v>90.159965279999994</v>
      </c>
    </row>
    <row r="3635" spans="2:8">
      <c r="B3635" s="555" t="s">
        <v>2365</v>
      </c>
      <c r="C3635" s="555" t="str">
        <f>VLOOKUP(D3635,기본!$D$13:$E$74,2,0)</f>
        <v>MNT JDM</v>
      </c>
      <c r="D3635" t="s">
        <v>1884</v>
      </c>
      <c r="E3635" t="s">
        <v>709</v>
      </c>
      <c r="F3635" t="s">
        <v>2110</v>
      </c>
      <c r="G3635" s="554">
        <v>16526</v>
      </c>
      <c r="H3635">
        <v>77.505065645999991</v>
      </c>
    </row>
    <row r="3636" spans="2:8">
      <c r="B3636" s="555" t="s">
        <v>2365</v>
      </c>
      <c r="C3636" s="555" t="str">
        <f>VLOOKUP(D3636,기본!$D$13:$E$74,2,0)</f>
        <v>MNT JDM</v>
      </c>
      <c r="D3636" t="s">
        <v>1884</v>
      </c>
      <c r="E3636" t="s">
        <v>710</v>
      </c>
      <c r="F3636" t="s">
        <v>2111</v>
      </c>
      <c r="G3636" s="554">
        <v>3168</v>
      </c>
      <c r="H3636">
        <v>17.76533616</v>
      </c>
    </row>
    <row r="3637" spans="2:8">
      <c r="B3637" s="555" t="s">
        <v>2365</v>
      </c>
      <c r="C3637" s="555" t="str">
        <f>VLOOKUP(D3637,기본!$D$13:$E$74,2,0)</f>
        <v>MNT JDM</v>
      </c>
      <c r="D3637" t="s">
        <v>1884</v>
      </c>
      <c r="E3637" t="s">
        <v>1156</v>
      </c>
      <c r="F3637" t="s">
        <v>2112</v>
      </c>
      <c r="G3637" s="554">
        <v>1498</v>
      </c>
      <c r="H3637">
        <v>8.6157854579999995</v>
      </c>
    </row>
    <row r="3638" spans="2:8">
      <c r="B3638" s="555" t="s">
        <v>2365</v>
      </c>
      <c r="C3638" s="555" t="str">
        <f>VLOOKUP(D3638,기본!$D$13:$E$74,2,0)</f>
        <v>MNT JDM</v>
      </c>
      <c r="D3638" t="s">
        <v>1884</v>
      </c>
      <c r="E3638" t="s">
        <v>1157</v>
      </c>
      <c r="F3638" t="s">
        <v>2208</v>
      </c>
      <c r="G3638" s="554">
        <v>1056</v>
      </c>
      <c r="H3638">
        <v>7.28834304</v>
      </c>
    </row>
    <row r="3639" spans="2:8">
      <c r="B3639" s="555" t="s">
        <v>2365</v>
      </c>
      <c r="C3639" s="555" t="str">
        <f>VLOOKUP(D3639,기본!$D$13:$E$74,2,0)</f>
        <v>MNT JDM</v>
      </c>
      <c r="D3639" t="s">
        <v>157</v>
      </c>
      <c r="E3639" t="s">
        <v>709</v>
      </c>
      <c r="F3639" t="s">
        <v>1885</v>
      </c>
      <c r="G3639" s="554">
        <v>712</v>
      </c>
      <c r="H3639">
        <v>3.2352034000000001</v>
      </c>
    </row>
    <row r="3640" spans="2:8">
      <c r="B3640" s="555" t="s">
        <v>2365</v>
      </c>
      <c r="C3640" s="555" t="str">
        <f>VLOOKUP(D3640,기본!$D$13:$E$74,2,0)</f>
        <v>MNT JDM</v>
      </c>
      <c r="D3640" t="s">
        <v>157</v>
      </c>
      <c r="E3640" t="s">
        <v>710</v>
      </c>
      <c r="F3640" t="s">
        <v>1886</v>
      </c>
      <c r="G3640" s="554">
        <v>5</v>
      </c>
      <c r="H3640">
        <v>2.7193044999999999E-2</v>
      </c>
    </row>
    <row r="3641" spans="2:8">
      <c r="B3641" s="555" t="s">
        <v>2365</v>
      </c>
      <c r="C3641" s="555" t="str">
        <f>VLOOKUP(D3641,기본!$D$13:$E$74,2,0)</f>
        <v>MNT JDM</v>
      </c>
      <c r="D3641" t="s">
        <v>157</v>
      </c>
      <c r="E3641" t="s">
        <v>1156</v>
      </c>
      <c r="F3641" t="s">
        <v>1795</v>
      </c>
      <c r="G3641" s="554">
        <v>101</v>
      </c>
      <c r="H3641">
        <v>0.5648323999999999</v>
      </c>
    </row>
    <row r="3642" spans="2:8">
      <c r="B3642" s="555" t="s">
        <v>2365</v>
      </c>
      <c r="C3642" s="555" t="str">
        <f>VLOOKUP(D3642,기본!$D$13:$E$74,2,0)</f>
        <v>AV JDM</v>
      </c>
      <c r="D3642" t="s">
        <v>1888</v>
      </c>
      <c r="E3642" t="s">
        <v>1842</v>
      </c>
      <c r="F3642" t="s">
        <v>1680</v>
      </c>
      <c r="G3642" s="554">
        <v>24000</v>
      </c>
      <c r="H3642">
        <v>220.56672000000003</v>
      </c>
    </row>
    <row r="3643" spans="2:8">
      <c r="B3643" s="555" t="s">
        <v>2365</v>
      </c>
      <c r="C3643" s="555" t="str">
        <f>VLOOKUP(D3643,기본!$D$13:$E$74,2,0)</f>
        <v>AV JDM</v>
      </c>
      <c r="D3643" t="s">
        <v>1888</v>
      </c>
      <c r="E3643" t="s">
        <v>2104</v>
      </c>
      <c r="F3643" t="s">
        <v>2105</v>
      </c>
      <c r="G3643" s="554">
        <v>800</v>
      </c>
      <c r="H3643">
        <v>7.8650928000000002</v>
      </c>
    </row>
    <row r="3644" spans="2:8">
      <c r="B3644" s="555" t="s">
        <v>2365</v>
      </c>
      <c r="C3644" s="555" t="str">
        <f>VLOOKUP(D3644,기본!$D$13:$E$74,2,0)</f>
        <v>AV JDM</v>
      </c>
      <c r="D3644" t="s">
        <v>1888</v>
      </c>
      <c r="E3644" t="s">
        <v>105</v>
      </c>
      <c r="F3644" t="s">
        <v>104</v>
      </c>
      <c r="G3644" s="554">
        <v>10400</v>
      </c>
      <c r="H3644">
        <v>106.99957619999999</v>
      </c>
    </row>
    <row r="3645" spans="2:8">
      <c r="B3645" s="555" t="s">
        <v>2365</v>
      </c>
      <c r="C3645" s="555" t="str">
        <f>VLOOKUP(D3645,기본!$D$13:$E$74,2,0)</f>
        <v>AV JDM</v>
      </c>
      <c r="D3645" t="s">
        <v>1888</v>
      </c>
      <c r="E3645" t="s">
        <v>690</v>
      </c>
      <c r="F3645" t="s">
        <v>689</v>
      </c>
      <c r="G3645" s="554">
        <v>3178</v>
      </c>
      <c r="H3645">
        <v>33.246537189999998</v>
      </c>
    </row>
    <row r="3646" spans="2:8">
      <c r="B3646" s="555" t="s">
        <v>2365</v>
      </c>
      <c r="C3646" s="555" t="str">
        <f>VLOOKUP(D3646,기본!$D$13:$E$74,2,0)</f>
        <v>AV JDM</v>
      </c>
      <c r="D3646" t="s">
        <v>1888</v>
      </c>
      <c r="E3646" t="s">
        <v>1656</v>
      </c>
      <c r="F3646" t="s">
        <v>1656</v>
      </c>
      <c r="G3646" s="554">
        <v>1512</v>
      </c>
      <c r="H3646">
        <v>13.43787508</v>
      </c>
    </row>
    <row r="3647" spans="2:8">
      <c r="B3647" s="555" t="s">
        <v>2365</v>
      </c>
      <c r="C3647" s="555" t="str">
        <f>VLOOKUP(D3647,기본!$D$13:$E$74,2,0)</f>
        <v>AV JDM</v>
      </c>
      <c r="D3647" t="s">
        <v>1888</v>
      </c>
      <c r="E3647" t="s">
        <v>1658</v>
      </c>
      <c r="F3647" t="s">
        <v>1658</v>
      </c>
      <c r="G3647" s="554">
        <v>216</v>
      </c>
      <c r="H3647">
        <v>2.0592575999999996</v>
      </c>
    </row>
    <row r="3648" spans="2:8">
      <c r="B3648" s="555" t="s">
        <v>2365</v>
      </c>
      <c r="C3648" s="555" t="str">
        <f>VLOOKUP(D3648,기본!$D$13:$E$74,2,0)</f>
        <v>AV JDM</v>
      </c>
      <c r="D3648" t="s">
        <v>1888</v>
      </c>
      <c r="E3648" t="s">
        <v>1889</v>
      </c>
      <c r="F3648" t="s">
        <v>1890</v>
      </c>
      <c r="G3648" s="554">
        <v>10080</v>
      </c>
      <c r="H3648">
        <v>79.065866880000002</v>
      </c>
    </row>
    <row r="3649" spans="2:8">
      <c r="B3649" s="555" t="s">
        <v>2365</v>
      </c>
      <c r="C3649" s="555" t="str">
        <f>VLOOKUP(D3649,기본!$D$13:$E$74,2,0)</f>
        <v>AV JDM</v>
      </c>
      <c r="D3649" t="s">
        <v>1888</v>
      </c>
      <c r="E3649" t="s">
        <v>2106</v>
      </c>
      <c r="F3649" t="s">
        <v>1256</v>
      </c>
      <c r="G3649" s="554">
        <v>3024</v>
      </c>
      <c r="H3649">
        <v>29.359423295999999</v>
      </c>
    </row>
    <row r="3650" spans="2:8">
      <c r="B3650" s="555" t="s">
        <v>2365</v>
      </c>
      <c r="C3650" s="555" t="str">
        <f>VLOOKUP(D3650,기본!$D$13:$E$74,2,0)</f>
        <v>AV JDM</v>
      </c>
      <c r="D3650" t="s">
        <v>1888</v>
      </c>
      <c r="E3650" t="s">
        <v>1891</v>
      </c>
      <c r="F3650" t="s">
        <v>1892</v>
      </c>
      <c r="G3650" s="554">
        <v>508</v>
      </c>
      <c r="H3650">
        <v>21.588189944</v>
      </c>
    </row>
    <row r="3651" spans="2:8">
      <c r="B3651" s="555" t="s">
        <v>2365</v>
      </c>
      <c r="C3651" s="555" t="str">
        <f>VLOOKUP(D3651,기본!$D$13:$E$74,2,0)</f>
        <v>AV JDM</v>
      </c>
      <c r="D3651" t="s">
        <v>1888</v>
      </c>
      <c r="E3651" t="s">
        <v>1845</v>
      </c>
      <c r="F3651" t="s">
        <v>1340</v>
      </c>
      <c r="G3651" s="554">
        <v>9030</v>
      </c>
      <c r="H3651">
        <v>94.050435906000004</v>
      </c>
    </row>
    <row r="3652" spans="2:8">
      <c r="B3652" s="555" t="s">
        <v>2365</v>
      </c>
      <c r="C3652" s="555" t="str">
        <f>VLOOKUP(D3652,기본!$D$13:$E$74,2,0)</f>
        <v>AV JDM</v>
      </c>
      <c r="D3652" t="s">
        <v>1888</v>
      </c>
      <c r="E3652" t="s">
        <v>1846</v>
      </c>
      <c r="F3652" t="s">
        <v>1341</v>
      </c>
      <c r="G3652" s="554">
        <v>756</v>
      </c>
      <c r="H3652">
        <v>8.7845297819999999</v>
      </c>
    </row>
    <row r="3653" spans="2:8">
      <c r="B3653" s="555" t="s">
        <v>2365</v>
      </c>
      <c r="C3653" s="555" t="str">
        <f>VLOOKUP(D3653,기본!$D$13:$E$74,2,0)</f>
        <v>AV JDM</v>
      </c>
      <c r="D3653" t="s">
        <v>1888</v>
      </c>
      <c r="E3653" t="s">
        <v>1847</v>
      </c>
      <c r="F3653" t="s">
        <v>1336</v>
      </c>
      <c r="G3653" s="554">
        <v>33000</v>
      </c>
      <c r="H3653">
        <v>301.43820499999998</v>
      </c>
    </row>
    <row r="3654" spans="2:8">
      <c r="B3654" s="555" t="s">
        <v>2365</v>
      </c>
      <c r="C3654" s="555" t="str">
        <f>VLOOKUP(D3654,기본!$D$13:$E$74,2,0)</f>
        <v>AV JDM</v>
      </c>
      <c r="D3654" t="s">
        <v>1888</v>
      </c>
      <c r="E3654" t="s">
        <v>1894</v>
      </c>
      <c r="F3654" t="s">
        <v>1337</v>
      </c>
      <c r="G3654" s="554">
        <v>1520</v>
      </c>
      <c r="H3654">
        <v>15.570563399999999</v>
      </c>
    </row>
    <row r="3655" spans="2:8">
      <c r="B3655" s="555" t="s">
        <v>2365</v>
      </c>
      <c r="C3655" s="555" t="str">
        <f>VLOOKUP(D3655,기본!$D$13:$E$74,2,0)</f>
        <v>AV JDM</v>
      </c>
      <c r="D3655" t="s">
        <v>1888</v>
      </c>
      <c r="E3655" t="s">
        <v>1015</v>
      </c>
      <c r="F3655" t="s">
        <v>1015</v>
      </c>
      <c r="G3655" s="554">
        <v>26560</v>
      </c>
      <c r="H3655">
        <v>185.13257600000003</v>
      </c>
    </row>
    <row r="3656" spans="2:8">
      <c r="B3656" s="555" t="s">
        <v>2365</v>
      </c>
      <c r="C3656" s="555" t="str">
        <f>VLOOKUP(D3656,기본!$D$13:$E$74,2,0)</f>
        <v>AV JDM</v>
      </c>
      <c r="D3656" t="s">
        <v>1888</v>
      </c>
      <c r="E3656" t="s">
        <v>2113</v>
      </c>
      <c r="F3656" t="s">
        <v>2113</v>
      </c>
      <c r="G3656" s="554">
        <v>640</v>
      </c>
      <c r="H3656">
        <v>5.0565803519999992</v>
      </c>
    </row>
    <row r="3657" spans="2:8">
      <c r="B3657" s="555" t="s">
        <v>2365</v>
      </c>
      <c r="C3657" s="555" t="str">
        <f>VLOOKUP(D3657,기본!$D$13:$E$74,2,0)</f>
        <v>AV JDM</v>
      </c>
      <c r="D3657" t="s">
        <v>1888</v>
      </c>
      <c r="E3657" t="s">
        <v>2338</v>
      </c>
      <c r="F3657" t="s">
        <v>2338</v>
      </c>
      <c r="G3657" s="554">
        <v>26</v>
      </c>
      <c r="H3657">
        <v>0.13813228</v>
      </c>
    </row>
    <row r="3658" spans="2:8">
      <c r="B3658" s="555" t="s">
        <v>2365</v>
      </c>
      <c r="C3658" s="555" t="str">
        <f>VLOOKUP(D3658,기본!$D$13:$E$74,2,0)</f>
        <v>AV JDM</v>
      </c>
      <c r="D3658" t="s">
        <v>1888</v>
      </c>
      <c r="E3658" t="s">
        <v>1016</v>
      </c>
      <c r="F3658" t="s">
        <v>1016</v>
      </c>
      <c r="G3658" s="554">
        <v>17280</v>
      </c>
      <c r="H3658">
        <v>143.28337356799997</v>
      </c>
    </row>
    <row r="3659" spans="2:8">
      <c r="B3659" s="555" t="s">
        <v>2365</v>
      </c>
      <c r="C3659" s="555" t="str">
        <f>VLOOKUP(D3659,기본!$D$13:$E$74,2,0)</f>
        <v>AV JDM</v>
      </c>
      <c r="D3659" t="s">
        <v>1888</v>
      </c>
      <c r="E3659" t="s">
        <v>1047</v>
      </c>
      <c r="F3659" t="s">
        <v>1047</v>
      </c>
      <c r="G3659" s="554">
        <v>1352</v>
      </c>
      <c r="H3659">
        <v>12.347721071999999</v>
      </c>
    </row>
    <row r="3660" spans="2:8">
      <c r="B3660" s="555" t="s">
        <v>2365</v>
      </c>
      <c r="C3660" s="555" t="str">
        <f>VLOOKUP(D3660,기본!$D$13:$E$74,2,0)</f>
        <v>AV JDM</v>
      </c>
      <c r="D3660" t="s">
        <v>1888</v>
      </c>
      <c r="E3660" t="s">
        <v>2339</v>
      </c>
      <c r="F3660" t="s">
        <v>2339</v>
      </c>
      <c r="G3660" s="554">
        <v>26</v>
      </c>
      <c r="H3660">
        <v>0.14358487</v>
      </c>
    </row>
    <row r="3661" spans="2:8">
      <c r="B3661" s="555" t="s">
        <v>2365</v>
      </c>
      <c r="C3661" s="555" t="str">
        <f>VLOOKUP(D3661,기본!$D$13:$E$74,2,0)</f>
        <v>AV JDM</v>
      </c>
      <c r="D3661" t="s">
        <v>1888</v>
      </c>
      <c r="E3661" t="s">
        <v>2281</v>
      </c>
      <c r="F3661" t="s">
        <v>2281</v>
      </c>
      <c r="G3661" s="554">
        <v>180</v>
      </c>
      <c r="H3661">
        <v>2.1306780000000001</v>
      </c>
    </row>
    <row r="3662" spans="2:8">
      <c r="B3662" s="555" t="s">
        <v>2365</v>
      </c>
      <c r="C3662" s="555" t="str">
        <f>VLOOKUP(D3662,기본!$D$13:$E$74,2,0)</f>
        <v>AV JDM</v>
      </c>
      <c r="D3662" t="s">
        <v>1899</v>
      </c>
      <c r="E3662" t="s">
        <v>436</v>
      </c>
      <c r="F3662" t="s">
        <v>2210</v>
      </c>
      <c r="G3662" s="554">
        <v>7056</v>
      </c>
      <c r="H3662">
        <v>61.589163887999995</v>
      </c>
    </row>
    <row r="3663" spans="2:8">
      <c r="B3663" s="555" t="s">
        <v>2365</v>
      </c>
      <c r="C3663" s="555" t="str">
        <f>VLOOKUP(D3663,기본!$D$13:$E$74,2,0)</f>
        <v>MNT JDM</v>
      </c>
      <c r="D3663" t="s">
        <v>1900</v>
      </c>
      <c r="E3663" t="s">
        <v>709</v>
      </c>
      <c r="F3663" t="s">
        <v>2115</v>
      </c>
      <c r="G3663" s="554">
        <v>31680</v>
      </c>
      <c r="H3663">
        <v>143.48542348800001</v>
      </c>
    </row>
    <row r="3664" spans="2:8">
      <c r="B3664" s="555" t="s">
        <v>2365</v>
      </c>
      <c r="C3664" s="555" t="str">
        <f>VLOOKUP(D3664,기본!$D$13:$E$74,2,0)</f>
        <v>MNT JDM</v>
      </c>
      <c r="D3664" t="s">
        <v>1900</v>
      </c>
      <c r="E3664" t="s">
        <v>1156</v>
      </c>
      <c r="F3664" t="s">
        <v>2116</v>
      </c>
      <c r="G3664" s="554">
        <v>8448</v>
      </c>
      <c r="H3664">
        <v>47.270783999999999</v>
      </c>
    </row>
    <row r="3665" spans="2:8">
      <c r="B3665" s="555" t="s">
        <v>2365</v>
      </c>
      <c r="C3665" s="555" t="str">
        <f>VLOOKUP(D3665,기본!$D$13:$E$74,2,0)</f>
        <v>MNT JDM</v>
      </c>
      <c r="D3665" t="s">
        <v>1900</v>
      </c>
      <c r="E3665" t="s">
        <v>1157</v>
      </c>
      <c r="F3665" t="s">
        <v>2233</v>
      </c>
      <c r="G3665" s="554">
        <v>1056</v>
      </c>
      <c r="H3665">
        <v>6.953240447999999</v>
      </c>
    </row>
    <row r="3666" spans="2:8">
      <c r="B3666" s="555" t="s">
        <v>2365</v>
      </c>
      <c r="C3666" s="555" t="str">
        <f>VLOOKUP(D3666,기본!$D$13:$E$74,2,0)</f>
        <v>삼성 VD</v>
      </c>
      <c r="D3666" t="s">
        <v>2313</v>
      </c>
      <c r="E3666" t="s">
        <v>2314</v>
      </c>
      <c r="F3666" t="s">
        <v>1834</v>
      </c>
      <c r="G3666" s="554">
        <v>45063</v>
      </c>
      <c r="H3666">
        <v>156.89190600000001</v>
      </c>
    </row>
    <row r="3667" spans="2:8">
      <c r="B3667" s="555" t="s">
        <v>2365</v>
      </c>
      <c r="C3667" s="555" t="str">
        <f>VLOOKUP(D3667,기본!$D$13:$E$74,2,0)</f>
        <v>코웨이</v>
      </c>
      <c r="D3667" t="s">
        <v>1905</v>
      </c>
      <c r="E3667" t="s">
        <v>2294</v>
      </c>
      <c r="F3667" t="s">
        <v>2294</v>
      </c>
      <c r="G3667" s="554">
        <v>1000</v>
      </c>
      <c r="H3667">
        <v>6.6554320000000002</v>
      </c>
    </row>
    <row r="3668" spans="2:8">
      <c r="B3668" s="555" t="s">
        <v>2365</v>
      </c>
      <c r="C3668" s="555" t="str">
        <f>VLOOKUP(D3668,기본!$D$13:$E$74,2,0)</f>
        <v>코웨이</v>
      </c>
      <c r="D3668" t="s">
        <v>1905</v>
      </c>
      <c r="E3668" t="s">
        <v>1066</v>
      </c>
      <c r="F3668" t="s">
        <v>1066</v>
      </c>
      <c r="G3668" s="554">
        <v>2340</v>
      </c>
      <c r="H3668">
        <v>19.382916349999999</v>
      </c>
    </row>
    <row r="3669" spans="2:8">
      <c r="B3669" s="555" t="s">
        <v>2365</v>
      </c>
      <c r="C3669" s="555" t="str">
        <f>VLOOKUP(D3669,기본!$D$13:$E$74,2,0)</f>
        <v>코웨이</v>
      </c>
      <c r="D3669" t="s">
        <v>1905</v>
      </c>
      <c r="E3669" t="s">
        <v>1906</v>
      </c>
      <c r="F3669" t="s">
        <v>1906</v>
      </c>
      <c r="G3669" s="554">
        <v>5700</v>
      </c>
      <c r="H3669">
        <v>38.004784199999996</v>
      </c>
    </row>
    <row r="3670" spans="2:8">
      <c r="B3670" s="555" t="s">
        <v>2365</v>
      </c>
      <c r="C3670" s="555" t="str">
        <f>VLOOKUP(D3670,기본!$D$13:$E$74,2,0)</f>
        <v>코웨이</v>
      </c>
      <c r="D3670" t="s">
        <v>1905</v>
      </c>
      <c r="E3670" t="s">
        <v>1907</v>
      </c>
      <c r="F3670" t="s">
        <v>1907</v>
      </c>
      <c r="G3670" s="554">
        <v>1000</v>
      </c>
      <c r="H3670">
        <v>7.6761179999999998</v>
      </c>
    </row>
    <row r="3671" spans="2:8">
      <c r="B3671" s="555" t="s">
        <v>2365</v>
      </c>
      <c r="C3671" s="555" t="str">
        <f>VLOOKUP(D3671,기본!$D$13:$E$74,2,0)</f>
        <v>코웨이</v>
      </c>
      <c r="D3671" t="s">
        <v>1905</v>
      </c>
      <c r="E3671" t="s">
        <v>1908</v>
      </c>
      <c r="F3671" t="s">
        <v>1908</v>
      </c>
      <c r="G3671" s="554">
        <v>685</v>
      </c>
      <c r="H3671">
        <v>4.7601019899999999</v>
      </c>
    </row>
    <row r="3672" spans="2:8">
      <c r="B3672" s="555" t="s">
        <v>2365</v>
      </c>
      <c r="C3672" s="555" t="str">
        <f>VLOOKUP(D3672,기본!$D$13:$E$74,2,0)</f>
        <v>코웨이</v>
      </c>
      <c r="D3672" t="s">
        <v>1905</v>
      </c>
      <c r="E3672" t="s">
        <v>1909</v>
      </c>
      <c r="F3672" t="s">
        <v>1909</v>
      </c>
      <c r="G3672" s="554">
        <v>1000</v>
      </c>
      <c r="H3672">
        <v>5.7406949999999997</v>
      </c>
    </row>
    <row r="3673" spans="2:8">
      <c r="B3673" s="555" t="s">
        <v>2365</v>
      </c>
      <c r="C3673" s="555" t="str">
        <f>VLOOKUP(D3673,기본!$D$13:$E$74,2,0)</f>
        <v>코웨이</v>
      </c>
      <c r="D3673" t="s">
        <v>1905</v>
      </c>
      <c r="E3673" t="s">
        <v>2165</v>
      </c>
      <c r="F3673" t="s">
        <v>2165</v>
      </c>
      <c r="G3673" s="554">
        <v>6320</v>
      </c>
      <c r="H3673">
        <v>41.392072800000001</v>
      </c>
    </row>
    <row r="3674" spans="2:8">
      <c r="B3674" s="555" t="s">
        <v>2365</v>
      </c>
      <c r="C3674" s="555" t="str">
        <f>VLOOKUP(D3674,기본!$D$13:$E$74,2,0)</f>
        <v>코웨이</v>
      </c>
      <c r="D3674" t="s">
        <v>1905</v>
      </c>
      <c r="E3674" t="s">
        <v>1910</v>
      </c>
      <c r="F3674" t="s">
        <v>1910</v>
      </c>
      <c r="G3674" s="554">
        <v>3150</v>
      </c>
      <c r="H3674">
        <v>19.435526759999998</v>
      </c>
    </row>
    <row r="3675" spans="2:8">
      <c r="B3675" s="555" t="s">
        <v>2365</v>
      </c>
      <c r="C3675" s="555" t="str">
        <f>VLOOKUP(D3675,기본!$D$13:$E$74,2,0)</f>
        <v>삼성 VD</v>
      </c>
      <c r="D3675" t="s">
        <v>1912</v>
      </c>
      <c r="E3675" t="s">
        <v>1165</v>
      </c>
      <c r="F3675" t="s">
        <v>1882</v>
      </c>
      <c r="G3675" s="554">
        <v>120</v>
      </c>
      <c r="H3675">
        <v>3.6605779200000006</v>
      </c>
    </row>
    <row r="3676" spans="2:8">
      <c r="B3676" s="555" t="s">
        <v>2365</v>
      </c>
      <c r="C3676" s="555" t="str">
        <f>VLOOKUP(D3676,기본!$D$13:$E$74,2,0)</f>
        <v>삼성 VD</v>
      </c>
      <c r="D3676" t="s">
        <v>1912</v>
      </c>
      <c r="E3676" t="s">
        <v>1164</v>
      </c>
      <c r="F3676" t="s">
        <v>1850</v>
      </c>
      <c r="G3676" s="554">
        <v>1200</v>
      </c>
      <c r="H3676">
        <v>33.247296000000006</v>
      </c>
    </row>
    <row r="3677" spans="2:8">
      <c r="B3677" s="555" t="s">
        <v>2365</v>
      </c>
      <c r="C3677" s="555" t="str">
        <f>VLOOKUP(D3677,기본!$D$13:$E$74,2,0)</f>
        <v>삼성 VD</v>
      </c>
      <c r="D3677" t="s">
        <v>1912</v>
      </c>
      <c r="E3677" t="s">
        <v>1865</v>
      </c>
      <c r="F3677" t="s">
        <v>1866</v>
      </c>
      <c r="G3677" s="554">
        <v>120</v>
      </c>
      <c r="H3677">
        <v>4.894272</v>
      </c>
    </row>
    <row r="3678" spans="2:8">
      <c r="B3678" s="555" t="s">
        <v>2365</v>
      </c>
      <c r="C3678" s="555" t="str">
        <f>VLOOKUP(D3678,기본!$D$13:$E$74,2,0)</f>
        <v>삼성 VD</v>
      </c>
      <c r="D3678" t="s">
        <v>1912</v>
      </c>
      <c r="E3678" t="s">
        <v>1788</v>
      </c>
      <c r="F3678" t="s">
        <v>1913</v>
      </c>
      <c r="G3678" s="554">
        <v>76896</v>
      </c>
      <c r="H3678">
        <v>904.9472710199999</v>
      </c>
    </row>
    <row r="3679" spans="2:8">
      <c r="B3679" s="555" t="s">
        <v>2365</v>
      </c>
      <c r="C3679" s="555" t="str">
        <f>VLOOKUP(D3679,기본!$D$13:$E$74,2,0)</f>
        <v>삼성 VD</v>
      </c>
      <c r="D3679" t="s">
        <v>1912</v>
      </c>
      <c r="E3679" t="s">
        <v>1790</v>
      </c>
      <c r="F3679" t="s">
        <v>1914</v>
      </c>
      <c r="G3679" s="554">
        <v>59301</v>
      </c>
      <c r="H3679">
        <v>770.23734163199993</v>
      </c>
    </row>
    <row r="3680" spans="2:8">
      <c r="B3680" s="555" t="s">
        <v>2365</v>
      </c>
      <c r="C3680" s="555" t="str">
        <f>VLOOKUP(D3680,기본!$D$13:$E$74,2,0)</f>
        <v>삼성 VD</v>
      </c>
      <c r="D3680" t="s">
        <v>1912</v>
      </c>
      <c r="E3680" t="s">
        <v>1792</v>
      </c>
      <c r="F3680" t="s">
        <v>1915</v>
      </c>
      <c r="G3680" s="554">
        <v>17208</v>
      </c>
      <c r="H3680">
        <v>292.85955097200002</v>
      </c>
    </row>
    <row r="3681" spans="2:8">
      <c r="B3681" s="555" t="s">
        <v>2365</v>
      </c>
      <c r="C3681" s="555" t="str">
        <f>VLOOKUP(D3681,기본!$D$13:$E$74,2,0)</f>
        <v>삼성 VD</v>
      </c>
      <c r="D3681" t="s">
        <v>1912</v>
      </c>
      <c r="E3681" t="s">
        <v>1925</v>
      </c>
      <c r="F3681" t="s">
        <v>1926</v>
      </c>
      <c r="G3681" s="554">
        <v>1596</v>
      </c>
      <c r="H3681">
        <v>13.412801304</v>
      </c>
    </row>
    <row r="3682" spans="2:8">
      <c r="B3682" s="555" t="s">
        <v>2365</v>
      </c>
      <c r="C3682" s="555" t="str">
        <f>VLOOKUP(D3682,기본!$D$13:$E$74,2,0)</f>
        <v>삼성 VD</v>
      </c>
      <c r="D3682" t="s">
        <v>1916</v>
      </c>
      <c r="E3682" t="s">
        <v>1851</v>
      </c>
      <c r="F3682" t="s">
        <v>1852</v>
      </c>
      <c r="G3682" s="554">
        <v>2256</v>
      </c>
      <c r="H3682">
        <v>17.155835568000001</v>
      </c>
    </row>
    <row r="3683" spans="2:8">
      <c r="B3683" s="555" t="s">
        <v>2365</v>
      </c>
      <c r="C3683" s="555" t="str">
        <f>VLOOKUP(D3683,기본!$D$13:$E$74,2,0)</f>
        <v>삼성 VD</v>
      </c>
      <c r="D3683" t="s">
        <v>1916</v>
      </c>
      <c r="E3683" t="s">
        <v>2260</v>
      </c>
      <c r="F3683" t="s">
        <v>1774</v>
      </c>
      <c r="G3683" s="554">
        <v>1819</v>
      </c>
      <c r="H3683">
        <v>19.893680310000001</v>
      </c>
    </row>
    <row r="3684" spans="2:8">
      <c r="B3684" s="555" t="s">
        <v>2365</v>
      </c>
      <c r="C3684" s="555" t="str">
        <f>VLOOKUP(D3684,기본!$D$13:$E$74,2,0)</f>
        <v>삼성 VD</v>
      </c>
      <c r="D3684" t="s">
        <v>1916</v>
      </c>
      <c r="E3684" t="s">
        <v>1788</v>
      </c>
      <c r="F3684" t="s">
        <v>1913</v>
      </c>
      <c r="G3684" s="554">
        <v>15552</v>
      </c>
      <c r="H3684">
        <v>182.74413455999996</v>
      </c>
    </row>
    <row r="3685" spans="2:8">
      <c r="B3685" s="555" t="s">
        <v>2365</v>
      </c>
      <c r="C3685" s="555" t="str">
        <f>VLOOKUP(D3685,기본!$D$13:$E$74,2,0)</f>
        <v>삼성 VD</v>
      </c>
      <c r="D3685" t="s">
        <v>1916</v>
      </c>
      <c r="E3685" t="s">
        <v>1778</v>
      </c>
      <c r="F3685" t="s">
        <v>1919</v>
      </c>
      <c r="G3685" s="554">
        <v>28222</v>
      </c>
      <c r="H3685">
        <v>367.04940084000003</v>
      </c>
    </row>
    <row r="3686" spans="2:8">
      <c r="B3686" s="555" t="s">
        <v>2365</v>
      </c>
      <c r="C3686" s="555" t="str">
        <f>VLOOKUP(D3686,기본!$D$13:$E$74,2,0)</f>
        <v>삼성 VD</v>
      </c>
      <c r="D3686" t="s">
        <v>1916</v>
      </c>
      <c r="E3686" t="s">
        <v>1790</v>
      </c>
      <c r="F3686" t="s">
        <v>1914</v>
      </c>
      <c r="G3686" s="554">
        <v>4653</v>
      </c>
      <c r="H3686">
        <v>60.608134224000004</v>
      </c>
    </row>
    <row r="3687" spans="2:8">
      <c r="B3687" s="555" t="s">
        <v>2365</v>
      </c>
      <c r="C3687" s="555" t="str">
        <f>VLOOKUP(D3687,기본!$D$13:$E$74,2,0)</f>
        <v>삼성 VD</v>
      </c>
      <c r="D3687" t="s">
        <v>1916</v>
      </c>
      <c r="E3687" t="s">
        <v>1779</v>
      </c>
      <c r="F3687" t="s">
        <v>1920</v>
      </c>
      <c r="G3687" s="554">
        <v>13497</v>
      </c>
      <c r="H3687">
        <v>196.594580952</v>
      </c>
    </row>
    <row r="3688" spans="2:8">
      <c r="B3688" s="555" t="s">
        <v>2365</v>
      </c>
      <c r="C3688" s="555" t="str">
        <f>VLOOKUP(D3688,기본!$D$13:$E$74,2,0)</f>
        <v>삼성 VD</v>
      </c>
      <c r="D3688" t="s">
        <v>1916</v>
      </c>
      <c r="E3688" t="s">
        <v>1792</v>
      </c>
      <c r="F3688" t="s">
        <v>1915</v>
      </c>
      <c r="G3688" s="554">
        <v>3024</v>
      </c>
      <c r="H3688">
        <v>51.407141183999997</v>
      </c>
    </row>
    <row r="3689" spans="2:8">
      <c r="B3689" s="555" t="s">
        <v>2365</v>
      </c>
      <c r="C3689" s="555" t="str">
        <f>VLOOKUP(D3689,기본!$D$13:$E$74,2,0)</f>
        <v>삼성 VD</v>
      </c>
      <c r="D3689" t="s">
        <v>1916</v>
      </c>
      <c r="E3689" t="s">
        <v>1921</v>
      </c>
      <c r="F3689" t="s">
        <v>1922</v>
      </c>
      <c r="G3689" s="554">
        <v>864</v>
      </c>
      <c r="H3689">
        <v>19.616587775999996</v>
      </c>
    </row>
    <row r="3690" spans="2:8">
      <c r="B3690" s="555" t="s">
        <v>2365</v>
      </c>
      <c r="C3690" s="555" t="str">
        <f>VLOOKUP(D3690,기본!$D$13:$E$74,2,0)</f>
        <v>삼성 VD</v>
      </c>
      <c r="D3690" t="s">
        <v>1916</v>
      </c>
      <c r="E3690" t="s">
        <v>1923</v>
      </c>
      <c r="F3690" t="s">
        <v>1924</v>
      </c>
      <c r="G3690" s="554">
        <v>7634</v>
      </c>
      <c r="H3690">
        <v>34.874753099999992</v>
      </c>
    </row>
    <row r="3691" spans="2:8">
      <c r="B3691" s="555" t="s">
        <v>2365</v>
      </c>
      <c r="C3691" s="555" t="str">
        <f>VLOOKUP(D3691,기본!$D$13:$E$74,2,0)</f>
        <v>삼성 VD</v>
      </c>
      <c r="D3691" t="s">
        <v>1927</v>
      </c>
      <c r="E3691" t="s">
        <v>2119</v>
      </c>
      <c r="F3691" t="s">
        <v>2120</v>
      </c>
      <c r="G3691" s="554">
        <v>6336</v>
      </c>
      <c r="H3691">
        <v>124.64242893000001</v>
      </c>
    </row>
    <row r="3692" spans="2:8">
      <c r="B3692" s="555" t="s">
        <v>2365</v>
      </c>
      <c r="C3692" s="555" t="str">
        <f>VLOOKUP(D3692,기본!$D$13:$E$74,2,0)</f>
        <v>삼성 VD</v>
      </c>
      <c r="D3692" t="s">
        <v>1927</v>
      </c>
      <c r="E3692" t="s">
        <v>2121</v>
      </c>
      <c r="F3692" t="s">
        <v>874</v>
      </c>
      <c r="G3692" s="554">
        <v>144</v>
      </c>
      <c r="H3692">
        <v>2.9283098399999994</v>
      </c>
    </row>
    <row r="3693" spans="2:8">
      <c r="B3693" s="555" t="s">
        <v>2365</v>
      </c>
      <c r="C3693" s="555" t="str">
        <f>VLOOKUP(D3693,기본!$D$13:$E$74,2,0)</f>
        <v>삼성 VD</v>
      </c>
      <c r="D3693" t="s">
        <v>1927</v>
      </c>
      <c r="E3693" t="s">
        <v>1165</v>
      </c>
      <c r="F3693" t="s">
        <v>1882</v>
      </c>
      <c r="G3693" s="554">
        <v>1296</v>
      </c>
      <c r="H3693">
        <v>39.007174536000001</v>
      </c>
    </row>
    <row r="3694" spans="2:8">
      <c r="B3694" s="555" t="s">
        <v>2365</v>
      </c>
      <c r="C3694" s="555" t="str">
        <f>VLOOKUP(D3694,기본!$D$13:$E$74,2,0)</f>
        <v>삼성 VD</v>
      </c>
      <c r="D3694" t="s">
        <v>1927</v>
      </c>
      <c r="E3694" t="s">
        <v>1851</v>
      </c>
      <c r="F3694" t="s">
        <v>1852</v>
      </c>
      <c r="G3694" s="554">
        <v>3456</v>
      </c>
      <c r="H3694">
        <v>26.207465472000003</v>
      </c>
    </row>
    <row r="3695" spans="2:8">
      <c r="B3695" s="555" t="s">
        <v>2365</v>
      </c>
      <c r="C3695" s="555" t="str">
        <f>VLOOKUP(D3695,기본!$D$13:$E$74,2,0)</f>
        <v>삼성 VD</v>
      </c>
      <c r="D3695" t="s">
        <v>1927</v>
      </c>
      <c r="E3695" t="s">
        <v>1036</v>
      </c>
      <c r="F3695" t="s">
        <v>1035</v>
      </c>
      <c r="G3695" s="554">
        <v>129</v>
      </c>
      <c r="H3695">
        <v>1.4341794299999999</v>
      </c>
    </row>
    <row r="3696" spans="2:8">
      <c r="B3696" s="555" t="s">
        <v>2365</v>
      </c>
      <c r="C3696" s="555" t="str">
        <f>VLOOKUP(D3696,기본!$D$13:$E$74,2,0)</f>
        <v>삼성 VD</v>
      </c>
      <c r="D3696" t="s">
        <v>1927</v>
      </c>
      <c r="E3696" t="s">
        <v>1859</v>
      </c>
      <c r="F3696" t="s">
        <v>1860</v>
      </c>
      <c r="G3696" s="554">
        <v>3888</v>
      </c>
      <c r="H3696">
        <v>69.824984688000001</v>
      </c>
    </row>
    <row r="3697" spans="2:8">
      <c r="B3697" s="555" t="s">
        <v>2365</v>
      </c>
      <c r="C3697" s="555" t="str">
        <f>VLOOKUP(D3697,기본!$D$13:$E$74,2,0)</f>
        <v>삼성 VD</v>
      </c>
      <c r="D3697" t="s">
        <v>1927</v>
      </c>
      <c r="E3697" t="s">
        <v>1309</v>
      </c>
      <c r="F3697" t="s">
        <v>1308</v>
      </c>
      <c r="G3697" s="554">
        <v>5472</v>
      </c>
      <c r="H3697">
        <v>122.20620163199999</v>
      </c>
    </row>
    <row r="3698" spans="2:8">
      <c r="B3698" s="555" t="s">
        <v>2365</v>
      </c>
      <c r="C3698" s="555" t="str">
        <f>VLOOKUP(D3698,기본!$D$13:$E$74,2,0)</f>
        <v>삼성 VD</v>
      </c>
      <c r="D3698" t="s">
        <v>1927</v>
      </c>
      <c r="E3698" t="s">
        <v>1311</v>
      </c>
      <c r="F3698" t="s">
        <v>1310</v>
      </c>
      <c r="G3698" s="554">
        <v>312</v>
      </c>
      <c r="H3698">
        <v>7.5622958639999993</v>
      </c>
    </row>
    <row r="3699" spans="2:8">
      <c r="B3699" s="555" t="s">
        <v>2365</v>
      </c>
      <c r="C3699" s="555" t="str">
        <f>VLOOKUP(D3699,기본!$D$13:$E$74,2,0)</f>
        <v>삼성 VD</v>
      </c>
      <c r="D3699" t="s">
        <v>1927</v>
      </c>
      <c r="E3699" t="s">
        <v>1313</v>
      </c>
      <c r="F3699" t="s">
        <v>1312</v>
      </c>
      <c r="G3699" s="554">
        <v>144</v>
      </c>
      <c r="H3699">
        <v>3.2606578079999999</v>
      </c>
    </row>
    <row r="3700" spans="2:8">
      <c r="B3700" s="555" t="s">
        <v>2365</v>
      </c>
      <c r="C3700" s="555" t="str">
        <f>VLOOKUP(D3700,기본!$D$13:$E$74,2,0)</f>
        <v>삼성 VD</v>
      </c>
      <c r="D3700" t="s">
        <v>1927</v>
      </c>
      <c r="E3700" t="s">
        <v>1865</v>
      </c>
      <c r="F3700" t="s">
        <v>1866</v>
      </c>
      <c r="G3700" s="554">
        <v>6528</v>
      </c>
      <c r="H3700">
        <v>262.06905599999999</v>
      </c>
    </row>
    <row r="3701" spans="2:8">
      <c r="B3701" s="555" t="s">
        <v>2365</v>
      </c>
      <c r="C3701" s="555" t="str">
        <f>VLOOKUP(D3701,기본!$D$13:$E$74,2,0)</f>
        <v>삼성 VD</v>
      </c>
      <c r="D3701" t="s">
        <v>1927</v>
      </c>
      <c r="E3701" t="s">
        <v>1932</v>
      </c>
      <c r="F3701" t="s">
        <v>1933</v>
      </c>
      <c r="G3701" s="554">
        <v>4860</v>
      </c>
      <c r="H3701">
        <v>80.539599240000001</v>
      </c>
    </row>
    <row r="3702" spans="2:8">
      <c r="B3702" s="555" t="s">
        <v>2365</v>
      </c>
      <c r="C3702" s="555" t="str">
        <f>VLOOKUP(D3702,기본!$D$13:$E$74,2,0)</f>
        <v>삼성 VD</v>
      </c>
      <c r="D3702" t="s">
        <v>1927</v>
      </c>
      <c r="E3702" t="s">
        <v>2272</v>
      </c>
      <c r="F3702" t="s">
        <v>1785</v>
      </c>
      <c r="G3702" s="554">
        <v>21093</v>
      </c>
      <c r="H3702">
        <v>234.65087370700002</v>
      </c>
    </row>
    <row r="3703" spans="2:8">
      <c r="B3703" s="555" t="s">
        <v>2365</v>
      </c>
      <c r="C3703" s="555" t="str">
        <f>VLOOKUP(D3703,기본!$D$13:$E$74,2,0)</f>
        <v>삼성 VD</v>
      </c>
      <c r="D3703" t="s">
        <v>1927</v>
      </c>
      <c r="E3703" t="s">
        <v>2337</v>
      </c>
      <c r="F3703" t="s">
        <v>2267</v>
      </c>
      <c r="G3703" s="554">
        <v>18876</v>
      </c>
      <c r="H3703">
        <v>99.043959167999986</v>
      </c>
    </row>
    <row r="3704" spans="2:8">
      <c r="B3704" s="555" t="s">
        <v>2365</v>
      </c>
      <c r="C3704" s="555" t="str">
        <f>VLOOKUP(D3704,기본!$D$13:$E$74,2,0)</f>
        <v>삼성 VD</v>
      </c>
      <c r="D3704" t="s">
        <v>1927</v>
      </c>
      <c r="E3704" t="s">
        <v>2342</v>
      </c>
      <c r="F3704" t="s">
        <v>1815</v>
      </c>
      <c r="G3704" s="554">
        <v>330</v>
      </c>
      <c r="H3704">
        <v>1.9653546000000002</v>
      </c>
    </row>
    <row r="3705" spans="2:8">
      <c r="B3705" s="555" t="s">
        <v>2365</v>
      </c>
      <c r="C3705" s="555" t="str">
        <f>VLOOKUP(D3705,기본!$D$13:$E$74,2,0)</f>
        <v>삼성 VD</v>
      </c>
      <c r="D3705" t="s">
        <v>1927</v>
      </c>
      <c r="E3705" t="s">
        <v>1934</v>
      </c>
      <c r="F3705" t="s">
        <v>1935</v>
      </c>
      <c r="G3705" s="554">
        <v>44</v>
      </c>
      <c r="H3705">
        <v>0.20579328</v>
      </c>
    </row>
    <row r="3706" spans="2:8">
      <c r="B3706" s="555" t="s">
        <v>2365</v>
      </c>
      <c r="C3706" s="555" t="str">
        <f>VLOOKUP(D3706,기본!$D$13:$E$74,2,0)</f>
        <v>삼성 VD</v>
      </c>
      <c r="D3706" t="s">
        <v>1927</v>
      </c>
      <c r="E3706" t="s">
        <v>1923</v>
      </c>
      <c r="F3706" t="s">
        <v>1924</v>
      </c>
      <c r="G3706" s="554">
        <v>792</v>
      </c>
      <c r="H3706">
        <v>3.6781192799999998</v>
      </c>
    </row>
    <row r="3707" spans="2:8">
      <c r="B3707" s="555" t="s">
        <v>2365</v>
      </c>
      <c r="C3707" s="555" t="str">
        <f>VLOOKUP(D3707,기본!$D$13:$E$74,2,0)</f>
        <v>삼성 VD</v>
      </c>
      <c r="D3707" t="s">
        <v>1927</v>
      </c>
      <c r="E3707" t="s">
        <v>1938</v>
      </c>
      <c r="F3707" t="s">
        <v>1939</v>
      </c>
      <c r="G3707" s="554">
        <v>9218</v>
      </c>
      <c r="H3707">
        <v>51.611563387999993</v>
      </c>
    </row>
    <row r="3708" spans="2:8">
      <c r="B3708" s="555" t="s">
        <v>2365</v>
      </c>
      <c r="C3708" s="555" t="str">
        <f>VLOOKUP(D3708,기본!$D$13:$E$74,2,0)</f>
        <v>삼성 VD</v>
      </c>
      <c r="D3708" t="s">
        <v>1927</v>
      </c>
      <c r="E3708" t="s">
        <v>1940</v>
      </c>
      <c r="F3708" t="s">
        <v>1941</v>
      </c>
      <c r="G3708" s="554">
        <v>297</v>
      </c>
      <c r="H3708">
        <v>4.002942645000001</v>
      </c>
    </row>
    <row r="3709" spans="2:8">
      <c r="B3709" s="555" t="s">
        <v>2365</v>
      </c>
      <c r="C3709" s="555" t="str">
        <f>VLOOKUP(D3709,기본!$D$13:$E$74,2,0)</f>
        <v>삼성 VD</v>
      </c>
      <c r="D3709" t="s">
        <v>1927</v>
      </c>
      <c r="E3709" t="s">
        <v>1925</v>
      </c>
      <c r="F3709" t="s">
        <v>1926</v>
      </c>
      <c r="G3709" s="554">
        <v>2016</v>
      </c>
      <c r="H3709">
        <v>17.040495528000001</v>
      </c>
    </row>
    <row r="3710" spans="2:8">
      <c r="B3710" s="555" t="s">
        <v>2365</v>
      </c>
      <c r="C3710" s="555" t="str">
        <f>VLOOKUP(D3710,기본!$D$13:$E$74,2,0)</f>
        <v>삼성 VD</v>
      </c>
      <c r="D3710" t="s">
        <v>1927</v>
      </c>
      <c r="E3710" t="s">
        <v>709</v>
      </c>
      <c r="F3710" t="s">
        <v>1869</v>
      </c>
      <c r="G3710" s="554">
        <v>106656</v>
      </c>
      <c r="H3710">
        <v>369.87139200000001</v>
      </c>
    </row>
    <row r="3711" spans="2:8">
      <c r="B3711" s="555" t="s">
        <v>2365</v>
      </c>
      <c r="C3711" s="555" t="str">
        <f>VLOOKUP(D3711,기본!$D$13:$E$74,2,0)</f>
        <v>삼성 VD</v>
      </c>
      <c r="D3711" t="s">
        <v>1927</v>
      </c>
      <c r="E3711" t="s">
        <v>710</v>
      </c>
      <c r="F3711" t="s">
        <v>1947</v>
      </c>
      <c r="G3711" s="554">
        <v>24816</v>
      </c>
      <c r="H3711">
        <v>114.83223681600001</v>
      </c>
    </row>
    <row r="3712" spans="2:8">
      <c r="B3712" s="555" t="s">
        <v>2365</v>
      </c>
      <c r="C3712" s="555" t="str">
        <f>VLOOKUP(D3712,기본!$D$13:$E$74,2,0)</f>
        <v>삼성 VD</v>
      </c>
      <c r="D3712" t="s">
        <v>1927</v>
      </c>
      <c r="E3712" t="s">
        <v>1157</v>
      </c>
      <c r="F3712" t="s">
        <v>1887</v>
      </c>
      <c r="G3712" s="554">
        <v>308</v>
      </c>
      <c r="H3712">
        <v>1.518629376</v>
      </c>
    </row>
    <row r="3713" spans="2:8">
      <c r="B3713" s="555" t="s">
        <v>2365</v>
      </c>
      <c r="C3713" s="555" t="str">
        <f>VLOOKUP(D3713,기본!$D$13:$E$74,2,0)</f>
        <v>삼성 VD</v>
      </c>
      <c r="D3713" t="s">
        <v>1927</v>
      </c>
      <c r="E3713" t="s">
        <v>2235</v>
      </c>
      <c r="F3713" t="s">
        <v>2236</v>
      </c>
      <c r="G3713" s="554">
        <v>9372</v>
      </c>
      <c r="H3713">
        <v>43.909297496999997</v>
      </c>
    </row>
    <row r="3714" spans="2:8">
      <c r="B3714" s="555" t="s">
        <v>2365</v>
      </c>
      <c r="C3714" s="555" t="str">
        <f>VLOOKUP(D3714,기본!$D$13:$E$74,2,0)</f>
        <v>삼성 생활가전</v>
      </c>
      <c r="D3714" t="s">
        <v>1942</v>
      </c>
      <c r="E3714" t="s">
        <v>1943</v>
      </c>
      <c r="F3714" t="s">
        <v>1943</v>
      </c>
      <c r="G3714" s="554">
        <v>39168</v>
      </c>
      <c r="H3714">
        <v>298.18130688000002</v>
      </c>
    </row>
    <row r="3715" spans="2:8">
      <c r="B3715" s="555" t="s">
        <v>2365</v>
      </c>
      <c r="C3715" s="555" t="str">
        <f>VLOOKUP(D3715,기본!$D$13:$E$74,2,0)</f>
        <v>삼성 생활가전</v>
      </c>
      <c r="D3715" t="s">
        <v>1942</v>
      </c>
      <c r="E3715" t="s">
        <v>2273</v>
      </c>
      <c r="F3715" t="s">
        <v>2273</v>
      </c>
      <c r="G3715" s="554">
        <v>3588</v>
      </c>
      <c r="H3715">
        <v>27.644507819999998</v>
      </c>
    </row>
    <row r="3716" spans="2:8">
      <c r="B3716" s="555" t="s">
        <v>2365</v>
      </c>
      <c r="C3716" s="555" t="str">
        <f>VLOOKUP(D3716,기본!$D$13:$E$74,2,0)</f>
        <v>삼성 생활가전</v>
      </c>
      <c r="D3716" t="s">
        <v>1942</v>
      </c>
      <c r="E3716" t="s">
        <v>1944</v>
      </c>
      <c r="F3716" t="s">
        <v>1944</v>
      </c>
      <c r="G3716" s="554">
        <v>960</v>
      </c>
      <c r="H3716">
        <v>7.3038239999999996</v>
      </c>
    </row>
    <row r="3717" spans="2:8">
      <c r="B3717" s="555" t="s">
        <v>2365</v>
      </c>
      <c r="C3717" s="555" t="str">
        <f>VLOOKUP(D3717,기본!$D$13:$E$74,2,0)</f>
        <v>삼성 생활가전</v>
      </c>
      <c r="D3717" t="s">
        <v>1942</v>
      </c>
      <c r="E3717" t="s">
        <v>2237</v>
      </c>
      <c r="F3717" t="s">
        <v>2237</v>
      </c>
      <c r="G3717" s="554">
        <v>96</v>
      </c>
      <c r="H3717">
        <v>0.71710272000000008</v>
      </c>
    </row>
    <row r="3718" spans="2:8">
      <c r="B3718" s="555" t="s">
        <v>2365</v>
      </c>
      <c r="C3718" s="555" t="str">
        <f>VLOOKUP(D3718,기본!$D$13:$E$74,2,0)</f>
        <v>삼성 생활가전</v>
      </c>
      <c r="D3718" t="s">
        <v>1942</v>
      </c>
      <c r="E3718" t="s">
        <v>2274</v>
      </c>
      <c r="F3718" t="s">
        <v>2274</v>
      </c>
      <c r="G3718" s="554">
        <v>3456</v>
      </c>
      <c r="H3718">
        <v>27.517320000000002</v>
      </c>
    </row>
    <row r="3719" spans="2:8">
      <c r="B3719" s="555" t="s">
        <v>2365</v>
      </c>
      <c r="C3719" s="555" t="str">
        <f>VLOOKUP(D3719,기본!$D$13:$E$74,2,0)</f>
        <v>삼성 생활가전</v>
      </c>
      <c r="D3719" t="s">
        <v>1942</v>
      </c>
      <c r="E3719" t="s">
        <v>1945</v>
      </c>
      <c r="F3719" t="s">
        <v>1945</v>
      </c>
      <c r="G3719" s="554">
        <v>18432</v>
      </c>
      <c r="H3719">
        <v>152.56386432000002</v>
      </c>
    </row>
    <row r="3720" spans="2:8">
      <c r="B3720" s="555" t="s">
        <v>2365</v>
      </c>
      <c r="C3720" s="555" t="str">
        <f>VLOOKUP(D3720,기본!$D$13:$E$74,2,0)</f>
        <v>삼성 생활가전</v>
      </c>
      <c r="D3720" t="s">
        <v>1942</v>
      </c>
      <c r="E3720" t="s">
        <v>2264</v>
      </c>
      <c r="F3720" t="s">
        <v>2264</v>
      </c>
      <c r="G3720" s="554">
        <v>540</v>
      </c>
      <c r="H3720">
        <v>4.5477720000000001</v>
      </c>
    </row>
    <row r="3721" spans="2:8">
      <c r="B3721" s="555" t="s">
        <v>2365</v>
      </c>
      <c r="C3721" s="555" t="str">
        <f>VLOOKUP(D3721,기본!$D$13:$E$74,2,0)</f>
        <v>삼성 생활가전</v>
      </c>
      <c r="D3721" t="s">
        <v>1942</v>
      </c>
      <c r="E3721" t="s">
        <v>1975</v>
      </c>
      <c r="F3721" t="s">
        <v>1975</v>
      </c>
      <c r="G3721" s="554">
        <v>4608</v>
      </c>
      <c r="H3721">
        <v>41.063334912000002</v>
      </c>
    </row>
    <row r="3722" spans="2:8">
      <c r="B3722" s="555" t="s">
        <v>2365</v>
      </c>
      <c r="C3722" s="555" t="str">
        <f>VLOOKUP(D3722,기본!$D$13:$E$74,2,0)</f>
        <v>삼성 생활가전</v>
      </c>
      <c r="D3722" t="s">
        <v>1942</v>
      </c>
      <c r="E3722" t="s">
        <v>2265</v>
      </c>
      <c r="F3722" t="s">
        <v>2265</v>
      </c>
      <c r="G3722" s="554">
        <v>1224</v>
      </c>
      <c r="H3722">
        <v>10.539370080000001</v>
      </c>
    </row>
    <row r="3723" spans="2:8">
      <c r="B3723" s="555" t="s">
        <v>2365</v>
      </c>
      <c r="C3723" s="555" t="str">
        <f>VLOOKUP(D3723,기본!$D$13:$E$74,2,0)</f>
        <v>삼성 VD</v>
      </c>
      <c r="D3723" t="s">
        <v>1946</v>
      </c>
      <c r="E3723" t="s">
        <v>1165</v>
      </c>
      <c r="F3723" t="s">
        <v>1882</v>
      </c>
      <c r="G3723" s="554">
        <v>78</v>
      </c>
      <c r="H3723">
        <v>2.3563018260000002</v>
      </c>
    </row>
    <row r="3724" spans="2:8">
      <c r="B3724" s="555" t="s">
        <v>2365</v>
      </c>
      <c r="C3724" s="555" t="str">
        <f>VLOOKUP(D3724,기본!$D$13:$E$74,2,0)</f>
        <v>삼성 VD</v>
      </c>
      <c r="D3724" t="s">
        <v>1946</v>
      </c>
      <c r="E3724" t="s">
        <v>1164</v>
      </c>
      <c r="F3724" t="s">
        <v>1850</v>
      </c>
      <c r="G3724" s="554">
        <v>60</v>
      </c>
      <c r="H3724">
        <v>1.6476488999999996</v>
      </c>
    </row>
    <row r="3725" spans="2:8">
      <c r="B3725" s="555" t="s">
        <v>2365</v>
      </c>
      <c r="C3725" s="555" t="str">
        <f>VLOOKUP(D3725,기본!$D$13:$E$74,2,0)</f>
        <v>삼성 VD</v>
      </c>
      <c r="D3725" t="s">
        <v>1946</v>
      </c>
      <c r="E3725" t="s">
        <v>1777</v>
      </c>
      <c r="F3725" t="s">
        <v>1672</v>
      </c>
      <c r="G3725" s="554">
        <v>1905</v>
      </c>
      <c r="H3725">
        <v>22.006853684999996</v>
      </c>
    </row>
    <row r="3726" spans="2:8">
      <c r="B3726" s="555" t="s">
        <v>2365</v>
      </c>
      <c r="C3726" s="555" t="str">
        <f>VLOOKUP(D3726,기본!$D$13:$E$74,2,0)</f>
        <v>삼성 VD</v>
      </c>
      <c r="D3726" t="s">
        <v>1946</v>
      </c>
      <c r="E3726" t="s">
        <v>1778</v>
      </c>
      <c r="F3726" t="s">
        <v>1919</v>
      </c>
      <c r="G3726" s="554">
        <v>3635</v>
      </c>
      <c r="H3726">
        <v>47.626881300000001</v>
      </c>
    </row>
    <row r="3727" spans="2:8">
      <c r="B3727" s="555" t="s">
        <v>2365</v>
      </c>
      <c r="C3727" s="555" t="str">
        <f>VLOOKUP(D3727,기본!$D$13:$E$74,2,0)</f>
        <v>삼성 VD</v>
      </c>
      <c r="D3727" t="s">
        <v>1946</v>
      </c>
      <c r="E3727" t="s">
        <v>1779</v>
      </c>
      <c r="F3727" t="s">
        <v>1920</v>
      </c>
      <c r="G3727" s="554">
        <v>1584</v>
      </c>
      <c r="H3727">
        <v>23.125075775999999</v>
      </c>
    </row>
    <row r="3728" spans="2:8">
      <c r="B3728" s="555" t="s">
        <v>2365</v>
      </c>
      <c r="C3728" s="555" t="str">
        <f>VLOOKUP(D3728,기본!$D$13:$E$74,2,0)</f>
        <v>삼성 VD</v>
      </c>
      <c r="D3728" t="s">
        <v>1946</v>
      </c>
      <c r="E3728" t="s">
        <v>1792</v>
      </c>
      <c r="F3728" t="s">
        <v>1915</v>
      </c>
      <c r="G3728" s="554">
        <v>2088</v>
      </c>
      <c r="H3728">
        <v>35.690311584</v>
      </c>
    </row>
    <row r="3729" spans="2:8">
      <c r="B3729" s="555" t="s">
        <v>2365</v>
      </c>
      <c r="C3729" s="555" t="str">
        <f>VLOOKUP(D3729,기본!$D$13:$E$74,2,0)</f>
        <v>삼성 VD</v>
      </c>
      <c r="D3729" t="s">
        <v>1946</v>
      </c>
      <c r="E3729" t="s">
        <v>1921</v>
      </c>
      <c r="F3729" t="s">
        <v>1922</v>
      </c>
      <c r="G3729" s="554">
        <v>11</v>
      </c>
      <c r="H3729">
        <v>0.24833001600000001</v>
      </c>
    </row>
    <row r="3730" spans="2:8">
      <c r="B3730" s="555" t="s">
        <v>2365</v>
      </c>
      <c r="C3730" s="555" t="str">
        <f>VLOOKUP(D3730,기본!$D$13:$E$74,2,0)</f>
        <v>삼성 VD</v>
      </c>
      <c r="D3730" t="s">
        <v>1946</v>
      </c>
      <c r="E3730" t="s">
        <v>710</v>
      </c>
      <c r="F3730" t="s">
        <v>1947</v>
      </c>
      <c r="G3730" s="554">
        <v>1100</v>
      </c>
      <c r="H3730">
        <v>5.1270278400000002</v>
      </c>
    </row>
    <row r="3731" spans="2:8">
      <c r="B3731" s="555" t="s">
        <v>2365</v>
      </c>
      <c r="C3731" s="555" t="str">
        <f>VLOOKUP(D3731,기본!$D$13:$E$74,2,0)</f>
        <v>AV JDM</v>
      </c>
      <c r="D3731" t="s">
        <v>1950</v>
      </c>
      <c r="E3731" t="s">
        <v>436</v>
      </c>
      <c r="F3731" t="s">
        <v>2168</v>
      </c>
      <c r="G3731" s="554">
        <v>5040</v>
      </c>
      <c r="H3731">
        <v>43.817346719999996</v>
      </c>
    </row>
    <row r="3732" spans="2:8">
      <c r="B3732" s="555" t="s">
        <v>2365</v>
      </c>
      <c r="C3732" s="555" t="str">
        <f>VLOOKUP(D3732,기본!$D$13:$E$74,2,0)</f>
        <v>MNT JDM</v>
      </c>
      <c r="D3732" t="s">
        <v>1951</v>
      </c>
      <c r="E3732" t="s">
        <v>709</v>
      </c>
      <c r="F3732" t="s">
        <v>2124</v>
      </c>
      <c r="G3732" s="554">
        <v>7392</v>
      </c>
      <c r="H3732">
        <v>34.459441632000001</v>
      </c>
    </row>
    <row r="3733" spans="2:8">
      <c r="B3733" s="555" t="s">
        <v>2365</v>
      </c>
      <c r="C3733" s="555" t="str">
        <f>VLOOKUP(D3733,기본!$D$13:$E$74,2,0)</f>
        <v>MNT JDM</v>
      </c>
      <c r="D3733" t="s">
        <v>1951</v>
      </c>
      <c r="E3733" t="s">
        <v>1156</v>
      </c>
      <c r="F3733" t="s">
        <v>2238</v>
      </c>
      <c r="G3733" s="554">
        <v>12672</v>
      </c>
      <c r="H3733">
        <v>72.395503488000003</v>
      </c>
    </row>
    <row r="3734" spans="2:8">
      <c r="B3734" s="555" t="s">
        <v>2365</v>
      </c>
      <c r="C3734" s="555" t="str">
        <f>VLOOKUP(D3734,기본!$D$13:$E$74,2,0)</f>
        <v>HP</v>
      </c>
      <c r="D3734" t="s">
        <v>1952</v>
      </c>
      <c r="E3734" t="s">
        <v>1296</v>
      </c>
      <c r="F3734" t="s">
        <v>1292</v>
      </c>
      <c r="G3734" s="554">
        <v>384</v>
      </c>
      <c r="H3734">
        <v>10.768748544000001</v>
      </c>
    </row>
    <row r="3735" spans="2:8">
      <c r="B3735" s="555" t="s">
        <v>2365</v>
      </c>
      <c r="C3735" s="555" t="str">
        <f>VLOOKUP(D3735,기본!$D$13:$E$74,2,0)</f>
        <v>HP</v>
      </c>
      <c r="D3735" t="s">
        <v>1952</v>
      </c>
      <c r="E3735" t="s">
        <v>1297</v>
      </c>
      <c r="F3735" t="s">
        <v>1293</v>
      </c>
      <c r="G3735" s="554">
        <v>768</v>
      </c>
      <c r="H3735">
        <v>26.063385984</v>
      </c>
    </row>
    <row r="3736" spans="2:8">
      <c r="B3736" s="555" t="s">
        <v>2365</v>
      </c>
      <c r="C3736" s="555" t="str">
        <f>VLOOKUP(D3736,기본!$D$13:$E$74,2,0)</f>
        <v>HP</v>
      </c>
      <c r="D3736" t="s">
        <v>1952</v>
      </c>
      <c r="E3736" t="s">
        <v>1298</v>
      </c>
      <c r="F3736" t="s">
        <v>1294</v>
      </c>
      <c r="G3736" s="554">
        <v>768</v>
      </c>
      <c r="H3736">
        <v>23.181737472000002</v>
      </c>
    </row>
    <row r="3737" spans="2:8">
      <c r="B3737" s="555" t="s">
        <v>2365</v>
      </c>
      <c r="C3737" s="555" t="str">
        <f>VLOOKUP(D3737,기본!$D$13:$E$74,2,0)</f>
        <v>HP</v>
      </c>
      <c r="D3737" t="s">
        <v>1952</v>
      </c>
      <c r="E3737" t="s">
        <v>2240</v>
      </c>
      <c r="F3737" t="s">
        <v>2241</v>
      </c>
      <c r="G3737" s="554">
        <v>360</v>
      </c>
      <c r="H3737">
        <v>2.9605554000000001</v>
      </c>
    </row>
    <row r="3738" spans="2:8">
      <c r="B3738" s="555" t="s">
        <v>2365</v>
      </c>
      <c r="C3738" s="555" t="str">
        <f>VLOOKUP(D3738,기본!$D$13:$E$74,2,0)</f>
        <v>HP</v>
      </c>
      <c r="D3738" t="s">
        <v>1952</v>
      </c>
      <c r="E3738" t="s">
        <v>1954</v>
      </c>
      <c r="F3738" t="s">
        <v>1955</v>
      </c>
      <c r="G3738" s="554">
        <v>2240</v>
      </c>
      <c r="H3738">
        <v>28.870047360000004</v>
      </c>
    </row>
    <row r="3739" spans="2:8">
      <c r="B3739" s="555" t="s">
        <v>2365</v>
      </c>
      <c r="C3739" s="555" t="str">
        <f>VLOOKUP(D3739,기본!$D$13:$E$74,2,0)</f>
        <v>HP</v>
      </c>
      <c r="D3739" t="s">
        <v>1952</v>
      </c>
      <c r="E3739" t="s">
        <v>2125</v>
      </c>
      <c r="F3739" t="s">
        <v>192</v>
      </c>
      <c r="G3739" s="554">
        <v>1080</v>
      </c>
      <c r="H3739">
        <v>5.3800956000000006</v>
      </c>
    </row>
    <row r="3740" spans="2:8">
      <c r="B3740" s="555" t="s">
        <v>2365</v>
      </c>
      <c r="C3740" s="555" t="str">
        <f>VLOOKUP(D3740,기본!$D$13:$E$74,2,0)</f>
        <v>HP</v>
      </c>
      <c r="D3740" t="s">
        <v>1952</v>
      </c>
      <c r="E3740" t="s">
        <v>1960</v>
      </c>
      <c r="F3740" t="s">
        <v>671</v>
      </c>
      <c r="G3740" s="554">
        <v>720</v>
      </c>
      <c r="H3740">
        <v>5.9845132799999998</v>
      </c>
    </row>
    <row r="3741" spans="2:8">
      <c r="B3741" s="555" t="s">
        <v>2365</v>
      </c>
      <c r="C3741" s="555" t="str">
        <f>VLOOKUP(D3741,기본!$D$13:$E$74,2,0)</f>
        <v>HP</v>
      </c>
      <c r="D3741" t="s">
        <v>1952</v>
      </c>
      <c r="E3741" t="s">
        <v>1961</v>
      </c>
      <c r="F3741" t="s">
        <v>1962</v>
      </c>
      <c r="G3741" s="554">
        <v>1872</v>
      </c>
      <c r="H3741">
        <v>66.516053040000003</v>
      </c>
    </row>
    <row r="3742" spans="2:8">
      <c r="B3742" s="555" t="s">
        <v>2365</v>
      </c>
      <c r="C3742" s="555" t="str">
        <f>VLOOKUP(D3742,기본!$D$13:$E$74,2,0)</f>
        <v>HP</v>
      </c>
      <c r="D3742" t="s">
        <v>1952</v>
      </c>
      <c r="E3742" t="s">
        <v>1963</v>
      </c>
      <c r="F3742" t="s">
        <v>1964</v>
      </c>
      <c r="G3742" s="554">
        <v>3960</v>
      </c>
      <c r="H3742">
        <v>33.442972200000007</v>
      </c>
    </row>
    <row r="3743" spans="2:8">
      <c r="B3743" s="555" t="s">
        <v>2365</v>
      </c>
      <c r="C3743" s="555" t="str">
        <f>VLOOKUP(D3743,기본!$D$13:$E$74,2,0)</f>
        <v>HP</v>
      </c>
      <c r="D3743" t="s">
        <v>1952</v>
      </c>
      <c r="E3743" t="s">
        <v>2170</v>
      </c>
      <c r="F3743" t="s">
        <v>2171</v>
      </c>
      <c r="G3743" s="554">
        <v>400</v>
      </c>
      <c r="H3743">
        <v>7.2626496000000005</v>
      </c>
    </row>
    <row r="3744" spans="2:8">
      <c r="B3744" s="555" t="s">
        <v>2365</v>
      </c>
      <c r="C3744" s="555" t="str">
        <f>VLOOKUP(D3744,기본!$D$13:$E$74,2,0)</f>
        <v>HP</v>
      </c>
      <c r="D3744" t="s">
        <v>1952</v>
      </c>
      <c r="E3744" t="s">
        <v>1965</v>
      </c>
      <c r="F3744" t="s">
        <v>1966</v>
      </c>
      <c r="G3744" s="554">
        <v>560</v>
      </c>
      <c r="H3744">
        <v>8.9456752000000019</v>
      </c>
    </row>
    <row r="3745" spans="2:8">
      <c r="B3745" s="555" t="s">
        <v>2365</v>
      </c>
      <c r="C3745" s="555" t="str">
        <f>VLOOKUP(D3745,기본!$D$13:$E$74,2,0)</f>
        <v>HP</v>
      </c>
      <c r="D3745" t="s">
        <v>1952</v>
      </c>
      <c r="E3745" t="s">
        <v>2128</v>
      </c>
      <c r="F3745" t="s">
        <v>2129</v>
      </c>
      <c r="G3745" s="554">
        <v>1440</v>
      </c>
      <c r="H3745">
        <v>17.534938320000002</v>
      </c>
    </row>
    <row r="3746" spans="2:8">
      <c r="B3746" s="555" t="s">
        <v>2365</v>
      </c>
      <c r="C3746" s="555" t="str">
        <f>VLOOKUP(D3746,기본!$D$13:$E$74,2,0)</f>
        <v>HP</v>
      </c>
      <c r="D3746" t="s">
        <v>1952</v>
      </c>
      <c r="E3746" t="s">
        <v>2172</v>
      </c>
      <c r="F3746" t="s">
        <v>2173</v>
      </c>
      <c r="G3746" s="554">
        <v>2232</v>
      </c>
      <c r="H3746">
        <v>82.480550399999998</v>
      </c>
    </row>
    <row r="3747" spans="2:8">
      <c r="B3747" s="555" t="s">
        <v>2365</v>
      </c>
      <c r="C3747" s="555" t="str">
        <f>VLOOKUP(D3747,기본!$D$13:$E$74,2,0)</f>
        <v>HP</v>
      </c>
      <c r="D3747" t="s">
        <v>1952</v>
      </c>
      <c r="E3747" t="s">
        <v>1969</v>
      </c>
      <c r="F3747" t="s">
        <v>1970</v>
      </c>
      <c r="G3747" s="554">
        <v>370</v>
      </c>
      <c r="H3747">
        <v>4.6104604800000004</v>
      </c>
    </row>
    <row r="3748" spans="2:8">
      <c r="B3748" s="555" t="s">
        <v>2365</v>
      </c>
      <c r="C3748" s="555" t="str">
        <f>VLOOKUP(D3748,기본!$D$13:$E$74,2,0)</f>
        <v>HP</v>
      </c>
      <c r="D3748" t="s">
        <v>1952</v>
      </c>
      <c r="E3748" t="s">
        <v>2130</v>
      </c>
      <c r="F3748" t="s">
        <v>2131</v>
      </c>
      <c r="G3748" s="554">
        <v>480</v>
      </c>
      <c r="H3748">
        <v>3.5855136000000001</v>
      </c>
    </row>
    <row r="3749" spans="2:8">
      <c r="B3749" s="555" t="s">
        <v>2365</v>
      </c>
      <c r="C3749" s="555" t="str">
        <f>VLOOKUP(D3749,기본!$D$13:$E$74,2,0)</f>
        <v>AV JDM</v>
      </c>
      <c r="D3749" t="s">
        <v>1971</v>
      </c>
      <c r="E3749" t="s">
        <v>688</v>
      </c>
      <c r="F3749" t="s">
        <v>1521</v>
      </c>
      <c r="G3749" s="554">
        <v>9680</v>
      </c>
      <c r="H3749">
        <v>104.03567615999999</v>
      </c>
    </row>
    <row r="3750" spans="2:8">
      <c r="B3750" s="555" t="s">
        <v>2365</v>
      </c>
      <c r="C3750" s="555" t="str">
        <f>VLOOKUP(D3750,기본!$D$13:$E$74,2,0)</f>
        <v>AV JDM</v>
      </c>
      <c r="D3750" t="s">
        <v>1971</v>
      </c>
      <c r="E3750" t="s">
        <v>1889</v>
      </c>
      <c r="F3750" t="s">
        <v>1520</v>
      </c>
      <c r="G3750" s="554">
        <v>7896</v>
      </c>
      <c r="H3750">
        <v>71.260534799999988</v>
      </c>
    </row>
    <row r="3751" spans="2:8">
      <c r="B3751" s="555" t="s">
        <v>2365</v>
      </c>
      <c r="C3751" s="555" t="str">
        <f>VLOOKUP(D3751,기본!$D$13:$E$74,2,0)</f>
        <v>경동나비엔</v>
      </c>
      <c r="D3751" t="s">
        <v>1972</v>
      </c>
      <c r="E3751" t="s">
        <v>2299</v>
      </c>
      <c r="F3751" t="s">
        <v>2299</v>
      </c>
      <c r="G3751" s="554">
        <v>5380</v>
      </c>
      <c r="H3751">
        <v>163.55199999999999</v>
      </c>
    </row>
    <row r="3752" spans="2:8">
      <c r="B3752" s="555" t="s">
        <v>2365</v>
      </c>
      <c r="C3752" s="555" t="str">
        <f>VLOOKUP(D3752,기본!$D$13:$E$74,2,0)</f>
        <v>경동나비엔</v>
      </c>
      <c r="D3752" t="s">
        <v>1972</v>
      </c>
      <c r="E3752" t="s">
        <v>1973</v>
      </c>
      <c r="F3752" t="s">
        <v>1973</v>
      </c>
      <c r="G3752" s="554">
        <v>10080</v>
      </c>
      <c r="H3752">
        <v>306.43200000000002</v>
      </c>
    </row>
    <row r="3753" spans="2:8">
      <c r="B3753" s="555" t="s">
        <v>2365</v>
      </c>
      <c r="C3753" s="555" t="str">
        <f>VLOOKUP(D3753,기본!$D$13:$E$74,2,0)</f>
        <v>대덕</v>
      </c>
      <c r="D3753" t="s">
        <v>1976</v>
      </c>
      <c r="E3753" t="s">
        <v>2176</v>
      </c>
      <c r="F3753" t="s">
        <v>2176</v>
      </c>
      <c r="G3753" s="554">
        <v>360</v>
      </c>
      <c r="H3753">
        <v>2.8016733599999997</v>
      </c>
    </row>
    <row r="3754" spans="2:8">
      <c r="B3754" s="555" t="s">
        <v>2365</v>
      </c>
      <c r="C3754" s="555" t="str">
        <f>VLOOKUP(D3754,기본!$D$13:$E$74,2,0)</f>
        <v>대덕</v>
      </c>
      <c r="D3754" t="s">
        <v>1976</v>
      </c>
      <c r="E3754" t="s">
        <v>2355</v>
      </c>
      <c r="F3754" t="s">
        <v>2355</v>
      </c>
      <c r="G3754" s="554">
        <v>160</v>
      </c>
      <c r="H3754">
        <v>2.1645743999999998</v>
      </c>
    </row>
    <row r="3755" spans="2:8">
      <c r="B3755" s="555" t="s">
        <v>2365</v>
      </c>
      <c r="C3755" s="555" t="str">
        <f>VLOOKUP(D3755,기본!$D$13:$E$74,2,0)</f>
        <v>대덕</v>
      </c>
      <c r="D3755" t="s">
        <v>1976</v>
      </c>
      <c r="E3755" t="s">
        <v>2219</v>
      </c>
      <c r="F3755" t="s">
        <v>2219</v>
      </c>
      <c r="G3755" s="554">
        <v>1000</v>
      </c>
      <c r="H3755">
        <v>13.528589999999999</v>
      </c>
    </row>
    <row r="3756" spans="2:8">
      <c r="B3756" s="555" t="s">
        <v>2365</v>
      </c>
      <c r="C3756" s="555" t="str">
        <f>VLOOKUP(D3756,기본!$D$13:$E$74,2,0)</f>
        <v>대덕</v>
      </c>
      <c r="D3756" t="s">
        <v>1978</v>
      </c>
      <c r="E3756" t="s">
        <v>2346</v>
      </c>
      <c r="F3756" t="s">
        <v>2346</v>
      </c>
      <c r="G3756" s="554">
        <v>600</v>
      </c>
      <c r="H3756">
        <v>3.4314390000000001</v>
      </c>
    </row>
    <row r="3757" spans="2:8">
      <c r="B3757" s="555" t="s">
        <v>2365</v>
      </c>
      <c r="C3757" s="555" t="str">
        <f>VLOOKUP(D3757,기본!$D$13:$E$74,2,0)</f>
        <v>대덕</v>
      </c>
      <c r="D3757" t="s">
        <v>1978</v>
      </c>
      <c r="E3757" t="s">
        <v>2347</v>
      </c>
      <c r="F3757" t="s">
        <v>2347</v>
      </c>
      <c r="G3757" s="554">
        <v>1298</v>
      </c>
      <c r="H3757">
        <v>7.3510996900000007</v>
      </c>
    </row>
    <row r="3758" spans="2:8">
      <c r="B3758" s="555" t="s">
        <v>2365</v>
      </c>
      <c r="C3758" s="555" t="str">
        <f>VLOOKUP(D3758,기본!$D$13:$E$74,2,0)</f>
        <v>대덕</v>
      </c>
      <c r="D3758" t="s">
        <v>1978</v>
      </c>
      <c r="E3758" t="s">
        <v>2316</v>
      </c>
      <c r="F3758" t="s">
        <v>2316</v>
      </c>
      <c r="G3758" s="554">
        <v>1975</v>
      </c>
      <c r="H3758">
        <v>11.185224875000001</v>
      </c>
    </row>
    <row r="3759" spans="2:8">
      <c r="B3759" s="555" t="s">
        <v>2365</v>
      </c>
      <c r="C3759" s="555" t="str">
        <f>VLOOKUP(D3759,기본!$D$13:$E$74,2,0)</f>
        <v>대덕</v>
      </c>
      <c r="D3759" t="s">
        <v>1978</v>
      </c>
      <c r="E3759" t="s">
        <v>2278</v>
      </c>
      <c r="F3759" t="s">
        <v>2278</v>
      </c>
      <c r="G3759" s="554">
        <v>2000</v>
      </c>
      <c r="H3759">
        <v>11.326810000000002</v>
      </c>
    </row>
    <row r="3760" spans="2:8">
      <c r="B3760" s="555" t="s">
        <v>2365</v>
      </c>
      <c r="C3760" s="555" t="str">
        <f>VLOOKUP(D3760,기본!$D$13:$E$74,2,0)</f>
        <v>대덕</v>
      </c>
      <c r="D3760" t="s">
        <v>1978</v>
      </c>
      <c r="E3760" t="s">
        <v>2356</v>
      </c>
      <c r="F3760" t="s">
        <v>2356</v>
      </c>
      <c r="G3760" s="554">
        <v>400</v>
      </c>
      <c r="H3760">
        <v>3.1168763999999998</v>
      </c>
    </row>
    <row r="3761" spans="2:8">
      <c r="B3761" s="555" t="s">
        <v>2365</v>
      </c>
      <c r="C3761" s="555" t="str">
        <f>VLOOKUP(D3761,기본!$D$13:$E$74,2,0)</f>
        <v>대덕</v>
      </c>
      <c r="D3761" t="s">
        <v>1978</v>
      </c>
      <c r="E3761" t="s">
        <v>2357</v>
      </c>
      <c r="F3761" t="s">
        <v>2357</v>
      </c>
      <c r="G3761" s="554">
        <v>1728</v>
      </c>
      <c r="H3761">
        <v>29.381833728000004</v>
      </c>
    </row>
    <row r="3762" spans="2:8">
      <c r="B3762" s="555" t="s">
        <v>2365</v>
      </c>
      <c r="C3762" s="555" t="str">
        <f>VLOOKUP(D3762,기본!$D$13:$E$74,2,0)</f>
        <v>대덕</v>
      </c>
      <c r="D3762" t="s">
        <v>1978</v>
      </c>
      <c r="E3762" t="s">
        <v>2136</v>
      </c>
      <c r="F3762" t="s">
        <v>2136</v>
      </c>
      <c r="G3762" s="554">
        <v>1944</v>
      </c>
      <c r="H3762">
        <v>42.318852480000004</v>
      </c>
    </row>
    <row r="3763" spans="2:8">
      <c r="B3763" s="555" t="s">
        <v>2365</v>
      </c>
      <c r="C3763" s="555" t="str">
        <f>VLOOKUP(D3763,기본!$D$13:$E$74,2,0)</f>
        <v>대덕</v>
      </c>
      <c r="D3763" t="s">
        <v>1978</v>
      </c>
      <c r="E3763" t="s">
        <v>1980</v>
      </c>
      <c r="F3763" t="s">
        <v>1980</v>
      </c>
      <c r="G3763" s="554">
        <v>824</v>
      </c>
      <c r="H3763">
        <v>18.052379047999999</v>
      </c>
    </row>
    <row r="3764" spans="2:8">
      <c r="B3764" s="555" t="s">
        <v>2365</v>
      </c>
      <c r="C3764" s="555" t="str">
        <f>VLOOKUP(D3764,기본!$D$13:$E$74,2,0)</f>
        <v>대덕</v>
      </c>
      <c r="D3764" t="s">
        <v>1978</v>
      </c>
      <c r="E3764" t="s">
        <v>2221</v>
      </c>
      <c r="F3764" t="s">
        <v>2221</v>
      </c>
      <c r="G3764" s="554">
        <v>1040</v>
      </c>
      <c r="H3764">
        <v>22.813636559999999</v>
      </c>
    </row>
    <row r="3765" spans="2:8">
      <c r="B3765" s="555" t="s">
        <v>2365</v>
      </c>
      <c r="C3765" s="555" t="str">
        <f>VLOOKUP(D3765,기본!$D$13:$E$74,2,0)</f>
        <v>대덕</v>
      </c>
      <c r="D3765" t="s">
        <v>1978</v>
      </c>
      <c r="E3765" t="s">
        <v>1981</v>
      </c>
      <c r="F3765" t="s">
        <v>1981</v>
      </c>
      <c r="G3765" s="554">
        <v>2268</v>
      </c>
      <c r="H3765">
        <v>51.545797631999996</v>
      </c>
    </row>
    <row r="3766" spans="2:8">
      <c r="B3766" s="555" t="s">
        <v>2365</v>
      </c>
      <c r="C3766" s="555" t="str">
        <f>VLOOKUP(D3766,기본!$D$13:$E$74,2,0)</f>
        <v>대덕</v>
      </c>
      <c r="D3766" t="s">
        <v>1978</v>
      </c>
      <c r="E3766" t="s">
        <v>1982</v>
      </c>
      <c r="F3766" t="s">
        <v>1982</v>
      </c>
      <c r="G3766" s="554">
        <v>2376</v>
      </c>
      <c r="H3766">
        <v>54.601848575999995</v>
      </c>
    </row>
    <row r="3767" spans="2:8">
      <c r="B3767" s="555" t="s">
        <v>2365</v>
      </c>
      <c r="C3767" s="555" t="str">
        <f>VLOOKUP(D3767,기본!$D$13:$E$74,2,0)</f>
        <v>대덕</v>
      </c>
      <c r="D3767" t="s">
        <v>1978</v>
      </c>
      <c r="E3767" t="s">
        <v>2223</v>
      </c>
      <c r="F3767" t="s">
        <v>2223</v>
      </c>
      <c r="G3767" s="554">
        <v>139</v>
      </c>
      <c r="H3767">
        <v>3.1677263219999996</v>
      </c>
    </row>
    <row r="3768" spans="2:8">
      <c r="B3768" s="555" t="s">
        <v>2365</v>
      </c>
      <c r="C3768" s="555" t="str">
        <f>VLOOKUP(D3768,기본!$D$13:$E$74,2,0)</f>
        <v>대덕</v>
      </c>
      <c r="D3768" t="s">
        <v>1978</v>
      </c>
      <c r="E3768" t="s">
        <v>2137</v>
      </c>
      <c r="F3768" t="s">
        <v>2137</v>
      </c>
      <c r="G3768" s="554">
        <v>1080</v>
      </c>
      <c r="H3768">
        <v>24.748047719999999</v>
      </c>
    </row>
    <row r="3769" spans="2:8">
      <c r="B3769" s="555" t="s">
        <v>2365</v>
      </c>
      <c r="C3769" s="555" t="str">
        <f>VLOOKUP(D3769,기본!$D$13:$E$74,2,0)</f>
        <v>대덕</v>
      </c>
      <c r="D3769" t="s">
        <v>1978</v>
      </c>
      <c r="E3769" t="s">
        <v>2348</v>
      </c>
      <c r="F3769" t="s">
        <v>2348</v>
      </c>
      <c r="G3769" s="554">
        <v>500</v>
      </c>
      <c r="H3769">
        <v>0.68183499999999997</v>
      </c>
    </row>
    <row r="3770" spans="2:8">
      <c r="B3770" s="555" t="s">
        <v>2365</v>
      </c>
      <c r="C3770" s="555" t="str">
        <f>VLOOKUP(D3770,기본!$D$13:$E$74,2,0)</f>
        <v>대덕</v>
      </c>
      <c r="D3770" t="s">
        <v>1978</v>
      </c>
      <c r="E3770" t="s">
        <v>977</v>
      </c>
      <c r="F3770" t="s">
        <v>977</v>
      </c>
      <c r="G3770" s="554">
        <v>500</v>
      </c>
      <c r="H3770">
        <v>0.68183499999999997</v>
      </c>
    </row>
    <row r="3771" spans="2:8">
      <c r="B3771" s="555" t="s">
        <v>2365</v>
      </c>
      <c r="C3771" s="555" t="str">
        <f>VLOOKUP(D3771,기본!$D$13:$E$74,2,0)</f>
        <v>대덕</v>
      </c>
      <c r="D3771" t="s">
        <v>1978</v>
      </c>
      <c r="E3771" t="s">
        <v>2349</v>
      </c>
      <c r="F3771" t="s">
        <v>2349</v>
      </c>
      <c r="G3771" s="554">
        <v>500</v>
      </c>
      <c r="H3771">
        <v>0.70966499999999999</v>
      </c>
    </row>
    <row r="3772" spans="2:8">
      <c r="B3772" s="555" t="s">
        <v>2365</v>
      </c>
      <c r="C3772" s="555" t="str">
        <f>VLOOKUP(D3772,기본!$D$13:$E$74,2,0)</f>
        <v>대덕</v>
      </c>
      <c r="D3772" t="s">
        <v>1978</v>
      </c>
      <c r="E3772" t="s">
        <v>978</v>
      </c>
      <c r="F3772" t="s">
        <v>978</v>
      </c>
      <c r="G3772" s="554">
        <v>1500</v>
      </c>
      <c r="H3772">
        <v>2.1289950000000002</v>
      </c>
    </row>
    <row r="3773" spans="2:8">
      <c r="B3773" s="555" t="s">
        <v>2365</v>
      </c>
      <c r="C3773" s="555" t="str">
        <f>VLOOKUP(D3773,기본!$D$13:$E$74,2,0)</f>
        <v>대덕</v>
      </c>
      <c r="D3773" t="s">
        <v>1978</v>
      </c>
      <c r="E3773" t="s">
        <v>2318</v>
      </c>
      <c r="F3773" t="s">
        <v>2318</v>
      </c>
      <c r="G3773" s="554">
        <v>500</v>
      </c>
      <c r="H3773">
        <v>0.75836749999999997</v>
      </c>
    </row>
    <row r="3774" spans="2:8">
      <c r="B3774" s="555" t="s">
        <v>2365</v>
      </c>
      <c r="C3774" s="555" t="str">
        <f>VLOOKUP(D3774,기본!$D$13:$E$74,2,0)</f>
        <v>대덕</v>
      </c>
      <c r="D3774" t="s">
        <v>1978</v>
      </c>
      <c r="E3774" t="s">
        <v>979</v>
      </c>
      <c r="F3774" t="s">
        <v>979</v>
      </c>
      <c r="G3774" s="554">
        <v>1000</v>
      </c>
      <c r="H3774">
        <v>1.5167349999999999</v>
      </c>
    </row>
    <row r="3775" spans="2:8">
      <c r="B3775" s="555" t="s">
        <v>2365</v>
      </c>
      <c r="C3775" s="555" t="str">
        <f>VLOOKUP(D3775,기본!$D$13:$E$74,2,0)</f>
        <v>대덕</v>
      </c>
      <c r="D3775" t="s">
        <v>1978</v>
      </c>
      <c r="E3775" t="s">
        <v>2350</v>
      </c>
      <c r="F3775" t="s">
        <v>2350</v>
      </c>
      <c r="G3775" s="554">
        <v>200</v>
      </c>
      <c r="H3775">
        <v>0.31447899999999995</v>
      </c>
    </row>
    <row r="3776" spans="2:8">
      <c r="B3776" s="555" t="s">
        <v>2365</v>
      </c>
      <c r="C3776" s="555" t="str">
        <f>VLOOKUP(D3776,기본!$D$13:$E$74,2,0)</f>
        <v>대덕</v>
      </c>
      <c r="D3776" t="s">
        <v>1978</v>
      </c>
      <c r="E3776" t="s">
        <v>980</v>
      </c>
      <c r="F3776" t="s">
        <v>980</v>
      </c>
      <c r="G3776" s="554">
        <v>500</v>
      </c>
      <c r="H3776">
        <v>0.78800550000000003</v>
      </c>
    </row>
    <row r="3777" spans="2:8">
      <c r="B3777" s="555" t="s">
        <v>2365</v>
      </c>
      <c r="C3777" s="555" t="str">
        <f>VLOOKUP(D3777,기본!$D$13:$E$74,2,0)</f>
        <v>대덕</v>
      </c>
      <c r="D3777" t="s">
        <v>1978</v>
      </c>
      <c r="E3777" t="s">
        <v>2358</v>
      </c>
      <c r="F3777" t="s">
        <v>2358</v>
      </c>
      <c r="G3777" s="554">
        <v>160</v>
      </c>
      <c r="H3777">
        <v>0.30828288000000004</v>
      </c>
    </row>
    <row r="3778" spans="2:8">
      <c r="B3778" s="555" t="s">
        <v>2365</v>
      </c>
      <c r="C3778" s="555" t="str">
        <f>VLOOKUP(D3778,기본!$D$13:$E$74,2,0)</f>
        <v>대덕</v>
      </c>
      <c r="D3778" t="s">
        <v>1978</v>
      </c>
      <c r="E3778" t="s">
        <v>2244</v>
      </c>
      <c r="F3778" t="s">
        <v>2244</v>
      </c>
      <c r="G3778" s="554">
        <v>500</v>
      </c>
      <c r="H3778">
        <v>5.0768060120000005</v>
      </c>
    </row>
    <row r="3779" spans="2:8">
      <c r="B3779" s="555" t="s">
        <v>2365</v>
      </c>
      <c r="C3779" s="555" t="str">
        <f>VLOOKUP(D3779,기본!$D$13:$E$74,2,0)</f>
        <v>대덕</v>
      </c>
      <c r="D3779" t="s">
        <v>1978</v>
      </c>
      <c r="E3779" t="s">
        <v>2224</v>
      </c>
      <c r="F3779" t="s">
        <v>2224</v>
      </c>
      <c r="G3779" s="554">
        <v>500</v>
      </c>
      <c r="H3779">
        <v>5.2664064000000002</v>
      </c>
    </row>
    <row r="3780" spans="2:8">
      <c r="B3780" s="555" t="s">
        <v>2365</v>
      </c>
      <c r="C3780" s="555" t="str">
        <f>VLOOKUP(D3780,기본!$D$13:$E$74,2,0)</f>
        <v>대덕</v>
      </c>
      <c r="D3780" t="s">
        <v>1978</v>
      </c>
      <c r="E3780" t="s">
        <v>2359</v>
      </c>
      <c r="F3780" t="s">
        <v>2359</v>
      </c>
      <c r="G3780" s="554">
        <v>300</v>
      </c>
      <c r="H3780">
        <v>3.6324560279999996</v>
      </c>
    </row>
    <row r="3781" spans="2:8">
      <c r="B3781" s="555" t="s">
        <v>2365</v>
      </c>
      <c r="C3781" s="555" t="str">
        <f>VLOOKUP(D3781,기본!$D$13:$E$74,2,0)</f>
        <v>대덕</v>
      </c>
      <c r="D3781" t="s">
        <v>1978</v>
      </c>
      <c r="E3781" t="s">
        <v>1977</v>
      </c>
      <c r="F3781" t="s">
        <v>1977</v>
      </c>
      <c r="G3781" s="554">
        <v>1000</v>
      </c>
      <c r="H3781">
        <v>12.121527</v>
      </c>
    </row>
    <row r="3782" spans="2:8">
      <c r="B3782" s="555" t="s">
        <v>2365</v>
      </c>
      <c r="C3782" s="555" t="str">
        <f>VLOOKUP(D3782,기본!$D$13:$E$74,2,0)</f>
        <v>대덕</v>
      </c>
      <c r="D3782" t="s">
        <v>1978</v>
      </c>
      <c r="E3782" t="s">
        <v>2355</v>
      </c>
      <c r="F3782" t="s">
        <v>2355</v>
      </c>
      <c r="G3782" s="554">
        <v>140</v>
      </c>
      <c r="H3782">
        <v>1.8896569999999999</v>
      </c>
    </row>
    <row r="3783" spans="2:8">
      <c r="B3783" s="555" t="s">
        <v>2365</v>
      </c>
      <c r="C3783" s="555" t="str">
        <f>VLOOKUP(D3783,기본!$D$13:$E$74,2,0)</f>
        <v>대덕</v>
      </c>
      <c r="D3783" t="s">
        <v>1978</v>
      </c>
      <c r="E3783" t="s">
        <v>2360</v>
      </c>
      <c r="F3783" t="s">
        <v>2360</v>
      </c>
      <c r="G3783" s="554">
        <v>980</v>
      </c>
      <c r="H3783">
        <v>13.227599</v>
      </c>
    </row>
    <row r="3784" spans="2:8">
      <c r="B3784" s="555" t="s">
        <v>2365</v>
      </c>
      <c r="C3784" s="555" t="str">
        <f>VLOOKUP(D3784,기본!$D$13:$E$74,2,0)</f>
        <v>대덕</v>
      </c>
      <c r="D3784" t="s">
        <v>1978</v>
      </c>
      <c r="E3784" t="s">
        <v>1985</v>
      </c>
      <c r="F3784" t="s">
        <v>1985</v>
      </c>
      <c r="G3784" s="554">
        <v>10000</v>
      </c>
      <c r="H3784">
        <v>135.2859</v>
      </c>
    </row>
    <row r="3785" spans="2:8">
      <c r="B3785" s="555" t="s">
        <v>2365</v>
      </c>
      <c r="C3785" s="555" t="str">
        <f>VLOOKUP(D3785,기본!$D$13:$E$74,2,0)</f>
        <v>대덕</v>
      </c>
      <c r="D3785" t="s">
        <v>1978</v>
      </c>
      <c r="E3785" t="s">
        <v>2361</v>
      </c>
      <c r="F3785" t="s">
        <v>2361</v>
      </c>
      <c r="G3785" s="554">
        <v>386</v>
      </c>
      <c r="H3785">
        <v>5.2183109400000003</v>
      </c>
    </row>
    <row r="3786" spans="2:8">
      <c r="B3786" s="555" t="s">
        <v>2365</v>
      </c>
      <c r="C3786" s="555" t="str">
        <f>VLOOKUP(D3786,기본!$D$13:$E$74,2,0)</f>
        <v>대덕</v>
      </c>
      <c r="D3786" t="s">
        <v>1978</v>
      </c>
      <c r="E3786" t="s">
        <v>1565</v>
      </c>
      <c r="F3786" t="s">
        <v>1565</v>
      </c>
      <c r="G3786" s="554">
        <v>100</v>
      </c>
      <c r="H3786">
        <v>3.0003225999999996</v>
      </c>
    </row>
    <row r="3787" spans="2:8">
      <c r="B3787" s="555" t="s">
        <v>2365</v>
      </c>
      <c r="C3787" s="555" t="str">
        <f>VLOOKUP(D3787,기본!$D$13:$E$74,2,0)</f>
        <v>대덕</v>
      </c>
      <c r="D3787" t="s">
        <v>1978</v>
      </c>
      <c r="E3787" t="s">
        <v>1566</v>
      </c>
      <c r="F3787" t="s">
        <v>1566</v>
      </c>
      <c r="G3787" s="554">
        <v>100</v>
      </c>
      <c r="H3787">
        <v>3.0181344000000006</v>
      </c>
    </row>
    <row r="3788" spans="2:8">
      <c r="B3788" s="555" t="s">
        <v>2365</v>
      </c>
      <c r="C3788" s="555" t="str">
        <f>VLOOKUP(D3788,기본!$D$13:$E$74,2,0)</f>
        <v>대덕</v>
      </c>
      <c r="D3788" t="s">
        <v>1978</v>
      </c>
      <c r="E3788" t="s">
        <v>1567</v>
      </c>
      <c r="F3788" t="s">
        <v>1567</v>
      </c>
      <c r="G3788" s="554">
        <v>100</v>
      </c>
      <c r="H3788">
        <v>3.2178432000000003</v>
      </c>
    </row>
    <row r="3789" spans="2:8">
      <c r="B3789" s="555" t="s">
        <v>2365</v>
      </c>
      <c r="C3789" s="555" t="str">
        <f>VLOOKUP(D3789,기본!$D$13:$E$74,2,0)</f>
        <v>대덕</v>
      </c>
      <c r="D3789" t="s">
        <v>1978</v>
      </c>
      <c r="E3789" t="s">
        <v>1568</v>
      </c>
      <c r="F3789" t="s">
        <v>1568</v>
      </c>
      <c r="G3789" s="554">
        <v>100</v>
      </c>
      <c r="H3789">
        <v>3.1988527999999996</v>
      </c>
    </row>
    <row r="3790" spans="2:8">
      <c r="B3790" s="555" t="s">
        <v>2365</v>
      </c>
      <c r="C3790" s="555" t="str">
        <f>VLOOKUP(D3790,기본!$D$13:$E$74,2,0)</f>
        <v>대덕</v>
      </c>
      <c r="D3790" t="s">
        <v>1978</v>
      </c>
      <c r="E3790" t="s">
        <v>2319</v>
      </c>
      <c r="F3790" t="s">
        <v>2319</v>
      </c>
      <c r="G3790" s="554">
        <v>1000</v>
      </c>
      <c r="H3790">
        <v>11.279328</v>
      </c>
    </row>
    <row r="3791" spans="2:8">
      <c r="B3791" s="555" t="s">
        <v>2365</v>
      </c>
      <c r="C3791" s="555" t="str">
        <f>VLOOKUP(D3791,기본!$D$13:$E$74,2,0)</f>
        <v>대덕</v>
      </c>
      <c r="D3791" t="s">
        <v>1978</v>
      </c>
      <c r="E3791" t="s">
        <v>1569</v>
      </c>
      <c r="F3791" t="s">
        <v>1569</v>
      </c>
      <c r="G3791" s="554">
        <v>500</v>
      </c>
      <c r="H3791">
        <v>6.2547924999999998</v>
      </c>
    </row>
    <row r="3792" spans="2:8">
      <c r="B3792" s="555" t="s">
        <v>2365</v>
      </c>
      <c r="C3792" s="555" t="str">
        <f>VLOOKUP(D3792,기본!$D$13:$E$74,2,0)</f>
        <v>대덕</v>
      </c>
      <c r="D3792" t="s">
        <v>1978</v>
      </c>
      <c r="E3792" t="s">
        <v>1571</v>
      </c>
      <c r="F3792" t="s">
        <v>1571</v>
      </c>
      <c r="G3792" s="554">
        <v>1000</v>
      </c>
      <c r="H3792">
        <v>12.509585</v>
      </c>
    </row>
    <row r="3793" spans="2:8">
      <c r="B3793" s="555" t="s">
        <v>2365</v>
      </c>
      <c r="C3793" s="555" t="str">
        <f>VLOOKUP(D3793,기본!$D$13:$E$74,2,0)</f>
        <v>대덕</v>
      </c>
      <c r="D3793" t="s">
        <v>1978</v>
      </c>
      <c r="E3793" t="s">
        <v>1572</v>
      </c>
      <c r="F3793" t="s">
        <v>1572</v>
      </c>
      <c r="G3793" s="554">
        <v>4000</v>
      </c>
      <c r="H3793">
        <v>55.468415999999998</v>
      </c>
    </row>
    <row r="3794" spans="2:8">
      <c r="B3794" s="555" t="s">
        <v>2365</v>
      </c>
      <c r="C3794" s="555" t="str">
        <f>VLOOKUP(D3794,기본!$D$13:$E$74,2,0)</f>
        <v>코웨이</v>
      </c>
      <c r="D3794" t="s">
        <v>2140</v>
      </c>
      <c r="E3794" t="s">
        <v>2141</v>
      </c>
      <c r="F3794" t="s">
        <v>2141</v>
      </c>
      <c r="G3794" s="554">
        <v>1000</v>
      </c>
      <c r="H3794">
        <v>4.9219999999999997</v>
      </c>
    </row>
    <row r="3795" spans="2:8">
      <c r="B3795" s="555" t="s">
        <v>2365</v>
      </c>
      <c r="C3795" s="555" t="str">
        <f>VLOOKUP(D3795,기본!$D$13:$E$74,2,0)</f>
        <v>삼성 생활가전</v>
      </c>
      <c r="D3795" t="s">
        <v>1986</v>
      </c>
      <c r="E3795" t="s">
        <v>1346</v>
      </c>
      <c r="F3795" t="s">
        <v>1346</v>
      </c>
      <c r="G3795" s="554">
        <v>940</v>
      </c>
      <c r="H3795">
        <v>12.878</v>
      </c>
    </row>
    <row r="3796" spans="2:8">
      <c r="B3796" s="555" t="s">
        <v>2365</v>
      </c>
      <c r="C3796" s="555" t="str">
        <f>VLOOKUP(D3796,기본!$D$13:$E$74,2,0)</f>
        <v>삼성 생활가전</v>
      </c>
      <c r="D3796" t="s">
        <v>1986</v>
      </c>
      <c r="E3796" t="s">
        <v>2362</v>
      </c>
      <c r="F3796" t="s">
        <v>2362</v>
      </c>
      <c r="G3796" s="554">
        <v>3</v>
      </c>
      <c r="H3796">
        <v>4.1849999999999998E-2</v>
      </c>
    </row>
    <row r="3797" spans="2:8">
      <c r="B3797" s="555" t="s">
        <v>2365</v>
      </c>
      <c r="C3797" s="555" t="str">
        <f>VLOOKUP(D3797,기본!$D$13:$E$74,2,0)</f>
        <v>삼성 생활가전</v>
      </c>
      <c r="D3797" t="s">
        <v>1986</v>
      </c>
      <c r="E3797" t="s">
        <v>2003</v>
      </c>
      <c r="F3797" t="s">
        <v>2003</v>
      </c>
      <c r="G3797" s="554">
        <v>2000</v>
      </c>
      <c r="H3797">
        <v>11.96</v>
      </c>
    </row>
    <row r="3798" spans="2:8">
      <c r="B3798" s="555" t="s">
        <v>2365</v>
      </c>
      <c r="C3798" s="555" t="str">
        <f>VLOOKUP(D3798,기본!$D$13:$E$74,2,0)</f>
        <v>머큐리</v>
      </c>
      <c r="D3798" t="s">
        <v>1988</v>
      </c>
      <c r="E3798" t="s">
        <v>1989</v>
      </c>
      <c r="F3798" t="s">
        <v>1989</v>
      </c>
      <c r="G3798" s="554">
        <v>27360</v>
      </c>
      <c r="H3798">
        <v>75.759839999999997</v>
      </c>
    </row>
    <row r="3799" spans="2:8">
      <c r="B3799" s="555" t="s">
        <v>2365</v>
      </c>
      <c r="C3799" s="555" t="str">
        <f>VLOOKUP(D3799,기본!$D$13:$E$74,2,0)</f>
        <v>머큐리</v>
      </c>
      <c r="D3799" t="s">
        <v>1988</v>
      </c>
      <c r="E3799" t="s">
        <v>2226</v>
      </c>
      <c r="F3799" t="s">
        <v>2226</v>
      </c>
      <c r="G3799" s="554">
        <v>4800</v>
      </c>
      <c r="H3799">
        <v>24.628799999999998</v>
      </c>
    </row>
    <row r="3800" spans="2:8">
      <c r="B3800" s="555" t="s">
        <v>2365</v>
      </c>
      <c r="C3800" s="555" t="str">
        <f>VLOOKUP(D3800,기본!$D$13:$E$74,2,0)</f>
        <v>머큐리</v>
      </c>
      <c r="D3800" t="s">
        <v>1988</v>
      </c>
      <c r="E3800" t="s">
        <v>2142</v>
      </c>
      <c r="F3800" t="s">
        <v>2142</v>
      </c>
      <c r="G3800" s="554">
        <v>7680</v>
      </c>
      <c r="H3800">
        <v>20.505600000000001</v>
      </c>
    </row>
    <row r="3801" spans="2:8">
      <c r="B3801" s="555" t="s">
        <v>2365</v>
      </c>
      <c r="C3801" s="555" t="str">
        <f>VLOOKUP(D3801,기본!$D$13:$E$74,2,0)</f>
        <v>삼성 VD</v>
      </c>
      <c r="D3801" t="s">
        <v>1990</v>
      </c>
      <c r="E3801" t="s">
        <v>1309</v>
      </c>
      <c r="F3801" t="s">
        <v>1308</v>
      </c>
      <c r="G3801" s="554">
        <v>114</v>
      </c>
      <c r="H3801">
        <v>2.573099928</v>
      </c>
    </row>
    <row r="3802" spans="2:8">
      <c r="B3802" s="555" t="s">
        <v>2365</v>
      </c>
      <c r="C3802" s="555" t="str">
        <f>VLOOKUP(D3802,기본!$D$13:$E$74,2,0)</f>
        <v>삼성 VD</v>
      </c>
      <c r="D3802" t="s">
        <v>1990</v>
      </c>
      <c r="E3802" t="s">
        <v>1865</v>
      </c>
      <c r="F3802" t="s">
        <v>1866</v>
      </c>
      <c r="G3802" s="554">
        <v>120</v>
      </c>
      <c r="H3802">
        <v>4.808548</v>
      </c>
    </row>
    <row r="3803" spans="2:8">
      <c r="B3803" s="555" t="s">
        <v>2365</v>
      </c>
      <c r="C3803" s="555" t="str">
        <f>VLOOKUP(D3803,기본!$D$13:$E$74,2,0)</f>
        <v>삼성 VD</v>
      </c>
      <c r="D3803" t="s">
        <v>1990</v>
      </c>
      <c r="E3803" t="s">
        <v>1342</v>
      </c>
      <c r="F3803" t="s">
        <v>1340</v>
      </c>
      <c r="G3803" s="554">
        <v>84</v>
      </c>
      <c r="H3803">
        <v>0.88702068000000001</v>
      </c>
    </row>
    <row r="3804" spans="2:8">
      <c r="B3804" s="555" t="s">
        <v>2365</v>
      </c>
      <c r="C3804" s="555" t="str">
        <f>VLOOKUP(D3804,기본!$D$13:$E$74,2,0)</f>
        <v>삼성 VD</v>
      </c>
      <c r="D3804" t="s">
        <v>1990</v>
      </c>
      <c r="E3804" t="s">
        <v>709</v>
      </c>
      <c r="F3804" t="s">
        <v>1869</v>
      </c>
      <c r="G3804" s="554">
        <v>484</v>
      </c>
      <c r="H3804">
        <v>1.6953309999999999</v>
      </c>
    </row>
    <row r="3805" spans="2:8">
      <c r="B3805" s="555" t="s">
        <v>2365</v>
      </c>
      <c r="C3805" s="555" t="str">
        <f>VLOOKUP(D3805,기본!$D$13:$E$74,2,0)</f>
        <v>삼성 VD</v>
      </c>
      <c r="D3805" t="s">
        <v>1990</v>
      </c>
      <c r="E3805" t="s">
        <v>1811</v>
      </c>
      <c r="F3805" t="s">
        <v>1811</v>
      </c>
      <c r="G3805" s="554">
        <v>1300</v>
      </c>
      <c r="H3805">
        <v>9.5631900000000005</v>
      </c>
    </row>
    <row r="3806" spans="2:8">
      <c r="B3806" s="555" t="s">
        <v>2365</v>
      </c>
      <c r="C3806" s="555" t="str">
        <f>VLOOKUP(D3806,기본!$D$13:$E$74,2,0)</f>
        <v>삼성 VD</v>
      </c>
      <c r="D3806" t="s">
        <v>1990</v>
      </c>
      <c r="E3806" t="s">
        <v>1813</v>
      </c>
      <c r="F3806" t="s">
        <v>1813</v>
      </c>
      <c r="G3806" s="554">
        <v>420</v>
      </c>
      <c r="H3806">
        <v>5.1435249599999997</v>
      </c>
    </row>
    <row r="3807" spans="2:8">
      <c r="B3807" s="555" t="s">
        <v>2365</v>
      </c>
      <c r="C3807" s="555" t="str">
        <f>VLOOKUP(D3807,기본!$D$13:$E$74,2,0)</f>
        <v>삼성 VD</v>
      </c>
      <c r="D3807" t="s">
        <v>1990</v>
      </c>
      <c r="E3807" t="s">
        <v>2291</v>
      </c>
      <c r="F3807" t="s">
        <v>1897</v>
      </c>
      <c r="G3807" s="554">
        <v>174</v>
      </c>
      <c r="H3807">
        <v>6.8587929000000001</v>
      </c>
    </row>
    <row r="3808" spans="2:8">
      <c r="B3808" s="555" t="s">
        <v>2365</v>
      </c>
      <c r="C3808" s="555" t="str">
        <f>VLOOKUP(D3808,기본!$D$13:$E$74,2,0)</f>
        <v>삼성 생활가전</v>
      </c>
      <c r="D3808" t="s">
        <v>1991</v>
      </c>
      <c r="E3808" t="s">
        <v>1993</v>
      </c>
      <c r="F3808" t="s">
        <v>1993</v>
      </c>
      <c r="G3808" s="554">
        <v>2304</v>
      </c>
      <c r="H3808">
        <v>16.983313919999997</v>
      </c>
    </row>
    <row r="3809" spans="2:8">
      <c r="B3809" s="555" t="s">
        <v>2365</v>
      </c>
      <c r="C3809" s="555" t="str">
        <f>VLOOKUP(D3809,기본!$D$13:$E$74,2,0)</f>
        <v>삼성 생활가전</v>
      </c>
      <c r="D3809" t="s">
        <v>1991</v>
      </c>
      <c r="E3809" t="s">
        <v>713</v>
      </c>
      <c r="F3809" t="s">
        <v>713</v>
      </c>
      <c r="G3809" s="554">
        <v>1491</v>
      </c>
      <c r="H3809">
        <v>11.91309</v>
      </c>
    </row>
    <row r="3810" spans="2:8">
      <c r="B3810" s="555" t="s">
        <v>2365</v>
      </c>
      <c r="C3810" s="555" t="str">
        <f>VLOOKUP(D3810,기본!$D$13:$E$74,2,0)</f>
        <v>삼성 생활가전</v>
      </c>
      <c r="D3810" t="s">
        <v>1991</v>
      </c>
      <c r="E3810" t="s">
        <v>1996</v>
      </c>
      <c r="F3810" t="s">
        <v>1996</v>
      </c>
      <c r="G3810" s="554">
        <v>1400</v>
      </c>
      <c r="H3810">
        <v>8.33</v>
      </c>
    </row>
    <row r="3811" spans="2:8">
      <c r="B3811" s="555" t="s">
        <v>2365</v>
      </c>
      <c r="C3811" s="555" t="str">
        <f>VLOOKUP(D3811,기본!$D$13:$E$74,2,0)</f>
        <v>삼성 생활가전</v>
      </c>
      <c r="D3811" t="s">
        <v>1991</v>
      </c>
      <c r="E3811" t="s">
        <v>1997</v>
      </c>
      <c r="F3811" t="s">
        <v>1997</v>
      </c>
      <c r="G3811" s="554">
        <v>1440</v>
      </c>
      <c r="H3811">
        <v>8.5535999999999994</v>
      </c>
    </row>
    <row r="3812" spans="2:8">
      <c r="B3812" s="555" t="s">
        <v>2365</v>
      </c>
      <c r="C3812" s="555" t="str">
        <f>VLOOKUP(D3812,기본!$D$13:$E$74,2,0)</f>
        <v>삼성 생활가전</v>
      </c>
      <c r="D3812" t="s">
        <v>1991</v>
      </c>
      <c r="E3812" t="s">
        <v>1998</v>
      </c>
      <c r="F3812" t="s">
        <v>1998</v>
      </c>
      <c r="G3812" s="554">
        <v>440</v>
      </c>
      <c r="H3812">
        <v>2.5960000000000001</v>
      </c>
    </row>
    <row r="3813" spans="2:8">
      <c r="B3813" s="555" t="s">
        <v>2365</v>
      </c>
      <c r="C3813" s="555" t="str">
        <f>VLOOKUP(D3813,기본!$D$13:$E$74,2,0)</f>
        <v>삼성 생활가전</v>
      </c>
      <c r="D3813" t="s">
        <v>1991</v>
      </c>
      <c r="E3813" t="s">
        <v>1999</v>
      </c>
      <c r="F3813" t="s">
        <v>1999</v>
      </c>
      <c r="G3813" s="554">
        <v>720</v>
      </c>
      <c r="H3813">
        <v>4.3048799999999998</v>
      </c>
    </row>
    <row r="3814" spans="2:8">
      <c r="B3814" s="555" t="s">
        <v>2365</v>
      </c>
      <c r="C3814" s="555" t="str">
        <f>VLOOKUP(D3814,기본!$D$13:$E$74,2,0)</f>
        <v>삼성 생활가전</v>
      </c>
      <c r="D3814" t="s">
        <v>1991</v>
      </c>
      <c r="E3814" t="s">
        <v>2000</v>
      </c>
      <c r="F3814" t="s">
        <v>2000</v>
      </c>
      <c r="G3814" s="554">
        <v>80</v>
      </c>
      <c r="H3814">
        <v>0.47199999999999998</v>
      </c>
    </row>
    <row r="3815" spans="2:8">
      <c r="B3815" s="555" t="s">
        <v>2365</v>
      </c>
      <c r="C3815" s="555" t="str">
        <f>VLOOKUP(D3815,기본!$D$13:$E$74,2,0)</f>
        <v>삼성 생활가전</v>
      </c>
      <c r="D3815" t="s">
        <v>1991</v>
      </c>
      <c r="E3815" t="s">
        <v>2001</v>
      </c>
      <c r="F3815" t="s">
        <v>2001</v>
      </c>
      <c r="G3815" s="554">
        <v>5660</v>
      </c>
      <c r="H3815">
        <v>30.9602</v>
      </c>
    </row>
    <row r="3816" spans="2:8">
      <c r="B3816" s="555" t="s">
        <v>2365</v>
      </c>
      <c r="C3816" s="555" t="str">
        <f>VLOOKUP(D3816,기본!$D$13:$E$74,2,0)</f>
        <v>삼성 생활가전</v>
      </c>
      <c r="D3816" t="s">
        <v>1991</v>
      </c>
      <c r="E3816" t="s">
        <v>2002</v>
      </c>
      <c r="F3816" t="s">
        <v>2002</v>
      </c>
      <c r="G3816" s="554">
        <v>3600</v>
      </c>
      <c r="H3816">
        <v>35.564399999999999</v>
      </c>
    </row>
    <row r="3817" spans="2:8">
      <c r="B3817" s="555" t="s">
        <v>2365</v>
      </c>
      <c r="C3817" s="555" t="str">
        <f>VLOOKUP(D3817,기본!$D$13:$E$74,2,0)</f>
        <v>삼성 생활가전</v>
      </c>
      <c r="D3817" t="s">
        <v>1991</v>
      </c>
      <c r="E3817" t="s">
        <v>2145</v>
      </c>
      <c r="F3817" t="s">
        <v>2145</v>
      </c>
      <c r="G3817" s="554">
        <v>10</v>
      </c>
      <c r="H3817">
        <v>7.1400000000000005E-2</v>
      </c>
    </row>
    <row r="3818" spans="2:8">
      <c r="B3818" s="555" t="s">
        <v>2365</v>
      </c>
      <c r="C3818" s="555" t="str">
        <f>VLOOKUP(D3818,기본!$D$13:$E$74,2,0)</f>
        <v>삼성 생활가전</v>
      </c>
      <c r="D3818" t="s">
        <v>1991</v>
      </c>
      <c r="E3818" t="s">
        <v>1242</v>
      </c>
      <c r="F3818" t="s">
        <v>1242</v>
      </c>
      <c r="G3818" s="554">
        <v>3010</v>
      </c>
      <c r="H3818">
        <v>15.4413</v>
      </c>
    </row>
    <row r="3819" spans="2:8">
      <c r="B3819" s="555" t="s">
        <v>2365</v>
      </c>
      <c r="C3819" s="555" t="str">
        <f>VLOOKUP(D3819,기본!$D$13:$E$74,2,0)</f>
        <v>삼성 생활가전</v>
      </c>
      <c r="D3819" t="s">
        <v>1991</v>
      </c>
      <c r="E3819" t="s">
        <v>1395</v>
      </c>
      <c r="F3819" t="s">
        <v>1395</v>
      </c>
      <c r="G3819" s="554">
        <v>1434</v>
      </c>
      <c r="H3819">
        <v>7.8267720000000001</v>
      </c>
    </row>
    <row r="3820" spans="2:8">
      <c r="B3820" s="555" t="s">
        <v>2365</v>
      </c>
      <c r="C3820" s="555" t="str">
        <f>VLOOKUP(D3820,기본!$D$13:$E$74,2,0)</f>
        <v>삼성 생활가전</v>
      </c>
      <c r="D3820" t="s">
        <v>1991</v>
      </c>
      <c r="E3820" t="s">
        <v>2301</v>
      </c>
      <c r="F3820" t="s">
        <v>2301</v>
      </c>
      <c r="G3820" s="554">
        <v>10980</v>
      </c>
      <c r="H3820">
        <v>133.15197600000002</v>
      </c>
    </row>
    <row r="3821" spans="2:8">
      <c r="B3821" s="555" t="s">
        <v>2365</v>
      </c>
      <c r="C3821" s="555" t="str">
        <f>VLOOKUP(D3821,기본!$D$13:$E$74,2,0)</f>
        <v>삼성 생활가전</v>
      </c>
      <c r="D3821" t="s">
        <v>1991</v>
      </c>
      <c r="E3821" t="s">
        <v>2227</v>
      </c>
      <c r="F3821" t="s">
        <v>2227</v>
      </c>
      <c r="G3821" s="554">
        <v>420</v>
      </c>
      <c r="H3821">
        <v>2.2727249999999999</v>
      </c>
    </row>
    <row r="3822" spans="2:8">
      <c r="B3822" s="555" t="s">
        <v>2365</v>
      </c>
      <c r="C3822" s="555" t="str">
        <f>VLOOKUP(D3822,기본!$D$13:$E$74,2,0)</f>
        <v>삼성 생활가전</v>
      </c>
      <c r="D3822" t="s">
        <v>1991</v>
      </c>
      <c r="E3822" t="s">
        <v>1465</v>
      </c>
      <c r="F3822" t="s">
        <v>1465</v>
      </c>
      <c r="G3822" s="554">
        <v>10076</v>
      </c>
      <c r="H3822">
        <v>138.11068047999998</v>
      </c>
    </row>
    <row r="3823" spans="2:8">
      <c r="B3823" s="555" t="s">
        <v>2365</v>
      </c>
      <c r="C3823" s="555" t="str">
        <f>VLOOKUP(D3823,기본!$D$13:$E$74,2,0)</f>
        <v>삼성 생활가전</v>
      </c>
      <c r="D3823" t="s">
        <v>1991</v>
      </c>
      <c r="E3823" t="s">
        <v>2005</v>
      </c>
      <c r="F3823" t="s">
        <v>2005</v>
      </c>
      <c r="G3823" s="554">
        <v>0</v>
      </c>
      <c r="H3823">
        <v>5.9349150000000002</v>
      </c>
    </row>
    <row r="3824" spans="2:8">
      <c r="B3824" s="555" t="s">
        <v>2365</v>
      </c>
      <c r="C3824" s="555" t="str">
        <f>VLOOKUP(D3824,기본!$D$13:$E$74,2,0)</f>
        <v>삼성 생활가전</v>
      </c>
      <c r="D3824" t="s">
        <v>1991</v>
      </c>
      <c r="E3824" t="s">
        <v>229</v>
      </c>
      <c r="F3824" t="s">
        <v>229</v>
      </c>
      <c r="G3824" s="554">
        <v>0</v>
      </c>
      <c r="H3824">
        <v>3.9042500000000002</v>
      </c>
    </row>
    <row r="3825" spans="2:8">
      <c r="B3825" s="555" t="s">
        <v>2365</v>
      </c>
      <c r="C3825" s="555" t="str">
        <f>VLOOKUP(D3825,기본!$D$13:$E$74,2,0)</f>
        <v>삼성 생활가전</v>
      </c>
      <c r="D3825" t="s">
        <v>2006</v>
      </c>
      <c r="E3825" t="s">
        <v>1465</v>
      </c>
      <c r="F3825" t="s">
        <v>1465</v>
      </c>
      <c r="G3825" s="554">
        <v>700</v>
      </c>
      <c r="H3825">
        <v>9.0544999999999991</v>
      </c>
    </row>
    <row r="3826" spans="2:8">
      <c r="B3826" s="555" t="s">
        <v>2365</v>
      </c>
      <c r="C3826" s="555" t="str">
        <f>VLOOKUP(D3826,기본!$D$13:$E$74,2,0)</f>
        <v>베터리</v>
      </c>
      <c r="D3826" t="s">
        <v>2322</v>
      </c>
      <c r="E3826" t="s">
        <v>1829</v>
      </c>
      <c r="F3826" t="s">
        <v>1829</v>
      </c>
      <c r="G3826" s="554">
        <v>36000</v>
      </c>
      <c r="H3826">
        <v>223.416</v>
      </c>
    </row>
    <row r="3827" spans="2:8">
      <c r="B3827" s="555" t="s">
        <v>2365</v>
      </c>
      <c r="C3827" s="555" t="str">
        <f>VLOOKUP(D3827,기본!$D$13:$E$74,2,0)</f>
        <v>베터리</v>
      </c>
      <c r="D3827" t="s">
        <v>2322</v>
      </c>
      <c r="E3827" t="s">
        <v>1828</v>
      </c>
      <c r="F3827" t="s">
        <v>1828</v>
      </c>
      <c r="G3827" s="554">
        <v>112000</v>
      </c>
      <c r="H3827">
        <v>185.92</v>
      </c>
    </row>
    <row r="3828" spans="2:8">
      <c r="B3828" s="555" t="s">
        <v>2365</v>
      </c>
      <c r="C3828" s="555" t="str">
        <f>VLOOKUP(D3828,기본!$D$13:$E$74,2,0)</f>
        <v>코웨이</v>
      </c>
      <c r="D3828" t="s">
        <v>2282</v>
      </c>
      <c r="E3828" t="s">
        <v>1544</v>
      </c>
      <c r="F3828" t="s">
        <v>1544</v>
      </c>
      <c r="G3828" s="554">
        <v>5312</v>
      </c>
      <c r="H3828">
        <v>34.772351999999998</v>
      </c>
    </row>
    <row r="3829" spans="2:8">
      <c r="B3829" s="555" t="s">
        <v>2365</v>
      </c>
      <c r="C3829" s="555" t="str">
        <f>VLOOKUP(D3829,기본!$D$13:$E$74,2,0)</f>
        <v>코웨이</v>
      </c>
      <c r="D3829" t="s">
        <v>2282</v>
      </c>
      <c r="E3829" t="s">
        <v>1545</v>
      </c>
      <c r="F3829" t="s">
        <v>1545</v>
      </c>
      <c r="G3829" s="554">
        <v>1488</v>
      </c>
      <c r="H3829">
        <v>8.8565760000000004</v>
      </c>
    </row>
    <row r="3830" spans="2:8">
      <c r="B3830" s="555" t="s">
        <v>2365</v>
      </c>
      <c r="C3830" s="555" t="str">
        <f>VLOOKUP(D3830,기본!$D$13:$E$74,2,0)</f>
        <v>코웨이</v>
      </c>
      <c r="D3830" t="s">
        <v>2007</v>
      </c>
      <c r="E3830" t="s">
        <v>1072</v>
      </c>
      <c r="F3830" t="s">
        <v>1072</v>
      </c>
      <c r="G3830" s="554">
        <v>9696</v>
      </c>
      <c r="H3830">
        <v>52.377791999999999</v>
      </c>
    </row>
    <row r="3831" spans="2:8">
      <c r="B3831" s="555" t="s">
        <v>2365</v>
      </c>
      <c r="C3831" s="555" t="str">
        <f>VLOOKUP(D3831,기본!$D$13:$E$74,2,0)</f>
        <v>코웨이</v>
      </c>
      <c r="D3831" t="s">
        <v>2007</v>
      </c>
      <c r="E3831" t="s">
        <v>1075</v>
      </c>
      <c r="F3831" t="s">
        <v>1075</v>
      </c>
      <c r="G3831" s="554">
        <v>10368</v>
      </c>
      <c r="H3831">
        <v>14.46336</v>
      </c>
    </row>
    <row r="3832" spans="2:8">
      <c r="B3832" s="555" t="s">
        <v>2365</v>
      </c>
      <c r="C3832" s="555" t="str">
        <f>VLOOKUP(D3832,기본!$D$13:$E$74,2,0)</f>
        <v>코웨이</v>
      </c>
      <c r="D3832" t="s">
        <v>2008</v>
      </c>
      <c r="E3832" t="s">
        <v>2009</v>
      </c>
      <c r="F3832" t="s">
        <v>2009</v>
      </c>
      <c r="G3832" s="554">
        <v>9160</v>
      </c>
      <c r="H3832">
        <v>25.034279999999999</v>
      </c>
    </row>
    <row r="3833" spans="2:8">
      <c r="B3833" s="555" t="s">
        <v>2365</v>
      </c>
      <c r="C3833" s="555" t="str">
        <f>VLOOKUP(D3833,기본!$D$13:$E$74,2,0)</f>
        <v>코웨이</v>
      </c>
      <c r="D3833" t="s">
        <v>2193</v>
      </c>
      <c r="E3833" t="s">
        <v>1090</v>
      </c>
      <c r="F3833" t="s">
        <v>1090</v>
      </c>
      <c r="G3833" s="554">
        <v>1500</v>
      </c>
      <c r="H3833">
        <v>4.0994999999999999</v>
      </c>
    </row>
    <row r="3834" spans="2:8">
      <c r="B3834" s="555" t="s">
        <v>2365</v>
      </c>
      <c r="C3834" s="555" t="str">
        <f>VLOOKUP(D3834,기본!$D$13:$E$74,2,0)</f>
        <v>코웨이</v>
      </c>
      <c r="D3834" t="s">
        <v>2194</v>
      </c>
      <c r="E3834" t="s">
        <v>2196</v>
      </c>
      <c r="F3834" t="s">
        <v>2196</v>
      </c>
      <c r="G3834" s="554">
        <v>4480</v>
      </c>
      <c r="H3834">
        <v>361.08671423999999</v>
      </c>
    </row>
    <row r="3835" spans="2:8">
      <c r="B3835" s="555" t="s">
        <v>2365</v>
      </c>
      <c r="C3835" s="555" t="str">
        <f>VLOOKUP(D3835,기본!$D$13:$E$74,2,0)</f>
        <v>코웨이</v>
      </c>
      <c r="D3835" t="s">
        <v>2010</v>
      </c>
      <c r="E3835" t="s">
        <v>2011</v>
      </c>
      <c r="F3835" t="s">
        <v>2011</v>
      </c>
      <c r="G3835" s="554">
        <v>33</v>
      </c>
      <c r="H3835">
        <v>0.16354799999999997</v>
      </c>
    </row>
    <row r="3836" spans="2:8">
      <c r="B3836" s="555" t="s">
        <v>2365</v>
      </c>
      <c r="C3836" s="555" t="str">
        <f>VLOOKUP(D3836,기본!$D$13:$E$74,2,0)</f>
        <v>코웨이</v>
      </c>
      <c r="D3836" t="s">
        <v>2010</v>
      </c>
      <c r="E3836" t="s">
        <v>2012</v>
      </c>
      <c r="F3836" t="s">
        <v>2012</v>
      </c>
      <c r="G3836" s="554">
        <v>12</v>
      </c>
      <c r="H3836">
        <v>5.9471999999999997E-2</v>
      </c>
    </row>
    <row r="3837" spans="2:8">
      <c r="B3837" s="555" t="s">
        <v>2365</v>
      </c>
      <c r="C3837" s="555" t="str">
        <f>VLOOKUP(D3837,기본!$D$13:$E$74,2,0)</f>
        <v>코웨이</v>
      </c>
      <c r="D3837" t="s">
        <v>2010</v>
      </c>
      <c r="E3837" t="s">
        <v>2013</v>
      </c>
      <c r="F3837" t="s">
        <v>2013</v>
      </c>
      <c r="G3837" s="554">
        <v>201</v>
      </c>
      <c r="H3837">
        <v>1.7623679999999999</v>
      </c>
    </row>
    <row r="3838" spans="2:8">
      <c r="B3838" s="555" t="s">
        <v>2365</v>
      </c>
      <c r="C3838" s="555" t="str">
        <f>VLOOKUP(D3838,기본!$D$13:$E$74,2,0)</f>
        <v>코웨이</v>
      </c>
      <c r="D3838" t="s">
        <v>2010</v>
      </c>
      <c r="E3838" t="s">
        <v>2014</v>
      </c>
      <c r="F3838" t="s">
        <v>2014</v>
      </c>
      <c r="G3838" s="554">
        <v>8535</v>
      </c>
      <c r="H3838">
        <v>74.527619999999999</v>
      </c>
    </row>
    <row r="3839" spans="2:8">
      <c r="B3839" s="555" t="s">
        <v>2365</v>
      </c>
      <c r="C3839" s="555" t="str">
        <f>VLOOKUP(D3839,기본!$D$13:$E$74,2,0)</f>
        <v>코웨이</v>
      </c>
      <c r="D3839" t="s">
        <v>2010</v>
      </c>
      <c r="E3839" t="s">
        <v>1093</v>
      </c>
      <c r="F3839" t="s">
        <v>1093</v>
      </c>
      <c r="G3839" s="554">
        <v>849</v>
      </c>
      <c r="H3839">
        <v>4.5477920000000003</v>
      </c>
    </row>
    <row r="3840" spans="2:8">
      <c r="B3840" s="555" t="s">
        <v>2365</v>
      </c>
      <c r="C3840" s="555" t="str">
        <f>VLOOKUP(D3840,기본!$D$13:$E$74,2,0)</f>
        <v>코웨이</v>
      </c>
      <c r="D3840" t="s">
        <v>2010</v>
      </c>
      <c r="E3840" t="s">
        <v>1094</v>
      </c>
      <c r="F3840" t="s">
        <v>1094</v>
      </c>
      <c r="G3840" s="554">
        <v>25</v>
      </c>
      <c r="H3840">
        <v>0.102675</v>
      </c>
    </row>
    <row r="3841" spans="2:8">
      <c r="B3841" s="555" t="s">
        <v>2365</v>
      </c>
      <c r="C3841" s="555" t="str">
        <f>VLOOKUP(D3841,기본!$D$13:$E$74,2,0)</f>
        <v>코웨이</v>
      </c>
      <c r="D3841" t="s">
        <v>2010</v>
      </c>
      <c r="E3841" t="s">
        <v>1095</v>
      </c>
      <c r="F3841" t="s">
        <v>1095</v>
      </c>
      <c r="G3841" s="554">
        <v>36</v>
      </c>
      <c r="H3841">
        <v>0.23446800000000001</v>
      </c>
    </row>
    <row r="3842" spans="2:8">
      <c r="B3842" s="555" t="s">
        <v>2365</v>
      </c>
      <c r="C3842" s="555" t="str">
        <f>VLOOKUP(D3842,기본!$D$13:$E$74,2,0)</f>
        <v>코웨이</v>
      </c>
      <c r="D3842" t="s">
        <v>2010</v>
      </c>
      <c r="E3842" t="s">
        <v>2015</v>
      </c>
      <c r="F3842" t="s">
        <v>2015</v>
      </c>
      <c r="G3842" s="554">
        <v>18</v>
      </c>
      <c r="H3842">
        <v>0.23194799999999999</v>
      </c>
    </row>
    <row r="3843" spans="2:8">
      <c r="B3843" s="555" t="s">
        <v>2365</v>
      </c>
      <c r="C3843" s="555" t="str">
        <f>VLOOKUP(D3843,기본!$D$13:$E$74,2,0)</f>
        <v>코웨이</v>
      </c>
      <c r="D3843" t="s">
        <v>2010</v>
      </c>
      <c r="E3843" t="s">
        <v>2197</v>
      </c>
      <c r="F3843" t="s">
        <v>2197</v>
      </c>
      <c r="G3843" s="554">
        <v>548</v>
      </c>
      <c r="H3843">
        <v>4.1489080000000005</v>
      </c>
    </row>
    <row r="3844" spans="2:8">
      <c r="B3844" s="555" t="s">
        <v>2365</v>
      </c>
      <c r="C3844" s="555" t="str">
        <f>VLOOKUP(D3844,기본!$D$13:$E$74,2,0)</f>
        <v>코웨이</v>
      </c>
      <c r="D3844" t="s">
        <v>2010</v>
      </c>
      <c r="E3844" t="s">
        <v>2016</v>
      </c>
      <c r="F3844" t="s">
        <v>2016</v>
      </c>
      <c r="G3844" s="554">
        <v>80</v>
      </c>
      <c r="H3844">
        <v>0.64815999999999996</v>
      </c>
    </row>
    <row r="3845" spans="2:8">
      <c r="B3845" s="555" t="s">
        <v>2365</v>
      </c>
      <c r="C3845" s="555" t="str">
        <f>VLOOKUP(D3845,기본!$D$13:$E$74,2,0)</f>
        <v>코웨이</v>
      </c>
      <c r="D3845" t="s">
        <v>2010</v>
      </c>
      <c r="E3845" t="s">
        <v>2149</v>
      </c>
      <c r="F3845" t="s">
        <v>2149</v>
      </c>
      <c r="G3845" s="554">
        <v>20</v>
      </c>
      <c r="H3845">
        <v>0.19939999999999999</v>
      </c>
    </row>
    <row r="3846" spans="2:8">
      <c r="B3846" s="555" t="s">
        <v>2365</v>
      </c>
      <c r="C3846" s="555" t="str">
        <f>VLOOKUP(D3846,기본!$D$13:$E$74,2,0)</f>
        <v>코웨이</v>
      </c>
      <c r="D3846" t="s">
        <v>2010</v>
      </c>
      <c r="E3846" t="s">
        <v>2017</v>
      </c>
      <c r="F3846" t="s">
        <v>2017</v>
      </c>
      <c r="G3846" s="554">
        <v>8</v>
      </c>
      <c r="H3846">
        <v>9.8367999999999997E-2</v>
      </c>
    </row>
    <row r="3847" spans="2:8">
      <c r="B3847" s="555" t="s">
        <v>2365</v>
      </c>
      <c r="C3847" s="555" t="str">
        <f>VLOOKUP(D3847,기본!$D$13:$E$74,2,0)</f>
        <v>코웨이</v>
      </c>
      <c r="D3847" t="s">
        <v>2010</v>
      </c>
      <c r="E3847" t="s">
        <v>2018</v>
      </c>
      <c r="F3847" t="s">
        <v>2018</v>
      </c>
      <c r="G3847" s="554">
        <v>200</v>
      </c>
      <c r="H3847">
        <v>2.5674000000000001</v>
      </c>
    </row>
    <row r="3848" spans="2:8">
      <c r="B3848" s="555" t="s">
        <v>2365</v>
      </c>
      <c r="C3848" s="555" t="str">
        <f>VLOOKUP(D3848,기본!$D$13:$E$74,2,0)</f>
        <v>코웨이</v>
      </c>
      <c r="D3848" t="s">
        <v>2010</v>
      </c>
      <c r="E3848" t="s">
        <v>2020</v>
      </c>
      <c r="F3848" t="s">
        <v>2020</v>
      </c>
      <c r="G3848" s="554">
        <v>37</v>
      </c>
      <c r="H3848">
        <v>0.56826099999999991</v>
      </c>
    </row>
    <row r="3849" spans="2:8">
      <c r="B3849" s="555" t="s">
        <v>2365</v>
      </c>
      <c r="C3849" s="555" t="str">
        <f>VLOOKUP(D3849,기본!$D$13:$E$74,2,0)</f>
        <v>코웨이</v>
      </c>
      <c r="D3849" t="s">
        <v>2010</v>
      </c>
      <c r="E3849" t="s">
        <v>2021</v>
      </c>
      <c r="F3849" t="s">
        <v>2021</v>
      </c>
      <c r="G3849" s="554">
        <v>1247</v>
      </c>
      <c r="H3849">
        <v>16.089416</v>
      </c>
    </row>
    <row r="3850" spans="2:8">
      <c r="B3850" s="555" t="s">
        <v>2365</v>
      </c>
      <c r="C3850" s="555" t="str">
        <f>VLOOKUP(D3850,기본!$D$13:$E$74,2,0)</f>
        <v>코웨이</v>
      </c>
      <c r="D3850" t="s">
        <v>2010</v>
      </c>
      <c r="E3850" t="s">
        <v>1542</v>
      </c>
      <c r="F3850" t="s">
        <v>1542</v>
      </c>
      <c r="G3850" s="554">
        <v>858</v>
      </c>
      <c r="H3850">
        <v>6.7009800000000004</v>
      </c>
    </row>
    <row r="3851" spans="2:8">
      <c r="B3851" s="555" t="s">
        <v>2365</v>
      </c>
      <c r="C3851" s="555" t="str">
        <f>VLOOKUP(D3851,기본!$D$13:$E$74,2,0)</f>
        <v>코웨이</v>
      </c>
      <c r="D3851" t="s">
        <v>2010</v>
      </c>
      <c r="E3851" t="s">
        <v>1543</v>
      </c>
      <c r="F3851" t="s">
        <v>1543</v>
      </c>
      <c r="G3851" s="554">
        <v>223</v>
      </c>
      <c r="H3851">
        <v>1.6051540000000002</v>
      </c>
    </row>
    <row r="3852" spans="2:8">
      <c r="B3852" s="555" t="s">
        <v>2365</v>
      </c>
      <c r="C3852" s="555" t="str">
        <f>VLOOKUP(D3852,기본!$D$13:$E$74,2,0)</f>
        <v>코웨이</v>
      </c>
      <c r="D3852" t="s">
        <v>2010</v>
      </c>
      <c r="E3852" t="s">
        <v>2022</v>
      </c>
      <c r="F3852" t="s">
        <v>2022</v>
      </c>
      <c r="G3852" s="554">
        <v>273</v>
      </c>
      <c r="H3852">
        <v>2.1280350000000001</v>
      </c>
    </row>
    <row r="3853" spans="2:8">
      <c r="B3853" s="555" t="s">
        <v>2365</v>
      </c>
      <c r="C3853" s="555" t="str">
        <f>VLOOKUP(D3853,기본!$D$13:$E$74,2,0)</f>
        <v>코웨이</v>
      </c>
      <c r="D3853" t="s">
        <v>2010</v>
      </c>
      <c r="E3853" t="s">
        <v>2023</v>
      </c>
      <c r="F3853" t="s">
        <v>2023</v>
      </c>
      <c r="G3853" s="554">
        <v>879</v>
      </c>
      <c r="H3853">
        <v>6.4014090000000001</v>
      </c>
    </row>
    <row r="3854" spans="2:8">
      <c r="B3854" s="555" t="s">
        <v>2365</v>
      </c>
      <c r="C3854" s="555" t="str">
        <f>VLOOKUP(D3854,기본!$D$13:$E$74,2,0)</f>
        <v>코웨이</v>
      </c>
      <c r="D3854" t="s">
        <v>2010</v>
      </c>
      <c r="E3854" t="s">
        <v>2024</v>
      </c>
      <c r="F3854" t="s">
        <v>2024</v>
      </c>
      <c r="G3854" s="554">
        <v>24</v>
      </c>
      <c r="H3854">
        <v>0.242616</v>
      </c>
    </row>
    <row r="3855" spans="2:8">
      <c r="B3855" s="555" t="s">
        <v>2365</v>
      </c>
      <c r="C3855" s="555" t="str">
        <f>VLOOKUP(D3855,기본!$D$13:$E$74,2,0)</f>
        <v>코웨이</v>
      </c>
      <c r="D3855" t="s">
        <v>2010</v>
      </c>
      <c r="E3855" t="s">
        <v>2025</v>
      </c>
      <c r="F3855" t="s">
        <v>2025</v>
      </c>
      <c r="G3855" s="554">
        <v>516</v>
      </c>
      <c r="H3855">
        <v>4.6259399999999999</v>
      </c>
    </row>
    <row r="3856" spans="2:8">
      <c r="B3856" s="555" t="s">
        <v>2365</v>
      </c>
      <c r="C3856" s="555" t="str">
        <f>VLOOKUP(D3856,기본!$D$13:$E$74,2,0)</f>
        <v>코웨이</v>
      </c>
      <c r="D3856" t="s">
        <v>2010</v>
      </c>
      <c r="E3856" t="s">
        <v>2027</v>
      </c>
      <c r="F3856" t="s">
        <v>2027</v>
      </c>
      <c r="G3856" s="554">
        <v>56</v>
      </c>
      <c r="H3856">
        <v>1.0864</v>
      </c>
    </row>
    <row r="3857" spans="2:8">
      <c r="B3857" s="555" t="s">
        <v>2365</v>
      </c>
      <c r="C3857" s="555" t="str">
        <f>VLOOKUP(D3857,기본!$D$13:$E$74,2,0)</f>
        <v>코웨이</v>
      </c>
      <c r="D3857" t="s">
        <v>2010</v>
      </c>
      <c r="E3857" t="s">
        <v>2028</v>
      </c>
      <c r="F3857" t="s">
        <v>2028</v>
      </c>
      <c r="G3857" s="554">
        <v>37</v>
      </c>
      <c r="H3857">
        <v>0.69930000000000003</v>
      </c>
    </row>
    <row r="3858" spans="2:8">
      <c r="B3858" s="555" t="s">
        <v>2365</v>
      </c>
      <c r="C3858" s="555" t="str">
        <f>VLOOKUP(D3858,기본!$D$13:$E$74,2,0)</f>
        <v>코웨이</v>
      </c>
      <c r="D3858" t="s">
        <v>2010</v>
      </c>
      <c r="E3858" t="s">
        <v>2030</v>
      </c>
      <c r="F3858" t="s">
        <v>2030</v>
      </c>
      <c r="G3858" s="554">
        <v>234</v>
      </c>
      <c r="H3858">
        <v>4.8173579999999996</v>
      </c>
    </row>
    <row r="3859" spans="2:8">
      <c r="B3859" s="555" t="s">
        <v>2365</v>
      </c>
      <c r="C3859" s="555" t="str">
        <f>VLOOKUP(D3859,기본!$D$13:$E$74,2,0)</f>
        <v>코웨이</v>
      </c>
      <c r="D3859" t="s">
        <v>2010</v>
      </c>
      <c r="E3859" t="s">
        <v>2151</v>
      </c>
      <c r="F3859" t="s">
        <v>2151</v>
      </c>
      <c r="G3859" s="554">
        <v>100</v>
      </c>
      <c r="H3859">
        <v>0.74339999999999995</v>
      </c>
    </row>
    <row r="3860" spans="2:8">
      <c r="B3860" s="555" t="s">
        <v>2365</v>
      </c>
      <c r="C3860" s="555" t="str">
        <f>VLOOKUP(D3860,기본!$D$13:$E$74,2,0)</f>
        <v>코웨이</v>
      </c>
      <c r="D3860" t="s">
        <v>2010</v>
      </c>
      <c r="E3860" t="s">
        <v>2032</v>
      </c>
      <c r="F3860" t="s">
        <v>2032</v>
      </c>
      <c r="G3860" s="554">
        <v>188</v>
      </c>
      <c r="H3860">
        <v>0.41566799999999998</v>
      </c>
    </row>
    <row r="3861" spans="2:8">
      <c r="B3861" s="555" t="s">
        <v>2365</v>
      </c>
      <c r="C3861" s="555" t="str">
        <f>VLOOKUP(D3861,기본!$D$13:$E$74,2,0)</f>
        <v>코웨이</v>
      </c>
      <c r="D3861" t="s">
        <v>2010</v>
      </c>
      <c r="E3861" t="s">
        <v>2033</v>
      </c>
      <c r="F3861" t="s">
        <v>2033</v>
      </c>
      <c r="G3861" s="554">
        <v>954</v>
      </c>
      <c r="H3861">
        <v>6.2809439999999999</v>
      </c>
    </row>
    <row r="3862" spans="2:8">
      <c r="B3862" s="555" t="s">
        <v>2365</v>
      </c>
      <c r="C3862" s="555" t="str">
        <f>VLOOKUP(D3862,기본!$D$13:$E$74,2,0)</f>
        <v>코웨이</v>
      </c>
      <c r="D3862" t="s">
        <v>2010</v>
      </c>
      <c r="E3862" t="s">
        <v>2034</v>
      </c>
      <c r="F3862" t="s">
        <v>2034</v>
      </c>
      <c r="G3862" s="554">
        <v>4477</v>
      </c>
      <c r="H3862">
        <v>69.706890000000001</v>
      </c>
    </row>
    <row r="3863" spans="2:8">
      <c r="B3863" s="555" t="s">
        <v>2365</v>
      </c>
      <c r="C3863" s="555" t="str">
        <f>VLOOKUP(D3863,기본!$D$13:$E$74,2,0)</f>
        <v>코웨이</v>
      </c>
      <c r="D3863" t="s">
        <v>2010</v>
      </c>
      <c r="E3863" t="s">
        <v>2303</v>
      </c>
      <c r="F3863" t="s">
        <v>2303</v>
      </c>
      <c r="G3863" s="554">
        <v>14727</v>
      </c>
      <c r="H3863">
        <v>133.55160600000002</v>
      </c>
    </row>
    <row r="3864" spans="2:8">
      <c r="B3864" s="555" t="s">
        <v>2365</v>
      </c>
      <c r="C3864" s="555" t="str">
        <f>VLOOKUP(D3864,기본!$D$13:$E$74,2,0)</f>
        <v>코웨이</v>
      </c>
      <c r="D3864" t="s">
        <v>2010</v>
      </c>
      <c r="E3864" t="s">
        <v>2035</v>
      </c>
      <c r="F3864" t="s">
        <v>2035</v>
      </c>
      <c r="G3864" s="554">
        <v>169</v>
      </c>
      <c r="H3864">
        <v>2.8265250000000002</v>
      </c>
    </row>
    <row r="3865" spans="2:8">
      <c r="B3865" s="555" t="s">
        <v>2365</v>
      </c>
      <c r="C3865" s="555" t="str">
        <f>VLOOKUP(D3865,기본!$D$13:$E$74,2,0)</f>
        <v>코웨이</v>
      </c>
      <c r="D3865" t="s">
        <v>2010</v>
      </c>
      <c r="E3865" t="s">
        <v>2036</v>
      </c>
      <c r="F3865" t="s">
        <v>2036</v>
      </c>
      <c r="G3865" s="554">
        <v>1614</v>
      </c>
      <c r="H3865">
        <v>27.143514</v>
      </c>
    </row>
    <row r="3866" spans="2:8">
      <c r="B3866" s="555" t="s">
        <v>2365</v>
      </c>
      <c r="C3866" s="555" t="str">
        <f>VLOOKUP(D3866,기본!$D$13:$E$74,2,0)</f>
        <v>코웨이</v>
      </c>
      <c r="D3866" t="s">
        <v>2010</v>
      </c>
      <c r="E3866" t="s">
        <v>2037</v>
      </c>
      <c r="F3866" t="s">
        <v>2037</v>
      </c>
      <c r="G3866" s="554">
        <v>190</v>
      </c>
      <c r="H3866">
        <v>2.9617200000000001</v>
      </c>
    </row>
    <row r="3867" spans="2:8">
      <c r="B3867" s="555" t="s">
        <v>2365</v>
      </c>
      <c r="C3867" s="555" t="str">
        <f>VLOOKUP(D3867,기본!$D$13:$E$74,2,0)</f>
        <v>코웨이</v>
      </c>
      <c r="D3867" t="s">
        <v>2010</v>
      </c>
      <c r="E3867" t="s">
        <v>2041</v>
      </c>
      <c r="F3867" t="s">
        <v>2041</v>
      </c>
      <c r="G3867" s="554">
        <v>1184</v>
      </c>
      <c r="H3867">
        <v>19.400936000000002</v>
      </c>
    </row>
    <row r="3868" spans="2:8">
      <c r="B3868" s="555" t="s">
        <v>2365</v>
      </c>
      <c r="C3868" s="555" t="str">
        <f>VLOOKUP(D3868,기본!$D$13:$E$74,2,0)</f>
        <v>코웨이</v>
      </c>
      <c r="D3868" t="s">
        <v>2010</v>
      </c>
      <c r="E3868" t="s">
        <v>1089</v>
      </c>
      <c r="F3868" t="s">
        <v>1089</v>
      </c>
      <c r="G3868" s="554">
        <v>1011</v>
      </c>
      <c r="H3868">
        <v>11.383737000000002</v>
      </c>
    </row>
    <row r="3869" spans="2:8">
      <c r="B3869" s="555" t="s">
        <v>2365</v>
      </c>
      <c r="C3869" s="555" t="str">
        <f>VLOOKUP(D3869,기본!$D$13:$E$74,2,0)</f>
        <v>코웨이</v>
      </c>
      <c r="D3869" t="s">
        <v>2010</v>
      </c>
      <c r="E3869" t="s">
        <v>2363</v>
      </c>
      <c r="F3869" t="s">
        <v>2363</v>
      </c>
      <c r="G3869" s="554">
        <v>100</v>
      </c>
      <c r="H3869">
        <v>1.6426000000000001</v>
      </c>
    </row>
    <row r="3870" spans="2:8">
      <c r="B3870" s="555" t="s">
        <v>2365</v>
      </c>
      <c r="C3870" s="555" t="str">
        <f>VLOOKUP(D3870,기본!$D$13:$E$74,2,0)</f>
        <v>코웨이</v>
      </c>
      <c r="D3870" t="s">
        <v>2010</v>
      </c>
      <c r="E3870" t="s">
        <v>2043</v>
      </c>
      <c r="F3870" t="s">
        <v>2043</v>
      </c>
      <c r="G3870" s="554">
        <v>906</v>
      </c>
      <c r="H3870">
        <v>7.5805020000000001</v>
      </c>
    </row>
    <row r="3871" spans="2:8">
      <c r="B3871" s="555" t="s">
        <v>2365</v>
      </c>
      <c r="C3871" s="555" t="str">
        <f>VLOOKUP(D3871,기본!$D$13:$E$74,2,0)</f>
        <v>코웨이</v>
      </c>
      <c r="D3871" t="s">
        <v>2010</v>
      </c>
      <c r="E3871" t="s">
        <v>2044</v>
      </c>
      <c r="F3871" t="s">
        <v>2044</v>
      </c>
      <c r="G3871" s="554">
        <v>31</v>
      </c>
      <c r="H3871">
        <v>0.54851399999999995</v>
      </c>
    </row>
    <row r="3872" spans="2:8">
      <c r="B3872" s="555" t="s">
        <v>2365</v>
      </c>
      <c r="C3872" s="555" t="str">
        <f>VLOOKUP(D3872,기본!$D$13:$E$74,2,0)</f>
        <v>코웨이</v>
      </c>
      <c r="D3872" t="s">
        <v>2010</v>
      </c>
      <c r="E3872" t="s">
        <v>2152</v>
      </c>
      <c r="F3872" t="s">
        <v>2152</v>
      </c>
      <c r="G3872" s="554">
        <v>25</v>
      </c>
      <c r="H3872">
        <v>9.459999999999999E-2</v>
      </c>
    </row>
    <row r="3873" spans="2:8">
      <c r="B3873" s="555" t="s">
        <v>2365</v>
      </c>
      <c r="C3873" s="555" t="str">
        <f>VLOOKUP(D3873,기본!$D$13:$E$74,2,0)</f>
        <v>코웨이</v>
      </c>
      <c r="D3873" t="s">
        <v>2010</v>
      </c>
      <c r="E3873" t="s">
        <v>2045</v>
      </c>
      <c r="F3873" t="s">
        <v>2045</v>
      </c>
      <c r="G3873" s="554">
        <v>50</v>
      </c>
      <c r="H3873">
        <v>0.84684999999999999</v>
      </c>
    </row>
    <row r="3874" spans="2:8">
      <c r="B3874" s="555" t="s">
        <v>2365</v>
      </c>
      <c r="C3874" s="555" t="str">
        <f>VLOOKUP(D3874,기본!$D$13:$E$74,2,0)</f>
        <v>코웨이</v>
      </c>
      <c r="D3874" t="s">
        <v>2010</v>
      </c>
      <c r="E3874" t="s">
        <v>2046</v>
      </c>
      <c r="F3874" t="s">
        <v>2046</v>
      </c>
      <c r="G3874" s="554">
        <v>1151</v>
      </c>
      <c r="H3874">
        <v>17.970327000000001</v>
      </c>
    </row>
    <row r="3875" spans="2:8">
      <c r="B3875" s="555" t="s">
        <v>2365</v>
      </c>
      <c r="C3875" s="555" t="str">
        <f>VLOOKUP(D3875,기본!$D$13:$E$74,2,0)</f>
        <v>코웨이</v>
      </c>
      <c r="D3875" t="s">
        <v>2010</v>
      </c>
      <c r="E3875" t="s">
        <v>2153</v>
      </c>
      <c r="F3875" t="s">
        <v>2153</v>
      </c>
      <c r="G3875" s="554">
        <v>3</v>
      </c>
      <c r="H3875">
        <v>5.7921E-2</v>
      </c>
    </row>
    <row r="3876" spans="2:8">
      <c r="B3876" s="555" t="s">
        <v>2365</v>
      </c>
      <c r="C3876" s="555" t="str">
        <f>VLOOKUP(D3876,기본!$D$13:$E$74,2,0)</f>
        <v>코웨이</v>
      </c>
      <c r="D3876" t="s">
        <v>2010</v>
      </c>
      <c r="E3876" t="s">
        <v>2049</v>
      </c>
      <c r="F3876" t="s">
        <v>2049</v>
      </c>
      <c r="G3876" s="554">
        <v>18</v>
      </c>
      <c r="H3876">
        <v>0.432558</v>
      </c>
    </row>
    <row r="3877" spans="2:8">
      <c r="B3877" s="555" t="s">
        <v>2365</v>
      </c>
      <c r="C3877" s="555" t="str">
        <f>VLOOKUP(D3877,기본!$D$13:$E$74,2,0)</f>
        <v>코웨이</v>
      </c>
      <c r="D3877" t="s">
        <v>2010</v>
      </c>
      <c r="E3877" t="s">
        <v>1137</v>
      </c>
      <c r="F3877" t="s">
        <v>1137</v>
      </c>
      <c r="G3877" s="554">
        <v>9</v>
      </c>
      <c r="H3877">
        <v>0.24423300000000001</v>
      </c>
    </row>
    <row r="3878" spans="2:8">
      <c r="B3878" s="555" t="s">
        <v>2365</v>
      </c>
      <c r="C3878" s="555" t="str">
        <f>VLOOKUP(D3878,기본!$D$13:$E$74,2,0)</f>
        <v>코웨이</v>
      </c>
      <c r="D3878" t="s">
        <v>2010</v>
      </c>
      <c r="E3878" t="s">
        <v>1215</v>
      </c>
      <c r="F3878" t="s">
        <v>1215</v>
      </c>
      <c r="G3878" s="554">
        <v>100</v>
      </c>
      <c r="H3878">
        <v>3.0579999999999998</v>
      </c>
    </row>
    <row r="3879" spans="2:8">
      <c r="B3879" s="555" t="s">
        <v>2365</v>
      </c>
      <c r="C3879" s="555" t="str">
        <f>VLOOKUP(D3879,기본!$D$13:$E$74,2,0)</f>
        <v>코웨이</v>
      </c>
      <c r="D3879" t="s">
        <v>2010</v>
      </c>
      <c r="E3879" t="s">
        <v>2050</v>
      </c>
      <c r="F3879" t="s">
        <v>2050</v>
      </c>
      <c r="G3879" s="554">
        <v>88</v>
      </c>
      <c r="H3879">
        <v>2.1682839999999999</v>
      </c>
    </row>
    <row r="3880" spans="2:8">
      <c r="B3880" s="555" t="s">
        <v>2365</v>
      </c>
      <c r="C3880" s="555" t="str">
        <f>VLOOKUP(D3880,기본!$D$13:$E$74,2,0)</f>
        <v>코웨이</v>
      </c>
      <c r="D3880" t="s">
        <v>2010</v>
      </c>
      <c r="E3880" t="s">
        <v>2051</v>
      </c>
      <c r="F3880" t="s">
        <v>2051</v>
      </c>
      <c r="G3880" s="554">
        <v>1035</v>
      </c>
      <c r="H3880">
        <v>25.045767000000001</v>
      </c>
    </row>
    <row r="3881" spans="2:8">
      <c r="B3881" s="555" t="s">
        <v>2365</v>
      </c>
      <c r="C3881" s="555" t="str">
        <f>VLOOKUP(D3881,기본!$D$13:$E$74,2,0)</f>
        <v>코웨이</v>
      </c>
      <c r="D3881" t="s">
        <v>2010</v>
      </c>
      <c r="E3881" t="s">
        <v>2052</v>
      </c>
      <c r="F3881" t="s">
        <v>2052</v>
      </c>
      <c r="G3881" s="554">
        <v>218</v>
      </c>
      <c r="H3881">
        <v>5.0227199999999996</v>
      </c>
    </row>
    <row r="3882" spans="2:8">
      <c r="B3882" s="555" t="s">
        <v>2365</v>
      </c>
      <c r="C3882" s="555" t="str">
        <f>VLOOKUP(D3882,기본!$D$13:$E$74,2,0)</f>
        <v>코웨이</v>
      </c>
      <c r="D3882" t="s">
        <v>2010</v>
      </c>
      <c r="E3882" t="s">
        <v>2053</v>
      </c>
      <c r="F3882" t="s">
        <v>2053</v>
      </c>
      <c r="G3882" s="554">
        <v>446</v>
      </c>
      <c r="H3882">
        <v>11.612492</v>
      </c>
    </row>
    <row r="3883" spans="2:8">
      <c r="B3883" s="555" t="s">
        <v>2365</v>
      </c>
      <c r="C3883" s="555" t="str">
        <f>VLOOKUP(D3883,기본!$D$13:$E$74,2,0)</f>
        <v>코웨이</v>
      </c>
      <c r="D3883" t="s">
        <v>2010</v>
      </c>
      <c r="E3883" t="s">
        <v>1217</v>
      </c>
      <c r="F3883" t="s">
        <v>1217</v>
      </c>
      <c r="G3883" s="554">
        <v>65</v>
      </c>
      <c r="H3883">
        <v>1.9425699999999999</v>
      </c>
    </row>
    <row r="3884" spans="2:8">
      <c r="B3884" s="555" t="s">
        <v>2365</v>
      </c>
      <c r="C3884" s="555" t="str">
        <f>VLOOKUP(D3884,기본!$D$13:$E$74,2,0)</f>
        <v>코웨이</v>
      </c>
      <c r="D3884" t="s">
        <v>2010</v>
      </c>
      <c r="E3884" t="s">
        <v>2054</v>
      </c>
      <c r="F3884" t="s">
        <v>2054</v>
      </c>
      <c r="G3884" s="554">
        <v>7</v>
      </c>
      <c r="H3884">
        <v>0.221053</v>
      </c>
    </row>
    <row r="3885" spans="2:8">
      <c r="B3885" s="555" t="s">
        <v>2365</v>
      </c>
      <c r="C3885" s="555" t="str">
        <f>VLOOKUP(D3885,기본!$D$13:$E$74,2,0)</f>
        <v>코웨이</v>
      </c>
      <c r="D3885" t="s">
        <v>2010</v>
      </c>
      <c r="E3885" t="s">
        <v>2055</v>
      </c>
      <c r="F3885" t="s">
        <v>2055</v>
      </c>
      <c r="G3885" s="554">
        <v>16</v>
      </c>
      <c r="H3885">
        <v>0.45823999999999998</v>
      </c>
    </row>
    <row r="3886" spans="2:8">
      <c r="B3886" s="555" t="s">
        <v>2365</v>
      </c>
      <c r="C3886" s="555" t="str">
        <f>VLOOKUP(D3886,기본!$D$13:$E$74,2,0)</f>
        <v>코웨이</v>
      </c>
      <c r="D3886" t="s">
        <v>2010</v>
      </c>
      <c r="E3886" t="s">
        <v>2056</v>
      </c>
      <c r="F3886" t="s">
        <v>2056</v>
      </c>
      <c r="G3886" s="554">
        <v>810</v>
      </c>
      <c r="H3886">
        <v>15.56667</v>
      </c>
    </row>
    <row r="3887" spans="2:8">
      <c r="B3887" s="555" t="s">
        <v>2365</v>
      </c>
      <c r="C3887" s="555" t="str">
        <f>VLOOKUP(D3887,기본!$D$13:$E$74,2,0)</f>
        <v>코웨이</v>
      </c>
      <c r="D3887" t="s">
        <v>2010</v>
      </c>
      <c r="E3887" t="s">
        <v>2154</v>
      </c>
      <c r="F3887" t="s">
        <v>2154</v>
      </c>
      <c r="G3887" s="554">
        <v>275</v>
      </c>
      <c r="H3887">
        <v>5.39</v>
      </c>
    </row>
    <row r="3888" spans="2:8">
      <c r="B3888" s="555" t="s">
        <v>2365</v>
      </c>
      <c r="C3888" s="555" t="str">
        <f>VLOOKUP(D3888,기본!$D$13:$E$74,2,0)</f>
        <v>코웨이</v>
      </c>
      <c r="D3888" t="s">
        <v>2010</v>
      </c>
      <c r="E3888" t="s">
        <v>2057</v>
      </c>
      <c r="F3888" t="s">
        <v>2057</v>
      </c>
      <c r="G3888" s="554">
        <v>36</v>
      </c>
      <c r="H3888">
        <v>1.0976759999999999</v>
      </c>
    </row>
    <row r="3889" spans="2:8">
      <c r="B3889" s="555" t="s">
        <v>2365</v>
      </c>
      <c r="C3889" s="555" t="str">
        <f>VLOOKUP(D3889,기본!$D$13:$E$74,2,0)</f>
        <v>코웨이</v>
      </c>
      <c r="D3889" t="s">
        <v>2010</v>
      </c>
      <c r="E3889" t="s">
        <v>1328</v>
      </c>
      <c r="F3889" t="s">
        <v>1328</v>
      </c>
      <c r="G3889" s="554">
        <v>100</v>
      </c>
      <c r="H3889">
        <v>0.30930000000000002</v>
      </c>
    </row>
    <row r="3890" spans="2:8">
      <c r="B3890" s="555" t="s">
        <v>2365</v>
      </c>
      <c r="C3890" s="555" t="str">
        <f>VLOOKUP(D3890,기본!$D$13:$E$74,2,0)</f>
        <v>코웨이</v>
      </c>
      <c r="D3890" t="s">
        <v>2010</v>
      </c>
      <c r="E3890" t="s">
        <v>1327</v>
      </c>
      <c r="F3890" t="s">
        <v>1327</v>
      </c>
      <c r="G3890" s="554">
        <v>100</v>
      </c>
      <c r="H3890">
        <v>1.0288999999999999</v>
      </c>
    </row>
    <row r="3891" spans="2:8">
      <c r="B3891" s="555" t="s">
        <v>2365</v>
      </c>
      <c r="C3891" s="555" t="str">
        <f>VLOOKUP(D3891,기본!$D$13:$E$74,2,0)</f>
        <v>코웨이</v>
      </c>
      <c r="D3891" t="s">
        <v>2010</v>
      </c>
      <c r="E3891" t="s">
        <v>1325</v>
      </c>
      <c r="F3891" t="s">
        <v>1325</v>
      </c>
      <c r="G3891" s="554">
        <v>100</v>
      </c>
      <c r="H3891">
        <v>3.3334000000000001</v>
      </c>
    </row>
    <row r="3892" spans="2:8">
      <c r="B3892" s="555" t="s">
        <v>2365</v>
      </c>
      <c r="C3892" s="555" t="str">
        <f>VLOOKUP(D3892,기본!$D$13:$E$74,2,0)</f>
        <v>코웨이</v>
      </c>
      <c r="D3892" t="s">
        <v>2010</v>
      </c>
      <c r="E3892" t="s">
        <v>2058</v>
      </c>
      <c r="F3892" t="s">
        <v>2058</v>
      </c>
      <c r="G3892" s="554">
        <v>2629</v>
      </c>
      <c r="H3892">
        <v>91.118510999999998</v>
      </c>
    </row>
    <row r="3893" spans="2:8">
      <c r="B3893" s="555" t="s">
        <v>2365</v>
      </c>
      <c r="C3893" s="555" t="str">
        <f>VLOOKUP(D3893,기본!$D$13:$E$74,2,0)</f>
        <v>코웨이</v>
      </c>
      <c r="D3893" t="s">
        <v>2010</v>
      </c>
      <c r="E3893" t="s">
        <v>2077</v>
      </c>
      <c r="F3893" t="s">
        <v>2077</v>
      </c>
      <c r="G3893" s="554">
        <v>300</v>
      </c>
      <c r="H3893">
        <v>10.0755</v>
      </c>
    </row>
    <row r="3894" spans="2:8">
      <c r="B3894" s="555" t="s">
        <v>2365</v>
      </c>
      <c r="C3894" s="555" t="str">
        <f>VLOOKUP(D3894,기본!$D$13:$E$74,2,0)</f>
        <v>코웨이</v>
      </c>
      <c r="D3894" t="s">
        <v>2010</v>
      </c>
      <c r="E3894" t="s">
        <v>2199</v>
      </c>
      <c r="F3894" t="s">
        <v>2199</v>
      </c>
      <c r="G3894" s="554">
        <v>821</v>
      </c>
      <c r="H3894">
        <v>4.6558910000000004</v>
      </c>
    </row>
    <row r="3895" spans="2:8">
      <c r="B3895" s="555" t="s">
        <v>2365</v>
      </c>
      <c r="C3895" s="555" t="str">
        <f>VLOOKUP(D3895,기본!$D$13:$E$74,2,0)</f>
        <v>코웨이</v>
      </c>
      <c r="D3895" t="s">
        <v>2010</v>
      </c>
      <c r="E3895" t="s">
        <v>2155</v>
      </c>
      <c r="F3895" t="s">
        <v>2155</v>
      </c>
      <c r="G3895" s="554">
        <v>288</v>
      </c>
      <c r="H3895">
        <v>1.6415999999999999</v>
      </c>
    </row>
    <row r="3896" spans="2:8">
      <c r="B3896" s="555" t="s">
        <v>2365</v>
      </c>
      <c r="C3896" s="555" t="str">
        <f>VLOOKUP(D3896,기본!$D$13:$E$74,2,0)</f>
        <v>코웨이</v>
      </c>
      <c r="D3896" t="s">
        <v>2010</v>
      </c>
      <c r="E3896" t="s">
        <v>2061</v>
      </c>
      <c r="F3896" t="s">
        <v>2061</v>
      </c>
      <c r="G3896" s="554">
        <v>100</v>
      </c>
      <c r="H3896">
        <v>0.56040000000000001</v>
      </c>
    </row>
    <row r="3897" spans="2:8">
      <c r="B3897" s="555" t="s">
        <v>2365</v>
      </c>
      <c r="C3897" s="555" t="str">
        <f>VLOOKUP(D3897,기본!$D$13:$E$74,2,0)</f>
        <v>코웨이</v>
      </c>
      <c r="D3897" t="s">
        <v>2010</v>
      </c>
      <c r="E3897" t="s">
        <v>2063</v>
      </c>
      <c r="F3897" t="s">
        <v>2063</v>
      </c>
      <c r="G3897" s="554">
        <v>64</v>
      </c>
      <c r="H3897">
        <v>0.398976</v>
      </c>
    </row>
    <row r="3898" spans="2:8">
      <c r="B3898" s="555" t="s">
        <v>2365</v>
      </c>
      <c r="C3898" s="555" t="str">
        <f>VLOOKUP(D3898,기본!$D$13:$E$74,2,0)</f>
        <v>코웨이</v>
      </c>
      <c r="D3898" t="s">
        <v>2010</v>
      </c>
      <c r="E3898" t="s">
        <v>1821</v>
      </c>
      <c r="F3898" t="s">
        <v>1821</v>
      </c>
      <c r="G3898" s="554">
        <v>40</v>
      </c>
      <c r="H3898">
        <v>4.7007599999999998</v>
      </c>
    </row>
    <row r="3899" spans="2:8">
      <c r="B3899" s="555" t="s">
        <v>2365</v>
      </c>
      <c r="C3899" s="555" t="str">
        <f>VLOOKUP(D3899,기본!$D$13:$E$74,2,0)</f>
        <v>코웨이</v>
      </c>
      <c r="D3899" t="s">
        <v>2010</v>
      </c>
      <c r="E3899" t="s">
        <v>1820</v>
      </c>
      <c r="F3899" t="s">
        <v>1820</v>
      </c>
      <c r="G3899" s="554">
        <v>40</v>
      </c>
      <c r="H3899">
        <v>4.7007599999999998</v>
      </c>
    </row>
    <row r="3900" spans="2:8">
      <c r="B3900" s="555" t="s">
        <v>2365</v>
      </c>
      <c r="C3900" s="555" t="str">
        <f>VLOOKUP(D3900,기본!$D$13:$E$74,2,0)</f>
        <v>코웨이</v>
      </c>
      <c r="D3900" t="s">
        <v>2010</v>
      </c>
      <c r="E3900" t="s">
        <v>1823</v>
      </c>
      <c r="F3900" t="s">
        <v>1823</v>
      </c>
      <c r="G3900" s="554">
        <v>40</v>
      </c>
      <c r="H3900">
        <v>6.66852</v>
      </c>
    </row>
    <row r="3901" spans="2:8">
      <c r="B3901" s="555" t="s">
        <v>2365</v>
      </c>
      <c r="C3901" s="555" t="str">
        <f>VLOOKUP(D3901,기본!$D$13:$E$74,2,0)</f>
        <v>코웨이</v>
      </c>
      <c r="D3901" t="s">
        <v>2010</v>
      </c>
      <c r="E3901" t="s">
        <v>1822</v>
      </c>
      <c r="F3901" t="s">
        <v>1822</v>
      </c>
      <c r="G3901" s="554">
        <v>40</v>
      </c>
      <c r="H3901">
        <v>6.66852</v>
      </c>
    </row>
    <row r="3902" spans="2:8">
      <c r="B3902" s="555" t="s">
        <v>2365</v>
      </c>
      <c r="C3902" s="555" t="str">
        <f>VLOOKUP(D3902,기본!$D$13:$E$74,2,0)</f>
        <v>코웨이</v>
      </c>
      <c r="D3902" t="s">
        <v>2010</v>
      </c>
      <c r="E3902" t="s">
        <v>2065</v>
      </c>
      <c r="F3902" t="s">
        <v>2065</v>
      </c>
      <c r="G3902" s="554">
        <v>3</v>
      </c>
      <c r="H3902">
        <v>3.2382000000000001E-2</v>
      </c>
    </row>
    <row r="3903" spans="2:8">
      <c r="B3903" s="555" t="s">
        <v>2365</v>
      </c>
      <c r="C3903" s="555" t="str">
        <f>VLOOKUP(D3903,기본!$D$13:$E$74,2,0)</f>
        <v>코웨이</v>
      </c>
      <c r="D3903" t="s">
        <v>2010</v>
      </c>
      <c r="E3903" t="s">
        <v>1274</v>
      </c>
      <c r="F3903" t="s">
        <v>1274</v>
      </c>
      <c r="G3903" s="554">
        <v>988</v>
      </c>
      <c r="H3903">
        <v>7.2341359999999995</v>
      </c>
    </row>
    <row r="3904" spans="2:8">
      <c r="B3904" s="555" t="s">
        <v>2365</v>
      </c>
      <c r="C3904" s="555" t="str">
        <f>VLOOKUP(D3904,기본!$D$13:$E$74,2,0)</f>
        <v>코웨이</v>
      </c>
      <c r="D3904" t="s">
        <v>2010</v>
      </c>
      <c r="E3904" t="s">
        <v>1289</v>
      </c>
      <c r="F3904" t="s">
        <v>1289</v>
      </c>
      <c r="G3904" s="554">
        <v>522</v>
      </c>
      <c r="H3904">
        <v>4.3834559999999989</v>
      </c>
    </row>
    <row r="3905" spans="2:8">
      <c r="B3905" s="555" t="s">
        <v>2365</v>
      </c>
      <c r="C3905" s="555" t="str">
        <f>VLOOKUP(D3905,기본!$D$13:$E$74,2,0)</f>
        <v>코웨이</v>
      </c>
      <c r="D3905" t="s">
        <v>2010</v>
      </c>
      <c r="E3905" t="s">
        <v>1275</v>
      </c>
      <c r="F3905" t="s">
        <v>1275</v>
      </c>
      <c r="G3905" s="554">
        <v>3728</v>
      </c>
      <c r="H3905">
        <v>29.645066</v>
      </c>
    </row>
    <row r="3906" spans="2:8">
      <c r="B3906" s="555" t="s">
        <v>2365</v>
      </c>
      <c r="C3906" s="555" t="str">
        <f>VLOOKUP(D3906,기본!$D$13:$E$74,2,0)</f>
        <v>코웨이</v>
      </c>
      <c r="D3906" t="s">
        <v>2010</v>
      </c>
      <c r="E3906" t="s">
        <v>229</v>
      </c>
      <c r="F3906" t="s">
        <v>229</v>
      </c>
      <c r="G3906" s="554">
        <v>0</v>
      </c>
      <c r="H3906">
        <v>1.4899469999999999</v>
      </c>
    </row>
    <row r="3907" spans="2:8">
      <c r="B3907" s="555" t="s">
        <v>2365</v>
      </c>
      <c r="C3907" s="555" t="str">
        <f>VLOOKUP(D3907,기본!$D$13:$E$74,2,0)</f>
        <v>코웨이</v>
      </c>
      <c r="D3907" t="s">
        <v>2067</v>
      </c>
      <c r="E3907" t="s">
        <v>2015</v>
      </c>
      <c r="F3907" t="s">
        <v>2015</v>
      </c>
      <c r="G3907" s="554">
        <v>830</v>
      </c>
      <c r="H3907">
        <v>9.6512399999999996</v>
      </c>
    </row>
    <row r="3908" spans="2:8">
      <c r="B3908" s="555" t="s">
        <v>2365</v>
      </c>
      <c r="C3908" s="555" t="str">
        <f>VLOOKUP(D3908,기본!$D$13:$E$74,2,0)</f>
        <v>코웨이</v>
      </c>
      <c r="D3908" t="s">
        <v>2067</v>
      </c>
      <c r="E3908" t="s">
        <v>2016</v>
      </c>
      <c r="F3908" t="s">
        <v>2016</v>
      </c>
      <c r="G3908" s="554">
        <v>4134</v>
      </c>
      <c r="H3908">
        <v>31.298514000000001</v>
      </c>
    </row>
    <row r="3909" spans="2:8">
      <c r="B3909" s="555" t="s">
        <v>2365</v>
      </c>
      <c r="C3909" s="555" t="str">
        <f>VLOOKUP(D3909,기본!$D$13:$E$74,2,0)</f>
        <v>코웨이</v>
      </c>
      <c r="D3909" t="s">
        <v>2067</v>
      </c>
      <c r="E3909" t="s">
        <v>2156</v>
      </c>
      <c r="F3909" t="s">
        <v>2156</v>
      </c>
      <c r="G3909" s="554">
        <v>240</v>
      </c>
      <c r="H3909">
        <v>4.1592000000000002</v>
      </c>
    </row>
    <row r="3910" spans="2:8">
      <c r="B3910" s="555" t="s">
        <v>2365</v>
      </c>
      <c r="C3910" s="555" t="str">
        <f>VLOOKUP(D3910,기본!$D$13:$E$74,2,0)</f>
        <v>코웨이</v>
      </c>
      <c r="D3910" t="s">
        <v>2067</v>
      </c>
      <c r="E3910" t="s">
        <v>2068</v>
      </c>
      <c r="F3910" t="s">
        <v>2068</v>
      </c>
      <c r="G3910" s="554">
        <v>1198</v>
      </c>
      <c r="H3910">
        <v>20.568386</v>
      </c>
    </row>
    <row r="3911" spans="2:8">
      <c r="B3911" s="555" t="s">
        <v>2365</v>
      </c>
      <c r="C3911" s="555" t="str">
        <f>VLOOKUP(D3911,기본!$D$13:$E$74,2,0)</f>
        <v>코웨이</v>
      </c>
      <c r="D3911" t="s">
        <v>2067</v>
      </c>
      <c r="E3911" t="s">
        <v>2069</v>
      </c>
      <c r="F3911" t="s">
        <v>2069</v>
      </c>
      <c r="G3911" s="554">
        <v>250</v>
      </c>
      <c r="H3911">
        <v>4.3564999999999996</v>
      </c>
    </row>
    <row r="3912" spans="2:8">
      <c r="B3912" s="555" t="s">
        <v>2365</v>
      </c>
      <c r="C3912" s="555" t="str">
        <f>VLOOKUP(D3912,기본!$D$13:$E$74,2,0)</f>
        <v>코웨이</v>
      </c>
      <c r="D3912" t="s">
        <v>2067</v>
      </c>
      <c r="E3912" t="s">
        <v>2020</v>
      </c>
      <c r="F3912" t="s">
        <v>2020</v>
      </c>
      <c r="G3912" s="554">
        <v>1088</v>
      </c>
      <c r="H3912">
        <v>14.454079999999999</v>
      </c>
    </row>
    <row r="3913" spans="2:8">
      <c r="B3913" s="555" t="s">
        <v>2365</v>
      </c>
      <c r="C3913" s="555" t="str">
        <f>VLOOKUP(D3913,기본!$D$13:$E$74,2,0)</f>
        <v>코웨이</v>
      </c>
      <c r="D3913" t="s">
        <v>2067</v>
      </c>
      <c r="E3913" t="s">
        <v>2200</v>
      </c>
      <c r="F3913" t="s">
        <v>2200</v>
      </c>
      <c r="G3913" s="554">
        <v>2</v>
      </c>
      <c r="H3913">
        <v>6.9750000000000006E-2</v>
      </c>
    </row>
    <row r="3914" spans="2:8">
      <c r="B3914" s="555" t="s">
        <v>2365</v>
      </c>
      <c r="C3914" s="555" t="str">
        <f>VLOOKUP(D3914,기본!$D$13:$E$74,2,0)</f>
        <v>코웨이</v>
      </c>
      <c r="D3914" t="s">
        <v>2067</v>
      </c>
      <c r="E3914" t="s">
        <v>2201</v>
      </c>
      <c r="F3914" t="s">
        <v>2201</v>
      </c>
      <c r="G3914" s="554">
        <v>2</v>
      </c>
      <c r="H3914">
        <v>2.0288E-2</v>
      </c>
    </row>
    <row r="3915" spans="2:8">
      <c r="B3915" s="555" t="s">
        <v>2365</v>
      </c>
      <c r="C3915" s="555" t="str">
        <f>VLOOKUP(D3915,기본!$D$13:$E$74,2,0)</f>
        <v>코웨이</v>
      </c>
      <c r="D3915" t="s">
        <v>2067</v>
      </c>
      <c r="E3915" t="s">
        <v>2269</v>
      </c>
      <c r="F3915" t="s">
        <v>2269</v>
      </c>
      <c r="G3915" s="554">
        <v>100</v>
      </c>
      <c r="H3915">
        <v>1.5357000000000001</v>
      </c>
    </row>
    <row r="3916" spans="2:8">
      <c r="B3916" s="555" t="s">
        <v>2365</v>
      </c>
      <c r="C3916" s="555" t="str">
        <f>VLOOKUP(D3916,기본!$D$13:$E$74,2,0)</f>
        <v>코웨이</v>
      </c>
      <c r="D3916" t="s">
        <v>2067</v>
      </c>
      <c r="E3916" t="s">
        <v>2270</v>
      </c>
      <c r="F3916" t="s">
        <v>2270</v>
      </c>
      <c r="G3916" s="554">
        <v>33442</v>
      </c>
      <c r="H3916">
        <v>277.86957799999999</v>
      </c>
    </row>
    <row r="3917" spans="2:8">
      <c r="B3917" s="555" t="s">
        <v>2365</v>
      </c>
      <c r="C3917" s="555" t="str">
        <f>VLOOKUP(D3917,기본!$D$13:$E$74,2,0)</f>
        <v>코웨이</v>
      </c>
      <c r="D3917" t="s">
        <v>2067</v>
      </c>
      <c r="E3917" t="s">
        <v>912</v>
      </c>
      <c r="F3917" t="s">
        <v>912</v>
      </c>
      <c r="G3917" s="554">
        <v>10660</v>
      </c>
      <c r="H3917">
        <v>68.85802000000001</v>
      </c>
    </row>
    <row r="3918" spans="2:8">
      <c r="B3918" s="555" t="s">
        <v>2365</v>
      </c>
      <c r="C3918" s="555" t="str">
        <f>VLOOKUP(D3918,기본!$D$13:$E$74,2,0)</f>
        <v>코웨이</v>
      </c>
      <c r="D3918" t="s">
        <v>2067</v>
      </c>
      <c r="E3918" t="s">
        <v>913</v>
      </c>
      <c r="F3918" t="s">
        <v>913</v>
      </c>
      <c r="G3918" s="554">
        <v>620</v>
      </c>
      <c r="H3918">
        <v>11.47992</v>
      </c>
    </row>
    <row r="3919" spans="2:8">
      <c r="B3919" s="555" t="s">
        <v>2365</v>
      </c>
      <c r="C3919" s="555" t="str">
        <f>VLOOKUP(D3919,기본!$D$13:$E$74,2,0)</f>
        <v>코웨이</v>
      </c>
      <c r="D3919" t="s">
        <v>2067</v>
      </c>
      <c r="E3919" t="s">
        <v>2070</v>
      </c>
      <c r="F3919" t="s">
        <v>2070</v>
      </c>
      <c r="G3919" s="554">
        <v>12580</v>
      </c>
      <c r="H3919">
        <v>229.93606</v>
      </c>
    </row>
    <row r="3920" spans="2:8">
      <c r="B3920" s="555" t="s">
        <v>2365</v>
      </c>
      <c r="C3920" s="555" t="str">
        <f>VLOOKUP(D3920,기본!$D$13:$E$74,2,0)</f>
        <v>코웨이</v>
      </c>
      <c r="D3920" t="s">
        <v>2067</v>
      </c>
      <c r="E3920" t="s">
        <v>2024</v>
      </c>
      <c r="F3920" t="s">
        <v>2024</v>
      </c>
      <c r="G3920" s="554">
        <v>1200</v>
      </c>
      <c r="H3920">
        <v>11.561999999999999</v>
      </c>
    </row>
    <row r="3921" spans="2:8">
      <c r="B3921" s="555" t="s">
        <v>2365</v>
      </c>
      <c r="C3921" s="555" t="str">
        <f>VLOOKUP(D3921,기본!$D$13:$E$74,2,0)</f>
        <v>코웨이</v>
      </c>
      <c r="D3921" t="s">
        <v>2067</v>
      </c>
      <c r="E3921" t="s">
        <v>2071</v>
      </c>
      <c r="F3921" t="s">
        <v>2071</v>
      </c>
      <c r="G3921" s="554">
        <v>2040</v>
      </c>
      <c r="H3921">
        <v>32.146560000000001</v>
      </c>
    </row>
    <row r="3922" spans="2:8">
      <c r="B3922" s="555" t="s">
        <v>2365</v>
      </c>
      <c r="C3922" s="555" t="str">
        <f>VLOOKUP(D3922,기본!$D$13:$E$74,2,0)</f>
        <v>코웨이</v>
      </c>
      <c r="D3922" t="s">
        <v>2067</v>
      </c>
      <c r="E3922" t="s">
        <v>2073</v>
      </c>
      <c r="F3922" t="s">
        <v>2073</v>
      </c>
      <c r="G3922" s="554">
        <v>19061</v>
      </c>
      <c r="H3922">
        <v>262.89246200000002</v>
      </c>
    </row>
    <row r="3923" spans="2:8">
      <c r="B3923" s="555" t="s">
        <v>2365</v>
      </c>
      <c r="C3923" s="555" t="str">
        <f>VLOOKUP(D3923,기본!$D$13:$E$74,2,0)</f>
        <v>코웨이</v>
      </c>
      <c r="D3923" t="s">
        <v>2067</v>
      </c>
      <c r="E3923" t="s">
        <v>2074</v>
      </c>
      <c r="F3923" t="s">
        <v>2074</v>
      </c>
      <c r="G3923" s="554">
        <v>235</v>
      </c>
      <c r="H3923">
        <v>5.1286399999999999</v>
      </c>
    </row>
    <row r="3924" spans="2:8">
      <c r="B3924" s="555" t="s">
        <v>2365</v>
      </c>
      <c r="C3924" s="555" t="str">
        <f>VLOOKUP(D3924,기본!$D$13:$E$74,2,0)</f>
        <v>코웨이</v>
      </c>
      <c r="D3924" t="s">
        <v>2067</v>
      </c>
      <c r="E3924" t="s">
        <v>2075</v>
      </c>
      <c r="F3924" t="s">
        <v>2075</v>
      </c>
      <c r="G3924" s="554">
        <v>620</v>
      </c>
      <c r="H3924">
        <v>13.61346</v>
      </c>
    </row>
    <row r="3925" spans="2:8">
      <c r="B3925" s="555" t="s">
        <v>2365</v>
      </c>
      <c r="C3925" s="555" t="str">
        <f>VLOOKUP(D3925,기본!$D$13:$E$74,2,0)</f>
        <v>코웨이</v>
      </c>
      <c r="D3925" t="s">
        <v>2067</v>
      </c>
      <c r="E3925" t="s">
        <v>2076</v>
      </c>
      <c r="F3925" t="s">
        <v>2076</v>
      </c>
      <c r="G3925" s="554">
        <v>5272</v>
      </c>
      <c r="H3925">
        <v>97.422623999999999</v>
      </c>
    </row>
    <row r="3926" spans="2:8">
      <c r="B3926" s="555" t="s">
        <v>2365</v>
      </c>
      <c r="C3926" s="555" t="str">
        <f>VLOOKUP(D3926,기본!$D$13:$E$74,2,0)</f>
        <v>코웨이</v>
      </c>
      <c r="D3926" t="s">
        <v>2067</v>
      </c>
      <c r="E3926" t="s">
        <v>2042</v>
      </c>
      <c r="F3926" t="s">
        <v>2042</v>
      </c>
      <c r="G3926" s="554">
        <v>150</v>
      </c>
      <c r="H3926">
        <v>0.95925000000000005</v>
      </c>
    </row>
    <row r="3927" spans="2:8">
      <c r="B3927" s="555" t="s">
        <v>2365</v>
      </c>
      <c r="C3927" s="555" t="str">
        <f>VLOOKUP(D3927,기본!$D$13:$E$74,2,0)</f>
        <v>코웨이</v>
      </c>
      <c r="D3927" t="s">
        <v>2067</v>
      </c>
      <c r="E3927" t="s">
        <v>2058</v>
      </c>
      <c r="F3927" t="s">
        <v>2058</v>
      </c>
      <c r="G3927" s="554">
        <v>1600</v>
      </c>
      <c r="H3927">
        <v>56.785600000000002</v>
      </c>
    </row>
    <row r="3928" spans="2:8">
      <c r="B3928" s="555" t="s">
        <v>2365</v>
      </c>
      <c r="C3928" s="555" t="str">
        <f>VLOOKUP(D3928,기본!$D$13:$E$74,2,0)</f>
        <v>코웨이</v>
      </c>
      <c r="D3928" t="s">
        <v>2067</v>
      </c>
      <c r="E3928" t="s">
        <v>2077</v>
      </c>
      <c r="F3928" t="s">
        <v>2077</v>
      </c>
      <c r="G3928" s="554">
        <v>375</v>
      </c>
      <c r="H3928">
        <v>12.908625000000001</v>
      </c>
    </row>
    <row r="3929" spans="2:8">
      <c r="B3929" s="555" t="s">
        <v>2365</v>
      </c>
      <c r="C3929" s="555" t="str">
        <f>VLOOKUP(D3929,기본!$D$13:$E$74,2,0)</f>
        <v>코웨이</v>
      </c>
      <c r="D3929" t="s">
        <v>2067</v>
      </c>
      <c r="E3929" t="s">
        <v>2078</v>
      </c>
      <c r="F3929" t="s">
        <v>2078</v>
      </c>
      <c r="G3929" s="554">
        <v>732</v>
      </c>
      <c r="H3929">
        <v>25.380635999999999</v>
      </c>
    </row>
    <row r="3930" spans="2:8">
      <c r="B3930" s="555" t="s">
        <v>2365</v>
      </c>
      <c r="C3930" s="555" t="str">
        <f>VLOOKUP(D3930,기본!$D$13:$E$74,2,0)</f>
        <v>코웨이</v>
      </c>
      <c r="D3930" t="s">
        <v>2067</v>
      </c>
      <c r="E3930" t="s">
        <v>2203</v>
      </c>
      <c r="F3930" t="s">
        <v>2203</v>
      </c>
      <c r="G3930" s="554">
        <v>2846</v>
      </c>
      <c r="H3930">
        <v>104.91130799999999</v>
      </c>
    </row>
    <row r="3931" spans="2:8">
      <c r="B3931" s="555" t="s">
        <v>2365</v>
      </c>
      <c r="C3931" s="555" t="str">
        <f>VLOOKUP(D3931,기본!$D$13:$E$74,2,0)</f>
        <v>코웨이</v>
      </c>
      <c r="D3931" t="s">
        <v>2079</v>
      </c>
      <c r="E3931" t="s">
        <v>1093</v>
      </c>
      <c r="F3931" t="s">
        <v>1093</v>
      </c>
      <c r="G3931" s="554">
        <v>2685</v>
      </c>
      <c r="H3931">
        <v>14.327159999999999</v>
      </c>
    </row>
    <row r="3932" spans="2:8">
      <c r="B3932" s="555" t="s">
        <v>2365</v>
      </c>
      <c r="C3932" s="555" t="str">
        <f>VLOOKUP(D3932,기본!$D$13:$E$74,2,0)</f>
        <v>코웨이</v>
      </c>
      <c r="D3932" t="s">
        <v>2079</v>
      </c>
      <c r="E3932" t="s">
        <v>1094</v>
      </c>
      <c r="F3932" t="s">
        <v>1094</v>
      </c>
      <c r="G3932" s="554">
        <v>3693</v>
      </c>
      <c r="H3932">
        <v>11.507387999999999</v>
      </c>
    </row>
    <row r="3933" spans="2:8">
      <c r="B3933" s="555" t="s">
        <v>2365</v>
      </c>
      <c r="C3933" s="555" t="str">
        <f>VLOOKUP(D3933,기본!$D$13:$E$74,2,0)</f>
        <v>코웨이</v>
      </c>
      <c r="D3933" t="s">
        <v>2079</v>
      </c>
      <c r="E3933" t="s">
        <v>2017</v>
      </c>
      <c r="F3933" t="s">
        <v>2017</v>
      </c>
      <c r="G3933" s="554">
        <v>884</v>
      </c>
      <c r="H3933">
        <v>10.507224000000001</v>
      </c>
    </row>
    <row r="3934" spans="2:8">
      <c r="B3934" s="555" t="s">
        <v>2365</v>
      </c>
      <c r="C3934" s="555" t="str">
        <f>VLOOKUP(D3934,기본!$D$13:$E$74,2,0)</f>
        <v>코웨이</v>
      </c>
      <c r="D3934" t="s">
        <v>2079</v>
      </c>
      <c r="E3934" t="s">
        <v>1089</v>
      </c>
      <c r="F3934" t="s">
        <v>1089</v>
      </c>
      <c r="G3934" s="554">
        <v>6958</v>
      </c>
      <c r="H3934">
        <v>78.006137999999993</v>
      </c>
    </row>
    <row r="3935" spans="2:8">
      <c r="B3935" s="555" t="s">
        <v>2365</v>
      </c>
      <c r="C3935" s="555" t="str">
        <f>VLOOKUP(D3935,기본!$D$13:$E$74,2,0)</f>
        <v>코웨이</v>
      </c>
      <c r="D3935" t="s">
        <v>2079</v>
      </c>
      <c r="E3935" t="s">
        <v>1118</v>
      </c>
      <c r="F3935" t="s">
        <v>1118</v>
      </c>
      <c r="G3935" s="554">
        <v>80</v>
      </c>
      <c r="H3935">
        <v>1.4553100000000001</v>
      </c>
    </row>
    <row r="3936" spans="2:8">
      <c r="B3936" s="555" t="s">
        <v>2365</v>
      </c>
      <c r="C3936" s="555" t="str">
        <f>VLOOKUP(D3936,기본!$D$13:$E$74,2,0)</f>
        <v>코웨이</v>
      </c>
      <c r="D3936" t="s">
        <v>2079</v>
      </c>
      <c r="E3936" t="s">
        <v>2061</v>
      </c>
      <c r="F3936" t="s">
        <v>2061</v>
      </c>
      <c r="G3936" s="554">
        <v>2685</v>
      </c>
      <c r="H3936">
        <v>15.04674</v>
      </c>
    </row>
    <row r="3937" spans="2:8">
      <c r="B3937" s="555" t="s">
        <v>2365</v>
      </c>
      <c r="C3937" s="555" t="str">
        <f>VLOOKUP(D3937,기본!$D$13:$E$74,2,0)</f>
        <v>기타</v>
      </c>
      <c r="D3937" t="s">
        <v>2252</v>
      </c>
      <c r="E3937" t="s">
        <v>2364</v>
      </c>
      <c r="F3937" t="s">
        <v>2364</v>
      </c>
      <c r="G3937" s="554">
        <v>7</v>
      </c>
      <c r="H3937">
        <v>0.35</v>
      </c>
    </row>
    <row r="3938" spans="2:8">
      <c r="B3938" s="555" t="s">
        <v>2365</v>
      </c>
      <c r="C3938" s="555" t="str">
        <f>VLOOKUP(D3938,기본!$D$13:$E$74,2,0)</f>
        <v>코웨이</v>
      </c>
      <c r="D3938" t="s">
        <v>2082</v>
      </c>
      <c r="E3938" t="s">
        <v>2027</v>
      </c>
      <c r="F3938" t="s">
        <v>2027</v>
      </c>
      <c r="G3938" s="554">
        <v>935</v>
      </c>
      <c r="H3938">
        <v>17.620075</v>
      </c>
    </row>
    <row r="3939" spans="2:8">
      <c r="B3939" s="555" t="s">
        <v>2365</v>
      </c>
      <c r="C3939" s="555" t="str">
        <f>VLOOKUP(D3939,기본!$D$13:$E$74,2,0)</f>
        <v>코웨이</v>
      </c>
      <c r="D3939" t="s">
        <v>2082</v>
      </c>
      <c r="E3939" t="s">
        <v>2028</v>
      </c>
      <c r="F3939" t="s">
        <v>2028</v>
      </c>
      <c r="G3939" s="554">
        <v>84</v>
      </c>
      <c r="H3939">
        <v>1.539636</v>
      </c>
    </row>
    <row r="3940" spans="2:8">
      <c r="B3940" s="555" t="s">
        <v>2365</v>
      </c>
      <c r="C3940" s="555" t="str">
        <f>VLOOKUP(D3940,기본!$D$13:$E$74,2,0)</f>
        <v>코웨이</v>
      </c>
      <c r="D3940" t="s">
        <v>2082</v>
      </c>
      <c r="E3940" t="s">
        <v>2083</v>
      </c>
      <c r="F3940" t="s">
        <v>2083</v>
      </c>
      <c r="G3940" s="554">
        <v>1200</v>
      </c>
      <c r="H3940">
        <v>20.58</v>
      </c>
    </row>
    <row r="3941" spans="2:8">
      <c r="B3941" s="555" t="s">
        <v>2365</v>
      </c>
      <c r="C3941" s="555" t="str">
        <f>VLOOKUP(D3941,기본!$D$13:$E$74,2,0)</f>
        <v>코웨이</v>
      </c>
      <c r="D3941" t="s">
        <v>2082</v>
      </c>
      <c r="E3941" t="s">
        <v>2058</v>
      </c>
      <c r="F3941" t="s">
        <v>2058</v>
      </c>
      <c r="G3941" s="554">
        <v>6912</v>
      </c>
      <c r="H3941">
        <v>239.56300800000002</v>
      </c>
    </row>
    <row r="3942" spans="2:8">
      <c r="B3942" s="555" t="s">
        <v>2365</v>
      </c>
      <c r="C3942" s="555" t="str">
        <f>VLOOKUP(D3942,기본!$D$13:$E$74,2,0)</f>
        <v>코웨이</v>
      </c>
      <c r="D3942" t="s">
        <v>2082</v>
      </c>
      <c r="E3942" t="s">
        <v>2077</v>
      </c>
      <c r="F3942" t="s">
        <v>2077</v>
      </c>
      <c r="G3942" s="554">
        <v>3024</v>
      </c>
      <c r="H3942">
        <v>101.56103999999999</v>
      </c>
    </row>
    <row r="3943" spans="2:8">
      <c r="B3943" s="555" t="s">
        <v>2365</v>
      </c>
      <c r="C3943" s="555" t="str">
        <f>VLOOKUP(D3943,기본!$D$13:$E$74,2,0)</f>
        <v>삼성 생활가전</v>
      </c>
      <c r="D3943" t="s">
        <v>2084</v>
      </c>
      <c r="E3943" t="s">
        <v>2086</v>
      </c>
      <c r="F3943" t="s">
        <v>2086</v>
      </c>
      <c r="G3943" s="554">
        <v>5</v>
      </c>
      <c r="H3943">
        <v>5.2249999999999998E-2</v>
      </c>
    </row>
    <row r="3944" spans="2:8">
      <c r="B3944" s="555" t="s">
        <v>2365</v>
      </c>
      <c r="C3944" s="555" t="str">
        <f>VLOOKUP(D3944,기본!$D$13:$E$74,2,0)</f>
        <v>코웨이</v>
      </c>
      <c r="D3944" t="s">
        <v>2205</v>
      </c>
      <c r="E3944" t="s">
        <v>1074</v>
      </c>
      <c r="F3944" t="s">
        <v>1074</v>
      </c>
      <c r="G3944" s="554">
        <v>3240</v>
      </c>
      <c r="H3944">
        <v>15.714</v>
      </c>
    </row>
    <row r="3945" spans="2:8">
      <c r="B3945" s="555" t="s">
        <v>2365</v>
      </c>
      <c r="C3945" s="555" t="str">
        <f>VLOOKUP(D3945,기본!$D$13:$E$74,2,0)</f>
        <v>코웨이</v>
      </c>
      <c r="D3945" t="s">
        <v>2205</v>
      </c>
      <c r="E3945" t="s">
        <v>1075</v>
      </c>
      <c r="F3945" t="s">
        <v>1075</v>
      </c>
      <c r="G3945" s="554">
        <v>3456</v>
      </c>
      <c r="H3945">
        <v>4.3338239999999999</v>
      </c>
    </row>
    <row r="3946" spans="2:8">
      <c r="B3946" s="555" t="s">
        <v>2365</v>
      </c>
      <c r="C3946" s="555" t="str">
        <f>VLOOKUP(D3946,기본!$D$13:$E$74,2,0)</f>
        <v>한화비전</v>
      </c>
      <c r="D3946" t="s">
        <v>2089</v>
      </c>
      <c r="E3946" t="s">
        <v>2325</v>
      </c>
      <c r="F3946" t="s">
        <v>2326</v>
      </c>
      <c r="G3946" s="554">
        <v>225</v>
      </c>
      <c r="H3946">
        <v>8.9999324999999999</v>
      </c>
    </row>
    <row r="3947" spans="2:8">
      <c r="B3947" s="555" t="s">
        <v>2365</v>
      </c>
      <c r="C3947" s="555" t="str">
        <f>VLOOKUP(D3947,기본!$D$13:$E$74,2,0)</f>
        <v>한화비전</v>
      </c>
      <c r="D3947" t="s">
        <v>2089</v>
      </c>
      <c r="E3947" t="s">
        <v>2090</v>
      </c>
      <c r="F3947" t="s">
        <v>2091</v>
      </c>
      <c r="G3947" s="554">
        <v>1008</v>
      </c>
      <c r="H3947">
        <v>35.105943600000003</v>
      </c>
    </row>
    <row r="3948" spans="2:8">
      <c r="B3948" s="555" t="s">
        <v>2373</v>
      </c>
      <c r="C3948" s="555" t="str">
        <f>VLOOKUP(D3948,기본!$D$13:$E$74,2,0)</f>
        <v>AV JDM</v>
      </c>
      <c r="D3948" t="s">
        <v>1841</v>
      </c>
      <c r="E3948" t="s">
        <v>2104</v>
      </c>
      <c r="F3948" t="s">
        <v>2105</v>
      </c>
      <c r="G3948" s="554">
        <v>880</v>
      </c>
      <c r="H3948">
        <v>8.6527188000000006</v>
      </c>
    </row>
    <row r="3949" spans="2:8">
      <c r="B3949" s="555" t="s">
        <v>2373</v>
      </c>
      <c r="C3949" s="555" t="str">
        <f>VLOOKUP(D3949,기본!$D$13:$E$74,2,0)</f>
        <v>AV JDM</v>
      </c>
      <c r="D3949" t="s">
        <v>1841</v>
      </c>
      <c r="E3949" t="s">
        <v>1654</v>
      </c>
      <c r="F3949" t="s">
        <v>1654</v>
      </c>
      <c r="G3949" s="554">
        <v>3192</v>
      </c>
      <c r="H3949">
        <v>26.280577680000004</v>
      </c>
    </row>
    <row r="3950" spans="2:8">
      <c r="B3950" s="555" t="s">
        <v>2373</v>
      </c>
      <c r="C3950" s="555" t="str">
        <f>VLOOKUP(D3950,기본!$D$13:$E$74,2,0)</f>
        <v>AV JDM</v>
      </c>
      <c r="D3950" t="s">
        <v>1841</v>
      </c>
      <c r="E3950" t="s">
        <v>1656</v>
      </c>
      <c r="F3950" t="s">
        <v>1656</v>
      </c>
      <c r="G3950" s="554">
        <v>9296</v>
      </c>
      <c r="H3950">
        <v>82.476548280000003</v>
      </c>
    </row>
    <row r="3951" spans="2:8">
      <c r="B3951" s="555" t="s">
        <v>2373</v>
      </c>
      <c r="C3951" s="555" t="str">
        <f>VLOOKUP(D3951,기본!$D$13:$E$74,2,0)</f>
        <v>AV JDM</v>
      </c>
      <c r="D3951" t="s">
        <v>1841</v>
      </c>
      <c r="E3951" t="s">
        <v>1657</v>
      </c>
      <c r="F3951" t="s">
        <v>1657</v>
      </c>
      <c r="G3951" s="554">
        <v>280</v>
      </c>
      <c r="H3951">
        <v>2.5578798000000003</v>
      </c>
    </row>
    <row r="3952" spans="2:8">
      <c r="B3952" s="555" t="s">
        <v>2373</v>
      </c>
      <c r="C3952" s="555" t="str">
        <f>VLOOKUP(D3952,기본!$D$13:$E$74,2,0)</f>
        <v>AV JDM</v>
      </c>
      <c r="D3952" t="s">
        <v>1841</v>
      </c>
      <c r="E3952" t="s">
        <v>1658</v>
      </c>
      <c r="F3952" t="s">
        <v>1658</v>
      </c>
      <c r="G3952" s="554">
        <v>3348</v>
      </c>
      <c r="H3952">
        <v>31.775529599999999</v>
      </c>
    </row>
    <row r="3953" spans="2:8">
      <c r="B3953" s="555" t="s">
        <v>2373</v>
      </c>
      <c r="C3953" s="555" t="str">
        <f>VLOOKUP(D3953,기본!$D$13:$E$74,2,0)</f>
        <v>AV JDM</v>
      </c>
      <c r="D3953" t="s">
        <v>1841</v>
      </c>
      <c r="E3953" t="s">
        <v>1655</v>
      </c>
      <c r="F3953" t="s">
        <v>1655</v>
      </c>
      <c r="G3953" s="554">
        <v>952</v>
      </c>
      <c r="H3953">
        <v>8.1117702400000002</v>
      </c>
    </row>
    <row r="3954" spans="2:8">
      <c r="B3954" s="555" t="s">
        <v>2373</v>
      </c>
      <c r="C3954" s="555" t="str">
        <f>VLOOKUP(D3954,기본!$D$13:$E$74,2,0)</f>
        <v>AV JDM</v>
      </c>
      <c r="D3954" t="s">
        <v>1841</v>
      </c>
      <c r="E3954" t="s">
        <v>2206</v>
      </c>
      <c r="F3954" t="s">
        <v>2206</v>
      </c>
      <c r="G3954" s="554">
        <v>336</v>
      </c>
      <c r="H3954">
        <v>3.1397486400000005</v>
      </c>
    </row>
    <row r="3955" spans="2:8">
      <c r="B3955" s="555" t="s">
        <v>2373</v>
      </c>
      <c r="C3955" s="555" t="str">
        <f>VLOOKUP(D3955,기본!$D$13:$E$74,2,0)</f>
        <v>AV JDM</v>
      </c>
      <c r="D3955" t="s">
        <v>1841</v>
      </c>
      <c r="E3955" t="s">
        <v>1889</v>
      </c>
      <c r="F3955" t="s">
        <v>1229</v>
      </c>
      <c r="G3955" s="554">
        <v>16212</v>
      </c>
      <c r="H3955">
        <v>137.229488256</v>
      </c>
    </row>
    <row r="3956" spans="2:8">
      <c r="B3956" s="555" t="s">
        <v>2373</v>
      </c>
      <c r="C3956" s="555" t="str">
        <f>VLOOKUP(D3956,기본!$D$13:$E$74,2,0)</f>
        <v>AV JDM</v>
      </c>
      <c r="D3956" t="s">
        <v>1841</v>
      </c>
      <c r="E3956" t="s">
        <v>1845</v>
      </c>
      <c r="F3956" t="s">
        <v>1340</v>
      </c>
      <c r="G3956" s="554">
        <v>3528</v>
      </c>
      <c r="H3956">
        <v>37.408955472000002</v>
      </c>
    </row>
    <row r="3957" spans="2:8">
      <c r="B3957" s="555" t="s">
        <v>2373</v>
      </c>
      <c r="C3957" s="555" t="str">
        <f>VLOOKUP(D3957,기본!$D$13:$E$74,2,0)</f>
        <v>AV JDM</v>
      </c>
      <c r="D3957" t="s">
        <v>1841</v>
      </c>
      <c r="E3957" t="s">
        <v>1847</v>
      </c>
      <c r="F3957" t="s">
        <v>1336</v>
      </c>
      <c r="G3957" s="554">
        <v>5560</v>
      </c>
      <c r="H3957">
        <v>52.080573999999999</v>
      </c>
    </row>
    <row r="3958" spans="2:8">
      <c r="B3958" s="555" t="s">
        <v>2373</v>
      </c>
      <c r="C3958" s="555" t="str">
        <f>VLOOKUP(D3958,기본!$D$13:$E$74,2,0)</f>
        <v>AV JDM</v>
      </c>
      <c r="D3958" t="s">
        <v>1841</v>
      </c>
      <c r="E3958" t="s">
        <v>1016</v>
      </c>
      <c r="F3958" t="s">
        <v>1016</v>
      </c>
      <c r="G3958" s="554">
        <v>1280</v>
      </c>
      <c r="H3958">
        <v>11.104043519999999</v>
      </c>
    </row>
    <row r="3959" spans="2:8">
      <c r="B3959" s="555" t="s">
        <v>2373</v>
      </c>
      <c r="C3959" s="555" t="str">
        <f>VLOOKUP(D3959,기본!$D$13:$E$74,2,0)</f>
        <v>삼성 VD</v>
      </c>
      <c r="D3959" t="s">
        <v>1849</v>
      </c>
      <c r="E3959" t="s">
        <v>1165</v>
      </c>
      <c r="F3959" t="s">
        <v>1882</v>
      </c>
      <c r="G3959" s="554">
        <v>6048</v>
      </c>
      <c r="H3959">
        <v>182.95830806400002</v>
      </c>
    </row>
    <row r="3960" spans="2:8">
      <c r="B3960" s="555" t="s">
        <v>2373</v>
      </c>
      <c r="C3960" s="555" t="str">
        <f>VLOOKUP(D3960,기본!$D$13:$E$74,2,0)</f>
        <v>삼성 VD</v>
      </c>
      <c r="D3960" t="s">
        <v>1849</v>
      </c>
      <c r="E3960" t="s">
        <v>1164</v>
      </c>
      <c r="F3960" t="s">
        <v>1850</v>
      </c>
      <c r="G3960" s="554">
        <v>19224</v>
      </c>
      <c r="H3960">
        <v>543.05670887999997</v>
      </c>
    </row>
    <row r="3961" spans="2:8">
      <c r="B3961" s="555" t="s">
        <v>2373</v>
      </c>
      <c r="C3961" s="555" t="str">
        <f>VLOOKUP(D3961,기본!$D$13:$E$74,2,0)</f>
        <v>삼성 VD</v>
      </c>
      <c r="D3961" t="s">
        <v>1849</v>
      </c>
      <c r="E3961" t="s">
        <v>1851</v>
      </c>
      <c r="F3961" t="s">
        <v>1852</v>
      </c>
      <c r="G3961" s="554">
        <v>576</v>
      </c>
      <c r="H3961">
        <v>4.3702087680000004</v>
      </c>
    </row>
    <row r="3962" spans="2:8">
      <c r="B3962" s="555" t="s">
        <v>2373</v>
      </c>
      <c r="C3962" s="555" t="str">
        <f>VLOOKUP(D3962,기본!$D$13:$E$74,2,0)</f>
        <v>삼성 VD</v>
      </c>
      <c r="D3962" t="s">
        <v>1849</v>
      </c>
      <c r="E3962" t="s">
        <v>1853</v>
      </c>
      <c r="F3962" t="s">
        <v>1854</v>
      </c>
      <c r="G3962" s="554">
        <v>8970</v>
      </c>
      <c r="H3962">
        <v>126.02248659</v>
      </c>
    </row>
    <row r="3963" spans="2:8">
      <c r="B3963" s="555" t="s">
        <v>2373</v>
      </c>
      <c r="C3963" s="555" t="str">
        <f>VLOOKUP(D3963,기본!$D$13:$E$74,2,0)</f>
        <v>삼성 VD</v>
      </c>
      <c r="D3963" t="s">
        <v>1849</v>
      </c>
      <c r="E3963" t="s">
        <v>1855</v>
      </c>
      <c r="F3963" t="s">
        <v>1856</v>
      </c>
      <c r="G3963" s="554">
        <v>4140</v>
      </c>
      <c r="H3963">
        <v>59.12635392</v>
      </c>
    </row>
    <row r="3964" spans="2:8">
      <c r="B3964" s="555" t="s">
        <v>2373</v>
      </c>
      <c r="C3964" s="555" t="str">
        <f>VLOOKUP(D3964,기본!$D$13:$E$74,2,0)</f>
        <v>삼성 VD</v>
      </c>
      <c r="D3964" t="s">
        <v>1849</v>
      </c>
      <c r="E3964" t="s">
        <v>1874</v>
      </c>
      <c r="F3964" t="s">
        <v>1875</v>
      </c>
      <c r="G3964" s="554">
        <v>9798</v>
      </c>
      <c r="H3964">
        <v>154.88496106600002</v>
      </c>
    </row>
    <row r="3965" spans="2:8">
      <c r="B3965" s="555" t="s">
        <v>2373</v>
      </c>
      <c r="C3965" s="555" t="str">
        <f>VLOOKUP(D3965,기본!$D$13:$E$74,2,0)</f>
        <v>삼성 VD</v>
      </c>
      <c r="D3965" t="s">
        <v>1849</v>
      </c>
      <c r="E3965" t="s">
        <v>1859</v>
      </c>
      <c r="F3965" t="s">
        <v>1860</v>
      </c>
      <c r="G3965" s="554">
        <v>1152</v>
      </c>
      <c r="H3965">
        <v>21.923286911999998</v>
      </c>
    </row>
    <row r="3966" spans="2:8">
      <c r="B3966" s="555" t="s">
        <v>2373</v>
      </c>
      <c r="C3966" s="555" t="str">
        <f>VLOOKUP(D3966,기본!$D$13:$E$74,2,0)</f>
        <v>삼성 VD</v>
      </c>
      <c r="D3966" t="s">
        <v>1849</v>
      </c>
      <c r="E3966" t="s">
        <v>1865</v>
      </c>
      <c r="F3966" t="s">
        <v>1866</v>
      </c>
      <c r="G3966" s="554">
        <v>4992</v>
      </c>
      <c r="H3966">
        <v>201.90792959999999</v>
      </c>
    </row>
    <row r="3967" spans="2:8">
      <c r="B3967" s="555" t="s">
        <v>2373</v>
      </c>
      <c r="C3967" s="555" t="str">
        <f>VLOOKUP(D3967,기본!$D$13:$E$74,2,0)</f>
        <v>삼성 VD</v>
      </c>
      <c r="D3967" t="s">
        <v>1849</v>
      </c>
      <c r="E3967" t="s">
        <v>2337</v>
      </c>
      <c r="F3967" t="s">
        <v>2267</v>
      </c>
      <c r="G3967" s="554">
        <v>9504</v>
      </c>
      <c r="H3967">
        <v>52.080646463999997</v>
      </c>
    </row>
    <row r="3968" spans="2:8">
      <c r="B3968" s="555" t="s">
        <v>2373</v>
      </c>
      <c r="C3968" s="555" t="str">
        <f>VLOOKUP(D3968,기본!$D$13:$E$74,2,0)</f>
        <v>삼성 VD</v>
      </c>
      <c r="D3968" t="s">
        <v>1849</v>
      </c>
      <c r="E3968" t="s">
        <v>1923</v>
      </c>
      <c r="F3968" t="s">
        <v>1924</v>
      </c>
      <c r="G3968" s="554">
        <v>22968</v>
      </c>
      <c r="H3968">
        <v>105.71044968</v>
      </c>
    </row>
    <row r="3969" spans="2:8">
      <c r="B3969" s="555" t="s">
        <v>2373</v>
      </c>
      <c r="C3969" s="555" t="str">
        <f>VLOOKUP(D3969,기본!$D$13:$E$74,2,0)</f>
        <v>삼성 VD</v>
      </c>
      <c r="D3969" t="s">
        <v>1849</v>
      </c>
      <c r="E3969" t="s">
        <v>1867</v>
      </c>
      <c r="F3969" t="s">
        <v>1868</v>
      </c>
      <c r="G3969" s="554">
        <v>1806</v>
      </c>
      <c r="H3969">
        <v>15.758721845999998</v>
      </c>
    </row>
    <row r="3970" spans="2:8">
      <c r="B3970" s="555" t="s">
        <v>2373</v>
      </c>
      <c r="C3970" s="555" t="str">
        <f>VLOOKUP(D3970,기본!$D$13:$E$74,2,0)</f>
        <v>삼성 VD</v>
      </c>
      <c r="D3970" t="s">
        <v>1849</v>
      </c>
      <c r="E3970" t="s">
        <v>709</v>
      </c>
      <c r="F3970" t="s">
        <v>1869</v>
      </c>
      <c r="G3970" s="554">
        <v>49632</v>
      </c>
      <c r="H3970">
        <v>173.05437599999999</v>
      </c>
    </row>
    <row r="3971" spans="2:8">
      <c r="B3971" s="555" t="s">
        <v>2373</v>
      </c>
      <c r="C3971" s="555" t="str">
        <f>VLOOKUP(D3971,기본!$D$13:$E$74,2,0)</f>
        <v>삼성 VD</v>
      </c>
      <c r="D3971" t="s">
        <v>1849</v>
      </c>
      <c r="E3971" t="s">
        <v>2235</v>
      </c>
      <c r="F3971" t="s">
        <v>2236</v>
      </c>
      <c r="G3971" s="554">
        <v>3168</v>
      </c>
      <c r="H3971">
        <v>15.409304064000001</v>
      </c>
    </row>
    <row r="3972" spans="2:8">
      <c r="B3972" s="555" t="s">
        <v>2373</v>
      </c>
      <c r="C3972" s="555" t="str">
        <f>VLOOKUP(D3972,기본!$D$13:$E$74,2,0)</f>
        <v>삼성 VD</v>
      </c>
      <c r="D3972" t="s">
        <v>1871</v>
      </c>
      <c r="E3972" t="s">
        <v>1165</v>
      </c>
      <c r="F3972" t="s">
        <v>1882</v>
      </c>
      <c r="G3972" s="554">
        <v>2160</v>
      </c>
      <c r="H3972">
        <v>65.342252880000004</v>
      </c>
    </row>
    <row r="3973" spans="2:8">
      <c r="B3973" s="555" t="s">
        <v>2373</v>
      </c>
      <c r="C3973" s="555" t="str">
        <f>VLOOKUP(D3973,기본!$D$13:$E$74,2,0)</f>
        <v>삼성 VD</v>
      </c>
      <c r="D3973" t="s">
        <v>1871</v>
      </c>
      <c r="E3973" t="s">
        <v>1164</v>
      </c>
      <c r="F3973" t="s">
        <v>1850</v>
      </c>
      <c r="G3973" s="554">
        <v>5832</v>
      </c>
      <c r="H3973">
        <v>160.23764087999999</v>
      </c>
    </row>
    <row r="3974" spans="2:8">
      <c r="B3974" s="555" t="s">
        <v>2373</v>
      </c>
      <c r="C3974" s="555" t="str">
        <f>VLOOKUP(D3974,기본!$D$13:$E$74,2,0)</f>
        <v>삼성 VD</v>
      </c>
      <c r="D3974" t="s">
        <v>1871</v>
      </c>
      <c r="E3974" t="s">
        <v>1853</v>
      </c>
      <c r="F3974" t="s">
        <v>1854</v>
      </c>
      <c r="G3974" s="554">
        <v>2190</v>
      </c>
      <c r="H3974">
        <v>30.93816726</v>
      </c>
    </row>
    <row r="3975" spans="2:8">
      <c r="B3975" s="555" t="s">
        <v>2373</v>
      </c>
      <c r="C3975" s="555" t="str">
        <f>VLOOKUP(D3975,기본!$D$13:$E$74,2,0)</f>
        <v>삼성 VD</v>
      </c>
      <c r="D3975" t="s">
        <v>1871</v>
      </c>
      <c r="E3975" t="s">
        <v>1874</v>
      </c>
      <c r="F3975" t="s">
        <v>1875</v>
      </c>
      <c r="G3975" s="554">
        <v>5957</v>
      </c>
      <c r="H3975">
        <v>92.717041813000009</v>
      </c>
    </row>
    <row r="3976" spans="2:8">
      <c r="B3976" s="555" t="s">
        <v>2373</v>
      </c>
      <c r="C3976" s="555" t="str">
        <f>VLOOKUP(D3976,기본!$D$13:$E$74,2,0)</f>
        <v>삼성 VD</v>
      </c>
      <c r="D3976" t="s">
        <v>1871</v>
      </c>
      <c r="E3976" t="s">
        <v>1876</v>
      </c>
      <c r="F3976" t="s">
        <v>1877</v>
      </c>
      <c r="G3976" s="554">
        <v>12024</v>
      </c>
      <c r="H3976">
        <v>83.888239296000009</v>
      </c>
    </row>
    <row r="3977" spans="2:8">
      <c r="B3977" s="555" t="s">
        <v>2373</v>
      </c>
      <c r="C3977" s="555" t="str">
        <f>VLOOKUP(D3977,기본!$D$13:$E$74,2,0)</f>
        <v>삼성 VD</v>
      </c>
      <c r="D3977" t="s">
        <v>1880</v>
      </c>
      <c r="E3977" t="s">
        <v>1855</v>
      </c>
      <c r="F3977" t="s">
        <v>1856</v>
      </c>
      <c r="G3977" s="554">
        <v>552</v>
      </c>
      <c r="H3977">
        <v>7.8835138560000004</v>
      </c>
    </row>
    <row r="3978" spans="2:8">
      <c r="B3978" s="555" t="s">
        <v>2373</v>
      </c>
      <c r="C3978" s="555" t="str">
        <f>VLOOKUP(D3978,기본!$D$13:$E$74,2,0)</f>
        <v>삼성 VD</v>
      </c>
      <c r="D3978" t="s">
        <v>1881</v>
      </c>
      <c r="E3978" t="s">
        <v>1853</v>
      </c>
      <c r="F3978" t="s">
        <v>1854</v>
      </c>
      <c r="G3978" s="554">
        <v>30</v>
      </c>
      <c r="H3978">
        <v>0.41882841000000004</v>
      </c>
    </row>
    <row r="3979" spans="2:8">
      <c r="B3979" s="555" t="s">
        <v>2373</v>
      </c>
      <c r="C3979" s="555" t="str">
        <f>VLOOKUP(D3979,기본!$D$13:$E$74,2,0)</f>
        <v>삼성 VD</v>
      </c>
      <c r="D3979" t="s">
        <v>1881</v>
      </c>
      <c r="E3979" t="s">
        <v>1855</v>
      </c>
      <c r="F3979" t="s">
        <v>1856</v>
      </c>
      <c r="G3979" s="554">
        <v>69</v>
      </c>
      <c r="H3979">
        <v>0.98543923200000005</v>
      </c>
    </row>
    <row r="3980" spans="2:8">
      <c r="B3980" s="555" t="s">
        <v>2373</v>
      </c>
      <c r="C3980" s="555" t="str">
        <f>VLOOKUP(D3980,기본!$D$13:$E$74,2,0)</f>
        <v>삼성 VD</v>
      </c>
      <c r="D3980" t="s">
        <v>1881</v>
      </c>
      <c r="E3980" t="s">
        <v>1874</v>
      </c>
      <c r="F3980" t="s">
        <v>1875</v>
      </c>
      <c r="G3980" s="554">
        <v>621</v>
      </c>
      <c r="H3980">
        <v>9.6224676569999996</v>
      </c>
    </row>
    <row r="3981" spans="2:8">
      <c r="B3981" s="555" t="s">
        <v>2373</v>
      </c>
      <c r="C3981" s="555" t="str">
        <f>VLOOKUP(D3981,기본!$D$13:$E$74,2,0)</f>
        <v>기타</v>
      </c>
      <c r="D3981" t="s">
        <v>1883</v>
      </c>
      <c r="E3981" t="s">
        <v>229</v>
      </c>
      <c r="F3981" t="s">
        <v>229</v>
      </c>
      <c r="G3981" s="554">
        <v>0</v>
      </c>
      <c r="H3981">
        <v>0.53746300000000002</v>
      </c>
    </row>
    <row r="3982" spans="2:8">
      <c r="B3982" s="555" t="s">
        <v>2373</v>
      </c>
      <c r="C3982" s="555" t="str">
        <f>VLOOKUP(D3982,기본!$D$13:$E$74,2,0)</f>
        <v>MNT JDM</v>
      </c>
      <c r="D3982" t="s">
        <v>2107</v>
      </c>
      <c r="E3982" t="s">
        <v>709</v>
      </c>
      <c r="F3982" t="s">
        <v>2108</v>
      </c>
      <c r="G3982" s="554">
        <v>9504</v>
      </c>
      <c r="H3982">
        <v>43.742255039999996</v>
      </c>
    </row>
    <row r="3983" spans="2:8">
      <c r="B3983" s="555" t="s">
        <v>2373</v>
      </c>
      <c r="C3983" s="555" t="str">
        <f>VLOOKUP(D3983,기본!$D$13:$E$74,2,0)</f>
        <v>MNT JDM</v>
      </c>
      <c r="D3983" t="s">
        <v>2107</v>
      </c>
      <c r="E3983" t="s">
        <v>710</v>
      </c>
      <c r="F3983" t="s">
        <v>2109</v>
      </c>
      <c r="G3983" s="554">
        <v>1056</v>
      </c>
      <c r="H3983">
        <v>5.7439324799999998</v>
      </c>
    </row>
    <row r="3984" spans="2:8">
      <c r="B3984" s="555" t="s">
        <v>2373</v>
      </c>
      <c r="C3984" s="555" t="str">
        <f>VLOOKUP(D3984,기본!$D$13:$E$74,2,0)</f>
        <v>MNT JDM</v>
      </c>
      <c r="D3984" t="s">
        <v>2107</v>
      </c>
      <c r="E3984" t="s">
        <v>1156</v>
      </c>
      <c r="F3984" t="s">
        <v>1793</v>
      </c>
      <c r="G3984" s="554">
        <v>26400</v>
      </c>
      <c r="H3984">
        <v>155.617019712</v>
      </c>
    </row>
    <row r="3985" spans="2:8">
      <c r="B3985" s="555" t="s">
        <v>2373</v>
      </c>
      <c r="C3985" s="555" t="str">
        <f>VLOOKUP(D3985,기본!$D$13:$E$74,2,0)</f>
        <v>MNT JDM</v>
      </c>
      <c r="D3985" t="s">
        <v>2107</v>
      </c>
      <c r="E3985" t="s">
        <v>1157</v>
      </c>
      <c r="F3985" t="s">
        <v>1794</v>
      </c>
      <c r="G3985" s="554">
        <v>400</v>
      </c>
      <c r="H3985">
        <v>2.6610875999999997</v>
      </c>
    </row>
    <row r="3986" spans="2:8">
      <c r="B3986" s="555" t="s">
        <v>2373</v>
      </c>
      <c r="C3986" s="555" t="str">
        <f>VLOOKUP(D3986,기본!$D$13:$E$74,2,0)</f>
        <v>MNT JDM</v>
      </c>
      <c r="D3986" t="s">
        <v>1884</v>
      </c>
      <c r="E3986" t="s">
        <v>709</v>
      </c>
      <c r="F3986" t="s">
        <v>2110</v>
      </c>
      <c r="G3986" s="554">
        <v>36960</v>
      </c>
      <c r="H3986">
        <v>173.72852534400002</v>
      </c>
    </row>
    <row r="3987" spans="2:8">
      <c r="B3987" s="555" t="s">
        <v>2373</v>
      </c>
      <c r="C3987" s="555" t="str">
        <f>VLOOKUP(D3987,기본!$D$13:$E$74,2,0)</f>
        <v>MNT JDM</v>
      </c>
      <c r="D3987" t="s">
        <v>1884</v>
      </c>
      <c r="E3987" t="s">
        <v>710</v>
      </c>
      <c r="F3987" t="s">
        <v>2111</v>
      </c>
      <c r="G3987" s="554">
        <v>3168</v>
      </c>
      <c r="H3987">
        <v>17.806190688000001</v>
      </c>
    </row>
    <row r="3988" spans="2:8">
      <c r="B3988" s="555" t="s">
        <v>2373</v>
      </c>
      <c r="C3988" s="555" t="str">
        <f>VLOOKUP(D3988,기본!$D$13:$E$74,2,0)</f>
        <v>MNT JDM</v>
      </c>
      <c r="D3988" t="s">
        <v>1884</v>
      </c>
      <c r="E3988" t="s">
        <v>1156</v>
      </c>
      <c r="F3988" t="s">
        <v>2112</v>
      </c>
      <c r="G3988" s="554">
        <v>6336</v>
      </c>
      <c r="H3988">
        <v>36.496063296000003</v>
      </c>
    </row>
    <row r="3989" spans="2:8">
      <c r="B3989" s="555" t="s">
        <v>2373</v>
      </c>
      <c r="C3989" s="555" t="str">
        <f>VLOOKUP(D3989,기본!$D$13:$E$74,2,0)</f>
        <v>AV JDM</v>
      </c>
      <c r="D3989" t="s">
        <v>1888</v>
      </c>
      <c r="E3989" t="s">
        <v>1842</v>
      </c>
      <c r="F3989" t="s">
        <v>1680</v>
      </c>
      <c r="G3989" s="554">
        <v>10000</v>
      </c>
      <c r="H3989">
        <v>92.050200000000004</v>
      </c>
    </row>
    <row r="3990" spans="2:8">
      <c r="B3990" s="555" t="s">
        <v>2373</v>
      </c>
      <c r="C3990" s="555" t="str">
        <f>VLOOKUP(D3990,기본!$D$13:$E$74,2,0)</f>
        <v>AV JDM</v>
      </c>
      <c r="D3990" t="s">
        <v>1888</v>
      </c>
      <c r="E3990" t="s">
        <v>105</v>
      </c>
      <c r="F3990" t="s">
        <v>104</v>
      </c>
      <c r="G3990" s="554">
        <v>7760</v>
      </c>
      <c r="H3990">
        <v>79.764566640000012</v>
      </c>
    </row>
    <row r="3991" spans="2:8">
      <c r="B3991" s="555" t="s">
        <v>2373</v>
      </c>
      <c r="C3991" s="555" t="str">
        <f>VLOOKUP(D3991,기본!$D$13:$E$74,2,0)</f>
        <v>AV JDM</v>
      </c>
      <c r="D3991" t="s">
        <v>1888</v>
      </c>
      <c r="E3991" t="s">
        <v>690</v>
      </c>
      <c r="F3991" t="s">
        <v>689</v>
      </c>
      <c r="G3991" s="554">
        <v>1520</v>
      </c>
      <c r="H3991">
        <v>15.920779439999999</v>
      </c>
    </row>
    <row r="3992" spans="2:8">
      <c r="B3992" s="555" t="s">
        <v>2373</v>
      </c>
      <c r="C3992" s="555" t="str">
        <f>VLOOKUP(D3992,기본!$D$13:$E$74,2,0)</f>
        <v>AV JDM</v>
      </c>
      <c r="D3992" t="s">
        <v>1888</v>
      </c>
      <c r="E3992" t="s">
        <v>1656</v>
      </c>
      <c r="F3992" t="s">
        <v>1656</v>
      </c>
      <c r="G3992" s="554">
        <v>616</v>
      </c>
      <c r="H3992">
        <v>5.4555085200000004</v>
      </c>
    </row>
    <row r="3993" spans="2:8">
      <c r="B3993" s="555" t="s">
        <v>2373</v>
      </c>
      <c r="C3993" s="555" t="str">
        <f>VLOOKUP(D3993,기본!$D$13:$E$74,2,0)</f>
        <v>AV JDM</v>
      </c>
      <c r="D3993" t="s">
        <v>1888</v>
      </c>
      <c r="E3993" t="s">
        <v>1889</v>
      </c>
      <c r="F3993" t="s">
        <v>1890</v>
      </c>
      <c r="G3993" s="554">
        <v>30239</v>
      </c>
      <c r="H3993">
        <v>248.92710299600003</v>
      </c>
    </row>
    <row r="3994" spans="2:8">
      <c r="B3994" s="555" t="s">
        <v>2373</v>
      </c>
      <c r="C3994" s="555" t="str">
        <f>VLOOKUP(D3994,기본!$D$13:$E$74,2,0)</f>
        <v>AV JDM</v>
      </c>
      <c r="D3994" t="s">
        <v>1888</v>
      </c>
      <c r="E3994" t="s">
        <v>2106</v>
      </c>
      <c r="F3994" t="s">
        <v>1256</v>
      </c>
      <c r="G3994" s="554">
        <v>5040</v>
      </c>
      <c r="H3994">
        <v>50.842255968000003</v>
      </c>
    </row>
    <row r="3995" spans="2:8">
      <c r="B3995" s="555" t="s">
        <v>2373</v>
      </c>
      <c r="C3995" s="555" t="str">
        <f>VLOOKUP(D3995,기본!$D$13:$E$74,2,0)</f>
        <v>AV JDM</v>
      </c>
      <c r="D3995" t="s">
        <v>1888</v>
      </c>
      <c r="E3995" t="s">
        <v>2209</v>
      </c>
      <c r="F3995" t="s">
        <v>1260</v>
      </c>
      <c r="G3995" s="554">
        <v>1008</v>
      </c>
      <c r="H3995">
        <v>7.8455139840000001</v>
      </c>
    </row>
    <row r="3996" spans="2:8">
      <c r="B3996" s="555" t="s">
        <v>2373</v>
      </c>
      <c r="C3996" s="555" t="str">
        <f>VLOOKUP(D3996,기본!$D$13:$E$74,2,0)</f>
        <v>AV JDM</v>
      </c>
      <c r="D3996" t="s">
        <v>1888</v>
      </c>
      <c r="E3996" t="s">
        <v>1845</v>
      </c>
      <c r="F3996" t="s">
        <v>1340</v>
      </c>
      <c r="G3996" s="554">
        <v>4494</v>
      </c>
      <c r="H3996">
        <v>46.926782027999998</v>
      </c>
    </row>
    <row r="3997" spans="2:8">
      <c r="B3997" s="555" t="s">
        <v>2373</v>
      </c>
      <c r="C3997" s="555" t="str">
        <f>VLOOKUP(D3997,기본!$D$13:$E$74,2,0)</f>
        <v>AV JDM</v>
      </c>
      <c r="D3997" t="s">
        <v>1888</v>
      </c>
      <c r="E3997" t="s">
        <v>1847</v>
      </c>
      <c r="F3997" t="s">
        <v>1336</v>
      </c>
      <c r="G3997" s="554">
        <v>10360</v>
      </c>
      <c r="H3997">
        <v>94.755522600000006</v>
      </c>
    </row>
    <row r="3998" spans="2:8">
      <c r="B3998" s="555" t="s">
        <v>2373</v>
      </c>
      <c r="C3998" s="555" t="str">
        <f>VLOOKUP(D3998,기본!$D$13:$E$74,2,0)</f>
        <v>AV JDM</v>
      </c>
      <c r="D3998" t="s">
        <v>1888</v>
      </c>
      <c r="E3998" t="s">
        <v>1015</v>
      </c>
      <c r="F3998" t="s">
        <v>1015</v>
      </c>
      <c r="G3998" s="554">
        <v>8960</v>
      </c>
      <c r="H3998">
        <v>62.708799999999997</v>
      </c>
    </row>
    <row r="3999" spans="2:8">
      <c r="B3999" s="555" t="s">
        <v>2373</v>
      </c>
      <c r="C3999" s="555" t="str">
        <f>VLOOKUP(D3999,기본!$D$13:$E$74,2,0)</f>
        <v>AV JDM</v>
      </c>
      <c r="D3999" t="s">
        <v>1888</v>
      </c>
      <c r="E3999" t="s">
        <v>1016</v>
      </c>
      <c r="F3999" t="s">
        <v>1016</v>
      </c>
      <c r="G3999" s="554">
        <v>10368</v>
      </c>
      <c r="H3999">
        <v>86.172331071999992</v>
      </c>
    </row>
    <row r="4000" spans="2:8">
      <c r="B4000" s="555" t="s">
        <v>2373</v>
      </c>
      <c r="C4000" s="555" t="str">
        <f>VLOOKUP(D4000,기본!$D$13:$E$74,2,0)</f>
        <v>AV JDM</v>
      </c>
      <c r="D4000" t="s">
        <v>1899</v>
      </c>
      <c r="E4000" t="s">
        <v>436</v>
      </c>
      <c r="F4000" t="s">
        <v>2210</v>
      </c>
      <c r="G4000" s="554">
        <v>22848</v>
      </c>
      <c r="H4000">
        <v>201.07512633600004</v>
      </c>
    </row>
    <row r="4001" spans="2:8">
      <c r="B4001" s="555" t="s">
        <v>2373</v>
      </c>
      <c r="C4001" s="555" t="str">
        <f>VLOOKUP(D4001,기본!$D$13:$E$74,2,0)</f>
        <v>MNT JDM</v>
      </c>
      <c r="D4001" t="s">
        <v>1900</v>
      </c>
      <c r="E4001" t="s">
        <v>709</v>
      </c>
      <c r="F4001" t="s">
        <v>2115</v>
      </c>
      <c r="G4001" s="554">
        <v>31680</v>
      </c>
      <c r="H4001">
        <v>147.77212665600001</v>
      </c>
    </row>
    <row r="4002" spans="2:8">
      <c r="B4002" s="555" t="s">
        <v>2373</v>
      </c>
      <c r="C4002" s="555" t="str">
        <f>VLOOKUP(D4002,기본!$D$13:$E$74,2,0)</f>
        <v>MNT JDM</v>
      </c>
      <c r="D4002" t="s">
        <v>1900</v>
      </c>
      <c r="E4002" t="s">
        <v>1156</v>
      </c>
      <c r="F4002" t="s">
        <v>2116</v>
      </c>
      <c r="G4002" s="554">
        <v>8448</v>
      </c>
      <c r="H4002">
        <v>48.471244799999994</v>
      </c>
    </row>
    <row r="4003" spans="2:8">
      <c r="B4003" s="555" t="s">
        <v>2373</v>
      </c>
      <c r="C4003" s="555" t="str">
        <f>VLOOKUP(D4003,기본!$D$13:$E$74,2,0)</f>
        <v>한화비전</v>
      </c>
      <c r="D4003" t="s">
        <v>1901</v>
      </c>
      <c r="E4003" t="s">
        <v>1902</v>
      </c>
      <c r="F4003" t="s">
        <v>1903</v>
      </c>
      <c r="G4003" s="554">
        <v>1296</v>
      </c>
      <c r="H4003">
        <v>46.815058080000007</v>
      </c>
    </row>
    <row r="4004" spans="2:8">
      <c r="B4004" s="555" t="s">
        <v>2373</v>
      </c>
      <c r="C4004" s="555" t="str">
        <f>VLOOKUP(D4004,기본!$D$13:$E$74,2,0)</f>
        <v>한화비전</v>
      </c>
      <c r="D4004" t="s">
        <v>1901</v>
      </c>
      <c r="E4004" t="s">
        <v>2257</v>
      </c>
      <c r="F4004" t="s">
        <v>2258</v>
      </c>
      <c r="G4004" s="554">
        <v>1078</v>
      </c>
      <c r="H4004">
        <v>21.602688799999999</v>
      </c>
    </row>
    <row r="4005" spans="2:8">
      <c r="B4005" s="555" t="s">
        <v>2373</v>
      </c>
      <c r="C4005" s="555" t="str">
        <f>VLOOKUP(D4005,기본!$D$13:$E$74,2,0)</f>
        <v>코웨이</v>
      </c>
      <c r="D4005" t="s">
        <v>1905</v>
      </c>
      <c r="E4005" t="s">
        <v>1067</v>
      </c>
      <c r="F4005" t="s">
        <v>1067</v>
      </c>
      <c r="G4005" s="554">
        <v>2300</v>
      </c>
      <c r="H4005">
        <v>15.877884400000001</v>
      </c>
    </row>
    <row r="4006" spans="2:8">
      <c r="B4006" s="555" t="s">
        <v>2373</v>
      </c>
      <c r="C4006" s="555" t="str">
        <f>VLOOKUP(D4006,기본!$D$13:$E$74,2,0)</f>
        <v>코웨이</v>
      </c>
      <c r="D4006" t="s">
        <v>1905</v>
      </c>
      <c r="E4006" t="s">
        <v>1066</v>
      </c>
      <c r="F4006" t="s">
        <v>1066</v>
      </c>
      <c r="G4006" s="554">
        <v>3028</v>
      </c>
      <c r="H4006">
        <v>25.699408980000001</v>
      </c>
    </row>
    <row r="4007" spans="2:8">
      <c r="B4007" s="555" t="s">
        <v>2373</v>
      </c>
      <c r="C4007" s="555" t="str">
        <f>VLOOKUP(D4007,기본!$D$13:$E$74,2,0)</f>
        <v>코웨이</v>
      </c>
      <c r="D4007" t="s">
        <v>1905</v>
      </c>
      <c r="E4007" t="s">
        <v>2296</v>
      </c>
      <c r="F4007" t="s">
        <v>2296</v>
      </c>
      <c r="G4007" s="554">
        <v>999</v>
      </c>
      <c r="H4007">
        <v>13.518705761999998</v>
      </c>
    </row>
    <row r="4008" spans="2:8">
      <c r="B4008" s="555" t="s">
        <v>2373</v>
      </c>
      <c r="C4008" s="555" t="str">
        <f>VLOOKUP(D4008,기본!$D$13:$E$74,2,0)</f>
        <v>코웨이</v>
      </c>
      <c r="D4008" t="s">
        <v>1905</v>
      </c>
      <c r="E4008" t="s">
        <v>1906</v>
      </c>
      <c r="F4008" t="s">
        <v>1906</v>
      </c>
      <c r="G4008" s="554">
        <v>19050</v>
      </c>
      <c r="H4008">
        <v>131.42487222</v>
      </c>
    </row>
    <row r="4009" spans="2:8">
      <c r="B4009" s="555" t="s">
        <v>2373</v>
      </c>
      <c r="C4009" s="555" t="str">
        <f>VLOOKUP(D4009,기본!$D$13:$E$74,2,0)</f>
        <v>코웨이</v>
      </c>
      <c r="D4009" t="s">
        <v>1905</v>
      </c>
      <c r="E4009" t="s">
        <v>1907</v>
      </c>
      <c r="F4009" t="s">
        <v>1907</v>
      </c>
      <c r="G4009" s="554">
        <v>1440</v>
      </c>
      <c r="H4009">
        <v>11.46549168</v>
      </c>
    </row>
    <row r="4010" spans="2:8">
      <c r="B4010" s="555" t="s">
        <v>2373</v>
      </c>
      <c r="C4010" s="555" t="str">
        <f>VLOOKUP(D4010,기본!$D$13:$E$74,2,0)</f>
        <v>코웨이</v>
      </c>
      <c r="D4010" t="s">
        <v>1905</v>
      </c>
      <c r="E4010" t="s">
        <v>1908</v>
      </c>
      <c r="F4010" t="s">
        <v>1908</v>
      </c>
      <c r="G4010" s="554">
        <v>480</v>
      </c>
      <c r="H4010">
        <v>3.4598356799999999</v>
      </c>
    </row>
    <row r="4011" spans="2:8">
      <c r="B4011" s="555" t="s">
        <v>2373</v>
      </c>
      <c r="C4011" s="555" t="str">
        <f>VLOOKUP(D4011,기본!$D$13:$E$74,2,0)</f>
        <v>코웨이</v>
      </c>
      <c r="D4011" t="s">
        <v>1905</v>
      </c>
      <c r="E4011" t="s">
        <v>1909</v>
      </c>
      <c r="F4011" t="s">
        <v>1909</v>
      </c>
      <c r="G4011" s="554">
        <v>4320</v>
      </c>
      <c r="H4011">
        <v>26.000978399999997</v>
      </c>
    </row>
    <row r="4012" spans="2:8">
      <c r="B4012" s="555" t="s">
        <v>2373</v>
      </c>
      <c r="C4012" s="555" t="str">
        <f>VLOOKUP(D4012,기본!$D$13:$E$74,2,0)</f>
        <v>코웨이</v>
      </c>
      <c r="D4012" t="s">
        <v>1905</v>
      </c>
      <c r="E4012" t="s">
        <v>2165</v>
      </c>
      <c r="F4012" t="s">
        <v>2165</v>
      </c>
      <c r="G4012" s="554">
        <v>3590</v>
      </c>
      <c r="H4012">
        <v>23.5327731</v>
      </c>
    </row>
    <row r="4013" spans="2:8">
      <c r="B4013" s="555" t="s">
        <v>2373</v>
      </c>
      <c r="C4013" s="555" t="str">
        <f>VLOOKUP(D4013,기본!$D$13:$E$74,2,0)</f>
        <v>코웨이</v>
      </c>
      <c r="D4013" t="s">
        <v>1905</v>
      </c>
      <c r="E4013" t="s">
        <v>1910</v>
      </c>
      <c r="F4013" t="s">
        <v>1910</v>
      </c>
      <c r="G4013" s="554">
        <v>7200</v>
      </c>
      <c r="H4013">
        <v>46.254911039999996</v>
      </c>
    </row>
    <row r="4014" spans="2:8">
      <c r="B4014" s="555" t="s">
        <v>2373</v>
      </c>
      <c r="C4014" s="555" t="str">
        <f>VLOOKUP(D4014,기본!$D$13:$E$74,2,0)</f>
        <v>코웨이</v>
      </c>
      <c r="D4014" t="s">
        <v>1905</v>
      </c>
      <c r="E4014" t="s">
        <v>2341</v>
      </c>
      <c r="F4014" t="s">
        <v>2341</v>
      </c>
      <c r="G4014" s="554">
        <v>242</v>
      </c>
      <c r="H4014">
        <v>2.3080573339999999</v>
      </c>
    </row>
    <row r="4015" spans="2:8">
      <c r="B4015" s="555" t="s">
        <v>2373</v>
      </c>
      <c r="C4015" s="555" t="str">
        <f>VLOOKUP(D4015,기본!$D$13:$E$74,2,0)</f>
        <v>삼성 VD</v>
      </c>
      <c r="D4015" t="s">
        <v>1912</v>
      </c>
      <c r="E4015" t="s">
        <v>1165</v>
      </c>
      <c r="F4015" t="s">
        <v>1882</v>
      </c>
      <c r="G4015" s="554">
        <v>396</v>
      </c>
      <c r="H4015">
        <v>11.979413028000002</v>
      </c>
    </row>
    <row r="4016" spans="2:8">
      <c r="B4016" s="555" t="s">
        <v>2373</v>
      </c>
      <c r="C4016" s="555" t="str">
        <f>VLOOKUP(D4016,기본!$D$13:$E$74,2,0)</f>
        <v>삼성 VD</v>
      </c>
      <c r="D4016" t="s">
        <v>1912</v>
      </c>
      <c r="E4016" t="s">
        <v>1853</v>
      </c>
      <c r="F4016" t="s">
        <v>1854</v>
      </c>
      <c r="G4016" s="554">
        <v>1440</v>
      </c>
      <c r="H4016">
        <v>20.10376368</v>
      </c>
    </row>
    <row r="4017" spans="2:8">
      <c r="B4017" s="555" t="s">
        <v>2373</v>
      </c>
      <c r="C4017" s="555" t="str">
        <f>VLOOKUP(D4017,기본!$D$13:$E$74,2,0)</f>
        <v>삼성 VD</v>
      </c>
      <c r="D4017" t="s">
        <v>1912</v>
      </c>
      <c r="E4017" t="s">
        <v>1788</v>
      </c>
      <c r="F4017" t="s">
        <v>1913</v>
      </c>
      <c r="G4017" s="554">
        <v>51936</v>
      </c>
      <c r="H4017">
        <v>621.41627183999992</v>
      </c>
    </row>
    <row r="4018" spans="2:8">
      <c r="B4018" s="555" t="s">
        <v>2373</v>
      </c>
      <c r="C4018" s="555" t="str">
        <f>VLOOKUP(D4018,기본!$D$13:$E$74,2,0)</f>
        <v>삼성 VD</v>
      </c>
      <c r="D4018" t="s">
        <v>1912</v>
      </c>
      <c r="E4018" t="s">
        <v>1790</v>
      </c>
      <c r="F4018" t="s">
        <v>1914</v>
      </c>
      <c r="G4018" s="554">
        <v>12906</v>
      </c>
      <c r="H4018">
        <v>173.43277693199997</v>
      </c>
    </row>
    <row r="4019" spans="2:8">
      <c r="B4019" s="555" t="s">
        <v>2373</v>
      </c>
      <c r="C4019" s="555" t="str">
        <f>VLOOKUP(D4019,기본!$D$13:$E$74,2,0)</f>
        <v>삼성 VD</v>
      </c>
      <c r="D4019" t="s">
        <v>1912</v>
      </c>
      <c r="E4019" t="s">
        <v>1792</v>
      </c>
      <c r="F4019" t="s">
        <v>1915</v>
      </c>
      <c r="G4019" s="554">
        <v>14406</v>
      </c>
      <c r="H4019">
        <v>252.51961477200001</v>
      </c>
    </row>
    <row r="4020" spans="2:8">
      <c r="B4020" s="555" t="s">
        <v>2373</v>
      </c>
      <c r="C4020" s="555" t="str">
        <f>VLOOKUP(D4020,기본!$D$13:$E$74,2,0)</f>
        <v>삼성 VD</v>
      </c>
      <c r="D4020" t="s">
        <v>1912</v>
      </c>
      <c r="E4020" t="s">
        <v>1923</v>
      </c>
      <c r="F4020" t="s">
        <v>1924</v>
      </c>
      <c r="G4020" s="554">
        <v>3410</v>
      </c>
      <c r="H4020">
        <v>15.694559099999999</v>
      </c>
    </row>
    <row r="4021" spans="2:8">
      <c r="B4021" s="555" t="s">
        <v>2373</v>
      </c>
      <c r="C4021" s="555" t="str">
        <f>VLOOKUP(D4021,기본!$D$13:$E$74,2,0)</f>
        <v>삼성 VD</v>
      </c>
      <c r="D4021" t="s">
        <v>1912</v>
      </c>
      <c r="E4021" t="s">
        <v>1925</v>
      </c>
      <c r="F4021" t="s">
        <v>1926</v>
      </c>
      <c r="G4021" s="554">
        <v>42</v>
      </c>
      <c r="H4021">
        <v>0.355564818</v>
      </c>
    </row>
    <row r="4022" spans="2:8">
      <c r="B4022" s="555" t="s">
        <v>2373</v>
      </c>
      <c r="C4022" s="555" t="str">
        <f>VLOOKUP(D4022,기본!$D$13:$E$74,2,0)</f>
        <v>삼성 VD</v>
      </c>
      <c r="D4022" t="s">
        <v>1916</v>
      </c>
      <c r="E4022" t="s">
        <v>1165</v>
      </c>
      <c r="F4022" t="s">
        <v>1882</v>
      </c>
      <c r="G4022" s="554">
        <v>210</v>
      </c>
      <c r="H4022">
        <v>6.7143780900000012</v>
      </c>
    </row>
    <row r="4023" spans="2:8">
      <c r="B4023" s="555" t="s">
        <v>2373</v>
      </c>
      <c r="C4023" s="555" t="str">
        <f>VLOOKUP(D4023,기본!$D$13:$E$74,2,0)</f>
        <v>삼성 VD</v>
      </c>
      <c r="D4023" t="s">
        <v>1916</v>
      </c>
      <c r="E4023" t="s">
        <v>1164</v>
      </c>
      <c r="F4023" t="s">
        <v>1850</v>
      </c>
      <c r="G4023" s="554">
        <v>864</v>
      </c>
      <c r="H4023">
        <v>25.042703039999999</v>
      </c>
    </row>
    <row r="4024" spans="2:8">
      <c r="B4024" s="555" t="s">
        <v>2373</v>
      </c>
      <c r="C4024" s="555" t="str">
        <f>VLOOKUP(D4024,기본!$D$13:$E$74,2,0)</f>
        <v>삼성 VD</v>
      </c>
      <c r="D4024" t="s">
        <v>1916</v>
      </c>
      <c r="E4024" t="s">
        <v>1851</v>
      </c>
      <c r="F4024" t="s">
        <v>1852</v>
      </c>
      <c r="G4024" s="554">
        <v>1504</v>
      </c>
      <c r="H4024">
        <v>11.411100672</v>
      </c>
    </row>
    <row r="4025" spans="2:8">
      <c r="B4025" s="555" t="s">
        <v>2373</v>
      </c>
      <c r="C4025" s="555" t="str">
        <f>VLOOKUP(D4025,기본!$D$13:$E$74,2,0)</f>
        <v>삼성 VD</v>
      </c>
      <c r="D4025" t="s">
        <v>1916</v>
      </c>
      <c r="E4025" t="s">
        <v>1853</v>
      </c>
      <c r="F4025" t="s">
        <v>1854</v>
      </c>
      <c r="G4025" s="554">
        <v>150</v>
      </c>
      <c r="H4025">
        <v>2.0941420499999999</v>
      </c>
    </row>
    <row r="4026" spans="2:8">
      <c r="B4026" s="555" t="s">
        <v>2373</v>
      </c>
      <c r="C4026" s="555" t="str">
        <f>VLOOKUP(D4026,기본!$D$13:$E$74,2,0)</f>
        <v>삼성 VD</v>
      </c>
      <c r="D4026" t="s">
        <v>1916</v>
      </c>
      <c r="E4026" t="s">
        <v>1855</v>
      </c>
      <c r="F4026" t="s">
        <v>1856</v>
      </c>
      <c r="G4026" s="554">
        <v>115</v>
      </c>
      <c r="H4026">
        <v>1.6423987200000003</v>
      </c>
    </row>
    <row r="4027" spans="2:8">
      <c r="B4027" s="555" t="s">
        <v>2373</v>
      </c>
      <c r="C4027" s="555" t="str">
        <f>VLOOKUP(D4027,기본!$D$13:$E$74,2,0)</f>
        <v>삼성 VD</v>
      </c>
      <c r="D4027" t="s">
        <v>1916</v>
      </c>
      <c r="E4027" t="s">
        <v>1874</v>
      </c>
      <c r="F4027" t="s">
        <v>1875</v>
      </c>
      <c r="G4027" s="554">
        <v>276</v>
      </c>
      <c r="H4027">
        <v>4.2766522919999996</v>
      </c>
    </row>
    <row r="4028" spans="2:8">
      <c r="B4028" s="555" t="s">
        <v>2373</v>
      </c>
      <c r="C4028" s="555" t="str">
        <f>VLOOKUP(D4028,기본!$D$13:$E$74,2,0)</f>
        <v>삼성 VD</v>
      </c>
      <c r="D4028" t="s">
        <v>1916</v>
      </c>
      <c r="E4028" t="s">
        <v>2260</v>
      </c>
      <c r="F4028" t="s">
        <v>1774</v>
      </c>
      <c r="G4028" s="554">
        <v>215</v>
      </c>
      <c r="H4028">
        <v>2.4706075350000001</v>
      </c>
    </row>
    <row r="4029" spans="2:8">
      <c r="B4029" s="555" t="s">
        <v>2373</v>
      </c>
      <c r="C4029" s="555" t="str">
        <f>VLOOKUP(D4029,기본!$D$13:$E$74,2,0)</f>
        <v>삼성 VD</v>
      </c>
      <c r="D4029" t="s">
        <v>1916</v>
      </c>
      <c r="E4029" t="s">
        <v>1788</v>
      </c>
      <c r="F4029" t="s">
        <v>1913</v>
      </c>
      <c r="G4029" s="554">
        <v>14604</v>
      </c>
      <c r="H4029">
        <v>178.56139469999999</v>
      </c>
    </row>
    <row r="4030" spans="2:8">
      <c r="B4030" s="555" t="s">
        <v>2373</v>
      </c>
      <c r="C4030" s="555" t="str">
        <f>VLOOKUP(D4030,기본!$D$13:$E$74,2,0)</f>
        <v>삼성 VD</v>
      </c>
      <c r="D4030" t="s">
        <v>1916</v>
      </c>
      <c r="E4030" t="s">
        <v>1778</v>
      </c>
      <c r="F4030" t="s">
        <v>1919</v>
      </c>
      <c r="G4030" s="554">
        <v>34704</v>
      </c>
      <c r="H4030">
        <v>463.14385056000003</v>
      </c>
    </row>
    <row r="4031" spans="2:8">
      <c r="B4031" s="555" t="s">
        <v>2373</v>
      </c>
      <c r="C4031" s="555" t="str">
        <f>VLOOKUP(D4031,기본!$D$13:$E$74,2,0)</f>
        <v>삼성 VD</v>
      </c>
      <c r="D4031" t="s">
        <v>1916</v>
      </c>
      <c r="E4031" t="s">
        <v>1790</v>
      </c>
      <c r="F4031" t="s">
        <v>1914</v>
      </c>
      <c r="G4031" s="554">
        <v>3381</v>
      </c>
      <c r="H4031">
        <v>45.203929074000001</v>
      </c>
    </row>
    <row r="4032" spans="2:8">
      <c r="B4032" s="555" t="s">
        <v>2373</v>
      </c>
      <c r="C4032" s="555" t="str">
        <f>VLOOKUP(D4032,기본!$D$13:$E$74,2,0)</f>
        <v>삼성 VD</v>
      </c>
      <c r="D4032" t="s">
        <v>1916</v>
      </c>
      <c r="E4032" t="s">
        <v>1779</v>
      </c>
      <c r="F4032" t="s">
        <v>1920</v>
      </c>
      <c r="G4032" s="554">
        <v>27662</v>
      </c>
      <c r="H4032">
        <v>406.249241488</v>
      </c>
    </row>
    <row r="4033" spans="2:8">
      <c r="B4033" s="555" t="s">
        <v>2373</v>
      </c>
      <c r="C4033" s="555" t="str">
        <f>VLOOKUP(D4033,기본!$D$13:$E$74,2,0)</f>
        <v>삼성 VD</v>
      </c>
      <c r="D4033" t="s">
        <v>1916</v>
      </c>
      <c r="E4033" t="s">
        <v>1792</v>
      </c>
      <c r="F4033" t="s">
        <v>1915</v>
      </c>
      <c r="G4033" s="554">
        <v>12792</v>
      </c>
      <c r="H4033">
        <v>222.52526731199998</v>
      </c>
    </row>
    <row r="4034" spans="2:8">
      <c r="B4034" s="555" t="s">
        <v>2373</v>
      </c>
      <c r="C4034" s="555" t="str">
        <f>VLOOKUP(D4034,기본!$D$13:$E$74,2,0)</f>
        <v>삼성 VD</v>
      </c>
      <c r="D4034" t="s">
        <v>1916</v>
      </c>
      <c r="E4034" t="s">
        <v>1921</v>
      </c>
      <c r="F4034" t="s">
        <v>1922</v>
      </c>
      <c r="G4034" s="554">
        <v>2016</v>
      </c>
      <c r="H4034">
        <v>46.741211136000004</v>
      </c>
    </row>
    <row r="4035" spans="2:8">
      <c r="B4035" s="555" t="s">
        <v>2373</v>
      </c>
      <c r="C4035" s="555" t="str">
        <f>VLOOKUP(D4035,기본!$D$13:$E$74,2,0)</f>
        <v>삼성 VD</v>
      </c>
      <c r="D4035" t="s">
        <v>1916</v>
      </c>
      <c r="E4035" t="s">
        <v>1923</v>
      </c>
      <c r="F4035" t="s">
        <v>1924</v>
      </c>
      <c r="G4035" s="554">
        <v>7436</v>
      </c>
      <c r="H4035">
        <v>34.224264359999999</v>
      </c>
    </row>
    <row r="4036" spans="2:8">
      <c r="B4036" s="555" t="s">
        <v>2373</v>
      </c>
      <c r="C4036" s="555" t="str">
        <f>VLOOKUP(D4036,기본!$D$13:$E$74,2,0)</f>
        <v>삼성 VD</v>
      </c>
      <c r="D4036" t="s">
        <v>1927</v>
      </c>
      <c r="E4036" t="s">
        <v>2119</v>
      </c>
      <c r="F4036" t="s">
        <v>2120</v>
      </c>
      <c r="G4036" s="554">
        <v>8064</v>
      </c>
      <c r="H4036">
        <v>158.886814464</v>
      </c>
    </row>
    <row r="4037" spans="2:8">
      <c r="B4037" s="555" t="s">
        <v>2373</v>
      </c>
      <c r="C4037" s="555" t="str">
        <f>VLOOKUP(D4037,기본!$D$13:$E$74,2,0)</f>
        <v>삼성 VD</v>
      </c>
      <c r="D4037" t="s">
        <v>1927</v>
      </c>
      <c r="E4037" t="s">
        <v>1165</v>
      </c>
      <c r="F4037" t="s">
        <v>1882</v>
      </c>
      <c r="G4037" s="554">
        <v>2160</v>
      </c>
      <c r="H4037">
        <v>65.342252880000004</v>
      </c>
    </row>
    <row r="4038" spans="2:8">
      <c r="B4038" s="555" t="s">
        <v>2373</v>
      </c>
      <c r="C4038" s="555" t="str">
        <f>VLOOKUP(D4038,기본!$D$13:$E$74,2,0)</f>
        <v>삼성 VD</v>
      </c>
      <c r="D4038" t="s">
        <v>1927</v>
      </c>
      <c r="E4038" t="s">
        <v>1164</v>
      </c>
      <c r="F4038" t="s">
        <v>1850</v>
      </c>
      <c r="G4038" s="554">
        <v>1080</v>
      </c>
      <c r="H4038">
        <v>29.673637199999998</v>
      </c>
    </row>
    <row r="4039" spans="2:8">
      <c r="B4039" s="555" t="s">
        <v>2373</v>
      </c>
      <c r="C4039" s="555" t="str">
        <f>VLOOKUP(D4039,기본!$D$13:$E$74,2,0)</f>
        <v>삼성 VD</v>
      </c>
      <c r="D4039" t="s">
        <v>1927</v>
      </c>
      <c r="E4039" t="s">
        <v>1851</v>
      </c>
      <c r="F4039" t="s">
        <v>1852</v>
      </c>
      <c r="G4039" s="554">
        <v>576</v>
      </c>
      <c r="H4039">
        <v>4.3702087680000004</v>
      </c>
    </row>
    <row r="4040" spans="2:8">
      <c r="B4040" s="555" t="s">
        <v>2373</v>
      </c>
      <c r="C4040" s="555" t="str">
        <f>VLOOKUP(D4040,기본!$D$13:$E$74,2,0)</f>
        <v>삼성 VD</v>
      </c>
      <c r="D4040" t="s">
        <v>1927</v>
      </c>
      <c r="E4040" t="s">
        <v>1917</v>
      </c>
      <c r="F4040" t="s">
        <v>1918</v>
      </c>
      <c r="G4040" s="554">
        <v>368</v>
      </c>
      <c r="H4040">
        <v>3.4446768799999994</v>
      </c>
    </row>
    <row r="4041" spans="2:8">
      <c r="B4041" s="555" t="s">
        <v>2373</v>
      </c>
      <c r="C4041" s="555" t="str">
        <f>VLOOKUP(D4041,기본!$D$13:$E$74,2,0)</f>
        <v>삼성 VD</v>
      </c>
      <c r="D4041" t="s">
        <v>1927</v>
      </c>
      <c r="E4041" t="s">
        <v>1853</v>
      </c>
      <c r="F4041" t="s">
        <v>1854</v>
      </c>
      <c r="G4041" s="554">
        <v>510</v>
      </c>
      <c r="H4041">
        <v>7.2631458899999988</v>
      </c>
    </row>
    <row r="4042" spans="2:8">
      <c r="B4042" s="555" t="s">
        <v>2373</v>
      </c>
      <c r="C4042" s="555" t="str">
        <f>VLOOKUP(D4042,기본!$D$13:$E$74,2,0)</f>
        <v>삼성 VD</v>
      </c>
      <c r="D4042" t="s">
        <v>1927</v>
      </c>
      <c r="E4042" t="s">
        <v>1855</v>
      </c>
      <c r="F4042" t="s">
        <v>1856</v>
      </c>
      <c r="G4042" s="554">
        <v>713</v>
      </c>
      <c r="H4042">
        <v>10.444676096</v>
      </c>
    </row>
    <row r="4043" spans="2:8">
      <c r="B4043" s="555" t="s">
        <v>2373</v>
      </c>
      <c r="C4043" s="555" t="str">
        <f>VLOOKUP(D4043,기본!$D$13:$E$74,2,0)</f>
        <v>삼성 VD</v>
      </c>
      <c r="D4043" t="s">
        <v>1927</v>
      </c>
      <c r="E4043" t="s">
        <v>1874</v>
      </c>
      <c r="F4043" t="s">
        <v>1875</v>
      </c>
      <c r="G4043" s="554">
        <v>1403</v>
      </c>
      <c r="H4043">
        <v>22.977283152999998</v>
      </c>
    </row>
    <row r="4044" spans="2:8">
      <c r="B4044" s="555" t="s">
        <v>2373</v>
      </c>
      <c r="C4044" s="555" t="str">
        <f>VLOOKUP(D4044,기본!$D$13:$E$74,2,0)</f>
        <v>삼성 VD</v>
      </c>
      <c r="D4044" t="s">
        <v>1927</v>
      </c>
      <c r="E4044" t="s">
        <v>1928</v>
      </c>
      <c r="F4044" t="s">
        <v>1929</v>
      </c>
      <c r="G4044" s="554">
        <v>2160</v>
      </c>
      <c r="H4044">
        <v>22.470350400000001</v>
      </c>
    </row>
    <row r="4045" spans="2:8">
      <c r="B4045" s="555" t="s">
        <v>2373</v>
      </c>
      <c r="C4045" s="555" t="str">
        <f>VLOOKUP(D4045,기본!$D$13:$E$74,2,0)</f>
        <v>삼성 VD</v>
      </c>
      <c r="D4045" t="s">
        <v>1927</v>
      </c>
      <c r="E4045" t="s">
        <v>1036</v>
      </c>
      <c r="F4045" t="s">
        <v>1035</v>
      </c>
      <c r="G4045" s="554">
        <v>90</v>
      </c>
      <c r="H4045">
        <v>1.0480851</v>
      </c>
    </row>
    <row r="4046" spans="2:8">
      <c r="B4046" s="555" t="s">
        <v>2373</v>
      </c>
      <c r="C4046" s="555" t="str">
        <f>VLOOKUP(D4046,기본!$D$13:$E$74,2,0)</f>
        <v>삼성 VD</v>
      </c>
      <c r="D4046" t="s">
        <v>1927</v>
      </c>
      <c r="E4046" t="s">
        <v>1859</v>
      </c>
      <c r="F4046" t="s">
        <v>1860</v>
      </c>
      <c r="G4046" s="554">
        <v>3456</v>
      </c>
      <c r="H4046">
        <v>64.581406912999995</v>
      </c>
    </row>
    <row r="4047" spans="2:8">
      <c r="B4047" s="555" t="s">
        <v>2373</v>
      </c>
      <c r="C4047" s="555" t="str">
        <f>VLOOKUP(D4047,기본!$D$13:$E$74,2,0)</f>
        <v>삼성 VD</v>
      </c>
      <c r="D4047" t="s">
        <v>1927</v>
      </c>
      <c r="E4047" t="s">
        <v>1309</v>
      </c>
      <c r="F4047" t="s">
        <v>1308</v>
      </c>
      <c r="G4047" s="554">
        <v>4608</v>
      </c>
      <c r="H4047">
        <v>104.87858457600001</v>
      </c>
    </row>
    <row r="4048" spans="2:8">
      <c r="B4048" s="555" t="s">
        <v>2373</v>
      </c>
      <c r="C4048" s="555" t="str">
        <f>VLOOKUP(D4048,기본!$D$13:$E$74,2,0)</f>
        <v>삼성 VD</v>
      </c>
      <c r="D4048" t="s">
        <v>1927</v>
      </c>
      <c r="E4048" t="s">
        <v>1311</v>
      </c>
      <c r="F4048" t="s">
        <v>1310</v>
      </c>
      <c r="G4048" s="554">
        <v>576</v>
      </c>
      <c r="H4048">
        <v>14.499686879999999</v>
      </c>
    </row>
    <row r="4049" spans="2:8">
      <c r="B4049" s="555" t="s">
        <v>2373</v>
      </c>
      <c r="C4049" s="555" t="str">
        <f>VLOOKUP(D4049,기본!$D$13:$E$74,2,0)</f>
        <v>삼성 VD</v>
      </c>
      <c r="D4049" t="s">
        <v>1927</v>
      </c>
      <c r="E4049" t="s">
        <v>1313</v>
      </c>
      <c r="F4049" t="s">
        <v>1312</v>
      </c>
      <c r="G4049" s="554">
        <v>576</v>
      </c>
      <c r="H4049">
        <v>12.925856448000001</v>
      </c>
    </row>
    <row r="4050" spans="2:8">
      <c r="B4050" s="555" t="s">
        <v>2373</v>
      </c>
      <c r="C4050" s="555" t="str">
        <f>VLOOKUP(D4050,기본!$D$13:$E$74,2,0)</f>
        <v>삼성 VD</v>
      </c>
      <c r="D4050" t="s">
        <v>1927</v>
      </c>
      <c r="E4050" t="s">
        <v>1865</v>
      </c>
      <c r="F4050" t="s">
        <v>1866</v>
      </c>
      <c r="G4050" s="554">
        <v>10740</v>
      </c>
      <c r="H4050">
        <v>442.43394120000005</v>
      </c>
    </row>
    <row r="4051" spans="2:8">
      <c r="B4051" s="555" t="s">
        <v>2373</v>
      </c>
      <c r="C4051" s="555" t="str">
        <f>VLOOKUP(D4051,기본!$D$13:$E$74,2,0)</f>
        <v>삼성 VD</v>
      </c>
      <c r="D4051" t="s">
        <v>1927</v>
      </c>
      <c r="E4051" t="s">
        <v>1932</v>
      </c>
      <c r="F4051" t="s">
        <v>1933</v>
      </c>
      <c r="G4051" s="554">
        <v>5400</v>
      </c>
      <c r="H4051">
        <v>91.766895840000004</v>
      </c>
    </row>
    <row r="4052" spans="2:8">
      <c r="B4052" s="555" t="s">
        <v>2373</v>
      </c>
      <c r="C4052" s="555" t="str">
        <f>VLOOKUP(D4052,기본!$D$13:$E$74,2,0)</f>
        <v>삼성 VD</v>
      </c>
      <c r="D4052" t="s">
        <v>1927</v>
      </c>
      <c r="E4052" t="s">
        <v>2272</v>
      </c>
      <c r="F4052" t="s">
        <v>1785</v>
      </c>
      <c r="G4052" s="554">
        <v>21271</v>
      </c>
      <c r="H4052">
        <v>245.97691124100004</v>
      </c>
    </row>
    <row r="4053" spans="2:8">
      <c r="B4053" s="555" t="s">
        <v>2373</v>
      </c>
      <c r="C4053" s="555" t="str">
        <f>VLOOKUP(D4053,기본!$D$13:$E$74,2,0)</f>
        <v>삼성 VD</v>
      </c>
      <c r="D4053" t="s">
        <v>1927</v>
      </c>
      <c r="E4053" t="s">
        <v>2337</v>
      </c>
      <c r="F4053" t="s">
        <v>2267</v>
      </c>
      <c r="G4053" s="554">
        <v>59829</v>
      </c>
      <c r="H4053">
        <v>317.55579470999999</v>
      </c>
    </row>
    <row r="4054" spans="2:8">
      <c r="B4054" s="555" t="s">
        <v>2373</v>
      </c>
      <c r="C4054" s="555" t="str">
        <f>VLOOKUP(D4054,기본!$D$13:$E$74,2,0)</f>
        <v>삼성 VD</v>
      </c>
      <c r="D4054" t="s">
        <v>1927</v>
      </c>
      <c r="E4054" t="s">
        <v>1936</v>
      </c>
      <c r="F4054" t="s">
        <v>1937</v>
      </c>
      <c r="G4054" s="554">
        <v>138</v>
      </c>
      <c r="H4054">
        <v>0.78334720200000019</v>
      </c>
    </row>
    <row r="4055" spans="2:8">
      <c r="B4055" s="555" t="s">
        <v>2373</v>
      </c>
      <c r="C4055" s="555" t="str">
        <f>VLOOKUP(D4055,기본!$D$13:$E$74,2,0)</f>
        <v>삼성 VD</v>
      </c>
      <c r="D4055" t="s">
        <v>1927</v>
      </c>
      <c r="E4055" t="s">
        <v>1923</v>
      </c>
      <c r="F4055" t="s">
        <v>1924</v>
      </c>
      <c r="G4055" s="554">
        <v>1738</v>
      </c>
      <c r="H4055">
        <v>7.9991623799999996</v>
      </c>
    </row>
    <row r="4056" spans="2:8">
      <c r="B4056" s="555" t="s">
        <v>2373</v>
      </c>
      <c r="C4056" s="555" t="str">
        <f>VLOOKUP(D4056,기본!$D$13:$E$74,2,0)</f>
        <v>삼성 VD</v>
      </c>
      <c r="D4056" t="s">
        <v>1927</v>
      </c>
      <c r="E4056" t="s">
        <v>1938</v>
      </c>
      <c r="F4056" t="s">
        <v>1939</v>
      </c>
      <c r="G4056" s="554">
        <v>550</v>
      </c>
      <c r="H4056">
        <v>3.0836816999999992</v>
      </c>
    </row>
    <row r="4057" spans="2:8">
      <c r="B4057" s="555" t="s">
        <v>2373</v>
      </c>
      <c r="C4057" s="555" t="str">
        <f>VLOOKUP(D4057,기본!$D$13:$E$74,2,0)</f>
        <v>삼성 VD</v>
      </c>
      <c r="D4057" t="s">
        <v>1927</v>
      </c>
      <c r="E4057" t="s">
        <v>1940</v>
      </c>
      <c r="F4057" t="s">
        <v>1941</v>
      </c>
      <c r="G4057" s="554">
        <v>243</v>
      </c>
      <c r="H4057">
        <v>3.4781831730000001</v>
      </c>
    </row>
    <row r="4058" spans="2:8">
      <c r="B4058" s="555" t="s">
        <v>2373</v>
      </c>
      <c r="C4058" s="555" t="str">
        <f>VLOOKUP(D4058,기본!$D$13:$E$74,2,0)</f>
        <v>삼성 VD</v>
      </c>
      <c r="D4058" t="s">
        <v>1927</v>
      </c>
      <c r="E4058" t="s">
        <v>1925</v>
      </c>
      <c r="F4058" t="s">
        <v>1926</v>
      </c>
      <c r="G4058" s="554">
        <v>2436</v>
      </c>
      <c r="H4058">
        <v>20.622759444000003</v>
      </c>
    </row>
    <row r="4059" spans="2:8">
      <c r="B4059" s="555" t="s">
        <v>2373</v>
      </c>
      <c r="C4059" s="555" t="str">
        <f>VLOOKUP(D4059,기본!$D$13:$E$74,2,0)</f>
        <v>삼성 VD</v>
      </c>
      <c r="D4059" t="s">
        <v>1927</v>
      </c>
      <c r="E4059" t="s">
        <v>709</v>
      </c>
      <c r="F4059" t="s">
        <v>1869</v>
      </c>
      <c r="G4059" s="554">
        <v>71280</v>
      </c>
      <c r="H4059">
        <v>255.45286799999997</v>
      </c>
    </row>
    <row r="4060" spans="2:8">
      <c r="B4060" s="555" t="s">
        <v>2373</v>
      </c>
      <c r="C4060" s="555" t="str">
        <f>VLOOKUP(D4060,기본!$D$13:$E$74,2,0)</f>
        <v>삼성 VD</v>
      </c>
      <c r="D4060" t="s">
        <v>1927</v>
      </c>
      <c r="E4060" t="s">
        <v>710</v>
      </c>
      <c r="F4060" t="s">
        <v>1947</v>
      </c>
      <c r="G4060" s="554">
        <v>24288</v>
      </c>
      <c r="H4060">
        <v>113.360414112</v>
      </c>
    </row>
    <row r="4061" spans="2:8">
      <c r="B4061" s="555" t="s">
        <v>2373</v>
      </c>
      <c r="C4061" s="555" t="str">
        <f>VLOOKUP(D4061,기본!$D$13:$E$74,2,0)</f>
        <v>삼성 VD</v>
      </c>
      <c r="D4061" t="s">
        <v>1927</v>
      </c>
      <c r="E4061" t="s">
        <v>1157</v>
      </c>
      <c r="F4061" t="s">
        <v>1887</v>
      </c>
      <c r="G4061" s="554">
        <v>653</v>
      </c>
      <c r="H4061">
        <v>3.3533712959999997</v>
      </c>
    </row>
    <row r="4062" spans="2:8">
      <c r="B4062" s="555" t="s">
        <v>2373</v>
      </c>
      <c r="C4062" s="555" t="str">
        <f>VLOOKUP(D4062,기본!$D$13:$E$74,2,0)</f>
        <v>삼성 VD</v>
      </c>
      <c r="D4062" t="s">
        <v>1927</v>
      </c>
      <c r="E4062" t="s">
        <v>2235</v>
      </c>
      <c r="F4062" t="s">
        <v>2236</v>
      </c>
      <c r="G4062" s="554">
        <v>6336</v>
      </c>
      <c r="H4062">
        <v>30.818608128000001</v>
      </c>
    </row>
    <row r="4063" spans="2:8">
      <c r="B4063" s="555" t="s">
        <v>2373</v>
      </c>
      <c r="C4063" s="555" t="str">
        <f>VLOOKUP(D4063,기본!$D$13:$E$74,2,0)</f>
        <v>삼성 생활가전</v>
      </c>
      <c r="D4063" t="s">
        <v>1942</v>
      </c>
      <c r="E4063" t="s">
        <v>1943</v>
      </c>
      <c r="F4063" t="s">
        <v>1943</v>
      </c>
      <c r="G4063" s="554">
        <v>20736</v>
      </c>
      <c r="H4063">
        <v>161.90612351999999</v>
      </c>
    </row>
    <row r="4064" spans="2:8">
      <c r="B4064" s="555" t="s">
        <v>2373</v>
      </c>
      <c r="C4064" s="555" t="str">
        <f>VLOOKUP(D4064,기본!$D$13:$E$74,2,0)</f>
        <v>삼성 생활가전</v>
      </c>
      <c r="D4064" t="s">
        <v>1942</v>
      </c>
      <c r="E4064" t="s">
        <v>2273</v>
      </c>
      <c r="F4064" t="s">
        <v>2273</v>
      </c>
      <c r="G4064" s="554">
        <v>1620</v>
      </c>
      <c r="H4064">
        <v>12.996590400000001</v>
      </c>
    </row>
    <row r="4065" spans="2:8">
      <c r="B4065" s="555" t="s">
        <v>2373</v>
      </c>
      <c r="C4065" s="555" t="str">
        <f>VLOOKUP(D4065,기본!$D$13:$E$74,2,0)</f>
        <v>삼성 생활가전</v>
      </c>
      <c r="D4065" t="s">
        <v>1942</v>
      </c>
      <c r="E4065" t="s">
        <v>1944</v>
      </c>
      <c r="F4065" t="s">
        <v>1944</v>
      </c>
      <c r="G4065" s="554">
        <v>192</v>
      </c>
      <c r="H4065">
        <v>1.5509222399999998</v>
      </c>
    </row>
    <row r="4066" spans="2:8">
      <c r="B4066" s="555" t="s">
        <v>2373</v>
      </c>
      <c r="C4066" s="555" t="str">
        <f>VLOOKUP(D4066,기본!$D$13:$E$74,2,0)</f>
        <v>삼성 생활가전</v>
      </c>
      <c r="D4066" t="s">
        <v>1942</v>
      </c>
      <c r="E4066" t="s">
        <v>2237</v>
      </c>
      <c r="F4066" t="s">
        <v>2237</v>
      </c>
      <c r="G4066" s="554">
        <v>384</v>
      </c>
      <c r="H4066">
        <v>2.9520288000000003</v>
      </c>
    </row>
    <row r="4067" spans="2:8">
      <c r="B4067" s="555" t="s">
        <v>2373</v>
      </c>
      <c r="C4067" s="555" t="str">
        <f>VLOOKUP(D4067,기본!$D$13:$E$74,2,0)</f>
        <v>삼성 생활가전</v>
      </c>
      <c r="D4067" t="s">
        <v>1942</v>
      </c>
      <c r="E4067" t="s">
        <v>2274</v>
      </c>
      <c r="F4067" t="s">
        <v>2274</v>
      </c>
      <c r="G4067" s="554">
        <v>4320</v>
      </c>
      <c r="H4067">
        <v>34.912892159999998</v>
      </c>
    </row>
    <row r="4068" spans="2:8">
      <c r="B4068" s="555" t="s">
        <v>2373</v>
      </c>
      <c r="C4068" s="555" t="str">
        <f>VLOOKUP(D4068,기본!$D$13:$E$74,2,0)</f>
        <v>삼성 생활가전</v>
      </c>
      <c r="D4068" t="s">
        <v>1942</v>
      </c>
      <c r="E4068" t="s">
        <v>2344</v>
      </c>
      <c r="F4068" t="s">
        <v>2344</v>
      </c>
      <c r="G4068" s="554">
        <v>576</v>
      </c>
      <c r="H4068">
        <v>5.0379839999999998</v>
      </c>
    </row>
    <row r="4069" spans="2:8">
      <c r="B4069" s="555" t="s">
        <v>2373</v>
      </c>
      <c r="C4069" s="555" t="str">
        <f>VLOOKUP(D4069,기본!$D$13:$E$74,2,0)</f>
        <v>삼성 생활가전</v>
      </c>
      <c r="D4069" t="s">
        <v>1942</v>
      </c>
      <c r="E4069" t="s">
        <v>1945</v>
      </c>
      <c r="F4069" t="s">
        <v>1945</v>
      </c>
      <c r="G4069" s="554">
        <v>20736</v>
      </c>
      <c r="H4069">
        <v>177.79216896000003</v>
      </c>
    </row>
    <row r="4070" spans="2:8">
      <c r="B4070" s="555" t="s">
        <v>2373</v>
      </c>
      <c r="C4070" s="555" t="str">
        <f>VLOOKUP(D4070,기본!$D$13:$E$74,2,0)</f>
        <v>삼성 생활가전</v>
      </c>
      <c r="D4070" t="s">
        <v>1942</v>
      </c>
      <c r="E4070" t="s">
        <v>2264</v>
      </c>
      <c r="F4070" t="s">
        <v>2264</v>
      </c>
      <c r="G4070" s="554">
        <v>180</v>
      </c>
      <c r="H4070">
        <v>1.5062759999999999</v>
      </c>
    </row>
    <row r="4071" spans="2:8">
      <c r="B4071" s="555" t="s">
        <v>2373</v>
      </c>
      <c r="C4071" s="555" t="str">
        <f>VLOOKUP(D4071,기본!$D$13:$E$74,2,0)</f>
        <v>삼성 생활가전</v>
      </c>
      <c r="D4071" t="s">
        <v>1942</v>
      </c>
      <c r="E4071" t="s">
        <v>1975</v>
      </c>
      <c r="F4071" t="s">
        <v>1975</v>
      </c>
      <c r="G4071" s="554">
        <v>5376</v>
      </c>
      <c r="H4071">
        <v>48.510823680000009</v>
      </c>
    </row>
    <row r="4072" spans="2:8">
      <c r="B4072" s="555" t="s">
        <v>2373</v>
      </c>
      <c r="C4072" s="555" t="str">
        <f>VLOOKUP(D4072,기본!$D$13:$E$74,2,0)</f>
        <v>삼성 생활가전</v>
      </c>
      <c r="D4072" t="s">
        <v>1942</v>
      </c>
      <c r="E4072" t="s">
        <v>2265</v>
      </c>
      <c r="F4072" t="s">
        <v>2265</v>
      </c>
      <c r="G4072" s="554">
        <v>1440</v>
      </c>
      <c r="H4072">
        <v>12.619951200000003</v>
      </c>
    </row>
    <row r="4073" spans="2:8">
      <c r="B4073" s="555" t="s">
        <v>2373</v>
      </c>
      <c r="C4073" s="555" t="str">
        <f>VLOOKUP(D4073,기본!$D$13:$E$74,2,0)</f>
        <v>삼성 VD</v>
      </c>
      <c r="D4073" t="s">
        <v>1946</v>
      </c>
      <c r="E4073" t="s">
        <v>1165</v>
      </c>
      <c r="F4073" t="s">
        <v>1882</v>
      </c>
      <c r="G4073" s="554">
        <v>12</v>
      </c>
      <c r="H4073">
        <v>0.36944143200000007</v>
      </c>
    </row>
    <row r="4074" spans="2:8">
      <c r="B4074" s="555" t="s">
        <v>2373</v>
      </c>
      <c r="C4074" s="555" t="str">
        <f>VLOOKUP(D4074,기본!$D$13:$E$74,2,0)</f>
        <v>삼성 VD</v>
      </c>
      <c r="D4074" t="s">
        <v>1946</v>
      </c>
      <c r="E4074" t="s">
        <v>1164</v>
      </c>
      <c r="F4074" t="s">
        <v>1850</v>
      </c>
      <c r="G4074" s="554">
        <v>30</v>
      </c>
      <c r="H4074">
        <v>0.83010677999999993</v>
      </c>
    </row>
    <row r="4075" spans="2:8">
      <c r="B4075" s="555" t="s">
        <v>2373</v>
      </c>
      <c r="C4075" s="555" t="str">
        <f>VLOOKUP(D4075,기본!$D$13:$E$74,2,0)</f>
        <v>삼성 VD</v>
      </c>
      <c r="D4075" t="s">
        <v>1946</v>
      </c>
      <c r="E4075" t="s">
        <v>1777</v>
      </c>
      <c r="F4075" t="s">
        <v>1672</v>
      </c>
      <c r="G4075" s="554">
        <v>144</v>
      </c>
      <c r="H4075">
        <v>1.6649370719999996</v>
      </c>
    </row>
    <row r="4076" spans="2:8">
      <c r="B4076" s="555" t="s">
        <v>2373</v>
      </c>
      <c r="C4076" s="555" t="str">
        <f>VLOOKUP(D4076,기본!$D$13:$E$74,2,0)</f>
        <v>삼성 VD</v>
      </c>
      <c r="D4076" t="s">
        <v>1946</v>
      </c>
      <c r="E4076" t="s">
        <v>1778</v>
      </c>
      <c r="F4076" t="s">
        <v>1919</v>
      </c>
      <c r="G4076" s="554">
        <v>7020</v>
      </c>
      <c r="H4076">
        <v>92.434670640000007</v>
      </c>
    </row>
    <row r="4077" spans="2:8">
      <c r="B4077" s="555" t="s">
        <v>2373</v>
      </c>
      <c r="C4077" s="555" t="str">
        <f>VLOOKUP(D4077,기본!$D$13:$E$74,2,0)</f>
        <v>삼성 VD</v>
      </c>
      <c r="D4077" t="s">
        <v>1946</v>
      </c>
      <c r="E4077" t="s">
        <v>1779</v>
      </c>
      <c r="F4077" t="s">
        <v>1920</v>
      </c>
      <c r="G4077" s="554">
        <v>1584</v>
      </c>
      <c r="H4077">
        <v>23.152466304000001</v>
      </c>
    </row>
    <row r="4078" spans="2:8">
      <c r="B4078" s="555" t="s">
        <v>2373</v>
      </c>
      <c r="C4078" s="555" t="str">
        <f>VLOOKUP(D4078,기본!$D$13:$E$74,2,0)</f>
        <v>삼성 VD</v>
      </c>
      <c r="D4078" t="s">
        <v>1946</v>
      </c>
      <c r="E4078" t="s">
        <v>1792</v>
      </c>
      <c r="F4078" t="s">
        <v>1915</v>
      </c>
      <c r="G4078" s="554">
        <v>1446</v>
      </c>
      <c r="H4078">
        <v>24.909703716000003</v>
      </c>
    </row>
    <row r="4079" spans="2:8">
      <c r="B4079" s="555" t="s">
        <v>2373</v>
      </c>
      <c r="C4079" s="555" t="str">
        <f>VLOOKUP(D4079,기본!$D$13:$E$74,2,0)</f>
        <v>삼성 VD</v>
      </c>
      <c r="D4079" t="s">
        <v>1946</v>
      </c>
      <c r="E4079" t="s">
        <v>1921</v>
      </c>
      <c r="F4079" t="s">
        <v>1922</v>
      </c>
      <c r="G4079" s="554">
        <v>576</v>
      </c>
      <c r="H4079">
        <v>13.183185024</v>
      </c>
    </row>
    <row r="4080" spans="2:8">
      <c r="B4080" s="555" t="s">
        <v>2373</v>
      </c>
      <c r="C4080" s="555" t="str">
        <f>VLOOKUP(D4080,기본!$D$13:$E$74,2,0)</f>
        <v>삼성 VD</v>
      </c>
      <c r="D4080" t="s">
        <v>1946</v>
      </c>
      <c r="E4080" t="s">
        <v>710</v>
      </c>
      <c r="F4080" t="s">
        <v>1947</v>
      </c>
      <c r="G4080" s="554">
        <v>2860</v>
      </c>
      <c r="H4080">
        <v>13.282843860000002</v>
      </c>
    </row>
    <row r="4081" spans="2:8">
      <c r="B4081" s="555" t="s">
        <v>2373</v>
      </c>
      <c r="C4081" s="555" t="str">
        <f>VLOOKUP(D4081,기본!$D$13:$E$74,2,0)</f>
        <v>AV JDM</v>
      </c>
      <c r="D4081" t="s">
        <v>1950</v>
      </c>
      <c r="E4081" t="s">
        <v>436</v>
      </c>
      <c r="F4081" t="s">
        <v>2168</v>
      </c>
      <c r="G4081" s="554">
        <v>10080</v>
      </c>
      <c r="H4081">
        <v>88.709614560000006</v>
      </c>
    </row>
    <row r="4082" spans="2:8">
      <c r="B4082" s="555" t="s">
        <v>2373</v>
      </c>
      <c r="C4082" s="555" t="str">
        <f>VLOOKUP(D4082,기본!$D$13:$E$74,2,0)</f>
        <v>MNT JDM</v>
      </c>
      <c r="D4082" t="s">
        <v>1951</v>
      </c>
      <c r="E4082" t="s">
        <v>709</v>
      </c>
      <c r="F4082" t="s">
        <v>2124</v>
      </c>
      <c r="G4082" s="554">
        <v>22176</v>
      </c>
      <c r="H4082">
        <v>104.230282464</v>
      </c>
    </row>
    <row r="4083" spans="2:8">
      <c r="B4083" s="555" t="s">
        <v>2373</v>
      </c>
      <c r="C4083" s="555" t="str">
        <f>VLOOKUP(D4083,기본!$D$13:$E$74,2,0)</f>
        <v>MNT JDM</v>
      </c>
      <c r="D4083" t="s">
        <v>1951</v>
      </c>
      <c r="E4083" t="s">
        <v>710</v>
      </c>
      <c r="F4083" t="s">
        <v>2169</v>
      </c>
      <c r="G4083" s="554">
        <v>12672</v>
      </c>
      <c r="H4083">
        <v>71.349028607999998</v>
      </c>
    </row>
    <row r="4084" spans="2:8">
      <c r="B4084" s="555" t="s">
        <v>2373</v>
      </c>
      <c r="C4084" s="555" t="str">
        <f>VLOOKUP(D4084,기본!$D$13:$E$74,2,0)</f>
        <v>MNT JDM</v>
      </c>
      <c r="D4084" t="s">
        <v>1951</v>
      </c>
      <c r="E4084" t="s">
        <v>1156</v>
      </c>
      <c r="F4084" t="s">
        <v>2238</v>
      </c>
      <c r="G4084" s="554">
        <v>57024</v>
      </c>
      <c r="H4084">
        <v>330.13450377599997</v>
      </c>
    </row>
    <row r="4085" spans="2:8">
      <c r="B4085" s="555" t="s">
        <v>2373</v>
      </c>
      <c r="C4085" s="555" t="str">
        <f>VLOOKUP(D4085,기본!$D$13:$E$74,2,0)</f>
        <v>HP</v>
      </c>
      <c r="D4085" t="s">
        <v>1952</v>
      </c>
      <c r="E4085" t="s">
        <v>1296</v>
      </c>
      <c r="F4085" t="s">
        <v>1292</v>
      </c>
      <c r="G4085" s="554">
        <v>768</v>
      </c>
      <c r="H4085">
        <v>21.498446592000001</v>
      </c>
    </row>
    <row r="4086" spans="2:8">
      <c r="B4086" s="555" t="s">
        <v>2373</v>
      </c>
      <c r="C4086" s="555" t="str">
        <f>VLOOKUP(D4086,기본!$D$13:$E$74,2,0)</f>
        <v>HP</v>
      </c>
      <c r="D4086" t="s">
        <v>1952</v>
      </c>
      <c r="E4086" t="s">
        <v>1297</v>
      </c>
      <c r="F4086" t="s">
        <v>1293</v>
      </c>
      <c r="G4086" s="554">
        <v>1152</v>
      </c>
      <c r="H4086">
        <v>39.450569471999998</v>
      </c>
    </row>
    <row r="4087" spans="2:8">
      <c r="B4087" s="555" t="s">
        <v>2373</v>
      </c>
      <c r="C4087" s="555" t="str">
        <f>VLOOKUP(D4087,기본!$D$13:$E$74,2,0)</f>
        <v>HP</v>
      </c>
      <c r="D4087" t="s">
        <v>1952</v>
      </c>
      <c r="E4087" t="s">
        <v>1298</v>
      </c>
      <c r="F4087" t="s">
        <v>1294</v>
      </c>
      <c r="G4087" s="554">
        <v>192</v>
      </c>
      <c r="H4087">
        <v>5.7948111359999999</v>
      </c>
    </row>
    <row r="4088" spans="2:8">
      <c r="B4088" s="555" t="s">
        <v>2373</v>
      </c>
      <c r="C4088" s="555" t="str">
        <f>VLOOKUP(D4088,기본!$D$13:$E$74,2,0)</f>
        <v>HP</v>
      </c>
      <c r="D4088" t="s">
        <v>1952</v>
      </c>
      <c r="E4088" t="s">
        <v>2240</v>
      </c>
      <c r="F4088" t="s">
        <v>2241</v>
      </c>
      <c r="G4088" s="554">
        <v>210</v>
      </c>
      <c r="H4088">
        <v>1.7377882199999999</v>
      </c>
    </row>
    <row r="4089" spans="2:8">
      <c r="B4089" s="555" t="s">
        <v>2373</v>
      </c>
      <c r="C4089" s="555" t="str">
        <f>VLOOKUP(D4089,기본!$D$13:$E$74,2,0)</f>
        <v>HP</v>
      </c>
      <c r="D4089" t="s">
        <v>1952</v>
      </c>
      <c r="E4089" t="s">
        <v>1954</v>
      </c>
      <c r="F4089" t="s">
        <v>1955</v>
      </c>
      <c r="G4089" s="554">
        <v>2240</v>
      </c>
      <c r="H4089">
        <v>29.05632576</v>
      </c>
    </row>
    <row r="4090" spans="2:8">
      <c r="B4090" s="555" t="s">
        <v>2373</v>
      </c>
      <c r="C4090" s="555" t="str">
        <f>VLOOKUP(D4090,기본!$D$13:$E$74,2,0)</f>
        <v>HP</v>
      </c>
      <c r="D4090" t="s">
        <v>1952</v>
      </c>
      <c r="E4090" t="s">
        <v>2125</v>
      </c>
      <c r="F4090" t="s">
        <v>192</v>
      </c>
      <c r="G4090" s="554">
        <v>3240</v>
      </c>
      <c r="H4090">
        <v>16.326260640000001</v>
      </c>
    </row>
    <row r="4091" spans="2:8">
      <c r="B4091" s="555" t="s">
        <v>2373</v>
      </c>
      <c r="C4091" s="555" t="str">
        <f>VLOOKUP(D4091,기본!$D$13:$E$74,2,0)</f>
        <v>HP</v>
      </c>
      <c r="D4091" t="s">
        <v>1952</v>
      </c>
      <c r="E4091" t="s">
        <v>1960</v>
      </c>
      <c r="F4091" t="s">
        <v>671</v>
      </c>
      <c r="G4091" s="554">
        <v>2160</v>
      </c>
      <c r="H4091">
        <v>17.882052479999999</v>
      </c>
    </row>
    <row r="4092" spans="2:8">
      <c r="B4092" s="555" t="s">
        <v>2373</v>
      </c>
      <c r="C4092" s="555" t="str">
        <f>VLOOKUP(D4092,기본!$D$13:$E$74,2,0)</f>
        <v>HP</v>
      </c>
      <c r="D4092" t="s">
        <v>1952</v>
      </c>
      <c r="E4092" t="s">
        <v>1961</v>
      </c>
      <c r="F4092" t="s">
        <v>1962</v>
      </c>
      <c r="G4092" s="554">
        <v>384</v>
      </c>
      <c r="H4092">
        <v>13.651546752</v>
      </c>
    </row>
    <row r="4093" spans="2:8">
      <c r="B4093" s="555" t="s">
        <v>2373</v>
      </c>
      <c r="C4093" s="555" t="str">
        <f>VLOOKUP(D4093,기본!$D$13:$E$74,2,0)</f>
        <v>HP</v>
      </c>
      <c r="D4093" t="s">
        <v>1952</v>
      </c>
      <c r="E4093" t="s">
        <v>1963</v>
      </c>
      <c r="F4093" t="s">
        <v>1964</v>
      </c>
      <c r="G4093" s="554">
        <v>12600</v>
      </c>
      <c r="H4093">
        <v>107.33510699999999</v>
      </c>
    </row>
    <row r="4094" spans="2:8">
      <c r="B4094" s="555" t="s">
        <v>2373</v>
      </c>
      <c r="C4094" s="555" t="str">
        <f>VLOOKUP(D4094,기본!$D$13:$E$74,2,0)</f>
        <v>HP</v>
      </c>
      <c r="D4094" t="s">
        <v>1952</v>
      </c>
      <c r="E4094" t="s">
        <v>2170</v>
      </c>
      <c r="F4094" t="s">
        <v>2171</v>
      </c>
      <c r="G4094" s="554">
        <v>480</v>
      </c>
      <c r="H4094">
        <v>8.6426769600000011</v>
      </c>
    </row>
    <row r="4095" spans="2:8">
      <c r="B4095" s="555" t="s">
        <v>2373</v>
      </c>
      <c r="C4095" s="555" t="str">
        <f>VLOOKUP(D4095,기본!$D$13:$E$74,2,0)</f>
        <v>HP</v>
      </c>
      <c r="D4095" t="s">
        <v>1952</v>
      </c>
      <c r="E4095" t="s">
        <v>1965</v>
      </c>
      <c r="F4095" t="s">
        <v>1966</v>
      </c>
      <c r="G4095" s="554">
        <v>560</v>
      </c>
      <c r="H4095">
        <v>8.9662473600000006</v>
      </c>
    </row>
    <row r="4096" spans="2:8">
      <c r="B4096" s="555" t="s">
        <v>2373</v>
      </c>
      <c r="C4096" s="555" t="str">
        <f>VLOOKUP(D4096,기본!$D$13:$E$74,2,0)</f>
        <v>HP</v>
      </c>
      <c r="D4096" t="s">
        <v>1952</v>
      </c>
      <c r="E4096" t="s">
        <v>2128</v>
      </c>
      <c r="F4096" t="s">
        <v>2129</v>
      </c>
      <c r="G4096" s="554">
        <v>2160</v>
      </c>
      <c r="H4096">
        <v>26.414605440000003</v>
      </c>
    </row>
    <row r="4097" spans="2:8">
      <c r="B4097" s="555" t="s">
        <v>2373</v>
      </c>
      <c r="C4097" s="555" t="str">
        <f>VLOOKUP(D4097,기본!$D$13:$E$74,2,0)</f>
        <v>HP</v>
      </c>
      <c r="D4097" t="s">
        <v>1952</v>
      </c>
      <c r="E4097" t="s">
        <v>2172</v>
      </c>
      <c r="F4097" t="s">
        <v>2173</v>
      </c>
      <c r="G4097" s="554">
        <v>504</v>
      </c>
      <c r="H4097">
        <v>19.1418192</v>
      </c>
    </row>
    <row r="4098" spans="2:8">
      <c r="B4098" s="555" t="s">
        <v>2373</v>
      </c>
      <c r="C4098" s="555" t="str">
        <f>VLOOKUP(D4098,기본!$D$13:$E$74,2,0)</f>
        <v>HP</v>
      </c>
      <c r="D4098" t="s">
        <v>1952</v>
      </c>
      <c r="E4098" t="s">
        <v>2130</v>
      </c>
      <c r="F4098" t="s">
        <v>2131</v>
      </c>
      <c r="G4098" s="554">
        <v>340</v>
      </c>
      <c r="H4098">
        <v>2.5606692</v>
      </c>
    </row>
    <row r="4099" spans="2:8">
      <c r="B4099" s="555" t="s">
        <v>2373</v>
      </c>
      <c r="C4099" s="555" t="str">
        <f>VLOOKUP(D4099,기본!$D$13:$E$74,2,0)</f>
        <v>AV JDM</v>
      </c>
      <c r="D4099" t="s">
        <v>1971</v>
      </c>
      <c r="E4099" t="s">
        <v>688</v>
      </c>
      <c r="F4099" t="s">
        <v>1521</v>
      </c>
      <c r="G4099" s="554">
        <v>7120</v>
      </c>
      <c r="H4099">
        <v>76.264427519999998</v>
      </c>
    </row>
    <row r="4100" spans="2:8">
      <c r="B4100" s="555" t="s">
        <v>2373</v>
      </c>
      <c r="C4100" s="555" t="str">
        <f>VLOOKUP(D4100,기본!$D$13:$E$74,2,0)</f>
        <v>AV JDM</v>
      </c>
      <c r="D4100" t="s">
        <v>1971</v>
      </c>
      <c r="E4100" t="s">
        <v>1889</v>
      </c>
      <c r="F4100" t="s">
        <v>1520</v>
      </c>
      <c r="G4100" s="554">
        <v>4488</v>
      </c>
      <c r="H4100">
        <v>41.1557484</v>
      </c>
    </row>
    <row r="4101" spans="2:8">
      <c r="B4101" s="555" t="s">
        <v>2373</v>
      </c>
      <c r="C4101" s="555" t="str">
        <f>VLOOKUP(D4101,기본!$D$13:$E$74,2,0)</f>
        <v>경동나비엔</v>
      </c>
      <c r="D4101" t="s">
        <v>1972</v>
      </c>
      <c r="E4101" t="s">
        <v>2299</v>
      </c>
      <c r="F4101" t="s">
        <v>2299</v>
      </c>
      <c r="G4101" s="554">
        <v>4120</v>
      </c>
      <c r="H4101">
        <v>125.248</v>
      </c>
    </row>
    <row r="4102" spans="2:8">
      <c r="B4102" s="555" t="s">
        <v>2373</v>
      </c>
      <c r="C4102" s="555" t="str">
        <f>VLOOKUP(D4102,기본!$D$13:$E$74,2,0)</f>
        <v>경동나비엔</v>
      </c>
      <c r="D4102" t="s">
        <v>1972</v>
      </c>
      <c r="E4102" t="s">
        <v>1973</v>
      </c>
      <c r="F4102" t="s">
        <v>1973</v>
      </c>
      <c r="G4102" s="554">
        <v>7920</v>
      </c>
      <c r="H4102">
        <v>240.768</v>
      </c>
    </row>
    <row r="4103" spans="2:8">
      <c r="B4103" s="555" t="s">
        <v>2373</v>
      </c>
      <c r="C4103" s="555" t="str">
        <f>VLOOKUP(D4103,기본!$D$13:$E$74,2,0)</f>
        <v>경동나비엔</v>
      </c>
      <c r="D4103" t="s">
        <v>1972</v>
      </c>
      <c r="E4103" t="s">
        <v>2242</v>
      </c>
      <c r="F4103" t="s">
        <v>2242</v>
      </c>
      <c r="G4103" s="554">
        <v>238</v>
      </c>
      <c r="H4103">
        <v>7.4969999999999999</v>
      </c>
    </row>
    <row r="4104" spans="2:8">
      <c r="B4104" s="555" t="s">
        <v>2373</v>
      </c>
      <c r="C4104" s="555" t="str">
        <f>VLOOKUP(D4104,기본!$D$13:$E$74,2,0)</f>
        <v>경동나비엔</v>
      </c>
      <c r="D4104" t="s">
        <v>1972</v>
      </c>
      <c r="E4104" t="s">
        <v>229</v>
      </c>
      <c r="F4104" t="s">
        <v>229</v>
      </c>
      <c r="G4104" s="554">
        <v>0</v>
      </c>
      <c r="H4104">
        <v>15.89575</v>
      </c>
    </row>
    <row r="4105" spans="2:8">
      <c r="B4105" s="555" t="s">
        <v>2373</v>
      </c>
      <c r="C4105" s="555" t="str">
        <f>VLOOKUP(D4105,기본!$D$13:$E$74,2,0)</f>
        <v>대덕</v>
      </c>
      <c r="D4105" t="s">
        <v>1976</v>
      </c>
      <c r="E4105" t="s">
        <v>2182</v>
      </c>
      <c r="F4105" t="s">
        <v>2182</v>
      </c>
      <c r="G4105" s="554">
        <v>80</v>
      </c>
      <c r="H4105">
        <v>0.79540991999999999</v>
      </c>
    </row>
    <row r="4106" spans="2:8">
      <c r="B4106" s="555" t="s">
        <v>2373</v>
      </c>
      <c r="C4106" s="555" t="str">
        <f>VLOOKUP(D4106,기본!$D$13:$E$74,2,0)</f>
        <v>대덕</v>
      </c>
      <c r="D4106" t="s">
        <v>1976</v>
      </c>
      <c r="E4106" t="s">
        <v>2366</v>
      </c>
      <c r="F4106" t="s">
        <v>2366</v>
      </c>
      <c r="G4106" s="554">
        <v>80</v>
      </c>
      <c r="H4106">
        <v>1.0082169599999999</v>
      </c>
    </row>
    <row r="4107" spans="2:8">
      <c r="B4107" s="555" t="s">
        <v>2373</v>
      </c>
      <c r="C4107" s="555" t="str">
        <f>VLOOKUP(D4107,기본!$D$13:$E$74,2,0)</f>
        <v>대덕</v>
      </c>
      <c r="D4107" t="s">
        <v>1976</v>
      </c>
      <c r="E4107" t="s">
        <v>2361</v>
      </c>
      <c r="F4107" t="s">
        <v>2361</v>
      </c>
      <c r="G4107" s="554">
        <v>200</v>
      </c>
      <c r="H4107">
        <v>2.8199839999999994</v>
      </c>
    </row>
    <row r="4108" spans="2:8">
      <c r="B4108" s="555" t="s">
        <v>2373</v>
      </c>
      <c r="C4108" s="555" t="str">
        <f>VLOOKUP(D4108,기본!$D$13:$E$74,2,0)</f>
        <v>대덕</v>
      </c>
      <c r="D4108" t="s">
        <v>1978</v>
      </c>
      <c r="E4108" t="s">
        <v>2347</v>
      </c>
      <c r="F4108" t="s">
        <v>2347</v>
      </c>
      <c r="G4108" s="554">
        <v>1002</v>
      </c>
      <c r="H4108">
        <v>5.9279843040000006</v>
      </c>
    </row>
    <row r="4109" spans="2:8">
      <c r="B4109" s="555" t="s">
        <v>2373</v>
      </c>
      <c r="C4109" s="555" t="str">
        <f>VLOOKUP(D4109,기본!$D$13:$E$74,2,0)</f>
        <v>대덕</v>
      </c>
      <c r="D4109" t="s">
        <v>1978</v>
      </c>
      <c r="E4109" t="s">
        <v>2316</v>
      </c>
      <c r="F4109" t="s">
        <v>2316</v>
      </c>
      <c r="G4109" s="554">
        <v>25</v>
      </c>
      <c r="H4109">
        <v>0.1479038</v>
      </c>
    </row>
    <row r="4110" spans="2:8">
      <c r="B4110" s="555" t="s">
        <v>2373</v>
      </c>
      <c r="C4110" s="555" t="str">
        <f>VLOOKUP(D4110,기본!$D$13:$E$74,2,0)</f>
        <v>대덕</v>
      </c>
      <c r="D4110" t="s">
        <v>1978</v>
      </c>
      <c r="E4110" t="s">
        <v>2182</v>
      </c>
      <c r="F4110" t="s">
        <v>2182</v>
      </c>
      <c r="G4110" s="554">
        <v>420</v>
      </c>
      <c r="H4110">
        <v>4.1124131999999998</v>
      </c>
    </row>
    <row r="4111" spans="2:8">
      <c r="B4111" s="555" t="s">
        <v>2373</v>
      </c>
      <c r="C4111" s="555" t="str">
        <f>VLOOKUP(D4111,기본!$D$13:$E$74,2,0)</f>
        <v>대덕</v>
      </c>
      <c r="D4111" t="s">
        <v>1978</v>
      </c>
      <c r="E4111" t="s">
        <v>2136</v>
      </c>
      <c r="F4111" t="s">
        <v>2136</v>
      </c>
      <c r="G4111" s="554">
        <v>1620</v>
      </c>
      <c r="H4111">
        <v>35.993017043999998</v>
      </c>
    </row>
    <row r="4112" spans="2:8">
      <c r="B4112" s="555" t="s">
        <v>2373</v>
      </c>
      <c r="C4112" s="555" t="str">
        <f>VLOOKUP(D4112,기본!$D$13:$E$74,2,0)</f>
        <v>대덕</v>
      </c>
      <c r="D4112" t="s">
        <v>1978</v>
      </c>
      <c r="E4112" t="s">
        <v>1980</v>
      </c>
      <c r="F4112" t="s">
        <v>1980</v>
      </c>
      <c r="G4112" s="554">
        <v>1188</v>
      </c>
      <c r="H4112">
        <v>26.978645682999996</v>
      </c>
    </row>
    <row r="4113" spans="2:8">
      <c r="B4113" s="555" t="s">
        <v>2373</v>
      </c>
      <c r="C4113" s="555" t="str">
        <f>VLOOKUP(D4113,기본!$D$13:$E$74,2,0)</f>
        <v>대덕</v>
      </c>
      <c r="D4113" t="s">
        <v>1978</v>
      </c>
      <c r="E4113" t="s">
        <v>1981</v>
      </c>
      <c r="F4113" t="s">
        <v>1981</v>
      </c>
      <c r="G4113" s="554">
        <v>3780</v>
      </c>
      <c r="H4113">
        <v>87.617095999999989</v>
      </c>
    </row>
    <row r="4114" spans="2:8">
      <c r="B4114" s="555" t="s">
        <v>2373</v>
      </c>
      <c r="C4114" s="555" t="str">
        <f>VLOOKUP(D4114,기본!$D$13:$E$74,2,0)</f>
        <v>대덕</v>
      </c>
      <c r="D4114" t="s">
        <v>1978</v>
      </c>
      <c r="E4114" t="s">
        <v>1982</v>
      </c>
      <c r="F4114" t="s">
        <v>1982</v>
      </c>
      <c r="G4114" s="554">
        <v>3672</v>
      </c>
      <c r="H4114">
        <v>86.632977371999985</v>
      </c>
    </row>
    <row r="4115" spans="2:8">
      <c r="B4115" s="555" t="s">
        <v>2373</v>
      </c>
      <c r="C4115" s="555" t="str">
        <f>VLOOKUP(D4115,기본!$D$13:$E$74,2,0)</f>
        <v>대덕</v>
      </c>
      <c r="D4115" t="s">
        <v>1978</v>
      </c>
      <c r="E4115" t="s">
        <v>2137</v>
      </c>
      <c r="F4115" t="s">
        <v>2137</v>
      </c>
      <c r="G4115" s="554">
        <v>540</v>
      </c>
      <c r="H4115">
        <v>12.669633900000001</v>
      </c>
    </row>
    <row r="4116" spans="2:8">
      <c r="B4116" s="555" t="s">
        <v>2373</v>
      </c>
      <c r="C4116" s="555" t="str">
        <f>VLOOKUP(D4116,기본!$D$13:$E$74,2,0)</f>
        <v>대덕</v>
      </c>
      <c r="D4116" t="s">
        <v>1978</v>
      </c>
      <c r="E4116" t="s">
        <v>2348</v>
      </c>
      <c r="F4116" t="s">
        <v>2348</v>
      </c>
      <c r="G4116" s="554">
        <v>2000</v>
      </c>
      <c r="H4116">
        <v>2.8273980000000001</v>
      </c>
    </row>
    <row r="4117" spans="2:8">
      <c r="B4117" s="555" t="s">
        <v>2373</v>
      </c>
      <c r="C4117" s="555" t="str">
        <f>VLOOKUP(D4117,기본!$D$13:$E$74,2,0)</f>
        <v>대덕</v>
      </c>
      <c r="D4117" t="s">
        <v>1978</v>
      </c>
      <c r="E4117" t="s">
        <v>977</v>
      </c>
      <c r="F4117" t="s">
        <v>977</v>
      </c>
      <c r="G4117" s="554">
        <v>500</v>
      </c>
      <c r="H4117">
        <v>0.70143500000000003</v>
      </c>
    </row>
    <row r="4118" spans="2:8">
      <c r="B4118" s="555" t="s">
        <v>2373</v>
      </c>
      <c r="C4118" s="555" t="str">
        <f>VLOOKUP(D4118,기본!$D$13:$E$74,2,0)</f>
        <v>대덕</v>
      </c>
      <c r="D4118" t="s">
        <v>1978</v>
      </c>
      <c r="E4118" t="s">
        <v>2349</v>
      </c>
      <c r="F4118" t="s">
        <v>2349</v>
      </c>
      <c r="G4118" s="554">
        <v>1000</v>
      </c>
      <c r="H4118">
        <v>1.482672</v>
      </c>
    </row>
    <row r="4119" spans="2:8">
      <c r="B4119" s="555" t="s">
        <v>2373</v>
      </c>
      <c r="C4119" s="555" t="str">
        <f>VLOOKUP(D4119,기본!$D$13:$E$74,2,0)</f>
        <v>대덕</v>
      </c>
      <c r="D4119" t="s">
        <v>1978</v>
      </c>
      <c r="E4119" t="s">
        <v>980</v>
      </c>
      <c r="F4119" t="s">
        <v>980</v>
      </c>
      <c r="G4119" s="554">
        <v>300</v>
      </c>
      <c r="H4119">
        <v>0.48527849999999995</v>
      </c>
    </row>
    <row r="4120" spans="2:8">
      <c r="B4120" s="555" t="s">
        <v>2373</v>
      </c>
      <c r="C4120" s="555" t="str">
        <f>VLOOKUP(D4120,기본!$D$13:$E$74,2,0)</f>
        <v>대덕</v>
      </c>
      <c r="D4120" t="s">
        <v>1978</v>
      </c>
      <c r="E4120" t="s">
        <v>2224</v>
      </c>
      <c r="F4120" t="s">
        <v>2224</v>
      </c>
      <c r="G4120" s="554">
        <v>700</v>
      </c>
      <c r="H4120">
        <v>7.6443055999999991</v>
      </c>
    </row>
    <row r="4121" spans="2:8">
      <c r="B4121" s="555" t="s">
        <v>2373</v>
      </c>
      <c r="C4121" s="555" t="str">
        <f>VLOOKUP(D4121,기본!$D$13:$E$74,2,0)</f>
        <v>대덕</v>
      </c>
      <c r="D4121" t="s">
        <v>1978</v>
      </c>
      <c r="E4121" t="s">
        <v>1977</v>
      </c>
      <c r="F4121" t="s">
        <v>1977</v>
      </c>
      <c r="G4121" s="554">
        <v>2000</v>
      </c>
      <c r="H4121">
        <v>24.822209999999998</v>
      </c>
    </row>
    <row r="4122" spans="2:8">
      <c r="B4122" s="555" t="s">
        <v>2373</v>
      </c>
      <c r="C4122" s="555" t="str">
        <f>VLOOKUP(D4122,기본!$D$13:$E$74,2,0)</f>
        <v>대덕</v>
      </c>
      <c r="D4122" t="s">
        <v>1978</v>
      </c>
      <c r="E4122" t="s">
        <v>2366</v>
      </c>
      <c r="F4122" t="s">
        <v>2366</v>
      </c>
      <c r="G4122" s="554">
        <v>20</v>
      </c>
      <c r="H4122">
        <v>0.2482221</v>
      </c>
    </row>
    <row r="4123" spans="2:8">
      <c r="B4123" s="555" t="s">
        <v>2373</v>
      </c>
      <c r="C4123" s="555" t="str">
        <f>VLOOKUP(D4123,기본!$D$13:$E$74,2,0)</f>
        <v>대덕</v>
      </c>
      <c r="D4123" t="s">
        <v>1978</v>
      </c>
      <c r="E4123" t="s">
        <v>1983</v>
      </c>
      <c r="F4123" t="s">
        <v>1983</v>
      </c>
      <c r="G4123" s="554">
        <v>10000</v>
      </c>
      <c r="H4123">
        <v>141.7946</v>
      </c>
    </row>
    <row r="4124" spans="2:8">
      <c r="B4124" s="555" t="s">
        <v>2373</v>
      </c>
      <c r="C4124" s="555" t="str">
        <f>VLOOKUP(D4124,기본!$D$13:$E$74,2,0)</f>
        <v>대덕</v>
      </c>
      <c r="D4124" t="s">
        <v>1978</v>
      </c>
      <c r="E4124" t="s">
        <v>1985</v>
      </c>
      <c r="F4124" t="s">
        <v>1985</v>
      </c>
      <c r="G4124" s="554">
        <v>10300</v>
      </c>
      <c r="H4124">
        <v>145.80118499999998</v>
      </c>
    </row>
    <row r="4125" spans="2:8">
      <c r="B4125" s="555" t="s">
        <v>2373</v>
      </c>
      <c r="C4125" s="555" t="str">
        <f>VLOOKUP(D4125,기본!$D$13:$E$74,2,0)</f>
        <v>대덕</v>
      </c>
      <c r="D4125" t="s">
        <v>1978</v>
      </c>
      <c r="E4125" t="s">
        <v>2367</v>
      </c>
      <c r="F4125" t="s">
        <v>2367</v>
      </c>
      <c r="G4125" s="554">
        <v>2500</v>
      </c>
      <c r="H4125">
        <v>29.078514999999999</v>
      </c>
    </row>
    <row r="4126" spans="2:8">
      <c r="B4126" s="555" t="s">
        <v>2373</v>
      </c>
      <c r="C4126" s="555" t="str">
        <f>VLOOKUP(D4126,기본!$D$13:$E$74,2,0)</f>
        <v>대덕</v>
      </c>
      <c r="D4126" t="s">
        <v>1978</v>
      </c>
      <c r="E4126" t="s">
        <v>1569</v>
      </c>
      <c r="F4126" t="s">
        <v>1569</v>
      </c>
      <c r="G4126" s="554">
        <v>1500</v>
      </c>
      <c r="H4126">
        <v>19.400689700000001</v>
      </c>
    </row>
    <row r="4127" spans="2:8">
      <c r="B4127" s="555" t="s">
        <v>2373</v>
      </c>
      <c r="C4127" s="555" t="str">
        <f>VLOOKUP(D4127,기본!$D$13:$E$74,2,0)</f>
        <v>대덕</v>
      </c>
      <c r="D4127" t="s">
        <v>1978</v>
      </c>
      <c r="E4127" t="s">
        <v>1571</v>
      </c>
      <c r="F4127" t="s">
        <v>1571</v>
      </c>
      <c r="G4127" s="554">
        <v>1500</v>
      </c>
      <c r="H4127">
        <v>19.476835000000001</v>
      </c>
    </row>
    <row r="4128" spans="2:8">
      <c r="B4128" s="555" t="s">
        <v>2373</v>
      </c>
      <c r="C4128" s="555" t="str">
        <f>VLOOKUP(D4128,기본!$D$13:$E$74,2,0)</f>
        <v>대덕</v>
      </c>
      <c r="D4128" t="s">
        <v>1978</v>
      </c>
      <c r="E4128" t="s">
        <v>2247</v>
      </c>
      <c r="F4128" t="s">
        <v>2247</v>
      </c>
      <c r="G4128" s="554">
        <v>1500</v>
      </c>
      <c r="H4128">
        <v>21.361689999999999</v>
      </c>
    </row>
    <row r="4129" spans="2:8">
      <c r="B4129" s="555" t="s">
        <v>2373</v>
      </c>
      <c r="C4129" s="555" t="str">
        <f>VLOOKUP(D4129,기본!$D$13:$E$74,2,0)</f>
        <v>코웨이</v>
      </c>
      <c r="D4129" t="s">
        <v>2140</v>
      </c>
      <c r="E4129" t="s">
        <v>2141</v>
      </c>
      <c r="F4129" t="s">
        <v>2141</v>
      </c>
      <c r="G4129" s="554">
        <v>1000</v>
      </c>
      <c r="H4129">
        <v>4.9219999999999997</v>
      </c>
    </row>
    <row r="4130" spans="2:8">
      <c r="B4130" s="555" t="s">
        <v>2373</v>
      </c>
      <c r="C4130" s="555" t="str">
        <f>VLOOKUP(D4130,기본!$D$13:$E$74,2,0)</f>
        <v>삼성 생활가전</v>
      </c>
      <c r="D4130" t="s">
        <v>1986</v>
      </c>
      <c r="E4130" t="s">
        <v>1346</v>
      </c>
      <c r="F4130" t="s">
        <v>1346</v>
      </c>
      <c r="G4130" s="554">
        <v>1971</v>
      </c>
      <c r="H4130">
        <v>27.002700000000001</v>
      </c>
    </row>
    <row r="4131" spans="2:8">
      <c r="B4131" s="555" t="s">
        <v>2373</v>
      </c>
      <c r="C4131" s="555" t="str">
        <f>VLOOKUP(D4131,기본!$D$13:$E$74,2,0)</f>
        <v>삼성 생활가전</v>
      </c>
      <c r="D4131" t="s">
        <v>1986</v>
      </c>
      <c r="E4131" t="s">
        <v>2003</v>
      </c>
      <c r="F4131" t="s">
        <v>2003</v>
      </c>
      <c r="G4131" s="554">
        <v>5958</v>
      </c>
      <c r="H4131">
        <v>37.995240000000003</v>
      </c>
    </row>
    <row r="4132" spans="2:8">
      <c r="B4132" s="555" t="s">
        <v>2373</v>
      </c>
      <c r="C4132" s="555" t="str">
        <f>VLOOKUP(D4132,기본!$D$13:$E$74,2,0)</f>
        <v>머큐리</v>
      </c>
      <c r="D4132" t="s">
        <v>1988</v>
      </c>
      <c r="E4132" t="s">
        <v>2368</v>
      </c>
      <c r="F4132" t="s">
        <v>2368</v>
      </c>
      <c r="G4132" s="554">
        <v>300</v>
      </c>
      <c r="H4132">
        <v>1.6256999999999999</v>
      </c>
    </row>
    <row r="4133" spans="2:8">
      <c r="B4133" s="555" t="s">
        <v>2373</v>
      </c>
      <c r="C4133" s="555" t="str">
        <f>VLOOKUP(D4133,기본!$D$13:$E$74,2,0)</f>
        <v>머큐리</v>
      </c>
      <c r="D4133" t="s">
        <v>1988</v>
      </c>
      <c r="E4133" t="s">
        <v>2369</v>
      </c>
      <c r="F4133" t="s">
        <v>2369</v>
      </c>
      <c r="G4133" s="554">
        <v>360</v>
      </c>
      <c r="H4133">
        <v>1.9396800000000001</v>
      </c>
    </row>
    <row r="4134" spans="2:8">
      <c r="B4134" s="555" t="s">
        <v>2373</v>
      </c>
      <c r="C4134" s="555" t="str">
        <f>VLOOKUP(D4134,기본!$D$13:$E$74,2,0)</f>
        <v>머큐리</v>
      </c>
      <c r="D4134" t="s">
        <v>1988</v>
      </c>
      <c r="E4134" t="s">
        <v>2225</v>
      </c>
      <c r="F4134" t="s">
        <v>2225</v>
      </c>
      <c r="G4134" s="554">
        <v>2160</v>
      </c>
      <c r="H4134">
        <v>8.1388800000000003</v>
      </c>
    </row>
    <row r="4135" spans="2:8">
      <c r="B4135" s="555" t="s">
        <v>2373</v>
      </c>
      <c r="C4135" s="555" t="str">
        <f>VLOOKUP(D4135,기본!$D$13:$E$74,2,0)</f>
        <v>머큐리</v>
      </c>
      <c r="D4135" t="s">
        <v>1988</v>
      </c>
      <c r="E4135" t="s">
        <v>1989</v>
      </c>
      <c r="F4135" t="s">
        <v>1989</v>
      </c>
      <c r="G4135" s="554">
        <v>24840</v>
      </c>
      <c r="H4135">
        <v>68.781959999999998</v>
      </c>
    </row>
    <row r="4136" spans="2:8">
      <c r="B4136" s="555" t="s">
        <v>2373</v>
      </c>
      <c r="C4136" s="555" t="str">
        <f>VLOOKUP(D4136,기본!$D$13:$E$74,2,0)</f>
        <v>머큐리</v>
      </c>
      <c r="D4136" t="s">
        <v>1988</v>
      </c>
      <c r="E4136" t="s">
        <v>1433</v>
      </c>
      <c r="F4136" t="s">
        <v>1433</v>
      </c>
      <c r="G4136" s="554">
        <v>15120</v>
      </c>
      <c r="H4136">
        <v>43.500239999999998</v>
      </c>
    </row>
    <row r="4137" spans="2:8">
      <c r="B4137" s="555" t="s">
        <v>2373</v>
      </c>
      <c r="C4137" s="555" t="str">
        <f>VLOOKUP(D4137,기본!$D$13:$E$74,2,0)</f>
        <v>머큐리</v>
      </c>
      <c r="D4137" t="s">
        <v>1988</v>
      </c>
      <c r="E4137" t="s">
        <v>2226</v>
      </c>
      <c r="F4137" t="s">
        <v>2226</v>
      </c>
      <c r="G4137" s="554">
        <v>3200</v>
      </c>
      <c r="H4137">
        <v>16.4192</v>
      </c>
    </row>
    <row r="4138" spans="2:8">
      <c r="B4138" s="555" t="s">
        <v>2373</v>
      </c>
      <c r="C4138" s="555" t="str">
        <f>VLOOKUP(D4138,기본!$D$13:$E$74,2,0)</f>
        <v>머큐리</v>
      </c>
      <c r="D4138" t="s">
        <v>1988</v>
      </c>
      <c r="E4138" t="s">
        <v>2142</v>
      </c>
      <c r="F4138" t="s">
        <v>2142</v>
      </c>
      <c r="G4138" s="554">
        <v>3072</v>
      </c>
      <c r="H4138">
        <v>8.2022399999999998</v>
      </c>
    </row>
    <row r="4139" spans="2:8">
      <c r="B4139" s="555" t="s">
        <v>2373</v>
      </c>
      <c r="C4139" s="555" t="str">
        <f>VLOOKUP(D4139,기본!$D$13:$E$74,2,0)</f>
        <v>삼성 생활가전</v>
      </c>
      <c r="D4139" t="s">
        <v>2188</v>
      </c>
      <c r="E4139" t="s">
        <v>2189</v>
      </c>
      <c r="F4139" t="s">
        <v>2189</v>
      </c>
      <c r="G4139" s="554">
        <v>2016</v>
      </c>
      <c r="H4139">
        <v>15.09984</v>
      </c>
    </row>
    <row r="4140" spans="2:8">
      <c r="B4140" s="555" t="s">
        <v>2373</v>
      </c>
      <c r="C4140" s="555" t="str">
        <f>VLOOKUP(D4140,기본!$D$13:$E$74,2,0)</f>
        <v>삼성 VD</v>
      </c>
      <c r="D4140" t="s">
        <v>1990</v>
      </c>
      <c r="E4140" t="s">
        <v>2121</v>
      </c>
      <c r="F4140" t="s">
        <v>874</v>
      </c>
      <c r="G4140" s="554">
        <v>20</v>
      </c>
      <c r="H4140">
        <v>0.40890610000000005</v>
      </c>
    </row>
    <row r="4141" spans="2:8">
      <c r="B4141" s="555" t="s">
        <v>2373</v>
      </c>
      <c r="C4141" s="555" t="str">
        <f>VLOOKUP(D4141,기본!$D$13:$E$74,2,0)</f>
        <v>삼성 VD</v>
      </c>
      <c r="D4141" t="s">
        <v>1990</v>
      </c>
      <c r="E4141" t="s">
        <v>1165</v>
      </c>
      <c r="F4141" t="s">
        <v>1882</v>
      </c>
      <c r="G4141" s="554">
        <v>140</v>
      </c>
      <c r="H4141">
        <v>4.2908893200000007</v>
      </c>
    </row>
    <row r="4142" spans="2:8">
      <c r="B4142" s="555" t="s">
        <v>2373</v>
      </c>
      <c r="C4142" s="555" t="str">
        <f>VLOOKUP(D4142,기본!$D$13:$E$74,2,0)</f>
        <v>삼성 VD</v>
      </c>
      <c r="D4142" t="s">
        <v>1990</v>
      </c>
      <c r="E4142" t="s">
        <v>1313</v>
      </c>
      <c r="F4142" t="s">
        <v>1312</v>
      </c>
      <c r="G4142" s="554">
        <v>72</v>
      </c>
      <c r="H4142">
        <v>1.7077153680000001</v>
      </c>
    </row>
    <row r="4143" spans="2:8">
      <c r="B4143" s="555" t="s">
        <v>2373</v>
      </c>
      <c r="C4143" s="555" t="str">
        <f>VLOOKUP(D4143,기본!$D$13:$E$74,2,0)</f>
        <v>삼성 VD</v>
      </c>
      <c r="D4143" t="s">
        <v>1990</v>
      </c>
      <c r="E4143" t="s">
        <v>709</v>
      </c>
      <c r="F4143" t="s">
        <v>1869</v>
      </c>
      <c r="G4143" s="554">
        <v>132</v>
      </c>
      <c r="H4143">
        <v>0.48450718799999998</v>
      </c>
    </row>
    <row r="4144" spans="2:8">
      <c r="B4144" s="555" t="s">
        <v>2373</v>
      </c>
      <c r="C4144" s="555" t="str">
        <f>VLOOKUP(D4144,기본!$D$13:$E$74,2,0)</f>
        <v>삼성 VD</v>
      </c>
      <c r="D4144" t="s">
        <v>1990</v>
      </c>
      <c r="E4144" t="s">
        <v>1811</v>
      </c>
      <c r="F4144" t="s">
        <v>1811</v>
      </c>
      <c r="G4144" s="554">
        <v>100</v>
      </c>
      <c r="H4144">
        <v>0.75431999999999999</v>
      </c>
    </row>
    <row r="4145" spans="2:8">
      <c r="B4145" s="555" t="s">
        <v>2373</v>
      </c>
      <c r="C4145" s="555" t="str">
        <f>VLOOKUP(D4145,기본!$D$13:$E$74,2,0)</f>
        <v>삼성 VD</v>
      </c>
      <c r="D4145" t="s">
        <v>1990</v>
      </c>
      <c r="E4145" t="s">
        <v>1813</v>
      </c>
      <c r="F4145" t="s">
        <v>1813</v>
      </c>
      <c r="G4145" s="554">
        <v>30</v>
      </c>
      <c r="H4145">
        <v>0.36579521999999998</v>
      </c>
    </row>
    <row r="4146" spans="2:8">
      <c r="B4146" s="555" t="s">
        <v>2373</v>
      </c>
      <c r="C4146" s="555" t="str">
        <f>VLOOKUP(D4146,기본!$D$13:$E$74,2,0)</f>
        <v>삼성 VD</v>
      </c>
      <c r="D4146" t="s">
        <v>1990</v>
      </c>
      <c r="E4146" t="s">
        <v>1657</v>
      </c>
      <c r="F4146" t="s">
        <v>1657</v>
      </c>
      <c r="G4146" s="554">
        <v>112</v>
      </c>
      <c r="H4146">
        <v>1.05264264E-2</v>
      </c>
    </row>
    <row r="4147" spans="2:8">
      <c r="B4147" s="555" t="s">
        <v>2373</v>
      </c>
      <c r="C4147" s="555" t="str">
        <f>VLOOKUP(D4147,기본!$D$13:$E$74,2,0)</f>
        <v>삼성 VD</v>
      </c>
      <c r="D4147" t="s">
        <v>1990</v>
      </c>
      <c r="E4147" t="s">
        <v>2280</v>
      </c>
      <c r="F4147" t="s">
        <v>2280</v>
      </c>
      <c r="G4147" s="554">
        <v>345</v>
      </c>
      <c r="H4147">
        <v>3.6643167000000005</v>
      </c>
    </row>
    <row r="4148" spans="2:8">
      <c r="B4148" s="555" t="s">
        <v>2373</v>
      </c>
      <c r="C4148" s="555" t="str">
        <f>VLOOKUP(D4148,기본!$D$13:$E$74,2,0)</f>
        <v>삼성 VD</v>
      </c>
      <c r="D4148" t="s">
        <v>1990</v>
      </c>
      <c r="E4148" t="s">
        <v>2281</v>
      </c>
      <c r="F4148" t="s">
        <v>2281</v>
      </c>
      <c r="G4148" s="554">
        <v>340</v>
      </c>
      <c r="H4148">
        <v>4.6254637000000001</v>
      </c>
    </row>
    <row r="4149" spans="2:8">
      <c r="B4149" s="555" t="s">
        <v>2373</v>
      </c>
      <c r="C4149" s="555" t="str">
        <f>VLOOKUP(D4149,기본!$D$13:$E$74,2,0)</f>
        <v>삼성 VD</v>
      </c>
      <c r="D4149" t="s">
        <v>1990</v>
      </c>
      <c r="E4149" t="s">
        <v>229</v>
      </c>
      <c r="F4149" t="s">
        <v>229</v>
      </c>
      <c r="G4149" s="554">
        <v>0</v>
      </c>
      <c r="H4149">
        <v>1.8438000000000001</v>
      </c>
    </row>
    <row r="4150" spans="2:8">
      <c r="B4150" s="555" t="s">
        <v>2373</v>
      </c>
      <c r="C4150" s="555" t="str">
        <f>VLOOKUP(D4150,기본!$D$13:$E$74,2,0)</f>
        <v>삼성 생활가전</v>
      </c>
      <c r="D4150" t="s">
        <v>1991</v>
      </c>
      <c r="E4150" t="s">
        <v>1993</v>
      </c>
      <c r="F4150" t="s">
        <v>1993</v>
      </c>
      <c r="G4150" s="554">
        <v>4608</v>
      </c>
      <c r="H4150">
        <v>35.676299520000001</v>
      </c>
    </row>
    <row r="4151" spans="2:8">
      <c r="B4151" s="555" t="s">
        <v>2373</v>
      </c>
      <c r="C4151" s="555" t="str">
        <f>VLOOKUP(D4151,기본!$D$13:$E$74,2,0)</f>
        <v>삼성 생활가전</v>
      </c>
      <c r="D4151" t="s">
        <v>1991</v>
      </c>
      <c r="E4151" t="s">
        <v>713</v>
      </c>
      <c r="F4151" t="s">
        <v>713</v>
      </c>
      <c r="G4151" s="554">
        <v>1134</v>
      </c>
      <c r="H4151">
        <v>9.0606600000000004</v>
      </c>
    </row>
    <row r="4152" spans="2:8">
      <c r="B4152" s="555" t="s">
        <v>2373</v>
      </c>
      <c r="C4152" s="555" t="str">
        <f>VLOOKUP(D4152,기본!$D$13:$E$74,2,0)</f>
        <v>삼성 생활가전</v>
      </c>
      <c r="D4152" t="s">
        <v>1991</v>
      </c>
      <c r="E4152" t="s">
        <v>1996</v>
      </c>
      <c r="F4152" t="s">
        <v>1996</v>
      </c>
      <c r="G4152" s="554">
        <v>1440</v>
      </c>
      <c r="H4152">
        <v>8.5679999999999996</v>
      </c>
    </row>
    <row r="4153" spans="2:8">
      <c r="B4153" s="555" t="s">
        <v>2373</v>
      </c>
      <c r="C4153" s="555" t="str">
        <f>VLOOKUP(D4153,기본!$D$13:$E$74,2,0)</f>
        <v>삼성 생활가전</v>
      </c>
      <c r="D4153" t="s">
        <v>1991</v>
      </c>
      <c r="E4153" t="s">
        <v>1997</v>
      </c>
      <c r="F4153" t="s">
        <v>1997</v>
      </c>
      <c r="G4153" s="554">
        <v>1440</v>
      </c>
      <c r="H4153">
        <v>8.5535999999999994</v>
      </c>
    </row>
    <row r="4154" spans="2:8">
      <c r="B4154" s="555" t="s">
        <v>2373</v>
      </c>
      <c r="C4154" s="555" t="str">
        <f>VLOOKUP(D4154,기본!$D$13:$E$74,2,0)</f>
        <v>삼성 생활가전</v>
      </c>
      <c r="D4154" t="s">
        <v>1991</v>
      </c>
      <c r="E4154" t="s">
        <v>1998</v>
      </c>
      <c r="F4154" t="s">
        <v>1998</v>
      </c>
      <c r="G4154" s="554">
        <v>520</v>
      </c>
      <c r="H4154">
        <v>3.0679999999999996</v>
      </c>
    </row>
    <row r="4155" spans="2:8">
      <c r="B4155" s="555" t="s">
        <v>2373</v>
      </c>
      <c r="C4155" s="555" t="str">
        <f>VLOOKUP(D4155,기본!$D$13:$E$74,2,0)</f>
        <v>삼성 생활가전</v>
      </c>
      <c r="D4155" t="s">
        <v>1991</v>
      </c>
      <c r="E4155" t="s">
        <v>1999</v>
      </c>
      <c r="F4155" t="s">
        <v>1999</v>
      </c>
      <c r="G4155" s="554">
        <v>3560</v>
      </c>
      <c r="H4155">
        <v>21.285240000000002</v>
      </c>
    </row>
    <row r="4156" spans="2:8">
      <c r="B4156" s="555" t="s">
        <v>2373</v>
      </c>
      <c r="C4156" s="555" t="str">
        <f>VLOOKUP(D4156,기본!$D$13:$E$74,2,0)</f>
        <v>삼성 생활가전</v>
      </c>
      <c r="D4156" t="s">
        <v>1991</v>
      </c>
      <c r="E4156" t="s">
        <v>2000</v>
      </c>
      <c r="F4156" t="s">
        <v>2000</v>
      </c>
      <c r="G4156" s="554">
        <v>286</v>
      </c>
      <c r="H4156">
        <v>1.6874</v>
      </c>
    </row>
    <row r="4157" spans="2:8">
      <c r="B4157" s="555" t="s">
        <v>2373</v>
      </c>
      <c r="C4157" s="555" t="str">
        <f>VLOOKUP(D4157,기본!$D$13:$E$74,2,0)</f>
        <v>삼성 생활가전</v>
      </c>
      <c r="D4157" t="s">
        <v>1991</v>
      </c>
      <c r="E4157" t="s">
        <v>2001</v>
      </c>
      <c r="F4157" t="s">
        <v>2001</v>
      </c>
      <c r="G4157" s="554">
        <v>7200</v>
      </c>
      <c r="H4157">
        <v>39.384</v>
      </c>
    </row>
    <row r="4158" spans="2:8">
      <c r="B4158" s="555" t="s">
        <v>2373</v>
      </c>
      <c r="C4158" s="555" t="str">
        <f>VLOOKUP(D4158,기본!$D$13:$E$74,2,0)</f>
        <v>삼성 생활가전</v>
      </c>
      <c r="D4158" t="s">
        <v>1991</v>
      </c>
      <c r="E4158" t="s">
        <v>2002</v>
      </c>
      <c r="F4158" t="s">
        <v>2002</v>
      </c>
      <c r="G4158" s="554">
        <v>4320</v>
      </c>
      <c r="H4158">
        <v>42.677279999999996</v>
      </c>
    </row>
    <row r="4159" spans="2:8">
      <c r="B4159" s="555" t="s">
        <v>2373</v>
      </c>
      <c r="C4159" s="555" t="str">
        <f>VLOOKUP(D4159,기본!$D$13:$E$74,2,0)</f>
        <v>삼성 생활가전</v>
      </c>
      <c r="D4159" t="s">
        <v>1991</v>
      </c>
      <c r="E4159" t="s">
        <v>1509</v>
      </c>
      <c r="F4159" t="s">
        <v>1509</v>
      </c>
      <c r="G4159" s="554">
        <v>5</v>
      </c>
      <c r="H4159">
        <v>5.475E-2</v>
      </c>
    </row>
    <row r="4160" spans="2:8">
      <c r="B4160" s="555" t="s">
        <v>2373</v>
      </c>
      <c r="C4160" s="555" t="str">
        <f>VLOOKUP(D4160,기본!$D$13:$E$74,2,0)</f>
        <v>삼성 생활가전</v>
      </c>
      <c r="D4160" t="s">
        <v>1991</v>
      </c>
      <c r="E4160" t="s">
        <v>1242</v>
      </c>
      <c r="F4160" t="s">
        <v>1242</v>
      </c>
      <c r="G4160" s="554">
        <v>6902</v>
      </c>
      <c r="H4160">
        <v>35.407260000000001</v>
      </c>
    </row>
    <row r="4161" spans="2:8">
      <c r="B4161" s="555" t="s">
        <v>2373</v>
      </c>
      <c r="C4161" s="555" t="str">
        <f>VLOOKUP(D4161,기본!$D$13:$E$74,2,0)</f>
        <v>삼성 생활가전</v>
      </c>
      <c r="D4161" t="s">
        <v>1991</v>
      </c>
      <c r="E4161" t="s">
        <v>2301</v>
      </c>
      <c r="F4161" t="s">
        <v>2301</v>
      </c>
      <c r="G4161" s="554">
        <v>2866</v>
      </c>
      <c r="H4161">
        <v>36.148978816000003</v>
      </c>
    </row>
    <row r="4162" spans="2:8">
      <c r="B4162" s="555" t="s">
        <v>2373</v>
      </c>
      <c r="C4162" s="555" t="str">
        <f>VLOOKUP(D4162,기본!$D$13:$E$74,2,0)</f>
        <v>삼성 생활가전</v>
      </c>
      <c r="D4162" t="s">
        <v>1991</v>
      </c>
      <c r="E4162" t="s">
        <v>2087</v>
      </c>
      <c r="F4162" t="s">
        <v>2087</v>
      </c>
      <c r="G4162" s="554">
        <v>504</v>
      </c>
      <c r="H4162">
        <v>5.4467632799999999</v>
      </c>
    </row>
    <row r="4163" spans="2:8">
      <c r="B4163" s="555" t="s">
        <v>2373</v>
      </c>
      <c r="C4163" s="555" t="str">
        <f>VLOOKUP(D4163,기본!$D$13:$E$74,2,0)</f>
        <v>삼성 생활가전</v>
      </c>
      <c r="D4163" t="s">
        <v>1991</v>
      </c>
      <c r="E4163" t="s">
        <v>2227</v>
      </c>
      <c r="F4163" t="s">
        <v>2227</v>
      </c>
      <c r="G4163" s="554">
        <v>350</v>
      </c>
      <c r="H4163">
        <v>1.9538610000000003</v>
      </c>
    </row>
    <row r="4164" spans="2:8">
      <c r="B4164" s="555" t="s">
        <v>2373</v>
      </c>
      <c r="C4164" s="555" t="str">
        <f>VLOOKUP(D4164,기본!$D$13:$E$74,2,0)</f>
        <v>삼성 생활가전</v>
      </c>
      <c r="D4164" t="s">
        <v>1991</v>
      </c>
      <c r="E4164" t="s">
        <v>1465</v>
      </c>
      <c r="F4164" t="s">
        <v>1465</v>
      </c>
      <c r="G4164" s="554">
        <v>6613</v>
      </c>
      <c r="H4164">
        <v>90.917026519999993</v>
      </c>
    </row>
    <row r="4165" spans="2:8">
      <c r="B4165" s="555" t="s">
        <v>2373</v>
      </c>
      <c r="C4165" s="555" t="str">
        <f>VLOOKUP(D4165,기본!$D$13:$E$74,2,0)</f>
        <v>삼성 생활가전</v>
      </c>
      <c r="D4165" t="s">
        <v>1991</v>
      </c>
      <c r="E4165" t="s">
        <v>2005</v>
      </c>
      <c r="F4165" t="s">
        <v>2005</v>
      </c>
      <c r="G4165" s="554">
        <v>0</v>
      </c>
      <c r="H4165">
        <v>1.863659</v>
      </c>
    </row>
    <row r="4166" spans="2:8">
      <c r="B4166" s="555" t="s">
        <v>2373</v>
      </c>
      <c r="C4166" s="555" t="str">
        <f>VLOOKUP(D4166,기본!$D$13:$E$74,2,0)</f>
        <v>삼성 생활가전</v>
      </c>
      <c r="D4166" t="s">
        <v>1991</v>
      </c>
      <c r="E4166" t="s">
        <v>229</v>
      </c>
      <c r="F4166" t="s">
        <v>229</v>
      </c>
      <c r="G4166" s="554">
        <v>0</v>
      </c>
      <c r="H4166">
        <v>0.51547999999999994</v>
      </c>
    </row>
    <row r="4167" spans="2:8">
      <c r="B4167" s="555" t="s">
        <v>2373</v>
      </c>
      <c r="C4167" s="555" t="str">
        <f>VLOOKUP(D4167,기본!$D$13:$E$74,2,0)</f>
        <v>삼성 생활가전</v>
      </c>
      <c r="D4167" t="s">
        <v>2006</v>
      </c>
      <c r="E4167" t="s">
        <v>1465</v>
      </c>
      <c r="F4167" t="s">
        <v>1465</v>
      </c>
      <c r="G4167" s="554">
        <v>532</v>
      </c>
      <c r="H4167">
        <v>6.8814200000000003</v>
      </c>
    </row>
    <row r="4168" spans="2:8">
      <c r="B4168" s="555" t="s">
        <v>2373</v>
      </c>
      <c r="C4168" s="555" t="str">
        <f>VLOOKUP(D4168,기본!$D$13:$E$74,2,0)</f>
        <v>코웨이</v>
      </c>
      <c r="D4168" t="s">
        <v>2191</v>
      </c>
      <c r="E4168" t="s">
        <v>2192</v>
      </c>
      <c r="F4168" t="s">
        <v>2192</v>
      </c>
      <c r="G4168" s="554">
        <v>500</v>
      </c>
      <c r="H4168">
        <v>6.18</v>
      </c>
    </row>
    <row r="4169" spans="2:8">
      <c r="B4169" s="555" t="s">
        <v>2373</v>
      </c>
      <c r="C4169" s="555" t="str">
        <f>VLOOKUP(D4169,기본!$D$13:$E$74,2,0)</f>
        <v>코웨이</v>
      </c>
      <c r="D4169" t="s">
        <v>2282</v>
      </c>
      <c r="E4169" t="s">
        <v>1544</v>
      </c>
      <c r="F4169" t="s">
        <v>1544</v>
      </c>
      <c r="G4169" s="554">
        <v>3008</v>
      </c>
      <c r="H4169">
        <v>19.690367999999999</v>
      </c>
    </row>
    <row r="4170" spans="2:8">
      <c r="B4170" s="555" t="s">
        <v>2373</v>
      </c>
      <c r="C4170" s="555" t="str">
        <f>VLOOKUP(D4170,기본!$D$13:$E$74,2,0)</f>
        <v>코웨이</v>
      </c>
      <c r="D4170" t="s">
        <v>2282</v>
      </c>
      <c r="E4170" t="s">
        <v>1545</v>
      </c>
      <c r="F4170" t="s">
        <v>1545</v>
      </c>
      <c r="G4170" s="554">
        <v>512</v>
      </c>
      <c r="H4170">
        <v>3.0474239999999999</v>
      </c>
    </row>
    <row r="4171" spans="2:8">
      <c r="B4171" s="555" t="s">
        <v>2373</v>
      </c>
      <c r="C4171" s="555" t="str">
        <f>VLOOKUP(D4171,기본!$D$13:$E$74,2,0)</f>
        <v>코웨이</v>
      </c>
      <c r="D4171" t="s">
        <v>2007</v>
      </c>
      <c r="E4171" t="s">
        <v>1072</v>
      </c>
      <c r="F4171" t="s">
        <v>1072</v>
      </c>
      <c r="G4171" s="554">
        <v>12960</v>
      </c>
      <c r="H4171">
        <v>70.009919999999994</v>
      </c>
    </row>
    <row r="4172" spans="2:8">
      <c r="B4172" s="555" t="s">
        <v>2373</v>
      </c>
      <c r="C4172" s="555" t="str">
        <f>VLOOKUP(D4172,기본!$D$13:$E$74,2,0)</f>
        <v>코웨이</v>
      </c>
      <c r="D4172" t="s">
        <v>2007</v>
      </c>
      <c r="E4172" t="s">
        <v>1075</v>
      </c>
      <c r="F4172" t="s">
        <v>1075</v>
      </c>
      <c r="G4172" s="554">
        <v>16320</v>
      </c>
      <c r="H4172">
        <v>22.766399999999997</v>
      </c>
    </row>
    <row r="4173" spans="2:8">
      <c r="B4173" s="555" t="s">
        <v>2373</v>
      </c>
      <c r="C4173" s="555" t="str">
        <f>VLOOKUP(D4173,기본!$D$13:$E$74,2,0)</f>
        <v>코웨이</v>
      </c>
      <c r="D4173" t="s">
        <v>2008</v>
      </c>
      <c r="E4173" t="s">
        <v>2009</v>
      </c>
      <c r="F4173" t="s">
        <v>2009</v>
      </c>
      <c r="G4173" s="554">
        <v>5140</v>
      </c>
      <c r="H4173">
        <v>14.04762</v>
      </c>
    </row>
    <row r="4174" spans="2:8">
      <c r="B4174" s="555" t="s">
        <v>2373</v>
      </c>
      <c r="C4174" s="555" t="str">
        <f>VLOOKUP(D4174,기본!$D$13:$E$74,2,0)</f>
        <v>코웨이</v>
      </c>
      <c r="D4174" t="s">
        <v>2193</v>
      </c>
      <c r="E4174" t="s">
        <v>1090</v>
      </c>
      <c r="F4174" t="s">
        <v>1090</v>
      </c>
      <c r="G4174" s="554">
        <v>1500</v>
      </c>
      <c r="H4174">
        <v>4.0994999999999999</v>
      </c>
    </row>
    <row r="4175" spans="2:8">
      <c r="B4175" s="555" t="s">
        <v>2373</v>
      </c>
      <c r="C4175" s="555" t="str">
        <f>VLOOKUP(D4175,기본!$D$13:$E$74,2,0)</f>
        <v>코웨이</v>
      </c>
      <c r="D4175" t="s">
        <v>2194</v>
      </c>
      <c r="E4175" t="s">
        <v>1821</v>
      </c>
      <c r="F4175" t="s">
        <v>1821</v>
      </c>
      <c r="G4175" s="554">
        <v>1</v>
      </c>
      <c r="H4175">
        <v>0.11789851799999999</v>
      </c>
    </row>
    <row r="4176" spans="2:8">
      <c r="B4176" s="555" t="s">
        <v>2373</v>
      </c>
      <c r="C4176" s="555" t="str">
        <f>VLOOKUP(D4176,기본!$D$13:$E$74,2,0)</f>
        <v>코웨이</v>
      </c>
      <c r="D4176" t="s">
        <v>2194</v>
      </c>
      <c r="E4176" t="s">
        <v>1820</v>
      </c>
      <c r="F4176" t="s">
        <v>1820</v>
      </c>
      <c r="G4176" s="554">
        <v>1</v>
      </c>
      <c r="H4176">
        <v>0.11789851799999999</v>
      </c>
    </row>
    <row r="4177" spans="2:8">
      <c r="B4177" s="555" t="s">
        <v>2373</v>
      </c>
      <c r="C4177" s="555" t="str">
        <f>VLOOKUP(D4177,기본!$D$13:$E$74,2,0)</f>
        <v>코웨이</v>
      </c>
      <c r="D4177" t="s">
        <v>2194</v>
      </c>
      <c r="E4177" t="s">
        <v>2370</v>
      </c>
      <c r="F4177" t="s">
        <v>2370</v>
      </c>
      <c r="G4177" s="554">
        <v>1</v>
      </c>
      <c r="H4177">
        <v>0.17185057799999998</v>
      </c>
    </row>
    <row r="4178" spans="2:8">
      <c r="B4178" s="555" t="s">
        <v>2373</v>
      </c>
      <c r="C4178" s="555" t="str">
        <f>VLOOKUP(D4178,기본!$D$13:$E$74,2,0)</f>
        <v>코웨이</v>
      </c>
      <c r="D4178" t="s">
        <v>2194</v>
      </c>
      <c r="E4178" t="s">
        <v>2371</v>
      </c>
      <c r="F4178" t="s">
        <v>2371</v>
      </c>
      <c r="G4178" s="554">
        <v>1</v>
      </c>
      <c r="H4178">
        <v>0.17185057799999998</v>
      </c>
    </row>
    <row r="4179" spans="2:8">
      <c r="B4179" s="555" t="s">
        <v>2373</v>
      </c>
      <c r="C4179" s="555" t="str">
        <f>VLOOKUP(D4179,기본!$D$13:$E$74,2,0)</f>
        <v>코웨이</v>
      </c>
      <c r="D4179" t="s">
        <v>2194</v>
      </c>
      <c r="E4179" t="s">
        <v>1822</v>
      </c>
      <c r="F4179" t="s">
        <v>1822</v>
      </c>
      <c r="G4179" s="554">
        <v>20</v>
      </c>
      <c r="H4179">
        <v>3.6336564999999998</v>
      </c>
    </row>
    <row r="4180" spans="2:8">
      <c r="B4180" s="555" t="s">
        <v>2373</v>
      </c>
      <c r="C4180" s="555" t="str">
        <f>VLOOKUP(D4180,기본!$D$13:$E$74,2,0)</f>
        <v>코웨이</v>
      </c>
      <c r="D4180" t="s">
        <v>2194</v>
      </c>
      <c r="E4180" t="s">
        <v>2196</v>
      </c>
      <c r="F4180" t="s">
        <v>2196</v>
      </c>
      <c r="G4180" s="554">
        <v>5600</v>
      </c>
      <c r="H4180">
        <v>473.42954960000003</v>
      </c>
    </row>
    <row r="4181" spans="2:8">
      <c r="B4181" s="555" t="s">
        <v>2373</v>
      </c>
      <c r="C4181" s="555" t="str">
        <f>VLOOKUP(D4181,기본!$D$13:$E$74,2,0)</f>
        <v>코웨이</v>
      </c>
      <c r="D4181" t="s">
        <v>2010</v>
      </c>
      <c r="E4181" t="s">
        <v>2011</v>
      </c>
      <c r="F4181" t="s">
        <v>2011</v>
      </c>
      <c r="G4181" s="554">
        <v>26</v>
      </c>
      <c r="H4181">
        <v>0.128856</v>
      </c>
    </row>
    <row r="4182" spans="2:8">
      <c r="B4182" s="555" t="s">
        <v>2373</v>
      </c>
      <c r="C4182" s="555" t="str">
        <f>VLOOKUP(D4182,기본!$D$13:$E$74,2,0)</f>
        <v>코웨이</v>
      </c>
      <c r="D4182" t="s">
        <v>2010</v>
      </c>
      <c r="E4182" t="s">
        <v>2014</v>
      </c>
      <c r="F4182" t="s">
        <v>2014</v>
      </c>
      <c r="G4182" s="554">
        <v>9119</v>
      </c>
      <c r="H4182">
        <v>79.574243999999993</v>
      </c>
    </row>
    <row r="4183" spans="2:8">
      <c r="B4183" s="555" t="s">
        <v>2373</v>
      </c>
      <c r="C4183" s="555" t="str">
        <f>VLOOKUP(D4183,기본!$D$13:$E$74,2,0)</f>
        <v>코웨이</v>
      </c>
      <c r="D4183" t="s">
        <v>2010</v>
      </c>
      <c r="E4183" t="s">
        <v>1093</v>
      </c>
      <c r="F4183" t="s">
        <v>1093</v>
      </c>
      <c r="G4183" s="554">
        <v>551</v>
      </c>
      <c r="H4183">
        <v>2.962046</v>
      </c>
    </row>
    <row r="4184" spans="2:8">
      <c r="B4184" s="555" t="s">
        <v>2373</v>
      </c>
      <c r="C4184" s="555" t="str">
        <f>VLOOKUP(D4184,기본!$D$13:$E$74,2,0)</f>
        <v>코웨이</v>
      </c>
      <c r="D4184" t="s">
        <v>2010</v>
      </c>
      <c r="E4184" t="s">
        <v>1094</v>
      </c>
      <c r="F4184" t="s">
        <v>1094</v>
      </c>
      <c r="G4184" s="554">
        <v>20</v>
      </c>
      <c r="H4184">
        <v>8.2140000000000005E-2</v>
      </c>
    </row>
    <row r="4185" spans="2:8">
      <c r="B4185" s="555" t="s">
        <v>2373</v>
      </c>
      <c r="C4185" s="555" t="str">
        <f>VLOOKUP(D4185,기본!$D$13:$E$74,2,0)</f>
        <v>코웨이</v>
      </c>
      <c r="D4185" t="s">
        <v>2010</v>
      </c>
      <c r="E4185" t="s">
        <v>1095</v>
      </c>
      <c r="F4185" t="s">
        <v>1095</v>
      </c>
      <c r="G4185" s="554">
        <v>10</v>
      </c>
      <c r="H4185">
        <v>6.5129999999999993E-2</v>
      </c>
    </row>
    <row r="4186" spans="2:8">
      <c r="B4186" s="555" t="s">
        <v>2373</v>
      </c>
      <c r="C4186" s="555" t="str">
        <f>VLOOKUP(D4186,기본!$D$13:$E$74,2,0)</f>
        <v>코웨이</v>
      </c>
      <c r="D4186" t="s">
        <v>2010</v>
      </c>
      <c r="E4186" t="s">
        <v>2015</v>
      </c>
      <c r="F4186" t="s">
        <v>2015</v>
      </c>
      <c r="G4186" s="554">
        <v>30</v>
      </c>
      <c r="H4186">
        <v>0.38657999999999998</v>
      </c>
    </row>
    <row r="4187" spans="2:8">
      <c r="B4187" s="555" t="s">
        <v>2373</v>
      </c>
      <c r="C4187" s="555" t="str">
        <f>VLOOKUP(D4187,기본!$D$13:$E$74,2,0)</f>
        <v>코웨이</v>
      </c>
      <c r="D4187" t="s">
        <v>2010</v>
      </c>
      <c r="E4187" t="s">
        <v>2197</v>
      </c>
      <c r="F4187" t="s">
        <v>2197</v>
      </c>
      <c r="G4187" s="554">
        <v>193</v>
      </c>
      <c r="H4187">
        <v>1.461203</v>
      </c>
    </row>
    <row r="4188" spans="2:8">
      <c r="B4188" s="555" t="s">
        <v>2373</v>
      </c>
      <c r="C4188" s="555" t="str">
        <f>VLOOKUP(D4188,기본!$D$13:$E$74,2,0)</f>
        <v>코웨이</v>
      </c>
      <c r="D4188" t="s">
        <v>2010</v>
      </c>
      <c r="E4188" t="s">
        <v>2016</v>
      </c>
      <c r="F4188" t="s">
        <v>2016</v>
      </c>
      <c r="G4188" s="554">
        <v>21</v>
      </c>
      <c r="H4188">
        <v>0.17014199999999999</v>
      </c>
    </row>
    <row r="4189" spans="2:8">
      <c r="B4189" s="555" t="s">
        <v>2373</v>
      </c>
      <c r="C4189" s="555" t="str">
        <f>VLOOKUP(D4189,기본!$D$13:$E$74,2,0)</f>
        <v>코웨이</v>
      </c>
      <c r="D4189" t="s">
        <v>2010</v>
      </c>
      <c r="E4189" t="s">
        <v>2228</v>
      </c>
      <c r="F4189" t="s">
        <v>2228</v>
      </c>
      <c r="G4189" s="554">
        <v>225</v>
      </c>
      <c r="H4189">
        <v>1.9737</v>
      </c>
    </row>
    <row r="4190" spans="2:8">
      <c r="B4190" s="555" t="s">
        <v>2373</v>
      </c>
      <c r="C4190" s="555" t="str">
        <f>VLOOKUP(D4190,기본!$D$13:$E$74,2,0)</f>
        <v>코웨이</v>
      </c>
      <c r="D4190" t="s">
        <v>2010</v>
      </c>
      <c r="E4190" t="s">
        <v>2229</v>
      </c>
      <c r="F4190" t="s">
        <v>2229</v>
      </c>
      <c r="G4190" s="554">
        <v>694</v>
      </c>
      <c r="H4190">
        <v>10.49141</v>
      </c>
    </row>
    <row r="4191" spans="2:8">
      <c r="B4191" s="555" t="s">
        <v>2373</v>
      </c>
      <c r="C4191" s="555" t="str">
        <f>VLOOKUP(D4191,기본!$D$13:$E$74,2,0)</f>
        <v>코웨이</v>
      </c>
      <c r="D4191" t="s">
        <v>2010</v>
      </c>
      <c r="E4191" t="s">
        <v>2149</v>
      </c>
      <c r="F4191" t="s">
        <v>2149</v>
      </c>
      <c r="G4191" s="554">
        <v>25</v>
      </c>
      <c r="H4191">
        <v>0.24925</v>
      </c>
    </row>
    <row r="4192" spans="2:8">
      <c r="B4192" s="555" t="s">
        <v>2373</v>
      </c>
      <c r="C4192" s="555" t="str">
        <f>VLOOKUP(D4192,기본!$D$13:$E$74,2,0)</f>
        <v>코웨이</v>
      </c>
      <c r="D4192" t="s">
        <v>2010</v>
      </c>
      <c r="E4192" t="s">
        <v>2017</v>
      </c>
      <c r="F4192" t="s">
        <v>2017</v>
      </c>
      <c r="G4192" s="554">
        <v>3</v>
      </c>
      <c r="H4192">
        <v>3.6887999999999997E-2</v>
      </c>
    </row>
    <row r="4193" spans="2:8">
      <c r="B4193" s="555" t="s">
        <v>2373</v>
      </c>
      <c r="C4193" s="555" t="str">
        <f>VLOOKUP(D4193,기본!$D$13:$E$74,2,0)</f>
        <v>코웨이</v>
      </c>
      <c r="D4193" t="s">
        <v>2010</v>
      </c>
      <c r="E4193" t="s">
        <v>2018</v>
      </c>
      <c r="F4193" t="s">
        <v>2018</v>
      </c>
      <c r="G4193" s="554">
        <v>150</v>
      </c>
      <c r="H4193">
        <v>1.9255500000000001</v>
      </c>
    </row>
    <row r="4194" spans="2:8">
      <c r="B4194" s="555" t="s">
        <v>2373</v>
      </c>
      <c r="C4194" s="555" t="str">
        <f>VLOOKUP(D4194,기본!$D$13:$E$74,2,0)</f>
        <v>코웨이</v>
      </c>
      <c r="D4194" t="s">
        <v>2010</v>
      </c>
      <c r="E4194" t="s">
        <v>2019</v>
      </c>
      <c r="F4194" t="s">
        <v>2019</v>
      </c>
      <c r="G4194" s="554">
        <v>500</v>
      </c>
      <c r="H4194">
        <v>8.2675000000000001</v>
      </c>
    </row>
    <row r="4195" spans="2:8">
      <c r="B4195" s="555" t="s">
        <v>2373</v>
      </c>
      <c r="C4195" s="555" t="str">
        <f>VLOOKUP(D4195,기본!$D$13:$E$74,2,0)</f>
        <v>코웨이</v>
      </c>
      <c r="D4195" t="s">
        <v>2010</v>
      </c>
      <c r="E4195" t="s">
        <v>2020</v>
      </c>
      <c r="F4195" t="s">
        <v>2020</v>
      </c>
      <c r="G4195" s="554">
        <v>48</v>
      </c>
      <c r="H4195">
        <v>0.73996799999999996</v>
      </c>
    </row>
    <row r="4196" spans="2:8">
      <c r="B4196" s="555" t="s">
        <v>2373</v>
      </c>
      <c r="C4196" s="555" t="str">
        <f>VLOOKUP(D4196,기본!$D$13:$E$74,2,0)</f>
        <v>코웨이</v>
      </c>
      <c r="D4196" t="s">
        <v>2010</v>
      </c>
      <c r="E4196" t="s">
        <v>2021</v>
      </c>
      <c r="F4196" t="s">
        <v>2021</v>
      </c>
      <c r="G4196" s="554">
        <v>12002</v>
      </c>
      <c r="H4196">
        <v>154.66107199999999</v>
      </c>
    </row>
    <row r="4197" spans="2:8">
      <c r="B4197" s="555" t="s">
        <v>2373</v>
      </c>
      <c r="C4197" s="555" t="str">
        <f>VLOOKUP(D4197,기본!$D$13:$E$74,2,0)</f>
        <v>코웨이</v>
      </c>
      <c r="D4197" t="s">
        <v>2010</v>
      </c>
      <c r="E4197" t="s">
        <v>1542</v>
      </c>
      <c r="F4197" t="s">
        <v>1542</v>
      </c>
      <c r="G4197" s="554">
        <v>1359</v>
      </c>
      <c r="H4197">
        <v>10.613789999999998</v>
      </c>
    </row>
    <row r="4198" spans="2:8">
      <c r="B4198" s="555" t="s">
        <v>2373</v>
      </c>
      <c r="C4198" s="555" t="str">
        <f>VLOOKUP(D4198,기본!$D$13:$E$74,2,0)</f>
        <v>코웨이</v>
      </c>
      <c r="D4198" t="s">
        <v>2010</v>
      </c>
      <c r="E4198" t="s">
        <v>1543</v>
      </c>
      <c r="F4198" t="s">
        <v>1543</v>
      </c>
      <c r="G4198" s="554">
        <v>292</v>
      </c>
      <c r="H4198">
        <v>2.1018160000000004</v>
      </c>
    </row>
    <row r="4199" spans="2:8">
      <c r="B4199" s="555" t="s">
        <v>2373</v>
      </c>
      <c r="C4199" s="555" t="str">
        <f>VLOOKUP(D4199,기본!$D$13:$E$74,2,0)</f>
        <v>코웨이</v>
      </c>
      <c r="D4199" t="s">
        <v>2010</v>
      </c>
      <c r="E4199" t="s">
        <v>2022</v>
      </c>
      <c r="F4199" t="s">
        <v>2022</v>
      </c>
      <c r="G4199" s="554">
        <v>135</v>
      </c>
      <c r="H4199">
        <v>1.052325</v>
      </c>
    </row>
    <row r="4200" spans="2:8">
      <c r="B4200" s="555" t="s">
        <v>2373</v>
      </c>
      <c r="C4200" s="555" t="str">
        <f>VLOOKUP(D4200,기본!$D$13:$E$74,2,0)</f>
        <v>코웨이</v>
      </c>
      <c r="D4200" t="s">
        <v>2010</v>
      </c>
      <c r="E4200" t="s">
        <v>2023</v>
      </c>
      <c r="F4200" t="s">
        <v>2023</v>
      </c>
      <c r="G4200" s="554">
        <v>1684</v>
      </c>
      <c r="H4200">
        <v>12.328506000000001</v>
      </c>
    </row>
    <row r="4201" spans="2:8">
      <c r="B4201" s="555" t="s">
        <v>2373</v>
      </c>
      <c r="C4201" s="555" t="str">
        <f>VLOOKUP(D4201,기본!$D$13:$E$74,2,0)</f>
        <v>코웨이</v>
      </c>
      <c r="D4201" t="s">
        <v>2010</v>
      </c>
      <c r="E4201" t="s">
        <v>2025</v>
      </c>
      <c r="F4201" t="s">
        <v>2025</v>
      </c>
      <c r="G4201" s="554">
        <v>732</v>
      </c>
      <c r="H4201">
        <v>6.5861799999999997</v>
      </c>
    </row>
    <row r="4202" spans="2:8">
      <c r="B4202" s="555" t="s">
        <v>2373</v>
      </c>
      <c r="C4202" s="555" t="str">
        <f>VLOOKUP(D4202,기본!$D$13:$E$74,2,0)</f>
        <v>코웨이</v>
      </c>
      <c r="D4202" t="s">
        <v>2010</v>
      </c>
      <c r="E4202" t="s">
        <v>2026</v>
      </c>
      <c r="F4202" t="s">
        <v>2026</v>
      </c>
      <c r="G4202" s="554">
        <v>108</v>
      </c>
      <c r="H4202">
        <v>1.84032</v>
      </c>
    </row>
    <row r="4203" spans="2:8">
      <c r="B4203" s="555" t="s">
        <v>2373</v>
      </c>
      <c r="C4203" s="555" t="str">
        <f>VLOOKUP(D4203,기본!$D$13:$E$74,2,0)</f>
        <v>코웨이</v>
      </c>
      <c r="D4203" t="s">
        <v>2010</v>
      </c>
      <c r="E4203" t="s">
        <v>2027</v>
      </c>
      <c r="F4203" t="s">
        <v>2027</v>
      </c>
      <c r="G4203" s="554">
        <v>35</v>
      </c>
      <c r="H4203">
        <v>0.67900000000000005</v>
      </c>
    </row>
    <row r="4204" spans="2:8">
      <c r="B4204" s="555" t="s">
        <v>2373</v>
      </c>
      <c r="C4204" s="555" t="str">
        <f>VLOOKUP(D4204,기본!$D$13:$E$74,2,0)</f>
        <v>코웨이</v>
      </c>
      <c r="D4204" t="s">
        <v>2010</v>
      </c>
      <c r="E4204" t="s">
        <v>2028</v>
      </c>
      <c r="F4204" t="s">
        <v>2028</v>
      </c>
      <c r="G4204" s="554">
        <v>20</v>
      </c>
      <c r="H4204">
        <v>0.378</v>
      </c>
    </row>
    <row r="4205" spans="2:8">
      <c r="B4205" s="555" t="s">
        <v>2373</v>
      </c>
      <c r="C4205" s="555" t="str">
        <f>VLOOKUP(D4205,기본!$D$13:$E$74,2,0)</f>
        <v>코웨이</v>
      </c>
      <c r="D4205" t="s">
        <v>2010</v>
      </c>
      <c r="E4205" t="s">
        <v>2029</v>
      </c>
      <c r="F4205" t="s">
        <v>2029</v>
      </c>
      <c r="G4205" s="554">
        <v>156</v>
      </c>
      <c r="H4205">
        <v>3.2115719999999999</v>
      </c>
    </row>
    <row r="4206" spans="2:8">
      <c r="B4206" s="555" t="s">
        <v>2373</v>
      </c>
      <c r="C4206" s="555" t="str">
        <f>VLOOKUP(D4206,기본!$D$13:$E$74,2,0)</f>
        <v>코웨이</v>
      </c>
      <c r="D4206" t="s">
        <v>2010</v>
      </c>
      <c r="E4206" t="s">
        <v>2030</v>
      </c>
      <c r="F4206" t="s">
        <v>2030</v>
      </c>
      <c r="G4206" s="554">
        <v>208</v>
      </c>
      <c r="H4206">
        <v>4.256176</v>
      </c>
    </row>
    <row r="4207" spans="2:8">
      <c r="B4207" s="555" t="s">
        <v>2373</v>
      </c>
      <c r="C4207" s="555" t="str">
        <f>VLOOKUP(D4207,기본!$D$13:$E$74,2,0)</f>
        <v>코웨이</v>
      </c>
      <c r="D4207" t="s">
        <v>2010</v>
      </c>
      <c r="E4207" t="s">
        <v>2031</v>
      </c>
      <c r="F4207" t="s">
        <v>2031</v>
      </c>
      <c r="G4207" s="554">
        <v>3</v>
      </c>
      <c r="H4207">
        <v>4.1730000000000003E-2</v>
      </c>
    </row>
    <row r="4208" spans="2:8">
      <c r="B4208" s="555" t="s">
        <v>2373</v>
      </c>
      <c r="C4208" s="555" t="str">
        <f>VLOOKUP(D4208,기본!$D$13:$E$74,2,0)</f>
        <v>코웨이</v>
      </c>
      <c r="D4208" t="s">
        <v>2010</v>
      </c>
      <c r="E4208" t="s">
        <v>2151</v>
      </c>
      <c r="F4208" t="s">
        <v>2151</v>
      </c>
      <c r="G4208" s="554">
        <v>160</v>
      </c>
      <c r="H4208">
        <v>1.1894400000000001</v>
      </c>
    </row>
    <row r="4209" spans="2:8">
      <c r="B4209" s="555" t="s">
        <v>2373</v>
      </c>
      <c r="C4209" s="555" t="str">
        <f>VLOOKUP(D4209,기본!$D$13:$E$74,2,0)</f>
        <v>코웨이</v>
      </c>
      <c r="D4209" t="s">
        <v>2010</v>
      </c>
      <c r="E4209" t="s">
        <v>2032</v>
      </c>
      <c r="F4209" t="s">
        <v>2032</v>
      </c>
      <c r="G4209" s="554">
        <v>345</v>
      </c>
      <c r="H4209">
        <v>0.762795</v>
      </c>
    </row>
    <row r="4210" spans="2:8">
      <c r="B4210" s="555" t="s">
        <v>2373</v>
      </c>
      <c r="C4210" s="555" t="str">
        <f>VLOOKUP(D4210,기본!$D$13:$E$74,2,0)</f>
        <v>코웨이</v>
      </c>
      <c r="D4210" t="s">
        <v>2010</v>
      </c>
      <c r="E4210" t="s">
        <v>2033</v>
      </c>
      <c r="F4210" t="s">
        <v>2033</v>
      </c>
      <c r="G4210" s="554">
        <v>2440</v>
      </c>
      <c r="H4210">
        <v>15.64284</v>
      </c>
    </row>
    <row r="4211" spans="2:8">
      <c r="B4211" s="555" t="s">
        <v>2373</v>
      </c>
      <c r="C4211" s="555" t="str">
        <f>VLOOKUP(D4211,기본!$D$13:$E$74,2,0)</f>
        <v>코웨이</v>
      </c>
      <c r="D4211" t="s">
        <v>2010</v>
      </c>
      <c r="E4211" t="s">
        <v>2034</v>
      </c>
      <c r="F4211" t="s">
        <v>2034</v>
      </c>
      <c r="G4211" s="554">
        <v>12995</v>
      </c>
      <c r="H4211">
        <v>202.92547000000002</v>
      </c>
    </row>
    <row r="4212" spans="2:8">
      <c r="B4212" s="555" t="s">
        <v>2373</v>
      </c>
      <c r="C4212" s="555" t="str">
        <f>VLOOKUP(D4212,기본!$D$13:$E$74,2,0)</f>
        <v>코웨이</v>
      </c>
      <c r="D4212" t="s">
        <v>2010</v>
      </c>
      <c r="E4212" t="s">
        <v>2303</v>
      </c>
      <c r="F4212" t="s">
        <v>2303</v>
      </c>
      <c r="G4212" s="554">
        <v>4000</v>
      </c>
      <c r="H4212">
        <v>36.231999999999999</v>
      </c>
    </row>
    <row r="4213" spans="2:8">
      <c r="B4213" s="555" t="s">
        <v>2373</v>
      </c>
      <c r="C4213" s="555" t="str">
        <f>VLOOKUP(D4213,기본!$D$13:$E$74,2,0)</f>
        <v>코웨이</v>
      </c>
      <c r="D4213" t="s">
        <v>2010</v>
      </c>
      <c r="E4213" t="s">
        <v>2035</v>
      </c>
      <c r="F4213" t="s">
        <v>2035</v>
      </c>
      <c r="G4213" s="554">
        <v>527</v>
      </c>
      <c r="H4213">
        <v>8.8140750000000008</v>
      </c>
    </row>
    <row r="4214" spans="2:8">
      <c r="B4214" s="555" t="s">
        <v>2373</v>
      </c>
      <c r="C4214" s="555" t="str">
        <f>VLOOKUP(D4214,기본!$D$13:$E$74,2,0)</f>
        <v>코웨이</v>
      </c>
      <c r="D4214" t="s">
        <v>2010</v>
      </c>
      <c r="E4214" t="s">
        <v>2249</v>
      </c>
      <c r="F4214" t="s">
        <v>2249</v>
      </c>
      <c r="G4214" s="554">
        <v>123</v>
      </c>
      <c r="H4214">
        <v>2.5123359999999999</v>
      </c>
    </row>
    <row r="4215" spans="2:8">
      <c r="B4215" s="555" t="s">
        <v>2373</v>
      </c>
      <c r="C4215" s="555" t="str">
        <f>VLOOKUP(D4215,기본!$D$13:$E$74,2,0)</f>
        <v>코웨이</v>
      </c>
      <c r="D4215" t="s">
        <v>2010</v>
      </c>
      <c r="E4215" t="s">
        <v>2036</v>
      </c>
      <c r="F4215" t="s">
        <v>2036</v>
      </c>
      <c r="G4215" s="554">
        <v>2069</v>
      </c>
      <c r="H4215">
        <v>34.779339</v>
      </c>
    </row>
    <row r="4216" spans="2:8">
      <c r="B4216" s="555" t="s">
        <v>2373</v>
      </c>
      <c r="C4216" s="555" t="str">
        <f>VLOOKUP(D4216,기본!$D$13:$E$74,2,0)</f>
        <v>코웨이</v>
      </c>
      <c r="D4216" t="s">
        <v>2010</v>
      </c>
      <c r="E4216" t="s">
        <v>2038</v>
      </c>
      <c r="F4216" t="s">
        <v>2038</v>
      </c>
      <c r="G4216" s="554">
        <v>200</v>
      </c>
      <c r="H4216">
        <v>3.1781999999999999</v>
      </c>
    </row>
    <row r="4217" spans="2:8">
      <c r="B4217" s="555" t="s">
        <v>2373</v>
      </c>
      <c r="C4217" s="555" t="str">
        <f>VLOOKUP(D4217,기본!$D$13:$E$74,2,0)</f>
        <v>코웨이</v>
      </c>
      <c r="D4217" t="s">
        <v>2010</v>
      </c>
      <c r="E4217" t="s">
        <v>2041</v>
      </c>
      <c r="F4217" t="s">
        <v>2041</v>
      </c>
      <c r="G4217" s="554">
        <v>194</v>
      </c>
      <c r="H4217">
        <v>3.1977359999999999</v>
      </c>
    </row>
    <row r="4218" spans="2:8">
      <c r="B4218" s="555" t="s">
        <v>2373</v>
      </c>
      <c r="C4218" s="555" t="str">
        <f>VLOOKUP(D4218,기본!$D$13:$E$74,2,0)</f>
        <v>코웨이</v>
      </c>
      <c r="D4218" t="s">
        <v>2010</v>
      </c>
      <c r="E4218" t="s">
        <v>1089</v>
      </c>
      <c r="F4218" t="s">
        <v>1089</v>
      </c>
      <c r="G4218" s="554">
        <v>1313</v>
      </c>
      <c r="H4218">
        <v>14.744750999999999</v>
      </c>
    </row>
    <row r="4219" spans="2:8">
      <c r="B4219" s="555" t="s">
        <v>2373</v>
      </c>
      <c r="C4219" s="555" t="str">
        <f>VLOOKUP(D4219,기본!$D$13:$E$74,2,0)</f>
        <v>코웨이</v>
      </c>
      <c r="D4219" t="s">
        <v>2010</v>
      </c>
      <c r="E4219" t="s">
        <v>2363</v>
      </c>
      <c r="F4219" t="s">
        <v>2363</v>
      </c>
      <c r="G4219" s="554">
        <v>655</v>
      </c>
      <c r="H4219">
        <v>10.77511</v>
      </c>
    </row>
    <row r="4220" spans="2:8">
      <c r="B4220" s="555" t="s">
        <v>2373</v>
      </c>
      <c r="C4220" s="555" t="str">
        <f>VLOOKUP(D4220,기본!$D$13:$E$74,2,0)</f>
        <v>코웨이</v>
      </c>
      <c r="D4220" t="s">
        <v>2010</v>
      </c>
      <c r="E4220" t="s">
        <v>2042</v>
      </c>
      <c r="F4220" t="s">
        <v>2042</v>
      </c>
      <c r="G4220" s="554">
        <v>9</v>
      </c>
      <c r="H4220">
        <v>6.6501000000000005E-2</v>
      </c>
    </row>
    <row r="4221" spans="2:8">
      <c r="B4221" s="555" t="s">
        <v>2373</v>
      </c>
      <c r="C4221" s="555" t="str">
        <f>VLOOKUP(D4221,기본!$D$13:$E$74,2,0)</f>
        <v>코웨이</v>
      </c>
      <c r="D4221" t="s">
        <v>2010</v>
      </c>
      <c r="E4221" t="s">
        <v>2044</v>
      </c>
      <c r="F4221" t="s">
        <v>2044</v>
      </c>
      <c r="G4221" s="554">
        <v>19</v>
      </c>
      <c r="H4221">
        <v>0.33618599999999998</v>
      </c>
    </row>
    <row r="4222" spans="2:8">
      <c r="B4222" s="555" t="s">
        <v>2373</v>
      </c>
      <c r="C4222" s="555" t="str">
        <f>VLOOKUP(D4222,기본!$D$13:$E$74,2,0)</f>
        <v>코웨이</v>
      </c>
      <c r="D4222" t="s">
        <v>2010</v>
      </c>
      <c r="E4222" t="s">
        <v>2152</v>
      </c>
      <c r="F4222" t="s">
        <v>2152</v>
      </c>
      <c r="G4222" s="554">
        <v>17</v>
      </c>
      <c r="H4222">
        <v>6.4327999999999996E-2</v>
      </c>
    </row>
    <row r="4223" spans="2:8">
      <c r="B4223" s="555" t="s">
        <v>2373</v>
      </c>
      <c r="C4223" s="555" t="str">
        <f>VLOOKUP(D4223,기본!$D$13:$E$74,2,0)</f>
        <v>코웨이</v>
      </c>
      <c r="D4223" t="s">
        <v>2010</v>
      </c>
      <c r="E4223" t="s">
        <v>2045</v>
      </c>
      <c r="F4223" t="s">
        <v>2045</v>
      </c>
      <c r="G4223" s="554">
        <v>48</v>
      </c>
      <c r="H4223">
        <v>0.81297600000000003</v>
      </c>
    </row>
    <row r="4224" spans="2:8">
      <c r="B4224" s="555" t="s">
        <v>2373</v>
      </c>
      <c r="C4224" s="555" t="str">
        <f>VLOOKUP(D4224,기본!$D$13:$E$74,2,0)</f>
        <v>코웨이</v>
      </c>
      <c r="D4224" t="s">
        <v>2010</v>
      </c>
      <c r="E4224" t="s">
        <v>2046</v>
      </c>
      <c r="F4224" t="s">
        <v>2046</v>
      </c>
      <c r="G4224" s="554">
        <v>2115</v>
      </c>
      <c r="H4224">
        <v>32.911645</v>
      </c>
    </row>
    <row r="4225" spans="2:8">
      <c r="B4225" s="555" t="s">
        <v>2373</v>
      </c>
      <c r="C4225" s="555" t="str">
        <f>VLOOKUP(D4225,기본!$D$13:$E$74,2,0)</f>
        <v>코웨이</v>
      </c>
      <c r="D4225" t="s">
        <v>2010</v>
      </c>
      <c r="E4225" t="s">
        <v>2049</v>
      </c>
      <c r="F4225" t="s">
        <v>2049</v>
      </c>
      <c r="G4225" s="554">
        <v>16</v>
      </c>
      <c r="H4225">
        <v>0.384496</v>
      </c>
    </row>
    <row r="4226" spans="2:8">
      <c r="B4226" s="555" t="s">
        <v>2373</v>
      </c>
      <c r="C4226" s="555" t="str">
        <f>VLOOKUP(D4226,기본!$D$13:$E$74,2,0)</f>
        <v>코웨이</v>
      </c>
      <c r="D4226" t="s">
        <v>2010</v>
      </c>
      <c r="E4226" t="s">
        <v>1215</v>
      </c>
      <c r="F4226" t="s">
        <v>1215</v>
      </c>
      <c r="G4226" s="554">
        <v>255</v>
      </c>
      <c r="H4226">
        <v>7.8035699999999997</v>
      </c>
    </row>
    <row r="4227" spans="2:8">
      <c r="B4227" s="555" t="s">
        <v>2373</v>
      </c>
      <c r="C4227" s="555" t="str">
        <f>VLOOKUP(D4227,기본!$D$13:$E$74,2,0)</f>
        <v>코웨이</v>
      </c>
      <c r="D4227" t="s">
        <v>2010</v>
      </c>
      <c r="E4227" t="s">
        <v>1216</v>
      </c>
      <c r="F4227" t="s">
        <v>1216</v>
      </c>
      <c r="G4227" s="554">
        <v>9</v>
      </c>
      <c r="H4227">
        <v>0.24255899999999997</v>
      </c>
    </row>
    <row r="4228" spans="2:8">
      <c r="B4228" s="555" t="s">
        <v>2373</v>
      </c>
      <c r="C4228" s="555" t="str">
        <f>VLOOKUP(D4228,기본!$D$13:$E$74,2,0)</f>
        <v>코웨이</v>
      </c>
      <c r="D4228" t="s">
        <v>2010</v>
      </c>
      <c r="E4228" t="s">
        <v>2050</v>
      </c>
      <c r="F4228" t="s">
        <v>2050</v>
      </c>
      <c r="G4228" s="554">
        <v>18</v>
      </c>
      <c r="H4228">
        <v>0.43666199999999999</v>
      </c>
    </row>
    <row r="4229" spans="2:8">
      <c r="B4229" s="555" t="s">
        <v>2373</v>
      </c>
      <c r="C4229" s="555" t="str">
        <f>VLOOKUP(D4229,기본!$D$13:$E$74,2,0)</f>
        <v>코웨이</v>
      </c>
      <c r="D4229" t="s">
        <v>2010</v>
      </c>
      <c r="E4229" t="s">
        <v>2051</v>
      </c>
      <c r="F4229" t="s">
        <v>2051</v>
      </c>
      <c r="G4229" s="554">
        <v>400</v>
      </c>
      <c r="H4229">
        <v>9.6825989999999997</v>
      </c>
    </row>
    <row r="4230" spans="2:8">
      <c r="B4230" s="555" t="s">
        <v>2373</v>
      </c>
      <c r="C4230" s="555" t="str">
        <f>VLOOKUP(D4230,기본!$D$13:$E$74,2,0)</f>
        <v>코웨이</v>
      </c>
      <c r="D4230" t="s">
        <v>2010</v>
      </c>
      <c r="E4230" t="s">
        <v>2052</v>
      </c>
      <c r="F4230" t="s">
        <v>2052</v>
      </c>
      <c r="G4230" s="554">
        <v>165</v>
      </c>
      <c r="H4230">
        <v>3.8016000000000001</v>
      </c>
    </row>
    <row r="4231" spans="2:8">
      <c r="B4231" s="555" t="s">
        <v>2373</v>
      </c>
      <c r="C4231" s="555" t="str">
        <f>VLOOKUP(D4231,기본!$D$13:$E$74,2,0)</f>
        <v>코웨이</v>
      </c>
      <c r="D4231" t="s">
        <v>2010</v>
      </c>
      <c r="E4231" t="s">
        <v>1217</v>
      </c>
      <c r="F4231" t="s">
        <v>1217</v>
      </c>
      <c r="G4231" s="554">
        <v>41</v>
      </c>
      <c r="H4231">
        <v>1.2992080000000001</v>
      </c>
    </row>
    <row r="4232" spans="2:8">
      <c r="B4232" s="555" t="s">
        <v>2373</v>
      </c>
      <c r="C4232" s="555" t="str">
        <f>VLOOKUP(D4232,기본!$D$13:$E$74,2,0)</f>
        <v>코웨이</v>
      </c>
      <c r="D4232" t="s">
        <v>2010</v>
      </c>
      <c r="E4232" t="s">
        <v>2055</v>
      </c>
      <c r="F4232" t="s">
        <v>2055</v>
      </c>
      <c r="G4232" s="554">
        <v>10</v>
      </c>
      <c r="H4232">
        <v>0.28606399999999998</v>
      </c>
    </row>
    <row r="4233" spans="2:8">
      <c r="B4233" s="555" t="s">
        <v>2373</v>
      </c>
      <c r="C4233" s="555" t="str">
        <f>VLOOKUP(D4233,기본!$D$13:$E$74,2,0)</f>
        <v>코웨이</v>
      </c>
      <c r="D4233" t="s">
        <v>2010</v>
      </c>
      <c r="E4233" t="s">
        <v>2056</v>
      </c>
      <c r="F4233" t="s">
        <v>2056</v>
      </c>
      <c r="G4233" s="554">
        <v>31</v>
      </c>
      <c r="H4233">
        <v>0.55744199999999999</v>
      </c>
    </row>
    <row r="4234" spans="2:8">
      <c r="B4234" s="555" t="s">
        <v>2373</v>
      </c>
      <c r="C4234" s="555" t="str">
        <f>VLOOKUP(D4234,기본!$D$13:$E$74,2,0)</f>
        <v>코웨이</v>
      </c>
      <c r="D4234" t="s">
        <v>2010</v>
      </c>
      <c r="E4234" t="s">
        <v>2154</v>
      </c>
      <c r="F4234" t="s">
        <v>2154</v>
      </c>
      <c r="G4234" s="554">
        <v>201</v>
      </c>
      <c r="H4234">
        <v>3.9396</v>
      </c>
    </row>
    <row r="4235" spans="2:8">
      <c r="B4235" s="555" t="s">
        <v>2373</v>
      </c>
      <c r="C4235" s="555" t="str">
        <f>VLOOKUP(D4235,기본!$D$13:$E$74,2,0)</f>
        <v>코웨이</v>
      </c>
      <c r="D4235" t="s">
        <v>2010</v>
      </c>
      <c r="E4235" t="s">
        <v>2057</v>
      </c>
      <c r="F4235" t="s">
        <v>2057</v>
      </c>
      <c r="G4235" s="554">
        <v>173</v>
      </c>
      <c r="H4235">
        <v>5.1499929999999994</v>
      </c>
    </row>
    <row r="4236" spans="2:8">
      <c r="B4236" s="555" t="s">
        <v>2373</v>
      </c>
      <c r="C4236" s="555" t="str">
        <f>VLOOKUP(D4236,기본!$D$13:$E$74,2,0)</f>
        <v>코웨이</v>
      </c>
      <c r="D4236" t="s">
        <v>2010</v>
      </c>
      <c r="E4236" t="s">
        <v>1328</v>
      </c>
      <c r="F4236" t="s">
        <v>1328</v>
      </c>
      <c r="G4236" s="554">
        <v>50</v>
      </c>
      <c r="H4236">
        <v>0.15465000000000001</v>
      </c>
    </row>
    <row r="4237" spans="2:8">
      <c r="B4237" s="555" t="s">
        <v>2373</v>
      </c>
      <c r="C4237" s="555" t="str">
        <f>VLOOKUP(D4237,기본!$D$13:$E$74,2,0)</f>
        <v>코웨이</v>
      </c>
      <c r="D4237" t="s">
        <v>2010</v>
      </c>
      <c r="E4237" t="s">
        <v>1327</v>
      </c>
      <c r="F4237" t="s">
        <v>1327</v>
      </c>
      <c r="G4237" s="554">
        <v>50</v>
      </c>
      <c r="H4237">
        <v>0.51444999999999996</v>
      </c>
    </row>
    <row r="4238" spans="2:8">
      <c r="B4238" s="555" t="s">
        <v>2373</v>
      </c>
      <c r="C4238" s="555" t="str">
        <f>VLOOKUP(D4238,기본!$D$13:$E$74,2,0)</f>
        <v>코웨이</v>
      </c>
      <c r="D4238" t="s">
        <v>2010</v>
      </c>
      <c r="E4238" t="s">
        <v>1325</v>
      </c>
      <c r="F4238" t="s">
        <v>1325</v>
      </c>
      <c r="G4238" s="554">
        <v>50</v>
      </c>
      <c r="H4238">
        <v>1.6667000000000001</v>
      </c>
    </row>
    <row r="4239" spans="2:8">
      <c r="B4239" s="555" t="s">
        <v>2373</v>
      </c>
      <c r="C4239" s="555" t="str">
        <f>VLOOKUP(D4239,기본!$D$13:$E$74,2,0)</f>
        <v>코웨이</v>
      </c>
      <c r="D4239" t="s">
        <v>2010</v>
      </c>
      <c r="E4239" t="s">
        <v>2078</v>
      </c>
      <c r="F4239" t="s">
        <v>2078</v>
      </c>
      <c r="G4239" s="554">
        <v>436</v>
      </c>
      <c r="H4239">
        <v>16.310324000000001</v>
      </c>
    </row>
    <row r="4240" spans="2:8">
      <c r="B4240" s="555" t="s">
        <v>2373</v>
      </c>
      <c r="C4240" s="555" t="str">
        <f>VLOOKUP(D4240,기본!$D$13:$E$74,2,0)</f>
        <v>코웨이</v>
      </c>
      <c r="D4240" t="s">
        <v>2010</v>
      </c>
      <c r="E4240" t="s">
        <v>2199</v>
      </c>
      <c r="F4240" t="s">
        <v>2199</v>
      </c>
      <c r="G4240" s="554">
        <v>516</v>
      </c>
      <c r="H4240">
        <v>2.9262359999999998</v>
      </c>
    </row>
    <row r="4241" spans="2:8">
      <c r="B4241" s="555" t="s">
        <v>2373</v>
      </c>
      <c r="C4241" s="555" t="str">
        <f>VLOOKUP(D4241,기본!$D$13:$E$74,2,0)</f>
        <v>코웨이</v>
      </c>
      <c r="D4241" t="s">
        <v>2010</v>
      </c>
      <c r="E4241" t="s">
        <v>1071</v>
      </c>
      <c r="F4241" t="s">
        <v>1071</v>
      </c>
      <c r="G4241" s="554">
        <v>30</v>
      </c>
      <c r="H4241">
        <v>5.3400000000000003E-2</v>
      </c>
    </row>
    <row r="4242" spans="2:8">
      <c r="B4242" s="555" t="s">
        <v>2373</v>
      </c>
      <c r="C4242" s="555" t="str">
        <f>VLOOKUP(D4242,기본!$D$13:$E$74,2,0)</f>
        <v>코웨이</v>
      </c>
      <c r="D4242" t="s">
        <v>2010</v>
      </c>
      <c r="E4242" t="s">
        <v>2155</v>
      </c>
      <c r="F4242" t="s">
        <v>2155</v>
      </c>
      <c r="G4242" s="554">
        <v>144</v>
      </c>
      <c r="H4242">
        <v>0.82079999999999997</v>
      </c>
    </row>
    <row r="4243" spans="2:8">
      <c r="B4243" s="555" t="s">
        <v>2373</v>
      </c>
      <c r="C4243" s="555" t="str">
        <f>VLOOKUP(D4243,기본!$D$13:$E$74,2,0)</f>
        <v>코웨이</v>
      </c>
      <c r="D4243" t="s">
        <v>2010</v>
      </c>
      <c r="E4243" t="s">
        <v>2061</v>
      </c>
      <c r="F4243" t="s">
        <v>2061</v>
      </c>
      <c r="G4243" s="554">
        <v>25</v>
      </c>
      <c r="H4243">
        <v>0.15552499999999997</v>
      </c>
    </row>
    <row r="4244" spans="2:8">
      <c r="B4244" s="555" t="s">
        <v>2373</v>
      </c>
      <c r="C4244" s="555" t="str">
        <f>VLOOKUP(D4244,기본!$D$13:$E$74,2,0)</f>
        <v>코웨이</v>
      </c>
      <c r="D4244" t="s">
        <v>2010</v>
      </c>
      <c r="E4244" t="s">
        <v>2064</v>
      </c>
      <c r="F4244" t="s">
        <v>2064</v>
      </c>
      <c r="G4244" s="554">
        <v>3</v>
      </c>
      <c r="H4244">
        <v>0.110484</v>
      </c>
    </row>
    <row r="4245" spans="2:8">
      <c r="B4245" s="555" t="s">
        <v>2373</v>
      </c>
      <c r="C4245" s="555" t="str">
        <f>VLOOKUP(D4245,기본!$D$13:$E$74,2,0)</f>
        <v>코웨이</v>
      </c>
      <c r="D4245" t="s">
        <v>2010</v>
      </c>
      <c r="E4245" t="s">
        <v>2065</v>
      </c>
      <c r="F4245" t="s">
        <v>2065</v>
      </c>
      <c r="G4245" s="554">
        <v>3</v>
      </c>
      <c r="H4245">
        <v>3.2382000000000001E-2</v>
      </c>
    </row>
    <row r="4246" spans="2:8">
      <c r="B4246" s="555" t="s">
        <v>2373</v>
      </c>
      <c r="C4246" s="555" t="str">
        <f>VLOOKUP(D4246,기본!$D$13:$E$74,2,0)</f>
        <v>코웨이</v>
      </c>
      <c r="D4246" t="s">
        <v>2010</v>
      </c>
      <c r="E4246" t="s">
        <v>1274</v>
      </c>
      <c r="F4246" t="s">
        <v>1274</v>
      </c>
      <c r="G4246" s="554">
        <v>857</v>
      </c>
      <c r="H4246">
        <v>6.2792560000000002</v>
      </c>
    </row>
    <row r="4247" spans="2:8">
      <c r="B4247" s="555" t="s">
        <v>2373</v>
      </c>
      <c r="C4247" s="555" t="str">
        <f>VLOOKUP(D4247,기본!$D$13:$E$74,2,0)</f>
        <v>코웨이</v>
      </c>
      <c r="D4247" t="s">
        <v>2010</v>
      </c>
      <c r="E4247" t="s">
        <v>1289</v>
      </c>
      <c r="F4247" t="s">
        <v>1289</v>
      </c>
      <c r="G4247" s="554">
        <v>110</v>
      </c>
      <c r="H4247">
        <v>0.92048000000000008</v>
      </c>
    </row>
    <row r="4248" spans="2:8">
      <c r="B4248" s="555" t="s">
        <v>2373</v>
      </c>
      <c r="C4248" s="555" t="str">
        <f>VLOOKUP(D4248,기본!$D$13:$E$74,2,0)</f>
        <v>코웨이</v>
      </c>
      <c r="D4248" t="s">
        <v>2010</v>
      </c>
      <c r="E4248" t="s">
        <v>1275</v>
      </c>
      <c r="F4248" t="s">
        <v>1275</v>
      </c>
      <c r="G4248" s="554">
        <v>1026</v>
      </c>
      <c r="H4248">
        <v>7.3706320000000005</v>
      </c>
    </row>
    <row r="4249" spans="2:8">
      <c r="B4249" s="555" t="s">
        <v>2373</v>
      </c>
      <c r="C4249" s="555" t="str">
        <f>VLOOKUP(D4249,기본!$D$13:$E$74,2,0)</f>
        <v>코웨이</v>
      </c>
      <c r="D4249" t="s">
        <v>2010</v>
      </c>
      <c r="E4249" t="s">
        <v>2066</v>
      </c>
      <c r="F4249" t="s">
        <v>2066</v>
      </c>
      <c r="G4249" s="554">
        <v>51</v>
      </c>
      <c r="H4249">
        <v>0.405501</v>
      </c>
    </row>
    <row r="4250" spans="2:8">
      <c r="B4250" s="555" t="s">
        <v>2373</v>
      </c>
      <c r="C4250" s="555" t="str">
        <f>VLOOKUP(D4250,기본!$D$13:$E$74,2,0)</f>
        <v>코웨이</v>
      </c>
      <c r="D4250" t="s">
        <v>2010</v>
      </c>
      <c r="E4250" t="s">
        <v>229</v>
      </c>
      <c r="F4250" t="s">
        <v>229</v>
      </c>
      <c r="G4250" s="554">
        <v>0</v>
      </c>
      <c r="H4250">
        <v>12.164888000000001</v>
      </c>
    </row>
    <row r="4251" spans="2:8">
      <c r="B4251" s="555" t="s">
        <v>2373</v>
      </c>
      <c r="C4251" s="555" t="str">
        <f>VLOOKUP(D4251,기본!$D$13:$E$74,2,0)</f>
        <v>코웨이</v>
      </c>
      <c r="D4251" t="s">
        <v>2067</v>
      </c>
      <c r="E4251" t="s">
        <v>2015</v>
      </c>
      <c r="F4251" t="s">
        <v>2015</v>
      </c>
      <c r="G4251" s="554">
        <v>724</v>
      </c>
      <c r="H4251">
        <v>8.418671999999999</v>
      </c>
    </row>
    <row r="4252" spans="2:8">
      <c r="B4252" s="555" t="s">
        <v>2373</v>
      </c>
      <c r="C4252" s="555" t="str">
        <f>VLOOKUP(D4252,기본!$D$13:$E$74,2,0)</f>
        <v>코웨이</v>
      </c>
      <c r="D4252" t="s">
        <v>2067</v>
      </c>
      <c r="E4252" t="s">
        <v>2016</v>
      </c>
      <c r="F4252" t="s">
        <v>2016</v>
      </c>
      <c r="G4252" s="554">
        <v>3760</v>
      </c>
      <c r="H4252">
        <v>28.466959999999997</v>
      </c>
    </row>
    <row r="4253" spans="2:8">
      <c r="B4253" s="555" t="s">
        <v>2373</v>
      </c>
      <c r="C4253" s="555" t="str">
        <f>VLOOKUP(D4253,기본!$D$13:$E$74,2,0)</f>
        <v>코웨이</v>
      </c>
      <c r="D4253" t="s">
        <v>2067</v>
      </c>
      <c r="E4253" t="s">
        <v>2156</v>
      </c>
      <c r="F4253" t="s">
        <v>2156</v>
      </c>
      <c r="G4253" s="554">
        <v>240</v>
      </c>
      <c r="H4253">
        <v>4.1592000000000002</v>
      </c>
    </row>
    <row r="4254" spans="2:8">
      <c r="B4254" s="555" t="s">
        <v>2373</v>
      </c>
      <c r="C4254" s="555" t="str">
        <f>VLOOKUP(D4254,기본!$D$13:$E$74,2,0)</f>
        <v>코웨이</v>
      </c>
      <c r="D4254" t="s">
        <v>2067</v>
      </c>
      <c r="E4254" t="s">
        <v>2068</v>
      </c>
      <c r="F4254" t="s">
        <v>2068</v>
      </c>
      <c r="G4254" s="554">
        <v>284</v>
      </c>
      <c r="H4254">
        <v>4.8791079999999996</v>
      </c>
    </row>
    <row r="4255" spans="2:8">
      <c r="B4255" s="555" t="s">
        <v>2373</v>
      </c>
      <c r="C4255" s="555" t="str">
        <f>VLOOKUP(D4255,기본!$D$13:$E$74,2,0)</f>
        <v>코웨이</v>
      </c>
      <c r="D4255" t="s">
        <v>2067</v>
      </c>
      <c r="E4255" t="s">
        <v>2069</v>
      </c>
      <c r="F4255" t="s">
        <v>2069</v>
      </c>
      <c r="G4255" s="554">
        <v>166</v>
      </c>
      <c r="H4255">
        <v>2.897548</v>
      </c>
    </row>
    <row r="4256" spans="2:8">
      <c r="B4256" s="555" t="s">
        <v>2373</v>
      </c>
      <c r="C4256" s="555" t="str">
        <f>VLOOKUP(D4256,기본!$D$13:$E$74,2,0)</f>
        <v>코웨이</v>
      </c>
      <c r="D4256" t="s">
        <v>2067</v>
      </c>
      <c r="E4256" t="s">
        <v>2020</v>
      </c>
      <c r="F4256" t="s">
        <v>2020</v>
      </c>
      <c r="G4256" s="554">
        <v>886</v>
      </c>
      <c r="H4256">
        <v>11.77051</v>
      </c>
    </row>
    <row r="4257" spans="2:8">
      <c r="B4257" s="555" t="s">
        <v>2373</v>
      </c>
      <c r="C4257" s="555" t="str">
        <f>VLOOKUP(D4257,기본!$D$13:$E$74,2,0)</f>
        <v>코웨이</v>
      </c>
      <c r="D4257" t="s">
        <v>2067</v>
      </c>
      <c r="E4257" t="s">
        <v>2200</v>
      </c>
      <c r="F4257" t="s">
        <v>2200</v>
      </c>
      <c r="G4257" s="554">
        <v>362</v>
      </c>
      <c r="H4257">
        <v>12.624750000000001</v>
      </c>
    </row>
    <row r="4258" spans="2:8">
      <c r="B4258" s="555" t="s">
        <v>2373</v>
      </c>
      <c r="C4258" s="555" t="str">
        <f>VLOOKUP(D4258,기본!$D$13:$E$74,2,0)</f>
        <v>코웨이</v>
      </c>
      <c r="D4258" t="s">
        <v>2067</v>
      </c>
      <c r="E4258" t="s">
        <v>2201</v>
      </c>
      <c r="F4258" t="s">
        <v>2201</v>
      </c>
      <c r="G4258" s="554">
        <v>362</v>
      </c>
      <c r="H4258">
        <v>3.6721279999999998</v>
      </c>
    </row>
    <row r="4259" spans="2:8">
      <c r="B4259" s="555" t="s">
        <v>2373</v>
      </c>
      <c r="C4259" s="555" t="str">
        <f>VLOOKUP(D4259,기본!$D$13:$E$74,2,0)</f>
        <v>코웨이</v>
      </c>
      <c r="D4259" t="s">
        <v>2067</v>
      </c>
      <c r="E4259" t="s">
        <v>1544</v>
      </c>
      <c r="F4259" t="s">
        <v>1544</v>
      </c>
      <c r="G4259" s="554">
        <v>15</v>
      </c>
      <c r="H4259">
        <v>0.10680000000000001</v>
      </c>
    </row>
    <row r="4260" spans="2:8">
      <c r="B4260" s="555" t="s">
        <v>2373</v>
      </c>
      <c r="C4260" s="555" t="str">
        <f>VLOOKUP(D4260,기본!$D$13:$E$74,2,0)</f>
        <v>코웨이</v>
      </c>
      <c r="D4260" t="s">
        <v>2067</v>
      </c>
      <c r="E4260" t="s">
        <v>2270</v>
      </c>
      <c r="F4260" t="s">
        <v>2270</v>
      </c>
      <c r="G4260" s="554">
        <v>19347</v>
      </c>
      <c r="H4260">
        <v>160.75422299999997</v>
      </c>
    </row>
    <row r="4261" spans="2:8">
      <c r="B4261" s="555" t="s">
        <v>2373</v>
      </c>
      <c r="C4261" s="555" t="str">
        <f>VLOOKUP(D4261,기본!$D$13:$E$74,2,0)</f>
        <v>코웨이</v>
      </c>
      <c r="D4261" t="s">
        <v>2067</v>
      </c>
      <c r="E4261" t="s">
        <v>912</v>
      </c>
      <c r="F4261" t="s">
        <v>912</v>
      </c>
      <c r="G4261" s="554">
        <v>10216</v>
      </c>
      <c r="H4261">
        <v>65.686192000000005</v>
      </c>
    </row>
    <row r="4262" spans="2:8">
      <c r="B4262" s="555" t="s">
        <v>2373</v>
      </c>
      <c r="C4262" s="555" t="str">
        <f>VLOOKUP(D4262,기본!$D$13:$E$74,2,0)</f>
        <v>코웨이</v>
      </c>
      <c r="D4262" t="s">
        <v>2067</v>
      </c>
      <c r="E4262" t="s">
        <v>913</v>
      </c>
      <c r="F4262" t="s">
        <v>913</v>
      </c>
      <c r="G4262" s="554">
        <v>770</v>
      </c>
      <c r="H4262">
        <v>14.25732</v>
      </c>
    </row>
    <row r="4263" spans="2:8">
      <c r="B4263" s="555" t="s">
        <v>2373</v>
      </c>
      <c r="C4263" s="555" t="str">
        <f>VLOOKUP(D4263,기본!$D$13:$E$74,2,0)</f>
        <v>코웨이</v>
      </c>
      <c r="D4263" t="s">
        <v>2067</v>
      </c>
      <c r="E4263" t="s">
        <v>2070</v>
      </c>
      <c r="F4263" t="s">
        <v>2070</v>
      </c>
      <c r="G4263" s="554">
        <v>9236</v>
      </c>
      <c r="H4263">
        <v>168.89800400000004</v>
      </c>
    </row>
    <row r="4264" spans="2:8">
      <c r="B4264" s="555" t="s">
        <v>2373</v>
      </c>
      <c r="C4264" s="555" t="str">
        <f>VLOOKUP(D4264,기본!$D$13:$E$74,2,0)</f>
        <v>코웨이</v>
      </c>
      <c r="D4264" t="s">
        <v>2067</v>
      </c>
      <c r="E4264" t="s">
        <v>2024</v>
      </c>
      <c r="F4264" t="s">
        <v>2024</v>
      </c>
      <c r="G4264" s="554">
        <v>800</v>
      </c>
      <c r="H4264">
        <v>7.7080000000000002</v>
      </c>
    </row>
    <row r="4265" spans="2:8">
      <c r="B4265" s="555" t="s">
        <v>2373</v>
      </c>
      <c r="C4265" s="555" t="str">
        <f>VLOOKUP(D4265,기본!$D$13:$E$74,2,0)</f>
        <v>코웨이</v>
      </c>
      <c r="D4265" t="s">
        <v>2067</v>
      </c>
      <c r="E4265" t="s">
        <v>2071</v>
      </c>
      <c r="F4265" t="s">
        <v>2071</v>
      </c>
      <c r="G4265" s="554">
        <v>1266</v>
      </c>
      <c r="H4265">
        <v>19.979483999999999</v>
      </c>
    </row>
    <row r="4266" spans="2:8">
      <c r="B4266" s="555" t="s">
        <v>2373</v>
      </c>
      <c r="C4266" s="555" t="str">
        <f>VLOOKUP(D4266,기본!$D$13:$E$74,2,0)</f>
        <v>코웨이</v>
      </c>
      <c r="D4266" t="s">
        <v>2067</v>
      </c>
      <c r="E4266" t="s">
        <v>2072</v>
      </c>
      <c r="F4266" t="s">
        <v>2072</v>
      </c>
      <c r="G4266" s="554">
        <v>264</v>
      </c>
      <c r="H4266">
        <v>3.4829519999999996</v>
      </c>
    </row>
    <row r="4267" spans="2:8">
      <c r="B4267" s="555" t="s">
        <v>2373</v>
      </c>
      <c r="C4267" s="555" t="str">
        <f>VLOOKUP(D4267,기본!$D$13:$E$74,2,0)</f>
        <v>코웨이</v>
      </c>
      <c r="D4267" t="s">
        <v>2067</v>
      </c>
      <c r="E4267" t="s">
        <v>2073</v>
      </c>
      <c r="F4267" t="s">
        <v>2073</v>
      </c>
      <c r="G4267" s="554">
        <v>16346</v>
      </c>
      <c r="H4267">
        <v>225.47433699999999</v>
      </c>
    </row>
    <row r="4268" spans="2:8">
      <c r="B4268" s="555" t="s">
        <v>2373</v>
      </c>
      <c r="C4268" s="555" t="str">
        <f>VLOOKUP(D4268,기본!$D$13:$E$74,2,0)</f>
        <v>코웨이</v>
      </c>
      <c r="D4268" t="s">
        <v>2067</v>
      </c>
      <c r="E4268" t="s">
        <v>2074</v>
      </c>
      <c r="F4268" t="s">
        <v>2074</v>
      </c>
      <c r="G4268" s="554">
        <v>250</v>
      </c>
      <c r="H4268">
        <v>5.4559999999999995</v>
      </c>
    </row>
    <row r="4269" spans="2:8">
      <c r="B4269" s="555" t="s">
        <v>2373</v>
      </c>
      <c r="C4269" s="555" t="str">
        <f>VLOOKUP(D4269,기본!$D$13:$E$74,2,0)</f>
        <v>코웨이</v>
      </c>
      <c r="D4269" t="s">
        <v>2067</v>
      </c>
      <c r="E4269" t="s">
        <v>2075</v>
      </c>
      <c r="F4269" t="s">
        <v>2075</v>
      </c>
      <c r="G4269" s="554">
        <v>491</v>
      </c>
      <c r="H4269">
        <v>10.802505</v>
      </c>
    </row>
    <row r="4270" spans="2:8">
      <c r="B4270" s="555" t="s">
        <v>2373</v>
      </c>
      <c r="C4270" s="555" t="str">
        <f>VLOOKUP(D4270,기본!$D$13:$E$74,2,0)</f>
        <v>코웨이</v>
      </c>
      <c r="D4270" t="s">
        <v>2067</v>
      </c>
      <c r="E4270" t="s">
        <v>2076</v>
      </c>
      <c r="F4270" t="s">
        <v>2076</v>
      </c>
      <c r="G4270" s="554">
        <v>5873</v>
      </c>
      <c r="H4270">
        <v>108.62669099999999</v>
      </c>
    </row>
    <row r="4271" spans="2:8">
      <c r="B4271" s="555" t="s">
        <v>2373</v>
      </c>
      <c r="C4271" s="555" t="str">
        <f>VLOOKUP(D4271,기본!$D$13:$E$74,2,0)</f>
        <v>코웨이</v>
      </c>
      <c r="D4271" t="s">
        <v>2067</v>
      </c>
      <c r="E4271" t="s">
        <v>2042</v>
      </c>
      <c r="F4271" t="s">
        <v>2042</v>
      </c>
      <c r="G4271" s="554">
        <v>590</v>
      </c>
      <c r="H4271">
        <v>3.7730499999999996</v>
      </c>
    </row>
    <row r="4272" spans="2:8">
      <c r="B4272" s="555" t="s">
        <v>2373</v>
      </c>
      <c r="C4272" s="555" t="str">
        <f>VLOOKUP(D4272,기본!$D$13:$E$74,2,0)</f>
        <v>코웨이</v>
      </c>
      <c r="D4272" t="s">
        <v>2067</v>
      </c>
      <c r="E4272" t="s">
        <v>2058</v>
      </c>
      <c r="F4272" t="s">
        <v>2058</v>
      </c>
      <c r="G4272" s="554">
        <v>1300</v>
      </c>
      <c r="H4272">
        <v>46.138300000000001</v>
      </c>
    </row>
    <row r="4273" spans="2:8">
      <c r="B4273" s="555" t="s">
        <v>2373</v>
      </c>
      <c r="C4273" s="555" t="str">
        <f>VLOOKUP(D4273,기본!$D$13:$E$74,2,0)</f>
        <v>코웨이</v>
      </c>
      <c r="D4273" t="s">
        <v>2067</v>
      </c>
      <c r="E4273" t="s">
        <v>2077</v>
      </c>
      <c r="F4273" t="s">
        <v>2077</v>
      </c>
      <c r="G4273" s="554">
        <v>500</v>
      </c>
      <c r="H4273">
        <v>17.211500000000001</v>
      </c>
    </row>
    <row r="4274" spans="2:8">
      <c r="B4274" s="555" t="s">
        <v>2373</v>
      </c>
      <c r="C4274" s="555" t="str">
        <f>VLOOKUP(D4274,기본!$D$13:$E$74,2,0)</f>
        <v>코웨이</v>
      </c>
      <c r="D4274" t="s">
        <v>2067</v>
      </c>
      <c r="E4274" t="s">
        <v>2078</v>
      </c>
      <c r="F4274" t="s">
        <v>2078</v>
      </c>
      <c r="G4274" s="554">
        <v>4680</v>
      </c>
      <c r="H4274">
        <v>162.26963999999998</v>
      </c>
    </row>
    <row r="4275" spans="2:8">
      <c r="B4275" s="555" t="s">
        <v>2373</v>
      </c>
      <c r="C4275" s="555" t="str">
        <f>VLOOKUP(D4275,기본!$D$13:$E$74,2,0)</f>
        <v>코웨이</v>
      </c>
      <c r="D4275" t="s">
        <v>2067</v>
      </c>
      <c r="E4275" t="s">
        <v>2203</v>
      </c>
      <c r="F4275" t="s">
        <v>2203</v>
      </c>
      <c r="G4275" s="554">
        <v>2060</v>
      </c>
      <c r="H4275">
        <v>75.93137999999999</v>
      </c>
    </row>
    <row r="4276" spans="2:8">
      <c r="B4276" s="555" t="s">
        <v>2373</v>
      </c>
      <c r="C4276" s="555" t="str">
        <f>VLOOKUP(D4276,기본!$D$13:$E$74,2,0)</f>
        <v>코웨이</v>
      </c>
      <c r="D4276" t="s">
        <v>2067</v>
      </c>
      <c r="E4276" t="s">
        <v>229</v>
      </c>
      <c r="F4276" t="s">
        <v>229</v>
      </c>
      <c r="G4276" s="554">
        <v>0</v>
      </c>
      <c r="H4276">
        <v>-26.779986000000001</v>
      </c>
    </row>
    <row r="4277" spans="2:8">
      <c r="B4277" s="555" t="s">
        <v>2373</v>
      </c>
      <c r="C4277" s="555" t="str">
        <f>VLOOKUP(D4277,기본!$D$13:$E$74,2,0)</f>
        <v>코웨이</v>
      </c>
      <c r="D4277" t="s">
        <v>2079</v>
      </c>
      <c r="E4277" t="s">
        <v>1093</v>
      </c>
      <c r="F4277" t="s">
        <v>1093</v>
      </c>
      <c r="G4277" s="554">
        <v>4308</v>
      </c>
      <c r="H4277">
        <v>22.987487999999999</v>
      </c>
    </row>
    <row r="4278" spans="2:8">
      <c r="B4278" s="555" t="s">
        <v>2373</v>
      </c>
      <c r="C4278" s="555" t="str">
        <f>VLOOKUP(D4278,기본!$D$13:$E$74,2,0)</f>
        <v>코웨이</v>
      </c>
      <c r="D4278" t="s">
        <v>2079</v>
      </c>
      <c r="E4278" t="s">
        <v>1094</v>
      </c>
      <c r="F4278" t="s">
        <v>1094</v>
      </c>
      <c r="G4278" s="554">
        <v>3060</v>
      </c>
      <c r="H4278">
        <v>9.5349599999999999</v>
      </c>
    </row>
    <row r="4279" spans="2:8">
      <c r="B4279" s="555" t="s">
        <v>2373</v>
      </c>
      <c r="C4279" s="555" t="str">
        <f>VLOOKUP(D4279,기본!$D$13:$E$74,2,0)</f>
        <v>코웨이</v>
      </c>
      <c r="D4279" t="s">
        <v>2079</v>
      </c>
      <c r="E4279" t="s">
        <v>2017</v>
      </c>
      <c r="F4279" t="s">
        <v>2017</v>
      </c>
      <c r="G4279" s="554">
        <v>600</v>
      </c>
      <c r="H4279">
        <v>7.1316000000000006</v>
      </c>
    </row>
    <row r="4280" spans="2:8">
      <c r="B4280" s="555" t="s">
        <v>2373</v>
      </c>
      <c r="C4280" s="555" t="str">
        <f>VLOOKUP(D4280,기본!$D$13:$E$74,2,0)</f>
        <v>코웨이</v>
      </c>
      <c r="D4280" t="s">
        <v>2079</v>
      </c>
      <c r="E4280" t="s">
        <v>2080</v>
      </c>
      <c r="F4280" t="s">
        <v>2080</v>
      </c>
      <c r="G4280" s="554">
        <v>500</v>
      </c>
      <c r="H4280">
        <v>3.3515000000000001</v>
      </c>
    </row>
    <row r="4281" spans="2:8">
      <c r="B4281" s="555" t="s">
        <v>2373</v>
      </c>
      <c r="C4281" s="555" t="str">
        <f>VLOOKUP(D4281,기본!$D$13:$E$74,2,0)</f>
        <v>코웨이</v>
      </c>
      <c r="D4281" t="s">
        <v>2079</v>
      </c>
      <c r="E4281" t="s">
        <v>2081</v>
      </c>
      <c r="F4281" t="s">
        <v>2081</v>
      </c>
      <c r="G4281" s="554">
        <v>150</v>
      </c>
      <c r="H4281">
        <v>1.3479000000000001</v>
      </c>
    </row>
    <row r="4282" spans="2:8">
      <c r="B4282" s="555" t="s">
        <v>2373</v>
      </c>
      <c r="C4282" s="555" t="str">
        <f>VLOOKUP(D4282,기본!$D$13:$E$74,2,0)</f>
        <v>코웨이</v>
      </c>
      <c r="D4282" t="s">
        <v>2079</v>
      </c>
      <c r="E4282" t="s">
        <v>1089</v>
      </c>
      <c r="F4282" t="s">
        <v>1089</v>
      </c>
      <c r="G4282" s="554">
        <v>5864</v>
      </c>
      <c r="H4282">
        <v>65.741304</v>
      </c>
    </row>
    <row r="4283" spans="2:8">
      <c r="B4283" s="555" t="s">
        <v>2373</v>
      </c>
      <c r="C4283" s="555" t="str">
        <f>VLOOKUP(D4283,기본!$D$13:$E$74,2,0)</f>
        <v>코웨이</v>
      </c>
      <c r="D4283" t="s">
        <v>2079</v>
      </c>
      <c r="E4283" t="s">
        <v>1118</v>
      </c>
      <c r="F4283" t="s">
        <v>1118</v>
      </c>
      <c r="G4283" s="554">
        <v>610</v>
      </c>
      <c r="H4283">
        <v>11.053609999999999</v>
      </c>
    </row>
    <row r="4284" spans="2:8">
      <c r="B4284" s="555" t="s">
        <v>2373</v>
      </c>
      <c r="C4284" s="555" t="str">
        <f>VLOOKUP(D4284,기본!$D$13:$E$74,2,0)</f>
        <v>코웨이</v>
      </c>
      <c r="D4284" t="s">
        <v>2079</v>
      </c>
      <c r="E4284" t="s">
        <v>2061</v>
      </c>
      <c r="F4284" t="s">
        <v>2061</v>
      </c>
      <c r="G4284" s="554">
        <v>4320</v>
      </c>
      <c r="H4284">
        <v>24.209280000000003</v>
      </c>
    </row>
    <row r="4285" spans="2:8">
      <c r="B4285" s="555" t="s">
        <v>2373</v>
      </c>
      <c r="C4285" s="555" t="str">
        <f>VLOOKUP(D4285,기본!$D$13:$E$74,2,0)</f>
        <v>코웨이</v>
      </c>
      <c r="D4285" t="s">
        <v>2082</v>
      </c>
      <c r="E4285" t="s">
        <v>2058</v>
      </c>
      <c r="F4285" t="s">
        <v>2058</v>
      </c>
      <c r="G4285" s="554">
        <v>7776</v>
      </c>
      <c r="H4285">
        <v>269.50838400000004</v>
      </c>
    </row>
    <row r="4286" spans="2:8">
      <c r="B4286" s="555" t="s">
        <v>2373</v>
      </c>
      <c r="C4286" s="555" t="str">
        <f>VLOOKUP(D4286,기본!$D$13:$E$74,2,0)</f>
        <v>코웨이</v>
      </c>
      <c r="D4286" t="s">
        <v>2082</v>
      </c>
      <c r="E4286" t="s">
        <v>2077</v>
      </c>
      <c r="F4286" t="s">
        <v>2077</v>
      </c>
      <c r="G4286" s="554">
        <v>4938</v>
      </c>
      <c r="H4286">
        <v>165.84272999999999</v>
      </c>
    </row>
    <row r="4287" spans="2:8">
      <c r="B4287" s="555" t="s">
        <v>2373</v>
      </c>
      <c r="C4287" s="555" t="str">
        <f>VLOOKUP(D4287,기본!$D$13:$E$74,2,0)</f>
        <v>삼성 생활가전</v>
      </c>
      <c r="D4287" t="s">
        <v>2084</v>
      </c>
      <c r="E4287" t="s">
        <v>2086</v>
      </c>
      <c r="F4287" t="s">
        <v>2086</v>
      </c>
      <c r="G4287" s="554">
        <v>5</v>
      </c>
      <c r="H4287">
        <v>5.2249999999999998E-2</v>
      </c>
    </row>
    <row r="4288" spans="2:8">
      <c r="B4288" s="555" t="s">
        <v>2373</v>
      </c>
      <c r="C4288" s="555" t="str">
        <f>VLOOKUP(D4288,기본!$D$13:$E$74,2,0)</f>
        <v>코웨이</v>
      </c>
      <c r="D4288" t="s">
        <v>2205</v>
      </c>
      <c r="E4288" t="s">
        <v>1073</v>
      </c>
      <c r="F4288" t="s">
        <v>1073</v>
      </c>
      <c r="G4288" s="554">
        <v>3240</v>
      </c>
      <c r="H4288">
        <v>17.502479999999998</v>
      </c>
    </row>
    <row r="4289" spans="2:8">
      <c r="B4289" s="555" t="s">
        <v>2373</v>
      </c>
      <c r="C4289" s="555" t="str">
        <f>VLOOKUP(D4289,기본!$D$13:$E$74,2,0)</f>
        <v>코웨이</v>
      </c>
      <c r="D4289" t="s">
        <v>2205</v>
      </c>
      <c r="E4289" t="s">
        <v>1075</v>
      </c>
      <c r="F4289" t="s">
        <v>1075</v>
      </c>
      <c r="G4289" s="554">
        <v>3456</v>
      </c>
      <c r="H4289">
        <v>4.3338239999999999</v>
      </c>
    </row>
    <row r="4290" spans="2:8">
      <c r="B4290" s="555" t="s">
        <v>2373</v>
      </c>
      <c r="C4290" s="555" t="str">
        <f>VLOOKUP(D4290,기본!$D$13:$E$74,2,0)</f>
        <v>한화비전</v>
      </c>
      <c r="D4290" t="s">
        <v>2089</v>
      </c>
      <c r="E4290" t="s">
        <v>2372</v>
      </c>
      <c r="F4290" t="s">
        <v>49</v>
      </c>
      <c r="G4290" s="554">
        <v>120</v>
      </c>
      <c r="H4290">
        <v>2.7166079999999999</v>
      </c>
    </row>
  </sheetData>
  <autoFilter ref="B2:H3603" xr:uid="{E8D3D2EB-6E79-400A-967A-D5169B1A7B1F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4C19-0836-4FCD-8438-D9BD654238D9}">
  <dimension ref="D12:E74"/>
  <sheetViews>
    <sheetView topLeftCell="A4" workbookViewId="0">
      <selection activeCell="I38" sqref="I38"/>
    </sheetView>
  </sheetViews>
  <sheetFormatPr defaultRowHeight="16.5"/>
  <cols>
    <col min="4" max="4" width="21.125" bestFit="1" customWidth="1"/>
    <col min="5" max="5" width="13" style="555" bestFit="1" customWidth="1"/>
  </cols>
  <sheetData>
    <row r="12" spans="4:5">
      <c r="D12" t="s">
        <v>2094</v>
      </c>
      <c r="E12" s="555" t="s">
        <v>795</v>
      </c>
    </row>
    <row r="13" spans="4:5">
      <c r="D13" t="s">
        <v>1841</v>
      </c>
      <c r="E13" s="555" t="s">
        <v>2095</v>
      </c>
    </row>
    <row r="14" spans="4:5">
      <c r="D14" t="s">
        <v>1849</v>
      </c>
      <c r="E14" t="s">
        <v>1990</v>
      </c>
    </row>
    <row r="15" spans="4:5">
      <c r="D15" t="s">
        <v>1871</v>
      </c>
      <c r="E15" t="s">
        <v>1990</v>
      </c>
    </row>
    <row r="16" spans="4:5">
      <c r="D16" t="s">
        <v>1880</v>
      </c>
      <c r="E16" t="s">
        <v>1990</v>
      </c>
    </row>
    <row r="17" spans="4:5">
      <c r="D17" t="s">
        <v>1881</v>
      </c>
      <c r="E17" t="s">
        <v>1990</v>
      </c>
    </row>
    <row r="18" spans="4:5">
      <c r="D18" t="s">
        <v>1883</v>
      </c>
      <c r="E18" s="555" t="s">
        <v>2096</v>
      </c>
    </row>
    <row r="19" spans="4:5">
      <c r="D19" t="s">
        <v>1884</v>
      </c>
      <c r="E19" s="555" t="s">
        <v>2097</v>
      </c>
    </row>
    <row r="20" spans="4:5">
      <c r="D20" t="s">
        <v>157</v>
      </c>
      <c r="E20" s="555" t="s">
        <v>2097</v>
      </c>
    </row>
    <row r="21" spans="4:5">
      <c r="D21" t="s">
        <v>2313</v>
      </c>
      <c r="E21" t="s">
        <v>1990</v>
      </c>
    </row>
    <row r="22" spans="4:5">
      <c r="D22" t="s">
        <v>1888</v>
      </c>
      <c r="E22" s="555" t="s">
        <v>2095</v>
      </c>
    </row>
    <row r="23" spans="4:5">
      <c r="D23" t="s">
        <v>1896</v>
      </c>
      <c r="E23" s="555" t="s">
        <v>2098</v>
      </c>
    </row>
    <row r="24" spans="4:5">
      <c r="D24" t="s">
        <v>1898</v>
      </c>
      <c r="E24" s="555" t="s">
        <v>2097</v>
      </c>
    </row>
    <row r="25" spans="4:5">
      <c r="D25" t="s">
        <v>1899</v>
      </c>
      <c r="E25" s="555" t="s">
        <v>2095</v>
      </c>
    </row>
    <row r="26" spans="4:5">
      <c r="D26" t="s">
        <v>1900</v>
      </c>
      <c r="E26" s="555" t="s">
        <v>2097</v>
      </c>
    </row>
    <row r="27" spans="4:5">
      <c r="D27" t="s">
        <v>1901</v>
      </c>
      <c r="E27" s="555" t="s">
        <v>2099</v>
      </c>
    </row>
    <row r="28" spans="4:5">
      <c r="D28" t="s">
        <v>1904</v>
      </c>
      <c r="E28" s="555" t="s">
        <v>2097</v>
      </c>
    </row>
    <row r="29" spans="4:5">
      <c r="D29" t="s">
        <v>1905</v>
      </c>
      <c r="E29" s="555" t="s">
        <v>770</v>
      </c>
    </row>
    <row r="30" spans="4:5">
      <c r="D30" t="s">
        <v>1912</v>
      </c>
      <c r="E30" t="s">
        <v>1990</v>
      </c>
    </row>
    <row r="31" spans="4:5">
      <c r="D31" t="s">
        <v>1916</v>
      </c>
      <c r="E31" t="s">
        <v>1990</v>
      </c>
    </row>
    <row r="32" spans="4:5">
      <c r="D32" t="s">
        <v>1927</v>
      </c>
      <c r="E32" t="s">
        <v>1990</v>
      </c>
    </row>
    <row r="33" spans="4:5">
      <c r="D33" t="s">
        <v>1942</v>
      </c>
      <c r="E33" t="s">
        <v>2330</v>
      </c>
    </row>
    <row r="34" spans="4:5">
      <c r="D34" t="s">
        <v>1946</v>
      </c>
      <c r="E34" t="s">
        <v>1990</v>
      </c>
    </row>
    <row r="35" spans="4:5">
      <c r="D35" t="s">
        <v>1948</v>
      </c>
      <c r="E35" t="s">
        <v>2330</v>
      </c>
    </row>
    <row r="36" spans="4:5">
      <c r="D36" t="s">
        <v>1950</v>
      </c>
      <c r="E36" s="555" t="s">
        <v>2095</v>
      </c>
    </row>
    <row r="37" spans="4:5">
      <c r="D37" t="s">
        <v>1951</v>
      </c>
      <c r="E37" s="555" t="s">
        <v>2097</v>
      </c>
    </row>
    <row r="38" spans="4:5">
      <c r="D38" t="s">
        <v>1952</v>
      </c>
      <c r="E38" s="555" t="s">
        <v>766</v>
      </c>
    </row>
    <row r="39" spans="4:5">
      <c r="D39" t="s">
        <v>1971</v>
      </c>
      <c r="E39" s="555" t="s">
        <v>2095</v>
      </c>
    </row>
    <row r="40" spans="4:5">
      <c r="D40" t="s">
        <v>2107</v>
      </c>
      <c r="E40" s="555" t="s">
        <v>2097</v>
      </c>
    </row>
    <row r="41" spans="4:5">
      <c r="D41" t="s">
        <v>2191</v>
      </c>
      <c r="E41" s="555" t="s">
        <v>770</v>
      </c>
    </row>
    <row r="42" spans="4:5">
      <c r="D42" t="s">
        <v>2194</v>
      </c>
      <c r="E42" s="555" t="s">
        <v>770</v>
      </c>
    </row>
    <row r="43" spans="4:5">
      <c r="D43" t="s">
        <v>2312</v>
      </c>
      <c r="E43" s="555" t="s">
        <v>766</v>
      </c>
    </row>
    <row r="44" spans="4:5">
      <c r="D44" t="s">
        <v>2259</v>
      </c>
      <c r="E44" s="555" t="s">
        <v>2097</v>
      </c>
    </row>
    <row r="45" spans="4:5">
      <c r="D45" t="s">
        <v>2148</v>
      </c>
      <c r="E45" s="555" t="s">
        <v>766</v>
      </c>
    </row>
    <row r="46" spans="4:5">
      <c r="D46" t="s">
        <v>2132</v>
      </c>
      <c r="E46" s="555" t="s">
        <v>770</v>
      </c>
    </row>
    <row r="47" spans="4:5">
      <c r="D47" t="s">
        <v>2140</v>
      </c>
      <c r="E47" s="555" t="s">
        <v>770</v>
      </c>
    </row>
    <row r="48" spans="4:5">
      <c r="D48" t="s">
        <v>2143</v>
      </c>
      <c r="E48" t="s">
        <v>2330</v>
      </c>
    </row>
    <row r="49" spans="4:5">
      <c r="D49" t="s">
        <v>2186</v>
      </c>
      <c r="E49" s="555" t="s">
        <v>2330</v>
      </c>
    </row>
    <row r="50" spans="4:5">
      <c r="D50" t="s">
        <v>2188</v>
      </c>
      <c r="E50" s="555" t="s">
        <v>2330</v>
      </c>
    </row>
    <row r="51" spans="4:5">
      <c r="D51" t="s">
        <v>2193</v>
      </c>
      <c r="E51" s="555" t="s">
        <v>770</v>
      </c>
    </row>
    <row r="52" spans="4:5">
      <c r="D52" t="s">
        <v>2205</v>
      </c>
      <c r="E52" s="555" t="s">
        <v>770</v>
      </c>
    </row>
    <row r="53" spans="4:5">
      <c r="D53" t="s">
        <v>2282</v>
      </c>
      <c r="E53" s="555" t="s">
        <v>770</v>
      </c>
    </row>
    <row r="54" spans="4:5">
      <c r="D54" t="s">
        <v>2320</v>
      </c>
      <c r="E54" s="555" t="s">
        <v>2328</v>
      </c>
    </row>
    <row r="55" spans="4:5">
      <c r="D55" t="s">
        <v>2322</v>
      </c>
      <c r="E55" s="555" t="s">
        <v>2328</v>
      </c>
    </row>
    <row r="56" spans="4:5">
      <c r="D56" t="s">
        <v>2252</v>
      </c>
      <c r="E56" s="555" t="s">
        <v>2096</v>
      </c>
    </row>
    <row r="57" spans="4:5">
      <c r="D57" t="s">
        <v>1972</v>
      </c>
      <c r="E57" s="555" t="s">
        <v>2100</v>
      </c>
    </row>
    <row r="58" spans="4:5">
      <c r="D58" t="s">
        <v>1974</v>
      </c>
      <c r="E58" s="555" t="s">
        <v>2330</v>
      </c>
    </row>
    <row r="59" spans="4:5">
      <c r="D59" t="s">
        <v>1976</v>
      </c>
      <c r="E59" s="555" t="s">
        <v>2101</v>
      </c>
    </row>
    <row r="60" spans="4:5">
      <c r="D60" t="s">
        <v>1978</v>
      </c>
      <c r="E60" s="555" t="s">
        <v>2101</v>
      </c>
    </row>
    <row r="61" spans="4:5">
      <c r="D61" t="s">
        <v>1986</v>
      </c>
      <c r="E61" s="555" t="s">
        <v>2330</v>
      </c>
    </row>
    <row r="62" spans="4:5">
      <c r="D62" t="s">
        <v>1988</v>
      </c>
      <c r="E62" s="555" t="s">
        <v>2102</v>
      </c>
    </row>
    <row r="63" spans="4:5">
      <c r="D63" t="s">
        <v>1990</v>
      </c>
      <c r="E63" t="s">
        <v>2329</v>
      </c>
    </row>
    <row r="64" spans="4:5">
      <c r="D64" t="s">
        <v>1991</v>
      </c>
      <c r="E64" s="555" t="s">
        <v>2330</v>
      </c>
    </row>
    <row r="65" spans="4:5">
      <c r="D65" t="s">
        <v>2006</v>
      </c>
      <c r="E65" s="555" t="s">
        <v>2330</v>
      </c>
    </row>
    <row r="66" spans="4:5">
      <c r="D66" t="s">
        <v>2007</v>
      </c>
      <c r="E66" s="555" t="s">
        <v>770</v>
      </c>
    </row>
    <row r="67" spans="4:5">
      <c r="D67" t="s">
        <v>2008</v>
      </c>
      <c r="E67" s="555" t="s">
        <v>770</v>
      </c>
    </row>
    <row r="68" spans="4:5">
      <c r="D68" t="s">
        <v>2010</v>
      </c>
      <c r="E68" s="555" t="s">
        <v>770</v>
      </c>
    </row>
    <row r="69" spans="4:5">
      <c r="D69" t="s">
        <v>2067</v>
      </c>
      <c r="E69" s="555" t="s">
        <v>770</v>
      </c>
    </row>
    <row r="70" spans="4:5">
      <c r="D70" t="s">
        <v>2079</v>
      </c>
      <c r="E70" s="555" t="s">
        <v>770</v>
      </c>
    </row>
    <row r="71" spans="4:5">
      <c r="D71" t="s">
        <v>2082</v>
      </c>
      <c r="E71" s="555" t="s">
        <v>770</v>
      </c>
    </row>
    <row r="72" spans="4:5">
      <c r="D72" t="s">
        <v>2084</v>
      </c>
      <c r="E72" s="555" t="s">
        <v>2330</v>
      </c>
    </row>
    <row r="73" spans="4:5">
      <c r="D73" t="s">
        <v>2088</v>
      </c>
      <c r="E73" s="555" t="s">
        <v>2330</v>
      </c>
    </row>
    <row r="74" spans="4:5">
      <c r="D74" t="s">
        <v>2089</v>
      </c>
      <c r="E74" s="555" t="s">
        <v>2099</v>
      </c>
    </row>
  </sheetData>
  <autoFilter ref="D12:E74" xr:uid="{CFB64C19-0836-4FCD-8438-D9BD654238D9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24년(세부_실적)</vt:lpstr>
      <vt:lpstr>매출내역</vt:lpstr>
      <vt:lpstr>기본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</dc:creator>
  <cp:lastModifiedBy>송 나래</cp:lastModifiedBy>
  <cp:lastPrinted>2016-10-11T01:08:21Z</cp:lastPrinted>
  <dcterms:created xsi:type="dcterms:W3CDTF">2015-02-23T06:50:02Z</dcterms:created>
  <dcterms:modified xsi:type="dcterms:W3CDTF">2025-01-31T02:27:25Z</dcterms:modified>
</cp:coreProperties>
</file>